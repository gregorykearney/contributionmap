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izona/"/>
    </mc:Choice>
  </mc:AlternateContent>
  <xr:revisionPtr revIDLastSave="0" documentId="13_ncr:1_{E89315A1-798E-5543-B64C-CDE41B22060E}" xr6:coauthVersionLast="47" xr6:coauthVersionMax="47" xr10:uidLastSave="{00000000-0000-0000-0000-000000000000}"/>
  <bookViews>
    <workbookView xWindow="-2820" yWindow="-28300" windowWidth="40120" windowHeight="28300" xr2:uid="{DA3FDBE5-66ED-774D-B9A2-0EC385A8E18A}"/>
  </bookViews>
  <sheets>
    <sheet name="Final" sheetId="5" r:id="rId1"/>
    <sheet name="Dataset Checks &amp; NCES Match --&gt;" sheetId="12" r:id="rId2"/>
    <sheet name="Contributions Check" sheetId="2" r:id="rId3"/>
    <sheet name="LEAID Match" sheetId="9" r:id="rId4"/>
    <sheet name="Old Data --&gt;" sheetId="11" r:id="rId5"/>
    <sheet name="Data As Collected" sheetId="1" r:id="rId6"/>
    <sheet name="Backup" sheetId="7" r:id="rId7"/>
  </sheets>
  <definedNames>
    <definedName name="_xlnm._FilterDatabase" localSheetId="5" hidden="1">'Data As Collected'!$A$1:$E$6407</definedName>
    <definedName name="_xlnm._FilterDatabase" localSheetId="0" hidden="1">Final!$B$1:$H$6407</definedName>
    <definedName name="_xlnm._FilterDatabase" localSheetId="3" hidden="1">'LEAID Match'!$A$1:$B$397</definedName>
    <definedName name="AZ">#REF!</definedName>
    <definedName name="DISTRICT_TEM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5002" i="5"/>
  <c r="K5003" i="5"/>
  <c r="K5004" i="5"/>
  <c r="K5005" i="5"/>
  <c r="K5006" i="5"/>
  <c r="K5007" i="5"/>
  <c r="K5008" i="5"/>
  <c r="K5009" i="5"/>
  <c r="K5010" i="5"/>
  <c r="K5011" i="5"/>
  <c r="K5012" i="5"/>
  <c r="K5013" i="5"/>
  <c r="K5014" i="5"/>
  <c r="K5015" i="5"/>
  <c r="K5016" i="5"/>
  <c r="K5017" i="5"/>
  <c r="K5018" i="5"/>
  <c r="K5019" i="5"/>
  <c r="K5020" i="5"/>
  <c r="K5021" i="5"/>
  <c r="K5022" i="5"/>
  <c r="K5023" i="5"/>
  <c r="K5024" i="5"/>
  <c r="K5025" i="5"/>
  <c r="K5026" i="5"/>
  <c r="K5027" i="5"/>
  <c r="K5028" i="5"/>
  <c r="K5029" i="5"/>
  <c r="K5030" i="5"/>
  <c r="K5031" i="5"/>
  <c r="K5032" i="5"/>
  <c r="K5033" i="5"/>
  <c r="K5034" i="5"/>
  <c r="K5035" i="5"/>
  <c r="K5036" i="5"/>
  <c r="K5037" i="5"/>
  <c r="K5038" i="5"/>
  <c r="K5039" i="5"/>
  <c r="K5040" i="5"/>
  <c r="K5041" i="5"/>
  <c r="K5042" i="5"/>
  <c r="K5043" i="5"/>
  <c r="K5044" i="5"/>
  <c r="K5045" i="5"/>
  <c r="K5046" i="5"/>
  <c r="K5047" i="5"/>
  <c r="K5048" i="5"/>
  <c r="K5049" i="5"/>
  <c r="K5050" i="5"/>
  <c r="K5051" i="5"/>
  <c r="K5052" i="5"/>
  <c r="K5053" i="5"/>
  <c r="K5054" i="5"/>
  <c r="K5055" i="5"/>
  <c r="K5056" i="5"/>
  <c r="K5057" i="5"/>
  <c r="K5058" i="5"/>
  <c r="K5059" i="5"/>
  <c r="K5060" i="5"/>
  <c r="K5061" i="5"/>
  <c r="K5062" i="5"/>
  <c r="K5063" i="5"/>
  <c r="K5064" i="5"/>
  <c r="K5065" i="5"/>
  <c r="K5066" i="5"/>
  <c r="K5067" i="5"/>
  <c r="K5068" i="5"/>
  <c r="K5069" i="5"/>
  <c r="K5070" i="5"/>
  <c r="K5071" i="5"/>
  <c r="K5072" i="5"/>
  <c r="K5073" i="5"/>
  <c r="K5074" i="5"/>
  <c r="K5075" i="5"/>
  <c r="K5076" i="5"/>
  <c r="K5077" i="5"/>
  <c r="K5078" i="5"/>
  <c r="K5079" i="5"/>
  <c r="K5080" i="5"/>
  <c r="K5081" i="5"/>
  <c r="K5082" i="5"/>
  <c r="K5083" i="5"/>
  <c r="K5084" i="5"/>
  <c r="K5085" i="5"/>
  <c r="K5086" i="5"/>
  <c r="K5087" i="5"/>
  <c r="K5088" i="5"/>
  <c r="K5089" i="5"/>
  <c r="K5090" i="5"/>
  <c r="K5091" i="5"/>
  <c r="K5092" i="5"/>
  <c r="K5093" i="5"/>
  <c r="K5094" i="5"/>
  <c r="K5095" i="5"/>
  <c r="K5096" i="5"/>
  <c r="K5097" i="5"/>
  <c r="K5098" i="5"/>
  <c r="K5099" i="5"/>
  <c r="K5100" i="5"/>
  <c r="K5101" i="5"/>
  <c r="K5102" i="5"/>
  <c r="K5103" i="5"/>
  <c r="K5104" i="5"/>
  <c r="K5105" i="5"/>
  <c r="K5106" i="5"/>
  <c r="K5107" i="5"/>
  <c r="K5108" i="5"/>
  <c r="K5109" i="5"/>
  <c r="K5110" i="5"/>
  <c r="K5111" i="5"/>
  <c r="K5112" i="5"/>
  <c r="K5113" i="5"/>
  <c r="K5114" i="5"/>
  <c r="K5115" i="5"/>
  <c r="K5116" i="5"/>
  <c r="K5117" i="5"/>
  <c r="K5118" i="5"/>
  <c r="K5119" i="5"/>
  <c r="K5120" i="5"/>
  <c r="K5121" i="5"/>
  <c r="K5122" i="5"/>
  <c r="K5123" i="5"/>
  <c r="K5124" i="5"/>
  <c r="K5125" i="5"/>
  <c r="K5126" i="5"/>
  <c r="K5127" i="5"/>
  <c r="K5128" i="5"/>
  <c r="K5129" i="5"/>
  <c r="K5130" i="5"/>
  <c r="K5131" i="5"/>
  <c r="K5132" i="5"/>
  <c r="K5133" i="5"/>
  <c r="K5134" i="5"/>
  <c r="K5135" i="5"/>
  <c r="K5136" i="5"/>
  <c r="K5137" i="5"/>
  <c r="K5138" i="5"/>
  <c r="K5139" i="5"/>
  <c r="K5140" i="5"/>
  <c r="K5141" i="5"/>
  <c r="K5142" i="5"/>
  <c r="K5143" i="5"/>
  <c r="K5144" i="5"/>
  <c r="K5145" i="5"/>
  <c r="K5146" i="5"/>
  <c r="K5147" i="5"/>
  <c r="K5148" i="5"/>
  <c r="K5149" i="5"/>
  <c r="K5150" i="5"/>
  <c r="K5151" i="5"/>
  <c r="K5152" i="5"/>
  <c r="K5153" i="5"/>
  <c r="K5154" i="5"/>
  <c r="K5155" i="5"/>
  <c r="K5156" i="5"/>
  <c r="K5157" i="5"/>
  <c r="K5158" i="5"/>
  <c r="K5159" i="5"/>
  <c r="K5160" i="5"/>
  <c r="K5161" i="5"/>
  <c r="K5162" i="5"/>
  <c r="K5163" i="5"/>
  <c r="K5164" i="5"/>
  <c r="K5165" i="5"/>
  <c r="K5166" i="5"/>
  <c r="K5167" i="5"/>
  <c r="K5168" i="5"/>
  <c r="K5169" i="5"/>
  <c r="K5170" i="5"/>
  <c r="K5171" i="5"/>
  <c r="K5172" i="5"/>
  <c r="K5173" i="5"/>
  <c r="K5174" i="5"/>
  <c r="K5175" i="5"/>
  <c r="K5176" i="5"/>
  <c r="K5177" i="5"/>
  <c r="K5178" i="5"/>
  <c r="K5179" i="5"/>
  <c r="K5180" i="5"/>
  <c r="K5181" i="5"/>
  <c r="K5182" i="5"/>
  <c r="K5183" i="5"/>
  <c r="K5184" i="5"/>
  <c r="K5185" i="5"/>
  <c r="K5186" i="5"/>
  <c r="K5187" i="5"/>
  <c r="K5188" i="5"/>
  <c r="K5189" i="5"/>
  <c r="K5190" i="5"/>
  <c r="K5191" i="5"/>
  <c r="K5192" i="5"/>
  <c r="K5193" i="5"/>
  <c r="K5194" i="5"/>
  <c r="K5195" i="5"/>
  <c r="K5196" i="5"/>
  <c r="K5197" i="5"/>
  <c r="K5198" i="5"/>
  <c r="K5199" i="5"/>
  <c r="K5200" i="5"/>
  <c r="K5201" i="5"/>
  <c r="K5202" i="5"/>
  <c r="K5203" i="5"/>
  <c r="K5204" i="5"/>
  <c r="K5205" i="5"/>
  <c r="K5206" i="5"/>
  <c r="K5207" i="5"/>
  <c r="K5208" i="5"/>
  <c r="K5209" i="5"/>
  <c r="K5210" i="5"/>
  <c r="K5211" i="5"/>
  <c r="K5212" i="5"/>
  <c r="K5213" i="5"/>
  <c r="K5214" i="5"/>
  <c r="K5215" i="5"/>
  <c r="K5216" i="5"/>
  <c r="K5217" i="5"/>
  <c r="K5218" i="5"/>
  <c r="K5219" i="5"/>
  <c r="K5220" i="5"/>
  <c r="K5221" i="5"/>
  <c r="K5222" i="5"/>
  <c r="K5223" i="5"/>
  <c r="K5224" i="5"/>
  <c r="K5225" i="5"/>
  <c r="K5226" i="5"/>
  <c r="K5227" i="5"/>
  <c r="K5228" i="5"/>
  <c r="K5229" i="5"/>
  <c r="K5230" i="5"/>
  <c r="K5231" i="5"/>
  <c r="K5232" i="5"/>
  <c r="K5233" i="5"/>
  <c r="K5234" i="5"/>
  <c r="K5235" i="5"/>
  <c r="K5236" i="5"/>
  <c r="K5237" i="5"/>
  <c r="K5238" i="5"/>
  <c r="K5239" i="5"/>
  <c r="K5240" i="5"/>
  <c r="K5241" i="5"/>
  <c r="K5242" i="5"/>
  <c r="K5243" i="5"/>
  <c r="K5244" i="5"/>
  <c r="K5245" i="5"/>
  <c r="K5246" i="5"/>
  <c r="K5247" i="5"/>
  <c r="K5248" i="5"/>
  <c r="K5249" i="5"/>
  <c r="K5250" i="5"/>
  <c r="K5251" i="5"/>
  <c r="K5252" i="5"/>
  <c r="K5253" i="5"/>
  <c r="K5254" i="5"/>
  <c r="K5255" i="5"/>
  <c r="K5256" i="5"/>
  <c r="K5257" i="5"/>
  <c r="K5258" i="5"/>
  <c r="K5259" i="5"/>
  <c r="K5260" i="5"/>
  <c r="K5261" i="5"/>
  <c r="K5262" i="5"/>
  <c r="K5263" i="5"/>
  <c r="K5264" i="5"/>
  <c r="K5265" i="5"/>
  <c r="K5266" i="5"/>
  <c r="K5267" i="5"/>
  <c r="K5268" i="5"/>
  <c r="K5269" i="5"/>
  <c r="K5270" i="5"/>
  <c r="K5271" i="5"/>
  <c r="K5272" i="5"/>
  <c r="K5273" i="5"/>
  <c r="K5274" i="5"/>
  <c r="K5275" i="5"/>
  <c r="K5276" i="5"/>
  <c r="K5277" i="5"/>
  <c r="K5278" i="5"/>
  <c r="K5279" i="5"/>
  <c r="K5280" i="5"/>
  <c r="K5281" i="5"/>
  <c r="K5282" i="5"/>
  <c r="K5283" i="5"/>
  <c r="K5284" i="5"/>
  <c r="K5285" i="5"/>
  <c r="K5286" i="5"/>
  <c r="K5287" i="5"/>
  <c r="K5288" i="5"/>
  <c r="K5289" i="5"/>
  <c r="K5290" i="5"/>
  <c r="K5291" i="5"/>
  <c r="K5292" i="5"/>
  <c r="K5293" i="5"/>
  <c r="K5294" i="5"/>
  <c r="K5295" i="5"/>
  <c r="K5296" i="5"/>
  <c r="K5297" i="5"/>
  <c r="K5298" i="5"/>
  <c r="K5299" i="5"/>
  <c r="K5300" i="5"/>
  <c r="K5301" i="5"/>
  <c r="K5302" i="5"/>
  <c r="K5303" i="5"/>
  <c r="K5304" i="5"/>
  <c r="K5305" i="5"/>
  <c r="K5306" i="5"/>
  <c r="K5307" i="5"/>
  <c r="K5308" i="5"/>
  <c r="K5309" i="5"/>
  <c r="K5310" i="5"/>
  <c r="K5311" i="5"/>
  <c r="K5312" i="5"/>
  <c r="K5313" i="5"/>
  <c r="K5314" i="5"/>
  <c r="K5315" i="5"/>
  <c r="K5316" i="5"/>
  <c r="K5317" i="5"/>
  <c r="K5318" i="5"/>
  <c r="K5319" i="5"/>
  <c r="K5320" i="5"/>
  <c r="K5321" i="5"/>
  <c r="K5322" i="5"/>
  <c r="K5323" i="5"/>
  <c r="K5324" i="5"/>
  <c r="K5325" i="5"/>
  <c r="K5326" i="5"/>
  <c r="K5327" i="5"/>
  <c r="K5328" i="5"/>
  <c r="K5329" i="5"/>
  <c r="K5330" i="5"/>
  <c r="K5331" i="5"/>
  <c r="K5332" i="5"/>
  <c r="K5333" i="5"/>
  <c r="K5334" i="5"/>
  <c r="K5335" i="5"/>
  <c r="K5336" i="5"/>
  <c r="K5337" i="5"/>
  <c r="K5338" i="5"/>
  <c r="K5339" i="5"/>
  <c r="K5340" i="5"/>
  <c r="K5341" i="5"/>
  <c r="K5342" i="5"/>
  <c r="K5343" i="5"/>
  <c r="K5344" i="5"/>
  <c r="K5345" i="5"/>
  <c r="K5346" i="5"/>
  <c r="K5347" i="5"/>
  <c r="K5348" i="5"/>
  <c r="K5349" i="5"/>
  <c r="K5350" i="5"/>
  <c r="K5351" i="5"/>
  <c r="K5352" i="5"/>
  <c r="K5353" i="5"/>
  <c r="K5354" i="5"/>
  <c r="K5355" i="5"/>
  <c r="K5356" i="5"/>
  <c r="K5357" i="5"/>
  <c r="K5358" i="5"/>
  <c r="K5359" i="5"/>
  <c r="K5360" i="5"/>
  <c r="K5361" i="5"/>
  <c r="K5362" i="5"/>
  <c r="K5363" i="5"/>
  <c r="K5364" i="5"/>
  <c r="K5365" i="5"/>
  <c r="K5366" i="5"/>
  <c r="K5367" i="5"/>
  <c r="K5368" i="5"/>
  <c r="K5369" i="5"/>
  <c r="K5370" i="5"/>
  <c r="K5371" i="5"/>
  <c r="K5372" i="5"/>
  <c r="K5373" i="5"/>
  <c r="K5374" i="5"/>
  <c r="K5375" i="5"/>
  <c r="K5376" i="5"/>
  <c r="K5377" i="5"/>
  <c r="K5378" i="5"/>
  <c r="K5379" i="5"/>
  <c r="K5380" i="5"/>
  <c r="K5381" i="5"/>
  <c r="K5382" i="5"/>
  <c r="K5383" i="5"/>
  <c r="K5384" i="5"/>
  <c r="K5385" i="5"/>
  <c r="K5386" i="5"/>
  <c r="K5387" i="5"/>
  <c r="K5388" i="5"/>
  <c r="K5389" i="5"/>
  <c r="K5390" i="5"/>
  <c r="K5391" i="5"/>
  <c r="K5392" i="5"/>
  <c r="K5393" i="5"/>
  <c r="K5394" i="5"/>
  <c r="K5395" i="5"/>
  <c r="K5396" i="5"/>
  <c r="K5397" i="5"/>
  <c r="K5398" i="5"/>
  <c r="K5399" i="5"/>
  <c r="K5400" i="5"/>
  <c r="K5401" i="5"/>
  <c r="K5402" i="5"/>
  <c r="K5403" i="5"/>
  <c r="K5404" i="5"/>
  <c r="K5405" i="5"/>
  <c r="K5406" i="5"/>
  <c r="K5407" i="5"/>
  <c r="K5408" i="5"/>
  <c r="K5409" i="5"/>
  <c r="K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K5425" i="5"/>
  <c r="K5426" i="5"/>
  <c r="K5427" i="5"/>
  <c r="K5428" i="5"/>
  <c r="K5429" i="5"/>
  <c r="K5430" i="5"/>
  <c r="K5431" i="5"/>
  <c r="K5432" i="5"/>
  <c r="K5433" i="5"/>
  <c r="K5434" i="5"/>
  <c r="K5435" i="5"/>
  <c r="K5436" i="5"/>
  <c r="K5437" i="5"/>
  <c r="K5438" i="5"/>
  <c r="K5439" i="5"/>
  <c r="K5440" i="5"/>
  <c r="K5441" i="5"/>
  <c r="K5442" i="5"/>
  <c r="K5443" i="5"/>
  <c r="K5444" i="5"/>
  <c r="K5445" i="5"/>
  <c r="K5446" i="5"/>
  <c r="K5447" i="5"/>
  <c r="K5448" i="5"/>
  <c r="K5449" i="5"/>
  <c r="K5450" i="5"/>
  <c r="K5451" i="5"/>
  <c r="K5452" i="5"/>
  <c r="K5453" i="5"/>
  <c r="K5454" i="5"/>
  <c r="K5455" i="5"/>
  <c r="K5456" i="5"/>
  <c r="K5457" i="5"/>
  <c r="K5458" i="5"/>
  <c r="K5459" i="5"/>
  <c r="K5460" i="5"/>
  <c r="K5461" i="5"/>
  <c r="K5462" i="5"/>
  <c r="K5463" i="5"/>
  <c r="K5464" i="5"/>
  <c r="K5465" i="5"/>
  <c r="K5466" i="5"/>
  <c r="K5467" i="5"/>
  <c r="K5468" i="5"/>
  <c r="K5469" i="5"/>
  <c r="K5470" i="5"/>
  <c r="K5471" i="5"/>
  <c r="K5472" i="5"/>
  <c r="K5473" i="5"/>
  <c r="K5474" i="5"/>
  <c r="K5475" i="5"/>
  <c r="K5476" i="5"/>
  <c r="K5477" i="5"/>
  <c r="K5478" i="5"/>
  <c r="K5479" i="5"/>
  <c r="K5480" i="5"/>
  <c r="K5481" i="5"/>
  <c r="K5482" i="5"/>
  <c r="K5483" i="5"/>
  <c r="K5484" i="5"/>
  <c r="K5485" i="5"/>
  <c r="K5486" i="5"/>
  <c r="K5487" i="5"/>
  <c r="K5488" i="5"/>
  <c r="K5489" i="5"/>
  <c r="K5490" i="5"/>
  <c r="K5491" i="5"/>
  <c r="K5492" i="5"/>
  <c r="K5493" i="5"/>
  <c r="K5494" i="5"/>
  <c r="K5495" i="5"/>
  <c r="K5496" i="5"/>
  <c r="K5497" i="5"/>
  <c r="K5498" i="5"/>
  <c r="K5499" i="5"/>
  <c r="K5500" i="5"/>
  <c r="K5501" i="5"/>
  <c r="K5502" i="5"/>
  <c r="K5503" i="5"/>
  <c r="K5504" i="5"/>
  <c r="K5505" i="5"/>
  <c r="K5506" i="5"/>
  <c r="K5507" i="5"/>
  <c r="K5508" i="5"/>
  <c r="K5509" i="5"/>
  <c r="K5510" i="5"/>
  <c r="K5511" i="5"/>
  <c r="K5512" i="5"/>
  <c r="K5513" i="5"/>
  <c r="K5514" i="5"/>
  <c r="K5515" i="5"/>
  <c r="K5516" i="5"/>
  <c r="K5517" i="5"/>
  <c r="K5518" i="5"/>
  <c r="K5519" i="5"/>
  <c r="K5520" i="5"/>
  <c r="K5521" i="5"/>
  <c r="K5522" i="5"/>
  <c r="K5523" i="5"/>
  <c r="K5524" i="5"/>
  <c r="K5525" i="5"/>
  <c r="K5526" i="5"/>
  <c r="K5527" i="5"/>
  <c r="K5528" i="5"/>
  <c r="K5529" i="5"/>
  <c r="K5530" i="5"/>
  <c r="K5531" i="5"/>
  <c r="K5532" i="5"/>
  <c r="K5533" i="5"/>
  <c r="K5534" i="5"/>
  <c r="K5535" i="5"/>
  <c r="K5536" i="5"/>
  <c r="K5537" i="5"/>
  <c r="K5538" i="5"/>
  <c r="K5539" i="5"/>
  <c r="K5540" i="5"/>
  <c r="K5541" i="5"/>
  <c r="K5542" i="5"/>
  <c r="K5543" i="5"/>
  <c r="K5544" i="5"/>
  <c r="K5545" i="5"/>
  <c r="K5546" i="5"/>
  <c r="K5547" i="5"/>
  <c r="K5548" i="5"/>
  <c r="K5549" i="5"/>
  <c r="K5550" i="5"/>
  <c r="K5551" i="5"/>
  <c r="K5552" i="5"/>
  <c r="K5553" i="5"/>
  <c r="K5554" i="5"/>
  <c r="K5555" i="5"/>
  <c r="K5556" i="5"/>
  <c r="K5557" i="5"/>
  <c r="K5558" i="5"/>
  <c r="K5559" i="5"/>
  <c r="K5560" i="5"/>
  <c r="K5561" i="5"/>
  <c r="K5562" i="5"/>
  <c r="K5563" i="5"/>
  <c r="K5564" i="5"/>
  <c r="K5565" i="5"/>
  <c r="K5566" i="5"/>
  <c r="K5567" i="5"/>
  <c r="K5568" i="5"/>
  <c r="K5569" i="5"/>
  <c r="K5570" i="5"/>
  <c r="K5571" i="5"/>
  <c r="K5572" i="5"/>
  <c r="K5573" i="5"/>
  <c r="K5574" i="5"/>
  <c r="K5575" i="5"/>
  <c r="K5576" i="5"/>
  <c r="K5577" i="5"/>
  <c r="K5578" i="5"/>
  <c r="K5579" i="5"/>
  <c r="K5580" i="5"/>
  <c r="K5581" i="5"/>
  <c r="K5582" i="5"/>
  <c r="K5583" i="5"/>
  <c r="K5584" i="5"/>
  <c r="K5585" i="5"/>
  <c r="K5586" i="5"/>
  <c r="K5587" i="5"/>
  <c r="K5588" i="5"/>
  <c r="K5589" i="5"/>
  <c r="K5590" i="5"/>
  <c r="K5591" i="5"/>
  <c r="K5592" i="5"/>
  <c r="K5593" i="5"/>
  <c r="K5594" i="5"/>
  <c r="K5595" i="5"/>
  <c r="K5596" i="5"/>
  <c r="K5597" i="5"/>
  <c r="K5598" i="5"/>
  <c r="K5599" i="5"/>
  <c r="K5600" i="5"/>
  <c r="K5601" i="5"/>
  <c r="K5602" i="5"/>
  <c r="K5603" i="5"/>
  <c r="K5604" i="5"/>
  <c r="K5605" i="5"/>
  <c r="K5606" i="5"/>
  <c r="K5607" i="5"/>
  <c r="K5608" i="5"/>
  <c r="K5609" i="5"/>
  <c r="K5610" i="5"/>
  <c r="K5611" i="5"/>
  <c r="K5612" i="5"/>
  <c r="K5613" i="5"/>
  <c r="K5614" i="5"/>
  <c r="K5615" i="5"/>
  <c r="K5616" i="5"/>
  <c r="K5617" i="5"/>
  <c r="K5618" i="5"/>
  <c r="K5619" i="5"/>
  <c r="K5620" i="5"/>
  <c r="K5621" i="5"/>
  <c r="K5622" i="5"/>
  <c r="K5623" i="5"/>
  <c r="K5624" i="5"/>
  <c r="K5625" i="5"/>
  <c r="K5626" i="5"/>
  <c r="K5627" i="5"/>
  <c r="K5628" i="5"/>
  <c r="K5629" i="5"/>
  <c r="K5630" i="5"/>
  <c r="K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K5646" i="5"/>
  <c r="K5647" i="5"/>
  <c r="K5648" i="5"/>
  <c r="K5649" i="5"/>
  <c r="K5650" i="5"/>
  <c r="K5651" i="5"/>
  <c r="K5652" i="5"/>
  <c r="K5653" i="5"/>
  <c r="K5654" i="5"/>
  <c r="K5655" i="5"/>
  <c r="K5656" i="5"/>
  <c r="K5657" i="5"/>
  <c r="K5658" i="5"/>
  <c r="K5659" i="5"/>
  <c r="K5660" i="5"/>
  <c r="K5661" i="5"/>
  <c r="K5662" i="5"/>
  <c r="K5663" i="5"/>
  <c r="K5664" i="5"/>
  <c r="K5665" i="5"/>
  <c r="K5666" i="5"/>
  <c r="K5667" i="5"/>
  <c r="K5668" i="5"/>
  <c r="K5669" i="5"/>
  <c r="K5670" i="5"/>
  <c r="K5671" i="5"/>
  <c r="K5672" i="5"/>
  <c r="K5673" i="5"/>
  <c r="K5674" i="5"/>
  <c r="K5675" i="5"/>
  <c r="K5676" i="5"/>
  <c r="K5677" i="5"/>
  <c r="K5678" i="5"/>
  <c r="K5679" i="5"/>
  <c r="K5680" i="5"/>
  <c r="K5681" i="5"/>
  <c r="K5682" i="5"/>
  <c r="K5683" i="5"/>
  <c r="K5684" i="5"/>
  <c r="K5685" i="5"/>
  <c r="K5686" i="5"/>
  <c r="K5687" i="5"/>
  <c r="K5688" i="5"/>
  <c r="K5689" i="5"/>
  <c r="K5690" i="5"/>
  <c r="K5691" i="5"/>
  <c r="K5692" i="5"/>
  <c r="K5693" i="5"/>
  <c r="K5694" i="5"/>
  <c r="K5695" i="5"/>
  <c r="K5696" i="5"/>
  <c r="K5697" i="5"/>
  <c r="K5698" i="5"/>
  <c r="K5699" i="5"/>
  <c r="K5700" i="5"/>
  <c r="K5701" i="5"/>
  <c r="K5702" i="5"/>
  <c r="K5703" i="5"/>
  <c r="K5704" i="5"/>
  <c r="K5705" i="5"/>
  <c r="K5706" i="5"/>
  <c r="K5707" i="5"/>
  <c r="K5708" i="5"/>
  <c r="K5709" i="5"/>
  <c r="K5710" i="5"/>
  <c r="K5711" i="5"/>
  <c r="K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K5726" i="5"/>
  <c r="K5727" i="5"/>
  <c r="K5728" i="5"/>
  <c r="K5729" i="5"/>
  <c r="K5730" i="5"/>
  <c r="K5731" i="5"/>
  <c r="K5732" i="5"/>
  <c r="K5733" i="5"/>
  <c r="K5734" i="5"/>
  <c r="K5735" i="5"/>
  <c r="K5736" i="5"/>
  <c r="K5737" i="5"/>
  <c r="K5738" i="5"/>
  <c r="K5739" i="5"/>
  <c r="K5740" i="5"/>
  <c r="K5741" i="5"/>
  <c r="K5742" i="5"/>
  <c r="K5743" i="5"/>
  <c r="K5744" i="5"/>
  <c r="K5745" i="5"/>
  <c r="K5746" i="5"/>
  <c r="K5747" i="5"/>
  <c r="K5748" i="5"/>
  <c r="K5749" i="5"/>
  <c r="K5750" i="5"/>
  <c r="K5751" i="5"/>
  <c r="K5752" i="5"/>
  <c r="K5753" i="5"/>
  <c r="K5754" i="5"/>
  <c r="K5755" i="5"/>
  <c r="K5756" i="5"/>
  <c r="K5757" i="5"/>
  <c r="K5758" i="5"/>
  <c r="K5759" i="5"/>
  <c r="K5760" i="5"/>
  <c r="K5761" i="5"/>
  <c r="K5762" i="5"/>
  <c r="K5763" i="5"/>
  <c r="K5764" i="5"/>
  <c r="K5765" i="5"/>
  <c r="K5766" i="5"/>
  <c r="K5767" i="5"/>
  <c r="K5768" i="5"/>
  <c r="K5769" i="5"/>
  <c r="K5770" i="5"/>
  <c r="K5771" i="5"/>
  <c r="K5772" i="5"/>
  <c r="K5773" i="5"/>
  <c r="K5774" i="5"/>
  <c r="K5775" i="5"/>
  <c r="K5776" i="5"/>
  <c r="K5777" i="5"/>
  <c r="K5778" i="5"/>
  <c r="K5779" i="5"/>
  <c r="K5780" i="5"/>
  <c r="K5781" i="5"/>
  <c r="K5782" i="5"/>
  <c r="K5783" i="5"/>
  <c r="K5784" i="5"/>
  <c r="K5785" i="5"/>
  <c r="K5786" i="5"/>
  <c r="K5787" i="5"/>
  <c r="K5788" i="5"/>
  <c r="K5789" i="5"/>
  <c r="K5790" i="5"/>
  <c r="K5791" i="5"/>
  <c r="K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K5805" i="5"/>
  <c r="K5806" i="5"/>
  <c r="K5807" i="5"/>
  <c r="K5808" i="5"/>
  <c r="K5809" i="5"/>
  <c r="K5810" i="5"/>
  <c r="K5811" i="5"/>
  <c r="K5812" i="5"/>
  <c r="K5813" i="5"/>
  <c r="K5814" i="5"/>
  <c r="K5815" i="5"/>
  <c r="K5816" i="5"/>
  <c r="K5817" i="5"/>
  <c r="K5818" i="5"/>
  <c r="K5819" i="5"/>
  <c r="K5820" i="5"/>
  <c r="K5821" i="5"/>
  <c r="K5822" i="5"/>
  <c r="K5823" i="5"/>
  <c r="K5824" i="5"/>
  <c r="K5825" i="5"/>
  <c r="K5826" i="5"/>
  <c r="K5827" i="5"/>
  <c r="K5828" i="5"/>
  <c r="K5829" i="5"/>
  <c r="K5830" i="5"/>
  <c r="K5831" i="5"/>
  <c r="K5832" i="5"/>
  <c r="K5833" i="5"/>
  <c r="K5834" i="5"/>
  <c r="K5835" i="5"/>
  <c r="K5836" i="5"/>
  <c r="K5837" i="5"/>
  <c r="K5838" i="5"/>
  <c r="K5839" i="5"/>
  <c r="K5840" i="5"/>
  <c r="K5841" i="5"/>
  <c r="K5842" i="5"/>
  <c r="K5843" i="5"/>
  <c r="K5844" i="5"/>
  <c r="K5845" i="5"/>
  <c r="K5846" i="5"/>
  <c r="K5847" i="5"/>
  <c r="K5848" i="5"/>
  <c r="K5849" i="5"/>
  <c r="K5850" i="5"/>
  <c r="K5851" i="5"/>
  <c r="K5852" i="5"/>
  <c r="K5853" i="5"/>
  <c r="K5854" i="5"/>
  <c r="K5855" i="5"/>
  <c r="K5856" i="5"/>
  <c r="K5857" i="5"/>
  <c r="K5858" i="5"/>
  <c r="K5859" i="5"/>
  <c r="K5860" i="5"/>
  <c r="K5861" i="5"/>
  <c r="K5862" i="5"/>
  <c r="K5863" i="5"/>
  <c r="K5864" i="5"/>
  <c r="K5865" i="5"/>
  <c r="K5866" i="5"/>
  <c r="K5867" i="5"/>
  <c r="K5868" i="5"/>
  <c r="K5869" i="5"/>
  <c r="K5870" i="5"/>
  <c r="K5871" i="5"/>
  <c r="K5872" i="5"/>
  <c r="K5873" i="5"/>
  <c r="K5874" i="5"/>
  <c r="K5875" i="5"/>
  <c r="K5876" i="5"/>
  <c r="K5877" i="5"/>
  <c r="K5878" i="5"/>
  <c r="K5879" i="5"/>
  <c r="K5880" i="5"/>
  <c r="K5881" i="5"/>
  <c r="K5882" i="5"/>
  <c r="K5883" i="5"/>
  <c r="K5884" i="5"/>
  <c r="K5885" i="5"/>
  <c r="K5886" i="5"/>
  <c r="K5887" i="5"/>
  <c r="K5888" i="5"/>
  <c r="K5889" i="5"/>
  <c r="K5890" i="5"/>
  <c r="K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K5911" i="5"/>
  <c r="K5912" i="5"/>
  <c r="K5913" i="5"/>
  <c r="K5914" i="5"/>
  <c r="K5915" i="5"/>
  <c r="K5916" i="5"/>
  <c r="K5917" i="5"/>
  <c r="K5918" i="5"/>
  <c r="K5919" i="5"/>
  <c r="K5920" i="5"/>
  <c r="K5921" i="5"/>
  <c r="K5922" i="5"/>
  <c r="K5923" i="5"/>
  <c r="K5924" i="5"/>
  <c r="K5925" i="5"/>
  <c r="K5926" i="5"/>
  <c r="K5927" i="5"/>
  <c r="K5928" i="5"/>
  <c r="K5929" i="5"/>
  <c r="K5930" i="5"/>
  <c r="K5931" i="5"/>
  <c r="K5932" i="5"/>
  <c r="K5933" i="5"/>
  <c r="K5934" i="5"/>
  <c r="K5935" i="5"/>
  <c r="K5936" i="5"/>
  <c r="K5937" i="5"/>
  <c r="K5938" i="5"/>
  <c r="K5939" i="5"/>
  <c r="K5940" i="5"/>
  <c r="K5941" i="5"/>
  <c r="K5942" i="5"/>
  <c r="K5943" i="5"/>
  <c r="K5944" i="5"/>
  <c r="K5945" i="5"/>
  <c r="K5946" i="5"/>
  <c r="K5947" i="5"/>
  <c r="K5948" i="5"/>
  <c r="K5949" i="5"/>
  <c r="K5950" i="5"/>
  <c r="K5951" i="5"/>
  <c r="K5952" i="5"/>
  <c r="K5953" i="5"/>
  <c r="K5954" i="5"/>
  <c r="K5955" i="5"/>
  <c r="K5956" i="5"/>
  <c r="K5957" i="5"/>
  <c r="K5958" i="5"/>
  <c r="K5959" i="5"/>
  <c r="K5960" i="5"/>
  <c r="K5961" i="5"/>
  <c r="K5962" i="5"/>
  <c r="K5963" i="5"/>
  <c r="K5964" i="5"/>
  <c r="K5965" i="5"/>
  <c r="K5966" i="5"/>
  <c r="K5967" i="5"/>
  <c r="K5968" i="5"/>
  <c r="K5969" i="5"/>
  <c r="K5970" i="5"/>
  <c r="K5971" i="5"/>
  <c r="K5972" i="5"/>
  <c r="K5973" i="5"/>
  <c r="K5974" i="5"/>
  <c r="K5975" i="5"/>
  <c r="K5976" i="5"/>
  <c r="K5977" i="5"/>
  <c r="K5978" i="5"/>
  <c r="K5979" i="5"/>
  <c r="K5980" i="5"/>
  <c r="K5981" i="5"/>
  <c r="K5982" i="5"/>
  <c r="K5983" i="5"/>
  <c r="K5984" i="5"/>
  <c r="K5985" i="5"/>
  <c r="K5986" i="5"/>
  <c r="K5987" i="5"/>
  <c r="K5988" i="5"/>
  <c r="K5989" i="5"/>
  <c r="K5990" i="5"/>
  <c r="K5991" i="5"/>
  <c r="K5992" i="5"/>
  <c r="K5993" i="5"/>
  <c r="K5994" i="5"/>
  <c r="K5995" i="5"/>
  <c r="K5996" i="5"/>
  <c r="K5997" i="5"/>
  <c r="K5998" i="5"/>
  <c r="K5999" i="5"/>
  <c r="K6000" i="5"/>
  <c r="K6001" i="5"/>
  <c r="K6002" i="5"/>
  <c r="K6003" i="5"/>
  <c r="K6004" i="5"/>
  <c r="K6005" i="5"/>
  <c r="K6006" i="5"/>
  <c r="K6007" i="5"/>
  <c r="K6008" i="5"/>
  <c r="K6009" i="5"/>
  <c r="K6010" i="5"/>
  <c r="K6011" i="5"/>
  <c r="K6012" i="5"/>
  <c r="K6013" i="5"/>
  <c r="K6014" i="5"/>
  <c r="K6015" i="5"/>
  <c r="K6016" i="5"/>
  <c r="K6017" i="5"/>
  <c r="K6018" i="5"/>
  <c r="K6019" i="5"/>
  <c r="K6020" i="5"/>
  <c r="K6021" i="5"/>
  <c r="K6022" i="5"/>
  <c r="K6023" i="5"/>
  <c r="K6024" i="5"/>
  <c r="K6025" i="5"/>
  <c r="K6026" i="5"/>
  <c r="K6027" i="5"/>
  <c r="K6028" i="5"/>
  <c r="K6029" i="5"/>
  <c r="K6030" i="5"/>
  <c r="K6031" i="5"/>
  <c r="K6032" i="5"/>
  <c r="K6033" i="5"/>
  <c r="K6034" i="5"/>
  <c r="K6035" i="5"/>
  <c r="K6036" i="5"/>
  <c r="K6037" i="5"/>
  <c r="K6038" i="5"/>
  <c r="K6039" i="5"/>
  <c r="K6040" i="5"/>
  <c r="K6041" i="5"/>
  <c r="K6042" i="5"/>
  <c r="K6043" i="5"/>
  <c r="K6044" i="5"/>
  <c r="K6045" i="5"/>
  <c r="K6046" i="5"/>
  <c r="K6047" i="5"/>
  <c r="K6048" i="5"/>
  <c r="K6049" i="5"/>
  <c r="K6050" i="5"/>
  <c r="K6051" i="5"/>
  <c r="K6052" i="5"/>
  <c r="K6053" i="5"/>
  <c r="K6054" i="5"/>
  <c r="K6055" i="5"/>
  <c r="K6056" i="5"/>
  <c r="K6057" i="5"/>
  <c r="K6058" i="5"/>
  <c r="K6059" i="5"/>
  <c r="K6060" i="5"/>
  <c r="K6061" i="5"/>
  <c r="K6062" i="5"/>
  <c r="K6063" i="5"/>
  <c r="K6064" i="5"/>
  <c r="K6065" i="5"/>
  <c r="K6066" i="5"/>
  <c r="K6067" i="5"/>
  <c r="K6068" i="5"/>
  <c r="K6069" i="5"/>
  <c r="K6070" i="5"/>
  <c r="K6071" i="5"/>
  <c r="K6072" i="5"/>
  <c r="K6073" i="5"/>
  <c r="K6074" i="5"/>
  <c r="K6075" i="5"/>
  <c r="K6076" i="5"/>
  <c r="K6077" i="5"/>
  <c r="K6078" i="5"/>
  <c r="K6079" i="5"/>
  <c r="K6080" i="5"/>
  <c r="K6081" i="5"/>
  <c r="K6082" i="5"/>
  <c r="K6083" i="5"/>
  <c r="K6084" i="5"/>
  <c r="K6085" i="5"/>
  <c r="K6086" i="5"/>
  <c r="K6087" i="5"/>
  <c r="K6088" i="5"/>
  <c r="K6089" i="5"/>
  <c r="K6090" i="5"/>
  <c r="K6091" i="5"/>
  <c r="K6092" i="5"/>
  <c r="K6093" i="5"/>
  <c r="K6094" i="5"/>
  <c r="K6095" i="5"/>
  <c r="K6096" i="5"/>
  <c r="K6097" i="5"/>
  <c r="K6098" i="5"/>
  <c r="K6099" i="5"/>
  <c r="K6100" i="5"/>
  <c r="K6101" i="5"/>
  <c r="K6102" i="5"/>
  <c r="K6103" i="5"/>
  <c r="K6104" i="5"/>
  <c r="K6105" i="5"/>
  <c r="K6106" i="5"/>
  <c r="K6107" i="5"/>
  <c r="K6108" i="5"/>
  <c r="K6109" i="5"/>
  <c r="K6110" i="5"/>
  <c r="K6111" i="5"/>
  <c r="K6112" i="5"/>
  <c r="K6113" i="5"/>
  <c r="K6114" i="5"/>
  <c r="K6115" i="5"/>
  <c r="K6116" i="5"/>
  <c r="K6117" i="5"/>
  <c r="K6118" i="5"/>
  <c r="K6119" i="5"/>
  <c r="K6120" i="5"/>
  <c r="K6121" i="5"/>
  <c r="K6122" i="5"/>
  <c r="K6123" i="5"/>
  <c r="K6124" i="5"/>
  <c r="K6125" i="5"/>
  <c r="K6126" i="5"/>
  <c r="K6127" i="5"/>
  <c r="K6128" i="5"/>
  <c r="K6129" i="5"/>
  <c r="K6130" i="5"/>
  <c r="K6131" i="5"/>
  <c r="K6132" i="5"/>
  <c r="K6133" i="5"/>
  <c r="K6134" i="5"/>
  <c r="K6135" i="5"/>
  <c r="K6136" i="5"/>
  <c r="K6137" i="5"/>
  <c r="K6138" i="5"/>
  <c r="K6139" i="5"/>
  <c r="K6140" i="5"/>
  <c r="K6141" i="5"/>
  <c r="K6142" i="5"/>
  <c r="K6143" i="5"/>
  <c r="K6144" i="5"/>
  <c r="K6145" i="5"/>
  <c r="K6146" i="5"/>
  <c r="K6147" i="5"/>
  <c r="K6148" i="5"/>
  <c r="K6149" i="5"/>
  <c r="K6150" i="5"/>
  <c r="K6151" i="5"/>
  <c r="K6152" i="5"/>
  <c r="K6153" i="5"/>
  <c r="K6154" i="5"/>
  <c r="K6155" i="5"/>
  <c r="K6156" i="5"/>
  <c r="K6157" i="5"/>
  <c r="K6158" i="5"/>
  <c r="K6159" i="5"/>
  <c r="K6160" i="5"/>
  <c r="K6161" i="5"/>
  <c r="K6162" i="5"/>
  <c r="K6163" i="5"/>
  <c r="K6164" i="5"/>
  <c r="K6165" i="5"/>
  <c r="K6166" i="5"/>
  <c r="K6167" i="5"/>
  <c r="K6168" i="5"/>
  <c r="K6169" i="5"/>
  <c r="K6170" i="5"/>
  <c r="K6171" i="5"/>
  <c r="K6172" i="5"/>
  <c r="K6173" i="5"/>
  <c r="K6174" i="5"/>
  <c r="K6175" i="5"/>
  <c r="K6176" i="5"/>
  <c r="K6177" i="5"/>
  <c r="K6178" i="5"/>
  <c r="K6179" i="5"/>
  <c r="K6180" i="5"/>
  <c r="K6181" i="5"/>
  <c r="K6182" i="5"/>
  <c r="K6183" i="5"/>
  <c r="K6184" i="5"/>
  <c r="K6185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K6202" i="5"/>
  <c r="K6203" i="5"/>
  <c r="K6204" i="5"/>
  <c r="K6205" i="5"/>
  <c r="K6206" i="5"/>
  <c r="K6207" i="5"/>
  <c r="K6208" i="5"/>
  <c r="K6209" i="5"/>
  <c r="K6210" i="5"/>
  <c r="K6211" i="5"/>
  <c r="K6212" i="5"/>
  <c r="K6213" i="5"/>
  <c r="K6214" i="5"/>
  <c r="K6215" i="5"/>
  <c r="K6216" i="5"/>
  <c r="K6217" i="5"/>
  <c r="K6218" i="5"/>
  <c r="K6219" i="5"/>
  <c r="K6220" i="5"/>
  <c r="K6221" i="5"/>
  <c r="K6222" i="5"/>
  <c r="K6223" i="5"/>
  <c r="K6224" i="5"/>
  <c r="K6225" i="5"/>
  <c r="K6226" i="5"/>
  <c r="K6227" i="5"/>
  <c r="K6228" i="5"/>
  <c r="K6229" i="5"/>
  <c r="K6230" i="5"/>
  <c r="K6231" i="5"/>
  <c r="K6232" i="5"/>
  <c r="K6233" i="5"/>
  <c r="K6234" i="5"/>
  <c r="K6235" i="5"/>
  <c r="K6236" i="5"/>
  <c r="K6237" i="5"/>
  <c r="K6238" i="5"/>
  <c r="K6239" i="5"/>
  <c r="K6240" i="5"/>
  <c r="K6241" i="5"/>
  <c r="K6242" i="5"/>
  <c r="K6243" i="5"/>
  <c r="K6244" i="5"/>
  <c r="K6245" i="5"/>
  <c r="K6246" i="5"/>
  <c r="K6247" i="5"/>
  <c r="K6248" i="5"/>
  <c r="K6249" i="5"/>
  <c r="K6250" i="5"/>
  <c r="K6251" i="5"/>
  <c r="K6252" i="5"/>
  <c r="K6253" i="5"/>
  <c r="K6254" i="5"/>
  <c r="K6255" i="5"/>
  <c r="K6256" i="5"/>
  <c r="K6257" i="5"/>
  <c r="K6258" i="5"/>
  <c r="K6259" i="5"/>
  <c r="K6260" i="5"/>
  <c r="K6261" i="5"/>
  <c r="K6262" i="5"/>
  <c r="K6263" i="5"/>
  <c r="K6264" i="5"/>
  <c r="K6265" i="5"/>
  <c r="K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K6281" i="5"/>
  <c r="K6282" i="5"/>
  <c r="K6283" i="5"/>
  <c r="K6284" i="5"/>
  <c r="K6285" i="5"/>
  <c r="K6286" i="5"/>
  <c r="K6287" i="5"/>
  <c r="K6288" i="5"/>
  <c r="K6289" i="5"/>
  <c r="K6290" i="5"/>
  <c r="K6291" i="5"/>
  <c r="K6292" i="5"/>
  <c r="K6293" i="5"/>
  <c r="K6294" i="5"/>
  <c r="K6295" i="5"/>
  <c r="K6296" i="5"/>
  <c r="K6297" i="5"/>
  <c r="K6298" i="5"/>
  <c r="K6299" i="5"/>
  <c r="K6300" i="5"/>
  <c r="K6301" i="5"/>
  <c r="K6302" i="5"/>
  <c r="K6303" i="5"/>
  <c r="K6304" i="5"/>
  <c r="K6305" i="5"/>
  <c r="K6306" i="5"/>
  <c r="K6307" i="5"/>
  <c r="K6308" i="5"/>
  <c r="K6309" i="5"/>
  <c r="K6310" i="5"/>
  <c r="K6311" i="5"/>
  <c r="K6312" i="5"/>
  <c r="K6313" i="5"/>
  <c r="K6314" i="5"/>
  <c r="K6315" i="5"/>
  <c r="K6316" i="5"/>
  <c r="K6317" i="5"/>
  <c r="K6318" i="5"/>
  <c r="K6319" i="5"/>
  <c r="K6320" i="5"/>
  <c r="K6321" i="5"/>
  <c r="K6322" i="5"/>
  <c r="K6323" i="5"/>
  <c r="K6324" i="5"/>
  <c r="K6325" i="5"/>
  <c r="K6326" i="5"/>
  <c r="K6327" i="5"/>
  <c r="K6328" i="5"/>
  <c r="K6329" i="5"/>
  <c r="K6330" i="5"/>
  <c r="K6331" i="5"/>
  <c r="K6332" i="5"/>
  <c r="K6333" i="5"/>
  <c r="K6334" i="5"/>
  <c r="K6335" i="5"/>
  <c r="K6336" i="5"/>
  <c r="K6337" i="5"/>
  <c r="K6338" i="5"/>
  <c r="K6339" i="5"/>
  <c r="K6340" i="5"/>
  <c r="K6341" i="5"/>
  <c r="K6342" i="5"/>
  <c r="K6343" i="5"/>
  <c r="K6344" i="5"/>
  <c r="K6345" i="5"/>
  <c r="K6346" i="5"/>
  <c r="K6347" i="5"/>
  <c r="K6348" i="5"/>
  <c r="K6349" i="5"/>
  <c r="K6350" i="5"/>
  <c r="K6351" i="5"/>
  <c r="K6352" i="5"/>
  <c r="K6353" i="5"/>
  <c r="K6354" i="5"/>
  <c r="K6355" i="5"/>
  <c r="K6356" i="5"/>
  <c r="K6357" i="5"/>
  <c r="K6358" i="5"/>
  <c r="K6359" i="5"/>
  <c r="K6360" i="5"/>
  <c r="K6361" i="5"/>
  <c r="K6362" i="5"/>
  <c r="K6363" i="5"/>
  <c r="K6364" i="5"/>
  <c r="K6365" i="5"/>
  <c r="K6366" i="5"/>
  <c r="K6367" i="5"/>
  <c r="K6368" i="5"/>
  <c r="K6369" i="5"/>
  <c r="K6370" i="5"/>
  <c r="K6371" i="5"/>
  <c r="K6372" i="5"/>
  <c r="K6373" i="5"/>
  <c r="K6374" i="5"/>
  <c r="K6375" i="5"/>
  <c r="K6376" i="5"/>
  <c r="K6377" i="5"/>
  <c r="K6378" i="5"/>
  <c r="K6379" i="5"/>
  <c r="K6380" i="5"/>
  <c r="K6381" i="5"/>
  <c r="K6382" i="5"/>
  <c r="K6383" i="5"/>
  <c r="K6384" i="5"/>
  <c r="K6385" i="5"/>
  <c r="K6386" i="5"/>
  <c r="K6387" i="5"/>
  <c r="K6388" i="5"/>
  <c r="K6389" i="5"/>
  <c r="K6390" i="5"/>
  <c r="K6391" i="5"/>
  <c r="K6392" i="5"/>
  <c r="K6393" i="5"/>
  <c r="K6394" i="5"/>
  <c r="K6395" i="5"/>
  <c r="K6396" i="5"/>
  <c r="K6397" i="5"/>
  <c r="K6398" i="5"/>
  <c r="K6399" i="5"/>
  <c r="K6400" i="5"/>
  <c r="K6401" i="5"/>
  <c r="K6402" i="5"/>
  <c r="K6403" i="5"/>
  <c r="K6404" i="5"/>
  <c r="K6405" i="5"/>
  <c r="K6406" i="5"/>
  <c r="K6407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2" i="5"/>
  <c r="C3" i="2"/>
  <c r="C4" i="2"/>
  <c r="C5" i="2" l="1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D3" i="2"/>
  <c r="D4" i="2" l="1"/>
</calcChain>
</file>

<file path=xl/sharedStrings.xml><?xml version="1.0" encoding="utf-8"?>
<sst xmlns="http://schemas.openxmlformats.org/spreadsheetml/2006/main" count="67479" uniqueCount="2475">
  <si>
    <t>year</t>
  </si>
  <si>
    <t>employer_code</t>
  </si>
  <si>
    <t>employer_name</t>
  </si>
  <si>
    <t>employer_contribution</t>
  </si>
  <si>
    <t>A H C C C S</t>
  </si>
  <si>
    <t>AAEC Paradise Valley</t>
  </si>
  <si>
    <t>Academy Of Excellence</t>
  </si>
  <si>
    <t>Academy Of Tucson</t>
  </si>
  <si>
    <t>Accelerated Elem And Secondary Schls</t>
  </si>
  <si>
    <t>Accelerated Learning Center</t>
  </si>
  <si>
    <t>ACCLAIM Charter School (ACCLAIM Academy)</t>
  </si>
  <si>
    <t>Agua Fria Union High Sch Dist 216</t>
  </si>
  <si>
    <t>Aguila School District 63</t>
  </si>
  <si>
    <t>AIBT Chtr HS (RCB Medical Arts Academy)</t>
  </si>
  <si>
    <t>Ajo USD</t>
  </si>
  <si>
    <t>Akimel O'Otham Pee Posh Chtr Schl (3-5)</t>
  </si>
  <si>
    <t>Akimel O'Otham Pee Posh Chtr Schl (K-2)</t>
  </si>
  <si>
    <t>Alhambra Elementary District 68</t>
  </si>
  <si>
    <t>Alpine Elementary School District 7</t>
  </si>
  <si>
    <t>Altar Valley School District 51</t>
  </si>
  <si>
    <t>AMCS At Anthem Dba Caurus Academy</t>
  </si>
  <si>
    <t>Americ an Basic Schls (Burke Basic Schl)</t>
  </si>
  <si>
    <t>Americ an Leadership Academy</t>
  </si>
  <si>
    <t>Amphitheater School District 10</t>
  </si>
  <si>
    <t>Antelope Union High School District 50</t>
  </si>
  <si>
    <t>Apache County</t>
  </si>
  <si>
    <t>Apache Elementary School District 42</t>
  </si>
  <si>
    <t>Apache Junction Unified School Dist. 43</t>
  </si>
  <si>
    <t>Aprender Tuc (Southside Community Schl)</t>
  </si>
  <si>
    <t>Arizona Association Of Counties</t>
  </si>
  <si>
    <t>Arizona Attorney General's Office</t>
  </si>
  <si>
    <t>Arizona Automobile Theft Authority</t>
  </si>
  <si>
    <t>Arizona Bd Of Nursing Care Examiners</t>
  </si>
  <si>
    <t>Arizona Bd Of Respiratory Care Examiners</t>
  </si>
  <si>
    <t>Arizona BdOf Behavioral Health Examiners</t>
  </si>
  <si>
    <t>Arizona Board Of Accountancy</t>
  </si>
  <si>
    <t>Arizona Board Of Appraisal</t>
  </si>
  <si>
    <t>Arizona Board Of Barbers</t>
  </si>
  <si>
    <t>Arizona Board Of Chiroprac tic Examiners</t>
  </si>
  <si>
    <t>Arizona Board Of Cosmetology</t>
  </si>
  <si>
    <t>Arizona Board Of Dental Examiners</t>
  </si>
  <si>
    <t>Arizona Board Of Dispensing Opticians</t>
  </si>
  <si>
    <t>Arizona Board Of Educ ation</t>
  </si>
  <si>
    <t>Arizona Board Of Equalization</t>
  </si>
  <si>
    <t>Arizona Board Of Fingerprinting</t>
  </si>
  <si>
    <t>Arizona Board Of Funeral Dir/Embalmers</t>
  </si>
  <si>
    <t>Arizona Board Of Massage Therapy</t>
  </si>
  <si>
    <t>Arizona Board Of Nursing</t>
  </si>
  <si>
    <t>Arizona Board Of Occupational Therapy</t>
  </si>
  <si>
    <t>Arizona Board Of Optometry</t>
  </si>
  <si>
    <t>Arizona Board Of Osteopathic Examiners</t>
  </si>
  <si>
    <t>Arizona Board Of Pharmac y</t>
  </si>
  <si>
    <t>Arizona Board Of Podiatry Examiners</t>
  </si>
  <si>
    <t>Arizona Board Of Psychologist Examiners</t>
  </si>
  <si>
    <t>Arizona Board Of Regents</t>
  </si>
  <si>
    <t>Arizona Board Of Tax Appeals</t>
  </si>
  <si>
    <t>Arizona Board Of Technical Registration</t>
  </si>
  <si>
    <t>102300</t>
  </si>
  <si>
    <t>307810</t>
  </si>
  <si>
    <t>307850</t>
  </si>
  <si>
    <t>450540</t>
  </si>
  <si>
    <t>307940</t>
  </si>
  <si>
    <t>303320</t>
  </si>
  <si>
    <t>307490</t>
  </si>
  <si>
    <t>302160</t>
  </si>
  <si>
    <t>300630</t>
  </si>
  <si>
    <t>302310</t>
  </si>
  <si>
    <t>450150</t>
  </si>
  <si>
    <t>302800</t>
  </si>
  <si>
    <t>302810</t>
  </si>
  <si>
    <t>300680</t>
  </si>
  <si>
    <t>461070</t>
  </si>
  <si>
    <t>450510</t>
  </si>
  <si>
    <t>240050</t>
  </si>
  <si>
    <t>308200</t>
  </si>
  <si>
    <t>307860</t>
  </si>
  <si>
    <t>450100</t>
  </si>
  <si>
    <t>493810</t>
  </si>
  <si>
    <t>410100</t>
  </si>
  <si>
    <t>462420</t>
  </si>
  <si>
    <t>200430</t>
  </si>
  <si>
    <t>302020</t>
  </si>
  <si>
    <t>480090</t>
  </si>
  <si>
    <t>101050</t>
  </si>
  <si>
    <t>109010</t>
  </si>
  <si>
    <t>102500</t>
  </si>
  <si>
    <t>103890</t>
  </si>
  <si>
    <t>103160</t>
  </si>
  <si>
    <t>103020</t>
  </si>
  <si>
    <t>103070</t>
  </si>
  <si>
    <t>103150</t>
  </si>
  <si>
    <t>103180</t>
  </si>
  <si>
    <t>103270</t>
  </si>
  <si>
    <t>103350</t>
  </si>
  <si>
    <t>103380</t>
  </si>
  <si>
    <t>109310</t>
  </si>
  <si>
    <t>109060</t>
  </si>
  <si>
    <t>105700</t>
  </si>
  <si>
    <t>109140</t>
  </si>
  <si>
    <t>103460</t>
  </si>
  <si>
    <t>109290</t>
  </si>
  <si>
    <t>103710</t>
  </si>
  <si>
    <t>103240</t>
  </si>
  <si>
    <t>103750</t>
  </si>
  <si>
    <t>103770</t>
  </si>
  <si>
    <t>103820</t>
  </si>
  <si>
    <t>103850</t>
  </si>
  <si>
    <t>103860</t>
  </si>
  <si>
    <t>104100</t>
  </si>
  <si>
    <t>101880</t>
  </si>
  <si>
    <t>103960</t>
  </si>
  <si>
    <t>Arizona Board Of Physical Therapy</t>
  </si>
  <si>
    <t>Arizona CapPostConvictionPublic Defender</t>
  </si>
  <si>
    <t>Arizona City Sanitary District</t>
  </si>
  <si>
    <t>Arizona Comm For Deaf &amp; Hard Of Hearing</t>
  </si>
  <si>
    <t>Arizona Comm For Postsecondary Educ ation</t>
  </si>
  <si>
    <t>Arizona Commission On The Arts</t>
  </si>
  <si>
    <t>Arizona Corporation Commission</t>
  </si>
  <si>
    <t>Arizona Cotton Research &amp; Protection</t>
  </si>
  <si>
    <t>Arizona Counties Insurance Pool</t>
  </si>
  <si>
    <t>Arizona Court Of Appeals Division One</t>
  </si>
  <si>
    <t>Arizona Court Of Appeals Division Two</t>
  </si>
  <si>
    <t>Arizona Criminal Justice Commission</t>
  </si>
  <si>
    <t>Arizona Department Of Administration</t>
  </si>
  <si>
    <t>Arizona Department Of Racing</t>
  </si>
  <si>
    <t>Arizona Dept Fire,Building &amp; Life Safety</t>
  </si>
  <si>
    <t>Arizona Dept Of Agriculture</t>
  </si>
  <si>
    <t>Arizona Dept Of Correc tions</t>
  </si>
  <si>
    <t>Arizona Dept Of Ec onomic Security</t>
  </si>
  <si>
    <t>Arizona Dept Of Educ ation</t>
  </si>
  <si>
    <t>Arizona Dept Of Emergenc y &amp; Mil Affairs</t>
  </si>
  <si>
    <t>Arizona Dept Of Environmental Quality</t>
  </si>
  <si>
    <t>Arizona Dept Of Financial Institutions</t>
  </si>
  <si>
    <t>Arizona Dept Of Game And Fish</t>
  </si>
  <si>
    <t>Arizona Dept Of Gaming</t>
  </si>
  <si>
    <t>Arizona Dept Of Health Services</t>
  </si>
  <si>
    <t>Arizona Dept Of Homeland Security</t>
  </si>
  <si>
    <t>Arizona Dept Of Housing</t>
  </si>
  <si>
    <t>Arizona Dept Of Insurance</t>
  </si>
  <si>
    <t>Arizona Dept Of Juvenile Corrections</t>
  </si>
  <si>
    <t>Arizona Dept Of Land</t>
  </si>
  <si>
    <t>Arizona Dept Of Liquor Licenses &amp; Control</t>
  </si>
  <si>
    <t>Arizona Dept Of Public Safety</t>
  </si>
  <si>
    <t>Arizona Dept Of Real Estate</t>
  </si>
  <si>
    <t>Arizona Dept Of Revenue</t>
  </si>
  <si>
    <t>Arizona Dept Of Transportation</t>
  </si>
  <si>
    <t>Arizona Dept Of Veterans Services</t>
  </si>
  <si>
    <t>Arizona Dept Of Water Resources</t>
  </si>
  <si>
    <t>Arizona Dept Of Weights &amp; Measures</t>
  </si>
  <si>
    <t>Arizona Early Childhood Dev &amp; Health Bd</t>
  </si>
  <si>
    <t>Arizona Exposition &amp; State Fair</t>
  </si>
  <si>
    <t>Arizona Geological Survey</t>
  </si>
  <si>
    <t>Arizona Governor's Office</t>
  </si>
  <si>
    <t>Arizona Health Facilities Authority</t>
  </si>
  <si>
    <t>Arizona Historical Society</t>
  </si>
  <si>
    <t>Arizona Homeopathic Medical Examiners</t>
  </si>
  <si>
    <t>Arizona House Of Representatives</t>
  </si>
  <si>
    <t>Arizona Independent Redistricting Com</t>
  </si>
  <si>
    <t>Arizona Industrial Commission</t>
  </si>
  <si>
    <t>Arizona Interscholastic Association</t>
  </si>
  <si>
    <t>Arizona Joint Legislative Budget Commit</t>
  </si>
  <si>
    <t>Arizona Law Enforc ement Merit SysCouncil</t>
  </si>
  <si>
    <t>Arizona Legislative Council</t>
  </si>
  <si>
    <t>Arizona Lottery</t>
  </si>
  <si>
    <t>Arizona Medical Board</t>
  </si>
  <si>
    <t>Arizona Municipal Water Users Assn</t>
  </si>
  <si>
    <t>103830</t>
  </si>
  <si>
    <t>109220</t>
  </si>
  <si>
    <t>495900</t>
  </si>
  <si>
    <t>102100</t>
  </si>
  <si>
    <t>109030</t>
  </si>
  <si>
    <t>104820</t>
  </si>
  <si>
    <t>103250</t>
  </si>
  <si>
    <t>109270</t>
  </si>
  <si>
    <t>497380</t>
  </si>
  <si>
    <t>101140</t>
  </si>
  <si>
    <t>101150</t>
  </si>
  <si>
    <t>101190</t>
  </si>
  <si>
    <t>100000</t>
  </si>
  <si>
    <t>103880</t>
  </si>
  <si>
    <t>103660</t>
  </si>
  <si>
    <t>103060</t>
  </si>
  <si>
    <t>105200</t>
  </si>
  <si>
    <t>102200</t>
  </si>
  <si>
    <t>104550</t>
  </si>
  <si>
    <t>105360</t>
  </si>
  <si>
    <t>107100</t>
  </si>
  <si>
    <t>103120</t>
  </si>
  <si>
    <t>107200</t>
  </si>
  <si>
    <t>109050</t>
  </si>
  <si>
    <t>102350</t>
  </si>
  <si>
    <t>109210</t>
  </si>
  <si>
    <t>109160</t>
  </si>
  <si>
    <t>103530</t>
  </si>
  <si>
    <t>105220</t>
  </si>
  <si>
    <t>107400</t>
  </si>
  <si>
    <t>103570</t>
  </si>
  <si>
    <t>105800</t>
  </si>
  <si>
    <t>103900</t>
  </si>
  <si>
    <t>101790</t>
  </si>
  <si>
    <t>106100</t>
  </si>
  <si>
    <t>102400</t>
  </si>
  <si>
    <t>107900</t>
  </si>
  <si>
    <t>103010</t>
  </si>
  <si>
    <t>109230</t>
  </si>
  <si>
    <t>101100</t>
  </si>
  <si>
    <t>107300</t>
  </si>
  <si>
    <t>101400</t>
  </si>
  <si>
    <t>496050</t>
  </si>
  <si>
    <t>104920</t>
  </si>
  <si>
    <t>103200</t>
  </si>
  <si>
    <t>101520</t>
  </si>
  <si>
    <t>109150</t>
  </si>
  <si>
    <t>103500</t>
  </si>
  <si>
    <t>495300</t>
  </si>
  <si>
    <t>101540</t>
  </si>
  <si>
    <t>101470</t>
  </si>
  <si>
    <t>101530</t>
  </si>
  <si>
    <t>103610</t>
  </si>
  <si>
    <t>103620</t>
  </si>
  <si>
    <t>495090</t>
  </si>
  <si>
    <t>allocation_percentage</t>
  </si>
  <si>
    <t>Arizona Naturopathic Phys Bd Of Med Exam</t>
  </si>
  <si>
    <t>Arizona Navigable Stream Adjudicatn Comm</t>
  </si>
  <si>
    <t>Arizona Office Of Auditor General</t>
  </si>
  <si>
    <t>Arizona Office Of Equal Opportunity</t>
  </si>
  <si>
    <t>Arizona Office Of Pest Management</t>
  </si>
  <si>
    <t>Arizona Office Of Tourism</t>
  </si>
  <si>
    <t>Arizona Office Of Administrative Hearings</t>
  </si>
  <si>
    <t>Arizona Personnel Board</t>
  </si>
  <si>
    <t>Arizona Pioneers' Home</t>
  </si>
  <si>
    <t>Arizona Power Authority</t>
  </si>
  <si>
    <t>Arizona Private Postsecondary Educ Bd</t>
  </si>
  <si>
    <t>Arizona Prosecuting Attorneys' Adv Co</t>
  </si>
  <si>
    <t>Arizona Radiation Regulatory Agency</t>
  </si>
  <si>
    <t>Arizona Registrar Of Contrac tors</t>
  </si>
  <si>
    <t>Arizona ResidentialUtilityConsumerOffic e</t>
  </si>
  <si>
    <t>Arizona School Facilities Board</t>
  </si>
  <si>
    <t>Arizona School For The Arts</t>
  </si>
  <si>
    <t>Arizona Sec retary Of State</t>
  </si>
  <si>
    <t>Arizona Sports &amp; Tourism Authority</t>
  </si>
  <si>
    <t>Arizona State Board Of Charter Schools</t>
  </si>
  <si>
    <t>Arizona State Forestry Div</t>
  </si>
  <si>
    <t>Arizona State Mine Inspector</t>
  </si>
  <si>
    <t>Arizona State Parks</t>
  </si>
  <si>
    <t>Arizona State School For Deaf And Blind</t>
  </si>
  <si>
    <t>Arizona State Senate</t>
  </si>
  <si>
    <t>Arizona State Treasurer's Office</t>
  </si>
  <si>
    <t>Arizona State University</t>
  </si>
  <si>
    <t>Arizona Supreme Court</t>
  </si>
  <si>
    <t>Arizona Veterinary Medical Examining Bd</t>
  </si>
  <si>
    <t>Arizona Water InfrastructureFinanceAuth</t>
  </si>
  <si>
    <t>Arizona Western College</t>
  </si>
  <si>
    <t>Arlington Elementary School District 47</t>
  </si>
  <si>
    <t>Ash Creek Elementary School District 53</t>
  </si>
  <si>
    <t>Ash Fork Joint Unified School Dist 31</t>
  </si>
  <si>
    <t>ASU Preparatory Academy</t>
  </si>
  <si>
    <t>Avondale Elementary School District #44</t>
  </si>
  <si>
    <t>Avra Valley Fire District</t>
  </si>
  <si>
    <t>AZ Board Of Athletic Training</t>
  </si>
  <si>
    <t>AZ Community Dev. Corp. (La Paloma Acad)</t>
  </si>
  <si>
    <t>AZ Sch For Integrated Academic s &amp; Tech</t>
  </si>
  <si>
    <t>Baboquivari Unified School District</t>
  </si>
  <si>
    <t>Bagdad USD</t>
  </si>
  <si>
    <t>Ball Charter Schools (Dobson Academy)</t>
  </si>
  <si>
    <t>Ball Charter Schools (Hearn Academy)</t>
  </si>
  <si>
    <t>Ball Charter Schools (Val Vista Academy)</t>
  </si>
  <si>
    <t>Balsz Elementary School District 31</t>
  </si>
  <si>
    <t>Beaver Creek Elementary School Dist 26</t>
  </si>
  <si>
    <t>Benchmark School</t>
  </si>
  <si>
    <t>Benjamin Franklin Charter School</t>
  </si>
  <si>
    <t>Benson USD #9</t>
  </si>
  <si>
    <t>Bicentennial USD # 76</t>
  </si>
  <si>
    <t>Bisbee USD #2</t>
  </si>
  <si>
    <t>Black Canyon Fire District</t>
  </si>
  <si>
    <t>Blue Elementary SD 22</t>
  </si>
  <si>
    <t>Blue Ridge USD #32</t>
  </si>
  <si>
    <t>Blueprint Educ . (Hope HS, Blueprint HS)</t>
  </si>
  <si>
    <t>Bonita Elementary SD #16</t>
  </si>
  <si>
    <t>Bouse Elementary SD #26</t>
  </si>
  <si>
    <t>Bowie USD # 14</t>
  </si>
  <si>
    <t>Buckeye Elementary SD # 33</t>
  </si>
  <si>
    <t>Buckeye Union HSD #201</t>
  </si>
  <si>
    <t>Buckeye Valley Fire District</t>
  </si>
  <si>
    <t>Buckeye Water Conserv &amp; Drainage Dist</t>
  </si>
  <si>
    <t>Bullhead City Elem SD # 15</t>
  </si>
  <si>
    <t>Bullhead City Fire District</t>
  </si>
  <si>
    <t>Camp Verde Fire District</t>
  </si>
  <si>
    <t>Camp Verde USD</t>
  </si>
  <si>
    <t>Canon Elementary SD # 50</t>
  </si>
  <si>
    <t>Canyon Rose Academy</t>
  </si>
  <si>
    <t>Carpe Diem Collegiate HS (Academy)</t>
  </si>
  <si>
    <t>Cartwright Elementary SD #83</t>
  </si>
  <si>
    <t>Casa Grande Elementary SD #4</t>
  </si>
  <si>
    <t>Casa Grande Union HSD 82</t>
  </si>
  <si>
    <t>Catalina Foothills USD 16</t>
  </si>
  <si>
    <t>Cave Creek USD # 93</t>
  </si>
  <si>
    <t>CAVIAT School District</t>
  </si>
  <si>
    <t>Cedar USD # 25</t>
  </si>
  <si>
    <t>Central Arizona Assn Of Governments</t>
  </si>
  <si>
    <t>Central Arizona College</t>
  </si>
  <si>
    <t>Central Arizona Irrigation And Drainage</t>
  </si>
  <si>
    <t>Central Arizona Projec t</t>
  </si>
  <si>
    <t>Central Arizona Vlly Inst Of Technology</t>
  </si>
  <si>
    <t>Central Yavapai Fire District</t>
  </si>
  <si>
    <t>Challenge Charter School</t>
  </si>
  <si>
    <t>Chandler USD # 80</t>
  </si>
  <si>
    <t>Charter Foundation (AmeriSc hools Acad)</t>
  </si>
  <si>
    <t>Chevelon Butte Elementary SD #5</t>
  </si>
  <si>
    <t>Chinle USD # 24</t>
  </si>
  <si>
    <t>Chino Valley Fire District</t>
  </si>
  <si>
    <t>Chino Valley USD #51</t>
  </si>
  <si>
    <t>Christopher-Kohl's Fire District</t>
  </si>
  <si>
    <t>Citizens Clean Elections Commission</t>
  </si>
  <si>
    <t>CITY Ctr For Collaborative Lrn (City HS)</t>
  </si>
  <si>
    <t>City Of Apache Junction</t>
  </si>
  <si>
    <t>City Of Avondale</t>
  </si>
  <si>
    <t>City Of Benson</t>
  </si>
  <si>
    <t>City Of Bisbee</t>
  </si>
  <si>
    <t>City Of Buckeye</t>
  </si>
  <si>
    <t>City Of Casa Grande</t>
  </si>
  <si>
    <t>City Of Chandler</t>
  </si>
  <si>
    <t>City Of Coolidge</t>
  </si>
  <si>
    <t>City Of Cottonwood</t>
  </si>
  <si>
    <t>City Of Douglas</t>
  </si>
  <si>
    <t>City Of El Mirage</t>
  </si>
  <si>
    <t>City Of Eloy</t>
  </si>
  <si>
    <t>City Of Flagstaff</t>
  </si>
  <si>
    <t>City Of Glendale</t>
  </si>
  <si>
    <t>City Of Globe</t>
  </si>
  <si>
    <t>City Of Goodyear</t>
  </si>
  <si>
    <t>302860</t>
  </si>
  <si>
    <t>472100</t>
  </si>
  <si>
    <t>494260</t>
  </si>
  <si>
    <t>462140</t>
  </si>
  <si>
    <t>300330</t>
  </si>
  <si>
    <t>302010</t>
  </si>
  <si>
    <t>495020</t>
  </si>
  <si>
    <t>497430</t>
  </si>
  <si>
    <t>481150</t>
  </si>
  <si>
    <t>495000</t>
  </si>
  <si>
    <t>480120</t>
  </si>
  <si>
    <t>492280</t>
  </si>
  <si>
    <t>492500</t>
  </si>
  <si>
    <t>305020</t>
  </si>
  <si>
    <t>303090</t>
  </si>
  <si>
    <t>300830</t>
  </si>
  <si>
    <t>200040</t>
  </si>
  <si>
    <t>200820</t>
  </si>
  <si>
    <t>450160</t>
  </si>
  <si>
    <t>300930</t>
  </si>
  <si>
    <t>464160</t>
  </si>
  <si>
    <t>482250</t>
  </si>
  <si>
    <t>495130</t>
  </si>
  <si>
    <t>493890</t>
  </si>
  <si>
    <t>497150</t>
  </si>
  <si>
    <t>497310</t>
  </si>
  <si>
    <t>302600</t>
  </si>
  <si>
    <t>303050</t>
  </si>
  <si>
    <t>307680</t>
  </si>
  <si>
    <t>300800</t>
  </si>
  <si>
    <t>303070</t>
  </si>
  <si>
    <t>464050</t>
  </si>
  <si>
    <t>461240</t>
  </si>
  <si>
    <t>497260</t>
  </si>
  <si>
    <t>492510</t>
  </si>
  <si>
    <t>497370</t>
  </si>
  <si>
    <t>109130</t>
  </si>
  <si>
    <t>302890</t>
  </si>
  <si>
    <t>420020</t>
  </si>
  <si>
    <t>420010</t>
  </si>
  <si>
    <t>420030</t>
  </si>
  <si>
    <t>420050</t>
  </si>
  <si>
    <t>420070</t>
  </si>
  <si>
    <t>420090</t>
  </si>
  <si>
    <t>420120</t>
  </si>
  <si>
    <t>420100</t>
  </si>
  <si>
    <t>420110</t>
  </si>
  <si>
    <t>420140</t>
  </si>
  <si>
    <t>420160</t>
  </si>
  <si>
    <t>420170</t>
  </si>
  <si>
    <t>420180</t>
  </si>
  <si>
    <t>220230</t>
  </si>
  <si>
    <t>420220</t>
  </si>
  <si>
    <t>420250</t>
  </si>
  <si>
    <t>City Of Holbrook</t>
  </si>
  <si>
    <t>City Of Kingman</t>
  </si>
  <si>
    <t>City Of Lake Havasu</t>
  </si>
  <si>
    <t>City Of Litchfield Park</t>
  </si>
  <si>
    <t>City Of Maricopa</t>
  </si>
  <si>
    <t>City Of Mesa</t>
  </si>
  <si>
    <t>City Of Nogales</t>
  </si>
  <si>
    <t>City Of Page</t>
  </si>
  <si>
    <t>City Of Peoria</t>
  </si>
  <si>
    <t>City Of Prescott</t>
  </si>
  <si>
    <t>City Of Safford</t>
  </si>
  <si>
    <t>City Of San Luis</t>
  </si>
  <si>
    <t>City Of Scottsdale</t>
  </si>
  <si>
    <t>City Of Sedona</t>
  </si>
  <si>
    <t>City Of Show Low</t>
  </si>
  <si>
    <t>City Of Sierra Vista</t>
  </si>
  <si>
    <t>City Of Somerton</t>
  </si>
  <si>
    <t>City Of South Tucson</t>
  </si>
  <si>
    <t>City Of St. Johns</t>
  </si>
  <si>
    <t>City Of Surprise</t>
  </si>
  <si>
    <t>City Of Tempe</t>
  </si>
  <si>
    <t>City Of Tolleson</t>
  </si>
  <si>
    <t>City Of Tombstone</t>
  </si>
  <si>
    <t>City Of Willcox</t>
  </si>
  <si>
    <t>City Of Williams</t>
  </si>
  <si>
    <t>City Of Winslow</t>
  </si>
  <si>
    <t>City Of Yuma</t>
  </si>
  <si>
    <t>Clarkdale Fire District</t>
  </si>
  <si>
    <t>Clarkdale-Jerome Elementary SD #3</t>
  </si>
  <si>
    <t>Clifton USD #3</t>
  </si>
  <si>
    <t>Cobre Valley Institue Of Technology</t>
  </si>
  <si>
    <t>Cochise Community College</t>
  </si>
  <si>
    <t>Cochise County</t>
  </si>
  <si>
    <t>Cochise County School Office</t>
  </si>
  <si>
    <t>Cochise Elementary SD #26</t>
  </si>
  <si>
    <t>Cochise Technology District #01</t>
  </si>
  <si>
    <t>Coconino County</t>
  </si>
  <si>
    <t>Coconino County Community College</t>
  </si>
  <si>
    <t>Coconino County Regional Accomm Sch</t>
  </si>
  <si>
    <t>Colorado City USD #14</t>
  </si>
  <si>
    <t>Colorado River Sewage Sys Jt Venture</t>
  </si>
  <si>
    <t>Colorado River Union HSD #2</t>
  </si>
  <si>
    <t>Concho Elementary SD #6</t>
  </si>
  <si>
    <t>Congress Elementary SD #17</t>
  </si>
  <si>
    <t>Continental School Dist</t>
  </si>
  <si>
    <t>Coolidge USD # 21</t>
  </si>
  <si>
    <t>Cottonwood-Oak Creek Elementary SD</t>
  </si>
  <si>
    <t>Country Gardens Charter School</t>
  </si>
  <si>
    <t>County Of Santa Cruz Elem Sch Dist</t>
  </si>
  <si>
    <t>County Supervisor Association Of Arizona</t>
  </si>
  <si>
    <t>Crane Elementary SD #13</t>
  </si>
  <si>
    <t>Creighton Elementary SD #14</t>
  </si>
  <si>
    <t>Crown King Elementary SD #41</t>
  </si>
  <si>
    <t>Crown King Fire Dist</t>
  </si>
  <si>
    <t>Daisy Educ Corp (Sonoran Sci Acad Phx)</t>
  </si>
  <si>
    <t>420290</t>
  </si>
  <si>
    <t>420350</t>
  </si>
  <si>
    <t>420370</t>
  </si>
  <si>
    <t>420390</t>
  </si>
  <si>
    <t>420080</t>
  </si>
  <si>
    <t>420400</t>
  </si>
  <si>
    <t>420450</t>
  </si>
  <si>
    <t>420230</t>
  </si>
  <si>
    <t>420520</t>
  </si>
  <si>
    <t>420600</t>
  </si>
  <si>
    <t>420620</t>
  </si>
  <si>
    <t>420810</t>
  </si>
  <si>
    <t>420630</t>
  </si>
  <si>
    <t>420060</t>
  </si>
  <si>
    <t>420640</t>
  </si>
  <si>
    <t>420650</t>
  </si>
  <si>
    <t>420610</t>
  </si>
  <si>
    <t>420670</t>
  </si>
  <si>
    <t>420440</t>
  </si>
  <si>
    <t>420690</t>
  </si>
  <si>
    <t>420730</t>
  </si>
  <si>
    <t>420750</t>
  </si>
  <si>
    <t>420770</t>
  </si>
  <si>
    <t>420820</t>
  </si>
  <si>
    <t>420850</t>
  </si>
  <si>
    <t>420900</t>
  </si>
  <si>
    <t>420980</t>
  </si>
  <si>
    <t>496070</t>
  </si>
  <si>
    <t>492030</t>
  </si>
  <si>
    <t>473030</t>
  </si>
  <si>
    <t>471420</t>
  </si>
  <si>
    <t>463500</t>
  </si>
  <si>
    <t>410110</t>
  </si>
  <si>
    <t>462000</t>
  </si>
  <si>
    <t>462260</t>
  </si>
  <si>
    <t>463230</t>
  </si>
  <si>
    <t>410130</t>
  </si>
  <si>
    <t>464990</t>
  </si>
  <si>
    <t>303060</t>
  </si>
  <si>
    <t>481140</t>
  </si>
  <si>
    <t>480020</t>
  </si>
  <si>
    <t>481920</t>
  </si>
  <si>
    <t>461060</t>
  </si>
  <si>
    <t>492170</t>
  </si>
  <si>
    <t>450390</t>
  </si>
  <si>
    <t>200210</t>
  </si>
  <si>
    <t>492060</t>
  </si>
  <si>
    <t>302360</t>
  </si>
  <si>
    <t>491280</t>
  </si>
  <si>
    <t>497420</t>
  </si>
  <si>
    <t>493130</t>
  </si>
  <si>
    <t>300140</t>
  </si>
  <si>
    <t>492410</t>
  </si>
  <si>
    <t>497610</t>
  </si>
  <si>
    <t>308080</t>
  </si>
  <si>
    <t>Daisy Educ Corp (Sonoran Sci Acad Tuc)</t>
  </si>
  <si>
    <t>Dan Hinton School: Graham Co Svcs</t>
  </si>
  <si>
    <t>Deer Valley USD #97</t>
  </si>
  <si>
    <t>Desert Rose Academy</t>
  </si>
  <si>
    <t>Desert Springs Academy</t>
  </si>
  <si>
    <t>Destiny School</t>
  </si>
  <si>
    <t>Diamond Star Fire District</t>
  </si>
  <si>
    <t>Discovery Plus Academy</t>
  </si>
  <si>
    <t>Double Adobe Elementary SD #45</t>
  </si>
  <si>
    <t>Douglas USD #27</t>
  </si>
  <si>
    <t>Drexel Heights Fire District</t>
  </si>
  <si>
    <t>Duncan USD #2</t>
  </si>
  <si>
    <t>Dysart USD # 89</t>
  </si>
  <si>
    <t>East Valley Educ Srvcs (E Valley Acad)</t>
  </si>
  <si>
    <t>East Valley Institute Of Technology</t>
  </si>
  <si>
    <t>Eastern Arizona College</t>
  </si>
  <si>
    <t>Edge School, The (Edge High School)</t>
  </si>
  <si>
    <t>Edkey (ACAA Elementary School)</t>
  </si>
  <si>
    <t>Edkey (ACAA, ACAAMS)</t>
  </si>
  <si>
    <t>Edkey (Americ an Heritage Academy)</t>
  </si>
  <si>
    <t>Edkey (Pathfinder Academy)</t>
  </si>
  <si>
    <t>Edkey (Sequoia Charter School)</t>
  </si>
  <si>
    <t>Edkey (Sequoia Choice Schools)</t>
  </si>
  <si>
    <t>Edkey (Sequoia Pathway Academy)</t>
  </si>
  <si>
    <t>Edkey (Sequoia Ranch School: CFA)</t>
  </si>
  <si>
    <t>Edkey (Sequoia Schl Deaf &amp; Hard Of Hrng)</t>
  </si>
  <si>
    <t>Edkey (Sequoia Village School)</t>
  </si>
  <si>
    <t>EduPreneurship (ESC Phoenix)</t>
  </si>
  <si>
    <t>EDUPRIZE SCHOOLS</t>
  </si>
  <si>
    <t>El Centro for the Study of Primary and Secondary Educ ation</t>
  </si>
  <si>
    <t>Elfrida Elementary SD #12</t>
  </si>
  <si>
    <t>Elfrida Fire District</t>
  </si>
  <si>
    <t>Eloy Elementary SD #11</t>
  </si>
  <si>
    <t>Eloy Fire Dist</t>
  </si>
  <si>
    <t>Esperanza Community Collegial Academy</t>
  </si>
  <si>
    <t>Espiritu Community Dev Corp (NFL YET)</t>
  </si>
  <si>
    <t>Exc alibur Charter School (Avalon Elem)</t>
  </si>
  <si>
    <t>Flagstaff Arts And Leadership Academy</t>
  </si>
  <si>
    <t>Flagstaff Junior Academy</t>
  </si>
  <si>
    <t>Flagstaff USD # 1</t>
  </si>
  <si>
    <t>Florence USD # 1</t>
  </si>
  <si>
    <t>Flowing Wells Irrigation District</t>
  </si>
  <si>
    <t>Flowing Wells USD # 8</t>
  </si>
  <si>
    <t xml:space="preserve">Fort Huachuca Accommodation Sch </t>
  </si>
  <si>
    <t>Fort Mojave Mesa Fire Department</t>
  </si>
  <si>
    <t>Fort Thomas USD # 7</t>
  </si>
  <si>
    <t>Fountain Hills USD # 98</t>
  </si>
  <si>
    <t>Fowler Elementary SD #45</t>
  </si>
  <si>
    <t>Franklin Phonetic Primary School</t>
  </si>
  <si>
    <t>Fredonia-Moccasin USD</t>
  </si>
  <si>
    <t>Gadsden Elementary SD</t>
  </si>
  <si>
    <t>Ganado USD #20</t>
  </si>
  <si>
    <t>Genesis Program (Genesis Academy)</t>
  </si>
  <si>
    <t>George Gervin Youth Center (GGPA)</t>
  </si>
  <si>
    <t>Gila Bend USD #24</t>
  </si>
  <si>
    <t>308070</t>
  </si>
  <si>
    <t>472110</t>
  </si>
  <si>
    <t>300970</t>
  </si>
  <si>
    <t>302170</t>
  </si>
  <si>
    <t>450550</t>
  </si>
  <si>
    <t>307870</t>
  </si>
  <si>
    <t>497530</t>
  </si>
  <si>
    <t>307900</t>
  </si>
  <si>
    <t>462450</t>
  </si>
  <si>
    <t>462270</t>
  </si>
  <si>
    <t>495600</t>
  </si>
  <si>
    <t>473020</t>
  </si>
  <si>
    <t>300890</t>
  </si>
  <si>
    <t>308220</t>
  </si>
  <si>
    <t>304010</t>
  </si>
  <si>
    <t>472990</t>
  </si>
  <si>
    <t>450070</t>
  </si>
  <si>
    <t>304090</t>
  </si>
  <si>
    <t>302710</t>
  </si>
  <si>
    <t>307880</t>
  </si>
  <si>
    <t>304060</t>
  </si>
  <si>
    <t>302420</t>
  </si>
  <si>
    <t>302390</t>
  </si>
  <si>
    <t>200290</t>
  </si>
  <si>
    <t>304070</t>
  </si>
  <si>
    <t>304080</t>
  </si>
  <si>
    <t>302410</t>
  </si>
  <si>
    <t>306710</t>
  </si>
  <si>
    <t>307080</t>
  </si>
  <si>
    <t>302520</t>
  </si>
  <si>
    <t>462120</t>
  </si>
  <si>
    <t>495100</t>
  </si>
  <si>
    <t>200110</t>
  </si>
  <si>
    <t>495080</t>
  </si>
  <si>
    <t>303080</t>
  </si>
  <si>
    <t>306730</t>
  </si>
  <si>
    <t>302290</t>
  </si>
  <si>
    <t>302540</t>
  </si>
  <si>
    <t>493910</t>
  </si>
  <si>
    <t>464010</t>
  </si>
  <si>
    <t>200010</t>
  </si>
  <si>
    <t>496770</t>
  </si>
  <si>
    <t>450080</t>
  </si>
  <si>
    <t>463000</t>
  </si>
  <si>
    <t>497480</t>
  </si>
  <si>
    <t>472070</t>
  </si>
  <si>
    <t>300980</t>
  </si>
  <si>
    <t>300450</t>
  </si>
  <si>
    <t>307330</t>
  </si>
  <si>
    <t>464060</t>
  </si>
  <si>
    <t>493320</t>
  </si>
  <si>
    <t>461190</t>
  </si>
  <si>
    <t>307420</t>
  </si>
  <si>
    <t>200270</t>
  </si>
  <si>
    <t>300240</t>
  </si>
  <si>
    <t>Gila County</t>
  </si>
  <si>
    <t>Gila County Educ ation Service Agency</t>
  </si>
  <si>
    <t>Gila County Regional School District #49</t>
  </si>
  <si>
    <t>Gila Institute For Technology</t>
  </si>
  <si>
    <t>Gilbert Public Schools</t>
  </si>
  <si>
    <t>Glendale Elementary SD</t>
  </si>
  <si>
    <t>Glendale Union HSD #205</t>
  </si>
  <si>
    <t>Globe USD #1</t>
  </si>
  <si>
    <t>Golder Ranch Fire District</t>
  </si>
  <si>
    <t>Governor Office Of Highway Safety</t>
  </si>
  <si>
    <t>Graham County</t>
  </si>
  <si>
    <t>Grand Canyon College Prep Charter School</t>
  </si>
  <si>
    <t>Grand Canyon USD</t>
  </si>
  <si>
    <t>Great Expectations Academy</t>
  </si>
  <si>
    <t>Green Valley Domestic Water Improvement</t>
  </si>
  <si>
    <t>Greenlee County</t>
  </si>
  <si>
    <t>Greenlee County Accommodation Sch</t>
  </si>
  <si>
    <t>Greenlee County School Office</t>
  </si>
  <si>
    <t>Groom Creek Fire Distric t</t>
  </si>
  <si>
    <t>Ha:san Educ ational Services</t>
  </si>
  <si>
    <t>Hackberry Elementary SD #3</t>
  </si>
  <si>
    <t>Happy Valley School</t>
  </si>
  <si>
    <t>Harquahala Valley Irrigation Dist</t>
  </si>
  <si>
    <t>Hayden-Winkelman USD #41</t>
  </si>
  <si>
    <t>HCLC (Horizon Honors Secondary School)</t>
  </si>
  <si>
    <t>Heber-Overgaard Fire Distric t</t>
  </si>
  <si>
    <t>Heber-Overgaard USD #6</t>
  </si>
  <si>
    <t>Heritage Academy</t>
  </si>
  <si>
    <t>Highlands Fire Dept</t>
  </si>
  <si>
    <t>Higley USD #60</t>
  </si>
  <si>
    <t>Hillside Elementary SD #35</t>
  </si>
  <si>
    <t>Holbrook USD #3</t>
  </si>
  <si>
    <t>Housing Authority Of Maricopa County</t>
  </si>
  <si>
    <t>Humanities &amp; Sciences Acad (Tempe)</t>
  </si>
  <si>
    <t>Humboldt USD # 22</t>
  </si>
  <si>
    <t>Hyder Elementary SD #16</t>
  </si>
  <si>
    <t>Intelli-School (Paradise Valley)</t>
  </si>
  <si>
    <t>Internat'l Commerc e Sec Schls (Phx)</t>
  </si>
  <si>
    <t>Isaac Elementary SD #5</t>
  </si>
  <si>
    <t>J O Combs Unified SD</t>
  </si>
  <si>
    <t>James Sandoval Prep HS (Crown Point HS)</t>
  </si>
  <si>
    <t>Joseph City USD #2</t>
  </si>
  <si>
    <t>Juniper Tree Academy (Desert View Acad)</t>
  </si>
  <si>
    <t>Kayenta USD # 27</t>
  </si>
  <si>
    <t>Khalsa Family Services (Khalsa School)</t>
  </si>
  <si>
    <t>Kingman Academy Of Learning</t>
  </si>
  <si>
    <t>Kingman USD #20</t>
  </si>
  <si>
    <t>Kirkland Elementary SD #23</t>
  </si>
  <si>
    <t>Kyrene Elementary SD #28</t>
  </si>
  <si>
    <t>La Paz County</t>
  </si>
  <si>
    <t>Lake Havasu USD #1</t>
  </si>
  <si>
    <t>Lakeside Fire Dist</t>
  </si>
  <si>
    <t>Laveen Elementary SD #59</t>
  </si>
  <si>
    <t>League Of Arizona Cities &amp; Towns</t>
  </si>
  <si>
    <t>Liberty Elementary SD #25</t>
  </si>
  <si>
    <t>410140</t>
  </si>
  <si>
    <t>471000</t>
  </si>
  <si>
    <t>306060</t>
  </si>
  <si>
    <t>473010</t>
  </si>
  <si>
    <t>300410</t>
  </si>
  <si>
    <t>300400</t>
  </si>
  <si>
    <t>302050</t>
  </si>
  <si>
    <t>471010</t>
  </si>
  <si>
    <t>496500</t>
  </si>
  <si>
    <t>109170</t>
  </si>
  <si>
    <t>410150</t>
  </si>
  <si>
    <t>307780</t>
  </si>
  <si>
    <t>464040</t>
  </si>
  <si>
    <t>302210</t>
  </si>
  <si>
    <t>495030</t>
  </si>
  <si>
    <t>410160</t>
  </si>
  <si>
    <t>473840</t>
  </si>
  <si>
    <t>473000</t>
  </si>
  <si>
    <t>495070</t>
  </si>
  <si>
    <t>308100</t>
  </si>
  <si>
    <t>481030</t>
  </si>
  <si>
    <t>302300</t>
  </si>
  <si>
    <t>496100</t>
  </si>
  <si>
    <t>471410</t>
  </si>
  <si>
    <t>306940</t>
  </si>
  <si>
    <t>497230</t>
  </si>
  <si>
    <t>482060</t>
  </si>
  <si>
    <t>306740</t>
  </si>
  <si>
    <t>496060</t>
  </si>
  <si>
    <t>300600</t>
  </si>
  <si>
    <t>492350</t>
  </si>
  <si>
    <t>482030</t>
  </si>
  <si>
    <t>495820</t>
  </si>
  <si>
    <t>307830</t>
  </si>
  <si>
    <t>492220</t>
  </si>
  <si>
    <t>493160</t>
  </si>
  <si>
    <t>302510</t>
  </si>
  <si>
    <t>307820</t>
  </si>
  <si>
    <t>300050</t>
  </si>
  <si>
    <t>200440</t>
  </si>
  <si>
    <t>302530</t>
  </si>
  <si>
    <t>482020</t>
  </si>
  <si>
    <t>302570</t>
  </si>
  <si>
    <t>482270</t>
  </si>
  <si>
    <t>302590</t>
  </si>
  <si>
    <t>481050</t>
  </si>
  <si>
    <t>481040</t>
  </si>
  <si>
    <t>492230</t>
  </si>
  <si>
    <t>300280</t>
  </si>
  <si>
    <t>410170</t>
  </si>
  <si>
    <t>481510</t>
  </si>
  <si>
    <t>497600</t>
  </si>
  <si>
    <t>300590</t>
  </si>
  <si>
    <t>495160</t>
  </si>
  <si>
    <t>300250</t>
  </si>
  <si>
    <t>Liberty High School</t>
  </si>
  <si>
    <t>Life Skills Center Of Arizona</t>
  </si>
  <si>
    <t>Linden Fire Dept</t>
  </si>
  <si>
    <t>Litchfield Elementary SD #79</t>
  </si>
  <si>
    <t>Littlefield USD #9</t>
  </si>
  <si>
    <t>Littleton Elementary SD #65</t>
  </si>
  <si>
    <t>Luz Academy of Tucson</t>
  </si>
  <si>
    <t>M.E. Halvorson Educ Fdn (Tri-City HS)</t>
  </si>
  <si>
    <t>Madison Elementary Sch Dist 38</t>
  </si>
  <si>
    <t>Maine Consolidated Elem Dist 10</t>
  </si>
  <si>
    <t>Mammoth-San Manuel USD #8</t>
  </si>
  <si>
    <t>Marana Domestic Water Improvement Dist</t>
  </si>
  <si>
    <t>Marana USD #6</t>
  </si>
  <si>
    <t>Maricopa Assn Of Governments</t>
  </si>
  <si>
    <t>Maricopa Co Community College Dist</t>
  </si>
  <si>
    <t>Maricopa Co Municipal Water Cons.Dist #1</t>
  </si>
  <si>
    <t>Maricopa Co Special Health Care Dist</t>
  </si>
  <si>
    <t>Maricopa County</t>
  </si>
  <si>
    <t>Maricopa County Regional Sch Dist 509</t>
  </si>
  <si>
    <t>Maricopa USD #20</t>
  </si>
  <si>
    <t>Mary C O'Brien Accommodation Sch 90</t>
  </si>
  <si>
    <t>Masada Charter School</t>
  </si>
  <si>
    <t>Mayer Unified School Dist 43</t>
  </si>
  <si>
    <t>Mc Nary Elementary Sch Dist 23</t>
  </si>
  <si>
    <t>Mc Neal Elementary School Dist 55</t>
  </si>
  <si>
    <t>Mesa Unif Dist 4</t>
  </si>
  <si>
    <t>Metropolitan Arts Institute</t>
  </si>
  <si>
    <t>Metropolitan Domestic Water Imprvmnt Dst</t>
  </si>
  <si>
    <t>Mexicayotl Academy</t>
  </si>
  <si>
    <t>Miami Unified School Dist 40</t>
  </si>
  <si>
    <t>Mingus Springs Charter School</t>
  </si>
  <si>
    <t>Mingus Union High Sch Dist 4</t>
  </si>
  <si>
    <t>Mobile Elementary SD #86</t>
  </si>
  <si>
    <t>Mohave Accelerated Elementary School</t>
  </si>
  <si>
    <t>Mohave Accelerated Learning Center</t>
  </si>
  <si>
    <t>Mohave Community College</t>
  </si>
  <si>
    <t>Mohave County</t>
  </si>
  <si>
    <t>Mohave County Airport Authority</t>
  </si>
  <si>
    <t>Mohave Educ ation Services Coop. Inc.</t>
  </si>
  <si>
    <t>Mohave Valley Elem Sch Dist 16</t>
  </si>
  <si>
    <t>Mohawk Valley Elem Dist 17</t>
  </si>
  <si>
    <t>Montezuma-Rimroc k Fire District</t>
  </si>
  <si>
    <t>Morenci Unified School Dist 18</t>
  </si>
  <si>
    <t>Morristown Elem Dist 75</t>
  </si>
  <si>
    <t>Mountain Institute JTED No. 2</t>
  </si>
  <si>
    <t>Mountain Oak Charter School</t>
  </si>
  <si>
    <t>Mountain Rose Academy</t>
  </si>
  <si>
    <t>Mountain School</t>
  </si>
  <si>
    <t>Mt Lemmon Domestic Water Imprv District</t>
  </si>
  <si>
    <t>Multi-Dimensnl Lit Corp (Desert Mosaic)</t>
  </si>
  <si>
    <t>Murphy Elem School Dist 21</t>
  </si>
  <si>
    <t>N Star Chtr Schl (AZ Prep Acad,Cyber HS)</t>
  </si>
  <si>
    <t>Naco Elementary School Dist 23</t>
  </si>
  <si>
    <t>NACOG - Headstart</t>
  </si>
  <si>
    <t>NACOG - Northern AZ Council Of Govts</t>
  </si>
  <si>
    <t>307450</t>
  </si>
  <si>
    <t>302650</t>
  </si>
  <si>
    <t>495170</t>
  </si>
  <si>
    <t>300790</t>
  </si>
  <si>
    <t>481090</t>
  </si>
  <si>
    <t>300650</t>
  </si>
  <si>
    <t>302720</t>
  </si>
  <si>
    <t>302250</t>
  </si>
  <si>
    <t>300380</t>
  </si>
  <si>
    <t>464100</t>
  </si>
  <si>
    <t>200080</t>
  </si>
  <si>
    <t>303000</t>
  </si>
  <si>
    <t>450060</t>
  </si>
  <si>
    <t>495140</t>
  </si>
  <si>
    <t>307100</t>
  </si>
  <si>
    <t>480030</t>
  </si>
  <si>
    <t>210250</t>
  </si>
  <si>
    <t>210170</t>
  </si>
  <si>
    <t>305090</t>
  </si>
  <si>
    <t>200200</t>
  </si>
  <si>
    <t>200900</t>
  </si>
  <si>
    <t>302030</t>
  </si>
  <si>
    <t>492430</t>
  </si>
  <si>
    <t>461230</t>
  </si>
  <si>
    <t>462550</t>
  </si>
  <si>
    <t>300040</t>
  </si>
  <si>
    <t>308160</t>
  </si>
  <si>
    <t>495400</t>
  </si>
  <si>
    <t>308170</t>
  </si>
  <si>
    <t>471400</t>
  </si>
  <si>
    <t>306820</t>
  </si>
  <si>
    <t>492860</t>
  </si>
  <si>
    <t>300860</t>
  </si>
  <si>
    <t>302790</t>
  </si>
  <si>
    <t>302670</t>
  </si>
  <si>
    <t>492890</t>
  </si>
  <si>
    <t>410180</t>
  </si>
  <si>
    <t>497160</t>
  </si>
  <si>
    <t>302830</t>
  </si>
  <si>
    <t>481160</t>
  </si>
  <si>
    <t>493170</t>
  </si>
  <si>
    <t>497250</t>
  </si>
  <si>
    <t>473180</t>
  </si>
  <si>
    <t>300750</t>
  </si>
  <si>
    <t>301010</t>
  </si>
  <si>
    <t>302110</t>
  </si>
  <si>
    <t>308260</t>
  </si>
  <si>
    <t>302780</t>
  </si>
  <si>
    <t>480110</t>
  </si>
  <si>
    <t>302370</t>
  </si>
  <si>
    <t>300210</t>
  </si>
  <si>
    <t>302480</t>
  </si>
  <si>
    <t>462230</t>
  </si>
  <si>
    <t>302840</t>
  </si>
  <si>
    <t>495150</t>
  </si>
  <si>
    <t>Nadaburg Elem Dist 81</t>
  </si>
  <si>
    <t>Navajo Co Rainbow Accommodation Sch</t>
  </si>
  <si>
    <t>Navajo Co Schools Office - Hope School</t>
  </si>
  <si>
    <t>Navajo Co. Special Services Consortium</t>
  </si>
  <si>
    <t>Navajo County</t>
  </si>
  <si>
    <t>Navajo County School Office</t>
  </si>
  <si>
    <t>New Magma Irrigation &amp; Drainage Dist</t>
  </si>
  <si>
    <t>New School For The Arts &amp; Academic s</t>
  </si>
  <si>
    <t>New School For The Arts &amp; Academic s MS</t>
  </si>
  <si>
    <t>New West Charter School</t>
  </si>
  <si>
    <t>Nogales Unified School Dist 1</t>
  </si>
  <si>
    <t>Northeast Az Tech Institute Of Voc. Ed.</t>
  </si>
  <si>
    <t>Northern Apache CO Special Healthcare</t>
  </si>
  <si>
    <t>Northern Arizona Consolidated Fire Dist.</t>
  </si>
  <si>
    <t>Northern Arizona University</t>
  </si>
  <si>
    <t>Northern Arizona Voc Ins Of Technoloy</t>
  </si>
  <si>
    <t>Northern AZ Acad For Career Development</t>
  </si>
  <si>
    <t>Northern AZ Int. Public Transp. Authorit</t>
  </si>
  <si>
    <t>Northland Pioneer College</t>
  </si>
  <si>
    <t>Northland Preparatory Academy</t>
  </si>
  <si>
    <t>Northwest Fire District</t>
  </si>
  <si>
    <t>Nosotros Academy</t>
  </si>
  <si>
    <t>Oracle Elementary School Dist 2</t>
  </si>
  <si>
    <t>Osborn Elementary School Dist 8</t>
  </si>
  <si>
    <t>Owens Whitney Elem Dist 6</t>
  </si>
  <si>
    <t>PACE Preparatory Academy</t>
  </si>
  <si>
    <t>Page Unif Dist 8</t>
  </si>
  <si>
    <t>Painted Pony Ranch Chtr Sch (Willow Crk)</t>
  </si>
  <si>
    <t>Palo Verde Elem School Dist 49</t>
  </si>
  <si>
    <t>Paloma Elem Dist 94</t>
  </si>
  <si>
    <t>Palominas Elementary Sch Dist 49</t>
  </si>
  <si>
    <t>Paradise Valley Unified School Dist 69</t>
  </si>
  <si>
    <t>Paragon Mgt (Paradise Ed Ctr, Honors HS)</t>
  </si>
  <si>
    <t>Paramount Educ Studies (Paramount Acad)</t>
  </si>
  <si>
    <t>Park View School (PVMS, CVPA)</t>
  </si>
  <si>
    <t>Parker Unified School Dist 27</t>
  </si>
  <si>
    <t>PAS (Intelli-School Metro Ctr, Glendale)</t>
  </si>
  <si>
    <t>Patagonia Elem Dist 6</t>
  </si>
  <si>
    <t>Patagonia Montessori Elementary School</t>
  </si>
  <si>
    <t>Patagonia Union High Sch Dist 20</t>
  </si>
  <si>
    <t>Pathways KM Chtr Schls (Rimroc k Pub HS)</t>
  </si>
  <si>
    <t>Payson Unified School Dist 10</t>
  </si>
  <si>
    <t>Peach Springs USD</t>
  </si>
  <si>
    <t>PEAK School, The</t>
  </si>
  <si>
    <t>Pearce Elementary School Dist 22</t>
  </si>
  <si>
    <t>Pendergast Elem Dist 92</t>
  </si>
  <si>
    <t>Peoria Unified School Dist 11</t>
  </si>
  <si>
    <t>Phoenix Elementary School Dist 1</t>
  </si>
  <si>
    <t>Phoenix Mesa Gateway Airport Authority</t>
  </si>
  <si>
    <t>Phoenix UHSD</t>
  </si>
  <si>
    <t>Phx Schl Of Acad Exc ellence (Learn Inst)</t>
  </si>
  <si>
    <t>Picacho Elementary School Dist 33</t>
  </si>
  <si>
    <t>Picture Rocks Fire District</t>
  </si>
  <si>
    <t>Pillar Charter Schl (Acad Of Bus &amp; Fin)</t>
  </si>
  <si>
    <t>Pima Assn Of Governments</t>
  </si>
  <si>
    <t>300810</t>
  </si>
  <si>
    <t>482990</t>
  </si>
  <si>
    <t>482440</t>
  </si>
  <si>
    <t>308040</t>
  </si>
  <si>
    <t>410190</t>
  </si>
  <si>
    <t>482000</t>
  </si>
  <si>
    <t>496200</t>
  </si>
  <si>
    <t>306770</t>
  </si>
  <si>
    <t>302740</t>
  </si>
  <si>
    <t>307920</t>
  </si>
  <si>
    <t>491010</t>
  </si>
  <si>
    <t>302760</t>
  </si>
  <si>
    <t>495040</t>
  </si>
  <si>
    <t>497140</t>
  </si>
  <si>
    <t>104160</t>
  </si>
  <si>
    <t>483000</t>
  </si>
  <si>
    <t>306830</t>
  </si>
  <si>
    <t>496040</t>
  </si>
  <si>
    <t>493770</t>
  </si>
  <si>
    <t>307580</t>
  </si>
  <si>
    <t>497300</t>
  </si>
  <si>
    <t>302820</t>
  </si>
  <si>
    <t>200020</t>
  </si>
  <si>
    <t>300080</t>
  </si>
  <si>
    <t>481060</t>
  </si>
  <si>
    <t>307090</t>
  </si>
  <si>
    <t>464080</t>
  </si>
  <si>
    <t>302230</t>
  </si>
  <si>
    <t>300490</t>
  </si>
  <si>
    <t>300940</t>
  </si>
  <si>
    <t>462490</t>
  </si>
  <si>
    <t>300690</t>
  </si>
  <si>
    <t>302580</t>
  </si>
  <si>
    <t>303040</t>
  </si>
  <si>
    <t>308270</t>
  </si>
  <si>
    <t>494270</t>
  </si>
  <si>
    <t>302620</t>
  </si>
  <si>
    <t>491060</t>
  </si>
  <si>
    <t>307050</t>
  </si>
  <si>
    <t>491820</t>
  </si>
  <si>
    <t>492870</t>
  </si>
  <si>
    <t>471100</t>
  </si>
  <si>
    <t>481080</t>
  </si>
  <si>
    <t>302550</t>
  </si>
  <si>
    <t>462220</t>
  </si>
  <si>
    <t>300920</t>
  </si>
  <si>
    <t>300110</t>
  </si>
  <si>
    <t>300010</t>
  </si>
  <si>
    <t>495800</t>
  </si>
  <si>
    <t>302100</t>
  </si>
  <si>
    <t>308110</t>
  </si>
  <si>
    <t>200330</t>
  </si>
  <si>
    <t>496400</t>
  </si>
  <si>
    <t>306090</t>
  </si>
  <si>
    <t>495120</t>
  </si>
  <si>
    <t>Pima Community College</t>
  </si>
  <si>
    <t>Pima County</t>
  </si>
  <si>
    <t>Pima County Accomodation Sch</t>
  </si>
  <si>
    <t>Pima County Joint Tech Educ ation Dist</t>
  </si>
  <si>
    <t>Pima County Special Projects</t>
  </si>
  <si>
    <t>Pima PP (Arizona Collegiate High School)</t>
  </si>
  <si>
    <t>Pima PP (Pima Partnership Academy)</t>
  </si>
  <si>
    <t>Pima PP (The Pima Partnership School)</t>
  </si>
  <si>
    <t>Pima Rose Academy</t>
  </si>
  <si>
    <t>Pima Unified School Dist #06</t>
  </si>
  <si>
    <t>Pinal Co Sch Data Processing Svcs</t>
  </si>
  <si>
    <t>Pinal CoJuvenile Justice Educ Services</t>
  </si>
  <si>
    <t>Pinal County</t>
  </si>
  <si>
    <t>Pinal County School Educ ation Services</t>
  </si>
  <si>
    <t>Pinal County School Office</t>
  </si>
  <si>
    <t>Pine Forest Educ Assn (Pine Forest Schl)</t>
  </si>
  <si>
    <t>Pine Strawberry Elementary Dist 12</t>
  </si>
  <si>
    <t>Pine-Strawberry Fire Dist</t>
  </si>
  <si>
    <t>Pinetop Volunteer Fire Department</t>
  </si>
  <si>
    <t>Pinetop Water Community Facilities Dist</t>
  </si>
  <si>
    <t>Pinetop-Lakeside Sanitary Dist</t>
  </si>
  <si>
    <t>Pinewood Fire Dept</t>
  </si>
  <si>
    <t>Pinewood Sanitary District</t>
  </si>
  <si>
    <t>Pinon USD #4</t>
  </si>
  <si>
    <t>PLC Arts Academy At Scottsdale</t>
  </si>
  <si>
    <t>PLC Chtr Schls (Arts Acad Estrella Mtn)</t>
  </si>
  <si>
    <t>Pointe Educ Services (PPA, NPA, CPA)</t>
  </si>
  <si>
    <t>Pomerene Elementary School Dist 64</t>
  </si>
  <si>
    <t>Ponderosa Domestic Water Improvmnt Dist</t>
  </si>
  <si>
    <t>Prescott Historical Society</t>
  </si>
  <si>
    <t>Prescott USD #1</t>
  </si>
  <si>
    <t>Prescott Valley Charter School</t>
  </si>
  <si>
    <t>Presidio School</t>
  </si>
  <si>
    <t>Public Safety Personnel Retirement</t>
  </si>
  <si>
    <t>Puerco Valley Fire District</t>
  </si>
  <si>
    <t>Quartzsite Elementary School Dist 4</t>
  </si>
  <si>
    <t>Queen Creek Unif Sch Dist 95</t>
  </si>
  <si>
    <t>Queen Valley Dom Water Imprvmnt Dist</t>
  </si>
  <si>
    <t>Queen Valley Sanitary District</t>
  </si>
  <si>
    <t>Ray Unified School Dist 3</t>
  </si>
  <si>
    <t>RBEC (Paulden Community School)</t>
  </si>
  <si>
    <t>Red Mesa Unified School Dist 27</t>
  </si>
  <si>
    <t>Red Rock Elementary School Dist 5</t>
  </si>
  <si>
    <t>Regional Public Transportation Authority</t>
  </si>
  <si>
    <t>Reid Traditional Schls Painted Rock Acad</t>
  </si>
  <si>
    <t>Reid Traditional Schools' Valley Academy</t>
  </si>
  <si>
    <t>Ridgeline Academy: A Challenge Foundation Academy</t>
  </si>
  <si>
    <t>Rio Rico Fire District</t>
  </si>
  <si>
    <t>Riverside Elementary Sch Dist 2</t>
  </si>
  <si>
    <t>Roosevelt Elem Sch Dist 66</t>
  </si>
  <si>
    <t>Roosevelt Irrigation District</t>
  </si>
  <si>
    <t>Round Valley Unif Dist 10</t>
  </si>
  <si>
    <t>RSD Charter Schl (Computerized Plus HS)</t>
  </si>
  <si>
    <t>Sacaton Elementary School Dist 18</t>
  </si>
  <si>
    <t>Saddle Mountain USD #90</t>
  </si>
  <si>
    <t>450990</t>
  </si>
  <si>
    <t>210200</t>
  </si>
  <si>
    <t>307070</t>
  </si>
  <si>
    <t>307040</t>
  </si>
  <si>
    <t>307060</t>
  </si>
  <si>
    <t>200260</t>
  </si>
  <si>
    <t>200230</t>
  </si>
  <si>
    <t>302560</t>
  </si>
  <si>
    <t>240070</t>
  </si>
  <si>
    <t>472060</t>
  </si>
  <si>
    <t>200890</t>
  </si>
  <si>
    <t>200860</t>
  </si>
  <si>
    <t>210210</t>
  </si>
  <si>
    <t>200880</t>
  </si>
  <si>
    <t>200000</t>
  </si>
  <si>
    <t>306900</t>
  </si>
  <si>
    <t>471120</t>
  </si>
  <si>
    <t>496090</t>
  </si>
  <si>
    <t>497540</t>
  </si>
  <si>
    <t>497130</t>
  </si>
  <si>
    <t>497110</t>
  </si>
  <si>
    <t>495010</t>
  </si>
  <si>
    <t>497390</t>
  </si>
  <si>
    <t>482040</t>
  </si>
  <si>
    <t>240060</t>
  </si>
  <si>
    <t>308130</t>
  </si>
  <si>
    <t>303310</t>
  </si>
  <si>
    <t>462640</t>
  </si>
  <si>
    <t>480050</t>
  </si>
  <si>
    <t>104940</t>
  </si>
  <si>
    <t>492010</t>
  </si>
  <si>
    <t>307030</t>
  </si>
  <si>
    <t>307370</t>
  </si>
  <si>
    <t>101750</t>
  </si>
  <si>
    <t>497320</t>
  </si>
  <si>
    <t>494040</t>
  </si>
  <si>
    <t>300950</t>
  </si>
  <si>
    <t>496000</t>
  </si>
  <si>
    <t>496700</t>
  </si>
  <si>
    <t>200030</t>
  </si>
  <si>
    <t>240020</t>
  </si>
  <si>
    <t>461270</t>
  </si>
  <si>
    <t>200050</t>
  </si>
  <si>
    <t>496030</t>
  </si>
  <si>
    <t>200250</t>
  </si>
  <si>
    <t>306760</t>
  </si>
  <si>
    <t>306790</t>
  </si>
  <si>
    <t>497120</t>
  </si>
  <si>
    <t>300020</t>
  </si>
  <si>
    <t>300660</t>
  </si>
  <si>
    <t>497360</t>
  </si>
  <si>
    <t>461100</t>
  </si>
  <si>
    <t>302850</t>
  </si>
  <si>
    <t>200180</t>
  </si>
  <si>
    <t>300900</t>
  </si>
  <si>
    <t>Safford Unified School Dist 1</t>
  </si>
  <si>
    <t>Sahuarita USD #30</t>
  </si>
  <si>
    <t>Salome Consolidated Elementary Sch Dist</t>
  </si>
  <si>
    <t>San Carlos Irrigation &amp; Drainage Dist</t>
  </si>
  <si>
    <t>San Carlos Unified School Dist 20</t>
  </si>
  <si>
    <t>San Fernando School Dist 20</t>
  </si>
  <si>
    <t>San Simon Unif Dist 18</t>
  </si>
  <si>
    <t>Sanders Unif Sch Dist 18</t>
  </si>
  <si>
    <t>Santa Cruz County</t>
  </si>
  <si>
    <t>Santa Cruz Valley UHSD (Eloy AZ)</t>
  </si>
  <si>
    <t>Santa Cruz Valley USD #35 (Rio Rico)</t>
  </si>
  <si>
    <t>SC Jensen Corp, Inc. (Intelli-School)</t>
  </si>
  <si>
    <t>Scottsdale Unified School Dist 48</t>
  </si>
  <si>
    <t>Sedona Charter School</t>
  </si>
  <si>
    <t>Sedona-Oak Creek Joint Unif Sch Dist</t>
  </si>
  <si>
    <t>Sedona-Oakcreek Airport Authority, Inc</t>
  </si>
  <si>
    <t>Self Development Charter Schl (Academy)</t>
  </si>
  <si>
    <t>Seligman Unified School Dist 40</t>
  </si>
  <si>
    <t>Sentinel Elem Dist 71</t>
  </si>
  <si>
    <t>Show Low Unif Sch Dist 10</t>
  </si>
  <si>
    <t>Sierra Oaks School, Inc.</t>
  </si>
  <si>
    <t>Sierra Vista USD #68</t>
  </si>
  <si>
    <t>Skull Valley Elem Dist 15</t>
  </si>
  <si>
    <t>Skyline Schools (Skyline Prep HS)</t>
  </si>
  <si>
    <t>Skyview School</t>
  </si>
  <si>
    <t>Snowflake Unified School Dist 5</t>
  </si>
  <si>
    <t>Solomon Elementary School Dist 5</t>
  </si>
  <si>
    <t>Somerton Elementary School Dist</t>
  </si>
  <si>
    <t>Sonoita Elementary School Dist 25</t>
  </si>
  <si>
    <t>Sonoita-Elgin Fire Dist</t>
  </si>
  <si>
    <t>Sonoran Desert School</t>
  </si>
  <si>
    <t>Sonoran Science Academy - Broadway</t>
  </si>
  <si>
    <t>SouthEastern Az Governments Organization</t>
  </si>
  <si>
    <t>Southern Arizona Community Academy (HS)</t>
  </si>
  <si>
    <t>SRPMIC Community Schools</t>
  </si>
  <si>
    <t>St David USD #21</t>
  </si>
  <si>
    <t>St Johns Unified School Dist</t>
  </si>
  <si>
    <t>Stanfield Elementary School Dist 24</t>
  </si>
  <si>
    <t>StarShine Academy</t>
  </si>
  <si>
    <t>STEP UP School</t>
  </si>
  <si>
    <t>Success School (Arizona Charter Academy)</t>
  </si>
  <si>
    <t>Summit Fire District</t>
  </si>
  <si>
    <t>Sun City Fire District</t>
  </si>
  <si>
    <t>Sun City West Fire District</t>
  </si>
  <si>
    <t>Sun Lakes Fire District</t>
  </si>
  <si>
    <t>Sunnyside Charter &amp; Montessori School</t>
  </si>
  <si>
    <t>Sunnyside USD 12</t>
  </si>
  <si>
    <t>Sunsites-Pearce Fire District</t>
  </si>
  <si>
    <t>Superior Unified School Dist 15</t>
  </si>
  <si>
    <t>Superstition Fire &amp; Medical District</t>
  </si>
  <si>
    <t>Superstition Mtn Comm Facilities Dist #1</t>
  </si>
  <si>
    <t>TAG Elementary, Inc.</t>
  </si>
  <si>
    <t>Tanque Verde USD #13</t>
  </si>
  <si>
    <t>Telesis Ctr For Learning (Prep Acad)</t>
  </si>
  <si>
    <t>Tempe Elementary School Dist 3</t>
  </si>
  <si>
    <t>472010</t>
  </si>
  <si>
    <t>450300</t>
  </si>
  <si>
    <t>494300</t>
  </si>
  <si>
    <t>496600</t>
  </si>
  <si>
    <t>471200</t>
  </si>
  <si>
    <t>450350</t>
  </si>
  <si>
    <t>462180</t>
  </si>
  <si>
    <t>461180</t>
  </si>
  <si>
    <t>410220</t>
  </si>
  <si>
    <t>200400</t>
  </si>
  <si>
    <t>491030</t>
  </si>
  <si>
    <t>302610</t>
  </si>
  <si>
    <t>300480</t>
  </si>
  <si>
    <t>306750</t>
  </si>
  <si>
    <t>492090</t>
  </si>
  <si>
    <t>497470</t>
  </si>
  <si>
    <t>302460</t>
  </si>
  <si>
    <t>492400</t>
  </si>
  <si>
    <t>300710</t>
  </si>
  <si>
    <t>482100</t>
  </si>
  <si>
    <t>304020</t>
  </si>
  <si>
    <t>462680</t>
  </si>
  <si>
    <t>492150</t>
  </si>
  <si>
    <t>302340</t>
  </si>
  <si>
    <t>306950</t>
  </si>
  <si>
    <t>482050</t>
  </si>
  <si>
    <t>472050</t>
  </si>
  <si>
    <t>493110</t>
  </si>
  <si>
    <t>491250</t>
  </si>
  <si>
    <t>495810</t>
  </si>
  <si>
    <t>308190</t>
  </si>
  <si>
    <t>308060</t>
  </si>
  <si>
    <t>495110</t>
  </si>
  <si>
    <t>450560</t>
  </si>
  <si>
    <t>493930</t>
  </si>
  <si>
    <t>462210</t>
  </si>
  <si>
    <t>461010</t>
  </si>
  <si>
    <t>200240</t>
  </si>
  <si>
    <t>308030</t>
  </si>
  <si>
    <t>306720</t>
  </si>
  <si>
    <t>302090</t>
  </si>
  <si>
    <t>497490</t>
  </si>
  <si>
    <t>497340</t>
  </si>
  <si>
    <t>497330</t>
  </si>
  <si>
    <t>497270</t>
  </si>
  <si>
    <t>302750</t>
  </si>
  <si>
    <t>450120</t>
  </si>
  <si>
    <t>496790</t>
  </si>
  <si>
    <t>200150</t>
  </si>
  <si>
    <t>495200</t>
  </si>
  <si>
    <t>497350</t>
  </si>
  <si>
    <t>302450</t>
  </si>
  <si>
    <t>450130</t>
  </si>
  <si>
    <t>302270</t>
  </si>
  <si>
    <t>300030</t>
  </si>
  <si>
    <t>Tempe Union High Sch Dist 213</t>
  </si>
  <si>
    <t>Thatcher Unified School Dist 4</t>
  </si>
  <si>
    <t>Three Points Fire District</t>
  </si>
  <si>
    <t>Tolleson Elementary School Dist 17</t>
  </si>
  <si>
    <t>Tolleson Union High Sch Dist 214</t>
  </si>
  <si>
    <t>Toltec Elem School Dist 22</t>
  </si>
  <si>
    <t>Tombstone Unif Dist 1</t>
  </si>
  <si>
    <t>Tonopah Valley Fire District</t>
  </si>
  <si>
    <t>Tonto Basin Sch Dist 33</t>
  </si>
  <si>
    <t>Topock Elementary School Dist 12</t>
  </si>
  <si>
    <t>Town Of Camp Verde</t>
  </si>
  <si>
    <t>Town Of Carefree</t>
  </si>
  <si>
    <t>Town Of Cave Creek</t>
  </si>
  <si>
    <t>Town Of Chino Valley</t>
  </si>
  <si>
    <t>Town Of Clarkdale</t>
  </si>
  <si>
    <t>Town Of Clifton</t>
  </si>
  <si>
    <t>Town Of Duncan</t>
  </si>
  <si>
    <t>Town Of Eagar</t>
  </si>
  <si>
    <t>Town Of Florence</t>
  </si>
  <si>
    <t>Town Of Fredonia</t>
  </si>
  <si>
    <t>Town Of Gila Bend</t>
  </si>
  <si>
    <t>Town Of Gilbert</t>
  </si>
  <si>
    <t>Town Of Guadalupe</t>
  </si>
  <si>
    <t>Town Of Hayden</t>
  </si>
  <si>
    <t>Town Of Kearny</t>
  </si>
  <si>
    <t>Town Of Marana</t>
  </si>
  <si>
    <t>Town Of Miami</t>
  </si>
  <si>
    <t>Town Of Oro Valley</t>
  </si>
  <si>
    <t>Town Of Paradise Valley</t>
  </si>
  <si>
    <t>Town Of Parker</t>
  </si>
  <si>
    <t>Town Of Patagonia</t>
  </si>
  <si>
    <t>Town Of Payson</t>
  </si>
  <si>
    <t>Town Of Pima</t>
  </si>
  <si>
    <t>Town Of Pinetop-Lakeside</t>
  </si>
  <si>
    <t>Town Of Queen Creek</t>
  </si>
  <si>
    <t>Town Of Sahuarita</t>
  </si>
  <si>
    <t>Town Of Snowflake</t>
  </si>
  <si>
    <t>Town Of Springerville</t>
  </si>
  <si>
    <t>Town Of Star Valley</t>
  </si>
  <si>
    <t>Town Of Superior</t>
  </si>
  <si>
    <t>Town Of Taylor</t>
  </si>
  <si>
    <t>Town Of Thatcher</t>
  </si>
  <si>
    <t>Town Of Tusayan</t>
  </si>
  <si>
    <t>Town Of Wellton</t>
  </si>
  <si>
    <t>Town Of Wickenburg</t>
  </si>
  <si>
    <t>Town Of Youngtown</t>
  </si>
  <si>
    <t>Tri-City Fire District</t>
  </si>
  <si>
    <t>Triumphant Learning Center</t>
  </si>
  <si>
    <t>Tuba City Unified School Dist 15</t>
  </si>
  <si>
    <t>Tucson Airport Authority</t>
  </si>
  <si>
    <t>Tucson Country Day School</t>
  </si>
  <si>
    <t>Tucson Preparatory School</t>
  </si>
  <si>
    <t>Tucson Unified School Dist 1</t>
  </si>
  <si>
    <t>Tusayan Fire District</t>
  </si>
  <si>
    <t>302130</t>
  </si>
  <si>
    <t>472040</t>
  </si>
  <si>
    <t>495060</t>
  </si>
  <si>
    <t>300170</t>
  </si>
  <si>
    <t>302140</t>
  </si>
  <si>
    <t>200220</t>
  </si>
  <si>
    <t>462010</t>
  </si>
  <si>
    <t>480080</t>
  </si>
  <si>
    <t>471330</t>
  </si>
  <si>
    <t>481120</t>
  </si>
  <si>
    <t>421020</t>
  </si>
  <si>
    <t>421030</t>
  </si>
  <si>
    <t>420580</t>
  </si>
  <si>
    <t>420990</t>
  </si>
  <si>
    <t>421000</t>
  </si>
  <si>
    <t>420130</t>
  </si>
  <si>
    <t>421010</t>
  </si>
  <si>
    <t>421040</t>
  </si>
  <si>
    <t>420190</t>
  </si>
  <si>
    <t>420380</t>
  </si>
  <si>
    <t>420200</t>
  </si>
  <si>
    <t>420210</t>
  </si>
  <si>
    <t>420270</t>
  </si>
  <si>
    <t>420280</t>
  </si>
  <si>
    <t>420330</t>
  </si>
  <si>
    <t>420300</t>
  </si>
  <si>
    <t>420410</t>
  </si>
  <si>
    <t>420040</t>
  </si>
  <si>
    <t>420470</t>
  </si>
  <si>
    <t>420480</t>
  </si>
  <si>
    <t>420500</t>
  </si>
  <si>
    <t>220240</t>
  </si>
  <si>
    <t>420550</t>
  </si>
  <si>
    <t>420240</t>
  </si>
  <si>
    <t>420460</t>
  </si>
  <si>
    <t>420790</t>
  </si>
  <si>
    <t>420660</t>
  </si>
  <si>
    <t>420680</t>
  </si>
  <si>
    <t>420260</t>
  </si>
  <si>
    <t>420710</t>
  </si>
  <si>
    <t>420720</t>
  </si>
  <si>
    <t>420740</t>
  </si>
  <si>
    <t>480130</t>
  </si>
  <si>
    <t>420780</t>
  </si>
  <si>
    <t>420800</t>
  </si>
  <si>
    <t>420920</t>
  </si>
  <si>
    <t>496760</t>
  </si>
  <si>
    <t>307210</t>
  </si>
  <si>
    <t>464150</t>
  </si>
  <si>
    <t>480060</t>
  </si>
  <si>
    <t>302180</t>
  </si>
  <si>
    <t>302690</t>
  </si>
  <si>
    <t>240010</t>
  </si>
  <si>
    <t>497440</t>
  </si>
  <si>
    <t>Union Elem Dist 62</t>
  </si>
  <si>
    <t>University Of Arizona</t>
  </si>
  <si>
    <t>Vail Elementary School Dist 20</t>
  </si>
  <si>
    <t>Valentine Elementary School Dist 22</t>
  </si>
  <si>
    <t>Valley Academy For Career &amp; Tech Edu</t>
  </si>
  <si>
    <t>Valley Schools Management Group</t>
  </si>
  <si>
    <t>Valley Union High Sch Dist 22</t>
  </si>
  <si>
    <t>Vechij Himdag Alt Schl (MashchamakuD)</t>
  </si>
  <si>
    <t>Verde Valley Fire District</t>
  </si>
  <si>
    <t>Vernon Elem Dist 9</t>
  </si>
  <si>
    <t>Visions Unlimited Academy</t>
  </si>
  <si>
    <t>Walnut Grove Sch Dist 7</t>
  </si>
  <si>
    <t>Washington Elem Dist 6</t>
  </si>
  <si>
    <t>Water Utilities Community Facility Dist</t>
  </si>
  <si>
    <t>Wellton Elementary School Dist 24</t>
  </si>
  <si>
    <t>Wenden Elementary School Dist 19</t>
  </si>
  <si>
    <t>Western Arizona Council Of Governments</t>
  </si>
  <si>
    <t>Western Arizona Vocational Educ ation #50</t>
  </si>
  <si>
    <t>Western Maricopa Educ ation Center</t>
  </si>
  <si>
    <t>Westwind Children's Services</t>
  </si>
  <si>
    <t>Westwind Middle School Academy</t>
  </si>
  <si>
    <t>Whetstone Fire District</t>
  </si>
  <si>
    <t>White Mtn Summer Home Wtr Improve Dist</t>
  </si>
  <si>
    <t>Whiteriver Unified School Dist 20</t>
  </si>
  <si>
    <t>Wickenburg Unified School Dist 9</t>
  </si>
  <si>
    <t>Willcox Unified School Dist 13</t>
  </si>
  <si>
    <t>Williams USD 2</t>
  </si>
  <si>
    <t>Williamson Valley Elem Dist 2</t>
  </si>
  <si>
    <t>Wilson Elem Dist 7</t>
  </si>
  <si>
    <t>Window Rock Unified School Dist 08</t>
  </si>
  <si>
    <t>Winslow Unified School Dist 01</t>
  </si>
  <si>
    <t>Wittmann Fire District</t>
  </si>
  <si>
    <t>Yarnell Elementary School Dist 52</t>
  </si>
  <si>
    <t>Yavapai Accommodation Sch Dist #99</t>
  </si>
  <si>
    <t>Yavapai Co. Educ ation Service Agency</t>
  </si>
  <si>
    <t>Yavapai College</t>
  </si>
  <si>
    <t>Yavapai County</t>
  </si>
  <si>
    <t>Young Elementary School Dist 5</t>
  </si>
  <si>
    <t>Young Scholar's Academy Chtr School Corp</t>
  </si>
  <si>
    <t>Yucca Elem School Dist 13</t>
  </si>
  <si>
    <t>Yuma Co Intergov Pub Trns Auth YCIPTA</t>
  </si>
  <si>
    <t>Yuma County</t>
  </si>
  <si>
    <t>Yuma County Airport Authority</t>
  </si>
  <si>
    <t>Yuma County School Supt Office</t>
  </si>
  <si>
    <t>Yuma Elementary School Dist 1</t>
  </si>
  <si>
    <t>Yuma Housing Authority</t>
  </si>
  <si>
    <t>Yuma Mesa Irrigation And Drng Dist</t>
  </si>
  <si>
    <t>Yuma Union High Sch Dist 70</t>
  </si>
  <si>
    <t>300620</t>
  </si>
  <si>
    <t>104120</t>
  </si>
  <si>
    <t>450200</t>
  </si>
  <si>
    <t>481220</t>
  </si>
  <si>
    <t>302470</t>
  </si>
  <si>
    <t>496010</t>
  </si>
  <si>
    <t>463220</t>
  </si>
  <si>
    <t>303020</t>
  </si>
  <si>
    <t>497240</t>
  </si>
  <si>
    <t>461090</t>
  </si>
  <si>
    <t>302200</t>
  </si>
  <si>
    <t>307460</t>
  </si>
  <si>
    <t>300060</t>
  </si>
  <si>
    <t>496800</t>
  </si>
  <si>
    <t>493240</t>
  </si>
  <si>
    <t>494190</t>
  </si>
  <si>
    <t>410040</t>
  </si>
  <si>
    <t>240040</t>
  </si>
  <si>
    <t>302700</t>
  </si>
  <si>
    <t>308180</t>
  </si>
  <si>
    <t>240030</t>
  </si>
  <si>
    <t>497410</t>
  </si>
  <si>
    <t>495180</t>
  </si>
  <si>
    <t>482200</t>
  </si>
  <si>
    <t>300090</t>
  </si>
  <si>
    <t>462130</t>
  </si>
  <si>
    <t>464020</t>
  </si>
  <si>
    <t>492020</t>
  </si>
  <si>
    <t>300070</t>
  </si>
  <si>
    <t>461080</t>
  </si>
  <si>
    <t>482010</t>
  </si>
  <si>
    <t>497620</t>
  </si>
  <si>
    <t>492520</t>
  </si>
  <si>
    <t>492530</t>
  </si>
  <si>
    <t>451000</t>
  </si>
  <si>
    <t>492990</t>
  </si>
  <si>
    <t>410230</t>
  </si>
  <si>
    <t>471050</t>
  </si>
  <si>
    <t>307340</t>
  </si>
  <si>
    <t>481130</t>
  </si>
  <si>
    <t>480100</t>
  </si>
  <si>
    <t>410240</t>
  </si>
  <si>
    <t>497210</t>
  </si>
  <si>
    <t>493000</t>
  </si>
  <si>
    <t>493010</t>
  </si>
  <si>
    <t>497100</t>
  </si>
  <si>
    <t>480070</t>
  </si>
  <si>
    <t>493830</t>
  </si>
  <si>
    <t>Employer Contribution Check</t>
  </si>
  <si>
    <t>Year</t>
  </si>
  <si>
    <t>Reported Total</t>
  </si>
  <si>
    <t>Total From Formula</t>
  </si>
  <si>
    <t>Difference</t>
  </si>
  <si>
    <t>American Basic Schls (Burke Basic Schl)</t>
  </si>
  <si>
    <t>American Leadership Academy</t>
  </si>
  <si>
    <t>Arizona Bd Of Behavioral Health Examiners</t>
  </si>
  <si>
    <t>Arizona Board Of Acupuncture</t>
  </si>
  <si>
    <t>Arizona Board Of Chiropractic Examiners</t>
  </si>
  <si>
    <t>Arizona Board Of Education</t>
  </si>
  <si>
    <t>Arizona Board Of Executive Clemency</t>
  </si>
  <si>
    <t>109120</t>
  </si>
  <si>
    <t>Arizona Board Of Pharmacy</t>
  </si>
  <si>
    <t>Arizona CapPostConvictionPublicDefender</t>
  </si>
  <si>
    <t>Arizona Comm For Postsecondary Education</t>
  </si>
  <si>
    <t>Arizona Commission Of African-American Affairs</t>
  </si>
  <si>
    <t>Arizona Department Of Child Safety</t>
  </si>
  <si>
    <t>Arizona Dept Of Corrections</t>
  </si>
  <si>
    <t>Arizona Dept Of Economic Security</t>
  </si>
  <si>
    <t>Arizona Dept Of Education</t>
  </si>
  <si>
    <t>Arizona Dept Of Emergency &amp; Mil Affairs</t>
  </si>
  <si>
    <t>109260</t>
  </si>
  <si>
    <t>109300</t>
  </si>
  <si>
    <t>Arizona Law Enforcement Merit SysCouncil</t>
  </si>
  <si>
    <t>Arizona Registrar Of Contractors</t>
  </si>
  <si>
    <t>Arizona ResidentialUtilityConsumerOffice</t>
  </si>
  <si>
    <t>Arizona Secretary Of State</t>
  </si>
  <si>
    <t>103680</t>
  </si>
  <si>
    <t>109040</t>
  </si>
  <si>
    <t>109070</t>
  </si>
  <si>
    <t>101590</t>
  </si>
  <si>
    <t>101410</t>
  </si>
  <si>
    <t>103940</t>
  </si>
  <si>
    <t>101430</t>
  </si>
  <si>
    <t>101030</t>
  </si>
  <si>
    <t>102700</t>
  </si>
  <si>
    <t>109990</t>
  </si>
  <si>
    <t>103870</t>
  </si>
  <si>
    <t>496750</t>
  </si>
  <si>
    <t>103100</t>
  </si>
  <si>
    <t>103220</t>
  </si>
  <si>
    <t>103260</t>
  </si>
  <si>
    <t>109080</t>
  </si>
  <si>
    <t>306890</t>
  </si>
  <si>
    <t>101800</t>
  </si>
  <si>
    <t>497510</t>
  </si>
  <si>
    <t>109190</t>
  </si>
  <si>
    <t>AZ Sch For Integrated Academics &amp; Tech</t>
  </si>
  <si>
    <t>Blueprint Educ. (Hope HS, Blueprint HS)</t>
  </si>
  <si>
    <t>109250</t>
  </si>
  <si>
    <t>103650</t>
  </si>
  <si>
    <t>107700</t>
  </si>
  <si>
    <t>104750</t>
  </si>
  <si>
    <t>101510</t>
  </si>
  <si>
    <t>101920</t>
  </si>
  <si>
    <t>104140</t>
  </si>
  <si>
    <t>101170</t>
  </si>
  <si>
    <t>103980</t>
  </si>
  <si>
    <t>109110</t>
  </si>
  <si>
    <t>493880</t>
  </si>
  <si>
    <t>300470</t>
  </si>
  <si>
    <t>462530</t>
  </si>
  <si>
    <t>492310</t>
  </si>
  <si>
    <t>308090</t>
  </si>
  <si>
    <t>300440</t>
  </si>
  <si>
    <t>497500</t>
  </si>
  <si>
    <t>109280</t>
  </si>
  <si>
    <t>304040</t>
  </si>
  <si>
    <t>302870</t>
  </si>
  <si>
    <t>450400</t>
  </si>
  <si>
    <t>492200</t>
  </si>
  <si>
    <t>302240</t>
  </si>
  <si>
    <t>307430</t>
  </si>
  <si>
    <t>200280</t>
  </si>
  <si>
    <t>300310</t>
  </si>
  <si>
    <t>492260</t>
  </si>
  <si>
    <t>302080</t>
  </si>
  <si>
    <t>306910</t>
  </si>
  <si>
    <t>462090</t>
  </si>
  <si>
    <t>494760</t>
  </si>
  <si>
    <t>462020</t>
  </si>
  <si>
    <t>496080</t>
  </si>
  <si>
    <t>473220</t>
  </si>
  <si>
    <t>482320</t>
  </si>
  <si>
    <t>Central Arizona Project</t>
  </si>
  <si>
    <t>Charter Foundation (AmeriSchools Acad)</t>
  </si>
  <si>
    <t>Edkey (American Heritage Academy)</t>
  </si>
  <si>
    <t>El Centro for the Study of Primary and Secondary Education</t>
  </si>
  <si>
    <t>El Pueblo Integral - PFFS (University)</t>
  </si>
  <si>
    <t>El Pueblo Integral Teaching -Downtown</t>
  </si>
  <si>
    <t>500010</t>
  </si>
  <si>
    <t>500020</t>
  </si>
  <si>
    <t>Excalibur Charter School (Avalon Elem)</t>
  </si>
  <si>
    <t>Forest Lakes DWID</t>
  </si>
  <si>
    <t>Fort Huachuca Accommodation Sch</t>
  </si>
  <si>
    <t>Gila County Education Service Agency</t>
  </si>
  <si>
    <t>500630</t>
  </si>
  <si>
    <t>Griffin Foundation (CRftS Prep, FIMS)</t>
  </si>
  <si>
    <t>Groom Creek Fire District</t>
  </si>
  <si>
    <t>Ha:san Educational Services</t>
  </si>
  <si>
    <t>HCLC (Horizon Honors Elementary School)</t>
  </si>
  <si>
    <t>Heber-Overgaard Fire District</t>
  </si>
  <si>
    <t>Internat'l Commerce Sec Schls (Phx)</t>
  </si>
  <si>
    <t>302040</t>
  </si>
  <si>
    <t>500410</t>
  </si>
  <si>
    <t>McNary Elementary Sch Dist 23</t>
  </si>
  <si>
    <t>McNeal Elementary School Dist 55</t>
  </si>
  <si>
    <t>Mohave Education Services Coop. Inc.</t>
  </si>
  <si>
    <t>Mohave Valley Fire District</t>
  </si>
  <si>
    <t>Montezuma-Rimrock Fire District</t>
  </si>
  <si>
    <t>500640</t>
  </si>
  <si>
    <t>New School For The Arts &amp; Academics</t>
  </si>
  <si>
    <t>New School For The Arts &amp; Academics MS</t>
  </si>
  <si>
    <t>Paragon Preparatory Academy</t>
  </si>
  <si>
    <t>500620</t>
  </si>
  <si>
    <t>Pathways KM Chtr Schls (Rimrock Pub HS)</t>
  </si>
  <si>
    <t>Phx Schl Of Acad Excellence (Learn Inst)</t>
  </si>
  <si>
    <t>Pima County Joint Tech Education Dist</t>
  </si>
  <si>
    <t>Pinal County School Education Services</t>
  </si>
  <si>
    <t>Sedona Fire District</t>
  </si>
  <si>
    <t>Sedona-Oak Creek Airport Authority, Inc</t>
  </si>
  <si>
    <t>500610</t>
  </si>
  <si>
    <t>Timber Mesa Fire And Medical District</t>
  </si>
  <si>
    <t>500210</t>
  </si>
  <si>
    <t>Western Arizona Vocational Education #50</t>
  </si>
  <si>
    <t>Western Maricopa Education Center</t>
  </si>
  <si>
    <t>Yavapai Co. Education Service Agency</t>
  </si>
  <si>
    <t>Accelerated Elementary and Secondary Schools</t>
  </si>
  <si>
    <t>Acclaim Charter School</t>
  </si>
  <si>
    <t>Agua Fria Union High School District #216</t>
  </si>
  <si>
    <t>Aguila Elementary School District #63</t>
  </si>
  <si>
    <t>AIBT Non-Profit Charter High School</t>
  </si>
  <si>
    <t>Ajo Unified School District</t>
  </si>
  <si>
    <t>Akimel O'Otham Pee Posh (3-5)</t>
  </si>
  <si>
    <t>Akimel O'Otham Pee Posh (K-2)</t>
  </si>
  <si>
    <t>Alhambra Elementary District #68</t>
  </si>
  <si>
    <t>Alpine Elementary School District #7</t>
  </si>
  <si>
    <t>Altar Valley School District #51</t>
  </si>
  <si>
    <t>American Basic Schools</t>
  </si>
  <si>
    <t>Amphitheater Unified School District #10</t>
  </si>
  <si>
    <t>Antelope Union High School District #50</t>
  </si>
  <si>
    <t>Apache County Superintendent of Schools</t>
  </si>
  <si>
    <t>Apache Elementary School District #42</t>
  </si>
  <si>
    <t>Apache Junction Unified School District #43</t>
  </si>
  <si>
    <t>Apache Junction Water District</t>
  </si>
  <si>
    <t>Apache Junction, City of</t>
  </si>
  <si>
    <t>Aprender Tucson</t>
  </si>
  <si>
    <t>Arizona Acupuncture Board of Examiners</t>
  </si>
  <si>
    <t>Arizona Agribusiness &amp; Equine Center</t>
  </si>
  <si>
    <t>Arizona Association of Counties</t>
  </si>
  <si>
    <t>Arizona Board of Athletic Training</t>
  </si>
  <si>
    <t>Arizona Board of Chiropractic Examiners</t>
  </si>
  <si>
    <t>Arizona Board of Executive Clemency</t>
  </si>
  <si>
    <t>Arizona Board of Fingerprinting</t>
  </si>
  <si>
    <t>Arizona Board of Funeral Directors &amp; Embalmers</t>
  </si>
  <si>
    <t>Arizona Board of Homeopathic and Integrated Medicine Examiners</t>
  </si>
  <si>
    <t>Arizona Board of Nursing Care Examiners</t>
  </si>
  <si>
    <t>Arizona Board of Occupational Therapy Examiners</t>
  </si>
  <si>
    <t>Arizona Board of Osteopathic Examiners</t>
  </si>
  <si>
    <t>Arizona Board of Podiatry Examiners</t>
  </si>
  <si>
    <t>Arizona Board of Psychologist Examiners</t>
  </si>
  <si>
    <t>Arizona Board of Regents</t>
  </si>
  <si>
    <t>Arizona Board of Tax Appeals</t>
  </si>
  <si>
    <t>Arizona Capital Post Conviction Public Defender</t>
  </si>
  <si>
    <t>460000</t>
  </si>
  <si>
    <t>Arizona Charter Academy</t>
  </si>
  <si>
    <t>Arizona Commission for Postsecondary Education</t>
  </si>
  <si>
    <t>Arizona Commission for the Deaf and Hard of Hearing</t>
  </si>
  <si>
    <t>Arizona Commission of African American Affairs</t>
  </si>
  <si>
    <t>Arizona Commission on the Arts</t>
  </si>
  <si>
    <t>Arizona Community Development Corporation (La Paloma Academy)</t>
  </si>
  <si>
    <t>Arizona Cotton Research and Protection Council</t>
  </si>
  <si>
    <t>Arizona Court of Appeals Division One</t>
  </si>
  <si>
    <t>Arizona Court of Appeals Division Two</t>
  </si>
  <si>
    <t>Arizona Department of Administration</t>
  </si>
  <si>
    <t>Arizona Department of Agriculture</t>
  </si>
  <si>
    <t>Arizona Department of Child Safety</t>
  </si>
  <si>
    <t>Arizona Department of Corrections</t>
  </si>
  <si>
    <t>Arizona Department of Economic Security</t>
  </si>
  <si>
    <t>Arizona Department of Education</t>
  </si>
  <si>
    <t>Arizona Department of Emergency &amp; Military Affairs</t>
  </si>
  <si>
    <t>Arizona Department of Environmental Quality</t>
  </si>
  <si>
    <t>Arizona Department of Financial Institutions</t>
  </si>
  <si>
    <t>Arizona Department of Fire, Building and Life Safety</t>
  </si>
  <si>
    <t>Arizona Department of Gaming</t>
  </si>
  <si>
    <t>Arizona Department of Gaming / Racing Division</t>
  </si>
  <si>
    <t>Arizona Department of Health Services</t>
  </si>
  <si>
    <t>Arizona Department of Homeland Security</t>
  </si>
  <si>
    <t>Arizona Department of Housing</t>
  </si>
  <si>
    <t>Arizona Department of Insurance</t>
  </si>
  <si>
    <t>Arizona Department of Juvenile Corrections</t>
  </si>
  <si>
    <t>Arizona Department of Liquor Licenses and Control</t>
  </si>
  <si>
    <t>Arizona Department of Public Safety</t>
  </si>
  <si>
    <t>Arizona Department of Real Estate</t>
  </si>
  <si>
    <t>Arizona Department of Revenue</t>
  </si>
  <si>
    <t>Arizona Department of Transportation</t>
  </si>
  <si>
    <t>Arizona Department of Veterans' Services</t>
  </si>
  <si>
    <t>Arizona Department of Water Resources</t>
  </si>
  <si>
    <t>Arizona Department of Weights and Measures</t>
  </si>
  <si>
    <t>Arizona Early Childhood Development and Health Board</t>
  </si>
  <si>
    <t>Arizona Finance Authority</t>
  </si>
  <si>
    <t>Arizona Game and Fish Department</t>
  </si>
  <si>
    <t>Arizona Geological Survey, The</t>
  </si>
  <si>
    <t>109330</t>
  </si>
  <si>
    <t>Arizona Health Care Cost Containment System</t>
  </si>
  <si>
    <t>Arizona House of Representatives</t>
  </si>
  <si>
    <t>Arizona Independent Redistricting Commission</t>
  </si>
  <si>
    <t>Arizona Industrial Development Authority</t>
  </si>
  <si>
    <t>Arizona Joint Legislative Budget Committee</t>
  </si>
  <si>
    <t>Arizona Law Enforcement Merit System Council</t>
  </si>
  <si>
    <t>Arizona Montesori Charter School at Anthem</t>
  </si>
  <si>
    <t>Arizona Municipal Water Users Association</t>
  </si>
  <si>
    <t>Arizona Naturopathic Physicians Board of Medical Examiners</t>
  </si>
  <si>
    <t>Arizona Navigable Streams Adjudication Commission</t>
  </si>
  <si>
    <t>Arizona Office of Administrative Hearings</t>
  </si>
  <si>
    <t>Arizona Office of Economic Opportunity</t>
  </si>
  <si>
    <t>Arizona Office of Equal Opportunity</t>
  </si>
  <si>
    <t>Arizona Office of Pest Management</t>
  </si>
  <si>
    <t>Arizona Office of the Auditor General</t>
  </si>
  <si>
    <t>Arizona Office of Tourism</t>
  </si>
  <si>
    <t>Arizona Prosecuting Attorneys' Advisory Council</t>
  </si>
  <si>
    <t>Arizona Registrar of Contractors</t>
  </si>
  <si>
    <t>Arizona Residential Utility Consumer Office</t>
  </si>
  <si>
    <t>Arizona School for Integrated Academics and Technologies, Inc.</t>
  </si>
  <si>
    <t>Arizona School for the Arts</t>
  </si>
  <si>
    <t>Arizona Secretary of State</t>
  </si>
  <si>
    <t>Arizona Sports and Tourism Authority</t>
  </si>
  <si>
    <t>Arizona State Board for Charter Schools</t>
  </si>
  <si>
    <t>Arizona State Board for Private Postsecondary Education</t>
  </si>
  <si>
    <t>Arizona State Board of Accountancy</t>
  </si>
  <si>
    <t>Arizona State Board of Barbers</t>
  </si>
  <si>
    <t>Arizona State Board of Behavioral Health Examiners</t>
  </si>
  <si>
    <t>Arizona State Board Of Cosmetology</t>
  </si>
  <si>
    <t>Arizona State Board of Dental Examiners</t>
  </si>
  <si>
    <t>Arizona State Board Of Dispensing Opticians</t>
  </si>
  <si>
    <t>Arizona State Board of Education</t>
  </si>
  <si>
    <t>Arizona State Board of Massage Therapy</t>
  </si>
  <si>
    <t>501210</t>
  </si>
  <si>
    <t>109320</t>
  </si>
  <si>
    <t>Arizona State Board of Nursing</t>
  </si>
  <si>
    <t>Arizona State Board Of Optometry</t>
  </si>
  <si>
    <t>Arizona State Board of Pharmacy</t>
  </si>
  <si>
    <t>Arizona State Board of Physical Therapy</t>
  </si>
  <si>
    <t>Arizona State Board of Respiratory Care Examiners</t>
  </si>
  <si>
    <t>Arizona State Board of Technical Registration</t>
  </si>
  <si>
    <t>Arizona State Forestry Division</t>
  </si>
  <si>
    <t>Arizona State Land Department</t>
  </si>
  <si>
    <t>Arizona State Lottery</t>
  </si>
  <si>
    <t>Arizona State Personnel Board</t>
  </si>
  <si>
    <t>Arizona State Schools for the Deaf and the Blind</t>
  </si>
  <si>
    <t>Arizona State Veterinary Medical Examining Board</t>
  </si>
  <si>
    <t>Arizona Water Infrastructure Finance Authority</t>
  </si>
  <si>
    <t>Arlington Elementary School District #47</t>
  </si>
  <si>
    <t>Arts Academy at Estrella Mountain</t>
  </si>
  <si>
    <t>Arts Academy at Scottsdale</t>
  </si>
  <si>
    <t>Ash Creek Elementary School District #53</t>
  </si>
  <si>
    <t>Ash Fork Joint Unified School District #31</t>
  </si>
  <si>
    <t>Avondale, City of</t>
  </si>
  <si>
    <t>Baboquivari Unified chool District #40</t>
  </si>
  <si>
    <t>Bagdad Unified School District</t>
  </si>
  <si>
    <t>Balsz Elementary School District #31</t>
  </si>
  <si>
    <t>Beaver Creek Elementary School Dist #26</t>
  </si>
  <si>
    <t>Benson Unified School District #9</t>
  </si>
  <si>
    <t>Benson, City of</t>
  </si>
  <si>
    <t>Bicentennial Union High School District #76</t>
  </si>
  <si>
    <t>Bisbee Unified School District #2</t>
  </si>
  <si>
    <t>Bisbee, City of</t>
  </si>
  <si>
    <t>Blue Elementary School District #22</t>
  </si>
  <si>
    <t>Blue Ridge Unified School District #32</t>
  </si>
  <si>
    <t>Blueprint Education (Hope HS, Blueprint HS)</t>
  </si>
  <si>
    <t>Bonita Elementary School District #16</t>
  </si>
  <si>
    <t>Bouse Elementary School District #26</t>
  </si>
  <si>
    <t>Bowie Unified School District #14</t>
  </si>
  <si>
    <t>Buckeye Elementary School District #33</t>
  </si>
  <si>
    <t>Buckeye Union High School District #201</t>
  </si>
  <si>
    <t>Buckeye Water Conservation &amp; Drainage District</t>
  </si>
  <si>
    <t>Buckeye, City of</t>
  </si>
  <si>
    <t>Bullhead City Elementary School District #15</t>
  </si>
  <si>
    <t>Camp Verde Unified School District #28</t>
  </si>
  <si>
    <t>Camp Verde, Town Of</t>
  </si>
  <si>
    <t>Canon Elementary School District #50</t>
  </si>
  <si>
    <t>Carefree, Town of</t>
  </si>
  <si>
    <t>Carpe Diem Collegiate High School (Academy)</t>
  </si>
  <si>
    <t>Cartwright Elementary School District #83</t>
  </si>
  <si>
    <t>Casa Grande Elementary School District #4</t>
  </si>
  <si>
    <t>Casa Grande Union High School District #82</t>
  </si>
  <si>
    <t>Casa Grande, City of</t>
  </si>
  <si>
    <t>Catalina Foothills School District #16</t>
  </si>
  <si>
    <t>Cave Creek Unified School District No. 93</t>
  </si>
  <si>
    <t>Cave Creek, Town of</t>
  </si>
  <si>
    <t>Central Arizona Association Of Governments</t>
  </si>
  <si>
    <t>Central Arizona Fire And Medical Authority</t>
  </si>
  <si>
    <t>Central Arizona Valley Institute Of Technology</t>
  </si>
  <si>
    <t>Chandler Unified School District #80</t>
  </si>
  <si>
    <t>Chandler, City of</t>
  </si>
  <si>
    <t>Charter Foundation, The (AmeriSchools Academy)</t>
  </si>
  <si>
    <t>Chevelon Butte Elementary School District #5</t>
  </si>
  <si>
    <t>Chinle Unified School District #24</t>
  </si>
  <si>
    <t>Chino Valley Unified School District #51</t>
  </si>
  <si>
    <t>500650</t>
  </si>
  <si>
    <t>Chino Valley, Town of</t>
  </si>
  <si>
    <t>CITY Center For Collaborative Learning (City HS)</t>
  </si>
  <si>
    <t>Clarkdale, Town of</t>
  </si>
  <si>
    <t>Clarkdale-Jerome Elementary School District #3</t>
  </si>
  <si>
    <t>Clifton Unified School District #3</t>
  </si>
  <si>
    <t>Clifton, Town of</t>
  </si>
  <si>
    <t>Cochise Elementary School District #26</t>
  </si>
  <si>
    <t>Cochise Technology District #1</t>
  </si>
  <si>
    <t>Coconino County Regional Accommodation School District</t>
  </si>
  <si>
    <t>Colorado City Unified School District #14</t>
  </si>
  <si>
    <t>Colorado River Sewage System Joint Venture</t>
  </si>
  <si>
    <t>Colorado River Union High School District #2</t>
  </si>
  <si>
    <t>Concho Elementary School District #6</t>
  </si>
  <si>
    <t>Congress Elementary School District #17</t>
  </si>
  <si>
    <t>Continental School District</t>
  </si>
  <si>
    <t>Coolidge Unified School District 21</t>
  </si>
  <si>
    <t>Coolidge, City of</t>
  </si>
  <si>
    <t>Copper Canyon Fire and Medical Authority</t>
  </si>
  <si>
    <t>Cottonwood, City of</t>
  </si>
  <si>
    <t>Cottonwood-Oak Creek Elementary School District</t>
  </si>
  <si>
    <t>County Of Santa Cruz Elementary School District</t>
  </si>
  <si>
    <t>Crane Elementary School District #13</t>
  </si>
  <si>
    <t>Creighton Elementary School District #14</t>
  </si>
  <si>
    <t>Crown King Elementary School District #41</t>
  </si>
  <si>
    <t>Crown King Fire District</t>
  </si>
  <si>
    <t>Daisy Education Corporation (Sonoran Science Academy - Phoenix)</t>
  </si>
  <si>
    <t>Daisy Education Corporation (Sonoran Science Academy - Tucson)</t>
  </si>
  <si>
    <t>Dan Hinton Accommodation School: Graham County Special Services</t>
  </si>
  <si>
    <t>Deer Valley Unified School District #97</t>
  </si>
  <si>
    <t>Desert Mosaic School</t>
  </si>
  <si>
    <t>500810</t>
  </si>
  <si>
    <t>Double Adobe Elementary School District #45</t>
  </si>
  <si>
    <t>Douglas Unified School District #27</t>
  </si>
  <si>
    <t>Douglas, City of</t>
  </si>
  <si>
    <t>Duncan Unified School District #2</t>
  </si>
  <si>
    <t>Duncan, Town of</t>
  </si>
  <si>
    <t>Dysart Unified School District 89</t>
  </si>
  <si>
    <t>Eagar, Town of</t>
  </si>
  <si>
    <t>East Valley Educational Services (East Valley Academy)</t>
  </si>
  <si>
    <t>Edge High School</t>
  </si>
  <si>
    <t>Edkey (Arizona Conservatory for Arts and Academics Elementary School)</t>
  </si>
  <si>
    <t>Edkey (AZ Conservatory for Arts &amp; Academics)</t>
  </si>
  <si>
    <t>Edkey (Sequoia Ranch School: Children First Academy)</t>
  </si>
  <si>
    <t>Edkey (Sequoia School Deaf &amp; Hard Of Hearing)</t>
  </si>
  <si>
    <t>EduPreneurship Student Center (Phoenix)</t>
  </si>
  <si>
    <t>EduPrize Schools</t>
  </si>
  <si>
    <t>El Mirage, City of</t>
  </si>
  <si>
    <t>El Pueblo Integral - (Paulo Freire FS/PF2)</t>
  </si>
  <si>
    <t>El Pueblo Integral - (Paulo Freire FS-University)</t>
  </si>
  <si>
    <t>Elfrida Elementary School District #12</t>
  </si>
  <si>
    <t>Eloy Elementary School District #11</t>
  </si>
  <si>
    <t>Eloy Fire District</t>
  </si>
  <si>
    <t>Eloy, City of</t>
  </si>
  <si>
    <t>Espiritu Community Development Corporation (NFL YET)</t>
  </si>
  <si>
    <t>Excalibur Charter School (Avalon Elementary)</t>
  </si>
  <si>
    <t>Flagstaff Unified School District #1</t>
  </si>
  <si>
    <t>Flagstaff, City of</t>
  </si>
  <si>
    <t>Florence Unified School District No. 1</t>
  </si>
  <si>
    <t>Florence, Town of</t>
  </si>
  <si>
    <t>Flowing Wells Unified School District #8</t>
  </si>
  <si>
    <t>Forest Lakes Domestic Water Improvement District</t>
  </si>
  <si>
    <t>Fort Huachuca Accommodation Schools</t>
  </si>
  <si>
    <t>Fort Thomas Unified School District #7</t>
  </si>
  <si>
    <t>Fountain Hills Unified School District #98</t>
  </si>
  <si>
    <t>Fowler Elementary School District #45</t>
  </si>
  <si>
    <t>Fredonia, Town of</t>
  </si>
  <si>
    <t>Fredonia-Moccasin Unified School District #6</t>
  </si>
  <si>
    <t>Gadsden Elementary School District #32</t>
  </si>
  <si>
    <t>Ganado Unified School District #20</t>
  </si>
  <si>
    <t>Gila Bend Unified School District #24</t>
  </si>
  <si>
    <t>Gila Bend, Town of</t>
  </si>
  <si>
    <t>Gilbert, Town of</t>
  </si>
  <si>
    <t>Glendale Elementary School District</t>
  </si>
  <si>
    <t>Glendale Union High School District #205</t>
  </si>
  <si>
    <t>Glendale, City of</t>
  </si>
  <si>
    <t>Globe Unified School District #1</t>
  </si>
  <si>
    <t>Globe, City of</t>
  </si>
  <si>
    <t>Goodyear, City of</t>
  </si>
  <si>
    <t>Grand Canyon College Preparatory Charter School</t>
  </si>
  <si>
    <t>Grand Canyon Unified School District</t>
  </si>
  <si>
    <t>Greenlee County Accommodation School</t>
  </si>
  <si>
    <t>Griffin Foundation (Children Reaching for the Sky Preparatory, FIMS)</t>
  </si>
  <si>
    <t>Guadalupe, Town of</t>
  </si>
  <si>
    <t>Hackberry Elementary School District #3</t>
  </si>
  <si>
    <t>Harquahala Valley Irrigation District</t>
  </si>
  <si>
    <t>Hayden, Town of</t>
  </si>
  <si>
    <t>Hayden-Winkelman Unified School District #41</t>
  </si>
  <si>
    <t>Heber-Overgaard Unified School District #6</t>
  </si>
  <si>
    <t>Highlands Fire District</t>
  </si>
  <si>
    <t>Higley Unified School District #60</t>
  </si>
  <si>
    <t>Hillside Elementary School District #35</t>
  </si>
  <si>
    <t>Holbrook Unified School District #3</t>
  </si>
  <si>
    <t>Holbrook, City of</t>
  </si>
  <si>
    <t>Horizon Community Learning Center (Horizon Honors Elementary School)</t>
  </si>
  <si>
    <t>Horizon Community Learning Center (Horizon Honors Secondary School)</t>
  </si>
  <si>
    <t>Housing Authority of the City of Yuma</t>
  </si>
  <si>
    <t>Humanities &amp; Sciences Academy (Tempe)</t>
  </si>
  <si>
    <t>Humboldt Unified School District #22</t>
  </si>
  <si>
    <t>Hyder Elementary School District #16</t>
  </si>
  <si>
    <t>Incito Schools</t>
  </si>
  <si>
    <t>Intelli School</t>
  </si>
  <si>
    <t>International Commerce Secondary Schools (Phoenix)</t>
  </si>
  <si>
    <t>Isaac School District #5</t>
  </si>
  <si>
    <t>J.O. Combs Unified School District</t>
  </si>
  <si>
    <t>James Sandoval Preparatory High Scholl (Crown Point)</t>
  </si>
  <si>
    <t>Joseph City Schools</t>
  </si>
  <si>
    <t>Juniper Tree Academy (Desert View Academy)</t>
  </si>
  <si>
    <t>Kayenta Unified School District #27</t>
  </si>
  <si>
    <t>Kearny, Town of</t>
  </si>
  <si>
    <t>Khalsa Montessori School</t>
  </si>
  <si>
    <t>Kingman Academy of Learning</t>
  </si>
  <si>
    <t>Kingman Unified School District #20</t>
  </si>
  <si>
    <t>Kingman, City of</t>
  </si>
  <si>
    <t>Kirkland Elementary School District #23</t>
  </si>
  <si>
    <t>Kyrene School District #28</t>
  </si>
  <si>
    <t>Lake Havasu Unified School District #1</t>
  </si>
  <si>
    <t>Lake Havasu, City of</t>
  </si>
  <si>
    <t>Lakeside Fire District</t>
  </si>
  <si>
    <t>Laveen Elementary School District #59</t>
  </si>
  <si>
    <t>League of Arizona Cities and Towns</t>
  </si>
  <si>
    <t>Liberty Elementary School District #25</t>
  </si>
  <si>
    <t>500830</t>
  </si>
  <si>
    <t>Life Skills Center of Arizona</t>
  </si>
  <si>
    <t>Linden Fire Department</t>
  </si>
  <si>
    <t>Litchfield Elementary School District #79</t>
  </si>
  <si>
    <t>Litchfield Park, City of</t>
  </si>
  <si>
    <t>Littlefield Unified School District #9</t>
  </si>
  <si>
    <t>Littleton Elementary School District #65</t>
  </si>
  <si>
    <t>Madison School District #38</t>
  </si>
  <si>
    <t>Maine Consolidated School District #10</t>
  </si>
  <si>
    <t>Mammoth-San Manuel Unified School District #8</t>
  </si>
  <si>
    <t>Marana Domestic Water Improvement District</t>
  </si>
  <si>
    <t>Marana Unified School District #6</t>
  </si>
  <si>
    <t>Marana, Town of</t>
  </si>
  <si>
    <t>Maricopa Association of Governments</t>
  </si>
  <si>
    <t>Maricopa County Community College District</t>
  </si>
  <si>
    <t>Maricopa County Municipal Water Conservation District #1</t>
  </si>
  <si>
    <t>Maricopa County Regional School District #509</t>
  </si>
  <si>
    <t>Maricopa County Special Health Care District</t>
  </si>
  <si>
    <t>Maricopa Unified School District #20</t>
  </si>
  <si>
    <t>Maricopa, City of</t>
  </si>
  <si>
    <t>Mary C O'Brien Accommodation District #90</t>
  </si>
  <si>
    <t>Mary Ellen Halvorson Educational Foundation: Tri-City College Prep High School</t>
  </si>
  <si>
    <t>Mayer Unified School District #43</t>
  </si>
  <si>
    <t>McNary Elementary School District #23</t>
  </si>
  <si>
    <t>McNeal Elementary School District #55</t>
  </si>
  <si>
    <t>Mesa Unified School District #4</t>
  </si>
  <si>
    <t>Mesa, City of</t>
  </si>
  <si>
    <t>Metropolitan Domestic Water Improvement District</t>
  </si>
  <si>
    <t>Miami Unified School District #40</t>
  </si>
  <si>
    <t>Miami, Town of</t>
  </si>
  <si>
    <t>Mingus Union High School District #4</t>
  </si>
  <si>
    <t>Mobile Elementary School District #86</t>
  </si>
  <si>
    <t>Mohave Educational Services Cooperative</t>
  </si>
  <si>
    <t>Mohave Valley Elementary School District #16</t>
  </si>
  <si>
    <t>Mohave Valley Fire Department</t>
  </si>
  <si>
    <t>Mohawk Valley Elementary District #17</t>
  </si>
  <si>
    <t>Montezuma Rimrock Fire District</t>
  </si>
  <si>
    <t>Morenci Unified School District #18</t>
  </si>
  <si>
    <t>Morristown Elementary School District #75</t>
  </si>
  <si>
    <t>Mountain Institute JTED #2</t>
  </si>
  <si>
    <t>Mt Lemmon Domestic Water Improvement District</t>
  </si>
  <si>
    <t>Murphy Elementary School District #21</t>
  </si>
  <si>
    <t>Naco Elementary School District No. 23</t>
  </si>
  <si>
    <t>Nadaburg Unified School District No. 81</t>
  </si>
  <si>
    <t>Navajo County Accommodation District #99</t>
  </si>
  <si>
    <t>Navajo County Airzona - Special Services Consortium</t>
  </si>
  <si>
    <t>Navajo County Arizona - Hope School</t>
  </si>
  <si>
    <t>Navajo County Arizona - Superintendent of Schools</t>
  </si>
  <si>
    <t>New Magma Irrigation &amp; Drainage District</t>
  </si>
  <si>
    <t>New School for the Arts &amp; Academics</t>
  </si>
  <si>
    <t>New School for the Arts Middle School</t>
  </si>
  <si>
    <t>Nogales Unified School District #1</t>
  </si>
  <si>
    <t>Nogales, City of</t>
  </si>
  <si>
    <t>North Star Charter School Inc.</t>
  </si>
  <si>
    <t>Northeast Arizona Technological Institute of Vocational Education</t>
  </si>
  <si>
    <t>Northern Apache Special Health Care District</t>
  </si>
  <si>
    <t>Northern Arizona Academy for Career Development</t>
  </si>
  <si>
    <t>Northern Arizona Consolidated Fire District</t>
  </si>
  <si>
    <t>Northern Arizona Council of Governments</t>
  </si>
  <si>
    <t>Northern Arizona Council of Governments - Head Start</t>
  </si>
  <si>
    <t>Northern Arizona Intergovernmental Public Transportation Authority</t>
  </si>
  <si>
    <t>Northern Arizona Vocational Institute of Technology</t>
  </si>
  <si>
    <t>Oracle School District #2</t>
  </si>
  <si>
    <t>Oro Valley, Town of</t>
  </si>
  <si>
    <t>Osborn School District #8</t>
  </si>
  <si>
    <t>Owens-Whitney Elementary School District #6</t>
  </si>
  <si>
    <t>PACE Academy</t>
  </si>
  <si>
    <t>Page Unified School District #8</t>
  </si>
  <si>
    <t>Page, City of</t>
  </si>
  <si>
    <t>Painted Rock Academy</t>
  </si>
  <si>
    <t>Palo Verde Elementary District #49</t>
  </si>
  <si>
    <t>Paloma Elementary School District #94</t>
  </si>
  <si>
    <t>Palominas Elementary School District #49</t>
  </si>
  <si>
    <t>Paradise Education Center, Paradise Honors High School</t>
  </si>
  <si>
    <t>Paradise Valley Unified School District #69</t>
  </si>
  <si>
    <t>Paradise Valley, Town of</t>
  </si>
  <si>
    <t>Paramount Academy</t>
  </si>
  <si>
    <t>Park View School, Inc.</t>
  </si>
  <si>
    <t>Parker Unified School District #27</t>
  </si>
  <si>
    <t>Parker, Town of</t>
  </si>
  <si>
    <t>Patagonia Elementary School District #6</t>
  </si>
  <si>
    <t>Patagonia Union High School District #20</t>
  </si>
  <si>
    <t>Patagonia, Town of</t>
  </si>
  <si>
    <t>Paulden Community School</t>
  </si>
  <si>
    <t>Payson Unified School District #10</t>
  </si>
  <si>
    <t>Payson, Town of</t>
  </si>
  <si>
    <t>Peach Springs Unified School District #8</t>
  </si>
  <si>
    <t>Pearce Elementary School District #22</t>
  </si>
  <si>
    <t>Pendergast Elementary School District #92</t>
  </si>
  <si>
    <t>Peoria Unified School District #11</t>
  </si>
  <si>
    <t>Peoria, City of</t>
  </si>
  <si>
    <t>Phoenix Elementary School District #1</t>
  </si>
  <si>
    <t>Phoenix School of Academic Excellence</t>
  </si>
  <si>
    <t>Phoenix Union High School District</t>
  </si>
  <si>
    <t>Phoenix-Mesa Gateway Airport Authority</t>
  </si>
  <si>
    <t>Picacho Elementary School District No. 33</t>
  </si>
  <si>
    <t>Picture Rocks Fire &amp; Medical District</t>
  </si>
  <si>
    <t>Pillar Academy of Business &amp; Finance</t>
  </si>
  <si>
    <t>Pima Accommodation District</t>
  </si>
  <si>
    <t>Pima Association of Governments</t>
  </si>
  <si>
    <t>Pima County Joint Technical Education District</t>
  </si>
  <si>
    <t>Pima County Reserve Fund 32</t>
  </si>
  <si>
    <t>Pima PP (Pima Partnership High School)</t>
  </si>
  <si>
    <t>Pima Unified School District #6</t>
  </si>
  <si>
    <t>450320</t>
  </si>
  <si>
    <t>Pima, Town of</t>
  </si>
  <si>
    <t>Pinal Count School Office Data Processing Services</t>
  </si>
  <si>
    <t>Pine Forest Charter School</t>
  </si>
  <si>
    <t>Pine Strawberry School District #12</t>
  </si>
  <si>
    <t>Pine-Strawberry Fire District</t>
  </si>
  <si>
    <t>Pinetop Fire Department</t>
  </si>
  <si>
    <t>Pinetop Water Community Facilities District</t>
  </si>
  <si>
    <t>Pinetop-Lakeside Sanitary District</t>
  </si>
  <si>
    <t>Pinetop-Lakeside, Town of</t>
  </si>
  <si>
    <t>Pinewood Fire Department</t>
  </si>
  <si>
    <t>Pinon Unified Shool District No. 4</t>
  </si>
  <si>
    <t>Pointe Schools</t>
  </si>
  <si>
    <t>Pomerene School District #64</t>
  </si>
  <si>
    <t>Ponderosa Park Domestic Water Improvement District</t>
  </si>
  <si>
    <t>Prescott Unified School District #1</t>
  </si>
  <si>
    <t>Prescott Valley Historical Society</t>
  </si>
  <si>
    <t>Prescott Valley School</t>
  </si>
  <si>
    <t>Prescott, City of</t>
  </si>
  <si>
    <t>Presidio Schools</t>
  </si>
  <si>
    <t>Public Safety Personnel Retirement System</t>
  </si>
  <si>
    <t>Quartzsite Elementary School District #4</t>
  </si>
  <si>
    <t>Queen Creek Unified School District #95</t>
  </si>
  <si>
    <t>Queen Creek, Town of</t>
  </si>
  <si>
    <t>Queen Valley Domestic Water Improvement District</t>
  </si>
  <si>
    <t>Ray Unified School District No. 3</t>
  </si>
  <si>
    <t>Red Mesa Unified School District #27</t>
  </si>
  <si>
    <t>Red Rock Elementary District #5</t>
  </si>
  <si>
    <t>Ridgeline Academy</t>
  </si>
  <si>
    <t>Rimrock Public High School</t>
  </si>
  <si>
    <t>Rio Rico Medical &amp; Fire District</t>
  </si>
  <si>
    <t>Riverside Elementary School District #2</t>
  </si>
  <si>
    <t>Roosevelt Elementary School District #66</t>
  </si>
  <si>
    <t>Rose Academies Public High Schools</t>
  </si>
  <si>
    <t>Round Valley Schools #10</t>
  </si>
  <si>
    <t>RSD high School</t>
  </si>
  <si>
    <t>Sacaton Elementary School District #18</t>
  </si>
  <si>
    <t>Saddle Mountain Unified School District #90</t>
  </si>
  <si>
    <t>Safford Unified School District #1</t>
  </si>
  <si>
    <t>Safford, City of</t>
  </si>
  <si>
    <t>Sahuarita Unified Schools #30</t>
  </si>
  <si>
    <t>Sahuarita, Town of</t>
  </si>
  <si>
    <t>Salome Consolidated Elementary School District #30</t>
  </si>
  <si>
    <t>Salt River Schools</t>
  </si>
  <si>
    <t>San Carlos Irrigation And Drainage District</t>
  </si>
  <si>
    <t>San Carlos Unified School District #20</t>
  </si>
  <si>
    <t>San Fernando Elementary School District #35</t>
  </si>
  <si>
    <t>San Luis, City of</t>
  </si>
  <si>
    <t>San Simon Unified School District #18</t>
  </si>
  <si>
    <t>Sanders Unified School District #18</t>
  </si>
  <si>
    <t>Santa Cruz Valley Unified School District No. 35</t>
  </si>
  <si>
    <t>Santa Cruz Valley Union High School District #840</t>
  </si>
  <si>
    <t>SC Jensen Corporation, Inc. dba Intelli-School</t>
  </si>
  <si>
    <t>Scottsdale Unified School District #48</t>
  </si>
  <si>
    <t>Scottsdale, City of</t>
  </si>
  <si>
    <t>Sedona, City of</t>
  </si>
  <si>
    <t>Sedona-Oak Creek Airport Authority</t>
  </si>
  <si>
    <t>Sedona-Oak Creek Unified School District #9</t>
  </si>
  <si>
    <t>Self Develompent Academy</t>
  </si>
  <si>
    <t>Seligman Unified School District #40</t>
  </si>
  <si>
    <t>Sentinel Elementary District No. 71</t>
  </si>
  <si>
    <t>Show low Unified School District #10</t>
  </si>
  <si>
    <t>Show Low, City of</t>
  </si>
  <si>
    <t>Sierra Oaks K-8</t>
  </si>
  <si>
    <t>Sierra Vista Unified School District #68</t>
  </si>
  <si>
    <t>Sierra Vista, City of</t>
  </si>
  <si>
    <t>Skull Valley School #15</t>
  </si>
  <si>
    <t>Skyline Prep High School</t>
  </si>
  <si>
    <t>Skyview School, Inc.</t>
  </si>
  <si>
    <t>Snowflake Unified School District #5</t>
  </si>
  <si>
    <t>Snowflake, Town of</t>
  </si>
  <si>
    <t>Solomon School #5</t>
  </si>
  <si>
    <t>Somerton School District No. 11</t>
  </si>
  <si>
    <t>Somerton, City of</t>
  </si>
  <si>
    <t>Sonoita Elementary School District #25</t>
  </si>
  <si>
    <t>Sonoran Science Academy Broadway K-8</t>
  </si>
  <si>
    <t>South Tucson, City of</t>
  </si>
  <si>
    <t>Southern Arizona Community Academy</t>
  </si>
  <si>
    <t>Southwest Technical Education District of Yuma</t>
  </si>
  <si>
    <t>Springerville, Town of</t>
  </si>
  <si>
    <t>St. David Unified School District #21</t>
  </si>
  <si>
    <t>St. Johns Unified School District</t>
  </si>
  <si>
    <t>St. Johns, City of</t>
  </si>
  <si>
    <t>Stanfield Elementary School District #24</t>
  </si>
  <si>
    <t>Star Valley, Town of</t>
  </si>
  <si>
    <t>State Board of Equalization</t>
  </si>
  <si>
    <t>Summit Fire &amp; Medical District</t>
  </si>
  <si>
    <t>Sunnyside Charter And Montessori School</t>
  </si>
  <si>
    <t>Sunnyside Unified School District</t>
  </si>
  <si>
    <t>Superior Unified School District #15</t>
  </si>
  <si>
    <t>Superior, Town of</t>
  </si>
  <si>
    <t>Superstition Mountains Community Facilities District No. 1</t>
  </si>
  <si>
    <t>Surprise, City of</t>
  </si>
  <si>
    <t>Tag Elementary Inc.</t>
  </si>
  <si>
    <t>Tanque Verde Unified School District #13</t>
  </si>
  <si>
    <t>Taylor, Town of</t>
  </si>
  <si>
    <t>Telesis Preparatory Academy</t>
  </si>
  <si>
    <t>Tempe Elementary School District #3</t>
  </si>
  <si>
    <t>Tempe Union School District No. 213</t>
  </si>
  <si>
    <t>Tempe, City of</t>
  </si>
  <si>
    <t>Thatcher Unified School District #4</t>
  </si>
  <si>
    <t>Thatcher, Town of</t>
  </si>
  <si>
    <t>Tolleson Elementary School District #17</t>
  </si>
  <si>
    <t>Tolleson Union High School District #214</t>
  </si>
  <si>
    <t>Tolleson, City of</t>
  </si>
  <si>
    <t>Toltec School District #22</t>
  </si>
  <si>
    <t>Tombstone Unified School District/Tombstone USD #1</t>
  </si>
  <si>
    <t>Tombstone, City of</t>
  </si>
  <si>
    <t>Tonto Basin School District #33</t>
  </si>
  <si>
    <t>501010</t>
  </si>
  <si>
    <t>Topock Elementary School #12</t>
  </si>
  <si>
    <t>Tuba City Unified School District #15</t>
  </si>
  <si>
    <t>Tucson Unified School District #1</t>
  </si>
  <si>
    <t>Tusayan, Town of</t>
  </si>
  <si>
    <t>Union Elementary School District No. 62</t>
  </si>
  <si>
    <t>University of Arizona, The</t>
  </si>
  <si>
    <t>Vail School District #20</t>
  </si>
  <si>
    <t>Valentine ESD #22</t>
  </si>
  <si>
    <t>Valley Academy</t>
  </si>
  <si>
    <t>Valley Academy for Career and Technology Education</t>
  </si>
  <si>
    <t>Valley Metro</t>
  </si>
  <si>
    <t>Valley School</t>
  </si>
  <si>
    <t>Valley Union High School #22</t>
  </si>
  <si>
    <t>Vechij Himdag Alternative School (Vechij Himdag MashchamakuD)</t>
  </si>
  <si>
    <t>Vernon Elementary School District #9</t>
  </si>
  <si>
    <t>Walnut Grove Elementary School District #7</t>
  </si>
  <si>
    <t>Washington Elementary School District #6</t>
  </si>
  <si>
    <t>Wellton Elementary Schoool #24</t>
  </si>
  <si>
    <t>Wellton, Town of</t>
  </si>
  <si>
    <t>Wenden Elementary School District #19</t>
  </si>
  <si>
    <t>White Mountain Summer Homes Water Improvement District</t>
  </si>
  <si>
    <t>Whiteriver Unified School District #20</t>
  </si>
  <si>
    <t>Wickenburg Unified School District #9</t>
  </si>
  <si>
    <t>Wickenburg, Town of</t>
  </si>
  <si>
    <t>Willcox Unified School District #13</t>
  </si>
  <si>
    <t>Willcox, City of</t>
  </si>
  <si>
    <t>Williams Unified School District #2</t>
  </si>
  <si>
    <t>Williams, City of</t>
  </si>
  <si>
    <t>Williamson Valley School District #2</t>
  </si>
  <si>
    <t>Willow Creek Charter</t>
  </si>
  <si>
    <t>Wilson School District No. 7</t>
  </si>
  <si>
    <t>Window Rock Unified School District #8</t>
  </si>
  <si>
    <t>Winslow Unified School District #1</t>
  </si>
  <si>
    <t>Winslow, City of</t>
  </si>
  <si>
    <t>Yarnell Elementary School District #52</t>
  </si>
  <si>
    <t>Yavapai Accommodation District #99</t>
  </si>
  <si>
    <t>Yavapai County Education Service Agency</t>
  </si>
  <si>
    <t>Young Elementary School District #5</t>
  </si>
  <si>
    <t>Young Scholar's Academy</t>
  </si>
  <si>
    <t>Youngtown, Town of</t>
  </si>
  <si>
    <t>Yucca Elementary School District #13</t>
  </si>
  <si>
    <t>Yuma County Intergovernmental Public Transportaion Authority</t>
  </si>
  <si>
    <t>Yuma County Superintendent's Office</t>
  </si>
  <si>
    <t>Yuma Elementary School District One</t>
  </si>
  <si>
    <t>Yuma Mesa Irrigation &amp; Drainage District</t>
  </si>
  <si>
    <t>Yuma Metropolitan Planning Organization</t>
  </si>
  <si>
    <t>Yuma Union High School District #70</t>
  </si>
  <si>
    <t>Yuma, City of</t>
  </si>
  <si>
    <t>500820</t>
  </si>
  <si>
    <t>Accelerated Elementary and Secondar</t>
  </si>
  <si>
    <t>Agua Fria Union High School Distric</t>
  </si>
  <si>
    <t>Aguila Elementary School District #</t>
  </si>
  <si>
    <t>Alpine Elementary School District #</t>
  </si>
  <si>
    <t>Amphitheater Unified School Distric</t>
  </si>
  <si>
    <t>Antelope Union High School District</t>
  </si>
  <si>
    <t>Apache County Superintendent of Sch</t>
  </si>
  <si>
    <t>Apache Elementary School District #</t>
  </si>
  <si>
    <t>Apache Junction Unified School Dist</t>
  </si>
  <si>
    <t>Arizona Acupuncture Board of Examin</t>
  </si>
  <si>
    <t>Arizona Agribusiness &amp; Equine Cente</t>
  </si>
  <si>
    <t>Arizona Board of Chiropractic Exami</t>
  </si>
  <si>
    <t>Arizona Board of Funeral Directors</t>
  </si>
  <si>
    <t>Arizona Board of Homeopathic and In</t>
  </si>
  <si>
    <t>Arizona Board of Nursing Care Exami</t>
  </si>
  <si>
    <t>Arizona Board of Occupational Thera</t>
  </si>
  <si>
    <t>Arizona Board of Osteopathic Examin</t>
  </si>
  <si>
    <t>Arizona Board of Psychologist Exami</t>
  </si>
  <si>
    <t>Arizona Capital Post Conviction Pub</t>
  </si>
  <si>
    <t>Arizona Commission for Postsecondar</t>
  </si>
  <si>
    <t>Arizona Commission for the Deaf and</t>
  </si>
  <si>
    <t>Arizona Commission of African Ameri</t>
  </si>
  <si>
    <t>Arizona Community Development Corpo</t>
  </si>
  <si>
    <t>Arizona Cotton Research and Protect</t>
  </si>
  <si>
    <t>Arizona Court of Appeals Division O</t>
  </si>
  <si>
    <t>Arizona Court of Appeals Division T</t>
  </si>
  <si>
    <t>Arizona Department of Administratio</t>
  </si>
  <si>
    <t>Arizona Department of Economic Secu</t>
  </si>
  <si>
    <t>Arizona Department of Emergency &amp; M</t>
  </si>
  <si>
    <t>Arizona Department of Environmental</t>
  </si>
  <si>
    <t>Arizona Department of Financial Ins</t>
  </si>
  <si>
    <t>Arizona Department of Fire, Buildin</t>
  </si>
  <si>
    <t>Arizona Department of Gaming / Raci</t>
  </si>
  <si>
    <t>Arizona Department of Health Servic</t>
  </si>
  <si>
    <t>Arizona Department of Homeland Secu</t>
  </si>
  <si>
    <t>Arizona Department of Juvenile Corr</t>
  </si>
  <si>
    <t>Arizona Department of Liquor Licens</t>
  </si>
  <si>
    <t>Arizona Department of Transportatio</t>
  </si>
  <si>
    <t>Arizona Department of Veterans' Ser</t>
  </si>
  <si>
    <t>Arizona Department of Water Resourc</t>
  </si>
  <si>
    <t>Arizona Department of Weights and M</t>
  </si>
  <si>
    <t>Arizona Early Childhood Development</t>
  </si>
  <si>
    <t>Arizona Fire &amp; Medical Authority</t>
  </si>
  <si>
    <t>Hellsgate Fire District</t>
  </si>
  <si>
    <t>501410</t>
  </si>
  <si>
    <t>501610</t>
  </si>
  <si>
    <t>Arizona Health Care Cost Containmen</t>
  </si>
  <si>
    <t>Arizona Independent Redistricting C</t>
  </si>
  <si>
    <t>Arizona Industrial Development Auth</t>
  </si>
  <si>
    <t>Arizona Joint Legislative Budget Co</t>
  </si>
  <si>
    <t>Arizona Law Enforcement Merit Syste</t>
  </si>
  <si>
    <t>Arizona Montesori Charter School at</t>
  </si>
  <si>
    <t>Arizona Municipal Water Users Assoc</t>
  </si>
  <si>
    <t>Arizona Naturopathic Physicians Boa</t>
  </si>
  <si>
    <t>Arizona Navigable Streams Adjudicat</t>
  </si>
  <si>
    <t>Arizona Office of Administrative He</t>
  </si>
  <si>
    <t>Arizona Office of Economic Opportun</t>
  </si>
  <si>
    <t>Arizona Office of the Auditor Gener</t>
  </si>
  <si>
    <t>Arizona Prosecuting Attorneys' Advi</t>
  </si>
  <si>
    <t>Arizona Residential Utility Consume</t>
  </si>
  <si>
    <t>Arizona School for Integrated Acade</t>
  </si>
  <si>
    <t>Arizona Sports and Tourism Authorit</t>
  </si>
  <si>
    <t>Arizona State Board for Charter Sch</t>
  </si>
  <si>
    <t>Arizona State Board for Private Pos</t>
  </si>
  <si>
    <t>Arizona State Board of Behavioral H</t>
  </si>
  <si>
    <t>Arizona State Board of Dental Exami</t>
  </si>
  <si>
    <t>Arizona State Board Of Dispensing O</t>
  </si>
  <si>
    <t>Arizona State Board of Massage Ther</t>
  </si>
  <si>
    <t>Arizona State Board of Physical The</t>
  </si>
  <si>
    <t>Arizona State Board of Respiratory</t>
  </si>
  <si>
    <t>Arizona State Board of Technical Re</t>
  </si>
  <si>
    <t>Arizona State Schools for the Deaf</t>
  </si>
  <si>
    <t>Arizona State Veterinary Medical Ex</t>
  </si>
  <si>
    <t>Arizona Water Infrastructure Financ</t>
  </si>
  <si>
    <t>Arlington Elementary School Distric</t>
  </si>
  <si>
    <t>Ash Creek Elementary School Distric</t>
  </si>
  <si>
    <t>Ash Fork Joint Unified School Distr</t>
  </si>
  <si>
    <t>Avondale Elementary School District</t>
  </si>
  <si>
    <t>Baboquivari Unified chool District</t>
  </si>
  <si>
    <t>Ball Charter Schools (Dobson Academ</t>
  </si>
  <si>
    <t>Ball Charter Schools (Hearn Academy</t>
  </si>
  <si>
    <t>Ball Charter Schools (Val Vista Aca</t>
  </si>
  <si>
    <t>Balsz Elementary School District #3</t>
  </si>
  <si>
    <t>Beaver Creek Elementary School Dist</t>
  </si>
  <si>
    <t>Bicentennial Union High School Dist</t>
  </si>
  <si>
    <t>Blue Ridge Unified School District</t>
  </si>
  <si>
    <t>Blueprint Education (Hope HS, Bluep</t>
  </si>
  <si>
    <t>Bonita Elementary School District #</t>
  </si>
  <si>
    <t>Bouse Elementary School District #2</t>
  </si>
  <si>
    <t>Buckeye Elementary School District</t>
  </si>
  <si>
    <t>Buckeye Union High School District</t>
  </si>
  <si>
    <t>Buckeye Water Conservation &amp; Draina</t>
  </si>
  <si>
    <t>Bullhead City Elementary School Dis</t>
  </si>
  <si>
    <t>Camp Verde Unified School District</t>
  </si>
  <si>
    <t>Canon Elementary School District #5</t>
  </si>
  <si>
    <t>Carpe Diem Collegiate High School (</t>
  </si>
  <si>
    <t>Cartwright Elementary School Distri</t>
  </si>
  <si>
    <t>Casa Grande Elementary School Distr</t>
  </si>
  <si>
    <t>Casa Grande Union High School Distr</t>
  </si>
  <si>
    <t>Catalina Foothills School District</t>
  </si>
  <si>
    <t>Cave Creek Unified School District</t>
  </si>
  <si>
    <t>Central Arizona Association Of Gove</t>
  </si>
  <si>
    <t>Central Arizona Fire And Medical Au</t>
  </si>
  <si>
    <t>Central Arizona Irrigation And Drai</t>
  </si>
  <si>
    <t>Central Arizona Valley Institute Of</t>
  </si>
  <si>
    <t>Chandler Unified School District #8</t>
  </si>
  <si>
    <t>Charter Foundation, The (AmeriSchoo</t>
  </si>
  <si>
    <t>Chevelon Butte Elementary School Di</t>
  </si>
  <si>
    <t>Chino Valley Unified School Distric</t>
  </si>
  <si>
    <t>CITY Center For Collaborative Learn</t>
  </si>
  <si>
    <t>Clarkdale-Jerome Elementary School</t>
  </si>
  <si>
    <t>Cochise Elementary School District</t>
  </si>
  <si>
    <t>Coconino County Regional Accommodat</t>
  </si>
  <si>
    <t>Colorado City Unified School Distri</t>
  </si>
  <si>
    <t>Colorado River Sewage System Joint</t>
  </si>
  <si>
    <t>Colorado River Union High School Di</t>
  </si>
  <si>
    <t>Concho Elementary School District #</t>
  </si>
  <si>
    <t>Congress Elementary School District</t>
  </si>
  <si>
    <t>Copper Canyon Fire and Medical Auth</t>
  </si>
  <si>
    <t>Cottonwood-Oak Creek Elementary Sch</t>
  </si>
  <si>
    <t>County Of Santa Cruz Elementary Sch</t>
  </si>
  <si>
    <t>County Supervisor Association Of Ar</t>
  </si>
  <si>
    <t>Crane Elementary School District #1</t>
  </si>
  <si>
    <t>Creighton Elementary School Distric</t>
  </si>
  <si>
    <t>Crown King Elementary School Distri</t>
  </si>
  <si>
    <t>Daisy Education Corporation (Sonora</t>
  </si>
  <si>
    <t>Dan Hinton Accommodation School: Gr</t>
  </si>
  <si>
    <t>Deer Valley Unified School District</t>
  </si>
  <si>
    <t>Double Adobe Elementary School Dist</t>
  </si>
  <si>
    <t>East Valley Educational Services (E</t>
  </si>
  <si>
    <t>Edkey (Arizona Conservatory for Art</t>
  </si>
  <si>
    <t>Edkey (AZ Conservatory for Arts &amp; A</t>
  </si>
  <si>
    <t>Edkey (Sequoia Ranch School: Childr</t>
  </si>
  <si>
    <t>Edkey (Sequoia School Deaf &amp; Hard O</t>
  </si>
  <si>
    <t>EduPreneurship Student Center (Phoe</t>
  </si>
  <si>
    <t>El Centro for the Study of Primary</t>
  </si>
  <si>
    <t>El Pueblo Integral - (Paulo Freire</t>
  </si>
  <si>
    <t>Elfrida Elementary School District</t>
  </si>
  <si>
    <t>Esperanza Community Collegial Acade</t>
  </si>
  <si>
    <t>Espiritu Community Development Corp</t>
  </si>
  <si>
    <t>Excalibur Charter School (Avalon El</t>
  </si>
  <si>
    <t>Flagstaff Arts And Leadership Acade</t>
  </si>
  <si>
    <t>Flagstaff Unified School District #</t>
  </si>
  <si>
    <t>Florence Unified School District No</t>
  </si>
  <si>
    <t>Flowing Wells Unified School Distri</t>
  </si>
  <si>
    <t>Forest Lakes Domestic Water Improve</t>
  </si>
  <si>
    <t>Fort Mojave Mesa Fire District</t>
  </si>
  <si>
    <t>Fort Thomas Unified School District</t>
  </si>
  <si>
    <t>Fountain Hills Unified School Distr</t>
  </si>
  <si>
    <t>Fowler Elementary School District #</t>
  </si>
  <si>
    <t>Fredonia-Moccasin Unified School Di</t>
  </si>
  <si>
    <t>Gadsden Elementary School District</t>
  </si>
  <si>
    <t>Gila Bend Unified School District #</t>
  </si>
  <si>
    <t>Gila County Education Service Agenc</t>
  </si>
  <si>
    <t>Gila County Regional School Distric</t>
  </si>
  <si>
    <t>Glendale Union High School District</t>
  </si>
  <si>
    <t>Grand Canyon College Preparatory Ch</t>
  </si>
  <si>
    <t>Grand Canyon Unified School Distric</t>
  </si>
  <si>
    <t>Green Valley Domestic Water Improve</t>
  </si>
  <si>
    <t>Greenlee County Accommodation Schoo</t>
  </si>
  <si>
    <t>Griffin Foundation (Children Reachi</t>
  </si>
  <si>
    <t>Hackberry Elementary School Distric</t>
  </si>
  <si>
    <t>Harquahala Valley Irrigation Distri</t>
  </si>
  <si>
    <t>Hayden-Winkelman Unified School Dis</t>
  </si>
  <si>
    <t>Heber-Overgaard Unified School Dist</t>
  </si>
  <si>
    <t>Hillside Elementary School District</t>
  </si>
  <si>
    <t>Horizon Community Learning Center (</t>
  </si>
  <si>
    <t>Housing Authority Of Maricopa Count</t>
  </si>
  <si>
    <t>Housing Authority of the City of Yu</t>
  </si>
  <si>
    <t>Humanities &amp; Sciences Academy (Temp</t>
  </si>
  <si>
    <t>Humboldt Unified School District #2</t>
  </si>
  <si>
    <t>Hyder Elementary School District #1</t>
  </si>
  <si>
    <t>International Commerce Secondary Sc</t>
  </si>
  <si>
    <t>James Sandoval Preparatory High Sch</t>
  </si>
  <si>
    <t>Juniper Tree Academy (Desert View A</t>
  </si>
  <si>
    <t>Kirkland Elementary School District</t>
  </si>
  <si>
    <t>Lake Havasu Unified School District</t>
  </si>
  <si>
    <t>Laveen Elementary School District #</t>
  </si>
  <si>
    <t>Liberty Elementary School District</t>
  </si>
  <si>
    <t>Litchfield Elementary School Distri</t>
  </si>
  <si>
    <t>Littlefield Unified School District</t>
  </si>
  <si>
    <t>Littleton Elementary School Distric</t>
  </si>
  <si>
    <t>Maine Consolidated School District</t>
  </si>
  <si>
    <t>Mammoth-San Manuel Unified School D</t>
  </si>
  <si>
    <t>Marana Domestic Water Improvement D</t>
  </si>
  <si>
    <t>Maricopa County Community College D</t>
  </si>
  <si>
    <t>Maricopa County Municipal Water Con</t>
  </si>
  <si>
    <t>Maricopa County Regional School Dis</t>
  </si>
  <si>
    <t>Maricopa County Special Health Care</t>
  </si>
  <si>
    <t>Maricopa Unified School District #2</t>
  </si>
  <si>
    <t>Mary C O'Brien Accommodation Distri</t>
  </si>
  <si>
    <t>Mary Ellen Halvorson Educational Fo</t>
  </si>
  <si>
    <t>McNary Elementary School District #</t>
  </si>
  <si>
    <t>McNeal Elementary School District #</t>
  </si>
  <si>
    <t>Metropolitan Domestic Water Improve</t>
  </si>
  <si>
    <t>Mingus Union High School District #</t>
  </si>
  <si>
    <t>Mobile Elementary School District #</t>
  </si>
  <si>
    <t>Mohave Accelerated Elementary Schoo</t>
  </si>
  <si>
    <t>Mohave Educational Services Coopera</t>
  </si>
  <si>
    <t>Mohave Valley Elementary School Dis</t>
  </si>
  <si>
    <t>Mohawk Valley Elementary District #</t>
  </si>
  <si>
    <t>Morristown Elementary School Distri</t>
  </si>
  <si>
    <t>Mt Lemmon Domestic Water Improvemen</t>
  </si>
  <si>
    <t>Murphy Elementary School District #</t>
  </si>
  <si>
    <t>Naco Elementary School District No.</t>
  </si>
  <si>
    <t>Nadaburg Unified School District No</t>
  </si>
  <si>
    <t>Navajo County Accommodation Distric</t>
  </si>
  <si>
    <t>Navajo County Airzona - Special Ser</t>
  </si>
  <si>
    <t>Navajo County Arizona - Superintend</t>
  </si>
  <si>
    <t>New Magma Irrigation &amp; Drainage Dis</t>
  </si>
  <si>
    <t>New School for the Arts Middle Scho</t>
  </si>
  <si>
    <t>Northeast Arizona Technological Ins</t>
  </si>
  <si>
    <t>Northern Apache Special Health Care</t>
  </si>
  <si>
    <t>Northern Arizona Academy for Career</t>
  </si>
  <si>
    <t>Northern Arizona Consolidated Fire</t>
  </si>
  <si>
    <t>Northern Arizona Council of Governm</t>
  </si>
  <si>
    <t>Northern Arizona Intergovernmental</t>
  </si>
  <si>
    <t>Northern Arizona Vocational Institu</t>
  </si>
  <si>
    <t>Owens-Whitney Elementary School Dis</t>
  </si>
  <si>
    <t>Paloma Elementary School District #</t>
  </si>
  <si>
    <t>Palominas Elementary School Distric</t>
  </si>
  <si>
    <t>Paradise Education Center, Paradise</t>
  </si>
  <si>
    <t>Paradise Valley Unified School Dist</t>
  </si>
  <si>
    <t>Tucson Collegiate Prep (Paragon Pre</t>
  </si>
  <si>
    <t>Patagonia Elementary School Distric</t>
  </si>
  <si>
    <t>Patagonia Montessori Elementary Sch</t>
  </si>
  <si>
    <t>Patagonia Union High School Distric</t>
  </si>
  <si>
    <t>Peach Springs Unified School Distri</t>
  </si>
  <si>
    <t>Pearce Elementary School District #</t>
  </si>
  <si>
    <t>Pendergast Elementary School Distri</t>
  </si>
  <si>
    <t>Phoenix Elementary School District</t>
  </si>
  <si>
    <t>Phoenix School of Academic Excellen</t>
  </si>
  <si>
    <t>Phoenix-Mesa Gateway Airport Author</t>
  </si>
  <si>
    <t>Picacho Elementary School District</t>
  </si>
  <si>
    <t>Picture Rocks Fire &amp; Medical Distri</t>
  </si>
  <si>
    <t>Pillar Academy of Business &amp; Financ</t>
  </si>
  <si>
    <t>Pima County Joint Technical Educati</t>
  </si>
  <si>
    <t>Pima PP (Arizona Collegiate High Sc</t>
  </si>
  <si>
    <t>Pima PP (Pima Partnership High Scho</t>
  </si>
  <si>
    <t>Pinal CoJuvenile Justice Educ Servi</t>
  </si>
  <si>
    <t>Pinal Count School Office Data Proc</t>
  </si>
  <si>
    <t>Pinal County School Education Servi</t>
  </si>
  <si>
    <t>Pinetop Fire District</t>
  </si>
  <si>
    <t>Pinetop Water Community Facilities</t>
  </si>
  <si>
    <t>Pinewood Fire District</t>
  </si>
  <si>
    <t>Ponderosa Park Domestic Water Impro</t>
  </si>
  <si>
    <t>Quartzsite Elementary School Distri</t>
  </si>
  <si>
    <t>Queen Creek Unified School District</t>
  </si>
  <si>
    <t>Queen Valley Domestic Water Improve</t>
  </si>
  <si>
    <t>Red Mesa Unified School District #2</t>
  </si>
  <si>
    <t>Riverside Elementary School Distric</t>
  </si>
  <si>
    <t>Roosevelt Elementary School Distric</t>
  </si>
  <si>
    <t>RSD Charter School (High School)</t>
  </si>
  <si>
    <t>Sacaton Elementary School District</t>
  </si>
  <si>
    <t>Saddle Mountain Unified School Dist</t>
  </si>
  <si>
    <t>Salome Consolidated Elementary Scho</t>
  </si>
  <si>
    <t>San Carlos Irrigation And Drainage</t>
  </si>
  <si>
    <t>San Carlos Unified School District</t>
  </si>
  <si>
    <t>San Fernando Elementary School Dist</t>
  </si>
  <si>
    <t>San Simon Unified School District #</t>
  </si>
  <si>
    <t>Santa Cruz Valley Unified School Di</t>
  </si>
  <si>
    <t>Santa Cruz Valley Union High School</t>
  </si>
  <si>
    <t>SC Jensen Corporation, Inc. dba Int</t>
  </si>
  <si>
    <t>Scottsdale Unified School District</t>
  </si>
  <si>
    <t>Sedona-Oak Creek Unified School Dis</t>
  </si>
  <si>
    <t>Seligman Unified School District #4</t>
  </si>
  <si>
    <t>Show low Unified School District #1</t>
  </si>
  <si>
    <t>Sierra Vista Unified School Distric</t>
  </si>
  <si>
    <t>Snowflake Unified School District #</t>
  </si>
  <si>
    <t>Sonoita Elementary School District</t>
  </si>
  <si>
    <t>Sonoran Science Academy Broadway K-</t>
  </si>
  <si>
    <t>SouthEastern Az Governments Organiz</t>
  </si>
  <si>
    <t>Southwest Technical Education Distr</t>
  </si>
  <si>
    <t>St. David Unified School District #</t>
  </si>
  <si>
    <t>Stanfield Elementary School Distric</t>
  </si>
  <si>
    <t>Sunnyside Charter And Montessori Sc</t>
  </si>
  <si>
    <t>Superior Unified School District #1</t>
  </si>
  <si>
    <t>Superstition Fire &amp; Medical Distric</t>
  </si>
  <si>
    <t>Superstition Mountains Community Fa</t>
  </si>
  <si>
    <t>Tanque Verde Unified School Distric</t>
  </si>
  <si>
    <t>Timber Mesa Fire And Medical Distri</t>
  </si>
  <si>
    <t>Tolleson Elementary School District</t>
  </si>
  <si>
    <t>Tolleson Union High School District</t>
  </si>
  <si>
    <t>Tombstone Unified School District/T</t>
  </si>
  <si>
    <t>Tuba City Unified School District #</t>
  </si>
  <si>
    <t>Union Elementary School District No</t>
  </si>
  <si>
    <t>Valley Academy for Career and Techn</t>
  </si>
  <si>
    <t>Vechij Himdag Alternative School (V</t>
  </si>
  <si>
    <t>Vernon Elementary School District #</t>
  </si>
  <si>
    <t>Walnut Grove Elementary School Dist</t>
  </si>
  <si>
    <t>Washington Elementary School Distri</t>
  </si>
  <si>
    <t>Wenden Elementary School District #</t>
  </si>
  <si>
    <t>Western Arizona Council Of Governme</t>
  </si>
  <si>
    <t>Western Arizona Vocational Educatio</t>
  </si>
  <si>
    <t>White Mountain Summer Homes Water I</t>
  </si>
  <si>
    <t>Whiteriver Unified School District</t>
  </si>
  <si>
    <t>Wickenburg Unified School District</t>
  </si>
  <si>
    <t>Williamson Valley School District #</t>
  </si>
  <si>
    <t>Window Rock Unified School District</t>
  </si>
  <si>
    <t>Yarnell Elementary School District</t>
  </si>
  <si>
    <t>Yavapai County Education Service Ag</t>
  </si>
  <si>
    <t>Yucca Elementary School District #1</t>
  </si>
  <si>
    <t>Yuma County Intergovernmental Publi</t>
  </si>
  <si>
    <t>Yuma Mesa Irrigation &amp; Drainage Dis</t>
  </si>
  <si>
    <t>Yuma Metropolitan Planning Organiza</t>
  </si>
  <si>
    <t>Arizona Board of Homeopathic and Integrated</t>
  </si>
  <si>
    <t>Arizona Commission for the Deaf and Hard of</t>
  </si>
  <si>
    <t>Arizona Department of Emergency &amp; Military</t>
  </si>
  <si>
    <t>Arizona Department of Fire, Building and Life</t>
  </si>
  <si>
    <t>Arizona Department of Liquor Licenses and</t>
  </si>
  <si>
    <t>Arizona Montessori Charter School at Anthem</t>
  </si>
  <si>
    <t>Arizona Navigable Streams Adjudication</t>
  </si>
  <si>
    <t>Arizona State Board for Private Postsecondary</t>
  </si>
  <si>
    <t>Arizona State Board of Behavioral Health</t>
  </si>
  <si>
    <t>Baboquivari Unified school District #40</t>
  </si>
  <si>
    <t>Beaver Creek Elementary School District #26</t>
  </si>
  <si>
    <t>Cedar Unified School District # 25</t>
  </si>
  <si>
    <t>Cobre Valley Institute Of Technology</t>
  </si>
  <si>
    <t>Coconino County Regional Accommodation School</t>
  </si>
  <si>
    <t>Copper Canyon Fire &amp; Medical District</t>
  </si>
  <si>
    <t>Dan Hinton Accommodation School: Graham</t>
  </si>
  <si>
    <t>502410</t>
  </si>
  <si>
    <t>Daisy Education Corporation (Sonoran ScienceAcademy - Tucson)</t>
  </si>
  <si>
    <t>Dysart Unified School District #89</t>
  </si>
  <si>
    <t>Edkey (Arizona Conservatory for Arts and</t>
  </si>
  <si>
    <t>Ehrenberg Improvement District</t>
  </si>
  <si>
    <t>Espiritu Community Development Corporation</t>
  </si>
  <si>
    <t>502010</t>
  </si>
  <si>
    <t>Forest Lakes Domestic Water Improvement</t>
  </si>
  <si>
    <t>International Commerce Secondary Schools</t>
  </si>
  <si>
    <t>James Sandoval Preparatory High School (Crown Point)</t>
  </si>
  <si>
    <t>Maricopa County Municipal Water Conservation</t>
  </si>
  <si>
    <t>Metropolitan Domestic Water Improvement</t>
  </si>
  <si>
    <t>Navajo County Arizona - Special Services</t>
  </si>
  <si>
    <t>Navajo County Arizona - Superintendent of</t>
  </si>
  <si>
    <t>Northeast Arizona Technological Institute of</t>
  </si>
  <si>
    <t>Northern Arizona Intergovernmental Public</t>
  </si>
  <si>
    <t>Northern Arizona Vocational Institute of</t>
  </si>
  <si>
    <t>Paradise Education Center, Paradise Honors High</t>
  </si>
  <si>
    <t>Pinal County Juvenile Justice Educ Services</t>
  </si>
  <si>
    <t>Pinal County School Office Data Processing</t>
  </si>
  <si>
    <t>Pinon Unified School District No. 4</t>
  </si>
  <si>
    <t>Salome Consolidated Elementary School District</t>
  </si>
  <si>
    <t>Santa Cruz County Provisional Community College</t>
  </si>
  <si>
    <t>Self Development Academy</t>
  </si>
  <si>
    <t>SouthEastern Arizona Governments Organization</t>
  </si>
  <si>
    <t>502210</t>
  </si>
  <si>
    <t>Santa Cruz County Provisional Community CollegeDistrict</t>
  </si>
  <si>
    <t>Superstition Mountains Community Facilities</t>
  </si>
  <si>
    <t>Tombstone Unified School District/Tombstone</t>
  </si>
  <si>
    <t>Valley Academy for Career and Technology</t>
  </si>
  <si>
    <t>Wellton Elementary School #24</t>
  </si>
  <si>
    <t>White Mountain Summer Homes Water</t>
  </si>
  <si>
    <t>Yuma County Intergovernmental Public</t>
  </si>
  <si>
    <t>Cedar Unified School District #25</t>
  </si>
  <si>
    <t>Edison School of Innovation (K-8)</t>
  </si>
  <si>
    <t>502810</t>
  </si>
  <si>
    <t>Fry Fire District</t>
  </si>
  <si>
    <t>GAR, LLC (Student Choice HS)</t>
  </si>
  <si>
    <t>503010</t>
  </si>
  <si>
    <t>502610</t>
  </si>
  <si>
    <t>Joseph City Unified School District #2</t>
  </si>
  <si>
    <t>Naco Elementary School District #23</t>
  </si>
  <si>
    <t>Nadaburg Unified School District #81</t>
  </si>
  <si>
    <t>Pinon Unified School District #4</t>
  </si>
  <si>
    <t>Ray Unified School District #3</t>
  </si>
  <si>
    <t>Santa Cruz Valley Unified School District #35</t>
  </si>
  <si>
    <t>Sentinel Elementary District #71</t>
  </si>
  <si>
    <t>Show Low Unified School District #10</t>
  </si>
  <si>
    <t>Somerton School District #11</t>
  </si>
  <si>
    <t>Union Elementary School District #62</t>
  </si>
  <si>
    <t>Yuma County Intergovernmental Public Transportation Authority</t>
  </si>
  <si>
    <t>Santa Cruz County Provisional Community College District</t>
  </si>
  <si>
    <t>Pinal County School Office Data Processing Services</t>
  </si>
  <si>
    <t>Navajo County Arizona - Special Services Consortium</t>
  </si>
  <si>
    <t>Arizona State Board of Cosmetology</t>
  </si>
  <si>
    <t>Arizona State Board of Dispensing Opticians</t>
  </si>
  <si>
    <t>Arizona State Board of Optometry</t>
  </si>
  <si>
    <t>Baboquivari Unified School District #40</t>
  </si>
  <si>
    <t>Central Arizona Irrigation And Drainage District</t>
  </si>
  <si>
    <t>Central Arizona Valley Institute of Technology</t>
  </si>
  <si>
    <t>Edkey (Sequoia School Deaf &amp; Hard of Hearing)</t>
  </si>
  <si>
    <t>503410</t>
  </si>
  <si>
    <t>Edkey (Arizona Conservatory for Arts &amp; Academics)</t>
  </si>
  <si>
    <t>Espiritu Community Development Corporation (Reyes Maria Ruiz Leadership Academy)</t>
  </si>
  <si>
    <t>Green Valley Domestic Water Improvement District</t>
  </si>
  <si>
    <t>Mohave Educational Services Cooperative, Inc.</t>
  </si>
  <si>
    <t>503210</t>
  </si>
  <si>
    <t>Northern Arizona Fire District</t>
  </si>
  <si>
    <t>Pinal County Juvenile Justice Education Services</t>
  </si>
  <si>
    <t>Pima Prevention Partnership (Arizona Collegiate High School)</t>
  </si>
  <si>
    <t>Pima Prevention Partnership (Pima Partnership Academy)</t>
  </si>
  <si>
    <t>Pima Prevention Partnership (Pima Partnership High School)</t>
  </si>
  <si>
    <t>Edkey (Sequoia School Deaf and Hard of Hearing)</t>
  </si>
  <si>
    <t>Forest Lakes Fire District</t>
  </si>
  <si>
    <t>Fountain Hills Sanitary District</t>
  </si>
  <si>
    <t>503610</t>
  </si>
  <si>
    <t>GAR, LLC (Student Choice High School)</t>
  </si>
  <si>
    <t>Humanities and Sciences Academy (Tempe)</t>
  </si>
  <si>
    <t>Intelli-School</t>
  </si>
  <si>
    <t>Ponderosa Park Domestic Water ImprovementDistrict</t>
  </si>
  <si>
    <t>Mount Lemmon Domestic Water Improvement District</t>
  </si>
  <si>
    <t>Edkey (Arizona Conservatory for Arts and Academics)</t>
  </si>
  <si>
    <t>Arizona Ombudsman-Citizens' Aide</t>
  </si>
  <si>
    <t>504210</t>
  </si>
  <si>
    <t>Cochise County Accommodation School District</t>
  </si>
  <si>
    <t>Desert Sage School</t>
  </si>
  <si>
    <t>504610</t>
  </si>
  <si>
    <t>504010</t>
  </si>
  <si>
    <t>503810</t>
  </si>
  <si>
    <t>504810</t>
  </si>
  <si>
    <t>Prescott Valley, Town of</t>
  </si>
  <si>
    <t>Quartzsite, Town of</t>
  </si>
  <si>
    <t>504410</t>
  </si>
  <si>
    <t>504220</t>
  </si>
  <si>
    <t>Valley Schools</t>
  </si>
  <si>
    <t>Valleywise Health</t>
  </si>
  <si>
    <t>Kachina Village Domestic Water Improvement District</t>
  </si>
  <si>
    <t xml:space="preserve"> </t>
  </si>
  <si>
    <t>standardized_employer_name</t>
  </si>
  <si>
    <t>Mohave Educational Services Cooperative, Inc. (ALT)</t>
  </si>
  <si>
    <t>LEAID</t>
  </si>
  <si>
    <t>district_contributions</t>
  </si>
  <si>
    <t>LEAID Match</t>
  </si>
  <si>
    <t>state_contributions</t>
  </si>
  <si>
    <t>total_contributions</t>
  </si>
  <si>
    <t/>
  </si>
  <si>
    <t>State</t>
  </si>
  <si>
    <t>Arizona</t>
  </si>
  <si>
    <t>state_abv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</si>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</sst>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10" fontId="0" fillId="0" borderId="0" xfId="0" applyNumberFormat="1"/>
    <xf numFmtId="44" fontId="2" fillId="0" borderId="0" xfId="2" applyFont="1"/>
    <xf numFmtId="44" fontId="0" fillId="0" borderId="0" xfId="2" applyFont="1"/>
    <xf numFmtId="44" fontId="3" fillId="0" borderId="0" xfId="2" applyFont="1"/>
    <xf numFmtId="44" fontId="0" fillId="0" borderId="0" xfId="0" applyNumberFormat="1"/>
    <xf numFmtId="0" fontId="0" fillId="0" borderId="0" xfId="1" applyNumberFormat="1" applyFont="1"/>
    <xf numFmtId="1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 xr:uid="{FFCDD74C-F7CE-1343-B164-FC70771DC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9663-5673-6B49-B4D9-5AC379B435AE}">
  <sheetPr>
    <tabColor rgb="FF002060"/>
  </sheetPr>
  <dimension ref="A1:K6407"/>
  <sheetViews>
    <sheetView tabSelected="1" workbookViewId="0">
      <selection activeCell="G9" sqref="G9"/>
    </sheetView>
  </sheetViews>
  <sheetFormatPr baseColWidth="10" defaultRowHeight="16"/>
  <cols>
    <col min="1" max="1" width="11.6640625" bestFit="1" customWidth="1"/>
    <col min="2" max="2" width="5.1640625" bestFit="1" customWidth="1"/>
    <col min="3" max="3" width="13.5" bestFit="1" customWidth="1"/>
    <col min="4" max="5" width="13.5" customWidth="1"/>
    <col min="6" max="7" width="72.33203125" bestFit="1" customWidth="1"/>
    <col min="8" max="8" width="19.6640625" bestFit="1" customWidth="1"/>
    <col min="9" max="9" width="11.6640625" bestFit="1" customWidth="1"/>
    <col min="10" max="10" width="17.5" bestFit="1" customWidth="1"/>
    <col min="11" max="11" width="17" bestFit="1" customWidth="1"/>
  </cols>
  <sheetData>
    <row r="1" spans="1:11" s="1" customFormat="1">
      <c r="A1" s="1" t="s">
        <v>2465</v>
      </c>
      <c r="B1" s="1" t="s">
        <v>1360</v>
      </c>
      <c r="C1" s="1" t="s">
        <v>1</v>
      </c>
      <c r="D1" s="1" t="s">
        <v>2471</v>
      </c>
      <c r="E1" s="1" t="s">
        <v>2473</v>
      </c>
      <c r="F1" s="1" t="s">
        <v>2463</v>
      </c>
      <c r="G1" s="1" t="s">
        <v>2</v>
      </c>
      <c r="H1" s="1" t="s">
        <v>2466</v>
      </c>
      <c r="I1" s="1" t="s">
        <v>2467</v>
      </c>
      <c r="J1" s="1" t="s">
        <v>2468</v>
      </c>
      <c r="K1" s="1" t="s">
        <v>2469</v>
      </c>
    </row>
    <row r="2" spans="1:11">
      <c r="A2" t="s">
        <v>2470</v>
      </c>
      <c r="B2" s="10">
        <v>2015</v>
      </c>
      <c r="C2" t="s">
        <v>178</v>
      </c>
      <c r="D2" t="s">
        <v>2472</v>
      </c>
      <c r="E2" t="s">
        <v>2474</v>
      </c>
      <c r="F2" t="s">
        <v>1534</v>
      </c>
      <c r="G2" t="s">
        <v>123</v>
      </c>
      <c r="H2" s="10">
        <v>3731576</v>
      </c>
      <c r="I2" t="str">
        <f>IFERROR(VLOOKUP(Final!F2,'LEAID Match'!$A$2:$B$374,2,FALSE),"")</f>
        <v/>
      </c>
      <c r="K2" s="10">
        <f>SUM(H2,J2)</f>
        <v>3731576</v>
      </c>
    </row>
    <row r="3" spans="1:11">
      <c r="A3" t="s">
        <v>2470</v>
      </c>
      <c r="B3" s="10">
        <v>2016</v>
      </c>
      <c r="C3" t="s">
        <v>178</v>
      </c>
      <c r="D3" t="s">
        <v>2472</v>
      </c>
      <c r="E3" t="s">
        <v>2474</v>
      </c>
      <c r="F3" t="s">
        <v>1534</v>
      </c>
      <c r="G3" t="s">
        <v>123</v>
      </c>
      <c r="H3" s="10">
        <v>3519985</v>
      </c>
      <c r="I3" t="str">
        <f>IFERROR(VLOOKUP(Final!F3,'LEAID Match'!$A$2:$B$374,2,FALSE),"")</f>
        <v/>
      </c>
      <c r="K3" s="10">
        <f t="shared" ref="K3:K66" si="0">SUM(H3,J3)</f>
        <v>3519985</v>
      </c>
    </row>
    <row r="4" spans="1:11">
      <c r="A4" t="s">
        <v>2470</v>
      </c>
      <c r="B4" s="10">
        <v>2017</v>
      </c>
      <c r="C4" t="s">
        <v>178</v>
      </c>
      <c r="D4" t="s">
        <v>2472</v>
      </c>
      <c r="E4" t="s">
        <v>2474</v>
      </c>
      <c r="F4" t="s">
        <v>1534</v>
      </c>
      <c r="G4" t="s">
        <v>1534</v>
      </c>
      <c r="H4" s="10">
        <v>3638820</v>
      </c>
      <c r="I4" t="str">
        <f>IFERROR(VLOOKUP(Final!F4,'LEAID Match'!$A$2:$B$374,2,FALSE),"")</f>
        <v/>
      </c>
      <c r="K4" s="10">
        <f t="shared" si="0"/>
        <v>3638820</v>
      </c>
    </row>
    <row r="5" spans="1:11">
      <c r="A5" t="s">
        <v>2470</v>
      </c>
      <c r="B5" s="10">
        <v>2018</v>
      </c>
      <c r="C5" t="s">
        <v>178</v>
      </c>
      <c r="D5" t="s">
        <v>2472</v>
      </c>
      <c r="E5" t="s">
        <v>2474</v>
      </c>
      <c r="F5" t="s">
        <v>1534</v>
      </c>
      <c r="G5" t="s">
        <v>2070</v>
      </c>
      <c r="H5" s="10">
        <v>3590201</v>
      </c>
      <c r="I5" t="str">
        <f>IFERROR(VLOOKUP(Final!F5,'LEAID Match'!$A$2:$B$374,2,FALSE),"")</f>
        <v/>
      </c>
      <c r="K5" s="10">
        <f t="shared" si="0"/>
        <v>3590201</v>
      </c>
    </row>
    <row r="6" spans="1:11">
      <c r="A6" t="s">
        <v>2470</v>
      </c>
      <c r="B6" s="10">
        <v>2019</v>
      </c>
      <c r="C6" t="s">
        <v>178</v>
      </c>
      <c r="D6" t="s">
        <v>2472</v>
      </c>
      <c r="E6" t="s">
        <v>2474</v>
      </c>
      <c r="F6" t="s">
        <v>1534</v>
      </c>
      <c r="G6" t="s">
        <v>1534</v>
      </c>
      <c r="H6" s="10">
        <v>3635238</v>
      </c>
      <c r="I6" t="str">
        <f>IFERROR(VLOOKUP(Final!F6,'LEAID Match'!$A$2:$B$374,2,FALSE),"")</f>
        <v/>
      </c>
      <c r="K6" s="10">
        <f t="shared" si="0"/>
        <v>3635238</v>
      </c>
    </row>
    <row r="7" spans="1:11">
      <c r="A7" t="s">
        <v>2470</v>
      </c>
      <c r="B7" s="10">
        <v>2020</v>
      </c>
      <c r="C7" t="s">
        <v>178</v>
      </c>
      <c r="D7" t="s">
        <v>2472</v>
      </c>
      <c r="E7" t="s">
        <v>2474</v>
      </c>
      <c r="F7" t="s">
        <v>1534</v>
      </c>
      <c r="G7" t="s">
        <v>1534</v>
      </c>
      <c r="H7" s="10">
        <v>3841165</v>
      </c>
      <c r="I7" t="str">
        <f>IFERROR(VLOOKUP(Final!F7,'LEAID Match'!$A$2:$B$374,2,FALSE),"")</f>
        <v/>
      </c>
      <c r="K7" s="10">
        <f t="shared" si="0"/>
        <v>3841165</v>
      </c>
    </row>
    <row r="8" spans="1:11">
      <c r="A8" t="s">
        <v>2470</v>
      </c>
      <c r="B8" s="10">
        <v>2021</v>
      </c>
      <c r="C8" t="s">
        <v>178</v>
      </c>
      <c r="D8" t="s">
        <v>2472</v>
      </c>
      <c r="E8" t="s">
        <v>2474</v>
      </c>
      <c r="F8" t="s">
        <v>1534</v>
      </c>
      <c r="G8" t="s">
        <v>1534</v>
      </c>
      <c r="H8" s="10">
        <v>4064362</v>
      </c>
      <c r="I8" t="str">
        <f>IFERROR(VLOOKUP(Final!F8,'LEAID Match'!$A$2:$B$374,2,FALSE),"")</f>
        <v/>
      </c>
      <c r="K8" s="10">
        <f t="shared" si="0"/>
        <v>4064362</v>
      </c>
    </row>
    <row r="9" spans="1:11">
      <c r="A9" t="s">
        <v>2470</v>
      </c>
      <c r="B9" s="10">
        <v>2022</v>
      </c>
      <c r="C9" t="s">
        <v>178</v>
      </c>
      <c r="D9" t="s">
        <v>2472</v>
      </c>
      <c r="E9" t="s">
        <v>2474</v>
      </c>
      <c r="F9" t="s">
        <v>1534</v>
      </c>
      <c r="G9" t="s">
        <v>1534</v>
      </c>
      <c r="H9" s="10">
        <v>4081015</v>
      </c>
      <c r="I9" t="str">
        <f>IFERROR(VLOOKUP(Final!F9,'LEAID Match'!$A$2:$B$374,2,FALSE),"")</f>
        <v/>
      </c>
      <c r="K9" s="10">
        <f t="shared" si="0"/>
        <v>4081015</v>
      </c>
    </row>
    <row r="10" spans="1:11">
      <c r="A10" t="s">
        <v>2470</v>
      </c>
      <c r="B10" s="10">
        <v>2023</v>
      </c>
      <c r="C10" t="s">
        <v>178</v>
      </c>
      <c r="D10" t="s">
        <v>2472</v>
      </c>
      <c r="E10" t="s">
        <v>2474</v>
      </c>
      <c r="F10" t="s">
        <v>1534</v>
      </c>
      <c r="G10" t="s">
        <v>1534</v>
      </c>
      <c r="H10" s="10">
        <v>5043498</v>
      </c>
      <c r="I10" t="str">
        <f>IFERROR(VLOOKUP(Final!F10,'LEAID Match'!$A$2:$B$374,2,FALSE),"")</f>
        <v/>
      </c>
      <c r="K10" s="10">
        <f t="shared" si="0"/>
        <v>5043498</v>
      </c>
    </row>
    <row r="11" spans="1:11">
      <c r="A11" t="s">
        <v>2470</v>
      </c>
      <c r="B11" s="10">
        <v>2015</v>
      </c>
      <c r="C11" t="s">
        <v>1394</v>
      </c>
      <c r="D11" t="s">
        <v>2472</v>
      </c>
      <c r="E11" t="s">
        <v>2474</v>
      </c>
      <c r="F11" t="s">
        <v>1608</v>
      </c>
      <c r="G11" t="s">
        <v>229</v>
      </c>
      <c r="H11" s="10">
        <v>11736</v>
      </c>
      <c r="I11" t="str">
        <f>IFERROR(VLOOKUP(Final!F11,'LEAID Match'!$A$2:$B$374,2,FALSE),"")</f>
        <v/>
      </c>
      <c r="K11" s="10">
        <f t="shared" si="0"/>
        <v>11736</v>
      </c>
    </row>
    <row r="12" spans="1:11">
      <c r="A12" t="s">
        <v>2470</v>
      </c>
      <c r="B12" s="10">
        <v>2016</v>
      </c>
      <c r="C12" t="s">
        <v>1394</v>
      </c>
      <c r="D12" t="s">
        <v>2472</v>
      </c>
      <c r="E12" t="s">
        <v>2474</v>
      </c>
      <c r="F12" t="s">
        <v>1608</v>
      </c>
      <c r="G12" t="s">
        <v>229</v>
      </c>
      <c r="H12" s="10">
        <v>11889</v>
      </c>
      <c r="I12" t="str">
        <f>IFERROR(VLOOKUP(Final!F12,'LEAID Match'!$A$2:$B$374,2,FALSE),"")</f>
        <v/>
      </c>
      <c r="K12" s="10">
        <f t="shared" si="0"/>
        <v>11889</v>
      </c>
    </row>
    <row r="13" spans="1:11">
      <c r="A13" t="s">
        <v>2470</v>
      </c>
      <c r="B13" s="10">
        <v>2017</v>
      </c>
      <c r="C13" t="s">
        <v>1394</v>
      </c>
      <c r="D13" t="s">
        <v>2472</v>
      </c>
      <c r="E13" t="s">
        <v>2474</v>
      </c>
      <c r="F13" t="s">
        <v>1608</v>
      </c>
      <c r="G13" t="s">
        <v>1608</v>
      </c>
      <c r="H13" s="10">
        <v>12065</v>
      </c>
      <c r="I13" t="str">
        <f>IFERROR(VLOOKUP(Final!F13,'LEAID Match'!$A$2:$B$374,2,FALSE),"")</f>
        <v/>
      </c>
      <c r="K13" s="10">
        <f t="shared" si="0"/>
        <v>12065</v>
      </c>
    </row>
    <row r="14" spans="1:11">
      <c r="A14" t="s">
        <v>2470</v>
      </c>
      <c r="B14" s="10">
        <v>2018</v>
      </c>
      <c r="C14" t="s">
        <v>1394</v>
      </c>
      <c r="D14" t="s">
        <v>2472</v>
      </c>
      <c r="E14" t="s">
        <v>2474</v>
      </c>
      <c r="F14" t="s">
        <v>1608</v>
      </c>
      <c r="G14" t="s">
        <v>1608</v>
      </c>
      <c r="H14" s="10">
        <v>7620</v>
      </c>
      <c r="I14" t="str">
        <f>IFERROR(VLOOKUP(Final!F14,'LEAID Match'!$A$2:$B$374,2,FALSE),"")</f>
        <v/>
      </c>
      <c r="K14" s="10">
        <f t="shared" si="0"/>
        <v>7620</v>
      </c>
    </row>
    <row r="15" spans="1:11">
      <c r="A15" t="s">
        <v>2470</v>
      </c>
      <c r="B15" s="10">
        <v>2019</v>
      </c>
      <c r="C15" t="s">
        <v>1394</v>
      </c>
      <c r="D15" t="s">
        <v>2472</v>
      </c>
      <c r="E15" t="s">
        <v>2474</v>
      </c>
      <c r="F15" t="s">
        <v>1608</v>
      </c>
      <c r="G15" t="s">
        <v>1608</v>
      </c>
      <c r="H15" s="10">
        <v>6118</v>
      </c>
      <c r="I15" t="str">
        <f>IFERROR(VLOOKUP(Final!F15,'LEAID Match'!$A$2:$B$374,2,FALSE),"")</f>
        <v/>
      </c>
      <c r="K15" s="10">
        <f t="shared" si="0"/>
        <v>6118</v>
      </c>
    </row>
    <row r="16" spans="1:11">
      <c r="A16" t="s">
        <v>2470</v>
      </c>
      <c r="B16" s="10">
        <v>2020</v>
      </c>
      <c r="C16" t="s">
        <v>1394</v>
      </c>
      <c r="D16" t="s">
        <v>2472</v>
      </c>
      <c r="E16" t="s">
        <v>2474</v>
      </c>
      <c r="F16" t="s">
        <v>1608</v>
      </c>
      <c r="G16" t="s">
        <v>1608</v>
      </c>
      <c r="H16" s="10">
        <v>6526</v>
      </c>
      <c r="I16" t="str">
        <f>IFERROR(VLOOKUP(Final!F16,'LEAID Match'!$A$2:$B$374,2,FALSE),"")</f>
        <v/>
      </c>
      <c r="K16" s="10">
        <f t="shared" si="0"/>
        <v>6526</v>
      </c>
    </row>
    <row r="17" spans="1:11">
      <c r="A17" t="s">
        <v>2470</v>
      </c>
      <c r="B17" s="10">
        <v>2021</v>
      </c>
      <c r="C17" t="s">
        <v>1394</v>
      </c>
      <c r="D17" t="s">
        <v>2472</v>
      </c>
      <c r="E17" t="s">
        <v>2474</v>
      </c>
      <c r="F17" t="s">
        <v>1608</v>
      </c>
      <c r="G17" t="s">
        <v>1608</v>
      </c>
      <c r="H17" s="10">
        <v>6640</v>
      </c>
      <c r="I17" t="str">
        <f>IFERROR(VLOOKUP(Final!F17,'LEAID Match'!$A$2:$B$374,2,FALSE),"")</f>
        <v/>
      </c>
      <c r="K17" s="10">
        <f t="shared" si="0"/>
        <v>6640</v>
      </c>
    </row>
    <row r="18" spans="1:11">
      <c r="A18" t="s">
        <v>2470</v>
      </c>
      <c r="B18" s="10">
        <v>2022</v>
      </c>
      <c r="C18" t="s">
        <v>1394</v>
      </c>
      <c r="D18" t="s">
        <v>2472</v>
      </c>
      <c r="E18" t="s">
        <v>2474</v>
      </c>
      <c r="F18" t="s">
        <v>1608</v>
      </c>
      <c r="G18" t="s">
        <v>1608</v>
      </c>
      <c r="H18" s="10">
        <v>6846</v>
      </c>
      <c r="I18" t="str">
        <f>IFERROR(VLOOKUP(Final!F18,'LEAID Match'!$A$2:$B$374,2,FALSE),"")</f>
        <v/>
      </c>
      <c r="K18" s="10">
        <f t="shared" si="0"/>
        <v>6846</v>
      </c>
    </row>
    <row r="19" spans="1:11">
      <c r="A19" t="s">
        <v>2470</v>
      </c>
      <c r="B19" s="10">
        <v>2023</v>
      </c>
      <c r="C19" t="s">
        <v>1394</v>
      </c>
      <c r="D19" t="s">
        <v>2472</v>
      </c>
      <c r="E19" t="s">
        <v>2474</v>
      </c>
      <c r="F19" t="s">
        <v>1608</v>
      </c>
      <c r="G19" t="s">
        <v>1608</v>
      </c>
      <c r="H19" s="10">
        <v>6083</v>
      </c>
      <c r="I19" t="str">
        <f>IFERROR(VLOOKUP(Final!F19,'LEAID Match'!$A$2:$B$374,2,FALSE),"")</f>
        <v/>
      </c>
      <c r="K19" s="10">
        <f t="shared" si="0"/>
        <v>6083</v>
      </c>
    </row>
    <row r="20" spans="1:11">
      <c r="A20" t="s">
        <v>2470</v>
      </c>
      <c r="B20" s="10">
        <v>2015</v>
      </c>
      <c r="C20" t="s">
        <v>83</v>
      </c>
      <c r="D20" t="s">
        <v>2472</v>
      </c>
      <c r="E20" t="s">
        <v>2474</v>
      </c>
      <c r="F20" t="s">
        <v>30</v>
      </c>
      <c r="G20" t="s">
        <v>30</v>
      </c>
      <c r="H20" s="10">
        <v>4308228</v>
      </c>
      <c r="I20" t="str">
        <f>IFERROR(VLOOKUP(Final!F20,'LEAID Match'!$A$2:$B$374,2,FALSE),"")</f>
        <v/>
      </c>
      <c r="K20" s="10">
        <f t="shared" si="0"/>
        <v>4308228</v>
      </c>
    </row>
    <row r="21" spans="1:11">
      <c r="A21" t="s">
        <v>2470</v>
      </c>
      <c r="B21" s="10">
        <v>2016</v>
      </c>
      <c r="C21" t="s">
        <v>83</v>
      </c>
      <c r="D21" t="s">
        <v>2472</v>
      </c>
      <c r="E21" t="s">
        <v>2474</v>
      </c>
      <c r="F21" t="s">
        <v>30</v>
      </c>
      <c r="G21" t="s">
        <v>30</v>
      </c>
      <c r="H21" s="10">
        <v>4944242</v>
      </c>
      <c r="I21" t="str">
        <f>IFERROR(VLOOKUP(Final!F21,'LEAID Match'!$A$2:$B$374,2,FALSE),"")</f>
        <v/>
      </c>
      <c r="K21" s="10">
        <f t="shared" si="0"/>
        <v>4944242</v>
      </c>
    </row>
    <row r="22" spans="1:11">
      <c r="A22" t="s">
        <v>2470</v>
      </c>
      <c r="B22" s="10">
        <v>2017</v>
      </c>
      <c r="C22" t="s">
        <v>83</v>
      </c>
      <c r="D22" t="s">
        <v>2472</v>
      </c>
      <c r="E22" t="s">
        <v>2474</v>
      </c>
      <c r="F22" t="s">
        <v>30</v>
      </c>
      <c r="G22" t="s">
        <v>30</v>
      </c>
      <c r="H22" s="10">
        <v>7090628</v>
      </c>
      <c r="I22" t="str">
        <f>IFERROR(VLOOKUP(Final!F22,'LEAID Match'!$A$2:$B$374,2,FALSE),"")</f>
        <v/>
      </c>
      <c r="K22" s="10">
        <f t="shared" si="0"/>
        <v>7090628</v>
      </c>
    </row>
    <row r="23" spans="1:11">
      <c r="A23" t="s">
        <v>2470</v>
      </c>
      <c r="B23" s="10">
        <v>2018</v>
      </c>
      <c r="C23" t="s">
        <v>83</v>
      </c>
      <c r="D23" t="s">
        <v>2472</v>
      </c>
      <c r="E23" t="s">
        <v>2474</v>
      </c>
      <c r="F23" t="s">
        <v>30</v>
      </c>
      <c r="G23" t="s">
        <v>30</v>
      </c>
      <c r="H23" s="10">
        <v>7200248</v>
      </c>
      <c r="I23" t="str">
        <f>IFERROR(VLOOKUP(Final!F23,'LEAID Match'!$A$2:$B$374,2,FALSE),"")</f>
        <v/>
      </c>
      <c r="K23" s="10">
        <f t="shared" si="0"/>
        <v>7200248</v>
      </c>
    </row>
    <row r="24" spans="1:11">
      <c r="A24" t="s">
        <v>2470</v>
      </c>
      <c r="B24" s="10">
        <v>2019</v>
      </c>
      <c r="C24" t="s">
        <v>83</v>
      </c>
      <c r="D24" t="s">
        <v>2472</v>
      </c>
      <c r="E24" t="s">
        <v>2474</v>
      </c>
      <c r="F24" t="s">
        <v>30</v>
      </c>
      <c r="G24" t="s">
        <v>30</v>
      </c>
      <c r="H24" s="10">
        <v>7379467</v>
      </c>
      <c r="I24" t="str">
        <f>IFERROR(VLOOKUP(Final!F24,'LEAID Match'!$A$2:$B$374,2,FALSE),"")</f>
        <v/>
      </c>
      <c r="K24" s="10">
        <f t="shared" si="0"/>
        <v>7379467</v>
      </c>
    </row>
    <row r="25" spans="1:11">
      <c r="A25" t="s">
        <v>2470</v>
      </c>
      <c r="B25" s="10">
        <v>2020</v>
      </c>
      <c r="C25" t="s">
        <v>83</v>
      </c>
      <c r="D25" t="s">
        <v>2472</v>
      </c>
      <c r="E25" t="s">
        <v>2474</v>
      </c>
      <c r="F25" t="s">
        <v>30</v>
      </c>
      <c r="G25" t="s">
        <v>30</v>
      </c>
      <c r="H25" s="10">
        <v>7684003</v>
      </c>
      <c r="I25" t="str">
        <f>IFERROR(VLOOKUP(Final!F25,'LEAID Match'!$A$2:$B$374,2,FALSE),"")</f>
        <v/>
      </c>
      <c r="K25" s="10">
        <f t="shared" si="0"/>
        <v>7684003</v>
      </c>
    </row>
    <row r="26" spans="1:11">
      <c r="A26" t="s">
        <v>2470</v>
      </c>
      <c r="B26" s="10">
        <v>2021</v>
      </c>
      <c r="C26" t="s">
        <v>83</v>
      </c>
      <c r="D26" t="s">
        <v>2472</v>
      </c>
      <c r="E26" t="s">
        <v>2474</v>
      </c>
      <c r="F26" t="s">
        <v>30</v>
      </c>
      <c r="G26" t="s">
        <v>30</v>
      </c>
      <c r="H26" s="10">
        <v>7789978</v>
      </c>
      <c r="I26" t="str">
        <f>IFERROR(VLOOKUP(Final!F26,'LEAID Match'!$A$2:$B$374,2,FALSE),"")</f>
        <v/>
      </c>
      <c r="K26" s="10">
        <f t="shared" si="0"/>
        <v>7789978</v>
      </c>
    </row>
    <row r="27" spans="1:11">
      <c r="A27" t="s">
        <v>2470</v>
      </c>
      <c r="B27" s="10">
        <v>2022</v>
      </c>
      <c r="C27" t="s">
        <v>83</v>
      </c>
      <c r="D27" t="s">
        <v>2472</v>
      </c>
      <c r="E27" t="s">
        <v>2474</v>
      </c>
      <c r="F27" t="s">
        <v>30</v>
      </c>
      <c r="G27" t="s">
        <v>30</v>
      </c>
      <c r="H27" s="10">
        <v>8420553</v>
      </c>
      <c r="I27" t="str">
        <f>IFERROR(VLOOKUP(Final!F27,'LEAID Match'!$A$2:$B$374,2,FALSE),"")</f>
        <v/>
      </c>
      <c r="K27" s="10">
        <f t="shared" si="0"/>
        <v>8420553</v>
      </c>
    </row>
    <row r="28" spans="1:11">
      <c r="A28" t="s">
        <v>2470</v>
      </c>
      <c r="B28" s="10">
        <v>2023</v>
      </c>
      <c r="C28" t="s">
        <v>83</v>
      </c>
      <c r="D28" t="s">
        <v>2472</v>
      </c>
      <c r="E28" t="s">
        <v>2474</v>
      </c>
      <c r="F28" t="s">
        <v>30</v>
      </c>
      <c r="G28" t="s">
        <v>30</v>
      </c>
      <c r="H28" s="10">
        <v>9005744</v>
      </c>
      <c r="I28" t="str">
        <f>IFERROR(VLOOKUP(Final!F28,'LEAID Match'!$A$2:$B$374,2,FALSE),"")</f>
        <v/>
      </c>
      <c r="K28" s="10">
        <f t="shared" si="0"/>
        <v>9005744</v>
      </c>
    </row>
    <row r="29" spans="1:11">
      <c r="A29" t="s">
        <v>2470</v>
      </c>
      <c r="B29" s="10">
        <v>2015</v>
      </c>
      <c r="C29" t="s">
        <v>205</v>
      </c>
      <c r="D29" t="s">
        <v>2472</v>
      </c>
      <c r="E29" t="s">
        <v>2474</v>
      </c>
      <c r="F29" t="s">
        <v>150</v>
      </c>
      <c r="G29" t="s">
        <v>150</v>
      </c>
      <c r="H29" s="10">
        <v>193310</v>
      </c>
      <c r="I29" t="str">
        <f>IFERROR(VLOOKUP(Final!F29,'LEAID Match'!$A$2:$B$374,2,FALSE),"")</f>
        <v/>
      </c>
      <c r="K29" s="10">
        <f t="shared" si="0"/>
        <v>193310</v>
      </c>
    </row>
    <row r="30" spans="1:11">
      <c r="A30" t="s">
        <v>2470</v>
      </c>
      <c r="B30" s="10">
        <v>2016</v>
      </c>
      <c r="C30" t="s">
        <v>205</v>
      </c>
      <c r="D30" t="s">
        <v>2472</v>
      </c>
      <c r="E30" t="s">
        <v>2474</v>
      </c>
      <c r="F30" t="s">
        <v>150</v>
      </c>
      <c r="G30" t="s">
        <v>150</v>
      </c>
      <c r="H30" s="10">
        <v>209910</v>
      </c>
      <c r="I30" t="str">
        <f>IFERROR(VLOOKUP(Final!F30,'LEAID Match'!$A$2:$B$374,2,FALSE),"")</f>
        <v/>
      </c>
      <c r="K30" s="10">
        <f t="shared" si="0"/>
        <v>209910</v>
      </c>
    </row>
    <row r="31" spans="1:11">
      <c r="A31" t="s">
        <v>2470</v>
      </c>
      <c r="B31" s="10">
        <v>2017</v>
      </c>
      <c r="C31" t="s">
        <v>205</v>
      </c>
      <c r="D31" t="s">
        <v>2472</v>
      </c>
      <c r="E31" t="s">
        <v>2474</v>
      </c>
      <c r="F31" t="s">
        <v>150</v>
      </c>
      <c r="G31" t="s">
        <v>150</v>
      </c>
      <c r="H31" s="10">
        <v>203832</v>
      </c>
      <c r="I31" t="str">
        <f>IFERROR(VLOOKUP(Final!F31,'LEAID Match'!$A$2:$B$374,2,FALSE),"")</f>
        <v/>
      </c>
      <c r="K31" s="10">
        <f t="shared" si="0"/>
        <v>203832</v>
      </c>
    </row>
    <row r="32" spans="1:11">
      <c r="A32" t="s">
        <v>2470</v>
      </c>
      <c r="B32" s="10">
        <v>2018</v>
      </c>
      <c r="C32" t="s">
        <v>205</v>
      </c>
      <c r="D32" t="s">
        <v>2472</v>
      </c>
      <c r="E32" t="s">
        <v>2474</v>
      </c>
      <c r="F32" t="s">
        <v>150</v>
      </c>
      <c r="G32" t="s">
        <v>150</v>
      </c>
      <c r="H32" s="10">
        <v>224633</v>
      </c>
      <c r="I32" t="str">
        <f>IFERROR(VLOOKUP(Final!F32,'LEAID Match'!$A$2:$B$374,2,FALSE),"")</f>
        <v/>
      </c>
      <c r="K32" s="10">
        <f t="shared" si="0"/>
        <v>224633</v>
      </c>
    </row>
    <row r="33" spans="1:11">
      <c r="A33" t="s">
        <v>2470</v>
      </c>
      <c r="B33" s="10">
        <v>2019</v>
      </c>
      <c r="C33" t="s">
        <v>205</v>
      </c>
      <c r="D33" t="s">
        <v>2472</v>
      </c>
      <c r="E33" t="s">
        <v>2474</v>
      </c>
      <c r="F33" t="s">
        <v>150</v>
      </c>
      <c r="G33" t="s">
        <v>150</v>
      </c>
      <c r="H33" s="10">
        <v>230696</v>
      </c>
      <c r="I33" t="str">
        <f>IFERROR(VLOOKUP(Final!F33,'LEAID Match'!$A$2:$B$374,2,FALSE),"")</f>
        <v/>
      </c>
      <c r="K33" s="10">
        <f t="shared" si="0"/>
        <v>230696</v>
      </c>
    </row>
    <row r="34" spans="1:11">
      <c r="A34" t="s">
        <v>2470</v>
      </c>
      <c r="B34" s="10">
        <v>2020</v>
      </c>
      <c r="C34" t="s">
        <v>205</v>
      </c>
      <c r="D34" t="s">
        <v>2472</v>
      </c>
      <c r="E34" t="s">
        <v>2474</v>
      </c>
      <c r="F34" t="s">
        <v>150</v>
      </c>
      <c r="G34" t="s">
        <v>150</v>
      </c>
      <c r="H34" s="10">
        <v>238791</v>
      </c>
      <c r="I34" t="str">
        <f>IFERROR(VLOOKUP(Final!F34,'LEAID Match'!$A$2:$B$374,2,FALSE),"")</f>
        <v/>
      </c>
      <c r="K34" s="10">
        <f t="shared" si="0"/>
        <v>238791</v>
      </c>
    </row>
    <row r="35" spans="1:11">
      <c r="A35" t="s">
        <v>2470</v>
      </c>
      <c r="B35" s="10">
        <v>2021</v>
      </c>
      <c r="C35" t="s">
        <v>205</v>
      </c>
      <c r="D35" t="s">
        <v>2472</v>
      </c>
      <c r="E35" t="s">
        <v>2474</v>
      </c>
      <c r="F35" t="s">
        <v>150</v>
      </c>
      <c r="G35" t="s">
        <v>150</v>
      </c>
      <c r="H35" s="10">
        <v>160712</v>
      </c>
      <c r="I35" t="str">
        <f>IFERROR(VLOOKUP(Final!F35,'LEAID Match'!$A$2:$B$374,2,FALSE),"")</f>
        <v/>
      </c>
      <c r="K35" s="10">
        <f t="shared" si="0"/>
        <v>160712</v>
      </c>
    </row>
    <row r="36" spans="1:11">
      <c r="A36" t="s">
        <v>2470</v>
      </c>
      <c r="B36" s="10">
        <v>2022</v>
      </c>
      <c r="C36" t="s">
        <v>205</v>
      </c>
      <c r="D36" t="s">
        <v>2472</v>
      </c>
      <c r="E36" t="s">
        <v>2474</v>
      </c>
      <c r="F36" t="s">
        <v>150</v>
      </c>
      <c r="G36" t="s">
        <v>150</v>
      </c>
      <c r="H36" s="10">
        <v>194942</v>
      </c>
      <c r="I36" t="str">
        <f>IFERROR(VLOOKUP(Final!F36,'LEAID Match'!$A$2:$B$374,2,FALSE),"")</f>
        <v/>
      </c>
      <c r="K36" s="10">
        <f t="shared" si="0"/>
        <v>194942</v>
      </c>
    </row>
    <row r="37" spans="1:11">
      <c r="A37" t="s">
        <v>2470</v>
      </c>
      <c r="B37" s="10">
        <v>2023</v>
      </c>
      <c r="C37" t="s">
        <v>205</v>
      </c>
      <c r="D37" t="s">
        <v>2472</v>
      </c>
      <c r="E37" t="s">
        <v>2474</v>
      </c>
      <c r="F37" t="s">
        <v>150</v>
      </c>
      <c r="G37" t="s">
        <v>150</v>
      </c>
      <c r="H37" s="10">
        <v>296795</v>
      </c>
      <c r="I37" t="str">
        <f>IFERROR(VLOOKUP(Final!F37,'LEAID Match'!$A$2:$B$374,2,FALSE),"")</f>
        <v/>
      </c>
      <c r="K37" s="10">
        <f t="shared" si="0"/>
        <v>296795</v>
      </c>
    </row>
    <row r="38" spans="1:11">
      <c r="A38" t="s">
        <v>2470</v>
      </c>
      <c r="B38" s="10">
        <v>2015</v>
      </c>
      <c r="C38" t="s">
        <v>175</v>
      </c>
      <c r="D38" t="s">
        <v>2472</v>
      </c>
      <c r="E38" t="s">
        <v>2474</v>
      </c>
      <c r="F38" t="s">
        <v>1532</v>
      </c>
      <c r="G38" t="s">
        <v>120</v>
      </c>
      <c r="H38" s="10">
        <v>348019</v>
      </c>
      <c r="I38" t="str">
        <f>IFERROR(VLOOKUP(Final!F38,'LEAID Match'!$A$2:$B$374,2,FALSE),"")</f>
        <v/>
      </c>
      <c r="K38" s="10">
        <f t="shared" si="0"/>
        <v>348019</v>
      </c>
    </row>
    <row r="39" spans="1:11">
      <c r="A39" t="s">
        <v>2470</v>
      </c>
      <c r="B39" s="10">
        <v>2016</v>
      </c>
      <c r="C39" t="s">
        <v>175</v>
      </c>
      <c r="D39" t="s">
        <v>2472</v>
      </c>
      <c r="E39" t="s">
        <v>2474</v>
      </c>
      <c r="F39" t="s">
        <v>1532</v>
      </c>
      <c r="G39" t="s">
        <v>120</v>
      </c>
      <c r="H39" s="10">
        <v>340582</v>
      </c>
      <c r="I39" t="str">
        <f>IFERROR(VLOOKUP(Final!F39,'LEAID Match'!$A$2:$B$374,2,FALSE),"")</f>
        <v/>
      </c>
      <c r="K39" s="10">
        <f t="shared" si="0"/>
        <v>340582</v>
      </c>
    </row>
    <row r="40" spans="1:11">
      <c r="A40" t="s">
        <v>2470</v>
      </c>
      <c r="B40" s="10">
        <v>2017</v>
      </c>
      <c r="C40" t="s">
        <v>175</v>
      </c>
      <c r="D40" t="s">
        <v>2472</v>
      </c>
      <c r="E40" t="s">
        <v>2474</v>
      </c>
      <c r="F40" t="s">
        <v>1532</v>
      </c>
      <c r="G40" t="s">
        <v>1532</v>
      </c>
      <c r="H40" s="10">
        <v>342303</v>
      </c>
      <c r="I40" t="str">
        <f>IFERROR(VLOOKUP(Final!F40,'LEAID Match'!$A$2:$B$374,2,FALSE),"")</f>
        <v/>
      </c>
      <c r="K40" s="10">
        <f t="shared" si="0"/>
        <v>342303</v>
      </c>
    </row>
    <row r="41" spans="1:11">
      <c r="A41" t="s">
        <v>2470</v>
      </c>
      <c r="B41" s="10">
        <v>2018</v>
      </c>
      <c r="C41" t="s">
        <v>175</v>
      </c>
      <c r="D41" t="s">
        <v>2472</v>
      </c>
      <c r="E41" t="s">
        <v>2474</v>
      </c>
      <c r="F41" t="s">
        <v>1532</v>
      </c>
      <c r="G41" t="s">
        <v>2068</v>
      </c>
      <c r="H41" s="10">
        <v>400627</v>
      </c>
      <c r="I41" t="str">
        <f>IFERROR(VLOOKUP(Final!F41,'LEAID Match'!$A$2:$B$374,2,FALSE),"")</f>
        <v/>
      </c>
      <c r="K41" s="10">
        <f t="shared" si="0"/>
        <v>400627</v>
      </c>
    </row>
    <row r="42" spans="1:11">
      <c r="A42" t="s">
        <v>2470</v>
      </c>
      <c r="B42" s="10">
        <v>2019</v>
      </c>
      <c r="C42" t="s">
        <v>175</v>
      </c>
      <c r="D42" t="s">
        <v>2472</v>
      </c>
      <c r="E42" t="s">
        <v>2474</v>
      </c>
      <c r="F42" t="s">
        <v>1532</v>
      </c>
      <c r="G42" t="s">
        <v>1532</v>
      </c>
      <c r="H42" s="10">
        <v>412405</v>
      </c>
      <c r="I42" t="str">
        <f>IFERROR(VLOOKUP(Final!F42,'LEAID Match'!$A$2:$B$374,2,FALSE),"")</f>
        <v/>
      </c>
      <c r="K42" s="10">
        <f t="shared" si="0"/>
        <v>412405</v>
      </c>
    </row>
    <row r="43" spans="1:11">
      <c r="A43" t="s">
        <v>2470</v>
      </c>
      <c r="B43" s="10">
        <v>2020</v>
      </c>
      <c r="C43" t="s">
        <v>175</v>
      </c>
      <c r="D43" t="s">
        <v>2472</v>
      </c>
      <c r="E43" t="s">
        <v>2474</v>
      </c>
      <c r="F43" t="s">
        <v>1532</v>
      </c>
      <c r="G43" t="s">
        <v>1532</v>
      </c>
      <c r="H43" s="10">
        <v>443265</v>
      </c>
      <c r="I43" t="str">
        <f>IFERROR(VLOOKUP(Final!F43,'LEAID Match'!$A$2:$B$374,2,FALSE),"")</f>
        <v/>
      </c>
      <c r="K43" s="10">
        <f t="shared" si="0"/>
        <v>443265</v>
      </c>
    </row>
    <row r="44" spans="1:11">
      <c r="A44" t="s">
        <v>2470</v>
      </c>
      <c r="B44" s="10">
        <v>2021</v>
      </c>
      <c r="C44" t="s">
        <v>175</v>
      </c>
      <c r="D44" t="s">
        <v>2472</v>
      </c>
      <c r="E44" t="s">
        <v>2474</v>
      </c>
      <c r="F44" t="s">
        <v>1532</v>
      </c>
      <c r="G44" t="s">
        <v>1532</v>
      </c>
      <c r="H44" s="10">
        <v>482434</v>
      </c>
      <c r="I44" t="str">
        <f>IFERROR(VLOOKUP(Final!F44,'LEAID Match'!$A$2:$B$374,2,FALSE),"")</f>
        <v/>
      </c>
      <c r="K44" s="10">
        <f t="shared" si="0"/>
        <v>482434</v>
      </c>
    </row>
    <row r="45" spans="1:11">
      <c r="A45" t="s">
        <v>2470</v>
      </c>
      <c r="B45" s="10">
        <v>2022</v>
      </c>
      <c r="C45" t="s">
        <v>175</v>
      </c>
      <c r="D45" t="s">
        <v>2472</v>
      </c>
      <c r="E45" t="s">
        <v>2474</v>
      </c>
      <c r="F45" t="s">
        <v>1532</v>
      </c>
      <c r="G45" t="s">
        <v>1532</v>
      </c>
      <c r="H45" s="10">
        <v>536756</v>
      </c>
      <c r="I45" t="str">
        <f>IFERROR(VLOOKUP(Final!F45,'LEAID Match'!$A$2:$B$374,2,FALSE),"")</f>
        <v/>
      </c>
      <c r="K45" s="10">
        <f t="shared" si="0"/>
        <v>536756</v>
      </c>
    </row>
    <row r="46" spans="1:11">
      <c r="A46" t="s">
        <v>2470</v>
      </c>
      <c r="B46" s="10">
        <v>2023</v>
      </c>
      <c r="C46" t="s">
        <v>175</v>
      </c>
      <c r="D46" t="s">
        <v>2472</v>
      </c>
      <c r="E46" t="s">
        <v>2474</v>
      </c>
      <c r="F46" t="s">
        <v>1532</v>
      </c>
      <c r="G46" t="s">
        <v>1532</v>
      </c>
      <c r="H46" s="10">
        <v>606180</v>
      </c>
      <c r="I46" t="str">
        <f>IFERROR(VLOOKUP(Final!F46,'LEAID Match'!$A$2:$B$374,2,FALSE),"")</f>
        <v/>
      </c>
      <c r="K46" s="10">
        <f t="shared" si="0"/>
        <v>606180</v>
      </c>
    </row>
    <row r="47" spans="1:11">
      <c r="A47" t="s">
        <v>2470</v>
      </c>
      <c r="B47" s="10">
        <v>2015</v>
      </c>
      <c r="C47" t="s">
        <v>176</v>
      </c>
      <c r="D47" t="s">
        <v>2472</v>
      </c>
      <c r="E47" t="s">
        <v>2474</v>
      </c>
      <c r="F47" t="s">
        <v>1533</v>
      </c>
      <c r="G47" t="s">
        <v>121</v>
      </c>
      <c r="H47" s="10">
        <v>161378</v>
      </c>
      <c r="I47" t="str">
        <f>IFERROR(VLOOKUP(Final!F47,'LEAID Match'!$A$2:$B$374,2,FALSE),"")</f>
        <v/>
      </c>
      <c r="K47" s="10">
        <f t="shared" si="0"/>
        <v>161378</v>
      </c>
    </row>
    <row r="48" spans="1:11">
      <c r="A48" t="s">
        <v>2470</v>
      </c>
      <c r="B48" s="10">
        <v>2016</v>
      </c>
      <c r="C48" t="s">
        <v>176</v>
      </c>
      <c r="D48" t="s">
        <v>2472</v>
      </c>
      <c r="E48" t="s">
        <v>2474</v>
      </c>
      <c r="F48" t="s">
        <v>1533</v>
      </c>
      <c r="G48" t="s">
        <v>121</v>
      </c>
      <c r="H48" s="10">
        <v>195483</v>
      </c>
      <c r="I48" t="str">
        <f>IFERROR(VLOOKUP(Final!F48,'LEAID Match'!$A$2:$B$374,2,FALSE),"")</f>
        <v/>
      </c>
      <c r="K48" s="10">
        <f t="shared" si="0"/>
        <v>195483</v>
      </c>
    </row>
    <row r="49" spans="1:11">
      <c r="A49" t="s">
        <v>2470</v>
      </c>
      <c r="B49" s="10">
        <v>2017</v>
      </c>
      <c r="C49" t="s">
        <v>176</v>
      </c>
      <c r="D49" t="s">
        <v>2472</v>
      </c>
      <c r="E49" t="s">
        <v>2474</v>
      </c>
      <c r="F49" t="s">
        <v>1533</v>
      </c>
      <c r="G49" t="s">
        <v>1533</v>
      </c>
      <c r="H49" s="10">
        <v>180780</v>
      </c>
      <c r="I49" t="str">
        <f>IFERROR(VLOOKUP(Final!F49,'LEAID Match'!$A$2:$B$374,2,FALSE),"")</f>
        <v/>
      </c>
      <c r="K49" s="10">
        <f t="shared" si="0"/>
        <v>180780</v>
      </c>
    </row>
    <row r="50" spans="1:11">
      <c r="A50" t="s">
        <v>2470</v>
      </c>
      <c r="B50" s="10">
        <v>2018</v>
      </c>
      <c r="C50" t="s">
        <v>176</v>
      </c>
      <c r="D50" t="s">
        <v>2472</v>
      </c>
      <c r="E50" t="s">
        <v>2474</v>
      </c>
      <c r="F50" t="s">
        <v>1533</v>
      </c>
      <c r="G50" t="s">
        <v>2069</v>
      </c>
      <c r="H50" s="10">
        <v>192389</v>
      </c>
      <c r="I50" t="str">
        <f>IFERROR(VLOOKUP(Final!F50,'LEAID Match'!$A$2:$B$374,2,FALSE),"")</f>
        <v/>
      </c>
      <c r="K50" s="10">
        <f t="shared" si="0"/>
        <v>192389</v>
      </c>
    </row>
    <row r="51" spans="1:11">
      <c r="A51" t="s">
        <v>2470</v>
      </c>
      <c r="B51" s="10">
        <v>2019</v>
      </c>
      <c r="C51" t="s">
        <v>176</v>
      </c>
      <c r="D51" t="s">
        <v>2472</v>
      </c>
      <c r="E51" t="s">
        <v>2474</v>
      </c>
      <c r="F51" t="s">
        <v>1533</v>
      </c>
      <c r="G51" t="s">
        <v>1533</v>
      </c>
      <c r="H51" s="10">
        <v>172945</v>
      </c>
      <c r="I51" t="str">
        <f>IFERROR(VLOOKUP(Final!F51,'LEAID Match'!$A$2:$B$374,2,FALSE),"")</f>
        <v/>
      </c>
      <c r="K51" s="10">
        <f t="shared" si="0"/>
        <v>172945</v>
      </c>
    </row>
    <row r="52" spans="1:11">
      <c r="A52" t="s">
        <v>2470</v>
      </c>
      <c r="B52" s="10">
        <v>2020</v>
      </c>
      <c r="C52" t="s">
        <v>176</v>
      </c>
      <c r="D52" t="s">
        <v>2472</v>
      </c>
      <c r="E52" t="s">
        <v>2474</v>
      </c>
      <c r="F52" t="s">
        <v>1533</v>
      </c>
      <c r="G52" t="s">
        <v>1533</v>
      </c>
      <c r="H52" s="10">
        <v>181704</v>
      </c>
      <c r="I52" t="str">
        <f>IFERROR(VLOOKUP(Final!F52,'LEAID Match'!$A$2:$B$374,2,FALSE),"")</f>
        <v/>
      </c>
      <c r="K52" s="10">
        <f t="shared" si="0"/>
        <v>181704</v>
      </c>
    </row>
    <row r="53" spans="1:11">
      <c r="A53" t="s">
        <v>2470</v>
      </c>
      <c r="B53" s="10">
        <v>2021</v>
      </c>
      <c r="C53" t="s">
        <v>176</v>
      </c>
      <c r="D53" t="s">
        <v>2472</v>
      </c>
      <c r="E53" t="s">
        <v>2474</v>
      </c>
      <c r="F53" t="s">
        <v>1533</v>
      </c>
      <c r="G53" t="s">
        <v>1533</v>
      </c>
      <c r="H53" s="10">
        <v>218906</v>
      </c>
      <c r="I53" t="str">
        <f>IFERROR(VLOOKUP(Final!F53,'LEAID Match'!$A$2:$B$374,2,FALSE),"")</f>
        <v/>
      </c>
      <c r="K53" s="10">
        <f t="shared" si="0"/>
        <v>218906</v>
      </c>
    </row>
    <row r="54" spans="1:11">
      <c r="A54" t="s">
        <v>2470</v>
      </c>
      <c r="B54" s="10">
        <v>2022</v>
      </c>
      <c r="C54" t="s">
        <v>176</v>
      </c>
      <c r="D54" t="s">
        <v>2472</v>
      </c>
      <c r="E54" t="s">
        <v>2474</v>
      </c>
      <c r="F54" t="s">
        <v>1533</v>
      </c>
      <c r="G54" t="s">
        <v>1533</v>
      </c>
      <c r="H54" s="10">
        <v>228251</v>
      </c>
      <c r="I54" t="str">
        <f>IFERROR(VLOOKUP(Final!F54,'LEAID Match'!$A$2:$B$374,2,FALSE),"")</f>
        <v/>
      </c>
      <c r="K54" s="10">
        <f t="shared" si="0"/>
        <v>228251</v>
      </c>
    </row>
    <row r="55" spans="1:11">
      <c r="A55" t="s">
        <v>2470</v>
      </c>
      <c r="B55" s="10">
        <v>2023</v>
      </c>
      <c r="C55" t="s">
        <v>176</v>
      </c>
      <c r="D55" t="s">
        <v>2472</v>
      </c>
      <c r="E55" t="s">
        <v>2474</v>
      </c>
      <c r="F55" t="s">
        <v>1533</v>
      </c>
      <c r="G55" t="s">
        <v>1533</v>
      </c>
      <c r="H55" s="10">
        <v>279134</v>
      </c>
      <c r="I55" t="str">
        <f>IFERROR(VLOOKUP(Final!F55,'LEAID Match'!$A$2:$B$374,2,FALSE),"")</f>
        <v/>
      </c>
      <c r="K55" s="10">
        <f t="shared" si="0"/>
        <v>279134</v>
      </c>
    </row>
    <row r="56" spans="1:11">
      <c r="A56">
        <v>400836</v>
      </c>
      <c r="B56" s="10">
        <v>2015</v>
      </c>
      <c r="C56" t="s">
        <v>1416</v>
      </c>
      <c r="D56" t="s">
        <v>2472</v>
      </c>
      <c r="E56" t="s">
        <v>2474</v>
      </c>
      <c r="F56" t="s">
        <v>249</v>
      </c>
      <c r="G56" t="s">
        <v>249</v>
      </c>
      <c r="H56" s="10">
        <v>2617136</v>
      </c>
      <c r="I56">
        <f>IFERROR(VLOOKUP(Final!F56,'LEAID Match'!$A$2:$B$374,2,FALSE),"")</f>
        <v>400836</v>
      </c>
      <c r="K56" s="10">
        <f t="shared" si="0"/>
        <v>2617136</v>
      </c>
    </row>
    <row r="57" spans="1:11">
      <c r="A57">
        <v>400836</v>
      </c>
      <c r="B57" s="10">
        <v>2016</v>
      </c>
      <c r="C57" t="s">
        <v>1416</v>
      </c>
      <c r="D57" t="s">
        <v>2472</v>
      </c>
      <c r="E57" t="s">
        <v>2474</v>
      </c>
      <c r="F57" t="s">
        <v>249</v>
      </c>
      <c r="G57" t="s">
        <v>249</v>
      </c>
      <c r="H57" s="10">
        <v>2676023</v>
      </c>
      <c r="I57">
        <f>IFERROR(VLOOKUP(Final!F57,'LEAID Match'!$A$2:$B$374,2,FALSE),"")</f>
        <v>400836</v>
      </c>
      <c r="K57" s="10">
        <f t="shared" si="0"/>
        <v>2676023</v>
      </c>
    </row>
    <row r="58" spans="1:11">
      <c r="A58">
        <v>400836</v>
      </c>
      <c r="B58" s="10">
        <v>2017</v>
      </c>
      <c r="C58" t="s">
        <v>1416</v>
      </c>
      <c r="D58" t="s">
        <v>2472</v>
      </c>
      <c r="E58" t="s">
        <v>2474</v>
      </c>
      <c r="F58" t="s">
        <v>249</v>
      </c>
      <c r="G58" t="s">
        <v>249</v>
      </c>
      <c r="H58" s="10">
        <v>2829783</v>
      </c>
      <c r="I58">
        <f>IFERROR(VLOOKUP(Final!F58,'LEAID Match'!$A$2:$B$374,2,FALSE),"")</f>
        <v>400836</v>
      </c>
      <c r="K58" s="10">
        <f t="shared" si="0"/>
        <v>2829783</v>
      </c>
    </row>
    <row r="59" spans="1:11">
      <c r="A59">
        <v>400836</v>
      </c>
      <c r="B59" s="10">
        <v>2018</v>
      </c>
      <c r="C59" t="s">
        <v>1416</v>
      </c>
      <c r="D59" t="s">
        <v>2472</v>
      </c>
      <c r="E59" t="s">
        <v>2474</v>
      </c>
      <c r="F59" t="s">
        <v>249</v>
      </c>
      <c r="G59" t="s">
        <v>249</v>
      </c>
      <c r="H59" s="10">
        <v>2975713</v>
      </c>
      <c r="I59">
        <f>IFERROR(VLOOKUP(Final!F59,'LEAID Match'!$A$2:$B$374,2,FALSE),"")</f>
        <v>400836</v>
      </c>
      <c r="K59" s="10">
        <f t="shared" si="0"/>
        <v>2975713</v>
      </c>
    </row>
    <row r="60" spans="1:11">
      <c r="A60">
        <v>400836</v>
      </c>
      <c r="B60" s="10">
        <v>2019</v>
      </c>
      <c r="C60" t="s">
        <v>1416</v>
      </c>
      <c r="D60" t="s">
        <v>2472</v>
      </c>
      <c r="E60" t="s">
        <v>2474</v>
      </c>
      <c r="F60" t="s">
        <v>249</v>
      </c>
      <c r="G60" t="s">
        <v>249</v>
      </c>
      <c r="H60" s="10">
        <v>3092437</v>
      </c>
      <c r="I60">
        <f>IFERROR(VLOOKUP(Final!F60,'LEAID Match'!$A$2:$B$374,2,FALSE),"")</f>
        <v>400836</v>
      </c>
      <c r="K60" s="10">
        <f t="shared" si="0"/>
        <v>3092437</v>
      </c>
    </row>
    <row r="61" spans="1:11">
      <c r="A61">
        <v>400836</v>
      </c>
      <c r="B61" s="10">
        <v>2020</v>
      </c>
      <c r="C61" t="s">
        <v>1416</v>
      </c>
      <c r="D61" t="s">
        <v>2472</v>
      </c>
      <c r="E61" t="s">
        <v>2474</v>
      </c>
      <c r="F61" t="s">
        <v>249</v>
      </c>
      <c r="G61" t="s">
        <v>249</v>
      </c>
      <c r="H61" s="10">
        <v>3364390</v>
      </c>
      <c r="I61">
        <f>IFERROR(VLOOKUP(Final!F61,'LEAID Match'!$A$2:$B$374,2,FALSE),"")</f>
        <v>400836</v>
      </c>
      <c r="K61" s="10">
        <f t="shared" si="0"/>
        <v>3364390</v>
      </c>
    </row>
    <row r="62" spans="1:11">
      <c r="A62">
        <v>400836</v>
      </c>
      <c r="B62" s="10">
        <v>2021</v>
      </c>
      <c r="C62" t="s">
        <v>1416</v>
      </c>
      <c r="D62" t="s">
        <v>2472</v>
      </c>
      <c r="E62" t="s">
        <v>2474</v>
      </c>
      <c r="F62" t="s">
        <v>249</v>
      </c>
      <c r="G62" t="s">
        <v>249</v>
      </c>
      <c r="H62" s="10">
        <v>3550057</v>
      </c>
      <c r="I62">
        <f>IFERROR(VLOOKUP(Final!F62,'LEAID Match'!$A$2:$B$374,2,FALSE),"")</f>
        <v>400836</v>
      </c>
      <c r="K62" s="10">
        <f t="shared" si="0"/>
        <v>3550057</v>
      </c>
    </row>
    <row r="63" spans="1:11">
      <c r="A63">
        <v>400836</v>
      </c>
      <c r="B63" s="10">
        <v>2022</v>
      </c>
      <c r="C63" t="s">
        <v>1416</v>
      </c>
      <c r="D63" t="s">
        <v>2472</v>
      </c>
      <c r="E63" t="s">
        <v>2474</v>
      </c>
      <c r="F63" t="s">
        <v>249</v>
      </c>
      <c r="G63" t="s">
        <v>249</v>
      </c>
      <c r="H63" s="10">
        <v>3669397</v>
      </c>
      <c r="I63">
        <f>IFERROR(VLOOKUP(Final!F63,'LEAID Match'!$A$2:$B$374,2,FALSE),"")</f>
        <v>400836</v>
      </c>
      <c r="K63" s="10">
        <f t="shared" si="0"/>
        <v>3669397</v>
      </c>
    </row>
    <row r="64" spans="1:11">
      <c r="A64">
        <v>400836</v>
      </c>
      <c r="B64" s="10">
        <v>2023</v>
      </c>
      <c r="C64" t="s">
        <v>1416</v>
      </c>
      <c r="D64" t="s">
        <v>2472</v>
      </c>
      <c r="E64" t="s">
        <v>2474</v>
      </c>
      <c r="F64" t="s">
        <v>249</v>
      </c>
      <c r="G64" t="s">
        <v>249</v>
      </c>
      <c r="H64" s="10">
        <v>4187131</v>
      </c>
      <c r="I64">
        <f>IFERROR(VLOOKUP(Final!F64,'LEAID Match'!$A$2:$B$374,2,FALSE),"")</f>
        <v>400836</v>
      </c>
      <c r="K64" s="10">
        <f t="shared" si="0"/>
        <v>4187131</v>
      </c>
    </row>
    <row r="65" spans="1:11">
      <c r="A65" t="s">
        <v>2470</v>
      </c>
      <c r="B65" s="10">
        <v>2015</v>
      </c>
      <c r="C65" t="s">
        <v>177</v>
      </c>
      <c r="D65" t="s">
        <v>2472</v>
      </c>
      <c r="E65" t="s">
        <v>2474</v>
      </c>
      <c r="F65" t="s">
        <v>122</v>
      </c>
      <c r="G65" t="s">
        <v>122</v>
      </c>
      <c r="H65" s="10">
        <v>151115</v>
      </c>
      <c r="I65" t="str">
        <f>IFERROR(VLOOKUP(Final!F65,'LEAID Match'!$A$2:$B$374,2,FALSE),"")</f>
        <v/>
      </c>
      <c r="K65" s="10">
        <f t="shared" si="0"/>
        <v>151115</v>
      </c>
    </row>
    <row r="66" spans="1:11">
      <c r="A66" t="s">
        <v>2470</v>
      </c>
      <c r="B66" s="10">
        <v>2016</v>
      </c>
      <c r="C66" t="s">
        <v>177</v>
      </c>
      <c r="D66" t="s">
        <v>2472</v>
      </c>
      <c r="E66" t="s">
        <v>2474</v>
      </c>
      <c r="F66" t="s">
        <v>122</v>
      </c>
      <c r="G66" t="s">
        <v>122</v>
      </c>
      <c r="H66" s="10">
        <v>144532</v>
      </c>
      <c r="I66" t="str">
        <f>IFERROR(VLOOKUP(Final!F66,'LEAID Match'!$A$2:$B$374,2,FALSE),"")</f>
        <v/>
      </c>
      <c r="K66" s="10">
        <f t="shared" si="0"/>
        <v>144532</v>
      </c>
    </row>
    <row r="67" spans="1:11">
      <c r="A67" t="s">
        <v>2470</v>
      </c>
      <c r="B67" s="10">
        <v>2017</v>
      </c>
      <c r="C67" t="s">
        <v>177</v>
      </c>
      <c r="D67" t="s">
        <v>2472</v>
      </c>
      <c r="E67" t="s">
        <v>2474</v>
      </c>
      <c r="F67" t="s">
        <v>122</v>
      </c>
      <c r="G67" t="s">
        <v>122</v>
      </c>
      <c r="H67" s="10">
        <v>141505</v>
      </c>
      <c r="I67" t="str">
        <f>IFERROR(VLOOKUP(Final!F67,'LEAID Match'!$A$2:$B$374,2,FALSE),"")</f>
        <v/>
      </c>
      <c r="K67" s="10">
        <f t="shared" ref="K67:K130" si="1">SUM(H67,J67)</f>
        <v>141505</v>
      </c>
    </row>
    <row r="68" spans="1:11">
      <c r="A68" t="s">
        <v>2470</v>
      </c>
      <c r="B68" s="10">
        <v>2018</v>
      </c>
      <c r="C68" t="s">
        <v>177</v>
      </c>
      <c r="D68" t="s">
        <v>2472</v>
      </c>
      <c r="E68" t="s">
        <v>2474</v>
      </c>
      <c r="F68" t="s">
        <v>122</v>
      </c>
      <c r="G68" t="s">
        <v>122</v>
      </c>
      <c r="H68" s="10">
        <v>143946</v>
      </c>
      <c r="I68" t="str">
        <f>IFERROR(VLOOKUP(Final!F68,'LEAID Match'!$A$2:$B$374,2,FALSE),"")</f>
        <v/>
      </c>
      <c r="K68" s="10">
        <f t="shared" si="1"/>
        <v>143946</v>
      </c>
    </row>
    <row r="69" spans="1:11">
      <c r="A69" t="s">
        <v>2470</v>
      </c>
      <c r="B69" s="10">
        <v>2019</v>
      </c>
      <c r="C69" t="s">
        <v>177</v>
      </c>
      <c r="D69" t="s">
        <v>2472</v>
      </c>
      <c r="E69" t="s">
        <v>2474</v>
      </c>
      <c r="F69" t="s">
        <v>122</v>
      </c>
      <c r="G69" t="s">
        <v>122</v>
      </c>
      <c r="H69" s="10">
        <v>135242</v>
      </c>
      <c r="I69" t="str">
        <f>IFERROR(VLOOKUP(Final!F69,'LEAID Match'!$A$2:$B$374,2,FALSE),"")</f>
        <v/>
      </c>
      <c r="K69" s="10">
        <f t="shared" si="1"/>
        <v>135242</v>
      </c>
    </row>
    <row r="70" spans="1:11">
      <c r="A70" t="s">
        <v>2470</v>
      </c>
      <c r="B70" s="10">
        <v>2020</v>
      </c>
      <c r="C70" t="s">
        <v>177</v>
      </c>
      <c r="D70" t="s">
        <v>2472</v>
      </c>
      <c r="E70" t="s">
        <v>2474</v>
      </c>
      <c r="F70" t="s">
        <v>122</v>
      </c>
      <c r="G70" t="s">
        <v>122</v>
      </c>
      <c r="H70" s="10">
        <v>148711</v>
      </c>
      <c r="I70" t="str">
        <f>IFERROR(VLOOKUP(Final!F70,'LEAID Match'!$A$2:$B$374,2,FALSE),"")</f>
        <v/>
      </c>
      <c r="K70" s="10">
        <f t="shared" si="1"/>
        <v>148711</v>
      </c>
    </row>
    <row r="71" spans="1:11">
      <c r="A71" t="s">
        <v>2470</v>
      </c>
      <c r="B71" s="10">
        <v>2021</v>
      </c>
      <c r="C71" t="s">
        <v>177</v>
      </c>
      <c r="D71" t="s">
        <v>2472</v>
      </c>
      <c r="E71" t="s">
        <v>2474</v>
      </c>
      <c r="F71" t="s">
        <v>122</v>
      </c>
      <c r="G71" t="s">
        <v>122</v>
      </c>
      <c r="H71" s="10">
        <v>167453</v>
      </c>
      <c r="I71" t="str">
        <f>IFERROR(VLOOKUP(Final!F71,'LEAID Match'!$A$2:$B$374,2,FALSE),"")</f>
        <v/>
      </c>
      <c r="K71" s="10">
        <f t="shared" si="1"/>
        <v>167453</v>
      </c>
    </row>
    <row r="72" spans="1:11">
      <c r="A72" t="s">
        <v>2470</v>
      </c>
      <c r="B72" s="10">
        <v>2022</v>
      </c>
      <c r="C72" t="s">
        <v>177</v>
      </c>
      <c r="D72" t="s">
        <v>2472</v>
      </c>
      <c r="E72" t="s">
        <v>2474</v>
      </c>
      <c r="F72" t="s">
        <v>122</v>
      </c>
      <c r="G72" t="s">
        <v>122</v>
      </c>
      <c r="H72" s="10">
        <v>170486</v>
      </c>
      <c r="I72" t="str">
        <f>IFERROR(VLOOKUP(Final!F72,'LEAID Match'!$A$2:$B$374,2,FALSE),"")</f>
        <v/>
      </c>
      <c r="K72" s="10">
        <f t="shared" si="1"/>
        <v>170486</v>
      </c>
    </row>
    <row r="73" spans="1:11">
      <c r="A73" t="s">
        <v>2470</v>
      </c>
      <c r="B73" s="10">
        <v>2023</v>
      </c>
      <c r="C73" t="s">
        <v>177</v>
      </c>
      <c r="D73" t="s">
        <v>2472</v>
      </c>
      <c r="E73" t="s">
        <v>2474</v>
      </c>
      <c r="F73" t="s">
        <v>122</v>
      </c>
      <c r="G73" t="s">
        <v>122</v>
      </c>
      <c r="H73" s="10">
        <v>185626</v>
      </c>
      <c r="I73" t="str">
        <f>IFERROR(VLOOKUP(Final!F73,'LEAID Match'!$A$2:$B$374,2,FALSE),"")</f>
        <v/>
      </c>
      <c r="K73" s="10">
        <f t="shared" si="1"/>
        <v>185626</v>
      </c>
    </row>
    <row r="74" spans="1:11">
      <c r="A74" t="s">
        <v>2470</v>
      </c>
      <c r="B74" s="10">
        <v>2015</v>
      </c>
      <c r="C74" t="s">
        <v>207</v>
      </c>
      <c r="D74" t="s">
        <v>2472</v>
      </c>
      <c r="E74" t="s">
        <v>2474</v>
      </c>
      <c r="F74" t="s">
        <v>152</v>
      </c>
      <c r="G74" t="s">
        <v>152</v>
      </c>
      <c r="H74" s="10">
        <v>746406</v>
      </c>
      <c r="I74" t="str">
        <f>IFERROR(VLOOKUP(Final!F74,'LEAID Match'!$A$2:$B$374,2,FALSE),"")</f>
        <v/>
      </c>
      <c r="K74" s="10">
        <f t="shared" si="1"/>
        <v>746406</v>
      </c>
    </row>
    <row r="75" spans="1:11">
      <c r="A75" t="s">
        <v>2470</v>
      </c>
      <c r="B75" s="10">
        <v>2016</v>
      </c>
      <c r="C75" t="s">
        <v>207</v>
      </c>
      <c r="D75" t="s">
        <v>2472</v>
      </c>
      <c r="E75" t="s">
        <v>2474</v>
      </c>
      <c r="F75" t="s">
        <v>152</v>
      </c>
      <c r="G75" t="s">
        <v>152</v>
      </c>
      <c r="H75" s="10">
        <v>685628</v>
      </c>
      <c r="I75" t="str">
        <f>IFERROR(VLOOKUP(Final!F75,'LEAID Match'!$A$2:$B$374,2,FALSE),"")</f>
        <v/>
      </c>
      <c r="K75" s="10">
        <f t="shared" si="1"/>
        <v>685628</v>
      </c>
    </row>
    <row r="76" spans="1:11">
      <c r="A76" t="s">
        <v>2470</v>
      </c>
      <c r="B76" s="10">
        <v>2017</v>
      </c>
      <c r="C76" t="s">
        <v>207</v>
      </c>
      <c r="D76" t="s">
        <v>2472</v>
      </c>
      <c r="E76" t="s">
        <v>2474</v>
      </c>
      <c r="F76" t="s">
        <v>152</v>
      </c>
      <c r="G76" t="s">
        <v>152</v>
      </c>
      <c r="H76" s="10">
        <v>751445</v>
      </c>
      <c r="I76" t="str">
        <f>IFERROR(VLOOKUP(Final!F76,'LEAID Match'!$A$2:$B$374,2,FALSE),"")</f>
        <v/>
      </c>
      <c r="K76" s="10">
        <f t="shared" si="1"/>
        <v>751445</v>
      </c>
    </row>
    <row r="77" spans="1:11">
      <c r="A77" t="s">
        <v>2470</v>
      </c>
      <c r="B77" s="10">
        <v>2018</v>
      </c>
      <c r="C77" t="s">
        <v>207</v>
      </c>
      <c r="D77" t="s">
        <v>2472</v>
      </c>
      <c r="E77" t="s">
        <v>2474</v>
      </c>
      <c r="F77" t="s">
        <v>152</v>
      </c>
      <c r="G77" t="s">
        <v>152</v>
      </c>
      <c r="H77" s="10">
        <v>756692</v>
      </c>
      <c r="I77" t="str">
        <f>IFERROR(VLOOKUP(Final!F77,'LEAID Match'!$A$2:$B$374,2,FALSE),"")</f>
        <v/>
      </c>
      <c r="K77" s="10">
        <f t="shared" si="1"/>
        <v>756692</v>
      </c>
    </row>
    <row r="78" spans="1:11">
      <c r="A78" t="s">
        <v>2470</v>
      </c>
      <c r="B78" s="10">
        <v>2019</v>
      </c>
      <c r="C78" t="s">
        <v>207</v>
      </c>
      <c r="D78" t="s">
        <v>2472</v>
      </c>
      <c r="E78" t="s">
        <v>2474</v>
      </c>
      <c r="F78" t="s">
        <v>152</v>
      </c>
      <c r="G78" t="s">
        <v>152</v>
      </c>
      <c r="H78" s="10">
        <v>809439</v>
      </c>
      <c r="I78" t="str">
        <f>IFERROR(VLOOKUP(Final!F78,'LEAID Match'!$A$2:$B$374,2,FALSE),"")</f>
        <v/>
      </c>
      <c r="K78" s="10">
        <f t="shared" si="1"/>
        <v>809439</v>
      </c>
    </row>
    <row r="79" spans="1:11">
      <c r="A79" t="s">
        <v>2470</v>
      </c>
      <c r="B79" s="10">
        <v>2020</v>
      </c>
      <c r="C79" t="s">
        <v>207</v>
      </c>
      <c r="D79" t="s">
        <v>2472</v>
      </c>
      <c r="E79" t="s">
        <v>2474</v>
      </c>
      <c r="F79" t="s">
        <v>152</v>
      </c>
      <c r="G79" t="s">
        <v>152</v>
      </c>
      <c r="H79" s="10">
        <v>828910</v>
      </c>
      <c r="I79" t="str">
        <f>IFERROR(VLOOKUP(Final!F79,'LEAID Match'!$A$2:$B$374,2,FALSE),"")</f>
        <v/>
      </c>
      <c r="K79" s="10">
        <f t="shared" si="1"/>
        <v>828910</v>
      </c>
    </row>
    <row r="80" spans="1:11">
      <c r="A80" t="s">
        <v>2470</v>
      </c>
      <c r="B80" s="10">
        <v>2021</v>
      </c>
      <c r="C80" t="s">
        <v>207</v>
      </c>
      <c r="D80" t="s">
        <v>2472</v>
      </c>
      <c r="E80" t="s">
        <v>2474</v>
      </c>
      <c r="F80" t="s">
        <v>152</v>
      </c>
      <c r="G80" t="s">
        <v>152</v>
      </c>
      <c r="H80" s="10">
        <v>971498</v>
      </c>
      <c r="I80" t="str">
        <f>IFERROR(VLOOKUP(Final!F80,'LEAID Match'!$A$2:$B$374,2,FALSE),"")</f>
        <v/>
      </c>
      <c r="K80" s="10">
        <f t="shared" si="1"/>
        <v>971498</v>
      </c>
    </row>
    <row r="81" spans="1:11">
      <c r="A81" t="s">
        <v>2470</v>
      </c>
      <c r="B81" s="10">
        <v>2022</v>
      </c>
      <c r="C81" t="s">
        <v>207</v>
      </c>
      <c r="D81" t="s">
        <v>2472</v>
      </c>
      <c r="E81" t="s">
        <v>2474</v>
      </c>
      <c r="F81" t="s">
        <v>152</v>
      </c>
      <c r="G81" t="s">
        <v>152</v>
      </c>
      <c r="H81" s="10">
        <v>984132</v>
      </c>
      <c r="I81" t="str">
        <f>IFERROR(VLOOKUP(Final!F81,'LEAID Match'!$A$2:$B$374,2,FALSE),"")</f>
        <v/>
      </c>
      <c r="K81" s="10">
        <f t="shared" si="1"/>
        <v>984132</v>
      </c>
    </row>
    <row r="82" spans="1:11">
      <c r="A82" t="s">
        <v>2470</v>
      </c>
      <c r="B82" s="10">
        <v>2023</v>
      </c>
      <c r="C82" t="s">
        <v>207</v>
      </c>
      <c r="D82" t="s">
        <v>2472</v>
      </c>
      <c r="E82" t="s">
        <v>2474</v>
      </c>
      <c r="F82" t="s">
        <v>152</v>
      </c>
      <c r="G82" t="s">
        <v>152</v>
      </c>
      <c r="H82" s="10">
        <v>1034084</v>
      </c>
      <c r="I82" t="str">
        <f>IFERROR(VLOOKUP(Final!F82,'LEAID Match'!$A$2:$B$374,2,FALSE),"")</f>
        <v/>
      </c>
      <c r="K82" s="10">
        <f t="shared" si="1"/>
        <v>1034084</v>
      </c>
    </row>
    <row r="83" spans="1:11">
      <c r="A83" t="s">
        <v>2470</v>
      </c>
      <c r="B83" s="10">
        <v>2015</v>
      </c>
      <c r="C83" t="s">
        <v>1391</v>
      </c>
      <c r="D83" t="s">
        <v>2472</v>
      </c>
      <c r="E83" t="s">
        <v>2474</v>
      </c>
      <c r="F83" t="s">
        <v>1576</v>
      </c>
      <c r="G83" t="s">
        <v>225</v>
      </c>
      <c r="H83" s="10"/>
      <c r="I83" t="str">
        <f>IFERROR(VLOOKUP(Final!F83,'LEAID Match'!$A$2:$B$374,2,FALSE),"")</f>
        <v/>
      </c>
      <c r="K83" s="10">
        <f t="shared" si="1"/>
        <v>0</v>
      </c>
    </row>
    <row r="84" spans="1:11">
      <c r="A84" t="s">
        <v>2470</v>
      </c>
      <c r="B84" s="10">
        <v>2016</v>
      </c>
      <c r="C84" t="s">
        <v>1391</v>
      </c>
      <c r="D84" t="s">
        <v>2472</v>
      </c>
      <c r="E84" t="s">
        <v>2474</v>
      </c>
      <c r="F84" t="s">
        <v>1576</v>
      </c>
      <c r="G84" t="s">
        <v>225</v>
      </c>
      <c r="H84" s="10"/>
      <c r="I84" t="str">
        <f>IFERROR(VLOOKUP(Final!F84,'LEAID Match'!$A$2:$B$374,2,FALSE),"")</f>
        <v/>
      </c>
      <c r="K84" s="10">
        <f t="shared" si="1"/>
        <v>0</v>
      </c>
    </row>
    <row r="85" spans="1:11">
      <c r="A85" t="s">
        <v>2470</v>
      </c>
      <c r="B85" s="10">
        <v>2017</v>
      </c>
      <c r="C85" t="s">
        <v>1391</v>
      </c>
      <c r="D85" t="s">
        <v>2472</v>
      </c>
      <c r="E85" t="s">
        <v>2474</v>
      </c>
      <c r="F85" t="s">
        <v>1576</v>
      </c>
      <c r="G85" t="s">
        <v>1576</v>
      </c>
      <c r="H85" s="10"/>
      <c r="I85" t="str">
        <f>IFERROR(VLOOKUP(Final!F85,'LEAID Match'!$A$2:$B$374,2,FALSE),"")</f>
        <v/>
      </c>
      <c r="K85" s="10">
        <f t="shared" si="1"/>
        <v>0</v>
      </c>
    </row>
    <row r="86" spans="1:11">
      <c r="A86" t="s">
        <v>2470</v>
      </c>
      <c r="B86" s="10">
        <v>2018</v>
      </c>
      <c r="C86" t="s">
        <v>1391</v>
      </c>
      <c r="D86" t="s">
        <v>2472</v>
      </c>
      <c r="E86" t="s">
        <v>2474</v>
      </c>
      <c r="F86" t="s">
        <v>1576</v>
      </c>
      <c r="G86" t="s">
        <v>1576</v>
      </c>
      <c r="H86" s="10"/>
      <c r="I86" t="str">
        <f>IFERROR(VLOOKUP(Final!F86,'LEAID Match'!$A$2:$B$374,2,FALSE),"")</f>
        <v/>
      </c>
      <c r="K86" s="10">
        <f t="shared" si="1"/>
        <v>0</v>
      </c>
    </row>
    <row r="87" spans="1:11">
      <c r="A87" t="s">
        <v>2470</v>
      </c>
      <c r="B87" s="10">
        <v>2015</v>
      </c>
      <c r="C87" t="s">
        <v>1393</v>
      </c>
      <c r="D87" t="s">
        <v>2472</v>
      </c>
      <c r="E87" t="s">
        <v>2474</v>
      </c>
      <c r="F87" t="s">
        <v>1579</v>
      </c>
      <c r="G87" t="s">
        <v>227</v>
      </c>
      <c r="H87" s="10">
        <v>183598</v>
      </c>
      <c r="I87" t="str">
        <f>IFERROR(VLOOKUP(Final!F87,'LEAID Match'!$A$2:$B$374,2,FALSE),"")</f>
        <v/>
      </c>
      <c r="K87" s="10">
        <f t="shared" si="1"/>
        <v>183598</v>
      </c>
    </row>
    <row r="88" spans="1:11">
      <c r="A88" t="s">
        <v>2470</v>
      </c>
      <c r="B88" s="10">
        <v>2016</v>
      </c>
      <c r="C88" t="s">
        <v>1393</v>
      </c>
      <c r="D88" t="s">
        <v>2472</v>
      </c>
      <c r="E88" t="s">
        <v>2474</v>
      </c>
      <c r="F88" t="s">
        <v>1579</v>
      </c>
      <c r="G88" t="s">
        <v>227</v>
      </c>
      <c r="H88" s="10">
        <v>138403</v>
      </c>
      <c r="I88" t="str">
        <f>IFERROR(VLOOKUP(Final!F88,'LEAID Match'!$A$2:$B$374,2,FALSE),"")</f>
        <v/>
      </c>
      <c r="K88" s="10">
        <f t="shared" si="1"/>
        <v>138403</v>
      </c>
    </row>
    <row r="89" spans="1:11">
      <c r="A89" t="s">
        <v>2470</v>
      </c>
      <c r="B89" s="10">
        <v>2017</v>
      </c>
      <c r="C89" t="s">
        <v>1393</v>
      </c>
      <c r="D89" t="s">
        <v>2472</v>
      </c>
      <c r="E89" t="s">
        <v>2474</v>
      </c>
      <c r="F89" t="s">
        <v>1579</v>
      </c>
      <c r="G89" t="s">
        <v>1579</v>
      </c>
      <c r="H89" s="10">
        <v>162896</v>
      </c>
      <c r="I89" t="str">
        <f>IFERROR(VLOOKUP(Final!F89,'LEAID Match'!$A$2:$B$374,2,FALSE),"")</f>
        <v/>
      </c>
      <c r="K89" s="10">
        <f t="shared" si="1"/>
        <v>162896</v>
      </c>
    </row>
    <row r="90" spans="1:11">
      <c r="A90" t="s">
        <v>2470</v>
      </c>
      <c r="B90" s="10">
        <v>2018</v>
      </c>
      <c r="C90" t="s">
        <v>1393</v>
      </c>
      <c r="D90" t="s">
        <v>2472</v>
      </c>
      <c r="E90" t="s">
        <v>2474</v>
      </c>
      <c r="F90" t="s">
        <v>1579</v>
      </c>
      <c r="G90" t="s">
        <v>1579</v>
      </c>
      <c r="H90" s="10">
        <v>174182</v>
      </c>
      <c r="I90" t="str">
        <f>IFERROR(VLOOKUP(Final!F90,'LEAID Match'!$A$2:$B$374,2,FALSE),"")</f>
        <v/>
      </c>
      <c r="K90" s="10">
        <f t="shared" si="1"/>
        <v>174182</v>
      </c>
    </row>
    <row r="91" spans="1:11">
      <c r="A91" t="s">
        <v>2470</v>
      </c>
      <c r="B91" s="10">
        <v>2019</v>
      </c>
      <c r="C91" t="s">
        <v>1393</v>
      </c>
      <c r="D91" t="s">
        <v>2472</v>
      </c>
      <c r="E91" t="s">
        <v>2474</v>
      </c>
      <c r="F91" t="s">
        <v>1579</v>
      </c>
      <c r="G91" t="s">
        <v>1579</v>
      </c>
      <c r="H91" s="10">
        <v>198319</v>
      </c>
      <c r="I91" t="str">
        <f>IFERROR(VLOOKUP(Final!F91,'LEAID Match'!$A$2:$B$374,2,FALSE),"")</f>
        <v/>
      </c>
      <c r="K91" s="10">
        <f t="shared" si="1"/>
        <v>198319</v>
      </c>
    </row>
    <row r="92" spans="1:11">
      <c r="A92" t="s">
        <v>2470</v>
      </c>
      <c r="B92" s="10">
        <v>2020</v>
      </c>
      <c r="C92" t="s">
        <v>1393</v>
      </c>
      <c r="D92" t="s">
        <v>2472</v>
      </c>
      <c r="E92" t="s">
        <v>2474</v>
      </c>
      <c r="F92" t="s">
        <v>1579</v>
      </c>
      <c r="G92" t="s">
        <v>1579</v>
      </c>
      <c r="H92" s="10">
        <v>192092</v>
      </c>
      <c r="I92" t="str">
        <f>IFERROR(VLOOKUP(Final!F92,'LEAID Match'!$A$2:$B$374,2,FALSE),"")</f>
        <v/>
      </c>
      <c r="K92" s="10">
        <f t="shared" si="1"/>
        <v>192092</v>
      </c>
    </row>
    <row r="93" spans="1:11">
      <c r="A93" t="s">
        <v>2470</v>
      </c>
      <c r="B93" s="10">
        <v>2021</v>
      </c>
      <c r="C93" t="s">
        <v>1393</v>
      </c>
      <c r="D93" t="s">
        <v>2472</v>
      </c>
      <c r="E93" t="s">
        <v>2474</v>
      </c>
      <c r="F93" t="s">
        <v>1579</v>
      </c>
      <c r="G93" t="s">
        <v>1579</v>
      </c>
      <c r="H93" s="10">
        <v>207227</v>
      </c>
      <c r="I93" t="str">
        <f>IFERROR(VLOOKUP(Final!F93,'LEAID Match'!$A$2:$B$374,2,FALSE),"")</f>
        <v/>
      </c>
      <c r="K93" s="10">
        <f t="shared" si="1"/>
        <v>207227</v>
      </c>
    </row>
    <row r="94" spans="1:11">
      <c r="A94" t="s">
        <v>2470</v>
      </c>
      <c r="B94" s="10">
        <v>2022</v>
      </c>
      <c r="C94" t="s">
        <v>1393</v>
      </c>
      <c r="D94" t="s">
        <v>2472</v>
      </c>
      <c r="E94" t="s">
        <v>2474</v>
      </c>
      <c r="F94" t="s">
        <v>1579</v>
      </c>
      <c r="G94" t="s">
        <v>1579</v>
      </c>
      <c r="H94" s="10">
        <v>201190</v>
      </c>
      <c r="I94" t="str">
        <f>IFERROR(VLOOKUP(Final!F94,'LEAID Match'!$A$2:$B$374,2,FALSE),"")</f>
        <v/>
      </c>
      <c r="K94" s="10">
        <f t="shared" si="1"/>
        <v>201190</v>
      </c>
    </row>
    <row r="95" spans="1:11">
      <c r="A95" t="s">
        <v>2470</v>
      </c>
      <c r="B95" s="10">
        <v>2023</v>
      </c>
      <c r="C95" t="s">
        <v>1393</v>
      </c>
      <c r="D95" t="s">
        <v>2472</v>
      </c>
      <c r="E95" t="s">
        <v>2474</v>
      </c>
      <c r="F95" t="s">
        <v>1579</v>
      </c>
      <c r="G95" t="s">
        <v>1579</v>
      </c>
      <c r="H95" s="10">
        <v>217715</v>
      </c>
      <c r="I95" t="str">
        <f>IFERROR(VLOOKUP(Final!F95,'LEAID Match'!$A$2:$B$374,2,FALSE),"")</f>
        <v/>
      </c>
      <c r="K95" s="10">
        <f t="shared" si="1"/>
        <v>217715</v>
      </c>
    </row>
    <row r="96" spans="1:11">
      <c r="A96" t="s">
        <v>2470</v>
      </c>
      <c r="B96" s="10">
        <v>2015</v>
      </c>
      <c r="C96" t="s">
        <v>216</v>
      </c>
      <c r="D96" t="s">
        <v>2472</v>
      </c>
      <c r="E96" t="s">
        <v>2474</v>
      </c>
      <c r="F96" t="s">
        <v>1569</v>
      </c>
      <c r="G96" t="s">
        <v>161</v>
      </c>
      <c r="H96" s="10"/>
      <c r="I96" t="str">
        <f>IFERROR(VLOOKUP(Final!F96,'LEAID Match'!$A$2:$B$374,2,FALSE),"")</f>
        <v/>
      </c>
      <c r="K96" s="10">
        <f t="shared" si="1"/>
        <v>0</v>
      </c>
    </row>
    <row r="97" spans="1:11">
      <c r="A97" t="s">
        <v>2470</v>
      </c>
      <c r="B97" s="10">
        <v>2016</v>
      </c>
      <c r="C97" t="s">
        <v>216</v>
      </c>
      <c r="D97" t="s">
        <v>2472</v>
      </c>
      <c r="E97" t="s">
        <v>2474</v>
      </c>
      <c r="F97" t="s">
        <v>1569</v>
      </c>
      <c r="G97" t="s">
        <v>1383</v>
      </c>
      <c r="H97" s="10"/>
      <c r="I97" t="str">
        <f>IFERROR(VLOOKUP(Final!F97,'LEAID Match'!$A$2:$B$374,2,FALSE),"")</f>
        <v/>
      </c>
      <c r="K97" s="10">
        <f t="shared" si="1"/>
        <v>0</v>
      </c>
    </row>
    <row r="98" spans="1:11">
      <c r="A98" t="s">
        <v>2470</v>
      </c>
      <c r="B98" s="10">
        <v>2017</v>
      </c>
      <c r="C98" t="s">
        <v>216</v>
      </c>
      <c r="D98" t="s">
        <v>2472</v>
      </c>
      <c r="E98" t="s">
        <v>2474</v>
      </c>
      <c r="F98" t="s">
        <v>1569</v>
      </c>
      <c r="G98" t="s">
        <v>1569</v>
      </c>
      <c r="H98" s="10"/>
      <c r="I98" t="str">
        <f>IFERROR(VLOOKUP(Final!F98,'LEAID Match'!$A$2:$B$374,2,FALSE),"")</f>
        <v/>
      </c>
      <c r="K98" s="10">
        <f t="shared" si="1"/>
        <v>0</v>
      </c>
    </row>
    <row r="99" spans="1:11">
      <c r="A99" t="s">
        <v>2470</v>
      </c>
      <c r="B99" s="10">
        <v>2018</v>
      </c>
      <c r="C99" t="s">
        <v>216</v>
      </c>
      <c r="D99" t="s">
        <v>2472</v>
      </c>
      <c r="E99" t="s">
        <v>2474</v>
      </c>
      <c r="F99" t="s">
        <v>1569</v>
      </c>
      <c r="G99" t="s">
        <v>2094</v>
      </c>
      <c r="H99" s="10"/>
      <c r="I99" t="str">
        <f>IFERROR(VLOOKUP(Final!F99,'LEAID Match'!$A$2:$B$374,2,FALSE),"")</f>
        <v/>
      </c>
      <c r="K99" s="10">
        <f t="shared" si="1"/>
        <v>0</v>
      </c>
    </row>
    <row r="100" spans="1:11">
      <c r="A100" t="s">
        <v>2470</v>
      </c>
      <c r="B100" s="10">
        <v>2015</v>
      </c>
      <c r="C100" t="s">
        <v>1413</v>
      </c>
      <c r="D100" t="s">
        <v>2472</v>
      </c>
      <c r="E100" t="s">
        <v>2474</v>
      </c>
      <c r="F100" t="s">
        <v>246</v>
      </c>
      <c r="G100" t="s">
        <v>246</v>
      </c>
      <c r="H100" s="10">
        <v>454238</v>
      </c>
      <c r="I100" t="str">
        <f>IFERROR(VLOOKUP(Final!F100,'LEAID Match'!$A$2:$B$374,2,FALSE),"")</f>
        <v/>
      </c>
      <c r="K100" s="10">
        <f t="shared" si="1"/>
        <v>454238</v>
      </c>
    </row>
    <row r="101" spans="1:11">
      <c r="A101" t="s">
        <v>2470</v>
      </c>
      <c r="B101" s="10">
        <v>2016</v>
      </c>
      <c r="C101" t="s">
        <v>1413</v>
      </c>
      <c r="D101" t="s">
        <v>2472</v>
      </c>
      <c r="E101" t="s">
        <v>2474</v>
      </c>
      <c r="F101" t="s">
        <v>246</v>
      </c>
      <c r="G101" t="s">
        <v>246</v>
      </c>
      <c r="H101" s="10">
        <v>451532</v>
      </c>
      <c r="I101" t="str">
        <f>IFERROR(VLOOKUP(Final!F101,'LEAID Match'!$A$2:$B$374,2,FALSE),"")</f>
        <v/>
      </c>
      <c r="K101" s="10">
        <f t="shared" si="1"/>
        <v>451532</v>
      </c>
    </row>
    <row r="102" spans="1:11">
      <c r="A102" t="s">
        <v>2470</v>
      </c>
      <c r="B102" s="10">
        <v>2017</v>
      </c>
      <c r="C102" t="s">
        <v>1413</v>
      </c>
      <c r="D102" t="s">
        <v>2472</v>
      </c>
      <c r="E102" t="s">
        <v>2474</v>
      </c>
      <c r="F102" t="s">
        <v>246</v>
      </c>
      <c r="G102" t="s">
        <v>246</v>
      </c>
      <c r="H102" s="10">
        <v>499596</v>
      </c>
      <c r="I102" t="str">
        <f>IFERROR(VLOOKUP(Final!F102,'LEAID Match'!$A$2:$B$374,2,FALSE),"")</f>
        <v/>
      </c>
      <c r="K102" s="10">
        <f t="shared" si="1"/>
        <v>499596</v>
      </c>
    </row>
    <row r="103" spans="1:11">
      <c r="A103" t="s">
        <v>2470</v>
      </c>
      <c r="B103" s="10">
        <v>2018</v>
      </c>
      <c r="C103" t="s">
        <v>1413</v>
      </c>
      <c r="D103" t="s">
        <v>2472</v>
      </c>
      <c r="E103" t="s">
        <v>2474</v>
      </c>
      <c r="F103" t="s">
        <v>246</v>
      </c>
      <c r="G103" t="s">
        <v>246</v>
      </c>
      <c r="H103" s="10">
        <v>519832</v>
      </c>
      <c r="I103" t="str">
        <f>IFERROR(VLOOKUP(Final!F103,'LEAID Match'!$A$2:$B$374,2,FALSE),"")</f>
        <v/>
      </c>
      <c r="K103" s="10">
        <f t="shared" si="1"/>
        <v>519832</v>
      </c>
    </row>
    <row r="104" spans="1:11">
      <c r="A104" t="s">
        <v>2470</v>
      </c>
      <c r="B104" s="10">
        <v>2019</v>
      </c>
      <c r="C104" t="s">
        <v>1413</v>
      </c>
      <c r="D104" t="s">
        <v>2472</v>
      </c>
      <c r="E104" t="s">
        <v>2474</v>
      </c>
      <c r="F104" t="s">
        <v>246</v>
      </c>
      <c r="G104" t="s">
        <v>246</v>
      </c>
      <c r="H104" s="10">
        <v>560700</v>
      </c>
      <c r="I104" t="str">
        <f>IFERROR(VLOOKUP(Final!F104,'LEAID Match'!$A$2:$B$374,2,FALSE),"")</f>
        <v/>
      </c>
      <c r="K104" s="10">
        <f t="shared" si="1"/>
        <v>560700</v>
      </c>
    </row>
    <row r="105" spans="1:11">
      <c r="A105" t="s">
        <v>2470</v>
      </c>
      <c r="B105" s="10">
        <v>2020</v>
      </c>
      <c r="C105" t="s">
        <v>1413</v>
      </c>
      <c r="D105" t="s">
        <v>2472</v>
      </c>
      <c r="E105" t="s">
        <v>2474</v>
      </c>
      <c r="F105" t="s">
        <v>246</v>
      </c>
      <c r="G105" t="s">
        <v>246</v>
      </c>
      <c r="H105" s="10">
        <v>631885</v>
      </c>
      <c r="I105" t="str">
        <f>IFERROR(VLOOKUP(Final!F105,'LEAID Match'!$A$2:$B$374,2,FALSE),"")</f>
        <v/>
      </c>
      <c r="K105" s="10">
        <f t="shared" si="1"/>
        <v>631885</v>
      </c>
    </row>
    <row r="106" spans="1:11">
      <c r="A106" t="s">
        <v>2470</v>
      </c>
      <c r="B106" s="10">
        <v>2021</v>
      </c>
      <c r="C106" t="s">
        <v>1413</v>
      </c>
      <c r="D106" t="s">
        <v>2472</v>
      </c>
      <c r="E106" t="s">
        <v>2474</v>
      </c>
      <c r="F106" t="s">
        <v>246</v>
      </c>
      <c r="G106" t="s">
        <v>246</v>
      </c>
      <c r="H106" s="10">
        <v>657528</v>
      </c>
      <c r="I106" t="str">
        <f>IFERROR(VLOOKUP(Final!F106,'LEAID Match'!$A$2:$B$374,2,FALSE),"")</f>
        <v/>
      </c>
      <c r="K106" s="10">
        <f t="shared" si="1"/>
        <v>657528</v>
      </c>
    </row>
    <row r="107" spans="1:11">
      <c r="A107" t="s">
        <v>2470</v>
      </c>
      <c r="B107" s="10">
        <v>2022</v>
      </c>
      <c r="C107" t="s">
        <v>1413</v>
      </c>
      <c r="D107" t="s">
        <v>2472</v>
      </c>
      <c r="E107" t="s">
        <v>2474</v>
      </c>
      <c r="F107" t="s">
        <v>246</v>
      </c>
      <c r="G107" t="s">
        <v>246</v>
      </c>
      <c r="H107" s="10">
        <v>731340</v>
      </c>
      <c r="I107" t="str">
        <f>IFERROR(VLOOKUP(Final!F107,'LEAID Match'!$A$2:$B$374,2,FALSE),"")</f>
        <v/>
      </c>
      <c r="K107" s="10">
        <f t="shared" si="1"/>
        <v>731340</v>
      </c>
    </row>
    <row r="108" spans="1:11">
      <c r="A108" t="s">
        <v>2470</v>
      </c>
      <c r="B108" s="10">
        <v>2023</v>
      </c>
      <c r="C108" t="s">
        <v>1413</v>
      </c>
      <c r="D108" t="s">
        <v>2472</v>
      </c>
      <c r="E108" t="s">
        <v>2474</v>
      </c>
      <c r="F108" t="s">
        <v>246</v>
      </c>
      <c r="G108" t="s">
        <v>246</v>
      </c>
      <c r="H108" s="10">
        <v>866623</v>
      </c>
      <c r="I108" t="str">
        <f>IFERROR(VLOOKUP(Final!F108,'LEAID Match'!$A$2:$B$374,2,FALSE),"")</f>
        <v/>
      </c>
      <c r="K108" s="10">
        <f t="shared" si="1"/>
        <v>866623</v>
      </c>
    </row>
    <row r="109" spans="1:11">
      <c r="A109" t="s">
        <v>2470</v>
      </c>
      <c r="B109" s="10">
        <v>2015</v>
      </c>
      <c r="C109" t="s">
        <v>211</v>
      </c>
      <c r="D109" t="s">
        <v>2472</v>
      </c>
      <c r="E109" t="s">
        <v>2474</v>
      </c>
      <c r="F109" t="s">
        <v>1565</v>
      </c>
      <c r="G109" t="s">
        <v>156</v>
      </c>
      <c r="H109" s="10">
        <v>650833</v>
      </c>
      <c r="I109" t="str">
        <f>IFERROR(VLOOKUP(Final!F109,'LEAID Match'!$A$2:$B$374,2,FALSE),"")</f>
        <v/>
      </c>
      <c r="K109" s="10">
        <f t="shared" si="1"/>
        <v>650833</v>
      </c>
    </row>
    <row r="110" spans="1:11">
      <c r="A110" t="s">
        <v>2470</v>
      </c>
      <c r="B110" s="10">
        <v>2016</v>
      </c>
      <c r="C110" t="s">
        <v>211</v>
      </c>
      <c r="D110" t="s">
        <v>2472</v>
      </c>
      <c r="E110" t="s">
        <v>2474</v>
      </c>
      <c r="F110" t="s">
        <v>1565</v>
      </c>
      <c r="G110" t="s">
        <v>156</v>
      </c>
      <c r="H110" s="10">
        <v>672156</v>
      </c>
      <c r="I110" t="str">
        <f>IFERROR(VLOOKUP(Final!F110,'LEAID Match'!$A$2:$B$374,2,FALSE),"")</f>
        <v/>
      </c>
      <c r="K110" s="10">
        <f t="shared" si="1"/>
        <v>672156</v>
      </c>
    </row>
    <row r="111" spans="1:11">
      <c r="A111" t="s">
        <v>2470</v>
      </c>
      <c r="B111" s="10">
        <v>2017</v>
      </c>
      <c r="C111" t="s">
        <v>211</v>
      </c>
      <c r="D111" t="s">
        <v>2472</v>
      </c>
      <c r="E111" t="s">
        <v>2474</v>
      </c>
      <c r="F111" t="s">
        <v>1565</v>
      </c>
      <c r="G111" t="s">
        <v>1565</v>
      </c>
      <c r="H111" s="10">
        <v>687308</v>
      </c>
      <c r="I111" t="str">
        <f>IFERROR(VLOOKUP(Final!F111,'LEAID Match'!$A$2:$B$374,2,FALSE),"")</f>
        <v/>
      </c>
      <c r="K111" s="10">
        <f t="shared" si="1"/>
        <v>687308</v>
      </c>
    </row>
    <row r="112" spans="1:11">
      <c r="A112" t="s">
        <v>2470</v>
      </c>
      <c r="B112" s="10">
        <v>2018</v>
      </c>
      <c r="C112" t="s">
        <v>211</v>
      </c>
      <c r="D112" t="s">
        <v>2472</v>
      </c>
      <c r="E112" t="s">
        <v>2474</v>
      </c>
      <c r="F112" t="s">
        <v>1565</v>
      </c>
      <c r="G112" t="s">
        <v>1565</v>
      </c>
      <c r="H112" s="10">
        <v>733524</v>
      </c>
      <c r="I112" t="str">
        <f>IFERROR(VLOOKUP(Final!F112,'LEAID Match'!$A$2:$B$374,2,FALSE),"")</f>
        <v/>
      </c>
      <c r="K112" s="10">
        <f t="shared" si="1"/>
        <v>733524</v>
      </c>
    </row>
    <row r="113" spans="1:11">
      <c r="A113" t="s">
        <v>2470</v>
      </c>
      <c r="B113" s="10">
        <v>2019</v>
      </c>
      <c r="C113" t="s">
        <v>211</v>
      </c>
      <c r="D113" t="s">
        <v>2472</v>
      </c>
      <c r="E113" t="s">
        <v>2474</v>
      </c>
      <c r="F113" t="s">
        <v>1565</v>
      </c>
      <c r="G113" t="s">
        <v>1565</v>
      </c>
      <c r="H113" s="10">
        <v>781103</v>
      </c>
      <c r="I113" t="str">
        <f>IFERROR(VLOOKUP(Final!F113,'LEAID Match'!$A$2:$B$374,2,FALSE),"")</f>
        <v/>
      </c>
      <c r="K113" s="10">
        <f t="shared" si="1"/>
        <v>781103</v>
      </c>
    </row>
    <row r="114" spans="1:11">
      <c r="A114" t="s">
        <v>2470</v>
      </c>
      <c r="B114" s="10">
        <v>2020</v>
      </c>
      <c r="C114" t="s">
        <v>211</v>
      </c>
      <c r="D114" t="s">
        <v>2472</v>
      </c>
      <c r="E114" t="s">
        <v>2474</v>
      </c>
      <c r="F114" t="s">
        <v>1565</v>
      </c>
      <c r="G114" t="s">
        <v>1565</v>
      </c>
      <c r="H114" s="10">
        <v>871901</v>
      </c>
      <c r="I114" t="str">
        <f>IFERROR(VLOOKUP(Final!F114,'LEAID Match'!$A$2:$B$374,2,FALSE),"")</f>
        <v/>
      </c>
      <c r="K114" s="10">
        <f t="shared" si="1"/>
        <v>871901</v>
      </c>
    </row>
    <row r="115" spans="1:11">
      <c r="A115" t="s">
        <v>2470</v>
      </c>
      <c r="B115" s="10">
        <v>2021</v>
      </c>
      <c r="C115" t="s">
        <v>211</v>
      </c>
      <c r="D115" t="s">
        <v>2472</v>
      </c>
      <c r="E115" t="s">
        <v>2474</v>
      </c>
      <c r="F115" t="s">
        <v>1565</v>
      </c>
      <c r="G115" t="s">
        <v>1565</v>
      </c>
      <c r="H115" s="10">
        <v>881436</v>
      </c>
      <c r="I115" t="str">
        <f>IFERROR(VLOOKUP(Final!F115,'LEAID Match'!$A$2:$B$374,2,FALSE),"")</f>
        <v/>
      </c>
      <c r="K115" s="10">
        <f t="shared" si="1"/>
        <v>881436</v>
      </c>
    </row>
    <row r="116" spans="1:11">
      <c r="A116" t="s">
        <v>2470</v>
      </c>
      <c r="B116" s="10">
        <v>2022</v>
      </c>
      <c r="C116" t="s">
        <v>211</v>
      </c>
      <c r="D116" t="s">
        <v>2472</v>
      </c>
      <c r="E116" t="s">
        <v>2474</v>
      </c>
      <c r="F116" t="s">
        <v>1565</v>
      </c>
      <c r="G116" t="s">
        <v>1565</v>
      </c>
      <c r="H116" s="10">
        <v>918683</v>
      </c>
      <c r="I116" t="str">
        <f>IFERROR(VLOOKUP(Final!F116,'LEAID Match'!$A$2:$B$374,2,FALSE),"")</f>
        <v/>
      </c>
      <c r="K116" s="10">
        <f t="shared" si="1"/>
        <v>918683</v>
      </c>
    </row>
    <row r="117" spans="1:11">
      <c r="A117" t="s">
        <v>2470</v>
      </c>
      <c r="B117" s="10">
        <v>2023</v>
      </c>
      <c r="C117" t="s">
        <v>211</v>
      </c>
      <c r="D117" t="s">
        <v>2472</v>
      </c>
      <c r="E117" t="s">
        <v>2474</v>
      </c>
      <c r="F117" t="s">
        <v>1565</v>
      </c>
      <c r="G117" t="s">
        <v>1565</v>
      </c>
      <c r="H117" s="10">
        <v>1111665</v>
      </c>
      <c r="I117" t="str">
        <f>IFERROR(VLOOKUP(Final!F117,'LEAID Match'!$A$2:$B$374,2,FALSE),"")</f>
        <v/>
      </c>
      <c r="K117" s="10">
        <f t="shared" si="1"/>
        <v>1111665</v>
      </c>
    </row>
    <row r="118" spans="1:11">
      <c r="A118" t="s">
        <v>2470</v>
      </c>
      <c r="B118" s="10">
        <v>2015</v>
      </c>
      <c r="C118" t="s">
        <v>217</v>
      </c>
      <c r="D118" t="s">
        <v>2472</v>
      </c>
      <c r="E118" t="s">
        <v>2474</v>
      </c>
      <c r="F118" t="s">
        <v>162</v>
      </c>
      <c r="G118" t="s">
        <v>162</v>
      </c>
      <c r="H118" s="10">
        <v>335529</v>
      </c>
      <c r="I118" t="str">
        <f>IFERROR(VLOOKUP(Final!F118,'LEAID Match'!$A$2:$B$374,2,FALSE),"")</f>
        <v/>
      </c>
      <c r="K118" s="10">
        <f t="shared" si="1"/>
        <v>335529</v>
      </c>
    </row>
    <row r="119" spans="1:11">
      <c r="A119" t="s">
        <v>2470</v>
      </c>
      <c r="B119" s="10">
        <v>2016</v>
      </c>
      <c r="C119" t="s">
        <v>217</v>
      </c>
      <c r="D119" t="s">
        <v>2472</v>
      </c>
      <c r="E119" t="s">
        <v>2474</v>
      </c>
      <c r="F119" t="s">
        <v>162</v>
      </c>
      <c r="G119" t="s">
        <v>162</v>
      </c>
      <c r="H119" s="10">
        <v>345666</v>
      </c>
      <c r="I119" t="str">
        <f>IFERROR(VLOOKUP(Final!F119,'LEAID Match'!$A$2:$B$374,2,FALSE),"")</f>
        <v/>
      </c>
      <c r="K119" s="10">
        <f t="shared" si="1"/>
        <v>345666</v>
      </c>
    </row>
    <row r="120" spans="1:11">
      <c r="A120" t="s">
        <v>2470</v>
      </c>
      <c r="B120" s="10">
        <v>2017</v>
      </c>
      <c r="C120" t="s">
        <v>217</v>
      </c>
      <c r="D120" t="s">
        <v>2472</v>
      </c>
      <c r="E120" t="s">
        <v>2474</v>
      </c>
      <c r="F120" t="s">
        <v>162</v>
      </c>
      <c r="G120" t="s">
        <v>162</v>
      </c>
      <c r="H120" s="10">
        <v>350080</v>
      </c>
      <c r="I120" t="str">
        <f>IFERROR(VLOOKUP(Final!F120,'LEAID Match'!$A$2:$B$374,2,FALSE),"")</f>
        <v/>
      </c>
      <c r="K120" s="10">
        <f t="shared" si="1"/>
        <v>350080</v>
      </c>
    </row>
    <row r="121" spans="1:11">
      <c r="A121" t="s">
        <v>2470</v>
      </c>
      <c r="B121" s="10">
        <v>2018</v>
      </c>
      <c r="C121" t="s">
        <v>217</v>
      </c>
      <c r="D121" t="s">
        <v>2472</v>
      </c>
      <c r="E121" t="s">
        <v>2474</v>
      </c>
      <c r="F121" t="s">
        <v>162</v>
      </c>
      <c r="G121" t="s">
        <v>162</v>
      </c>
      <c r="H121" s="10">
        <v>353504</v>
      </c>
      <c r="I121" t="str">
        <f>IFERROR(VLOOKUP(Final!F121,'LEAID Match'!$A$2:$B$374,2,FALSE),"")</f>
        <v/>
      </c>
      <c r="K121" s="10">
        <f t="shared" si="1"/>
        <v>353504</v>
      </c>
    </row>
    <row r="122" spans="1:11">
      <c r="A122" t="s">
        <v>2470</v>
      </c>
      <c r="B122" s="10">
        <v>2019</v>
      </c>
      <c r="C122" t="s">
        <v>217</v>
      </c>
      <c r="D122" t="s">
        <v>2472</v>
      </c>
      <c r="E122" t="s">
        <v>2474</v>
      </c>
      <c r="F122" t="s">
        <v>162</v>
      </c>
      <c r="G122" t="s">
        <v>162</v>
      </c>
      <c r="H122" s="10">
        <v>383891</v>
      </c>
      <c r="I122" t="str">
        <f>IFERROR(VLOOKUP(Final!F122,'LEAID Match'!$A$2:$B$374,2,FALSE),"")</f>
        <v/>
      </c>
      <c r="K122" s="10">
        <f t="shared" si="1"/>
        <v>383891</v>
      </c>
    </row>
    <row r="123" spans="1:11">
      <c r="A123" t="s">
        <v>2470</v>
      </c>
      <c r="B123" s="10">
        <v>2020</v>
      </c>
      <c r="C123" t="s">
        <v>217</v>
      </c>
      <c r="D123" t="s">
        <v>2472</v>
      </c>
      <c r="E123" t="s">
        <v>2474</v>
      </c>
      <c r="F123" t="s">
        <v>162</v>
      </c>
      <c r="G123" t="s">
        <v>162</v>
      </c>
      <c r="H123" s="10">
        <v>405037</v>
      </c>
      <c r="I123" t="str">
        <f>IFERROR(VLOOKUP(Final!F123,'LEAID Match'!$A$2:$B$374,2,FALSE),"")</f>
        <v/>
      </c>
      <c r="K123" s="10">
        <f t="shared" si="1"/>
        <v>405037</v>
      </c>
    </row>
    <row r="124" spans="1:11">
      <c r="A124" t="s">
        <v>2470</v>
      </c>
      <c r="B124" s="10">
        <v>2021</v>
      </c>
      <c r="C124" t="s">
        <v>217</v>
      </c>
      <c r="D124" t="s">
        <v>2472</v>
      </c>
      <c r="E124" t="s">
        <v>2474</v>
      </c>
      <c r="F124" t="s">
        <v>162</v>
      </c>
      <c r="G124" t="s">
        <v>162</v>
      </c>
      <c r="H124" s="10">
        <v>397956</v>
      </c>
      <c r="I124" t="str">
        <f>IFERROR(VLOOKUP(Final!F124,'LEAID Match'!$A$2:$B$374,2,FALSE),"")</f>
        <v/>
      </c>
      <c r="K124" s="10">
        <f t="shared" si="1"/>
        <v>397956</v>
      </c>
    </row>
    <row r="125" spans="1:11">
      <c r="A125" t="s">
        <v>2470</v>
      </c>
      <c r="B125" s="10">
        <v>2022</v>
      </c>
      <c r="C125" t="s">
        <v>217</v>
      </c>
      <c r="D125" t="s">
        <v>2472</v>
      </c>
      <c r="E125" t="s">
        <v>2474</v>
      </c>
      <c r="F125" t="s">
        <v>162</v>
      </c>
      <c r="G125" t="s">
        <v>162</v>
      </c>
      <c r="H125" s="10">
        <v>452263</v>
      </c>
      <c r="I125" t="str">
        <f>IFERROR(VLOOKUP(Final!F125,'LEAID Match'!$A$2:$B$374,2,FALSE),"")</f>
        <v/>
      </c>
      <c r="K125" s="10">
        <f t="shared" si="1"/>
        <v>452263</v>
      </c>
    </row>
    <row r="126" spans="1:11">
      <c r="A126" t="s">
        <v>2470</v>
      </c>
      <c r="B126" s="10">
        <v>2023</v>
      </c>
      <c r="C126" t="s">
        <v>217</v>
      </c>
      <c r="D126" t="s">
        <v>2472</v>
      </c>
      <c r="E126" t="s">
        <v>2474</v>
      </c>
      <c r="F126" t="s">
        <v>162</v>
      </c>
      <c r="G126" t="s">
        <v>162</v>
      </c>
      <c r="H126" s="10">
        <v>485972</v>
      </c>
      <c r="I126" t="str">
        <f>IFERROR(VLOOKUP(Final!F126,'LEAID Match'!$A$2:$B$374,2,FALSE),"")</f>
        <v/>
      </c>
      <c r="K126" s="10">
        <f t="shared" si="1"/>
        <v>485972</v>
      </c>
    </row>
    <row r="127" spans="1:11">
      <c r="A127" t="s">
        <v>2470</v>
      </c>
      <c r="B127" s="10">
        <v>2015</v>
      </c>
      <c r="C127" t="s">
        <v>215</v>
      </c>
      <c r="D127" t="s">
        <v>2472</v>
      </c>
      <c r="E127" t="s">
        <v>2474</v>
      </c>
      <c r="F127" t="s">
        <v>1568</v>
      </c>
      <c r="G127" t="s">
        <v>160</v>
      </c>
      <c r="H127" s="10">
        <v>161433</v>
      </c>
      <c r="I127" t="str">
        <f>IFERROR(VLOOKUP(Final!F127,'LEAID Match'!$A$2:$B$374,2,FALSE),"")</f>
        <v/>
      </c>
      <c r="K127" s="10">
        <f t="shared" si="1"/>
        <v>161433</v>
      </c>
    </row>
    <row r="128" spans="1:11">
      <c r="A128" t="s">
        <v>2470</v>
      </c>
      <c r="B128" s="10">
        <v>2016</v>
      </c>
      <c r="C128" t="s">
        <v>215</v>
      </c>
      <c r="D128" t="s">
        <v>2472</v>
      </c>
      <c r="E128" t="s">
        <v>2474</v>
      </c>
      <c r="F128" t="s">
        <v>1568</v>
      </c>
      <c r="G128" t="s">
        <v>160</v>
      </c>
      <c r="H128" s="10">
        <v>189164</v>
      </c>
      <c r="I128" t="str">
        <f>IFERROR(VLOOKUP(Final!F128,'LEAID Match'!$A$2:$B$374,2,FALSE),"")</f>
        <v/>
      </c>
      <c r="K128" s="10">
        <f t="shared" si="1"/>
        <v>189164</v>
      </c>
    </row>
    <row r="129" spans="1:11">
      <c r="A129" t="s">
        <v>2470</v>
      </c>
      <c r="B129" s="10">
        <v>2017</v>
      </c>
      <c r="C129" t="s">
        <v>215</v>
      </c>
      <c r="D129" t="s">
        <v>2472</v>
      </c>
      <c r="E129" t="s">
        <v>2474</v>
      </c>
      <c r="F129" t="s">
        <v>1568</v>
      </c>
      <c r="G129" t="s">
        <v>1568</v>
      </c>
      <c r="H129" s="10">
        <v>169195</v>
      </c>
      <c r="I129" t="str">
        <f>IFERROR(VLOOKUP(Final!F129,'LEAID Match'!$A$2:$B$374,2,FALSE),"")</f>
        <v/>
      </c>
      <c r="K129" s="10">
        <f t="shared" si="1"/>
        <v>169195</v>
      </c>
    </row>
    <row r="130" spans="1:11">
      <c r="A130" t="s">
        <v>2470</v>
      </c>
      <c r="B130" s="10">
        <v>2018</v>
      </c>
      <c r="C130" t="s">
        <v>215</v>
      </c>
      <c r="D130" t="s">
        <v>2472</v>
      </c>
      <c r="E130" t="s">
        <v>2474</v>
      </c>
      <c r="F130" t="s">
        <v>1568</v>
      </c>
      <c r="G130" t="s">
        <v>2093</v>
      </c>
      <c r="H130" s="10">
        <v>175470</v>
      </c>
      <c r="I130" t="str">
        <f>IFERROR(VLOOKUP(Final!F130,'LEAID Match'!$A$2:$B$374,2,FALSE),"")</f>
        <v/>
      </c>
      <c r="K130" s="10">
        <f t="shared" si="1"/>
        <v>175470</v>
      </c>
    </row>
    <row r="131" spans="1:11">
      <c r="A131" t="s">
        <v>2470</v>
      </c>
      <c r="B131" s="10">
        <v>2019</v>
      </c>
      <c r="C131" t="s">
        <v>215</v>
      </c>
      <c r="D131" t="s">
        <v>2472</v>
      </c>
      <c r="E131" t="s">
        <v>2474</v>
      </c>
      <c r="F131" t="s">
        <v>1568</v>
      </c>
      <c r="G131" t="s">
        <v>1568</v>
      </c>
      <c r="H131" s="10">
        <v>176532</v>
      </c>
      <c r="I131" t="str">
        <f>IFERROR(VLOOKUP(Final!F131,'LEAID Match'!$A$2:$B$374,2,FALSE),"")</f>
        <v/>
      </c>
      <c r="K131" s="10">
        <f t="shared" ref="K131:K194" si="2">SUM(H131,J131)</f>
        <v>176532</v>
      </c>
    </row>
    <row r="132" spans="1:11">
      <c r="A132" t="s">
        <v>2470</v>
      </c>
      <c r="B132" s="10">
        <v>2020</v>
      </c>
      <c r="C132" t="s">
        <v>215</v>
      </c>
      <c r="D132" t="s">
        <v>2472</v>
      </c>
      <c r="E132" t="s">
        <v>2474</v>
      </c>
      <c r="F132" t="s">
        <v>1568</v>
      </c>
      <c r="G132" t="s">
        <v>1568</v>
      </c>
      <c r="H132" s="10">
        <v>171876</v>
      </c>
      <c r="I132" t="str">
        <f>IFERROR(VLOOKUP(Final!F132,'LEAID Match'!$A$2:$B$374,2,FALSE),"")</f>
        <v/>
      </c>
      <c r="K132" s="10">
        <f t="shared" si="2"/>
        <v>171876</v>
      </c>
    </row>
    <row r="133" spans="1:11">
      <c r="A133" t="s">
        <v>2470</v>
      </c>
      <c r="B133" s="10">
        <v>2021</v>
      </c>
      <c r="C133" t="s">
        <v>215</v>
      </c>
      <c r="D133" t="s">
        <v>2472</v>
      </c>
      <c r="E133" t="s">
        <v>2474</v>
      </c>
      <c r="F133" t="s">
        <v>1568</v>
      </c>
      <c r="G133" t="s">
        <v>1568</v>
      </c>
      <c r="H133" s="10">
        <v>212486</v>
      </c>
      <c r="I133" t="str">
        <f>IFERROR(VLOOKUP(Final!F133,'LEAID Match'!$A$2:$B$374,2,FALSE),"")</f>
        <v/>
      </c>
      <c r="K133" s="10">
        <f t="shared" si="2"/>
        <v>212486</v>
      </c>
    </row>
    <row r="134" spans="1:11">
      <c r="A134" t="s">
        <v>2470</v>
      </c>
      <c r="B134" s="10">
        <v>2022</v>
      </c>
      <c r="C134" t="s">
        <v>215</v>
      </c>
      <c r="D134" t="s">
        <v>2472</v>
      </c>
      <c r="E134" t="s">
        <v>2474</v>
      </c>
      <c r="F134" t="s">
        <v>1568</v>
      </c>
      <c r="G134" t="s">
        <v>1568</v>
      </c>
      <c r="H134" s="10">
        <v>219916</v>
      </c>
      <c r="I134" t="str">
        <f>IFERROR(VLOOKUP(Final!F134,'LEAID Match'!$A$2:$B$374,2,FALSE),"")</f>
        <v/>
      </c>
      <c r="K134" s="10">
        <f t="shared" si="2"/>
        <v>219916</v>
      </c>
    </row>
    <row r="135" spans="1:11">
      <c r="A135" t="s">
        <v>2470</v>
      </c>
      <c r="B135" s="10">
        <v>2023</v>
      </c>
      <c r="C135" t="s">
        <v>215</v>
      </c>
      <c r="D135" t="s">
        <v>2472</v>
      </c>
      <c r="E135" t="s">
        <v>2474</v>
      </c>
      <c r="F135" t="s">
        <v>1568</v>
      </c>
      <c r="G135" t="s">
        <v>1568</v>
      </c>
      <c r="H135" s="10">
        <v>225270</v>
      </c>
      <c r="I135" t="str">
        <f>IFERROR(VLOOKUP(Final!F135,'LEAID Match'!$A$2:$B$374,2,FALSE),"")</f>
        <v/>
      </c>
      <c r="K135" s="10">
        <f t="shared" si="2"/>
        <v>225270</v>
      </c>
    </row>
    <row r="136" spans="1:11">
      <c r="A136" t="s">
        <v>2470</v>
      </c>
      <c r="B136" s="10">
        <v>2015</v>
      </c>
      <c r="C136" t="s">
        <v>1390</v>
      </c>
      <c r="D136" t="s">
        <v>2472</v>
      </c>
      <c r="E136" t="s">
        <v>2474</v>
      </c>
      <c r="F136" t="s">
        <v>1578</v>
      </c>
      <c r="G136" t="s">
        <v>224</v>
      </c>
      <c r="H136" s="10">
        <v>1376489</v>
      </c>
      <c r="I136" t="str">
        <f>IFERROR(VLOOKUP(Final!F136,'LEAID Match'!$A$2:$B$374,2,FALSE),"")</f>
        <v/>
      </c>
      <c r="K136" s="10">
        <f t="shared" si="2"/>
        <v>1376489</v>
      </c>
    </row>
    <row r="137" spans="1:11">
      <c r="A137" t="s">
        <v>2470</v>
      </c>
      <c r="B137" s="10">
        <v>2016</v>
      </c>
      <c r="C137" t="s">
        <v>1390</v>
      </c>
      <c r="D137" t="s">
        <v>2472</v>
      </c>
      <c r="E137" t="s">
        <v>2474</v>
      </c>
      <c r="F137" t="s">
        <v>1578</v>
      </c>
      <c r="G137" t="s">
        <v>224</v>
      </c>
      <c r="H137" s="10">
        <v>1395448</v>
      </c>
      <c r="I137" t="str">
        <f>IFERROR(VLOOKUP(Final!F137,'LEAID Match'!$A$2:$B$374,2,FALSE),"")</f>
        <v/>
      </c>
      <c r="K137" s="10">
        <f t="shared" si="2"/>
        <v>1395448</v>
      </c>
    </row>
    <row r="138" spans="1:11">
      <c r="A138" t="s">
        <v>2470</v>
      </c>
      <c r="B138" s="10">
        <v>2017</v>
      </c>
      <c r="C138" t="s">
        <v>1390</v>
      </c>
      <c r="D138" t="s">
        <v>2472</v>
      </c>
      <c r="E138" t="s">
        <v>2474</v>
      </c>
      <c r="F138" t="s">
        <v>1578</v>
      </c>
      <c r="G138" t="s">
        <v>1578</v>
      </c>
      <c r="H138" s="10">
        <v>1449337</v>
      </c>
      <c r="I138" t="str">
        <f>IFERROR(VLOOKUP(Final!F138,'LEAID Match'!$A$2:$B$374,2,FALSE),"")</f>
        <v/>
      </c>
      <c r="K138" s="10">
        <f t="shared" si="2"/>
        <v>1449337</v>
      </c>
    </row>
    <row r="139" spans="1:11">
      <c r="A139" t="s">
        <v>2470</v>
      </c>
      <c r="B139" s="10">
        <v>2018</v>
      </c>
      <c r="C139" t="s">
        <v>1390</v>
      </c>
      <c r="D139" t="s">
        <v>2472</v>
      </c>
      <c r="E139" t="s">
        <v>2474</v>
      </c>
      <c r="F139" t="s">
        <v>1578</v>
      </c>
      <c r="G139" t="s">
        <v>2101</v>
      </c>
      <c r="H139" s="10">
        <v>1475207</v>
      </c>
      <c r="I139" t="str">
        <f>IFERROR(VLOOKUP(Final!F139,'LEAID Match'!$A$2:$B$374,2,FALSE),"")</f>
        <v/>
      </c>
      <c r="K139" s="10">
        <f t="shared" si="2"/>
        <v>1475207</v>
      </c>
    </row>
    <row r="140" spans="1:11">
      <c r="A140" t="s">
        <v>2470</v>
      </c>
      <c r="B140" s="10">
        <v>2019</v>
      </c>
      <c r="C140" t="s">
        <v>1390</v>
      </c>
      <c r="D140" t="s">
        <v>2472</v>
      </c>
      <c r="E140" t="s">
        <v>2474</v>
      </c>
      <c r="F140" t="s">
        <v>1578</v>
      </c>
      <c r="G140" t="s">
        <v>1578</v>
      </c>
      <c r="H140" s="10">
        <v>1515971</v>
      </c>
      <c r="I140" t="str">
        <f>IFERROR(VLOOKUP(Final!F140,'LEAID Match'!$A$2:$B$374,2,FALSE),"")</f>
        <v/>
      </c>
      <c r="K140" s="10">
        <f t="shared" si="2"/>
        <v>1515971</v>
      </c>
    </row>
    <row r="141" spans="1:11">
      <c r="A141" t="s">
        <v>2470</v>
      </c>
      <c r="B141" s="10">
        <v>2020</v>
      </c>
      <c r="C141" t="s">
        <v>1390</v>
      </c>
      <c r="D141" t="s">
        <v>2472</v>
      </c>
      <c r="E141" t="s">
        <v>2474</v>
      </c>
      <c r="F141" t="s">
        <v>1578</v>
      </c>
      <c r="G141" t="s">
        <v>1578</v>
      </c>
      <c r="H141" s="10">
        <v>1593859</v>
      </c>
      <c r="I141" t="str">
        <f>IFERROR(VLOOKUP(Final!F141,'LEAID Match'!$A$2:$B$374,2,FALSE),"")</f>
        <v/>
      </c>
      <c r="K141" s="10">
        <f t="shared" si="2"/>
        <v>1593859</v>
      </c>
    </row>
    <row r="142" spans="1:11">
      <c r="A142" t="s">
        <v>2470</v>
      </c>
      <c r="B142" s="10">
        <v>2021</v>
      </c>
      <c r="C142" t="s">
        <v>1390</v>
      </c>
      <c r="D142" t="s">
        <v>2472</v>
      </c>
      <c r="E142" t="s">
        <v>2474</v>
      </c>
      <c r="F142" t="s">
        <v>1578</v>
      </c>
      <c r="G142" t="s">
        <v>1578</v>
      </c>
      <c r="H142" s="10">
        <v>1575356</v>
      </c>
      <c r="I142" t="str">
        <f>IFERROR(VLOOKUP(Final!F142,'LEAID Match'!$A$2:$B$374,2,FALSE),"")</f>
        <v/>
      </c>
      <c r="K142" s="10">
        <f t="shared" si="2"/>
        <v>1575356</v>
      </c>
    </row>
    <row r="143" spans="1:11">
      <c r="A143" t="s">
        <v>2470</v>
      </c>
      <c r="B143" s="10">
        <v>2022</v>
      </c>
      <c r="C143" t="s">
        <v>1390</v>
      </c>
      <c r="D143" t="s">
        <v>2472</v>
      </c>
      <c r="E143" t="s">
        <v>2474</v>
      </c>
      <c r="F143" t="s">
        <v>1578</v>
      </c>
      <c r="G143" t="s">
        <v>1578</v>
      </c>
      <c r="H143" s="10">
        <v>1615279</v>
      </c>
      <c r="I143" t="str">
        <f>IFERROR(VLOOKUP(Final!F143,'LEAID Match'!$A$2:$B$374,2,FALSE),"")</f>
        <v/>
      </c>
      <c r="K143" s="10">
        <f t="shared" si="2"/>
        <v>1615279</v>
      </c>
    </row>
    <row r="144" spans="1:11">
      <c r="A144" t="s">
        <v>2470</v>
      </c>
      <c r="B144" s="10">
        <v>2023</v>
      </c>
      <c r="C144" t="s">
        <v>1390</v>
      </c>
      <c r="D144" t="s">
        <v>2472</v>
      </c>
      <c r="E144" t="s">
        <v>2474</v>
      </c>
      <c r="F144" t="s">
        <v>1578</v>
      </c>
      <c r="G144" t="s">
        <v>1578</v>
      </c>
      <c r="H144" s="10">
        <v>1547691</v>
      </c>
      <c r="I144" t="str">
        <f>IFERROR(VLOOKUP(Final!F144,'LEAID Match'!$A$2:$B$374,2,FALSE),"")</f>
        <v/>
      </c>
      <c r="K144" s="10">
        <f t="shared" si="2"/>
        <v>1547691</v>
      </c>
    </row>
    <row r="145" spans="1:11">
      <c r="A145" t="s">
        <v>2470</v>
      </c>
      <c r="B145" s="10">
        <v>2015</v>
      </c>
      <c r="C145" t="s">
        <v>1023</v>
      </c>
      <c r="D145" t="s">
        <v>2472</v>
      </c>
      <c r="E145" t="s">
        <v>2474</v>
      </c>
      <c r="F145" t="s">
        <v>1905</v>
      </c>
      <c r="G145" t="s">
        <v>968</v>
      </c>
      <c r="H145" s="10">
        <v>419503</v>
      </c>
      <c r="I145" t="str">
        <f>IFERROR(VLOOKUP(Final!F145,'LEAID Match'!$A$2:$B$374,2,FALSE),"")</f>
        <v/>
      </c>
      <c r="K145" s="10">
        <f t="shared" si="2"/>
        <v>419503</v>
      </c>
    </row>
    <row r="146" spans="1:11">
      <c r="A146" t="s">
        <v>2470</v>
      </c>
      <c r="B146" s="10">
        <v>2016</v>
      </c>
      <c r="C146" t="s">
        <v>1023</v>
      </c>
      <c r="D146" t="s">
        <v>2472</v>
      </c>
      <c r="E146" t="s">
        <v>2474</v>
      </c>
      <c r="F146" t="s">
        <v>1905</v>
      </c>
      <c r="G146" t="s">
        <v>968</v>
      </c>
      <c r="H146" s="10">
        <v>445791</v>
      </c>
      <c r="I146" t="str">
        <f>IFERROR(VLOOKUP(Final!F146,'LEAID Match'!$A$2:$B$374,2,FALSE),"")</f>
        <v/>
      </c>
      <c r="K146" s="10">
        <f t="shared" si="2"/>
        <v>445791</v>
      </c>
    </row>
    <row r="147" spans="1:11">
      <c r="A147" t="s">
        <v>2470</v>
      </c>
      <c r="B147" s="10">
        <v>2017</v>
      </c>
      <c r="C147" t="s">
        <v>1023</v>
      </c>
      <c r="D147" t="s">
        <v>2472</v>
      </c>
      <c r="E147" t="s">
        <v>2474</v>
      </c>
      <c r="F147" t="s">
        <v>1905</v>
      </c>
      <c r="G147" t="s">
        <v>1905</v>
      </c>
      <c r="H147" s="10">
        <v>475195</v>
      </c>
      <c r="I147" t="str">
        <f>IFERROR(VLOOKUP(Final!F147,'LEAID Match'!$A$2:$B$374,2,FALSE),"")</f>
        <v/>
      </c>
      <c r="K147" s="10">
        <f t="shared" si="2"/>
        <v>475195</v>
      </c>
    </row>
    <row r="148" spans="1:11">
      <c r="A148" t="s">
        <v>2470</v>
      </c>
      <c r="B148" s="10">
        <v>2018</v>
      </c>
      <c r="C148" t="s">
        <v>1023</v>
      </c>
      <c r="D148" t="s">
        <v>2472</v>
      </c>
      <c r="E148" t="s">
        <v>2474</v>
      </c>
      <c r="F148" t="s">
        <v>1905</v>
      </c>
      <c r="G148" t="s">
        <v>968</v>
      </c>
      <c r="H148" s="10">
        <v>541968</v>
      </c>
      <c r="I148" t="str">
        <f>IFERROR(VLOOKUP(Final!F148,'LEAID Match'!$A$2:$B$374,2,FALSE),"")</f>
        <v/>
      </c>
      <c r="K148" s="10">
        <f t="shared" si="2"/>
        <v>541968</v>
      </c>
    </row>
    <row r="149" spans="1:11">
      <c r="A149" t="s">
        <v>2470</v>
      </c>
      <c r="B149" s="10">
        <v>2019</v>
      </c>
      <c r="C149" t="s">
        <v>1023</v>
      </c>
      <c r="D149" t="s">
        <v>2472</v>
      </c>
      <c r="E149" t="s">
        <v>2474</v>
      </c>
      <c r="F149" t="s">
        <v>1905</v>
      </c>
      <c r="G149" t="s">
        <v>1905</v>
      </c>
      <c r="H149" s="10">
        <v>626988</v>
      </c>
      <c r="I149" t="str">
        <f>IFERROR(VLOOKUP(Final!F149,'LEAID Match'!$A$2:$B$374,2,FALSE),"")</f>
        <v/>
      </c>
      <c r="K149" s="10">
        <f t="shared" si="2"/>
        <v>626988</v>
      </c>
    </row>
    <row r="150" spans="1:11">
      <c r="A150" t="s">
        <v>2470</v>
      </c>
      <c r="B150" s="10">
        <v>2020</v>
      </c>
      <c r="C150" t="s">
        <v>1023</v>
      </c>
      <c r="D150" t="s">
        <v>2472</v>
      </c>
      <c r="E150" t="s">
        <v>2474</v>
      </c>
      <c r="F150" t="s">
        <v>1905</v>
      </c>
      <c r="G150" t="s">
        <v>1905</v>
      </c>
      <c r="H150" s="10">
        <v>618410</v>
      </c>
      <c r="I150" t="str">
        <f>IFERROR(VLOOKUP(Final!F150,'LEAID Match'!$A$2:$B$374,2,FALSE),"")</f>
        <v/>
      </c>
      <c r="K150" s="10">
        <f t="shared" si="2"/>
        <v>618410</v>
      </c>
    </row>
    <row r="151" spans="1:11">
      <c r="A151" t="s">
        <v>2470</v>
      </c>
      <c r="B151" s="10">
        <v>2021</v>
      </c>
      <c r="C151" t="s">
        <v>1023</v>
      </c>
      <c r="D151" t="s">
        <v>2472</v>
      </c>
      <c r="E151" t="s">
        <v>2474</v>
      </c>
      <c r="F151" t="s">
        <v>1905</v>
      </c>
      <c r="G151" t="s">
        <v>1905</v>
      </c>
      <c r="H151" s="10">
        <v>763553</v>
      </c>
      <c r="I151" t="str">
        <f>IFERROR(VLOOKUP(Final!F151,'LEAID Match'!$A$2:$B$374,2,FALSE),"")</f>
        <v/>
      </c>
      <c r="K151" s="10">
        <f t="shared" si="2"/>
        <v>763553</v>
      </c>
    </row>
    <row r="152" spans="1:11">
      <c r="A152" t="s">
        <v>2470</v>
      </c>
      <c r="B152" s="10">
        <v>2022</v>
      </c>
      <c r="C152" t="s">
        <v>1023</v>
      </c>
      <c r="D152" t="s">
        <v>2472</v>
      </c>
      <c r="E152" t="s">
        <v>2474</v>
      </c>
      <c r="F152" t="s">
        <v>1905</v>
      </c>
      <c r="G152" t="s">
        <v>1905</v>
      </c>
      <c r="H152" s="10">
        <v>854186</v>
      </c>
      <c r="I152" t="str">
        <f>IFERROR(VLOOKUP(Final!F152,'LEAID Match'!$A$2:$B$374,2,FALSE),"")</f>
        <v/>
      </c>
      <c r="K152" s="10">
        <f t="shared" si="2"/>
        <v>854186</v>
      </c>
    </row>
    <row r="153" spans="1:11">
      <c r="A153" t="s">
        <v>2470</v>
      </c>
      <c r="B153" s="10">
        <v>2023</v>
      </c>
      <c r="C153" t="s">
        <v>1023</v>
      </c>
      <c r="D153" t="s">
        <v>2472</v>
      </c>
      <c r="E153" t="s">
        <v>2474</v>
      </c>
      <c r="F153" t="s">
        <v>1905</v>
      </c>
      <c r="G153" t="s">
        <v>1905</v>
      </c>
      <c r="H153" s="10">
        <v>1047192</v>
      </c>
      <c r="I153" t="str">
        <f>IFERROR(VLOOKUP(Final!F153,'LEAID Match'!$A$2:$B$374,2,FALSE),"")</f>
        <v/>
      </c>
      <c r="K153" s="10">
        <f t="shared" si="2"/>
        <v>1047192</v>
      </c>
    </row>
    <row r="154" spans="1:11">
      <c r="A154" t="s">
        <v>2470</v>
      </c>
      <c r="B154" s="10">
        <v>2015</v>
      </c>
      <c r="C154" t="s">
        <v>199</v>
      </c>
      <c r="D154" t="s">
        <v>2472</v>
      </c>
      <c r="E154" t="s">
        <v>2474</v>
      </c>
      <c r="F154" t="s">
        <v>1554</v>
      </c>
      <c r="G154" t="s">
        <v>144</v>
      </c>
      <c r="H154" s="10">
        <v>3650012</v>
      </c>
      <c r="I154" t="str">
        <f>IFERROR(VLOOKUP(Final!F154,'LEAID Match'!$A$2:$B$374,2,FALSE),"")</f>
        <v/>
      </c>
      <c r="K154" s="10">
        <f t="shared" si="2"/>
        <v>3650012</v>
      </c>
    </row>
    <row r="155" spans="1:11">
      <c r="A155" t="s">
        <v>2470</v>
      </c>
      <c r="B155" s="10">
        <v>2016</v>
      </c>
      <c r="C155" t="s">
        <v>199</v>
      </c>
      <c r="D155" t="s">
        <v>2472</v>
      </c>
      <c r="E155" t="s">
        <v>2474</v>
      </c>
      <c r="F155" t="s">
        <v>1554</v>
      </c>
      <c r="G155" t="s">
        <v>144</v>
      </c>
      <c r="H155" s="10">
        <v>3578889</v>
      </c>
      <c r="I155" t="str">
        <f>IFERROR(VLOOKUP(Final!F155,'LEAID Match'!$A$2:$B$374,2,FALSE),"")</f>
        <v/>
      </c>
      <c r="K155" s="10">
        <f t="shared" si="2"/>
        <v>3578889</v>
      </c>
    </row>
    <row r="156" spans="1:11">
      <c r="A156" t="s">
        <v>2470</v>
      </c>
      <c r="B156" s="10">
        <v>2017</v>
      </c>
      <c r="C156" t="s">
        <v>199</v>
      </c>
      <c r="D156" t="s">
        <v>2472</v>
      </c>
      <c r="E156" t="s">
        <v>2474</v>
      </c>
      <c r="F156" t="s">
        <v>1554</v>
      </c>
      <c r="G156" t="s">
        <v>1554</v>
      </c>
      <c r="H156" s="10">
        <v>3109189</v>
      </c>
      <c r="I156" t="str">
        <f>IFERROR(VLOOKUP(Final!F156,'LEAID Match'!$A$2:$B$374,2,FALSE),"")</f>
        <v/>
      </c>
      <c r="K156" s="10">
        <f t="shared" si="2"/>
        <v>3109189</v>
      </c>
    </row>
    <row r="157" spans="1:11">
      <c r="A157" t="s">
        <v>2470</v>
      </c>
      <c r="B157" s="10">
        <v>2018</v>
      </c>
      <c r="C157" t="s">
        <v>199</v>
      </c>
      <c r="D157" t="s">
        <v>2472</v>
      </c>
      <c r="E157" t="s">
        <v>2474</v>
      </c>
      <c r="F157" t="s">
        <v>1554</v>
      </c>
      <c r="G157" t="s">
        <v>1554</v>
      </c>
      <c r="H157" s="10">
        <v>2967891</v>
      </c>
      <c r="I157" t="str">
        <f>IFERROR(VLOOKUP(Final!F157,'LEAID Match'!$A$2:$B$374,2,FALSE),"")</f>
        <v/>
      </c>
      <c r="K157" s="10">
        <f t="shared" si="2"/>
        <v>2967891</v>
      </c>
    </row>
    <row r="158" spans="1:11">
      <c r="A158" t="s">
        <v>2470</v>
      </c>
      <c r="B158" s="10">
        <v>2019</v>
      </c>
      <c r="C158" t="s">
        <v>199</v>
      </c>
      <c r="D158" t="s">
        <v>2472</v>
      </c>
      <c r="E158" t="s">
        <v>2474</v>
      </c>
      <c r="F158" t="s">
        <v>1554</v>
      </c>
      <c r="G158" t="s">
        <v>1554</v>
      </c>
      <c r="H158" s="10">
        <v>3071445</v>
      </c>
      <c r="I158" t="str">
        <f>IFERROR(VLOOKUP(Final!F158,'LEAID Match'!$A$2:$B$374,2,FALSE),"")</f>
        <v/>
      </c>
      <c r="K158" s="10">
        <f t="shared" si="2"/>
        <v>3071445</v>
      </c>
    </row>
    <row r="159" spans="1:11">
      <c r="A159" t="s">
        <v>2470</v>
      </c>
      <c r="B159" s="10">
        <v>2020</v>
      </c>
      <c r="C159" t="s">
        <v>199</v>
      </c>
      <c r="D159" t="s">
        <v>2472</v>
      </c>
      <c r="E159" t="s">
        <v>2474</v>
      </c>
      <c r="F159" t="s">
        <v>1554</v>
      </c>
      <c r="G159" t="s">
        <v>1554</v>
      </c>
      <c r="H159" s="10">
        <v>3314391</v>
      </c>
      <c r="I159" t="str">
        <f>IFERROR(VLOOKUP(Final!F159,'LEAID Match'!$A$2:$B$374,2,FALSE),"")</f>
        <v/>
      </c>
      <c r="K159" s="10">
        <f t="shared" si="2"/>
        <v>3314391</v>
      </c>
    </row>
    <row r="160" spans="1:11">
      <c r="A160" t="s">
        <v>2470</v>
      </c>
      <c r="B160" s="10">
        <v>2021</v>
      </c>
      <c r="C160" t="s">
        <v>199</v>
      </c>
      <c r="D160" t="s">
        <v>2472</v>
      </c>
      <c r="E160" t="s">
        <v>2474</v>
      </c>
      <c r="F160" t="s">
        <v>1554</v>
      </c>
      <c r="G160" t="s">
        <v>1554</v>
      </c>
      <c r="H160" s="10">
        <v>3688400</v>
      </c>
      <c r="I160" t="str">
        <f>IFERROR(VLOOKUP(Final!F160,'LEAID Match'!$A$2:$B$374,2,FALSE),"")</f>
        <v/>
      </c>
      <c r="K160" s="10">
        <f t="shared" si="2"/>
        <v>3688400</v>
      </c>
    </row>
    <row r="161" spans="1:11">
      <c r="A161" t="s">
        <v>2470</v>
      </c>
      <c r="B161" s="10">
        <v>2022</v>
      </c>
      <c r="C161" t="s">
        <v>199</v>
      </c>
      <c r="D161" t="s">
        <v>2472</v>
      </c>
      <c r="E161" t="s">
        <v>2474</v>
      </c>
      <c r="F161" t="s">
        <v>1554</v>
      </c>
      <c r="G161" t="s">
        <v>1554</v>
      </c>
      <c r="H161" s="10">
        <v>3772182</v>
      </c>
      <c r="I161" t="str">
        <f>IFERROR(VLOOKUP(Final!F161,'LEAID Match'!$A$2:$B$374,2,FALSE),"")</f>
        <v/>
      </c>
      <c r="K161" s="10">
        <f t="shared" si="2"/>
        <v>3772182</v>
      </c>
    </row>
    <row r="162" spans="1:11">
      <c r="A162" t="s">
        <v>2470</v>
      </c>
      <c r="B162" s="10">
        <v>2023</v>
      </c>
      <c r="C162" t="s">
        <v>199</v>
      </c>
      <c r="D162" t="s">
        <v>2472</v>
      </c>
      <c r="E162" t="s">
        <v>2474</v>
      </c>
      <c r="F162" t="s">
        <v>1554</v>
      </c>
      <c r="G162" t="s">
        <v>1554</v>
      </c>
      <c r="H162" s="10">
        <v>4126847</v>
      </c>
      <c r="I162" t="str">
        <f>IFERROR(VLOOKUP(Final!F162,'LEAID Match'!$A$2:$B$374,2,FALSE),"")</f>
        <v/>
      </c>
      <c r="K162" s="10">
        <f t="shared" si="2"/>
        <v>4126847</v>
      </c>
    </row>
    <row r="163" spans="1:11">
      <c r="A163" t="s">
        <v>2470</v>
      </c>
      <c r="B163" s="10">
        <v>2015</v>
      </c>
      <c r="C163" t="s">
        <v>1404</v>
      </c>
      <c r="D163" t="s">
        <v>2472</v>
      </c>
      <c r="E163" t="s">
        <v>2474</v>
      </c>
      <c r="F163" t="s">
        <v>1585</v>
      </c>
      <c r="G163" t="s">
        <v>239</v>
      </c>
      <c r="H163" s="10">
        <v>640078</v>
      </c>
      <c r="I163" t="str">
        <f>IFERROR(VLOOKUP(Final!F163,'LEAID Match'!$A$2:$B$374,2,FALSE),"")</f>
        <v/>
      </c>
      <c r="K163" s="10">
        <f t="shared" si="2"/>
        <v>640078</v>
      </c>
    </row>
    <row r="164" spans="1:11">
      <c r="A164" t="s">
        <v>2470</v>
      </c>
      <c r="B164" s="10">
        <v>2016</v>
      </c>
      <c r="C164" t="s">
        <v>1404</v>
      </c>
      <c r="D164" t="s">
        <v>2472</v>
      </c>
      <c r="E164" t="s">
        <v>2474</v>
      </c>
      <c r="F164" t="s">
        <v>1585</v>
      </c>
      <c r="G164" t="s">
        <v>1386</v>
      </c>
      <c r="H164" s="10">
        <v>625445</v>
      </c>
      <c r="I164" t="str">
        <f>IFERROR(VLOOKUP(Final!F164,'LEAID Match'!$A$2:$B$374,2,FALSE),"")</f>
        <v/>
      </c>
      <c r="K164" s="10">
        <f t="shared" si="2"/>
        <v>625445</v>
      </c>
    </row>
    <row r="165" spans="1:11">
      <c r="A165" t="s">
        <v>2470</v>
      </c>
      <c r="B165" s="10">
        <v>2017</v>
      </c>
      <c r="C165" t="s">
        <v>1404</v>
      </c>
      <c r="D165" t="s">
        <v>2472</v>
      </c>
      <c r="E165" t="s">
        <v>2474</v>
      </c>
      <c r="F165" t="s">
        <v>1585</v>
      </c>
      <c r="G165" t="s">
        <v>1585</v>
      </c>
      <c r="H165" s="10">
        <v>655178</v>
      </c>
      <c r="I165" t="str">
        <f>IFERROR(VLOOKUP(Final!F165,'LEAID Match'!$A$2:$B$374,2,FALSE),"")</f>
        <v/>
      </c>
      <c r="K165" s="10">
        <f t="shared" si="2"/>
        <v>655178</v>
      </c>
    </row>
    <row r="166" spans="1:11">
      <c r="A166" t="s">
        <v>2470</v>
      </c>
      <c r="B166" s="10">
        <v>2018</v>
      </c>
      <c r="C166" t="s">
        <v>1404</v>
      </c>
      <c r="D166" t="s">
        <v>2472</v>
      </c>
      <c r="E166" t="s">
        <v>2474</v>
      </c>
      <c r="F166" t="s">
        <v>1585</v>
      </c>
      <c r="G166" t="s">
        <v>1585</v>
      </c>
      <c r="H166" s="10">
        <v>660070</v>
      </c>
      <c r="I166" t="str">
        <f>IFERROR(VLOOKUP(Final!F166,'LEAID Match'!$A$2:$B$374,2,FALSE),"")</f>
        <v/>
      </c>
      <c r="K166" s="10">
        <f t="shared" si="2"/>
        <v>660070</v>
      </c>
    </row>
    <row r="167" spans="1:11">
      <c r="A167" t="s">
        <v>2470</v>
      </c>
      <c r="B167" s="10">
        <v>2019</v>
      </c>
      <c r="C167" t="s">
        <v>1404</v>
      </c>
      <c r="D167" t="s">
        <v>2472</v>
      </c>
      <c r="E167" t="s">
        <v>2474</v>
      </c>
      <c r="F167" t="s">
        <v>1585</v>
      </c>
      <c r="G167" t="s">
        <v>1585</v>
      </c>
      <c r="H167" s="10">
        <v>647139</v>
      </c>
      <c r="I167" t="str">
        <f>IFERROR(VLOOKUP(Final!F167,'LEAID Match'!$A$2:$B$374,2,FALSE),"")</f>
        <v/>
      </c>
      <c r="K167" s="10">
        <f t="shared" si="2"/>
        <v>647139</v>
      </c>
    </row>
    <row r="168" spans="1:11">
      <c r="A168" t="s">
        <v>2470</v>
      </c>
      <c r="B168" s="10">
        <v>2020</v>
      </c>
      <c r="C168" t="s">
        <v>1404</v>
      </c>
      <c r="D168" t="s">
        <v>2472</v>
      </c>
      <c r="E168" t="s">
        <v>2474</v>
      </c>
      <c r="F168" t="s">
        <v>1585</v>
      </c>
      <c r="G168" t="s">
        <v>1585</v>
      </c>
      <c r="H168" s="10">
        <v>675526</v>
      </c>
      <c r="I168" t="str">
        <f>IFERROR(VLOOKUP(Final!F168,'LEAID Match'!$A$2:$B$374,2,FALSE),"")</f>
        <v/>
      </c>
      <c r="K168" s="10">
        <f t="shared" si="2"/>
        <v>675526</v>
      </c>
    </row>
    <row r="169" spans="1:11">
      <c r="A169" t="s">
        <v>2470</v>
      </c>
      <c r="B169" s="10">
        <v>2021</v>
      </c>
      <c r="C169" t="s">
        <v>1404</v>
      </c>
      <c r="D169" t="s">
        <v>2472</v>
      </c>
      <c r="E169" t="s">
        <v>2474</v>
      </c>
      <c r="F169" t="s">
        <v>1585</v>
      </c>
      <c r="G169" t="s">
        <v>1585</v>
      </c>
      <c r="H169" s="10">
        <v>779931</v>
      </c>
      <c r="I169" t="str">
        <f>IFERROR(VLOOKUP(Final!F169,'LEAID Match'!$A$2:$B$374,2,FALSE),"")</f>
        <v/>
      </c>
      <c r="K169" s="10">
        <f t="shared" si="2"/>
        <v>779931</v>
      </c>
    </row>
    <row r="170" spans="1:11">
      <c r="A170" t="s">
        <v>2470</v>
      </c>
      <c r="B170" s="10">
        <v>2022</v>
      </c>
      <c r="C170" t="s">
        <v>1404</v>
      </c>
      <c r="D170" t="s">
        <v>2472</v>
      </c>
      <c r="E170" t="s">
        <v>2474</v>
      </c>
      <c r="F170" t="s">
        <v>1585</v>
      </c>
      <c r="G170" t="s">
        <v>1585</v>
      </c>
      <c r="H170" s="10">
        <v>827369</v>
      </c>
      <c r="I170" t="str">
        <f>IFERROR(VLOOKUP(Final!F170,'LEAID Match'!$A$2:$B$374,2,FALSE),"")</f>
        <v/>
      </c>
      <c r="K170" s="10">
        <f t="shared" si="2"/>
        <v>827369</v>
      </c>
    </row>
    <row r="171" spans="1:11">
      <c r="A171" t="s">
        <v>2470</v>
      </c>
      <c r="B171" s="10">
        <v>2023</v>
      </c>
      <c r="C171" t="s">
        <v>1404</v>
      </c>
      <c r="D171" t="s">
        <v>2472</v>
      </c>
      <c r="E171" t="s">
        <v>2474</v>
      </c>
      <c r="F171" t="s">
        <v>1585</v>
      </c>
      <c r="G171" t="s">
        <v>1585</v>
      </c>
      <c r="H171" s="10">
        <v>826005</v>
      </c>
      <c r="I171" t="str">
        <f>IFERROR(VLOOKUP(Final!F171,'LEAID Match'!$A$2:$B$374,2,FALSE),"")</f>
        <v/>
      </c>
      <c r="K171" s="10">
        <f t="shared" si="2"/>
        <v>826005</v>
      </c>
    </row>
    <row r="172" spans="1:11">
      <c r="A172" t="s">
        <v>2470</v>
      </c>
      <c r="B172" s="10">
        <v>2015</v>
      </c>
      <c r="C172" t="s">
        <v>109</v>
      </c>
      <c r="D172" t="s">
        <v>2472</v>
      </c>
      <c r="E172" t="s">
        <v>2474</v>
      </c>
      <c r="F172" t="s">
        <v>1522</v>
      </c>
      <c r="G172" t="s">
        <v>55</v>
      </c>
      <c r="H172" s="10">
        <v>18373</v>
      </c>
      <c r="I172" t="str">
        <f>IFERROR(VLOOKUP(Final!F172,'LEAID Match'!$A$2:$B$374,2,FALSE),"")</f>
        <v/>
      </c>
      <c r="K172" s="10">
        <f t="shared" si="2"/>
        <v>18373</v>
      </c>
    </row>
    <row r="173" spans="1:11">
      <c r="A173" t="s">
        <v>2470</v>
      </c>
      <c r="B173" s="10">
        <v>2016</v>
      </c>
      <c r="C173" t="s">
        <v>109</v>
      </c>
      <c r="D173" t="s">
        <v>2472</v>
      </c>
      <c r="E173" t="s">
        <v>2474</v>
      </c>
      <c r="F173" t="s">
        <v>1522</v>
      </c>
      <c r="G173" t="s">
        <v>55</v>
      </c>
      <c r="H173" s="10">
        <v>18305</v>
      </c>
      <c r="I173" t="str">
        <f>IFERROR(VLOOKUP(Final!F173,'LEAID Match'!$A$2:$B$374,2,FALSE),"")</f>
        <v/>
      </c>
      <c r="K173" s="10">
        <f t="shared" si="2"/>
        <v>18305</v>
      </c>
    </row>
    <row r="174" spans="1:11">
      <c r="A174" t="s">
        <v>2470</v>
      </c>
      <c r="B174" s="10">
        <v>2017</v>
      </c>
      <c r="C174" t="s">
        <v>109</v>
      </c>
      <c r="D174" t="s">
        <v>2472</v>
      </c>
      <c r="E174" t="s">
        <v>2474</v>
      </c>
      <c r="F174" t="s">
        <v>1522</v>
      </c>
      <c r="G174" t="s">
        <v>1522</v>
      </c>
      <c r="H174" s="10">
        <v>17791</v>
      </c>
      <c r="I174" t="str">
        <f>IFERROR(VLOOKUP(Final!F174,'LEAID Match'!$A$2:$B$374,2,FALSE),"")</f>
        <v/>
      </c>
      <c r="K174" s="10">
        <f t="shared" si="2"/>
        <v>17791</v>
      </c>
    </row>
    <row r="175" spans="1:11">
      <c r="A175" t="s">
        <v>2470</v>
      </c>
      <c r="B175" s="10">
        <v>2018</v>
      </c>
      <c r="C175" t="s">
        <v>109</v>
      </c>
      <c r="D175" t="s">
        <v>2472</v>
      </c>
      <c r="E175" t="s">
        <v>2474</v>
      </c>
      <c r="F175" t="s">
        <v>1522</v>
      </c>
      <c r="G175" t="s">
        <v>1522</v>
      </c>
      <c r="H175" s="10">
        <v>18273</v>
      </c>
      <c r="I175" t="str">
        <f>IFERROR(VLOOKUP(Final!F175,'LEAID Match'!$A$2:$B$374,2,FALSE),"")</f>
        <v/>
      </c>
      <c r="K175" s="10">
        <f t="shared" si="2"/>
        <v>18273</v>
      </c>
    </row>
    <row r="176" spans="1:11">
      <c r="A176" t="s">
        <v>2470</v>
      </c>
      <c r="B176" s="10">
        <v>2019</v>
      </c>
      <c r="C176" t="s">
        <v>109</v>
      </c>
      <c r="D176" t="s">
        <v>2472</v>
      </c>
      <c r="E176" t="s">
        <v>2474</v>
      </c>
      <c r="F176" t="s">
        <v>1522</v>
      </c>
      <c r="G176" t="s">
        <v>1522</v>
      </c>
      <c r="H176" s="10">
        <v>18819</v>
      </c>
      <c r="I176" t="str">
        <f>IFERROR(VLOOKUP(Final!F176,'LEAID Match'!$A$2:$B$374,2,FALSE),"")</f>
        <v/>
      </c>
      <c r="K176" s="10">
        <f t="shared" si="2"/>
        <v>18819</v>
      </c>
    </row>
    <row r="177" spans="1:11">
      <c r="A177" t="s">
        <v>2470</v>
      </c>
      <c r="B177" s="10">
        <v>2020</v>
      </c>
      <c r="C177" t="s">
        <v>109</v>
      </c>
      <c r="D177" t="s">
        <v>2472</v>
      </c>
      <c r="E177" t="s">
        <v>2474</v>
      </c>
      <c r="F177" t="s">
        <v>1522</v>
      </c>
      <c r="G177" t="s">
        <v>1522</v>
      </c>
      <c r="H177" s="10">
        <v>19593</v>
      </c>
      <c r="I177" t="str">
        <f>IFERROR(VLOOKUP(Final!F177,'LEAID Match'!$A$2:$B$374,2,FALSE),"")</f>
        <v/>
      </c>
      <c r="K177" s="10">
        <f t="shared" si="2"/>
        <v>19593</v>
      </c>
    </row>
    <row r="178" spans="1:11">
      <c r="A178" t="s">
        <v>2470</v>
      </c>
      <c r="B178" s="10">
        <v>2021</v>
      </c>
      <c r="C178" t="s">
        <v>109</v>
      </c>
      <c r="D178" t="s">
        <v>2472</v>
      </c>
      <c r="E178" t="s">
        <v>2474</v>
      </c>
      <c r="F178" t="s">
        <v>1522</v>
      </c>
      <c r="G178" t="s">
        <v>1522</v>
      </c>
      <c r="H178" s="10">
        <v>20166</v>
      </c>
      <c r="I178" t="str">
        <f>IFERROR(VLOOKUP(Final!F178,'LEAID Match'!$A$2:$B$374,2,FALSE),"")</f>
        <v/>
      </c>
      <c r="K178" s="10">
        <f t="shared" si="2"/>
        <v>20166</v>
      </c>
    </row>
    <row r="179" spans="1:11">
      <c r="A179" t="s">
        <v>2470</v>
      </c>
      <c r="B179" s="10">
        <v>2022</v>
      </c>
      <c r="C179" t="s">
        <v>109</v>
      </c>
      <c r="D179" t="s">
        <v>2472</v>
      </c>
      <c r="E179" t="s">
        <v>2474</v>
      </c>
      <c r="F179" t="s">
        <v>1522</v>
      </c>
      <c r="G179" t="s">
        <v>1522</v>
      </c>
      <c r="H179" s="10">
        <v>18274</v>
      </c>
      <c r="I179" t="str">
        <f>IFERROR(VLOOKUP(Final!F179,'LEAID Match'!$A$2:$B$374,2,FALSE),"")</f>
        <v/>
      </c>
      <c r="K179" s="10">
        <f t="shared" si="2"/>
        <v>18274</v>
      </c>
    </row>
    <row r="180" spans="1:11">
      <c r="A180" t="s">
        <v>2470</v>
      </c>
      <c r="B180" s="10">
        <v>2023</v>
      </c>
      <c r="C180" t="s">
        <v>109</v>
      </c>
      <c r="D180" t="s">
        <v>2472</v>
      </c>
      <c r="E180" t="s">
        <v>2474</v>
      </c>
      <c r="F180" t="s">
        <v>1522</v>
      </c>
      <c r="G180" t="s">
        <v>1522</v>
      </c>
      <c r="H180" s="10">
        <v>19797</v>
      </c>
      <c r="I180" t="str">
        <f>IFERROR(VLOOKUP(Final!F180,'LEAID Match'!$A$2:$B$374,2,FALSE),"")</f>
        <v/>
      </c>
      <c r="K180" s="10">
        <f t="shared" si="2"/>
        <v>19797</v>
      </c>
    </row>
    <row r="181" spans="1:11">
      <c r="A181" t="s">
        <v>2470</v>
      </c>
      <c r="B181" s="10">
        <v>2015</v>
      </c>
      <c r="C181" t="s">
        <v>1414</v>
      </c>
      <c r="D181" t="s">
        <v>2472</v>
      </c>
      <c r="E181" t="s">
        <v>2474</v>
      </c>
      <c r="F181" t="s">
        <v>247</v>
      </c>
      <c r="G181" t="s">
        <v>247</v>
      </c>
      <c r="H181" s="10">
        <v>138676</v>
      </c>
      <c r="I181" t="str">
        <f>IFERROR(VLOOKUP(Final!F181,'LEAID Match'!$A$2:$B$374,2,FALSE),"")</f>
        <v/>
      </c>
      <c r="K181" s="10">
        <f t="shared" si="2"/>
        <v>138676</v>
      </c>
    </row>
    <row r="182" spans="1:11">
      <c r="A182" t="s">
        <v>2470</v>
      </c>
      <c r="B182" s="10">
        <v>2016</v>
      </c>
      <c r="C182" t="s">
        <v>1414</v>
      </c>
      <c r="D182" t="s">
        <v>2472</v>
      </c>
      <c r="E182" t="s">
        <v>2474</v>
      </c>
      <c r="F182" t="s">
        <v>247</v>
      </c>
      <c r="G182" t="s">
        <v>247</v>
      </c>
      <c r="H182" s="10">
        <v>153116</v>
      </c>
      <c r="I182" t="str">
        <f>IFERROR(VLOOKUP(Final!F182,'LEAID Match'!$A$2:$B$374,2,FALSE),"")</f>
        <v/>
      </c>
      <c r="K182" s="10">
        <f t="shared" si="2"/>
        <v>153116</v>
      </c>
    </row>
    <row r="183" spans="1:11">
      <c r="A183" t="s">
        <v>2470</v>
      </c>
      <c r="B183" s="10">
        <v>2017</v>
      </c>
      <c r="C183" t="s">
        <v>1414</v>
      </c>
      <c r="D183" t="s">
        <v>2472</v>
      </c>
      <c r="E183" t="s">
        <v>2474</v>
      </c>
      <c r="F183" t="s">
        <v>247</v>
      </c>
      <c r="G183" t="s">
        <v>247</v>
      </c>
      <c r="H183" s="10">
        <v>167641</v>
      </c>
      <c r="I183" t="str">
        <f>IFERROR(VLOOKUP(Final!F183,'LEAID Match'!$A$2:$B$374,2,FALSE),"")</f>
        <v/>
      </c>
      <c r="K183" s="10">
        <f t="shared" si="2"/>
        <v>167641</v>
      </c>
    </row>
    <row r="184" spans="1:11">
      <c r="A184" t="s">
        <v>2470</v>
      </c>
      <c r="B184" s="10">
        <v>2018</v>
      </c>
      <c r="C184" t="s">
        <v>1414</v>
      </c>
      <c r="D184" t="s">
        <v>2472</v>
      </c>
      <c r="E184" t="s">
        <v>2474</v>
      </c>
      <c r="F184" t="s">
        <v>247</v>
      </c>
      <c r="G184" t="s">
        <v>247</v>
      </c>
      <c r="H184" s="10">
        <v>202889</v>
      </c>
      <c r="I184" t="str">
        <f>IFERROR(VLOOKUP(Final!F184,'LEAID Match'!$A$2:$B$374,2,FALSE),"")</f>
        <v/>
      </c>
      <c r="K184" s="10">
        <f t="shared" si="2"/>
        <v>202889</v>
      </c>
    </row>
    <row r="185" spans="1:11">
      <c r="A185" t="s">
        <v>2470</v>
      </c>
      <c r="B185" s="10">
        <v>2019</v>
      </c>
      <c r="C185" t="s">
        <v>1414</v>
      </c>
      <c r="D185" t="s">
        <v>2472</v>
      </c>
      <c r="E185" t="s">
        <v>2474</v>
      </c>
      <c r="F185" t="s">
        <v>247</v>
      </c>
      <c r="G185" t="s">
        <v>247</v>
      </c>
      <c r="H185" s="10">
        <v>211990</v>
      </c>
      <c r="I185" t="str">
        <f>IFERROR(VLOOKUP(Final!F185,'LEAID Match'!$A$2:$B$374,2,FALSE),"")</f>
        <v/>
      </c>
      <c r="K185" s="10">
        <f t="shared" si="2"/>
        <v>211990</v>
      </c>
    </row>
    <row r="186" spans="1:11">
      <c r="A186" t="s">
        <v>2470</v>
      </c>
      <c r="B186" s="10">
        <v>2020</v>
      </c>
      <c r="C186" t="s">
        <v>1414</v>
      </c>
      <c r="D186" t="s">
        <v>2472</v>
      </c>
      <c r="E186" t="s">
        <v>2474</v>
      </c>
      <c r="F186" t="s">
        <v>247</v>
      </c>
      <c r="G186" t="s">
        <v>247</v>
      </c>
      <c r="H186" s="10">
        <v>215821</v>
      </c>
      <c r="I186" t="str">
        <f>IFERROR(VLOOKUP(Final!F186,'LEAID Match'!$A$2:$B$374,2,FALSE),"")</f>
        <v/>
      </c>
      <c r="K186" s="10">
        <f t="shared" si="2"/>
        <v>215821</v>
      </c>
    </row>
    <row r="187" spans="1:11">
      <c r="A187" t="s">
        <v>2470</v>
      </c>
      <c r="B187" s="10">
        <v>2021</v>
      </c>
      <c r="C187" t="s">
        <v>1414</v>
      </c>
      <c r="D187" t="s">
        <v>2472</v>
      </c>
      <c r="E187" t="s">
        <v>2474</v>
      </c>
      <c r="F187" t="s">
        <v>247</v>
      </c>
      <c r="G187" t="s">
        <v>247</v>
      </c>
      <c r="H187" s="10">
        <v>232797</v>
      </c>
      <c r="I187" t="str">
        <f>IFERROR(VLOOKUP(Final!F187,'LEAID Match'!$A$2:$B$374,2,FALSE),"")</f>
        <v/>
      </c>
      <c r="K187" s="10">
        <f t="shared" si="2"/>
        <v>232797</v>
      </c>
    </row>
    <row r="188" spans="1:11">
      <c r="A188" t="s">
        <v>2470</v>
      </c>
      <c r="B188" s="10">
        <v>2022</v>
      </c>
      <c r="C188" t="s">
        <v>1414</v>
      </c>
      <c r="D188" t="s">
        <v>2472</v>
      </c>
      <c r="E188" t="s">
        <v>2474</v>
      </c>
      <c r="F188" t="s">
        <v>247</v>
      </c>
      <c r="G188" t="s">
        <v>247</v>
      </c>
      <c r="H188" s="10">
        <v>262843</v>
      </c>
      <c r="I188" t="str">
        <f>IFERROR(VLOOKUP(Final!F188,'LEAID Match'!$A$2:$B$374,2,FALSE),"")</f>
        <v/>
      </c>
      <c r="K188" s="10">
        <f t="shared" si="2"/>
        <v>262843</v>
      </c>
    </row>
    <row r="189" spans="1:11">
      <c r="A189" t="s">
        <v>2470</v>
      </c>
      <c r="B189" s="10">
        <v>2023</v>
      </c>
      <c r="C189" t="s">
        <v>1414</v>
      </c>
      <c r="D189" t="s">
        <v>2472</v>
      </c>
      <c r="E189" t="s">
        <v>2474</v>
      </c>
      <c r="F189" t="s">
        <v>247</v>
      </c>
      <c r="G189" t="s">
        <v>247</v>
      </c>
      <c r="H189" s="10">
        <v>297109</v>
      </c>
      <c r="I189" t="str">
        <f>IFERROR(VLOOKUP(Final!F189,'LEAID Match'!$A$2:$B$374,2,FALSE),"")</f>
        <v/>
      </c>
      <c r="K189" s="10">
        <f t="shared" si="2"/>
        <v>297109</v>
      </c>
    </row>
    <row r="190" spans="1:11">
      <c r="A190" t="s">
        <v>2470</v>
      </c>
      <c r="B190" s="10">
        <v>2015</v>
      </c>
      <c r="C190" t="s">
        <v>169</v>
      </c>
      <c r="D190" t="s">
        <v>2472</v>
      </c>
      <c r="E190" t="s">
        <v>2474</v>
      </c>
      <c r="F190" t="s">
        <v>1527</v>
      </c>
      <c r="G190" t="s">
        <v>114</v>
      </c>
      <c r="H190" s="10">
        <v>87962</v>
      </c>
      <c r="I190" t="str">
        <f>IFERROR(VLOOKUP(Final!F190,'LEAID Match'!$A$2:$B$374,2,FALSE),"")</f>
        <v/>
      </c>
      <c r="K190" s="10">
        <f t="shared" si="2"/>
        <v>87962</v>
      </c>
    </row>
    <row r="191" spans="1:11">
      <c r="A191" t="s">
        <v>2470</v>
      </c>
      <c r="B191" s="10">
        <v>2016</v>
      </c>
      <c r="C191" t="s">
        <v>169</v>
      </c>
      <c r="D191" t="s">
        <v>2472</v>
      </c>
      <c r="E191" t="s">
        <v>2474</v>
      </c>
      <c r="F191" t="s">
        <v>1527</v>
      </c>
      <c r="G191" t="s">
        <v>114</v>
      </c>
      <c r="H191" s="10">
        <v>94939</v>
      </c>
      <c r="I191" t="str">
        <f>IFERROR(VLOOKUP(Final!F191,'LEAID Match'!$A$2:$B$374,2,FALSE),"")</f>
        <v/>
      </c>
      <c r="K191" s="10">
        <f t="shared" si="2"/>
        <v>94939</v>
      </c>
    </row>
    <row r="192" spans="1:11">
      <c r="A192" t="s">
        <v>2470</v>
      </c>
      <c r="B192" s="10">
        <v>2017</v>
      </c>
      <c r="C192" t="s">
        <v>169</v>
      </c>
      <c r="D192" t="s">
        <v>2472</v>
      </c>
      <c r="E192" t="s">
        <v>2474</v>
      </c>
      <c r="F192" t="s">
        <v>1527</v>
      </c>
      <c r="G192" t="s">
        <v>1527</v>
      </c>
      <c r="H192" s="10">
        <v>105505</v>
      </c>
      <c r="I192" t="str">
        <f>IFERROR(VLOOKUP(Final!F192,'LEAID Match'!$A$2:$B$374,2,FALSE),"")</f>
        <v/>
      </c>
      <c r="K192" s="10">
        <f t="shared" si="2"/>
        <v>105505</v>
      </c>
    </row>
    <row r="193" spans="1:11">
      <c r="A193" t="s">
        <v>2470</v>
      </c>
      <c r="B193" s="10">
        <v>2018</v>
      </c>
      <c r="C193" t="s">
        <v>169</v>
      </c>
      <c r="D193" t="s">
        <v>2472</v>
      </c>
      <c r="E193" t="s">
        <v>2474</v>
      </c>
      <c r="F193" t="s">
        <v>1527</v>
      </c>
      <c r="G193" t="s">
        <v>2064</v>
      </c>
      <c r="H193" s="10">
        <v>100466</v>
      </c>
      <c r="I193" t="str">
        <f>IFERROR(VLOOKUP(Final!F193,'LEAID Match'!$A$2:$B$374,2,FALSE),"")</f>
        <v/>
      </c>
      <c r="K193" s="10">
        <f t="shared" si="2"/>
        <v>100466</v>
      </c>
    </row>
    <row r="194" spans="1:11">
      <c r="A194" t="s">
        <v>2470</v>
      </c>
      <c r="B194" s="10">
        <v>2019</v>
      </c>
      <c r="C194" t="s">
        <v>169</v>
      </c>
      <c r="D194" t="s">
        <v>2472</v>
      </c>
      <c r="E194" t="s">
        <v>2474</v>
      </c>
      <c r="F194" t="s">
        <v>1527</v>
      </c>
      <c r="G194" t="s">
        <v>2350</v>
      </c>
      <c r="H194" s="10">
        <v>109243</v>
      </c>
      <c r="I194" t="str">
        <f>IFERROR(VLOOKUP(Final!F194,'LEAID Match'!$A$2:$B$374,2,FALSE),"")</f>
        <v/>
      </c>
      <c r="K194" s="10">
        <f t="shared" si="2"/>
        <v>109243</v>
      </c>
    </row>
    <row r="195" spans="1:11">
      <c r="A195" t="s">
        <v>2470</v>
      </c>
      <c r="B195" s="10">
        <v>2020</v>
      </c>
      <c r="C195" t="s">
        <v>169</v>
      </c>
      <c r="D195" t="s">
        <v>2472</v>
      </c>
      <c r="E195" t="s">
        <v>2474</v>
      </c>
      <c r="F195" t="s">
        <v>1527</v>
      </c>
      <c r="G195" t="s">
        <v>1527</v>
      </c>
      <c r="H195" s="10">
        <v>122653</v>
      </c>
      <c r="I195" t="str">
        <f>IFERROR(VLOOKUP(Final!F195,'LEAID Match'!$A$2:$B$374,2,FALSE),"")</f>
        <v/>
      </c>
      <c r="K195" s="10">
        <f t="shared" ref="K195:K258" si="3">SUM(H195,J195)</f>
        <v>122653</v>
      </c>
    </row>
    <row r="196" spans="1:11">
      <c r="A196" t="s">
        <v>2470</v>
      </c>
      <c r="B196" s="10">
        <v>2021</v>
      </c>
      <c r="C196" t="s">
        <v>169</v>
      </c>
      <c r="D196" t="s">
        <v>2472</v>
      </c>
      <c r="E196" t="s">
        <v>2474</v>
      </c>
      <c r="F196" t="s">
        <v>1527</v>
      </c>
      <c r="G196" t="s">
        <v>1527</v>
      </c>
      <c r="H196" s="10">
        <v>129875</v>
      </c>
      <c r="I196" t="str">
        <f>IFERROR(VLOOKUP(Final!F196,'LEAID Match'!$A$2:$B$374,2,FALSE),"")</f>
        <v/>
      </c>
      <c r="K196" s="10">
        <f t="shared" si="3"/>
        <v>129875</v>
      </c>
    </row>
    <row r="197" spans="1:11">
      <c r="A197" t="s">
        <v>2470</v>
      </c>
      <c r="B197" s="10">
        <v>2022</v>
      </c>
      <c r="C197" t="s">
        <v>169</v>
      </c>
      <c r="D197" t="s">
        <v>2472</v>
      </c>
      <c r="E197" t="s">
        <v>2474</v>
      </c>
      <c r="F197" t="s">
        <v>1527</v>
      </c>
      <c r="G197" t="s">
        <v>1527</v>
      </c>
      <c r="H197" s="10">
        <v>138972</v>
      </c>
      <c r="I197" t="str">
        <f>IFERROR(VLOOKUP(Final!F197,'LEAID Match'!$A$2:$B$374,2,FALSE),"")</f>
        <v/>
      </c>
      <c r="K197" s="10">
        <f t="shared" si="3"/>
        <v>138972</v>
      </c>
    </row>
    <row r="198" spans="1:11">
      <c r="A198" t="s">
        <v>2470</v>
      </c>
      <c r="B198" s="10">
        <v>2023</v>
      </c>
      <c r="C198" t="s">
        <v>169</v>
      </c>
      <c r="D198" t="s">
        <v>2472</v>
      </c>
      <c r="E198" t="s">
        <v>2474</v>
      </c>
      <c r="F198" t="s">
        <v>1527</v>
      </c>
      <c r="G198" t="s">
        <v>1527</v>
      </c>
      <c r="H198" s="10">
        <v>162365</v>
      </c>
      <c r="I198" t="str">
        <f>IFERROR(VLOOKUP(Final!F198,'LEAID Match'!$A$2:$B$374,2,FALSE),"")</f>
        <v/>
      </c>
      <c r="K198" s="10">
        <f t="shared" si="3"/>
        <v>162365</v>
      </c>
    </row>
    <row r="199" spans="1:11">
      <c r="A199" t="s">
        <v>2470</v>
      </c>
      <c r="B199" s="10">
        <v>2015</v>
      </c>
      <c r="C199" t="s">
        <v>183</v>
      </c>
      <c r="D199" t="s">
        <v>2472</v>
      </c>
      <c r="E199" t="s">
        <v>2474</v>
      </c>
      <c r="F199" t="s">
        <v>1538</v>
      </c>
      <c r="G199" t="s">
        <v>128</v>
      </c>
      <c r="H199" s="10">
        <v>42188482</v>
      </c>
      <c r="I199" t="str">
        <f>IFERROR(VLOOKUP(Final!F199,'LEAID Match'!$A$2:$B$374,2,FALSE),"")</f>
        <v/>
      </c>
      <c r="K199" s="10">
        <f t="shared" si="3"/>
        <v>42188482</v>
      </c>
    </row>
    <row r="200" spans="1:11">
      <c r="A200" t="s">
        <v>2470</v>
      </c>
      <c r="B200" s="10">
        <v>2016</v>
      </c>
      <c r="C200" t="s">
        <v>183</v>
      </c>
      <c r="D200" t="s">
        <v>2472</v>
      </c>
      <c r="E200" t="s">
        <v>2474</v>
      </c>
      <c r="F200" t="s">
        <v>1538</v>
      </c>
      <c r="G200" t="s">
        <v>1378</v>
      </c>
      <c r="H200" s="10">
        <v>31345873</v>
      </c>
      <c r="I200" t="str">
        <f>IFERROR(VLOOKUP(Final!F200,'LEAID Match'!$A$2:$B$374,2,FALSE),"")</f>
        <v/>
      </c>
      <c r="K200" s="10">
        <f t="shared" si="3"/>
        <v>31345873</v>
      </c>
    </row>
    <row r="201" spans="1:11">
      <c r="A201" t="s">
        <v>2470</v>
      </c>
      <c r="B201" s="10">
        <v>2017</v>
      </c>
      <c r="C201" t="s">
        <v>183</v>
      </c>
      <c r="D201" t="s">
        <v>2472</v>
      </c>
      <c r="E201" t="s">
        <v>2474</v>
      </c>
      <c r="F201" t="s">
        <v>1538</v>
      </c>
      <c r="G201" t="s">
        <v>1538</v>
      </c>
      <c r="H201" s="10">
        <v>32715896</v>
      </c>
      <c r="I201" t="str">
        <f>IFERROR(VLOOKUP(Final!F201,'LEAID Match'!$A$2:$B$374,2,FALSE),"")</f>
        <v/>
      </c>
      <c r="K201" s="10">
        <f t="shared" si="3"/>
        <v>32715896</v>
      </c>
    </row>
    <row r="202" spans="1:11">
      <c r="A202" t="s">
        <v>2470</v>
      </c>
      <c r="B202" s="10">
        <v>2018</v>
      </c>
      <c r="C202" t="s">
        <v>183</v>
      </c>
      <c r="D202" t="s">
        <v>2472</v>
      </c>
      <c r="E202" t="s">
        <v>2474</v>
      </c>
      <c r="F202" t="s">
        <v>1538</v>
      </c>
      <c r="G202" t="s">
        <v>2071</v>
      </c>
      <c r="H202" s="10">
        <v>32199779</v>
      </c>
      <c r="I202" t="str">
        <f>IFERROR(VLOOKUP(Final!F202,'LEAID Match'!$A$2:$B$374,2,FALSE),"")</f>
        <v/>
      </c>
      <c r="K202" s="10">
        <f t="shared" si="3"/>
        <v>32199779</v>
      </c>
    </row>
    <row r="203" spans="1:11">
      <c r="A203" t="s">
        <v>2470</v>
      </c>
      <c r="B203" s="10">
        <v>2019</v>
      </c>
      <c r="C203" t="s">
        <v>183</v>
      </c>
      <c r="D203" t="s">
        <v>2472</v>
      </c>
      <c r="E203" t="s">
        <v>2474</v>
      </c>
      <c r="F203" t="s">
        <v>1538</v>
      </c>
      <c r="G203" t="s">
        <v>1538</v>
      </c>
      <c r="H203" s="10">
        <v>34196344</v>
      </c>
      <c r="I203" t="str">
        <f>IFERROR(VLOOKUP(Final!F203,'LEAID Match'!$A$2:$B$374,2,FALSE),"")</f>
        <v/>
      </c>
      <c r="K203" s="10">
        <f t="shared" si="3"/>
        <v>34196344</v>
      </c>
    </row>
    <row r="204" spans="1:11">
      <c r="A204" t="s">
        <v>2470</v>
      </c>
      <c r="B204" s="10">
        <v>2020</v>
      </c>
      <c r="C204" t="s">
        <v>183</v>
      </c>
      <c r="D204" t="s">
        <v>2472</v>
      </c>
      <c r="E204" t="s">
        <v>2474</v>
      </c>
      <c r="F204" t="s">
        <v>1538</v>
      </c>
      <c r="G204" t="s">
        <v>1538</v>
      </c>
      <c r="H204" s="10">
        <v>35711031</v>
      </c>
      <c r="I204" t="str">
        <f>IFERROR(VLOOKUP(Final!F204,'LEAID Match'!$A$2:$B$374,2,FALSE),"")</f>
        <v/>
      </c>
      <c r="K204" s="10">
        <f t="shared" si="3"/>
        <v>35711031</v>
      </c>
    </row>
    <row r="205" spans="1:11">
      <c r="A205" t="s">
        <v>2470</v>
      </c>
      <c r="B205" s="10">
        <v>2021</v>
      </c>
      <c r="C205" t="s">
        <v>183</v>
      </c>
      <c r="D205" t="s">
        <v>2472</v>
      </c>
      <c r="E205" t="s">
        <v>2474</v>
      </c>
      <c r="F205" t="s">
        <v>1538</v>
      </c>
      <c r="G205" t="s">
        <v>1538</v>
      </c>
      <c r="H205" s="10">
        <v>39514681</v>
      </c>
      <c r="I205" t="str">
        <f>IFERROR(VLOOKUP(Final!F205,'LEAID Match'!$A$2:$B$374,2,FALSE),"")</f>
        <v/>
      </c>
      <c r="K205" s="10">
        <f t="shared" si="3"/>
        <v>39514681</v>
      </c>
    </row>
    <row r="206" spans="1:11">
      <c r="A206" t="s">
        <v>2470</v>
      </c>
      <c r="B206" s="10">
        <v>2022</v>
      </c>
      <c r="C206" t="s">
        <v>183</v>
      </c>
      <c r="D206" t="s">
        <v>2472</v>
      </c>
      <c r="E206" t="s">
        <v>2474</v>
      </c>
      <c r="F206" t="s">
        <v>1538</v>
      </c>
      <c r="G206" t="s">
        <v>1538</v>
      </c>
      <c r="H206" s="10">
        <v>44241857</v>
      </c>
      <c r="I206" t="str">
        <f>IFERROR(VLOOKUP(Final!F206,'LEAID Match'!$A$2:$B$374,2,FALSE),"")</f>
        <v/>
      </c>
      <c r="K206" s="10">
        <f t="shared" si="3"/>
        <v>44241857</v>
      </c>
    </row>
    <row r="207" spans="1:11">
      <c r="A207" t="s">
        <v>2470</v>
      </c>
      <c r="B207" s="10">
        <v>2023</v>
      </c>
      <c r="C207" t="s">
        <v>183</v>
      </c>
      <c r="D207" t="s">
        <v>2472</v>
      </c>
      <c r="E207" t="s">
        <v>2474</v>
      </c>
      <c r="F207" t="s">
        <v>1538</v>
      </c>
      <c r="G207" t="s">
        <v>1538</v>
      </c>
      <c r="H207" s="10">
        <v>50819810</v>
      </c>
      <c r="I207" t="str">
        <f>IFERROR(VLOOKUP(Final!F207,'LEAID Match'!$A$2:$B$374,2,FALSE),"")</f>
        <v/>
      </c>
      <c r="K207" s="10">
        <f t="shared" si="3"/>
        <v>50819810</v>
      </c>
    </row>
    <row r="208" spans="1:11">
      <c r="A208" t="s">
        <v>2470</v>
      </c>
      <c r="B208" s="10">
        <v>2015</v>
      </c>
      <c r="C208" t="s">
        <v>57</v>
      </c>
      <c r="D208" t="s">
        <v>2472</v>
      </c>
      <c r="E208" t="s">
        <v>2474</v>
      </c>
      <c r="F208" t="s">
        <v>1564</v>
      </c>
      <c r="G208" t="s">
        <v>4</v>
      </c>
      <c r="H208" s="10">
        <v>4565257</v>
      </c>
      <c r="I208" t="str">
        <f>IFERROR(VLOOKUP(Final!F208,'LEAID Match'!$A$2:$B$374,2,FALSE),"")</f>
        <v/>
      </c>
      <c r="K208" s="10">
        <f t="shared" si="3"/>
        <v>4565257</v>
      </c>
    </row>
    <row r="209" spans="1:11">
      <c r="A209" t="s">
        <v>2470</v>
      </c>
      <c r="B209" s="10">
        <v>2016</v>
      </c>
      <c r="C209" t="s">
        <v>57</v>
      </c>
      <c r="D209" t="s">
        <v>2472</v>
      </c>
      <c r="E209" t="s">
        <v>2474</v>
      </c>
      <c r="F209" t="s">
        <v>1564</v>
      </c>
      <c r="G209" t="s">
        <v>4</v>
      </c>
      <c r="H209" s="10">
        <v>4782678</v>
      </c>
      <c r="I209" t="str">
        <f>IFERROR(VLOOKUP(Final!F209,'LEAID Match'!$A$2:$B$374,2,FALSE),"")</f>
        <v/>
      </c>
      <c r="K209" s="10">
        <f t="shared" si="3"/>
        <v>4782678</v>
      </c>
    </row>
    <row r="210" spans="1:11">
      <c r="A210" t="s">
        <v>2470</v>
      </c>
      <c r="B210" s="10">
        <v>2017</v>
      </c>
      <c r="C210" t="s">
        <v>57</v>
      </c>
      <c r="D210" t="s">
        <v>2472</v>
      </c>
      <c r="E210" t="s">
        <v>2474</v>
      </c>
      <c r="F210" t="s">
        <v>1564</v>
      </c>
      <c r="G210" t="s">
        <v>1564</v>
      </c>
      <c r="H210" s="10">
        <v>5571885</v>
      </c>
      <c r="I210" t="str">
        <f>IFERROR(VLOOKUP(Final!F210,'LEAID Match'!$A$2:$B$374,2,FALSE),"")</f>
        <v/>
      </c>
      <c r="K210" s="10">
        <f t="shared" si="3"/>
        <v>5571885</v>
      </c>
    </row>
    <row r="211" spans="1:11">
      <c r="A211" t="s">
        <v>2470</v>
      </c>
      <c r="B211" s="10">
        <v>2018</v>
      </c>
      <c r="C211" t="s">
        <v>57</v>
      </c>
      <c r="D211" t="s">
        <v>2472</v>
      </c>
      <c r="E211" t="s">
        <v>2474</v>
      </c>
      <c r="F211" t="s">
        <v>1564</v>
      </c>
      <c r="G211" t="s">
        <v>2090</v>
      </c>
      <c r="H211" s="10">
        <v>5820522</v>
      </c>
      <c r="I211" t="str">
        <f>IFERROR(VLOOKUP(Final!F211,'LEAID Match'!$A$2:$B$374,2,FALSE),"")</f>
        <v/>
      </c>
      <c r="K211" s="10">
        <f t="shared" si="3"/>
        <v>5820522</v>
      </c>
    </row>
    <row r="212" spans="1:11">
      <c r="A212" t="s">
        <v>2470</v>
      </c>
      <c r="B212" s="10">
        <v>2019</v>
      </c>
      <c r="C212" t="s">
        <v>57</v>
      </c>
      <c r="D212" t="s">
        <v>2472</v>
      </c>
      <c r="E212" t="s">
        <v>2474</v>
      </c>
      <c r="F212" t="s">
        <v>1564</v>
      </c>
      <c r="G212" t="s">
        <v>1564</v>
      </c>
      <c r="H212" s="10">
        <v>6164988</v>
      </c>
      <c r="I212" t="str">
        <f>IFERROR(VLOOKUP(Final!F212,'LEAID Match'!$A$2:$B$374,2,FALSE),"")</f>
        <v/>
      </c>
      <c r="K212" s="10">
        <f t="shared" si="3"/>
        <v>6164988</v>
      </c>
    </row>
    <row r="213" spans="1:11">
      <c r="A213" t="s">
        <v>2470</v>
      </c>
      <c r="B213" s="10">
        <v>2020</v>
      </c>
      <c r="C213" t="s">
        <v>57</v>
      </c>
      <c r="D213" t="s">
        <v>2472</v>
      </c>
      <c r="E213" t="s">
        <v>2474</v>
      </c>
      <c r="F213" t="s">
        <v>1564</v>
      </c>
      <c r="G213" t="s">
        <v>1564</v>
      </c>
      <c r="H213" s="10">
        <v>6311229</v>
      </c>
      <c r="I213" t="str">
        <f>IFERROR(VLOOKUP(Final!F213,'LEAID Match'!$A$2:$B$374,2,FALSE),"")</f>
        <v/>
      </c>
      <c r="K213" s="10">
        <f t="shared" si="3"/>
        <v>6311229</v>
      </c>
    </row>
    <row r="214" spans="1:11">
      <c r="A214" t="s">
        <v>2470</v>
      </c>
      <c r="B214" s="10">
        <v>2021</v>
      </c>
      <c r="C214" t="s">
        <v>57</v>
      </c>
      <c r="D214" t="s">
        <v>2472</v>
      </c>
      <c r="E214" t="s">
        <v>2474</v>
      </c>
      <c r="F214" t="s">
        <v>1564</v>
      </c>
      <c r="G214" t="s">
        <v>1564</v>
      </c>
      <c r="H214" s="10">
        <v>6715957</v>
      </c>
      <c r="I214" t="str">
        <f>IFERROR(VLOOKUP(Final!F214,'LEAID Match'!$A$2:$B$374,2,FALSE),"")</f>
        <v/>
      </c>
      <c r="K214" s="10">
        <f t="shared" si="3"/>
        <v>6715957</v>
      </c>
    </row>
    <row r="215" spans="1:11">
      <c r="A215" t="s">
        <v>2470</v>
      </c>
      <c r="B215" s="10">
        <v>2022</v>
      </c>
      <c r="C215" t="s">
        <v>57</v>
      </c>
      <c r="D215" t="s">
        <v>2472</v>
      </c>
      <c r="E215" t="s">
        <v>2474</v>
      </c>
      <c r="F215" t="s">
        <v>1564</v>
      </c>
      <c r="G215" t="s">
        <v>1564</v>
      </c>
      <c r="H215" s="10">
        <v>7174993</v>
      </c>
      <c r="I215" t="str">
        <f>IFERROR(VLOOKUP(Final!F215,'LEAID Match'!$A$2:$B$374,2,FALSE),"")</f>
        <v/>
      </c>
      <c r="K215" s="10">
        <f t="shared" si="3"/>
        <v>7174993</v>
      </c>
    </row>
    <row r="216" spans="1:11">
      <c r="A216" t="s">
        <v>2470</v>
      </c>
      <c r="B216" s="10">
        <v>2023</v>
      </c>
      <c r="C216" t="s">
        <v>57</v>
      </c>
      <c r="D216" t="s">
        <v>2472</v>
      </c>
      <c r="E216" t="s">
        <v>2474</v>
      </c>
      <c r="F216" t="s">
        <v>1564</v>
      </c>
      <c r="G216" t="s">
        <v>1564</v>
      </c>
      <c r="H216" s="10">
        <v>8267260</v>
      </c>
      <c r="I216" t="str">
        <f>IFERROR(VLOOKUP(Final!F216,'LEAID Match'!$A$2:$B$374,2,FALSE),"")</f>
        <v/>
      </c>
      <c r="K216" s="10">
        <f t="shared" si="3"/>
        <v>8267260</v>
      </c>
    </row>
    <row r="217" spans="1:11">
      <c r="A217" t="s">
        <v>2470</v>
      </c>
      <c r="B217" s="10">
        <v>2015</v>
      </c>
      <c r="C217" t="s">
        <v>190</v>
      </c>
      <c r="D217" t="s">
        <v>2472</v>
      </c>
      <c r="E217" t="s">
        <v>2474</v>
      </c>
      <c r="F217" t="s">
        <v>1546</v>
      </c>
      <c r="G217" t="s">
        <v>135</v>
      </c>
      <c r="H217" s="10">
        <v>8506139</v>
      </c>
      <c r="I217" t="str">
        <f>IFERROR(VLOOKUP(Final!F217,'LEAID Match'!$A$2:$B$374,2,FALSE),"")</f>
        <v/>
      </c>
      <c r="K217" s="10">
        <f t="shared" si="3"/>
        <v>8506139</v>
      </c>
    </row>
    <row r="218" spans="1:11">
      <c r="A218" t="s">
        <v>2470</v>
      </c>
      <c r="B218" s="10">
        <v>2016</v>
      </c>
      <c r="C218" t="s">
        <v>190</v>
      </c>
      <c r="D218" t="s">
        <v>2472</v>
      </c>
      <c r="E218" t="s">
        <v>2474</v>
      </c>
      <c r="F218" t="s">
        <v>1546</v>
      </c>
      <c r="G218" t="s">
        <v>135</v>
      </c>
      <c r="H218" s="10">
        <v>8124303</v>
      </c>
      <c r="I218" t="str">
        <f>IFERROR(VLOOKUP(Final!F218,'LEAID Match'!$A$2:$B$374,2,FALSE),"")</f>
        <v/>
      </c>
      <c r="K218" s="10">
        <f t="shared" si="3"/>
        <v>8124303</v>
      </c>
    </row>
    <row r="219" spans="1:11">
      <c r="A219" t="s">
        <v>2470</v>
      </c>
      <c r="B219" s="10">
        <v>2017</v>
      </c>
      <c r="C219" t="s">
        <v>190</v>
      </c>
      <c r="D219" t="s">
        <v>2472</v>
      </c>
      <c r="E219" t="s">
        <v>2474</v>
      </c>
      <c r="F219" t="s">
        <v>1546</v>
      </c>
      <c r="G219" t="s">
        <v>1546</v>
      </c>
      <c r="H219" s="10">
        <v>7732558</v>
      </c>
      <c r="I219" t="str">
        <f>IFERROR(VLOOKUP(Final!F219,'LEAID Match'!$A$2:$B$374,2,FALSE),"")</f>
        <v/>
      </c>
      <c r="K219" s="10">
        <f t="shared" si="3"/>
        <v>7732558</v>
      </c>
    </row>
    <row r="220" spans="1:11">
      <c r="A220" t="s">
        <v>2470</v>
      </c>
      <c r="B220" s="10">
        <v>2018</v>
      </c>
      <c r="C220" t="s">
        <v>190</v>
      </c>
      <c r="D220" t="s">
        <v>2472</v>
      </c>
      <c r="E220" t="s">
        <v>2474</v>
      </c>
      <c r="F220" t="s">
        <v>1546</v>
      </c>
      <c r="G220" t="s">
        <v>2077</v>
      </c>
      <c r="H220" s="10">
        <v>7709118</v>
      </c>
      <c r="I220" t="str">
        <f>IFERROR(VLOOKUP(Final!F220,'LEAID Match'!$A$2:$B$374,2,FALSE),"")</f>
        <v/>
      </c>
      <c r="K220" s="10">
        <f t="shared" si="3"/>
        <v>7709118</v>
      </c>
    </row>
    <row r="221" spans="1:11">
      <c r="A221" t="s">
        <v>2470</v>
      </c>
      <c r="B221" s="10">
        <v>2019</v>
      </c>
      <c r="C221" t="s">
        <v>190</v>
      </c>
      <c r="D221" t="s">
        <v>2472</v>
      </c>
      <c r="E221" t="s">
        <v>2474</v>
      </c>
      <c r="F221" t="s">
        <v>1546</v>
      </c>
      <c r="G221" t="s">
        <v>1546</v>
      </c>
      <c r="H221" s="10">
        <v>8168891</v>
      </c>
      <c r="I221" t="str">
        <f>IFERROR(VLOOKUP(Final!F221,'LEAID Match'!$A$2:$B$374,2,FALSE),"")</f>
        <v/>
      </c>
      <c r="K221" s="10">
        <f t="shared" si="3"/>
        <v>8168891</v>
      </c>
    </row>
    <row r="222" spans="1:11">
      <c r="A222" t="s">
        <v>2470</v>
      </c>
      <c r="B222" s="10">
        <v>2020</v>
      </c>
      <c r="C222" t="s">
        <v>190</v>
      </c>
      <c r="D222" t="s">
        <v>2472</v>
      </c>
      <c r="E222" t="s">
        <v>2474</v>
      </c>
      <c r="F222" t="s">
        <v>1546</v>
      </c>
      <c r="G222" t="s">
        <v>1546</v>
      </c>
      <c r="H222" s="10">
        <v>8673238</v>
      </c>
      <c r="I222" t="str">
        <f>IFERROR(VLOOKUP(Final!F222,'LEAID Match'!$A$2:$B$374,2,FALSE),"")</f>
        <v/>
      </c>
      <c r="K222" s="10">
        <f t="shared" si="3"/>
        <v>8673238</v>
      </c>
    </row>
    <row r="223" spans="1:11">
      <c r="A223" t="s">
        <v>2470</v>
      </c>
      <c r="B223" s="10">
        <v>2021</v>
      </c>
      <c r="C223" t="s">
        <v>190</v>
      </c>
      <c r="D223" t="s">
        <v>2472</v>
      </c>
      <c r="E223" t="s">
        <v>2474</v>
      </c>
      <c r="F223" t="s">
        <v>1546</v>
      </c>
      <c r="G223" t="s">
        <v>1546</v>
      </c>
      <c r="H223" s="10">
        <v>9716104</v>
      </c>
      <c r="I223" t="str">
        <f>IFERROR(VLOOKUP(Final!F223,'LEAID Match'!$A$2:$B$374,2,FALSE),"")</f>
        <v/>
      </c>
      <c r="K223" s="10">
        <f t="shared" si="3"/>
        <v>9716104</v>
      </c>
    </row>
    <row r="224" spans="1:11">
      <c r="A224" t="s">
        <v>2470</v>
      </c>
      <c r="B224" s="10">
        <v>2022</v>
      </c>
      <c r="C224" t="s">
        <v>190</v>
      </c>
      <c r="D224" t="s">
        <v>2472</v>
      </c>
      <c r="E224" t="s">
        <v>2474</v>
      </c>
      <c r="F224" t="s">
        <v>1546</v>
      </c>
      <c r="G224" t="s">
        <v>1546</v>
      </c>
      <c r="H224" s="10">
        <v>10628444</v>
      </c>
      <c r="I224" t="str">
        <f>IFERROR(VLOOKUP(Final!F224,'LEAID Match'!$A$2:$B$374,2,FALSE),"")</f>
        <v/>
      </c>
      <c r="K224" s="10">
        <f t="shared" si="3"/>
        <v>10628444</v>
      </c>
    </row>
    <row r="225" spans="1:11">
      <c r="A225" t="s">
        <v>2470</v>
      </c>
      <c r="B225" s="10">
        <v>2023</v>
      </c>
      <c r="C225" t="s">
        <v>190</v>
      </c>
      <c r="D225" t="s">
        <v>2472</v>
      </c>
      <c r="E225" t="s">
        <v>2474</v>
      </c>
      <c r="F225" t="s">
        <v>1546</v>
      </c>
      <c r="G225" t="s">
        <v>1546</v>
      </c>
      <c r="H225" s="10">
        <v>12507983</v>
      </c>
      <c r="I225" t="str">
        <f>IFERROR(VLOOKUP(Final!F225,'LEAID Match'!$A$2:$B$374,2,FALSE),"")</f>
        <v/>
      </c>
      <c r="K225" s="10">
        <f t="shared" si="3"/>
        <v>12507983</v>
      </c>
    </row>
    <row r="226" spans="1:11">
      <c r="A226" t="s">
        <v>2470</v>
      </c>
      <c r="B226" s="10">
        <v>2015</v>
      </c>
      <c r="C226" t="s">
        <v>201</v>
      </c>
      <c r="D226" t="s">
        <v>2472</v>
      </c>
      <c r="E226" t="s">
        <v>2474</v>
      </c>
      <c r="F226" t="s">
        <v>1556</v>
      </c>
      <c r="G226" t="s">
        <v>146</v>
      </c>
      <c r="H226" s="10">
        <v>1619143</v>
      </c>
      <c r="I226" t="str">
        <f>IFERROR(VLOOKUP(Final!F226,'LEAID Match'!$A$2:$B$374,2,FALSE),"")</f>
        <v/>
      </c>
      <c r="K226" s="10">
        <f t="shared" si="3"/>
        <v>1619143</v>
      </c>
    </row>
    <row r="227" spans="1:11">
      <c r="A227" t="s">
        <v>2470</v>
      </c>
      <c r="B227" s="10">
        <v>2016</v>
      </c>
      <c r="C227" t="s">
        <v>201</v>
      </c>
      <c r="D227" t="s">
        <v>2472</v>
      </c>
      <c r="E227" t="s">
        <v>2474</v>
      </c>
      <c r="F227" t="s">
        <v>1556</v>
      </c>
      <c r="G227" t="s">
        <v>146</v>
      </c>
      <c r="H227" s="10">
        <v>1575153</v>
      </c>
      <c r="I227" t="str">
        <f>IFERROR(VLOOKUP(Final!F227,'LEAID Match'!$A$2:$B$374,2,FALSE),"")</f>
        <v/>
      </c>
      <c r="K227" s="10">
        <f t="shared" si="3"/>
        <v>1575153</v>
      </c>
    </row>
    <row r="228" spans="1:11">
      <c r="A228" t="s">
        <v>2470</v>
      </c>
      <c r="B228" s="10">
        <v>2017</v>
      </c>
      <c r="C228" t="s">
        <v>201</v>
      </c>
      <c r="D228" t="s">
        <v>2472</v>
      </c>
      <c r="E228" t="s">
        <v>2474</v>
      </c>
      <c r="F228" t="s">
        <v>1556</v>
      </c>
      <c r="G228" t="s">
        <v>1556</v>
      </c>
      <c r="H228" s="10">
        <v>1588179</v>
      </c>
      <c r="I228" t="str">
        <f>IFERROR(VLOOKUP(Final!F228,'LEAID Match'!$A$2:$B$374,2,FALSE),"")</f>
        <v/>
      </c>
      <c r="K228" s="10">
        <f t="shared" si="3"/>
        <v>1588179</v>
      </c>
    </row>
    <row r="229" spans="1:11">
      <c r="A229" t="s">
        <v>2470</v>
      </c>
      <c r="B229" s="10">
        <v>2018</v>
      </c>
      <c r="C229" t="s">
        <v>201</v>
      </c>
      <c r="D229" t="s">
        <v>2472</v>
      </c>
      <c r="E229" t="s">
        <v>2474</v>
      </c>
      <c r="F229" t="s">
        <v>1556</v>
      </c>
      <c r="G229" t="s">
        <v>2082</v>
      </c>
      <c r="H229" s="10">
        <v>1594645</v>
      </c>
      <c r="I229" t="str">
        <f>IFERROR(VLOOKUP(Final!F229,'LEAID Match'!$A$2:$B$374,2,FALSE),"")</f>
        <v/>
      </c>
      <c r="K229" s="10">
        <f t="shared" si="3"/>
        <v>1594645</v>
      </c>
    </row>
    <row r="230" spans="1:11">
      <c r="A230" t="s">
        <v>2470</v>
      </c>
      <c r="B230" s="10">
        <v>2019</v>
      </c>
      <c r="C230" t="s">
        <v>201</v>
      </c>
      <c r="D230" t="s">
        <v>2472</v>
      </c>
      <c r="E230" t="s">
        <v>2474</v>
      </c>
      <c r="F230" t="s">
        <v>1556</v>
      </c>
      <c r="G230" t="s">
        <v>1556</v>
      </c>
      <c r="H230" s="10">
        <v>1882697</v>
      </c>
      <c r="I230" t="str">
        <f>IFERROR(VLOOKUP(Final!F230,'LEAID Match'!$A$2:$B$374,2,FALSE),"")</f>
        <v/>
      </c>
      <c r="K230" s="10">
        <f t="shared" si="3"/>
        <v>1882697</v>
      </c>
    </row>
    <row r="231" spans="1:11">
      <c r="A231" t="s">
        <v>2470</v>
      </c>
      <c r="B231" s="10">
        <v>2020</v>
      </c>
      <c r="C231" t="s">
        <v>201</v>
      </c>
      <c r="D231" t="s">
        <v>2472</v>
      </c>
      <c r="E231" t="s">
        <v>2474</v>
      </c>
      <c r="F231" t="s">
        <v>1556</v>
      </c>
      <c r="G231" t="s">
        <v>1556</v>
      </c>
      <c r="H231" s="10">
        <v>1922184</v>
      </c>
      <c r="I231" t="str">
        <f>IFERROR(VLOOKUP(Final!F231,'LEAID Match'!$A$2:$B$374,2,FALSE),"")</f>
        <v/>
      </c>
      <c r="K231" s="10">
        <f t="shared" si="3"/>
        <v>1922184</v>
      </c>
    </row>
    <row r="232" spans="1:11">
      <c r="A232" t="s">
        <v>2470</v>
      </c>
      <c r="B232" s="10">
        <v>2021</v>
      </c>
      <c r="C232" t="s">
        <v>201</v>
      </c>
      <c r="D232" t="s">
        <v>2472</v>
      </c>
      <c r="E232" t="s">
        <v>2474</v>
      </c>
      <c r="F232" t="s">
        <v>1556</v>
      </c>
      <c r="G232" t="s">
        <v>1556</v>
      </c>
      <c r="H232" s="10">
        <v>1878569</v>
      </c>
      <c r="I232" t="str">
        <f>IFERROR(VLOOKUP(Final!F232,'LEAID Match'!$A$2:$B$374,2,FALSE),"")</f>
        <v/>
      </c>
      <c r="K232" s="10">
        <f t="shared" si="3"/>
        <v>1878569</v>
      </c>
    </row>
    <row r="233" spans="1:11">
      <c r="A233" t="s">
        <v>2470</v>
      </c>
      <c r="B233" s="10">
        <v>2022</v>
      </c>
      <c r="C233" t="s">
        <v>201</v>
      </c>
      <c r="D233" t="s">
        <v>2472</v>
      </c>
      <c r="E233" t="s">
        <v>2474</v>
      </c>
      <c r="F233" t="s">
        <v>1556</v>
      </c>
      <c r="G233" t="s">
        <v>1556</v>
      </c>
      <c r="H233" s="10">
        <v>1873224</v>
      </c>
      <c r="I233" t="str">
        <f>IFERROR(VLOOKUP(Final!F233,'LEAID Match'!$A$2:$B$374,2,FALSE),"")</f>
        <v/>
      </c>
      <c r="K233" s="10">
        <f t="shared" si="3"/>
        <v>1873224</v>
      </c>
    </row>
    <row r="234" spans="1:11">
      <c r="A234" t="s">
        <v>2470</v>
      </c>
      <c r="B234" s="10">
        <v>2023</v>
      </c>
      <c r="C234" t="s">
        <v>201</v>
      </c>
      <c r="D234" t="s">
        <v>2472</v>
      </c>
      <c r="E234" t="s">
        <v>2474</v>
      </c>
      <c r="F234" t="s">
        <v>1556</v>
      </c>
      <c r="G234" t="s">
        <v>1556</v>
      </c>
      <c r="H234" s="10">
        <v>1955655</v>
      </c>
      <c r="I234" t="str">
        <f>IFERROR(VLOOKUP(Final!F234,'LEAID Match'!$A$2:$B$374,2,FALSE),"")</f>
        <v/>
      </c>
      <c r="K234" s="10">
        <f t="shared" si="3"/>
        <v>1955655</v>
      </c>
    </row>
    <row r="235" spans="1:11">
      <c r="A235" t="s">
        <v>2470</v>
      </c>
      <c r="B235" s="10">
        <v>2015</v>
      </c>
      <c r="C235" t="s">
        <v>85</v>
      </c>
      <c r="D235" t="s">
        <v>2472</v>
      </c>
      <c r="E235" t="s">
        <v>2474</v>
      </c>
      <c r="F235" t="s">
        <v>1516</v>
      </c>
      <c r="G235" t="s">
        <v>32</v>
      </c>
      <c r="H235" s="10">
        <v>25251</v>
      </c>
      <c r="I235" t="str">
        <f>IFERROR(VLOOKUP(Final!F235,'LEAID Match'!$A$2:$B$374,2,FALSE),"")</f>
        <v/>
      </c>
      <c r="K235" s="10">
        <f t="shared" si="3"/>
        <v>25251</v>
      </c>
    </row>
    <row r="236" spans="1:11">
      <c r="A236" t="s">
        <v>2470</v>
      </c>
      <c r="B236" s="10">
        <v>2016</v>
      </c>
      <c r="C236" t="s">
        <v>85</v>
      </c>
      <c r="D236" t="s">
        <v>2472</v>
      </c>
      <c r="E236" t="s">
        <v>2474</v>
      </c>
      <c r="F236" t="s">
        <v>1516</v>
      </c>
      <c r="G236" t="s">
        <v>32</v>
      </c>
      <c r="H236" s="10">
        <v>24403</v>
      </c>
      <c r="I236" t="str">
        <f>IFERROR(VLOOKUP(Final!F236,'LEAID Match'!$A$2:$B$374,2,FALSE),"")</f>
        <v/>
      </c>
      <c r="K236" s="10">
        <f t="shared" si="3"/>
        <v>24403</v>
      </c>
    </row>
    <row r="237" spans="1:11">
      <c r="A237" t="s">
        <v>2470</v>
      </c>
      <c r="B237" s="10">
        <v>2017</v>
      </c>
      <c r="C237" t="s">
        <v>85</v>
      </c>
      <c r="D237" t="s">
        <v>2472</v>
      </c>
      <c r="E237" t="s">
        <v>2474</v>
      </c>
      <c r="F237" t="s">
        <v>1516</v>
      </c>
      <c r="G237" t="s">
        <v>1516</v>
      </c>
      <c r="H237" s="10">
        <v>25913</v>
      </c>
      <c r="I237" t="str">
        <f>IFERROR(VLOOKUP(Final!F237,'LEAID Match'!$A$2:$B$374,2,FALSE),"")</f>
        <v/>
      </c>
      <c r="K237" s="10">
        <f t="shared" si="3"/>
        <v>25913</v>
      </c>
    </row>
    <row r="238" spans="1:11">
      <c r="A238" t="s">
        <v>2470</v>
      </c>
      <c r="B238" s="10">
        <v>2018</v>
      </c>
      <c r="C238" t="s">
        <v>85</v>
      </c>
      <c r="D238" t="s">
        <v>2472</v>
      </c>
      <c r="E238" t="s">
        <v>2474</v>
      </c>
      <c r="F238" t="s">
        <v>1516</v>
      </c>
      <c r="G238" t="s">
        <v>2058</v>
      </c>
      <c r="H238" s="10">
        <v>26035</v>
      </c>
      <c r="I238" t="str">
        <f>IFERROR(VLOOKUP(Final!F238,'LEAID Match'!$A$2:$B$374,2,FALSE),"")</f>
        <v/>
      </c>
      <c r="K238" s="10">
        <f t="shared" si="3"/>
        <v>26035</v>
      </c>
    </row>
    <row r="239" spans="1:11">
      <c r="A239" t="s">
        <v>2470</v>
      </c>
      <c r="B239" s="10">
        <v>2019</v>
      </c>
      <c r="C239" t="s">
        <v>85</v>
      </c>
      <c r="D239" t="s">
        <v>2472</v>
      </c>
      <c r="E239" t="s">
        <v>2474</v>
      </c>
      <c r="F239" t="s">
        <v>1516</v>
      </c>
      <c r="G239" t="s">
        <v>1516</v>
      </c>
      <c r="H239" s="10">
        <v>26778</v>
      </c>
      <c r="I239" t="str">
        <f>IFERROR(VLOOKUP(Final!F239,'LEAID Match'!$A$2:$B$374,2,FALSE),"")</f>
        <v/>
      </c>
      <c r="K239" s="10">
        <f t="shared" si="3"/>
        <v>26778</v>
      </c>
    </row>
    <row r="240" spans="1:11">
      <c r="A240" t="s">
        <v>2470</v>
      </c>
      <c r="B240" s="10">
        <v>2020</v>
      </c>
      <c r="C240" t="s">
        <v>85</v>
      </c>
      <c r="D240" t="s">
        <v>2472</v>
      </c>
      <c r="E240" t="s">
        <v>2474</v>
      </c>
      <c r="F240" t="s">
        <v>1516</v>
      </c>
      <c r="G240" t="s">
        <v>1516</v>
      </c>
      <c r="H240" s="10">
        <v>27487</v>
      </c>
      <c r="I240" t="str">
        <f>IFERROR(VLOOKUP(Final!F240,'LEAID Match'!$A$2:$B$374,2,FALSE),"")</f>
        <v/>
      </c>
      <c r="K240" s="10">
        <f t="shared" si="3"/>
        <v>27487</v>
      </c>
    </row>
    <row r="241" spans="1:11">
      <c r="A241" t="s">
        <v>2470</v>
      </c>
      <c r="B241" s="10">
        <v>2021</v>
      </c>
      <c r="C241" t="s">
        <v>85</v>
      </c>
      <c r="D241" t="s">
        <v>2472</v>
      </c>
      <c r="E241" t="s">
        <v>2474</v>
      </c>
      <c r="F241" t="s">
        <v>1516</v>
      </c>
      <c r="G241" t="s">
        <v>1516</v>
      </c>
      <c r="H241" s="10">
        <v>29534</v>
      </c>
      <c r="I241" t="str">
        <f>IFERROR(VLOOKUP(Final!F241,'LEAID Match'!$A$2:$B$374,2,FALSE),"")</f>
        <v/>
      </c>
      <c r="K241" s="10">
        <f t="shared" si="3"/>
        <v>29534</v>
      </c>
    </row>
    <row r="242" spans="1:11">
      <c r="A242" t="s">
        <v>2470</v>
      </c>
      <c r="B242" s="10">
        <v>2022</v>
      </c>
      <c r="C242" t="s">
        <v>85</v>
      </c>
      <c r="D242" t="s">
        <v>2472</v>
      </c>
      <c r="E242" t="s">
        <v>2474</v>
      </c>
      <c r="F242" t="s">
        <v>1516</v>
      </c>
      <c r="G242" t="s">
        <v>1516</v>
      </c>
      <c r="H242" s="10">
        <v>27834</v>
      </c>
      <c r="I242" t="str">
        <f>IFERROR(VLOOKUP(Final!F242,'LEAID Match'!$A$2:$B$374,2,FALSE),"")</f>
        <v/>
      </c>
      <c r="K242" s="10">
        <f t="shared" si="3"/>
        <v>27834</v>
      </c>
    </row>
    <row r="243" spans="1:11">
      <c r="A243" t="s">
        <v>2470</v>
      </c>
      <c r="B243" s="10">
        <v>2023</v>
      </c>
      <c r="C243" t="s">
        <v>85</v>
      </c>
      <c r="D243" t="s">
        <v>2472</v>
      </c>
      <c r="E243" t="s">
        <v>2474</v>
      </c>
      <c r="F243" t="s">
        <v>1516</v>
      </c>
      <c r="G243" t="s">
        <v>1516</v>
      </c>
      <c r="H243" s="10">
        <v>28275</v>
      </c>
      <c r="I243" t="str">
        <f>IFERROR(VLOOKUP(Final!F243,'LEAID Match'!$A$2:$B$374,2,FALSE),"")</f>
        <v/>
      </c>
      <c r="K243" s="10">
        <f t="shared" si="3"/>
        <v>28275</v>
      </c>
    </row>
    <row r="244" spans="1:11">
      <c r="A244" t="s">
        <v>2470</v>
      </c>
      <c r="B244" s="10">
        <v>2015</v>
      </c>
      <c r="C244" t="s">
        <v>1395</v>
      </c>
      <c r="D244" t="s">
        <v>2472</v>
      </c>
      <c r="E244" t="s">
        <v>2474</v>
      </c>
      <c r="F244" t="s">
        <v>230</v>
      </c>
      <c r="G244" t="s">
        <v>230</v>
      </c>
      <c r="H244" s="10">
        <v>322297</v>
      </c>
      <c r="I244" t="str">
        <f>IFERROR(VLOOKUP(Final!F244,'LEAID Match'!$A$2:$B$374,2,FALSE),"")</f>
        <v/>
      </c>
      <c r="K244" s="10">
        <f t="shared" si="3"/>
        <v>322297</v>
      </c>
    </row>
    <row r="245" spans="1:11">
      <c r="A245" t="s">
        <v>2470</v>
      </c>
      <c r="B245" s="10">
        <v>2016</v>
      </c>
      <c r="C245" t="s">
        <v>1395</v>
      </c>
      <c r="D245" t="s">
        <v>2472</v>
      </c>
      <c r="E245" t="s">
        <v>2474</v>
      </c>
      <c r="F245" t="s">
        <v>230</v>
      </c>
      <c r="G245" t="s">
        <v>230</v>
      </c>
      <c r="H245" s="10">
        <v>314763</v>
      </c>
      <c r="I245" t="str">
        <f>IFERROR(VLOOKUP(Final!F245,'LEAID Match'!$A$2:$B$374,2,FALSE),"")</f>
        <v/>
      </c>
      <c r="K245" s="10">
        <f t="shared" si="3"/>
        <v>314763</v>
      </c>
    </row>
    <row r="246" spans="1:11">
      <c r="A246" t="s">
        <v>2470</v>
      </c>
      <c r="B246" s="10">
        <v>2017</v>
      </c>
      <c r="C246" t="s">
        <v>1395</v>
      </c>
      <c r="D246" t="s">
        <v>2472</v>
      </c>
      <c r="E246" t="s">
        <v>2474</v>
      </c>
      <c r="F246" t="s">
        <v>230</v>
      </c>
      <c r="G246" t="s">
        <v>230</v>
      </c>
      <c r="H246" s="10">
        <v>357802</v>
      </c>
      <c r="I246" t="str">
        <f>IFERROR(VLOOKUP(Final!F246,'LEAID Match'!$A$2:$B$374,2,FALSE),"")</f>
        <v/>
      </c>
      <c r="K246" s="10">
        <f t="shared" si="3"/>
        <v>357802</v>
      </c>
    </row>
    <row r="247" spans="1:11">
      <c r="A247" t="s">
        <v>2470</v>
      </c>
      <c r="B247" s="10">
        <v>2018</v>
      </c>
      <c r="C247" t="s">
        <v>1395</v>
      </c>
      <c r="D247" t="s">
        <v>2472</v>
      </c>
      <c r="E247" t="s">
        <v>2474</v>
      </c>
      <c r="F247" t="s">
        <v>230</v>
      </c>
      <c r="G247" t="s">
        <v>230</v>
      </c>
      <c r="H247" s="10">
        <v>354243</v>
      </c>
      <c r="I247" t="str">
        <f>IFERROR(VLOOKUP(Final!F247,'LEAID Match'!$A$2:$B$374,2,FALSE),"")</f>
        <v/>
      </c>
      <c r="K247" s="10">
        <f t="shared" si="3"/>
        <v>354243</v>
      </c>
    </row>
    <row r="248" spans="1:11">
      <c r="A248" t="s">
        <v>2470</v>
      </c>
      <c r="B248" s="10">
        <v>2019</v>
      </c>
      <c r="C248" t="s">
        <v>1395</v>
      </c>
      <c r="D248" t="s">
        <v>2472</v>
      </c>
      <c r="E248" t="s">
        <v>2474</v>
      </c>
      <c r="F248" t="s">
        <v>230</v>
      </c>
      <c r="G248" t="s">
        <v>230</v>
      </c>
      <c r="H248" s="10">
        <v>356713</v>
      </c>
      <c r="I248" t="str">
        <f>IFERROR(VLOOKUP(Final!F248,'LEAID Match'!$A$2:$B$374,2,FALSE),"")</f>
        <v/>
      </c>
      <c r="K248" s="10">
        <f t="shared" si="3"/>
        <v>356713</v>
      </c>
    </row>
    <row r="249" spans="1:11">
      <c r="A249" t="s">
        <v>2470</v>
      </c>
      <c r="B249" s="10">
        <v>2020</v>
      </c>
      <c r="C249" t="s">
        <v>1395</v>
      </c>
      <c r="D249" t="s">
        <v>2472</v>
      </c>
      <c r="E249" t="s">
        <v>2474</v>
      </c>
      <c r="F249" t="s">
        <v>230</v>
      </c>
      <c r="G249" t="s">
        <v>230</v>
      </c>
      <c r="H249" s="10">
        <v>406911</v>
      </c>
      <c r="I249" t="str">
        <f>IFERROR(VLOOKUP(Final!F249,'LEAID Match'!$A$2:$B$374,2,FALSE),"")</f>
        <v/>
      </c>
      <c r="K249" s="10">
        <f t="shared" si="3"/>
        <v>406911</v>
      </c>
    </row>
    <row r="250" spans="1:11">
      <c r="A250" t="s">
        <v>2470</v>
      </c>
      <c r="B250" s="10">
        <v>2021</v>
      </c>
      <c r="C250" t="s">
        <v>1395</v>
      </c>
      <c r="D250" t="s">
        <v>2472</v>
      </c>
      <c r="E250" t="s">
        <v>2474</v>
      </c>
      <c r="F250" t="s">
        <v>230</v>
      </c>
      <c r="G250" t="s">
        <v>230</v>
      </c>
      <c r="H250" s="10">
        <v>461445</v>
      </c>
      <c r="I250" t="str">
        <f>IFERROR(VLOOKUP(Final!F250,'LEAID Match'!$A$2:$B$374,2,FALSE),"")</f>
        <v/>
      </c>
      <c r="K250" s="10">
        <f t="shared" si="3"/>
        <v>461445</v>
      </c>
    </row>
    <row r="251" spans="1:11">
      <c r="A251" t="s">
        <v>2470</v>
      </c>
      <c r="B251" s="10">
        <v>2022</v>
      </c>
      <c r="C251" t="s">
        <v>1395</v>
      </c>
      <c r="D251" t="s">
        <v>2472</v>
      </c>
      <c r="E251" t="s">
        <v>2474</v>
      </c>
      <c r="F251" t="s">
        <v>230</v>
      </c>
      <c r="G251" t="s">
        <v>230</v>
      </c>
      <c r="H251" s="10">
        <v>450029</v>
      </c>
      <c r="I251" t="str">
        <f>IFERROR(VLOOKUP(Final!F251,'LEAID Match'!$A$2:$B$374,2,FALSE),"")</f>
        <v/>
      </c>
      <c r="K251" s="10">
        <f t="shared" si="3"/>
        <v>450029</v>
      </c>
    </row>
    <row r="252" spans="1:11">
      <c r="A252" t="s">
        <v>2470</v>
      </c>
      <c r="B252" s="10">
        <v>2023</v>
      </c>
      <c r="C252" t="s">
        <v>1395</v>
      </c>
      <c r="D252" t="s">
        <v>2472</v>
      </c>
      <c r="E252" t="s">
        <v>2474</v>
      </c>
      <c r="F252" t="s">
        <v>230</v>
      </c>
      <c r="G252" t="s">
        <v>230</v>
      </c>
      <c r="H252" s="10">
        <v>430988</v>
      </c>
      <c r="I252" t="str">
        <f>IFERROR(VLOOKUP(Final!F252,'LEAID Match'!$A$2:$B$374,2,FALSE),"")</f>
        <v/>
      </c>
      <c r="K252" s="10">
        <f t="shared" si="3"/>
        <v>430988</v>
      </c>
    </row>
    <row r="253" spans="1:11">
      <c r="A253" t="s">
        <v>2470</v>
      </c>
      <c r="B253" s="10">
        <v>2015</v>
      </c>
      <c r="C253" t="s">
        <v>203</v>
      </c>
      <c r="D253" t="s">
        <v>2472</v>
      </c>
      <c r="E253" t="s">
        <v>2474</v>
      </c>
      <c r="F253" t="s">
        <v>1558</v>
      </c>
      <c r="G253" t="s">
        <v>148</v>
      </c>
      <c r="H253" s="10">
        <v>142388</v>
      </c>
      <c r="I253" t="str">
        <f>IFERROR(VLOOKUP(Final!F253,'LEAID Match'!$A$2:$B$374,2,FALSE),"")</f>
        <v/>
      </c>
      <c r="K253" s="10">
        <f t="shared" si="3"/>
        <v>142388</v>
      </c>
    </row>
    <row r="254" spans="1:11">
      <c r="A254" t="s">
        <v>2470</v>
      </c>
      <c r="B254" s="10">
        <v>2016</v>
      </c>
      <c r="C254" t="s">
        <v>203</v>
      </c>
      <c r="D254" t="s">
        <v>2472</v>
      </c>
      <c r="E254" t="s">
        <v>2474</v>
      </c>
      <c r="F254" t="s">
        <v>1558</v>
      </c>
      <c r="G254" t="s">
        <v>148</v>
      </c>
      <c r="H254" s="10">
        <v>128154</v>
      </c>
      <c r="I254" t="str">
        <f>IFERROR(VLOOKUP(Final!F254,'LEAID Match'!$A$2:$B$374,2,FALSE),"")</f>
        <v/>
      </c>
      <c r="K254" s="10">
        <f t="shared" si="3"/>
        <v>128154</v>
      </c>
    </row>
    <row r="255" spans="1:11">
      <c r="A255" t="s">
        <v>2470</v>
      </c>
      <c r="B255" s="10">
        <v>2017</v>
      </c>
      <c r="C255" t="s">
        <v>203</v>
      </c>
      <c r="D255" t="s">
        <v>2472</v>
      </c>
      <c r="E255" t="s">
        <v>2474</v>
      </c>
      <c r="F255" t="s">
        <v>1558</v>
      </c>
      <c r="G255" t="s">
        <v>1558</v>
      </c>
      <c r="H255" s="10"/>
      <c r="I255" t="str">
        <f>IFERROR(VLOOKUP(Final!F255,'LEAID Match'!$A$2:$B$374,2,FALSE),"")</f>
        <v/>
      </c>
      <c r="K255" s="10">
        <f t="shared" si="3"/>
        <v>0</v>
      </c>
    </row>
    <row r="256" spans="1:11">
      <c r="A256" t="s">
        <v>2470</v>
      </c>
      <c r="B256" s="10">
        <v>2018</v>
      </c>
      <c r="C256" t="s">
        <v>203</v>
      </c>
      <c r="D256" t="s">
        <v>2472</v>
      </c>
      <c r="E256" t="s">
        <v>2474</v>
      </c>
      <c r="F256" t="s">
        <v>1558</v>
      </c>
      <c r="G256" t="s">
        <v>2084</v>
      </c>
      <c r="H256" s="10"/>
      <c r="I256" t="str">
        <f>IFERROR(VLOOKUP(Final!F256,'LEAID Match'!$A$2:$B$374,2,FALSE),"")</f>
        <v/>
      </c>
      <c r="K256" s="10">
        <f t="shared" si="3"/>
        <v>0</v>
      </c>
    </row>
    <row r="257" spans="1:11">
      <c r="A257" t="s">
        <v>2470</v>
      </c>
      <c r="B257" s="10">
        <v>2019</v>
      </c>
      <c r="C257" t="s">
        <v>203</v>
      </c>
      <c r="D257" t="s">
        <v>2472</v>
      </c>
      <c r="E257" t="s">
        <v>2474</v>
      </c>
      <c r="F257" t="s">
        <v>1558</v>
      </c>
      <c r="G257" t="s">
        <v>1558</v>
      </c>
      <c r="H257" s="10"/>
      <c r="I257" t="str">
        <f>IFERROR(VLOOKUP(Final!F257,'LEAID Match'!$A$2:$B$374,2,FALSE),"")</f>
        <v/>
      </c>
      <c r="K257" s="10">
        <f t="shared" si="3"/>
        <v>0</v>
      </c>
    </row>
    <row r="258" spans="1:11">
      <c r="A258" t="s">
        <v>2470</v>
      </c>
      <c r="B258" s="10">
        <v>2020</v>
      </c>
      <c r="C258" t="s">
        <v>203</v>
      </c>
      <c r="D258" t="s">
        <v>2472</v>
      </c>
      <c r="E258" t="s">
        <v>2474</v>
      </c>
      <c r="F258" t="s">
        <v>1558</v>
      </c>
      <c r="G258" t="s">
        <v>1558</v>
      </c>
      <c r="H258" s="10"/>
      <c r="I258" t="str">
        <f>IFERROR(VLOOKUP(Final!F258,'LEAID Match'!$A$2:$B$374,2,FALSE),"")</f>
        <v/>
      </c>
      <c r="K258" s="10">
        <f t="shared" si="3"/>
        <v>0</v>
      </c>
    </row>
    <row r="259" spans="1:11">
      <c r="A259" t="s">
        <v>2470</v>
      </c>
      <c r="B259" s="10">
        <v>2015</v>
      </c>
      <c r="C259" t="s">
        <v>88</v>
      </c>
      <c r="D259" t="s">
        <v>2472</v>
      </c>
      <c r="E259" t="s">
        <v>2474</v>
      </c>
      <c r="F259" t="s">
        <v>1589</v>
      </c>
      <c r="G259" t="s">
        <v>35</v>
      </c>
      <c r="H259" s="10">
        <v>62765</v>
      </c>
      <c r="I259" t="str">
        <f>IFERROR(VLOOKUP(Final!F259,'LEAID Match'!$A$2:$B$374,2,FALSE),"")</f>
        <v/>
      </c>
      <c r="K259" s="10">
        <f t="shared" ref="K259:K322" si="4">SUM(H259,J259)</f>
        <v>62765</v>
      </c>
    </row>
    <row r="260" spans="1:11">
      <c r="A260" t="s">
        <v>2470</v>
      </c>
      <c r="B260" s="10">
        <v>2016</v>
      </c>
      <c r="C260" t="s">
        <v>88</v>
      </c>
      <c r="D260" t="s">
        <v>2472</v>
      </c>
      <c r="E260" t="s">
        <v>2474</v>
      </c>
      <c r="F260" t="s">
        <v>1589</v>
      </c>
      <c r="G260" t="s">
        <v>35</v>
      </c>
      <c r="H260" s="10">
        <v>68469</v>
      </c>
      <c r="I260" t="str">
        <f>IFERROR(VLOOKUP(Final!F260,'LEAID Match'!$A$2:$B$374,2,FALSE),"")</f>
        <v/>
      </c>
      <c r="K260" s="10">
        <f t="shared" si="4"/>
        <v>68469</v>
      </c>
    </row>
    <row r="261" spans="1:11">
      <c r="A261" t="s">
        <v>2470</v>
      </c>
      <c r="B261" s="10">
        <v>2017</v>
      </c>
      <c r="C261" t="s">
        <v>88</v>
      </c>
      <c r="D261" t="s">
        <v>2472</v>
      </c>
      <c r="E261" t="s">
        <v>2474</v>
      </c>
      <c r="F261" t="s">
        <v>1589</v>
      </c>
      <c r="G261" t="s">
        <v>1589</v>
      </c>
      <c r="H261" s="10">
        <v>83895</v>
      </c>
      <c r="I261" t="str">
        <f>IFERROR(VLOOKUP(Final!F261,'LEAID Match'!$A$2:$B$374,2,FALSE),"")</f>
        <v/>
      </c>
      <c r="K261" s="10">
        <f t="shared" si="4"/>
        <v>83895</v>
      </c>
    </row>
    <row r="262" spans="1:11">
      <c r="A262" t="s">
        <v>2470</v>
      </c>
      <c r="B262" s="10">
        <v>2018</v>
      </c>
      <c r="C262" t="s">
        <v>88</v>
      </c>
      <c r="D262" t="s">
        <v>2472</v>
      </c>
      <c r="E262" t="s">
        <v>2474</v>
      </c>
      <c r="F262" t="s">
        <v>1589</v>
      </c>
      <c r="G262" t="s">
        <v>1589</v>
      </c>
      <c r="H262" s="10">
        <v>78051</v>
      </c>
      <c r="I262" t="str">
        <f>IFERROR(VLOOKUP(Final!F262,'LEAID Match'!$A$2:$B$374,2,FALSE),"")</f>
        <v/>
      </c>
      <c r="K262" s="10">
        <f t="shared" si="4"/>
        <v>78051</v>
      </c>
    </row>
    <row r="263" spans="1:11">
      <c r="A263" t="s">
        <v>2470</v>
      </c>
      <c r="B263" s="10">
        <v>2019</v>
      </c>
      <c r="C263" t="s">
        <v>88</v>
      </c>
      <c r="D263" t="s">
        <v>2472</v>
      </c>
      <c r="E263" t="s">
        <v>2474</v>
      </c>
      <c r="F263" t="s">
        <v>1589</v>
      </c>
      <c r="G263" t="s">
        <v>1589</v>
      </c>
      <c r="H263" s="10">
        <v>74273</v>
      </c>
      <c r="I263" t="str">
        <f>IFERROR(VLOOKUP(Final!F263,'LEAID Match'!$A$2:$B$374,2,FALSE),"")</f>
        <v/>
      </c>
      <c r="K263" s="10">
        <f t="shared" si="4"/>
        <v>74273</v>
      </c>
    </row>
    <row r="264" spans="1:11">
      <c r="A264" t="s">
        <v>2470</v>
      </c>
      <c r="B264" s="10">
        <v>2020</v>
      </c>
      <c r="C264" t="s">
        <v>88</v>
      </c>
      <c r="D264" t="s">
        <v>2472</v>
      </c>
      <c r="E264" t="s">
        <v>2474</v>
      </c>
      <c r="F264" t="s">
        <v>1589</v>
      </c>
      <c r="G264" t="s">
        <v>1589</v>
      </c>
      <c r="H264" s="10">
        <v>77163</v>
      </c>
      <c r="I264" t="str">
        <f>IFERROR(VLOOKUP(Final!F264,'LEAID Match'!$A$2:$B$374,2,FALSE),"")</f>
        <v/>
      </c>
      <c r="K264" s="10">
        <f t="shared" si="4"/>
        <v>77163</v>
      </c>
    </row>
    <row r="265" spans="1:11">
      <c r="A265" t="s">
        <v>2470</v>
      </c>
      <c r="B265" s="10">
        <v>2021</v>
      </c>
      <c r="C265" t="s">
        <v>88</v>
      </c>
      <c r="D265" t="s">
        <v>2472</v>
      </c>
      <c r="E265" t="s">
        <v>2474</v>
      </c>
      <c r="F265" t="s">
        <v>1589</v>
      </c>
      <c r="G265" t="s">
        <v>1589</v>
      </c>
      <c r="H265" s="10">
        <v>80643</v>
      </c>
      <c r="I265" t="str">
        <f>IFERROR(VLOOKUP(Final!F265,'LEAID Match'!$A$2:$B$374,2,FALSE),"")</f>
        <v/>
      </c>
      <c r="K265" s="10">
        <f t="shared" si="4"/>
        <v>80643</v>
      </c>
    </row>
    <row r="266" spans="1:11">
      <c r="A266" t="s">
        <v>2470</v>
      </c>
      <c r="B266" s="10">
        <v>2022</v>
      </c>
      <c r="C266" t="s">
        <v>88</v>
      </c>
      <c r="D266" t="s">
        <v>2472</v>
      </c>
      <c r="E266" t="s">
        <v>2474</v>
      </c>
      <c r="F266" t="s">
        <v>1589</v>
      </c>
      <c r="G266" t="s">
        <v>1589</v>
      </c>
      <c r="H266" s="10">
        <v>88278</v>
      </c>
      <c r="I266" t="str">
        <f>IFERROR(VLOOKUP(Final!F266,'LEAID Match'!$A$2:$B$374,2,FALSE),"")</f>
        <v/>
      </c>
      <c r="K266" s="10">
        <f t="shared" si="4"/>
        <v>88278</v>
      </c>
    </row>
    <row r="267" spans="1:11">
      <c r="A267" t="s">
        <v>2470</v>
      </c>
      <c r="B267" s="10">
        <v>2023</v>
      </c>
      <c r="C267" t="s">
        <v>88</v>
      </c>
      <c r="D267" t="s">
        <v>2472</v>
      </c>
      <c r="E267" t="s">
        <v>2474</v>
      </c>
      <c r="F267" t="s">
        <v>1589</v>
      </c>
      <c r="G267" t="s">
        <v>1589</v>
      </c>
      <c r="H267" s="10">
        <v>95503</v>
      </c>
      <c r="I267" t="str">
        <f>IFERROR(VLOOKUP(Final!F267,'LEAID Match'!$A$2:$B$374,2,FALSE),"")</f>
        <v/>
      </c>
      <c r="K267" s="10">
        <f t="shared" si="4"/>
        <v>95503</v>
      </c>
    </row>
    <row r="268" spans="1:11">
      <c r="A268" t="s">
        <v>2470</v>
      </c>
      <c r="B268" s="10">
        <v>2015</v>
      </c>
      <c r="C268" t="s">
        <v>181</v>
      </c>
      <c r="D268" t="s">
        <v>2472</v>
      </c>
      <c r="E268" t="s">
        <v>2474</v>
      </c>
      <c r="F268" t="s">
        <v>1535</v>
      </c>
      <c r="G268" t="s">
        <v>126</v>
      </c>
      <c r="H268" s="10">
        <v>869767</v>
      </c>
      <c r="I268" t="str">
        <f>IFERROR(VLOOKUP(Final!F268,'LEAID Match'!$A$2:$B$374,2,FALSE),"")</f>
        <v/>
      </c>
      <c r="K268" s="10">
        <f t="shared" si="4"/>
        <v>869767</v>
      </c>
    </row>
    <row r="269" spans="1:11">
      <c r="A269" t="s">
        <v>2470</v>
      </c>
      <c r="B269" s="10">
        <v>2016</v>
      </c>
      <c r="C269" t="s">
        <v>181</v>
      </c>
      <c r="D269" t="s">
        <v>2472</v>
      </c>
      <c r="E269" t="s">
        <v>2474</v>
      </c>
      <c r="F269" t="s">
        <v>1535</v>
      </c>
      <c r="G269" t="s">
        <v>126</v>
      </c>
      <c r="H269" s="10">
        <v>948053</v>
      </c>
      <c r="I269" t="str">
        <f>IFERROR(VLOOKUP(Final!F269,'LEAID Match'!$A$2:$B$374,2,FALSE),"")</f>
        <v/>
      </c>
      <c r="K269" s="10">
        <f t="shared" si="4"/>
        <v>948053</v>
      </c>
    </row>
    <row r="270" spans="1:11">
      <c r="A270" t="s">
        <v>2470</v>
      </c>
      <c r="B270" s="10">
        <v>2017</v>
      </c>
      <c r="C270" t="s">
        <v>181</v>
      </c>
      <c r="D270" t="s">
        <v>2472</v>
      </c>
      <c r="E270" t="s">
        <v>2474</v>
      </c>
      <c r="F270" t="s">
        <v>1535</v>
      </c>
      <c r="G270" t="s">
        <v>1535</v>
      </c>
      <c r="H270" s="10">
        <v>1182486</v>
      </c>
      <c r="I270" t="str">
        <f>IFERROR(VLOOKUP(Final!F270,'LEAID Match'!$A$2:$B$374,2,FALSE),"")</f>
        <v/>
      </c>
      <c r="K270" s="10">
        <f t="shared" si="4"/>
        <v>1182486</v>
      </c>
    </row>
    <row r="271" spans="1:11">
      <c r="A271" t="s">
        <v>2470</v>
      </c>
      <c r="B271" s="10">
        <v>2018</v>
      </c>
      <c r="C271" t="s">
        <v>181</v>
      </c>
      <c r="D271" t="s">
        <v>2472</v>
      </c>
      <c r="E271" t="s">
        <v>2474</v>
      </c>
      <c r="F271" t="s">
        <v>1535</v>
      </c>
      <c r="G271" t="s">
        <v>1535</v>
      </c>
      <c r="H271" s="10">
        <v>1166668</v>
      </c>
      <c r="I271" t="str">
        <f>IFERROR(VLOOKUP(Final!F271,'LEAID Match'!$A$2:$B$374,2,FALSE),"")</f>
        <v/>
      </c>
      <c r="K271" s="10">
        <f t="shared" si="4"/>
        <v>1166668</v>
      </c>
    </row>
    <row r="272" spans="1:11">
      <c r="A272" t="s">
        <v>2470</v>
      </c>
      <c r="B272" s="10">
        <v>2019</v>
      </c>
      <c r="C272" t="s">
        <v>181</v>
      </c>
      <c r="D272" t="s">
        <v>2472</v>
      </c>
      <c r="E272" t="s">
        <v>2474</v>
      </c>
      <c r="F272" t="s">
        <v>1535</v>
      </c>
      <c r="G272" t="s">
        <v>1535</v>
      </c>
      <c r="H272" s="10">
        <v>1339043</v>
      </c>
      <c r="I272" t="str">
        <f>IFERROR(VLOOKUP(Final!F272,'LEAID Match'!$A$2:$B$374,2,FALSE),"")</f>
        <v/>
      </c>
      <c r="K272" s="10">
        <f t="shared" si="4"/>
        <v>1339043</v>
      </c>
    </row>
    <row r="273" spans="1:11">
      <c r="A273" t="s">
        <v>2470</v>
      </c>
      <c r="B273" s="10">
        <v>2020</v>
      </c>
      <c r="C273" t="s">
        <v>181</v>
      </c>
      <c r="D273" t="s">
        <v>2472</v>
      </c>
      <c r="E273" t="s">
        <v>2474</v>
      </c>
      <c r="F273" t="s">
        <v>1535</v>
      </c>
      <c r="G273" t="s">
        <v>1535</v>
      </c>
      <c r="H273" s="10">
        <v>1332905</v>
      </c>
      <c r="I273" t="str">
        <f>IFERROR(VLOOKUP(Final!F273,'LEAID Match'!$A$2:$B$374,2,FALSE),"")</f>
        <v/>
      </c>
      <c r="K273" s="10">
        <f t="shared" si="4"/>
        <v>1332905</v>
      </c>
    </row>
    <row r="274" spans="1:11">
      <c r="A274" t="s">
        <v>2470</v>
      </c>
      <c r="B274" s="10">
        <v>2021</v>
      </c>
      <c r="C274" t="s">
        <v>181</v>
      </c>
      <c r="D274" t="s">
        <v>2472</v>
      </c>
      <c r="E274" t="s">
        <v>2474</v>
      </c>
      <c r="F274" t="s">
        <v>1535</v>
      </c>
      <c r="G274" t="s">
        <v>1535</v>
      </c>
      <c r="H274" s="10">
        <v>1360209</v>
      </c>
      <c r="I274" t="str">
        <f>IFERROR(VLOOKUP(Final!F274,'LEAID Match'!$A$2:$B$374,2,FALSE),"")</f>
        <v/>
      </c>
      <c r="K274" s="10">
        <f t="shared" si="4"/>
        <v>1360209</v>
      </c>
    </row>
    <row r="275" spans="1:11">
      <c r="A275" t="s">
        <v>2470</v>
      </c>
      <c r="B275" s="10">
        <v>2022</v>
      </c>
      <c r="C275" t="s">
        <v>181</v>
      </c>
      <c r="D275" t="s">
        <v>2472</v>
      </c>
      <c r="E275" t="s">
        <v>2474</v>
      </c>
      <c r="F275" t="s">
        <v>1535</v>
      </c>
      <c r="G275" t="s">
        <v>1535</v>
      </c>
      <c r="H275" s="10">
        <v>1434992</v>
      </c>
      <c r="I275" t="str">
        <f>IFERROR(VLOOKUP(Final!F275,'LEAID Match'!$A$2:$B$374,2,FALSE),"")</f>
        <v/>
      </c>
      <c r="K275" s="10">
        <f t="shared" si="4"/>
        <v>1434992</v>
      </c>
    </row>
    <row r="276" spans="1:11">
      <c r="A276" t="s">
        <v>2470</v>
      </c>
      <c r="B276" s="10">
        <v>2023</v>
      </c>
      <c r="C276" t="s">
        <v>181</v>
      </c>
      <c r="D276" t="s">
        <v>2472</v>
      </c>
      <c r="E276" t="s">
        <v>2474</v>
      </c>
      <c r="F276" t="s">
        <v>1535</v>
      </c>
      <c r="G276" t="s">
        <v>1535</v>
      </c>
      <c r="H276" s="10">
        <v>1772381</v>
      </c>
      <c r="I276" t="str">
        <f>IFERROR(VLOOKUP(Final!F276,'LEAID Match'!$A$2:$B$374,2,FALSE),"")</f>
        <v/>
      </c>
      <c r="K276" s="10">
        <f t="shared" si="4"/>
        <v>1772381</v>
      </c>
    </row>
    <row r="277" spans="1:11">
      <c r="A277" t="s">
        <v>2470</v>
      </c>
      <c r="B277" s="10">
        <v>2015</v>
      </c>
      <c r="C277" t="s">
        <v>89</v>
      </c>
      <c r="D277" t="s">
        <v>2472</v>
      </c>
      <c r="E277" t="s">
        <v>2474</v>
      </c>
      <c r="F277" t="s">
        <v>36</v>
      </c>
      <c r="G277" t="s">
        <v>36</v>
      </c>
      <c r="H277" s="10">
        <v>33410</v>
      </c>
      <c r="I277" t="str">
        <f>IFERROR(VLOOKUP(Final!F277,'LEAID Match'!$A$2:$B$374,2,FALSE),"")</f>
        <v/>
      </c>
      <c r="K277" s="10">
        <f t="shared" si="4"/>
        <v>33410</v>
      </c>
    </row>
    <row r="278" spans="1:11">
      <c r="A278" t="s">
        <v>2470</v>
      </c>
      <c r="B278" s="10">
        <v>2016</v>
      </c>
      <c r="C278" t="s">
        <v>89</v>
      </c>
      <c r="D278" t="s">
        <v>2472</v>
      </c>
      <c r="E278" t="s">
        <v>2474</v>
      </c>
      <c r="F278" t="s">
        <v>36</v>
      </c>
      <c r="G278" t="s">
        <v>36</v>
      </c>
      <c r="H278" s="10"/>
      <c r="I278" t="str">
        <f>IFERROR(VLOOKUP(Final!F278,'LEAID Match'!$A$2:$B$374,2,FALSE),"")</f>
        <v/>
      </c>
      <c r="K278" s="10">
        <f t="shared" si="4"/>
        <v>0</v>
      </c>
    </row>
    <row r="279" spans="1:11">
      <c r="A279" t="s">
        <v>2470</v>
      </c>
      <c r="B279" s="10">
        <v>2017</v>
      </c>
      <c r="C279" t="s">
        <v>89</v>
      </c>
      <c r="D279" t="s">
        <v>2472</v>
      </c>
      <c r="E279" t="s">
        <v>2474</v>
      </c>
      <c r="F279" t="s">
        <v>36</v>
      </c>
      <c r="G279" t="s">
        <v>1542</v>
      </c>
      <c r="H279" s="10"/>
      <c r="I279" t="str">
        <f>IFERROR(VLOOKUP(Final!F279,'LEAID Match'!$A$2:$B$374,2,FALSE),"")</f>
        <v/>
      </c>
      <c r="K279" s="10">
        <f t="shared" si="4"/>
        <v>0</v>
      </c>
    </row>
    <row r="280" spans="1:11">
      <c r="A280" t="s">
        <v>2470</v>
      </c>
      <c r="B280" s="10">
        <v>2018</v>
      </c>
      <c r="C280" t="s">
        <v>89</v>
      </c>
      <c r="D280" t="s">
        <v>2472</v>
      </c>
      <c r="E280" t="s">
        <v>2474</v>
      </c>
      <c r="F280" t="s">
        <v>36</v>
      </c>
      <c r="G280" t="s">
        <v>2074</v>
      </c>
      <c r="H280" s="10"/>
      <c r="I280" t="str">
        <f>IFERROR(VLOOKUP(Final!F280,'LEAID Match'!$A$2:$B$374,2,FALSE),"")</f>
        <v/>
      </c>
      <c r="K280" s="10">
        <f t="shared" si="4"/>
        <v>0</v>
      </c>
    </row>
    <row r="281" spans="1:11">
      <c r="A281" t="s">
        <v>2470</v>
      </c>
      <c r="B281" s="10">
        <v>2019</v>
      </c>
      <c r="C281" t="s">
        <v>89</v>
      </c>
      <c r="D281" t="s">
        <v>2472</v>
      </c>
      <c r="E281" t="s">
        <v>2474</v>
      </c>
      <c r="F281" t="s">
        <v>36</v>
      </c>
      <c r="G281" t="s">
        <v>1542</v>
      </c>
      <c r="H281" s="10"/>
      <c r="I281" t="str">
        <f>IFERROR(VLOOKUP(Final!F281,'LEAID Match'!$A$2:$B$374,2,FALSE),"")</f>
        <v/>
      </c>
      <c r="K281" s="10">
        <f t="shared" si="4"/>
        <v>0</v>
      </c>
    </row>
    <row r="282" spans="1:11">
      <c r="A282" t="s">
        <v>2470</v>
      </c>
      <c r="B282" s="10">
        <v>2015</v>
      </c>
      <c r="C282" t="s">
        <v>1399</v>
      </c>
      <c r="D282" t="s">
        <v>2472</v>
      </c>
      <c r="E282" t="s">
        <v>2474</v>
      </c>
      <c r="F282" t="s">
        <v>234</v>
      </c>
      <c r="G282" t="s">
        <v>234</v>
      </c>
      <c r="H282" s="10">
        <v>134783</v>
      </c>
      <c r="I282" t="str">
        <f>IFERROR(VLOOKUP(Final!F282,'LEAID Match'!$A$2:$B$374,2,FALSE),"")</f>
        <v/>
      </c>
      <c r="K282" s="10">
        <f t="shared" si="4"/>
        <v>134783</v>
      </c>
    </row>
    <row r="283" spans="1:11">
      <c r="A283" t="s">
        <v>2470</v>
      </c>
      <c r="B283" s="10">
        <v>2016</v>
      </c>
      <c r="C283" t="s">
        <v>1399</v>
      </c>
      <c r="D283" t="s">
        <v>2472</v>
      </c>
      <c r="E283" t="s">
        <v>2474</v>
      </c>
      <c r="F283" t="s">
        <v>234</v>
      </c>
      <c r="G283" t="s">
        <v>234</v>
      </c>
      <c r="H283" s="10">
        <v>139402</v>
      </c>
      <c r="I283" t="str">
        <f>IFERROR(VLOOKUP(Final!F283,'LEAID Match'!$A$2:$B$374,2,FALSE),"")</f>
        <v/>
      </c>
      <c r="K283" s="10">
        <f t="shared" si="4"/>
        <v>139402</v>
      </c>
    </row>
    <row r="284" spans="1:11">
      <c r="A284" t="s">
        <v>2470</v>
      </c>
      <c r="B284" s="10">
        <v>2017</v>
      </c>
      <c r="C284" t="s">
        <v>1399</v>
      </c>
      <c r="D284" t="s">
        <v>2472</v>
      </c>
      <c r="E284" t="s">
        <v>2474</v>
      </c>
      <c r="F284" t="s">
        <v>234</v>
      </c>
      <c r="G284" t="s">
        <v>234</v>
      </c>
      <c r="H284" s="10">
        <v>139823</v>
      </c>
      <c r="I284" t="str">
        <f>IFERROR(VLOOKUP(Final!F284,'LEAID Match'!$A$2:$B$374,2,FALSE),"")</f>
        <v/>
      </c>
      <c r="K284" s="10">
        <f t="shared" si="4"/>
        <v>139823</v>
      </c>
    </row>
    <row r="285" spans="1:11">
      <c r="A285" t="s">
        <v>2470</v>
      </c>
      <c r="B285" s="10">
        <v>2018</v>
      </c>
      <c r="C285" t="s">
        <v>1399</v>
      </c>
      <c r="D285" t="s">
        <v>2472</v>
      </c>
      <c r="E285" t="s">
        <v>2474</v>
      </c>
      <c r="F285" t="s">
        <v>234</v>
      </c>
      <c r="G285" t="s">
        <v>234</v>
      </c>
      <c r="H285" s="10">
        <v>71541</v>
      </c>
      <c r="I285" t="str">
        <f>IFERROR(VLOOKUP(Final!F285,'LEAID Match'!$A$2:$B$374,2,FALSE),"")</f>
        <v/>
      </c>
      <c r="K285" s="10">
        <f t="shared" si="4"/>
        <v>71541</v>
      </c>
    </row>
    <row r="286" spans="1:11">
      <c r="A286" t="s">
        <v>2470</v>
      </c>
      <c r="B286" s="10">
        <v>2019</v>
      </c>
      <c r="C286" t="s">
        <v>1399</v>
      </c>
      <c r="D286" t="s">
        <v>2472</v>
      </c>
      <c r="E286" t="s">
        <v>2474</v>
      </c>
      <c r="F286" t="s">
        <v>234</v>
      </c>
      <c r="G286" t="s">
        <v>234</v>
      </c>
      <c r="H286" s="10"/>
      <c r="I286" t="str">
        <f>IFERROR(VLOOKUP(Final!F286,'LEAID Match'!$A$2:$B$374,2,FALSE),"")</f>
        <v/>
      </c>
      <c r="K286" s="10">
        <f t="shared" si="4"/>
        <v>0</v>
      </c>
    </row>
    <row r="287" spans="1:11">
      <c r="A287" t="s">
        <v>2470</v>
      </c>
      <c r="B287" s="10">
        <v>2020</v>
      </c>
      <c r="C287" t="s">
        <v>1399</v>
      </c>
      <c r="D287" t="s">
        <v>2472</v>
      </c>
      <c r="E287" t="s">
        <v>2474</v>
      </c>
      <c r="F287" t="s">
        <v>234</v>
      </c>
      <c r="G287" t="s">
        <v>234</v>
      </c>
      <c r="H287" s="10"/>
      <c r="I287" t="str">
        <f>IFERROR(VLOOKUP(Final!F287,'LEAID Match'!$A$2:$B$374,2,FALSE),"")</f>
        <v/>
      </c>
      <c r="K287" s="10">
        <f t="shared" si="4"/>
        <v>0</v>
      </c>
    </row>
    <row r="288" spans="1:11">
      <c r="A288" t="s">
        <v>2470</v>
      </c>
      <c r="B288" s="10">
        <v>2021</v>
      </c>
      <c r="C288" t="s">
        <v>1399</v>
      </c>
      <c r="D288" t="s">
        <v>2472</v>
      </c>
      <c r="E288" t="s">
        <v>2474</v>
      </c>
      <c r="F288" t="s">
        <v>234</v>
      </c>
      <c r="G288" t="s">
        <v>234</v>
      </c>
      <c r="H288" s="10"/>
      <c r="I288" t="str">
        <f>IFERROR(VLOOKUP(Final!F288,'LEAID Match'!$A$2:$B$374,2,FALSE),"")</f>
        <v/>
      </c>
      <c r="K288" s="10">
        <f t="shared" si="4"/>
        <v>0</v>
      </c>
    </row>
    <row r="289" spans="1:11">
      <c r="A289" t="s">
        <v>2470</v>
      </c>
      <c r="B289" s="10">
        <v>2022</v>
      </c>
      <c r="C289" t="s">
        <v>1399</v>
      </c>
      <c r="D289" t="s">
        <v>2472</v>
      </c>
      <c r="E289" t="s">
        <v>2474</v>
      </c>
      <c r="F289" t="s">
        <v>234</v>
      </c>
      <c r="G289" t="s">
        <v>234</v>
      </c>
      <c r="H289" s="10"/>
      <c r="I289" t="str">
        <f>IFERROR(VLOOKUP(Final!F289,'LEAID Match'!$A$2:$B$374,2,FALSE),"")</f>
        <v/>
      </c>
      <c r="K289" s="10">
        <f t="shared" si="4"/>
        <v>0</v>
      </c>
    </row>
    <row r="290" spans="1:11">
      <c r="A290" t="s">
        <v>2470</v>
      </c>
      <c r="B290" s="10">
        <v>2023</v>
      </c>
      <c r="C290" t="s">
        <v>1399</v>
      </c>
      <c r="D290" t="s">
        <v>2472</v>
      </c>
      <c r="E290" t="s">
        <v>2474</v>
      </c>
      <c r="F290" t="s">
        <v>234</v>
      </c>
      <c r="G290" t="s">
        <v>234</v>
      </c>
      <c r="H290" s="10"/>
      <c r="I290" t="str">
        <f>IFERROR(VLOOKUP(Final!F290,'LEAID Match'!$A$2:$B$374,2,FALSE),"")</f>
        <v/>
      </c>
      <c r="K290" s="10">
        <f t="shared" si="4"/>
        <v>0</v>
      </c>
    </row>
    <row r="291" spans="1:11">
      <c r="A291" t="s">
        <v>2470</v>
      </c>
      <c r="B291" s="10">
        <v>2015</v>
      </c>
      <c r="C291" t="s">
        <v>187</v>
      </c>
      <c r="D291" t="s">
        <v>2472</v>
      </c>
      <c r="E291" t="s">
        <v>2474</v>
      </c>
      <c r="F291" t="s">
        <v>1542</v>
      </c>
      <c r="G291" t="s">
        <v>132</v>
      </c>
      <c r="H291" s="10">
        <v>249707</v>
      </c>
      <c r="I291" t="str">
        <f>IFERROR(VLOOKUP(Final!F291,'LEAID Match'!$A$2:$B$374,2,FALSE),"")</f>
        <v/>
      </c>
      <c r="K291" s="10">
        <f t="shared" si="4"/>
        <v>249707</v>
      </c>
    </row>
    <row r="292" spans="1:11">
      <c r="A292" t="s">
        <v>2470</v>
      </c>
      <c r="B292" s="10">
        <v>2016</v>
      </c>
      <c r="C292" t="s">
        <v>187</v>
      </c>
      <c r="D292" t="s">
        <v>2472</v>
      </c>
      <c r="E292" t="s">
        <v>2474</v>
      </c>
      <c r="F292" t="s">
        <v>1542</v>
      </c>
      <c r="G292" t="s">
        <v>132</v>
      </c>
      <c r="H292" s="10">
        <v>291664</v>
      </c>
      <c r="I292" t="str">
        <f>IFERROR(VLOOKUP(Final!F292,'LEAID Match'!$A$2:$B$374,2,FALSE),"")</f>
        <v/>
      </c>
      <c r="K292" s="10">
        <f t="shared" si="4"/>
        <v>291664</v>
      </c>
    </row>
    <row r="293" spans="1:11">
      <c r="A293" t="s">
        <v>2470</v>
      </c>
      <c r="B293" s="10">
        <v>2017</v>
      </c>
      <c r="C293" t="s">
        <v>187</v>
      </c>
      <c r="D293" t="s">
        <v>2472</v>
      </c>
      <c r="E293" t="s">
        <v>2474</v>
      </c>
      <c r="F293" t="s">
        <v>1542</v>
      </c>
      <c r="G293" t="s">
        <v>1542</v>
      </c>
      <c r="H293" s="10">
        <v>291341</v>
      </c>
      <c r="I293" t="str">
        <f>IFERROR(VLOOKUP(Final!F293,'LEAID Match'!$A$2:$B$374,2,FALSE),"")</f>
        <v/>
      </c>
      <c r="K293" s="10">
        <f t="shared" si="4"/>
        <v>291341</v>
      </c>
    </row>
    <row r="294" spans="1:11">
      <c r="A294" t="s">
        <v>2470</v>
      </c>
      <c r="B294" s="10">
        <v>2018</v>
      </c>
      <c r="C294" t="s">
        <v>187</v>
      </c>
      <c r="D294" t="s">
        <v>2472</v>
      </c>
      <c r="E294" t="s">
        <v>2474</v>
      </c>
      <c r="F294" t="s">
        <v>1542</v>
      </c>
      <c r="G294" t="s">
        <v>2074</v>
      </c>
      <c r="H294" s="10">
        <v>319270</v>
      </c>
      <c r="I294" t="str">
        <f>IFERROR(VLOOKUP(Final!F294,'LEAID Match'!$A$2:$B$374,2,FALSE),"")</f>
        <v/>
      </c>
      <c r="K294" s="10">
        <f t="shared" si="4"/>
        <v>319270</v>
      </c>
    </row>
    <row r="295" spans="1:11">
      <c r="A295" t="s">
        <v>2470</v>
      </c>
      <c r="B295" s="10">
        <v>2019</v>
      </c>
      <c r="C295" t="s">
        <v>187</v>
      </c>
      <c r="D295" t="s">
        <v>2472</v>
      </c>
      <c r="E295" t="s">
        <v>2474</v>
      </c>
      <c r="F295" t="s">
        <v>1542</v>
      </c>
      <c r="G295" t="s">
        <v>1542</v>
      </c>
      <c r="H295" s="10">
        <v>334596</v>
      </c>
      <c r="I295" t="str">
        <f>IFERROR(VLOOKUP(Final!F295,'LEAID Match'!$A$2:$B$374,2,FALSE),"")</f>
        <v/>
      </c>
      <c r="K295" s="10">
        <f t="shared" si="4"/>
        <v>334596</v>
      </c>
    </row>
    <row r="296" spans="1:11">
      <c r="A296" t="s">
        <v>2470</v>
      </c>
      <c r="B296" s="10">
        <v>2020</v>
      </c>
      <c r="C296" t="s">
        <v>187</v>
      </c>
      <c r="D296" t="s">
        <v>2472</v>
      </c>
      <c r="E296" t="s">
        <v>2474</v>
      </c>
      <c r="F296" t="s">
        <v>1542</v>
      </c>
      <c r="G296" t="s">
        <v>1542</v>
      </c>
      <c r="H296" s="10"/>
      <c r="I296" t="str">
        <f>IFERROR(VLOOKUP(Final!F296,'LEAID Match'!$A$2:$B$374,2,FALSE),"")</f>
        <v/>
      </c>
      <c r="K296" s="10">
        <f t="shared" si="4"/>
        <v>0</v>
      </c>
    </row>
    <row r="297" spans="1:11">
      <c r="A297" t="s">
        <v>2470</v>
      </c>
      <c r="B297" s="10">
        <v>2021</v>
      </c>
      <c r="C297" t="s">
        <v>187</v>
      </c>
      <c r="D297" t="s">
        <v>2472</v>
      </c>
      <c r="E297" t="s">
        <v>2474</v>
      </c>
      <c r="F297" t="s">
        <v>1542</v>
      </c>
      <c r="G297" t="s">
        <v>1542</v>
      </c>
      <c r="H297" s="10"/>
      <c r="I297" t="str">
        <f>IFERROR(VLOOKUP(Final!F297,'LEAID Match'!$A$2:$B$374,2,FALSE),"")</f>
        <v/>
      </c>
      <c r="K297" s="10">
        <f t="shared" si="4"/>
        <v>0</v>
      </c>
    </row>
    <row r="298" spans="1:11">
      <c r="A298" t="s">
        <v>2470</v>
      </c>
      <c r="B298" s="10">
        <v>2022</v>
      </c>
      <c r="C298" t="s">
        <v>187</v>
      </c>
      <c r="D298" t="s">
        <v>2472</v>
      </c>
      <c r="E298" t="s">
        <v>2474</v>
      </c>
      <c r="F298" t="s">
        <v>1542</v>
      </c>
      <c r="G298" t="s">
        <v>1542</v>
      </c>
      <c r="H298" s="10"/>
      <c r="I298" t="str">
        <f>IFERROR(VLOOKUP(Final!F298,'LEAID Match'!$A$2:$B$374,2,FALSE),"")</f>
        <v/>
      </c>
      <c r="K298" s="10">
        <f t="shared" si="4"/>
        <v>0</v>
      </c>
    </row>
    <row r="299" spans="1:11">
      <c r="A299" t="s">
        <v>2470</v>
      </c>
      <c r="B299" s="10">
        <v>2023</v>
      </c>
      <c r="C299" t="s">
        <v>187</v>
      </c>
      <c r="D299" t="s">
        <v>2472</v>
      </c>
      <c r="E299" t="s">
        <v>2474</v>
      </c>
      <c r="F299" t="s">
        <v>1542</v>
      </c>
      <c r="G299" t="s">
        <v>1542</v>
      </c>
      <c r="H299" s="10"/>
      <c r="I299" t="str">
        <f>IFERROR(VLOOKUP(Final!F299,'LEAID Match'!$A$2:$B$374,2,FALSE),"")</f>
        <v/>
      </c>
      <c r="K299" s="10">
        <f t="shared" si="4"/>
        <v>0</v>
      </c>
    </row>
    <row r="300" spans="1:11">
      <c r="A300" t="s">
        <v>2470</v>
      </c>
      <c r="B300" s="10">
        <v>2015</v>
      </c>
      <c r="C300" t="s">
        <v>90</v>
      </c>
      <c r="D300" t="s">
        <v>2472</v>
      </c>
      <c r="E300" t="s">
        <v>2474</v>
      </c>
      <c r="F300" t="s">
        <v>1590</v>
      </c>
      <c r="G300" t="s">
        <v>37</v>
      </c>
      <c r="H300" s="10">
        <v>18895</v>
      </c>
      <c r="I300" t="str">
        <f>IFERROR(VLOOKUP(Final!F300,'LEAID Match'!$A$2:$B$374,2,FALSE),"")</f>
        <v/>
      </c>
      <c r="K300" s="10">
        <f t="shared" si="4"/>
        <v>18895</v>
      </c>
    </row>
    <row r="301" spans="1:11">
      <c r="A301" t="s">
        <v>2470</v>
      </c>
      <c r="B301" s="10">
        <v>2016</v>
      </c>
      <c r="C301" t="s">
        <v>90</v>
      </c>
      <c r="D301" t="s">
        <v>2472</v>
      </c>
      <c r="E301" t="s">
        <v>2474</v>
      </c>
      <c r="F301" t="s">
        <v>1590</v>
      </c>
      <c r="G301" t="s">
        <v>37</v>
      </c>
      <c r="H301" s="10">
        <v>18701</v>
      </c>
      <c r="I301" t="str">
        <f>IFERROR(VLOOKUP(Final!F301,'LEAID Match'!$A$2:$B$374,2,FALSE),"")</f>
        <v/>
      </c>
      <c r="K301" s="10">
        <f t="shared" si="4"/>
        <v>18701</v>
      </c>
    </row>
    <row r="302" spans="1:11">
      <c r="A302" t="s">
        <v>2470</v>
      </c>
      <c r="B302" s="10">
        <v>2017</v>
      </c>
      <c r="C302" t="s">
        <v>90</v>
      </c>
      <c r="D302" t="s">
        <v>2472</v>
      </c>
      <c r="E302" t="s">
        <v>2474</v>
      </c>
      <c r="F302" t="s">
        <v>1590</v>
      </c>
      <c r="G302" t="s">
        <v>1590</v>
      </c>
      <c r="H302" s="10">
        <v>17251</v>
      </c>
      <c r="I302" t="str">
        <f>IFERROR(VLOOKUP(Final!F302,'LEAID Match'!$A$2:$B$374,2,FALSE),"")</f>
        <v/>
      </c>
      <c r="K302" s="10">
        <f t="shared" si="4"/>
        <v>17251</v>
      </c>
    </row>
    <row r="303" spans="1:11">
      <c r="A303" t="s">
        <v>2470</v>
      </c>
      <c r="B303" s="10">
        <v>2018</v>
      </c>
      <c r="C303" t="s">
        <v>90</v>
      </c>
      <c r="D303" t="s">
        <v>2472</v>
      </c>
      <c r="E303" t="s">
        <v>2474</v>
      </c>
      <c r="F303" t="s">
        <v>1590</v>
      </c>
      <c r="G303" t="s">
        <v>1590</v>
      </c>
      <c r="H303" s="10">
        <v>20225</v>
      </c>
      <c r="I303" t="str">
        <f>IFERROR(VLOOKUP(Final!F303,'LEAID Match'!$A$2:$B$374,2,FALSE),"")</f>
        <v/>
      </c>
      <c r="K303" s="10">
        <f t="shared" si="4"/>
        <v>20225</v>
      </c>
    </row>
    <row r="304" spans="1:11">
      <c r="A304" t="s">
        <v>2470</v>
      </c>
      <c r="B304" s="10">
        <v>2019</v>
      </c>
      <c r="C304" t="s">
        <v>90</v>
      </c>
      <c r="D304" t="s">
        <v>2472</v>
      </c>
      <c r="E304" t="s">
        <v>2474</v>
      </c>
      <c r="F304" t="s">
        <v>1590</v>
      </c>
      <c r="G304" t="s">
        <v>1590</v>
      </c>
      <c r="H304" s="10">
        <v>20876</v>
      </c>
      <c r="I304" t="str">
        <f>IFERROR(VLOOKUP(Final!F304,'LEAID Match'!$A$2:$B$374,2,FALSE),"")</f>
        <v/>
      </c>
      <c r="K304" s="10">
        <f t="shared" si="4"/>
        <v>20876</v>
      </c>
    </row>
    <row r="305" spans="1:11">
      <c r="A305" t="s">
        <v>2470</v>
      </c>
      <c r="B305" s="10">
        <v>2020</v>
      </c>
      <c r="C305" t="s">
        <v>90</v>
      </c>
      <c r="D305" t="s">
        <v>2472</v>
      </c>
      <c r="E305" t="s">
        <v>2474</v>
      </c>
      <c r="F305" t="s">
        <v>1590</v>
      </c>
      <c r="G305" t="s">
        <v>1590</v>
      </c>
      <c r="H305" s="10">
        <v>19266</v>
      </c>
      <c r="I305" t="str">
        <f>IFERROR(VLOOKUP(Final!F305,'LEAID Match'!$A$2:$B$374,2,FALSE),"")</f>
        <v/>
      </c>
      <c r="K305" s="10">
        <f t="shared" si="4"/>
        <v>19266</v>
      </c>
    </row>
    <row r="306" spans="1:11">
      <c r="A306" t="s">
        <v>2470</v>
      </c>
      <c r="B306" s="10">
        <v>2021</v>
      </c>
      <c r="C306" t="s">
        <v>90</v>
      </c>
      <c r="D306" t="s">
        <v>2472</v>
      </c>
      <c r="E306" t="s">
        <v>2474</v>
      </c>
      <c r="F306" t="s">
        <v>1590</v>
      </c>
      <c r="G306" t="s">
        <v>1590</v>
      </c>
      <c r="H306" s="10">
        <v>21435</v>
      </c>
      <c r="I306" t="str">
        <f>IFERROR(VLOOKUP(Final!F306,'LEAID Match'!$A$2:$B$374,2,FALSE),"")</f>
        <v/>
      </c>
      <c r="K306" s="10">
        <f t="shared" si="4"/>
        <v>21435</v>
      </c>
    </row>
    <row r="307" spans="1:11">
      <c r="A307" t="s">
        <v>2470</v>
      </c>
      <c r="B307" s="10">
        <v>2022</v>
      </c>
      <c r="C307" t="s">
        <v>90</v>
      </c>
      <c r="D307" t="s">
        <v>2472</v>
      </c>
      <c r="E307" t="s">
        <v>2474</v>
      </c>
      <c r="F307" t="s">
        <v>1590</v>
      </c>
      <c r="G307" t="s">
        <v>1590</v>
      </c>
      <c r="H307" s="10">
        <v>7776</v>
      </c>
      <c r="I307" t="str">
        <f>IFERROR(VLOOKUP(Final!F307,'LEAID Match'!$A$2:$B$374,2,FALSE),"")</f>
        <v/>
      </c>
      <c r="K307" s="10">
        <f t="shared" si="4"/>
        <v>7776</v>
      </c>
    </row>
    <row r="308" spans="1:11">
      <c r="A308" t="s">
        <v>2470</v>
      </c>
      <c r="B308" s="10">
        <v>2023</v>
      </c>
      <c r="C308" t="s">
        <v>90</v>
      </c>
      <c r="D308" t="s">
        <v>2472</v>
      </c>
      <c r="E308" t="s">
        <v>2474</v>
      </c>
      <c r="F308" t="s">
        <v>1590</v>
      </c>
      <c r="G308" t="s">
        <v>1590</v>
      </c>
      <c r="H308" s="10"/>
      <c r="I308" t="str">
        <f>IFERROR(VLOOKUP(Final!F308,'LEAID Match'!$A$2:$B$374,2,FALSE),"")</f>
        <v/>
      </c>
      <c r="K308" s="10">
        <f t="shared" si="4"/>
        <v>0</v>
      </c>
    </row>
    <row r="309" spans="1:11">
      <c r="A309" t="s">
        <v>2470</v>
      </c>
      <c r="B309" s="10">
        <v>2015</v>
      </c>
      <c r="C309" t="s">
        <v>87</v>
      </c>
      <c r="D309" t="s">
        <v>2472</v>
      </c>
      <c r="E309" t="s">
        <v>2474</v>
      </c>
      <c r="F309" t="s">
        <v>2357</v>
      </c>
      <c r="G309" t="s">
        <v>34</v>
      </c>
      <c r="H309" s="10">
        <v>72885</v>
      </c>
      <c r="I309" t="str">
        <f>IFERROR(VLOOKUP(Final!F309,'LEAID Match'!$A$2:$B$374,2,FALSE),"")</f>
        <v/>
      </c>
      <c r="K309" s="10">
        <f t="shared" si="4"/>
        <v>72885</v>
      </c>
    </row>
    <row r="310" spans="1:11">
      <c r="A310" t="s">
        <v>2470</v>
      </c>
      <c r="B310" s="10">
        <v>2016</v>
      </c>
      <c r="C310" t="s">
        <v>87</v>
      </c>
      <c r="D310" t="s">
        <v>2472</v>
      </c>
      <c r="E310" t="s">
        <v>2474</v>
      </c>
      <c r="F310" t="s">
        <v>2357</v>
      </c>
      <c r="G310" t="s">
        <v>1366</v>
      </c>
      <c r="H310" s="10">
        <v>83388</v>
      </c>
      <c r="I310" t="str">
        <f>IFERROR(VLOOKUP(Final!F310,'LEAID Match'!$A$2:$B$374,2,FALSE),"")</f>
        <v/>
      </c>
      <c r="K310" s="10">
        <f t="shared" si="4"/>
        <v>83388</v>
      </c>
    </row>
    <row r="311" spans="1:11">
      <c r="A311" t="s">
        <v>2470</v>
      </c>
      <c r="B311" s="10">
        <v>2017</v>
      </c>
      <c r="C311" t="s">
        <v>87</v>
      </c>
      <c r="D311" t="s">
        <v>2472</v>
      </c>
      <c r="E311" t="s">
        <v>2474</v>
      </c>
      <c r="F311" t="s">
        <v>2357</v>
      </c>
      <c r="G311" t="s">
        <v>1591</v>
      </c>
      <c r="H311" s="10">
        <v>86783</v>
      </c>
      <c r="I311" t="str">
        <f>IFERROR(VLOOKUP(Final!F311,'LEAID Match'!$A$2:$B$374,2,FALSE),"")</f>
        <v/>
      </c>
      <c r="K311" s="10">
        <f t="shared" si="4"/>
        <v>86783</v>
      </c>
    </row>
    <row r="312" spans="1:11">
      <c r="A312" t="s">
        <v>2470</v>
      </c>
      <c r="B312" s="10">
        <v>2018</v>
      </c>
      <c r="C312" t="s">
        <v>87</v>
      </c>
      <c r="D312" t="s">
        <v>2472</v>
      </c>
      <c r="E312" t="s">
        <v>2474</v>
      </c>
      <c r="F312" t="s">
        <v>2357</v>
      </c>
      <c r="G312" t="s">
        <v>2108</v>
      </c>
      <c r="H312" s="10">
        <v>75430</v>
      </c>
      <c r="I312" t="str">
        <f>IFERROR(VLOOKUP(Final!F312,'LEAID Match'!$A$2:$B$374,2,FALSE),"")</f>
        <v/>
      </c>
      <c r="K312" s="10">
        <f t="shared" si="4"/>
        <v>75430</v>
      </c>
    </row>
    <row r="313" spans="1:11">
      <c r="A313" t="s">
        <v>2470</v>
      </c>
      <c r="B313" s="10">
        <v>2019</v>
      </c>
      <c r="C313" t="s">
        <v>87</v>
      </c>
      <c r="D313" t="s">
        <v>2472</v>
      </c>
      <c r="E313" t="s">
        <v>2474</v>
      </c>
      <c r="F313" t="s">
        <v>2357</v>
      </c>
      <c r="G313" t="s">
        <v>2357</v>
      </c>
      <c r="H313" s="10">
        <v>76914</v>
      </c>
      <c r="I313" t="str">
        <f>IFERROR(VLOOKUP(Final!F313,'LEAID Match'!$A$2:$B$374,2,FALSE),"")</f>
        <v/>
      </c>
      <c r="K313" s="10">
        <f t="shared" si="4"/>
        <v>76914</v>
      </c>
    </row>
    <row r="314" spans="1:11">
      <c r="A314" t="s">
        <v>2470</v>
      </c>
      <c r="B314" s="10">
        <v>2020</v>
      </c>
      <c r="C314" t="s">
        <v>87</v>
      </c>
      <c r="D314" t="s">
        <v>2472</v>
      </c>
      <c r="E314" t="s">
        <v>2474</v>
      </c>
      <c r="F314" t="s">
        <v>2357</v>
      </c>
      <c r="G314" t="s">
        <v>1591</v>
      </c>
      <c r="H314" s="10">
        <v>89702</v>
      </c>
      <c r="I314" t="str">
        <f>IFERROR(VLOOKUP(Final!F314,'LEAID Match'!$A$2:$B$374,2,FALSE),"")</f>
        <v/>
      </c>
      <c r="K314" s="10">
        <f t="shared" si="4"/>
        <v>89702</v>
      </c>
    </row>
    <row r="315" spans="1:11">
      <c r="A315" t="s">
        <v>2470</v>
      </c>
      <c r="B315" s="10">
        <v>2021</v>
      </c>
      <c r="C315" t="s">
        <v>87</v>
      </c>
      <c r="D315" t="s">
        <v>2472</v>
      </c>
      <c r="E315" t="s">
        <v>2474</v>
      </c>
      <c r="F315" t="s">
        <v>2357</v>
      </c>
      <c r="G315" t="s">
        <v>1591</v>
      </c>
      <c r="H315" s="10">
        <v>109522</v>
      </c>
      <c r="I315" t="str">
        <f>IFERROR(VLOOKUP(Final!F315,'LEAID Match'!$A$2:$B$374,2,FALSE),"")</f>
        <v/>
      </c>
      <c r="K315" s="10">
        <f t="shared" si="4"/>
        <v>109522</v>
      </c>
    </row>
    <row r="316" spans="1:11">
      <c r="A316" t="s">
        <v>2470</v>
      </c>
      <c r="B316" s="10">
        <v>2022</v>
      </c>
      <c r="C316" t="s">
        <v>87</v>
      </c>
      <c r="D316" t="s">
        <v>2472</v>
      </c>
      <c r="E316" t="s">
        <v>2474</v>
      </c>
      <c r="F316" t="s">
        <v>2357</v>
      </c>
      <c r="G316" t="s">
        <v>1591</v>
      </c>
      <c r="H316" s="10">
        <v>107181</v>
      </c>
      <c r="I316" t="str">
        <f>IFERROR(VLOOKUP(Final!F316,'LEAID Match'!$A$2:$B$374,2,FALSE),"")</f>
        <v/>
      </c>
      <c r="K316" s="10">
        <f t="shared" si="4"/>
        <v>107181</v>
      </c>
    </row>
    <row r="317" spans="1:11">
      <c r="A317" t="s">
        <v>2470</v>
      </c>
      <c r="B317" s="10">
        <v>2023</v>
      </c>
      <c r="C317" t="s">
        <v>87</v>
      </c>
      <c r="D317" t="s">
        <v>2472</v>
      </c>
      <c r="E317" t="s">
        <v>2474</v>
      </c>
      <c r="F317" t="s">
        <v>2357</v>
      </c>
      <c r="G317" t="s">
        <v>2357</v>
      </c>
      <c r="H317" s="10">
        <v>126983</v>
      </c>
      <c r="I317" t="str">
        <f>IFERROR(VLOOKUP(Final!F317,'LEAID Match'!$A$2:$B$374,2,FALSE),"")</f>
        <v/>
      </c>
      <c r="K317" s="10">
        <f t="shared" si="4"/>
        <v>126983</v>
      </c>
    </row>
    <row r="318" spans="1:11">
      <c r="A318" t="s">
        <v>2470</v>
      </c>
      <c r="B318" s="10">
        <v>2015</v>
      </c>
      <c r="C318" t="s">
        <v>91</v>
      </c>
      <c r="D318" t="s">
        <v>2472</v>
      </c>
      <c r="E318" t="s">
        <v>2474</v>
      </c>
      <c r="F318" t="s">
        <v>1511</v>
      </c>
      <c r="G318" t="s">
        <v>38</v>
      </c>
      <c r="H318" s="10">
        <v>17475</v>
      </c>
      <c r="I318" t="str">
        <f>IFERROR(VLOOKUP(Final!F318,'LEAID Match'!$A$2:$B$374,2,FALSE),"")</f>
        <v/>
      </c>
      <c r="K318" s="10">
        <f t="shared" si="4"/>
        <v>17475</v>
      </c>
    </row>
    <row r="319" spans="1:11">
      <c r="A319" t="s">
        <v>2470</v>
      </c>
      <c r="B319" s="10">
        <v>2016</v>
      </c>
      <c r="C319" t="s">
        <v>91</v>
      </c>
      <c r="D319" t="s">
        <v>2472</v>
      </c>
      <c r="E319" t="s">
        <v>2474</v>
      </c>
      <c r="F319" t="s">
        <v>1511</v>
      </c>
      <c r="G319" t="s">
        <v>1368</v>
      </c>
      <c r="H319" s="10">
        <v>13837</v>
      </c>
      <c r="I319" t="str">
        <f>IFERROR(VLOOKUP(Final!F319,'LEAID Match'!$A$2:$B$374,2,FALSE),"")</f>
        <v/>
      </c>
      <c r="K319" s="10">
        <f t="shared" si="4"/>
        <v>13837</v>
      </c>
    </row>
    <row r="320" spans="1:11">
      <c r="A320" t="s">
        <v>2470</v>
      </c>
      <c r="B320" s="10">
        <v>2017</v>
      </c>
      <c r="C320" t="s">
        <v>91</v>
      </c>
      <c r="D320" t="s">
        <v>2472</v>
      </c>
      <c r="E320" t="s">
        <v>2474</v>
      </c>
      <c r="F320" t="s">
        <v>1511</v>
      </c>
      <c r="G320" t="s">
        <v>1511</v>
      </c>
      <c r="H320" s="10">
        <v>19694</v>
      </c>
      <c r="I320" t="str">
        <f>IFERROR(VLOOKUP(Final!F320,'LEAID Match'!$A$2:$B$374,2,FALSE),"")</f>
        <v/>
      </c>
      <c r="K320" s="10">
        <f t="shared" si="4"/>
        <v>19694</v>
      </c>
    </row>
    <row r="321" spans="1:11">
      <c r="A321" t="s">
        <v>2470</v>
      </c>
      <c r="B321" s="10">
        <v>2018</v>
      </c>
      <c r="C321" t="s">
        <v>91</v>
      </c>
      <c r="D321" t="s">
        <v>2472</v>
      </c>
      <c r="E321" t="s">
        <v>2474</v>
      </c>
      <c r="F321" t="s">
        <v>1511</v>
      </c>
      <c r="G321" t="s">
        <v>2055</v>
      </c>
      <c r="H321" s="10">
        <v>20229</v>
      </c>
      <c r="I321" t="str">
        <f>IFERROR(VLOOKUP(Final!F321,'LEAID Match'!$A$2:$B$374,2,FALSE),"")</f>
        <v/>
      </c>
      <c r="K321" s="10">
        <f t="shared" si="4"/>
        <v>20229</v>
      </c>
    </row>
    <row r="322" spans="1:11">
      <c r="A322" t="s">
        <v>2470</v>
      </c>
      <c r="B322" s="10">
        <v>2019</v>
      </c>
      <c r="C322" t="s">
        <v>91</v>
      </c>
      <c r="D322" t="s">
        <v>2472</v>
      </c>
      <c r="E322" t="s">
        <v>2474</v>
      </c>
      <c r="F322" t="s">
        <v>1511</v>
      </c>
      <c r="G322" t="s">
        <v>1511</v>
      </c>
      <c r="H322" s="10">
        <v>18740</v>
      </c>
      <c r="I322" t="str">
        <f>IFERROR(VLOOKUP(Final!F322,'LEAID Match'!$A$2:$B$374,2,FALSE),"")</f>
        <v/>
      </c>
      <c r="K322" s="10">
        <f t="shared" si="4"/>
        <v>18740</v>
      </c>
    </row>
    <row r="323" spans="1:11">
      <c r="A323" t="s">
        <v>2470</v>
      </c>
      <c r="B323" s="10">
        <v>2020</v>
      </c>
      <c r="C323" t="s">
        <v>91</v>
      </c>
      <c r="D323" t="s">
        <v>2472</v>
      </c>
      <c r="E323" t="s">
        <v>2474</v>
      </c>
      <c r="F323" t="s">
        <v>1511</v>
      </c>
      <c r="G323" t="s">
        <v>1511</v>
      </c>
      <c r="H323" s="10">
        <v>19592</v>
      </c>
      <c r="I323" t="str">
        <f>IFERROR(VLOOKUP(Final!F323,'LEAID Match'!$A$2:$B$374,2,FALSE),"")</f>
        <v/>
      </c>
      <c r="K323" s="10">
        <f t="shared" ref="K323:K386" si="5">SUM(H323,J323)</f>
        <v>19592</v>
      </c>
    </row>
    <row r="324" spans="1:11">
      <c r="A324" t="s">
        <v>2470</v>
      </c>
      <c r="B324" s="10">
        <v>2021</v>
      </c>
      <c r="C324" t="s">
        <v>91</v>
      </c>
      <c r="D324" t="s">
        <v>2472</v>
      </c>
      <c r="E324" t="s">
        <v>2474</v>
      </c>
      <c r="F324" t="s">
        <v>1511</v>
      </c>
      <c r="G324" t="s">
        <v>1511</v>
      </c>
      <c r="H324" s="10">
        <v>23945</v>
      </c>
      <c r="I324" t="str">
        <f>IFERROR(VLOOKUP(Final!F324,'LEAID Match'!$A$2:$B$374,2,FALSE),"")</f>
        <v/>
      </c>
      <c r="K324" s="10">
        <f t="shared" si="5"/>
        <v>23945</v>
      </c>
    </row>
    <row r="325" spans="1:11">
      <c r="A325" t="s">
        <v>2470</v>
      </c>
      <c r="B325" s="10">
        <v>2022</v>
      </c>
      <c r="C325" t="s">
        <v>91</v>
      </c>
      <c r="D325" t="s">
        <v>2472</v>
      </c>
      <c r="E325" t="s">
        <v>2474</v>
      </c>
      <c r="F325" t="s">
        <v>1511</v>
      </c>
      <c r="G325" t="s">
        <v>1511</v>
      </c>
      <c r="H325" s="10">
        <v>18489</v>
      </c>
      <c r="I325" t="str">
        <f>IFERROR(VLOOKUP(Final!F325,'LEAID Match'!$A$2:$B$374,2,FALSE),"")</f>
        <v/>
      </c>
      <c r="K325" s="10">
        <f t="shared" si="5"/>
        <v>18489</v>
      </c>
    </row>
    <row r="326" spans="1:11">
      <c r="A326" t="s">
        <v>2470</v>
      </c>
      <c r="B326" s="10">
        <v>2023</v>
      </c>
      <c r="C326" t="s">
        <v>91</v>
      </c>
      <c r="D326" t="s">
        <v>2472</v>
      </c>
      <c r="E326" t="s">
        <v>2474</v>
      </c>
      <c r="F326" t="s">
        <v>1511</v>
      </c>
      <c r="G326" t="s">
        <v>1511</v>
      </c>
      <c r="H326" s="10">
        <v>26765</v>
      </c>
      <c r="I326" t="str">
        <f>IFERROR(VLOOKUP(Final!F326,'LEAID Match'!$A$2:$B$374,2,FALSE),"")</f>
        <v/>
      </c>
      <c r="K326" s="10">
        <f t="shared" si="5"/>
        <v>26765</v>
      </c>
    </row>
    <row r="327" spans="1:11">
      <c r="A327" t="s">
        <v>2470</v>
      </c>
      <c r="B327" s="10">
        <v>2015</v>
      </c>
      <c r="C327" t="s">
        <v>210</v>
      </c>
      <c r="D327" t="s">
        <v>2472</v>
      </c>
      <c r="E327" t="s">
        <v>2474</v>
      </c>
      <c r="F327" t="s">
        <v>1515</v>
      </c>
      <c r="G327" t="s">
        <v>155</v>
      </c>
      <c r="H327" s="10"/>
      <c r="I327" t="str">
        <f>IFERROR(VLOOKUP(Final!F327,'LEAID Match'!$A$2:$B$374,2,FALSE),"")</f>
        <v/>
      </c>
      <c r="K327" s="10">
        <f t="shared" si="5"/>
        <v>0</v>
      </c>
    </row>
    <row r="328" spans="1:11">
      <c r="A328" t="s">
        <v>2470</v>
      </c>
      <c r="B328" s="10">
        <v>2016</v>
      </c>
      <c r="C328" t="s">
        <v>210</v>
      </c>
      <c r="D328" t="s">
        <v>2472</v>
      </c>
      <c r="E328" t="s">
        <v>2474</v>
      </c>
      <c r="F328" t="s">
        <v>1515</v>
      </c>
      <c r="G328" t="s">
        <v>155</v>
      </c>
      <c r="H328" s="10">
        <v>3450</v>
      </c>
      <c r="I328" t="str">
        <f>IFERROR(VLOOKUP(Final!F328,'LEAID Match'!$A$2:$B$374,2,FALSE),"")</f>
        <v/>
      </c>
      <c r="K328" s="10">
        <f t="shared" si="5"/>
        <v>3450</v>
      </c>
    </row>
    <row r="329" spans="1:11">
      <c r="A329" t="s">
        <v>2470</v>
      </c>
      <c r="B329" s="10">
        <v>2017</v>
      </c>
      <c r="C329" t="s">
        <v>210</v>
      </c>
      <c r="D329" t="s">
        <v>2472</v>
      </c>
      <c r="E329" t="s">
        <v>2474</v>
      </c>
      <c r="F329" t="s">
        <v>1515</v>
      </c>
      <c r="G329" t="s">
        <v>1515</v>
      </c>
      <c r="H329" s="10">
        <v>3268</v>
      </c>
      <c r="I329" t="str">
        <f>IFERROR(VLOOKUP(Final!F329,'LEAID Match'!$A$2:$B$374,2,FALSE),"")</f>
        <v/>
      </c>
      <c r="K329" s="10">
        <f t="shared" si="5"/>
        <v>3268</v>
      </c>
    </row>
    <row r="330" spans="1:11">
      <c r="A330" t="s">
        <v>2470</v>
      </c>
      <c r="B330" s="10">
        <v>2018</v>
      </c>
      <c r="C330" t="s">
        <v>210</v>
      </c>
      <c r="D330" t="s">
        <v>2472</v>
      </c>
      <c r="E330" t="s">
        <v>2474</v>
      </c>
      <c r="F330" t="s">
        <v>1515</v>
      </c>
      <c r="G330" t="s">
        <v>2057</v>
      </c>
      <c r="H330" s="10">
        <v>3300</v>
      </c>
      <c r="I330" t="str">
        <f>IFERROR(VLOOKUP(Final!F330,'LEAID Match'!$A$2:$B$374,2,FALSE),"")</f>
        <v/>
      </c>
      <c r="K330" s="10">
        <f t="shared" si="5"/>
        <v>3300</v>
      </c>
    </row>
    <row r="331" spans="1:11">
      <c r="A331" t="s">
        <v>2470</v>
      </c>
      <c r="B331" s="10">
        <v>2019</v>
      </c>
      <c r="C331" t="s">
        <v>210</v>
      </c>
      <c r="D331" t="s">
        <v>2472</v>
      </c>
      <c r="E331" t="s">
        <v>2474</v>
      </c>
      <c r="F331" t="s">
        <v>1515</v>
      </c>
      <c r="G331" t="s">
        <v>2349</v>
      </c>
      <c r="H331" s="10">
        <v>65</v>
      </c>
      <c r="I331" t="str">
        <f>IFERROR(VLOOKUP(Final!F331,'LEAID Match'!$A$2:$B$374,2,FALSE),"")</f>
        <v/>
      </c>
      <c r="K331" s="10">
        <f t="shared" si="5"/>
        <v>65</v>
      </c>
    </row>
    <row r="332" spans="1:11">
      <c r="A332" t="s">
        <v>2470</v>
      </c>
      <c r="B332" s="10">
        <v>2020</v>
      </c>
      <c r="C332" t="s">
        <v>210</v>
      </c>
      <c r="D332" t="s">
        <v>2472</v>
      </c>
      <c r="E332" t="s">
        <v>2474</v>
      </c>
      <c r="F332" t="s">
        <v>1515</v>
      </c>
      <c r="G332" t="s">
        <v>1515</v>
      </c>
      <c r="H332" s="10"/>
      <c r="I332" t="str">
        <f>IFERROR(VLOOKUP(Final!F332,'LEAID Match'!$A$2:$B$374,2,FALSE),"")</f>
        <v/>
      </c>
      <c r="K332" s="10">
        <f t="shared" si="5"/>
        <v>0</v>
      </c>
    </row>
    <row r="333" spans="1:11">
      <c r="A333" t="s">
        <v>2470</v>
      </c>
      <c r="B333" s="10">
        <v>2021</v>
      </c>
      <c r="C333" t="s">
        <v>210</v>
      </c>
      <c r="D333" t="s">
        <v>2472</v>
      </c>
      <c r="E333" t="s">
        <v>2474</v>
      </c>
      <c r="F333" t="s">
        <v>1515</v>
      </c>
      <c r="G333" t="s">
        <v>1515</v>
      </c>
      <c r="H333" s="10"/>
      <c r="I333" t="str">
        <f>IFERROR(VLOOKUP(Final!F333,'LEAID Match'!$A$2:$B$374,2,FALSE),"")</f>
        <v/>
      </c>
      <c r="K333" s="10">
        <f t="shared" si="5"/>
        <v>0</v>
      </c>
    </row>
    <row r="334" spans="1:11">
      <c r="A334" t="s">
        <v>2470</v>
      </c>
      <c r="B334" s="10">
        <v>2022</v>
      </c>
      <c r="C334" t="s">
        <v>210</v>
      </c>
      <c r="D334" t="s">
        <v>2472</v>
      </c>
      <c r="E334" t="s">
        <v>2474</v>
      </c>
      <c r="F334" t="s">
        <v>1515</v>
      </c>
      <c r="G334" t="s">
        <v>1515</v>
      </c>
      <c r="H334" s="10"/>
      <c r="I334" t="str">
        <f>IFERROR(VLOOKUP(Final!F334,'LEAID Match'!$A$2:$B$374,2,FALSE),"")</f>
        <v/>
      </c>
      <c r="K334" s="10">
        <f t="shared" si="5"/>
        <v>0</v>
      </c>
    </row>
    <row r="335" spans="1:11">
      <c r="A335" t="s">
        <v>2470</v>
      </c>
      <c r="B335" s="10">
        <v>2023</v>
      </c>
      <c r="C335" t="s">
        <v>210</v>
      </c>
      <c r="D335" t="s">
        <v>2472</v>
      </c>
      <c r="E335" t="s">
        <v>2474</v>
      </c>
      <c r="F335" t="s">
        <v>1515</v>
      </c>
      <c r="G335" t="s">
        <v>1515</v>
      </c>
      <c r="H335" s="10"/>
      <c r="I335" t="str">
        <f>IFERROR(VLOOKUP(Final!F335,'LEAID Match'!$A$2:$B$374,2,FALSE),"")</f>
        <v/>
      </c>
      <c r="K335" s="10">
        <f t="shared" si="5"/>
        <v>0</v>
      </c>
    </row>
    <row r="336" spans="1:11">
      <c r="A336" t="s">
        <v>2470</v>
      </c>
      <c r="B336" s="10">
        <v>2015</v>
      </c>
      <c r="C336" t="s">
        <v>1400</v>
      </c>
      <c r="D336" t="s">
        <v>2472</v>
      </c>
      <c r="E336" t="s">
        <v>2474</v>
      </c>
      <c r="F336" t="s">
        <v>1581</v>
      </c>
      <c r="G336" t="s">
        <v>235</v>
      </c>
      <c r="H336" s="10">
        <v>467809</v>
      </c>
      <c r="I336" t="str">
        <f>IFERROR(VLOOKUP(Final!F336,'LEAID Match'!$A$2:$B$374,2,FALSE),"")</f>
        <v/>
      </c>
      <c r="K336" s="10">
        <f t="shared" si="5"/>
        <v>467809</v>
      </c>
    </row>
    <row r="337" spans="1:11">
      <c r="A337" t="s">
        <v>2470</v>
      </c>
      <c r="B337" s="10">
        <v>2016</v>
      </c>
      <c r="C337" t="s">
        <v>1400</v>
      </c>
      <c r="D337" t="s">
        <v>2472</v>
      </c>
      <c r="E337" t="s">
        <v>2474</v>
      </c>
      <c r="F337" t="s">
        <v>1581</v>
      </c>
      <c r="G337" t="s">
        <v>1384</v>
      </c>
      <c r="H337" s="10">
        <v>444044</v>
      </c>
      <c r="I337" t="str">
        <f>IFERROR(VLOOKUP(Final!F337,'LEAID Match'!$A$2:$B$374,2,FALSE),"")</f>
        <v/>
      </c>
      <c r="K337" s="10">
        <f t="shared" si="5"/>
        <v>444044</v>
      </c>
    </row>
    <row r="338" spans="1:11">
      <c r="A338" t="s">
        <v>2470</v>
      </c>
      <c r="B338" s="10">
        <v>2017</v>
      </c>
      <c r="C338" t="s">
        <v>1400</v>
      </c>
      <c r="D338" t="s">
        <v>2472</v>
      </c>
      <c r="E338" t="s">
        <v>2474</v>
      </c>
      <c r="F338" t="s">
        <v>1581</v>
      </c>
      <c r="G338" t="s">
        <v>1581</v>
      </c>
      <c r="H338" s="10">
        <v>490131</v>
      </c>
      <c r="I338" t="str">
        <f>IFERROR(VLOOKUP(Final!F338,'LEAID Match'!$A$2:$B$374,2,FALSE),"")</f>
        <v/>
      </c>
      <c r="K338" s="10">
        <f t="shared" si="5"/>
        <v>490131</v>
      </c>
    </row>
    <row r="339" spans="1:11">
      <c r="A339" t="s">
        <v>2470</v>
      </c>
      <c r="B339" s="10">
        <v>2018</v>
      </c>
      <c r="C339" t="s">
        <v>1400</v>
      </c>
      <c r="D339" t="s">
        <v>2472</v>
      </c>
      <c r="E339" t="s">
        <v>2474</v>
      </c>
      <c r="F339" t="s">
        <v>1581</v>
      </c>
      <c r="G339" t="s">
        <v>1581</v>
      </c>
      <c r="H339" s="10">
        <v>509021</v>
      </c>
      <c r="I339" t="str">
        <f>IFERROR(VLOOKUP(Final!F339,'LEAID Match'!$A$2:$B$374,2,FALSE),"")</f>
        <v/>
      </c>
      <c r="K339" s="10">
        <f t="shared" si="5"/>
        <v>509021</v>
      </c>
    </row>
    <row r="340" spans="1:11">
      <c r="A340" t="s">
        <v>2470</v>
      </c>
      <c r="B340" s="10">
        <v>2019</v>
      </c>
      <c r="C340" t="s">
        <v>1400</v>
      </c>
      <c r="D340" t="s">
        <v>2472</v>
      </c>
      <c r="E340" t="s">
        <v>2474</v>
      </c>
      <c r="F340" t="s">
        <v>1581</v>
      </c>
      <c r="G340" t="s">
        <v>1581</v>
      </c>
      <c r="H340" s="10">
        <v>540082</v>
      </c>
      <c r="I340" t="str">
        <f>IFERROR(VLOOKUP(Final!F340,'LEAID Match'!$A$2:$B$374,2,FALSE),"")</f>
        <v/>
      </c>
      <c r="K340" s="10">
        <f t="shared" si="5"/>
        <v>540082</v>
      </c>
    </row>
    <row r="341" spans="1:11">
      <c r="A341" t="s">
        <v>2470</v>
      </c>
      <c r="B341" s="10">
        <v>2020</v>
      </c>
      <c r="C341" t="s">
        <v>1400</v>
      </c>
      <c r="D341" t="s">
        <v>2472</v>
      </c>
      <c r="E341" t="s">
        <v>2474</v>
      </c>
      <c r="F341" t="s">
        <v>1581</v>
      </c>
      <c r="G341" t="s">
        <v>1581</v>
      </c>
      <c r="H341" s="10">
        <v>631035</v>
      </c>
      <c r="I341" t="str">
        <f>IFERROR(VLOOKUP(Final!F341,'LEAID Match'!$A$2:$B$374,2,FALSE),"")</f>
        <v/>
      </c>
      <c r="K341" s="10">
        <f t="shared" si="5"/>
        <v>631035</v>
      </c>
    </row>
    <row r="342" spans="1:11">
      <c r="A342" t="s">
        <v>2470</v>
      </c>
      <c r="B342" s="10">
        <v>2021</v>
      </c>
      <c r="C342" t="s">
        <v>1400</v>
      </c>
      <c r="D342" t="s">
        <v>2472</v>
      </c>
      <c r="E342" t="s">
        <v>2474</v>
      </c>
      <c r="F342" t="s">
        <v>1581</v>
      </c>
      <c r="G342" t="s">
        <v>1581</v>
      </c>
      <c r="H342" s="10">
        <v>699300</v>
      </c>
      <c r="I342" t="str">
        <f>IFERROR(VLOOKUP(Final!F342,'LEAID Match'!$A$2:$B$374,2,FALSE),"")</f>
        <v/>
      </c>
      <c r="K342" s="10">
        <f t="shared" si="5"/>
        <v>699300</v>
      </c>
    </row>
    <row r="343" spans="1:11">
      <c r="A343" t="s">
        <v>2470</v>
      </c>
      <c r="B343" s="10">
        <v>2022</v>
      </c>
      <c r="C343" t="s">
        <v>1400</v>
      </c>
      <c r="D343" t="s">
        <v>2472</v>
      </c>
      <c r="E343" t="s">
        <v>2474</v>
      </c>
      <c r="F343" t="s">
        <v>1581</v>
      </c>
      <c r="G343" t="s">
        <v>1581</v>
      </c>
      <c r="H343" s="10">
        <v>666866</v>
      </c>
      <c r="I343" t="str">
        <f>IFERROR(VLOOKUP(Final!F343,'LEAID Match'!$A$2:$B$374,2,FALSE),"")</f>
        <v/>
      </c>
      <c r="K343" s="10">
        <f t="shared" si="5"/>
        <v>666866</v>
      </c>
    </row>
    <row r="344" spans="1:11">
      <c r="A344" t="s">
        <v>2470</v>
      </c>
      <c r="B344" s="10">
        <v>2023</v>
      </c>
      <c r="C344" t="s">
        <v>1400</v>
      </c>
      <c r="D344" t="s">
        <v>2472</v>
      </c>
      <c r="E344" t="s">
        <v>2474</v>
      </c>
      <c r="F344" t="s">
        <v>1581</v>
      </c>
      <c r="G344" t="s">
        <v>1581</v>
      </c>
      <c r="H344" s="10">
        <v>721634</v>
      </c>
      <c r="I344" t="str">
        <f>IFERROR(VLOOKUP(Final!F344,'LEAID Match'!$A$2:$B$374,2,FALSE),"")</f>
        <v/>
      </c>
      <c r="K344" s="10">
        <f t="shared" si="5"/>
        <v>721634</v>
      </c>
    </row>
    <row r="345" spans="1:11">
      <c r="A345" t="s">
        <v>2470</v>
      </c>
      <c r="B345" s="10">
        <v>2015</v>
      </c>
      <c r="C345" t="s">
        <v>102</v>
      </c>
      <c r="D345" t="s">
        <v>2472</v>
      </c>
      <c r="E345" t="s">
        <v>2474</v>
      </c>
      <c r="F345" t="s">
        <v>1517</v>
      </c>
      <c r="G345" t="s">
        <v>48</v>
      </c>
      <c r="H345" s="10">
        <v>13309</v>
      </c>
      <c r="I345" t="str">
        <f>IFERROR(VLOOKUP(Final!F345,'LEAID Match'!$A$2:$B$374,2,FALSE),"")</f>
        <v/>
      </c>
      <c r="K345" s="10">
        <f t="shared" si="5"/>
        <v>13309</v>
      </c>
    </row>
    <row r="346" spans="1:11">
      <c r="A346" t="s">
        <v>2470</v>
      </c>
      <c r="B346" s="10">
        <v>2016</v>
      </c>
      <c r="C346" t="s">
        <v>102</v>
      </c>
      <c r="D346" t="s">
        <v>2472</v>
      </c>
      <c r="E346" t="s">
        <v>2474</v>
      </c>
      <c r="F346" t="s">
        <v>1517</v>
      </c>
      <c r="G346" t="s">
        <v>48</v>
      </c>
      <c r="H346" s="10">
        <v>12282</v>
      </c>
      <c r="I346" t="str">
        <f>IFERROR(VLOOKUP(Final!F346,'LEAID Match'!$A$2:$B$374,2,FALSE),"")</f>
        <v/>
      </c>
      <c r="K346" s="10">
        <f t="shared" si="5"/>
        <v>12282</v>
      </c>
    </row>
    <row r="347" spans="1:11">
      <c r="A347" t="s">
        <v>2470</v>
      </c>
      <c r="B347" s="10">
        <v>2017</v>
      </c>
      <c r="C347" t="s">
        <v>102</v>
      </c>
      <c r="D347" t="s">
        <v>2472</v>
      </c>
      <c r="E347" t="s">
        <v>2474</v>
      </c>
      <c r="F347" t="s">
        <v>1517</v>
      </c>
      <c r="G347" t="s">
        <v>1517</v>
      </c>
      <c r="H347" s="10">
        <v>13753</v>
      </c>
      <c r="I347" t="str">
        <f>IFERROR(VLOOKUP(Final!F347,'LEAID Match'!$A$2:$B$374,2,FALSE),"")</f>
        <v/>
      </c>
      <c r="K347" s="10">
        <f t="shared" si="5"/>
        <v>13753</v>
      </c>
    </row>
    <row r="348" spans="1:11">
      <c r="A348" t="s">
        <v>2470</v>
      </c>
      <c r="B348" s="10">
        <v>2018</v>
      </c>
      <c r="C348" t="s">
        <v>102</v>
      </c>
      <c r="D348" t="s">
        <v>2472</v>
      </c>
      <c r="E348" t="s">
        <v>2474</v>
      </c>
      <c r="F348" t="s">
        <v>1517</v>
      </c>
      <c r="G348" t="s">
        <v>2059</v>
      </c>
      <c r="H348" s="10">
        <v>13310</v>
      </c>
      <c r="I348" t="str">
        <f>IFERROR(VLOOKUP(Final!F348,'LEAID Match'!$A$2:$B$374,2,FALSE),"")</f>
        <v/>
      </c>
      <c r="K348" s="10">
        <f t="shared" si="5"/>
        <v>13310</v>
      </c>
    </row>
    <row r="349" spans="1:11">
      <c r="A349" t="s">
        <v>2470</v>
      </c>
      <c r="B349" s="10">
        <v>2019</v>
      </c>
      <c r="C349" t="s">
        <v>102</v>
      </c>
      <c r="D349" t="s">
        <v>2472</v>
      </c>
      <c r="E349" t="s">
        <v>2474</v>
      </c>
      <c r="F349" t="s">
        <v>1517</v>
      </c>
      <c r="G349" t="s">
        <v>1517</v>
      </c>
      <c r="H349" s="10">
        <v>13131</v>
      </c>
      <c r="I349" t="str">
        <f>IFERROR(VLOOKUP(Final!F349,'LEAID Match'!$A$2:$B$374,2,FALSE),"")</f>
        <v/>
      </c>
      <c r="K349" s="10">
        <f t="shared" si="5"/>
        <v>13131</v>
      </c>
    </row>
    <row r="350" spans="1:11">
      <c r="A350" t="s">
        <v>2470</v>
      </c>
      <c r="B350" s="10">
        <v>2020</v>
      </c>
      <c r="C350" t="s">
        <v>102</v>
      </c>
      <c r="D350" t="s">
        <v>2472</v>
      </c>
      <c r="E350" t="s">
        <v>2474</v>
      </c>
      <c r="F350" t="s">
        <v>1517</v>
      </c>
      <c r="G350" t="s">
        <v>1517</v>
      </c>
      <c r="H350" s="10">
        <v>13286</v>
      </c>
      <c r="I350" t="str">
        <f>IFERROR(VLOOKUP(Final!F350,'LEAID Match'!$A$2:$B$374,2,FALSE),"")</f>
        <v/>
      </c>
      <c r="K350" s="10">
        <f t="shared" si="5"/>
        <v>13286</v>
      </c>
    </row>
    <row r="351" spans="1:11">
      <c r="A351" t="s">
        <v>2470</v>
      </c>
      <c r="B351" s="10">
        <v>2021</v>
      </c>
      <c r="C351" t="s">
        <v>102</v>
      </c>
      <c r="D351" t="s">
        <v>2472</v>
      </c>
      <c r="E351" t="s">
        <v>2474</v>
      </c>
      <c r="F351" t="s">
        <v>1517</v>
      </c>
      <c r="G351" t="s">
        <v>1517</v>
      </c>
      <c r="H351" s="10">
        <v>13822</v>
      </c>
      <c r="I351" t="str">
        <f>IFERROR(VLOOKUP(Final!F351,'LEAID Match'!$A$2:$B$374,2,FALSE),"")</f>
        <v/>
      </c>
      <c r="K351" s="10">
        <f t="shared" si="5"/>
        <v>13822</v>
      </c>
    </row>
    <row r="352" spans="1:11">
      <c r="A352" t="s">
        <v>2470</v>
      </c>
      <c r="B352" s="10">
        <v>2022</v>
      </c>
      <c r="C352" t="s">
        <v>102</v>
      </c>
      <c r="D352" t="s">
        <v>2472</v>
      </c>
      <c r="E352" t="s">
        <v>2474</v>
      </c>
      <c r="F352" t="s">
        <v>1517</v>
      </c>
      <c r="G352" t="s">
        <v>1517</v>
      </c>
      <c r="H352" s="10">
        <v>12881</v>
      </c>
      <c r="I352" t="str">
        <f>IFERROR(VLOOKUP(Final!F352,'LEAID Match'!$A$2:$B$374,2,FALSE),"")</f>
        <v/>
      </c>
      <c r="K352" s="10">
        <f t="shared" si="5"/>
        <v>12881</v>
      </c>
    </row>
    <row r="353" spans="1:11">
      <c r="A353" t="s">
        <v>2470</v>
      </c>
      <c r="B353" s="10">
        <v>2023</v>
      </c>
      <c r="C353" t="s">
        <v>102</v>
      </c>
      <c r="D353" t="s">
        <v>2472</v>
      </c>
      <c r="E353" t="s">
        <v>2474</v>
      </c>
      <c r="F353" t="s">
        <v>1517</v>
      </c>
      <c r="G353" t="s">
        <v>1517</v>
      </c>
      <c r="H353" s="10">
        <v>17130</v>
      </c>
      <c r="I353" t="str">
        <f>IFERROR(VLOOKUP(Final!F353,'LEAID Match'!$A$2:$B$374,2,FALSE),"")</f>
        <v/>
      </c>
      <c r="K353" s="10">
        <f t="shared" si="5"/>
        <v>17130</v>
      </c>
    </row>
    <row r="354" spans="1:11">
      <c r="A354" t="s">
        <v>2470</v>
      </c>
      <c r="B354" s="10">
        <v>2015</v>
      </c>
      <c r="C354" t="s">
        <v>172</v>
      </c>
      <c r="D354" t="s">
        <v>2472</v>
      </c>
      <c r="E354" t="s">
        <v>2474</v>
      </c>
      <c r="F354" t="s">
        <v>117</v>
      </c>
      <c r="G354" t="s">
        <v>117</v>
      </c>
      <c r="H354" s="10">
        <v>1632964</v>
      </c>
      <c r="I354" t="str">
        <f>IFERROR(VLOOKUP(Final!F354,'LEAID Match'!$A$2:$B$374,2,FALSE),"")</f>
        <v/>
      </c>
      <c r="K354" s="10">
        <f t="shared" si="5"/>
        <v>1632964</v>
      </c>
    </row>
    <row r="355" spans="1:11">
      <c r="A355" t="s">
        <v>2470</v>
      </c>
      <c r="B355" s="10">
        <v>2016</v>
      </c>
      <c r="C355" t="s">
        <v>172</v>
      </c>
      <c r="D355" t="s">
        <v>2472</v>
      </c>
      <c r="E355" t="s">
        <v>2474</v>
      </c>
      <c r="F355" t="s">
        <v>117</v>
      </c>
      <c r="G355" t="s">
        <v>117</v>
      </c>
      <c r="H355" s="10">
        <v>1636270</v>
      </c>
      <c r="I355" t="str">
        <f>IFERROR(VLOOKUP(Final!F355,'LEAID Match'!$A$2:$B$374,2,FALSE),"")</f>
        <v/>
      </c>
      <c r="K355" s="10">
        <f t="shared" si="5"/>
        <v>1636270</v>
      </c>
    </row>
    <row r="356" spans="1:11">
      <c r="A356" t="s">
        <v>2470</v>
      </c>
      <c r="B356" s="10">
        <v>2017</v>
      </c>
      <c r="C356" t="s">
        <v>172</v>
      </c>
      <c r="D356" t="s">
        <v>2472</v>
      </c>
      <c r="E356" t="s">
        <v>2474</v>
      </c>
      <c r="F356" t="s">
        <v>117</v>
      </c>
      <c r="G356" t="s">
        <v>117</v>
      </c>
      <c r="H356" s="10">
        <v>1688737</v>
      </c>
      <c r="I356" t="str">
        <f>IFERROR(VLOOKUP(Final!F356,'LEAID Match'!$A$2:$B$374,2,FALSE),"")</f>
        <v/>
      </c>
      <c r="K356" s="10">
        <f t="shared" si="5"/>
        <v>1688737</v>
      </c>
    </row>
    <row r="357" spans="1:11">
      <c r="A357" t="s">
        <v>2470</v>
      </c>
      <c r="B357" s="10">
        <v>2018</v>
      </c>
      <c r="C357" t="s">
        <v>172</v>
      </c>
      <c r="D357" t="s">
        <v>2472</v>
      </c>
      <c r="E357" t="s">
        <v>2474</v>
      </c>
      <c r="F357" t="s">
        <v>117</v>
      </c>
      <c r="G357" t="s">
        <v>117</v>
      </c>
      <c r="H357" s="10">
        <v>1625598</v>
      </c>
      <c r="I357" t="str">
        <f>IFERROR(VLOOKUP(Final!F357,'LEAID Match'!$A$2:$B$374,2,FALSE),"")</f>
        <v/>
      </c>
      <c r="K357" s="10">
        <f t="shared" si="5"/>
        <v>1625598</v>
      </c>
    </row>
    <row r="358" spans="1:11">
      <c r="A358" t="s">
        <v>2470</v>
      </c>
      <c r="B358" s="10">
        <v>2019</v>
      </c>
      <c r="C358" t="s">
        <v>172</v>
      </c>
      <c r="D358" t="s">
        <v>2472</v>
      </c>
      <c r="E358" t="s">
        <v>2474</v>
      </c>
      <c r="F358" t="s">
        <v>117</v>
      </c>
      <c r="G358" t="s">
        <v>117</v>
      </c>
      <c r="H358" s="10">
        <v>1631957</v>
      </c>
      <c r="I358" t="str">
        <f>IFERROR(VLOOKUP(Final!F358,'LEAID Match'!$A$2:$B$374,2,FALSE),"")</f>
        <v/>
      </c>
      <c r="K358" s="10">
        <f t="shared" si="5"/>
        <v>1631957</v>
      </c>
    </row>
    <row r="359" spans="1:11">
      <c r="A359" t="s">
        <v>2470</v>
      </c>
      <c r="B359" s="10">
        <v>2020</v>
      </c>
      <c r="C359" t="s">
        <v>172</v>
      </c>
      <c r="D359" t="s">
        <v>2472</v>
      </c>
      <c r="E359" t="s">
        <v>2474</v>
      </c>
      <c r="F359" t="s">
        <v>117</v>
      </c>
      <c r="G359" t="s">
        <v>117</v>
      </c>
      <c r="H359" s="10">
        <v>1712509</v>
      </c>
      <c r="I359" t="str">
        <f>IFERROR(VLOOKUP(Final!F359,'LEAID Match'!$A$2:$B$374,2,FALSE),"")</f>
        <v/>
      </c>
      <c r="K359" s="10">
        <f t="shared" si="5"/>
        <v>1712509</v>
      </c>
    </row>
    <row r="360" spans="1:11">
      <c r="A360" t="s">
        <v>2470</v>
      </c>
      <c r="B360" s="10">
        <v>2021</v>
      </c>
      <c r="C360" t="s">
        <v>172</v>
      </c>
      <c r="D360" t="s">
        <v>2472</v>
      </c>
      <c r="E360" t="s">
        <v>2474</v>
      </c>
      <c r="F360" t="s">
        <v>117</v>
      </c>
      <c r="G360" t="s">
        <v>117</v>
      </c>
      <c r="H360" s="10">
        <v>1778260</v>
      </c>
      <c r="I360" t="str">
        <f>IFERROR(VLOOKUP(Final!F360,'LEAID Match'!$A$2:$B$374,2,FALSE),"")</f>
        <v/>
      </c>
      <c r="K360" s="10">
        <f t="shared" si="5"/>
        <v>1778260</v>
      </c>
    </row>
    <row r="361" spans="1:11">
      <c r="A361" t="s">
        <v>2470</v>
      </c>
      <c r="B361" s="10">
        <v>2022</v>
      </c>
      <c r="C361" t="s">
        <v>172</v>
      </c>
      <c r="D361" t="s">
        <v>2472</v>
      </c>
      <c r="E361" t="s">
        <v>2474</v>
      </c>
      <c r="F361" t="s">
        <v>117</v>
      </c>
      <c r="G361" t="s">
        <v>117</v>
      </c>
      <c r="H361" s="10">
        <v>1800499</v>
      </c>
      <c r="I361" t="str">
        <f>IFERROR(VLOOKUP(Final!F361,'LEAID Match'!$A$2:$B$374,2,FALSE),"")</f>
        <v/>
      </c>
      <c r="K361" s="10">
        <f t="shared" si="5"/>
        <v>1800499</v>
      </c>
    </row>
    <row r="362" spans="1:11">
      <c r="A362" t="s">
        <v>2470</v>
      </c>
      <c r="B362" s="10">
        <v>2023</v>
      </c>
      <c r="C362" t="s">
        <v>172</v>
      </c>
      <c r="D362" t="s">
        <v>2472</v>
      </c>
      <c r="E362" t="s">
        <v>2474</v>
      </c>
      <c r="F362" t="s">
        <v>117</v>
      </c>
      <c r="G362" t="s">
        <v>117</v>
      </c>
      <c r="H362" s="10">
        <v>2008934</v>
      </c>
      <c r="I362" t="str">
        <f>IFERROR(VLOOKUP(Final!F362,'LEAID Match'!$A$2:$B$374,2,FALSE),"")</f>
        <v/>
      </c>
      <c r="K362" s="10">
        <f t="shared" si="5"/>
        <v>2008934</v>
      </c>
    </row>
    <row r="363" spans="1:11">
      <c r="A363" t="s">
        <v>2470</v>
      </c>
      <c r="B363" s="10">
        <v>2015</v>
      </c>
      <c r="C363" t="s">
        <v>1401</v>
      </c>
      <c r="D363" t="s">
        <v>2472</v>
      </c>
      <c r="E363" t="s">
        <v>2474</v>
      </c>
      <c r="F363" t="s">
        <v>1582</v>
      </c>
      <c r="G363" t="s">
        <v>236</v>
      </c>
      <c r="H363" s="10">
        <v>56288</v>
      </c>
      <c r="I363" t="str">
        <f>IFERROR(VLOOKUP(Final!F363,'LEAID Match'!$A$2:$B$374,2,FALSE),"")</f>
        <v/>
      </c>
      <c r="K363" s="10">
        <f t="shared" si="5"/>
        <v>56288</v>
      </c>
    </row>
    <row r="364" spans="1:11">
      <c r="A364" t="s">
        <v>2470</v>
      </c>
      <c r="B364" s="10">
        <v>2016</v>
      </c>
      <c r="C364" t="s">
        <v>1401</v>
      </c>
      <c r="D364" t="s">
        <v>2472</v>
      </c>
      <c r="E364" t="s">
        <v>2474</v>
      </c>
      <c r="F364" t="s">
        <v>1582</v>
      </c>
      <c r="G364" t="s">
        <v>1385</v>
      </c>
      <c r="H364" s="10">
        <v>64989</v>
      </c>
      <c r="I364" t="str">
        <f>IFERROR(VLOOKUP(Final!F364,'LEAID Match'!$A$2:$B$374,2,FALSE),"")</f>
        <v/>
      </c>
      <c r="K364" s="10">
        <f t="shared" si="5"/>
        <v>64989</v>
      </c>
    </row>
    <row r="365" spans="1:11">
      <c r="A365" t="s">
        <v>2470</v>
      </c>
      <c r="B365" s="10">
        <v>2017</v>
      </c>
      <c r="C365" t="s">
        <v>1401</v>
      </c>
      <c r="D365" t="s">
        <v>2472</v>
      </c>
      <c r="E365" t="s">
        <v>2474</v>
      </c>
      <c r="F365" t="s">
        <v>1582</v>
      </c>
      <c r="G365" t="s">
        <v>1582</v>
      </c>
      <c r="H365" s="10">
        <v>72694</v>
      </c>
      <c r="I365" t="str">
        <f>IFERROR(VLOOKUP(Final!F365,'LEAID Match'!$A$2:$B$374,2,FALSE),"")</f>
        <v/>
      </c>
      <c r="K365" s="10">
        <f t="shared" si="5"/>
        <v>72694</v>
      </c>
    </row>
    <row r="366" spans="1:11">
      <c r="A366" t="s">
        <v>2470</v>
      </c>
      <c r="B366" s="10">
        <v>2018</v>
      </c>
      <c r="C366" t="s">
        <v>1401</v>
      </c>
      <c r="D366" t="s">
        <v>2472</v>
      </c>
      <c r="E366" t="s">
        <v>2474</v>
      </c>
      <c r="F366" t="s">
        <v>1582</v>
      </c>
      <c r="G366" t="s">
        <v>2103</v>
      </c>
      <c r="H366" s="10">
        <v>61175</v>
      </c>
      <c r="I366" t="str">
        <f>IFERROR(VLOOKUP(Final!F366,'LEAID Match'!$A$2:$B$374,2,FALSE),"")</f>
        <v/>
      </c>
      <c r="K366" s="10">
        <f t="shared" si="5"/>
        <v>61175</v>
      </c>
    </row>
    <row r="367" spans="1:11">
      <c r="A367" t="s">
        <v>2470</v>
      </c>
      <c r="B367" s="10">
        <v>2019</v>
      </c>
      <c r="C367" t="s">
        <v>1401</v>
      </c>
      <c r="D367" t="s">
        <v>2472</v>
      </c>
      <c r="E367" t="s">
        <v>2474</v>
      </c>
      <c r="F367" t="s">
        <v>1582</v>
      </c>
      <c r="G367" t="s">
        <v>1582</v>
      </c>
      <c r="H367" s="10">
        <v>61914</v>
      </c>
      <c r="I367" t="str">
        <f>IFERROR(VLOOKUP(Final!F367,'LEAID Match'!$A$2:$B$374,2,FALSE),"")</f>
        <v/>
      </c>
      <c r="K367" s="10">
        <f t="shared" si="5"/>
        <v>61914</v>
      </c>
    </row>
    <row r="368" spans="1:11">
      <c r="A368" t="s">
        <v>2470</v>
      </c>
      <c r="B368" s="10">
        <v>2020</v>
      </c>
      <c r="C368" t="s">
        <v>1401</v>
      </c>
      <c r="D368" t="s">
        <v>2472</v>
      </c>
      <c r="E368" t="s">
        <v>2474</v>
      </c>
      <c r="F368" t="s">
        <v>1582</v>
      </c>
      <c r="G368" t="s">
        <v>1582</v>
      </c>
      <c r="H368" s="10">
        <v>57333</v>
      </c>
      <c r="I368" t="str">
        <f>IFERROR(VLOOKUP(Final!F368,'LEAID Match'!$A$2:$B$374,2,FALSE),"")</f>
        <v/>
      </c>
      <c r="K368" s="10">
        <f t="shared" si="5"/>
        <v>57333</v>
      </c>
    </row>
    <row r="369" spans="1:11">
      <c r="A369" t="s">
        <v>2470</v>
      </c>
      <c r="B369" s="10">
        <v>2021</v>
      </c>
      <c r="C369" t="s">
        <v>1401</v>
      </c>
      <c r="D369" t="s">
        <v>2472</v>
      </c>
      <c r="E369" t="s">
        <v>2474</v>
      </c>
      <c r="F369" t="s">
        <v>1582</v>
      </c>
      <c r="G369" t="s">
        <v>1582</v>
      </c>
      <c r="H369" s="10">
        <v>62460</v>
      </c>
      <c r="I369" t="str">
        <f>IFERROR(VLOOKUP(Final!F369,'LEAID Match'!$A$2:$B$374,2,FALSE),"")</f>
        <v/>
      </c>
      <c r="K369" s="10">
        <f t="shared" si="5"/>
        <v>62460</v>
      </c>
    </row>
    <row r="370" spans="1:11">
      <c r="A370" t="s">
        <v>2470</v>
      </c>
      <c r="B370" s="10">
        <v>2022</v>
      </c>
      <c r="C370" t="s">
        <v>1401</v>
      </c>
      <c r="D370" t="s">
        <v>2472</v>
      </c>
      <c r="E370" t="s">
        <v>2474</v>
      </c>
      <c r="F370" t="s">
        <v>1582</v>
      </c>
      <c r="G370" t="s">
        <v>1582</v>
      </c>
      <c r="H370" s="10">
        <v>78762</v>
      </c>
      <c r="I370" t="str">
        <f>IFERROR(VLOOKUP(Final!F370,'LEAID Match'!$A$2:$B$374,2,FALSE),"")</f>
        <v/>
      </c>
      <c r="K370" s="10">
        <f t="shared" si="5"/>
        <v>78762</v>
      </c>
    </row>
    <row r="371" spans="1:11">
      <c r="A371" t="s">
        <v>2470</v>
      </c>
      <c r="B371" s="10">
        <v>2023</v>
      </c>
      <c r="C371" t="s">
        <v>1401</v>
      </c>
      <c r="D371" t="s">
        <v>2472</v>
      </c>
      <c r="E371" t="s">
        <v>2474</v>
      </c>
      <c r="F371" t="s">
        <v>1582</v>
      </c>
      <c r="G371" t="s">
        <v>1582</v>
      </c>
      <c r="H371" s="10">
        <v>79962</v>
      </c>
      <c r="I371" t="str">
        <f>IFERROR(VLOOKUP(Final!F371,'LEAID Match'!$A$2:$B$374,2,FALSE),"")</f>
        <v/>
      </c>
      <c r="K371" s="10">
        <f t="shared" si="5"/>
        <v>79962</v>
      </c>
    </row>
    <row r="372" spans="1:11">
      <c r="A372" t="s">
        <v>2470</v>
      </c>
      <c r="B372" s="10">
        <v>2015</v>
      </c>
      <c r="C372" t="s">
        <v>92</v>
      </c>
      <c r="D372" t="s">
        <v>2472</v>
      </c>
      <c r="E372" t="s">
        <v>2474</v>
      </c>
      <c r="F372" t="s">
        <v>2419</v>
      </c>
      <c r="G372" t="s">
        <v>39</v>
      </c>
      <c r="H372" s="10">
        <v>78339</v>
      </c>
      <c r="I372" t="str">
        <f>IFERROR(VLOOKUP(Final!F372,'LEAID Match'!$A$2:$B$374,2,FALSE),"")</f>
        <v/>
      </c>
      <c r="K372" s="10">
        <f t="shared" si="5"/>
        <v>78339</v>
      </c>
    </row>
    <row r="373" spans="1:11">
      <c r="A373" t="s">
        <v>2470</v>
      </c>
      <c r="B373" s="10">
        <v>2016</v>
      </c>
      <c r="C373" t="s">
        <v>92</v>
      </c>
      <c r="D373" t="s">
        <v>2472</v>
      </c>
      <c r="E373" t="s">
        <v>2474</v>
      </c>
      <c r="F373" t="s">
        <v>2419</v>
      </c>
      <c r="G373" t="s">
        <v>39</v>
      </c>
      <c r="H373" s="10">
        <v>74542</v>
      </c>
      <c r="I373" t="str">
        <f>IFERROR(VLOOKUP(Final!F373,'LEAID Match'!$A$2:$B$374,2,FALSE),"")</f>
        <v/>
      </c>
      <c r="K373" s="10">
        <f t="shared" si="5"/>
        <v>74542</v>
      </c>
    </row>
    <row r="374" spans="1:11">
      <c r="A374" t="s">
        <v>2470</v>
      </c>
      <c r="B374" s="10">
        <v>2017</v>
      </c>
      <c r="C374" t="s">
        <v>92</v>
      </c>
      <c r="D374" t="s">
        <v>2472</v>
      </c>
      <c r="E374" t="s">
        <v>2474</v>
      </c>
      <c r="F374" t="s">
        <v>2419</v>
      </c>
      <c r="G374" t="s">
        <v>1592</v>
      </c>
      <c r="H374" s="10">
        <v>89491</v>
      </c>
      <c r="I374" t="str">
        <f>IFERROR(VLOOKUP(Final!F374,'LEAID Match'!$A$2:$B$374,2,FALSE),"")</f>
        <v/>
      </c>
      <c r="K374" s="10">
        <f t="shared" si="5"/>
        <v>89491</v>
      </c>
    </row>
    <row r="375" spans="1:11">
      <c r="A375" t="s">
        <v>2470</v>
      </c>
      <c r="B375" s="10">
        <v>2018</v>
      </c>
      <c r="C375" t="s">
        <v>92</v>
      </c>
      <c r="D375" t="s">
        <v>2472</v>
      </c>
      <c r="E375" t="s">
        <v>2474</v>
      </c>
      <c r="F375" t="s">
        <v>2419</v>
      </c>
      <c r="G375" t="s">
        <v>1592</v>
      </c>
      <c r="H375" s="10">
        <v>80819</v>
      </c>
      <c r="I375" t="str">
        <f>IFERROR(VLOOKUP(Final!F375,'LEAID Match'!$A$2:$B$374,2,FALSE),"")</f>
        <v/>
      </c>
      <c r="K375" s="10">
        <f t="shared" si="5"/>
        <v>80819</v>
      </c>
    </row>
    <row r="376" spans="1:11">
      <c r="A376" t="s">
        <v>2470</v>
      </c>
      <c r="B376" s="10">
        <v>2019</v>
      </c>
      <c r="C376" t="s">
        <v>92</v>
      </c>
      <c r="D376" t="s">
        <v>2472</v>
      </c>
      <c r="E376" t="s">
        <v>2474</v>
      </c>
      <c r="F376" t="s">
        <v>2419</v>
      </c>
      <c r="G376" t="s">
        <v>1592</v>
      </c>
      <c r="H376" s="10">
        <v>79500</v>
      </c>
      <c r="I376" t="str">
        <f>IFERROR(VLOOKUP(Final!F376,'LEAID Match'!$A$2:$B$374,2,FALSE),"")</f>
        <v/>
      </c>
      <c r="K376" s="10">
        <f t="shared" si="5"/>
        <v>79500</v>
      </c>
    </row>
    <row r="377" spans="1:11">
      <c r="A377" t="s">
        <v>2470</v>
      </c>
      <c r="B377" s="10">
        <v>2020</v>
      </c>
      <c r="C377" t="s">
        <v>92</v>
      </c>
      <c r="D377" t="s">
        <v>2472</v>
      </c>
      <c r="E377" t="s">
        <v>2474</v>
      </c>
      <c r="F377" t="s">
        <v>2419</v>
      </c>
      <c r="G377" t="s">
        <v>1592</v>
      </c>
      <c r="H377" s="10">
        <v>82545</v>
      </c>
      <c r="I377" t="str">
        <f>IFERROR(VLOOKUP(Final!F377,'LEAID Match'!$A$2:$B$374,2,FALSE),"")</f>
        <v/>
      </c>
      <c r="K377" s="10">
        <f t="shared" si="5"/>
        <v>82545</v>
      </c>
    </row>
    <row r="378" spans="1:11">
      <c r="A378" t="s">
        <v>2470</v>
      </c>
      <c r="B378" s="10">
        <v>2021</v>
      </c>
      <c r="C378" t="s">
        <v>92</v>
      </c>
      <c r="D378" t="s">
        <v>2472</v>
      </c>
      <c r="E378" t="s">
        <v>2474</v>
      </c>
      <c r="F378" t="s">
        <v>2419</v>
      </c>
      <c r="G378" t="s">
        <v>2419</v>
      </c>
      <c r="H378" s="10">
        <v>82073</v>
      </c>
      <c r="I378" t="str">
        <f>IFERROR(VLOOKUP(Final!F378,'LEAID Match'!$A$2:$B$374,2,FALSE),"")</f>
        <v/>
      </c>
      <c r="K378" s="10">
        <f t="shared" si="5"/>
        <v>82073</v>
      </c>
    </row>
    <row r="379" spans="1:11">
      <c r="A379" t="s">
        <v>2470</v>
      </c>
      <c r="B379" s="10">
        <v>2022</v>
      </c>
      <c r="C379" t="s">
        <v>92</v>
      </c>
      <c r="D379" t="s">
        <v>2472</v>
      </c>
      <c r="E379" t="s">
        <v>2474</v>
      </c>
      <c r="F379" t="s">
        <v>2419</v>
      </c>
      <c r="G379" t="s">
        <v>2419</v>
      </c>
      <c r="H379" s="10">
        <v>81662</v>
      </c>
      <c r="I379" t="str">
        <f>IFERROR(VLOOKUP(Final!F379,'LEAID Match'!$A$2:$B$374,2,FALSE),"")</f>
        <v/>
      </c>
      <c r="K379" s="10">
        <f t="shared" si="5"/>
        <v>81662</v>
      </c>
    </row>
    <row r="380" spans="1:11">
      <c r="A380" t="s">
        <v>2470</v>
      </c>
      <c r="B380" s="10">
        <v>2023</v>
      </c>
      <c r="C380" t="s">
        <v>92</v>
      </c>
      <c r="D380" t="s">
        <v>2472</v>
      </c>
      <c r="E380" t="s">
        <v>2474</v>
      </c>
      <c r="F380" t="s">
        <v>2419</v>
      </c>
      <c r="G380" t="s">
        <v>2419</v>
      </c>
      <c r="H380" s="10">
        <v>138536</v>
      </c>
      <c r="I380" t="str">
        <f>IFERROR(VLOOKUP(Final!F380,'LEAID Match'!$A$2:$B$374,2,FALSE),"")</f>
        <v/>
      </c>
      <c r="K380" s="10">
        <f t="shared" si="5"/>
        <v>138536</v>
      </c>
    </row>
    <row r="381" spans="1:11">
      <c r="A381" t="s">
        <v>2470</v>
      </c>
      <c r="B381" s="10">
        <v>2015</v>
      </c>
      <c r="C381" t="s">
        <v>93</v>
      </c>
      <c r="D381" t="s">
        <v>2472</v>
      </c>
      <c r="E381" t="s">
        <v>2474</v>
      </c>
      <c r="F381" t="s">
        <v>1593</v>
      </c>
      <c r="G381" t="s">
        <v>40</v>
      </c>
      <c r="H381" s="10">
        <v>51991</v>
      </c>
      <c r="I381" t="str">
        <f>IFERROR(VLOOKUP(Final!F381,'LEAID Match'!$A$2:$B$374,2,FALSE),"")</f>
        <v/>
      </c>
      <c r="K381" s="10">
        <f t="shared" si="5"/>
        <v>51991</v>
      </c>
    </row>
    <row r="382" spans="1:11">
      <c r="A382" t="s">
        <v>2470</v>
      </c>
      <c r="B382" s="10">
        <v>2016</v>
      </c>
      <c r="C382" t="s">
        <v>93</v>
      </c>
      <c r="D382" t="s">
        <v>2472</v>
      </c>
      <c r="E382" t="s">
        <v>2474</v>
      </c>
      <c r="F382" t="s">
        <v>1593</v>
      </c>
      <c r="G382" t="s">
        <v>40</v>
      </c>
      <c r="H382" s="10">
        <v>52240</v>
      </c>
      <c r="I382" t="str">
        <f>IFERROR(VLOOKUP(Final!F382,'LEAID Match'!$A$2:$B$374,2,FALSE),"")</f>
        <v/>
      </c>
      <c r="K382" s="10">
        <f t="shared" si="5"/>
        <v>52240</v>
      </c>
    </row>
    <row r="383" spans="1:11">
      <c r="A383" t="s">
        <v>2470</v>
      </c>
      <c r="B383" s="10">
        <v>2017</v>
      </c>
      <c r="C383" t="s">
        <v>93</v>
      </c>
      <c r="D383" t="s">
        <v>2472</v>
      </c>
      <c r="E383" t="s">
        <v>2474</v>
      </c>
      <c r="F383" t="s">
        <v>1593</v>
      </c>
      <c r="G383" t="s">
        <v>1593</v>
      </c>
      <c r="H383" s="10">
        <v>55619</v>
      </c>
      <c r="I383" t="str">
        <f>IFERROR(VLOOKUP(Final!F383,'LEAID Match'!$A$2:$B$374,2,FALSE),"")</f>
        <v/>
      </c>
      <c r="K383" s="10">
        <f t="shared" si="5"/>
        <v>55619</v>
      </c>
    </row>
    <row r="384" spans="1:11">
      <c r="A384" t="s">
        <v>2470</v>
      </c>
      <c r="B384" s="10">
        <v>2018</v>
      </c>
      <c r="C384" t="s">
        <v>93</v>
      </c>
      <c r="D384" t="s">
        <v>2472</v>
      </c>
      <c r="E384" t="s">
        <v>2474</v>
      </c>
      <c r="F384" t="s">
        <v>1593</v>
      </c>
      <c r="G384" t="s">
        <v>2109</v>
      </c>
      <c r="H384" s="10">
        <v>54259</v>
      </c>
      <c r="I384" t="str">
        <f>IFERROR(VLOOKUP(Final!F384,'LEAID Match'!$A$2:$B$374,2,FALSE),"")</f>
        <v/>
      </c>
      <c r="K384" s="10">
        <f t="shared" si="5"/>
        <v>54259</v>
      </c>
    </row>
    <row r="385" spans="1:11">
      <c r="A385" t="s">
        <v>2470</v>
      </c>
      <c r="B385" s="10">
        <v>2019</v>
      </c>
      <c r="C385" t="s">
        <v>93</v>
      </c>
      <c r="D385" t="s">
        <v>2472</v>
      </c>
      <c r="E385" t="s">
        <v>2474</v>
      </c>
      <c r="F385" t="s">
        <v>1593</v>
      </c>
      <c r="G385" t="s">
        <v>1593</v>
      </c>
      <c r="H385" s="10">
        <v>43782</v>
      </c>
      <c r="I385" t="str">
        <f>IFERROR(VLOOKUP(Final!F385,'LEAID Match'!$A$2:$B$374,2,FALSE),"")</f>
        <v/>
      </c>
      <c r="K385" s="10">
        <f t="shared" si="5"/>
        <v>43782</v>
      </c>
    </row>
    <row r="386" spans="1:11">
      <c r="A386" t="s">
        <v>2470</v>
      </c>
      <c r="B386" s="10">
        <v>2020</v>
      </c>
      <c r="C386" t="s">
        <v>93</v>
      </c>
      <c r="D386" t="s">
        <v>2472</v>
      </c>
      <c r="E386" t="s">
        <v>2474</v>
      </c>
      <c r="F386" t="s">
        <v>1593</v>
      </c>
      <c r="G386" t="s">
        <v>1593</v>
      </c>
      <c r="H386" s="10">
        <v>58370</v>
      </c>
      <c r="I386" t="str">
        <f>IFERROR(VLOOKUP(Final!F386,'LEAID Match'!$A$2:$B$374,2,FALSE),"")</f>
        <v/>
      </c>
      <c r="K386" s="10">
        <f t="shared" si="5"/>
        <v>58370</v>
      </c>
    </row>
    <row r="387" spans="1:11">
      <c r="A387" t="s">
        <v>2470</v>
      </c>
      <c r="B387" s="10">
        <v>2021</v>
      </c>
      <c r="C387" t="s">
        <v>93</v>
      </c>
      <c r="D387" t="s">
        <v>2472</v>
      </c>
      <c r="E387" t="s">
        <v>2474</v>
      </c>
      <c r="F387" t="s">
        <v>1593</v>
      </c>
      <c r="G387" t="s">
        <v>1593</v>
      </c>
      <c r="H387" s="10">
        <v>59908</v>
      </c>
      <c r="I387" t="str">
        <f>IFERROR(VLOOKUP(Final!F387,'LEAID Match'!$A$2:$B$374,2,FALSE),"")</f>
        <v/>
      </c>
      <c r="K387" s="10">
        <f t="shared" ref="K387:K450" si="6">SUM(H387,J387)</f>
        <v>59908</v>
      </c>
    </row>
    <row r="388" spans="1:11">
      <c r="A388" t="s">
        <v>2470</v>
      </c>
      <c r="B388" s="10">
        <v>2022</v>
      </c>
      <c r="C388" t="s">
        <v>93</v>
      </c>
      <c r="D388" t="s">
        <v>2472</v>
      </c>
      <c r="E388" t="s">
        <v>2474</v>
      </c>
      <c r="F388" t="s">
        <v>1593</v>
      </c>
      <c r="G388" t="s">
        <v>1593</v>
      </c>
      <c r="H388" s="10">
        <v>76496</v>
      </c>
      <c r="I388" t="str">
        <f>IFERROR(VLOOKUP(Final!F388,'LEAID Match'!$A$2:$B$374,2,FALSE),"")</f>
        <v/>
      </c>
      <c r="K388" s="10">
        <f t="shared" si="6"/>
        <v>76496</v>
      </c>
    </row>
    <row r="389" spans="1:11">
      <c r="A389" t="s">
        <v>2470</v>
      </c>
      <c r="B389" s="10">
        <v>2023</v>
      </c>
      <c r="C389" t="s">
        <v>93</v>
      </c>
      <c r="D389" t="s">
        <v>2472</v>
      </c>
      <c r="E389" t="s">
        <v>2474</v>
      </c>
      <c r="F389" t="s">
        <v>1593</v>
      </c>
      <c r="G389" t="s">
        <v>1593</v>
      </c>
      <c r="H389" s="10">
        <v>86288</v>
      </c>
      <c r="I389" t="str">
        <f>IFERROR(VLOOKUP(Final!F389,'LEAID Match'!$A$2:$B$374,2,FALSE),"")</f>
        <v/>
      </c>
      <c r="K389" s="10">
        <f t="shared" si="6"/>
        <v>86288</v>
      </c>
    </row>
    <row r="390" spans="1:11">
      <c r="A390" t="s">
        <v>2470</v>
      </c>
      <c r="B390" s="10">
        <v>2015</v>
      </c>
      <c r="C390" t="s">
        <v>94</v>
      </c>
      <c r="D390" t="s">
        <v>2472</v>
      </c>
      <c r="E390" t="s">
        <v>2474</v>
      </c>
      <c r="F390" t="s">
        <v>2420</v>
      </c>
      <c r="G390" t="s">
        <v>41</v>
      </c>
      <c r="H390" s="10">
        <v>6950</v>
      </c>
      <c r="I390" t="str">
        <f>IFERROR(VLOOKUP(Final!F390,'LEAID Match'!$A$2:$B$374,2,FALSE),"")</f>
        <v/>
      </c>
      <c r="K390" s="10">
        <f t="shared" si="6"/>
        <v>6950</v>
      </c>
    </row>
    <row r="391" spans="1:11">
      <c r="A391" t="s">
        <v>2470</v>
      </c>
      <c r="B391" s="10">
        <v>2016</v>
      </c>
      <c r="C391" t="s">
        <v>94</v>
      </c>
      <c r="D391" t="s">
        <v>2472</v>
      </c>
      <c r="E391" t="s">
        <v>2474</v>
      </c>
      <c r="F391" t="s">
        <v>2420</v>
      </c>
      <c r="G391" t="s">
        <v>41</v>
      </c>
      <c r="H391" s="10">
        <v>7262</v>
      </c>
      <c r="I391" t="str">
        <f>IFERROR(VLOOKUP(Final!F391,'LEAID Match'!$A$2:$B$374,2,FALSE),"")</f>
        <v/>
      </c>
      <c r="K391" s="10">
        <f t="shared" si="6"/>
        <v>7262</v>
      </c>
    </row>
    <row r="392" spans="1:11">
      <c r="A392" t="s">
        <v>2470</v>
      </c>
      <c r="B392" s="10">
        <v>2017</v>
      </c>
      <c r="C392" t="s">
        <v>94</v>
      </c>
      <c r="D392" t="s">
        <v>2472</v>
      </c>
      <c r="E392" t="s">
        <v>2474</v>
      </c>
      <c r="F392" t="s">
        <v>2420</v>
      </c>
      <c r="G392" t="s">
        <v>1594</v>
      </c>
      <c r="H392" s="10">
        <v>7502</v>
      </c>
      <c r="I392" t="str">
        <f>IFERROR(VLOOKUP(Final!F392,'LEAID Match'!$A$2:$B$374,2,FALSE),"")</f>
        <v/>
      </c>
      <c r="K392" s="10">
        <f t="shared" si="6"/>
        <v>7502</v>
      </c>
    </row>
    <row r="393" spans="1:11">
      <c r="A393" t="s">
        <v>2470</v>
      </c>
      <c r="B393" s="10">
        <v>2018</v>
      </c>
      <c r="C393" t="s">
        <v>94</v>
      </c>
      <c r="D393" t="s">
        <v>2472</v>
      </c>
      <c r="E393" t="s">
        <v>2474</v>
      </c>
      <c r="F393" t="s">
        <v>2420</v>
      </c>
      <c r="G393" t="s">
        <v>2110</v>
      </c>
      <c r="H393" s="10">
        <v>8054</v>
      </c>
      <c r="I393" t="str">
        <f>IFERROR(VLOOKUP(Final!F393,'LEAID Match'!$A$2:$B$374,2,FALSE),"")</f>
        <v/>
      </c>
      <c r="K393" s="10">
        <f t="shared" si="6"/>
        <v>8054</v>
      </c>
    </row>
    <row r="394" spans="1:11">
      <c r="A394" t="s">
        <v>2470</v>
      </c>
      <c r="B394" s="10">
        <v>2019</v>
      </c>
      <c r="C394" t="s">
        <v>94</v>
      </c>
      <c r="D394" t="s">
        <v>2472</v>
      </c>
      <c r="E394" t="s">
        <v>2474</v>
      </c>
      <c r="F394" t="s">
        <v>2420</v>
      </c>
      <c r="G394" t="s">
        <v>1594</v>
      </c>
      <c r="H394" s="10">
        <v>8385</v>
      </c>
      <c r="I394" t="str">
        <f>IFERROR(VLOOKUP(Final!F394,'LEAID Match'!$A$2:$B$374,2,FALSE),"")</f>
        <v/>
      </c>
      <c r="K394" s="10">
        <f t="shared" si="6"/>
        <v>8385</v>
      </c>
    </row>
    <row r="395" spans="1:11">
      <c r="A395" t="s">
        <v>2470</v>
      </c>
      <c r="B395" s="10">
        <v>2020</v>
      </c>
      <c r="C395" t="s">
        <v>94</v>
      </c>
      <c r="D395" t="s">
        <v>2472</v>
      </c>
      <c r="E395" t="s">
        <v>2474</v>
      </c>
      <c r="F395" t="s">
        <v>2420</v>
      </c>
      <c r="G395" t="s">
        <v>1594</v>
      </c>
      <c r="H395" s="10">
        <v>8818</v>
      </c>
      <c r="I395" t="str">
        <f>IFERROR(VLOOKUP(Final!F395,'LEAID Match'!$A$2:$B$374,2,FALSE),"")</f>
        <v/>
      </c>
      <c r="K395" s="10">
        <f t="shared" si="6"/>
        <v>8818</v>
      </c>
    </row>
    <row r="396" spans="1:11">
      <c r="A396" t="s">
        <v>2470</v>
      </c>
      <c r="B396" s="10">
        <v>2021</v>
      </c>
      <c r="C396" t="s">
        <v>94</v>
      </c>
      <c r="D396" t="s">
        <v>2472</v>
      </c>
      <c r="E396" t="s">
        <v>2474</v>
      </c>
      <c r="F396" t="s">
        <v>2420</v>
      </c>
      <c r="G396" t="s">
        <v>2420</v>
      </c>
      <c r="H396" s="10">
        <v>9349</v>
      </c>
      <c r="I396" t="str">
        <f>IFERROR(VLOOKUP(Final!F396,'LEAID Match'!$A$2:$B$374,2,FALSE),"")</f>
        <v/>
      </c>
      <c r="K396" s="10">
        <f t="shared" si="6"/>
        <v>9349</v>
      </c>
    </row>
    <row r="397" spans="1:11">
      <c r="A397" t="s">
        <v>2470</v>
      </c>
      <c r="B397" s="10">
        <v>2022</v>
      </c>
      <c r="C397" t="s">
        <v>94</v>
      </c>
      <c r="D397" t="s">
        <v>2472</v>
      </c>
      <c r="E397" t="s">
        <v>2474</v>
      </c>
      <c r="F397" t="s">
        <v>2420</v>
      </c>
      <c r="G397" t="s">
        <v>2420</v>
      </c>
      <c r="H397" s="10">
        <v>9936</v>
      </c>
      <c r="I397" t="str">
        <f>IFERROR(VLOOKUP(Final!F397,'LEAID Match'!$A$2:$B$374,2,FALSE),"")</f>
        <v/>
      </c>
      <c r="K397" s="10">
        <f t="shared" si="6"/>
        <v>9936</v>
      </c>
    </row>
    <row r="398" spans="1:11">
      <c r="A398" t="s">
        <v>2470</v>
      </c>
      <c r="B398" s="10">
        <v>2023</v>
      </c>
      <c r="C398" t="s">
        <v>94</v>
      </c>
      <c r="D398" t="s">
        <v>2472</v>
      </c>
      <c r="E398" t="s">
        <v>2474</v>
      </c>
      <c r="F398" t="s">
        <v>2420</v>
      </c>
      <c r="G398" t="s">
        <v>2420</v>
      </c>
      <c r="H398" s="10">
        <v>10852</v>
      </c>
      <c r="I398" t="str">
        <f>IFERROR(VLOOKUP(Final!F398,'LEAID Match'!$A$2:$B$374,2,FALSE),"")</f>
        <v/>
      </c>
      <c r="K398" s="10">
        <f t="shared" si="6"/>
        <v>10852</v>
      </c>
    </row>
    <row r="399" spans="1:11">
      <c r="A399" t="s">
        <v>2470</v>
      </c>
      <c r="B399" s="10">
        <v>2015</v>
      </c>
      <c r="C399" t="s">
        <v>99</v>
      </c>
      <c r="D399" t="s">
        <v>2472</v>
      </c>
      <c r="E399" t="s">
        <v>2474</v>
      </c>
      <c r="F399" t="s">
        <v>1514</v>
      </c>
      <c r="G399" t="s">
        <v>45</v>
      </c>
      <c r="H399" s="10">
        <v>10634</v>
      </c>
      <c r="I399" t="str">
        <f>IFERROR(VLOOKUP(Final!F399,'LEAID Match'!$A$2:$B$374,2,FALSE),"")</f>
        <v/>
      </c>
      <c r="K399" s="10">
        <f t="shared" si="6"/>
        <v>10634</v>
      </c>
    </row>
    <row r="400" spans="1:11">
      <c r="A400" t="s">
        <v>2470</v>
      </c>
      <c r="B400" s="10">
        <v>2016</v>
      </c>
      <c r="C400" t="s">
        <v>99</v>
      </c>
      <c r="D400" t="s">
        <v>2472</v>
      </c>
      <c r="E400" t="s">
        <v>2474</v>
      </c>
      <c r="F400" t="s">
        <v>1514</v>
      </c>
      <c r="G400" t="s">
        <v>45</v>
      </c>
      <c r="H400" s="10">
        <v>10947</v>
      </c>
      <c r="I400" t="str">
        <f>IFERROR(VLOOKUP(Final!F400,'LEAID Match'!$A$2:$B$374,2,FALSE),"")</f>
        <v/>
      </c>
      <c r="K400" s="10">
        <f t="shared" si="6"/>
        <v>10947</v>
      </c>
    </row>
    <row r="401" spans="1:11">
      <c r="A401" t="s">
        <v>2470</v>
      </c>
      <c r="B401" s="10">
        <v>2017</v>
      </c>
      <c r="C401" t="s">
        <v>99</v>
      </c>
      <c r="D401" t="s">
        <v>2472</v>
      </c>
      <c r="E401" t="s">
        <v>2474</v>
      </c>
      <c r="F401" t="s">
        <v>1514</v>
      </c>
      <c r="G401" t="s">
        <v>1514</v>
      </c>
      <c r="H401" s="10">
        <v>11274</v>
      </c>
      <c r="I401" t="str">
        <f>IFERROR(VLOOKUP(Final!F401,'LEAID Match'!$A$2:$B$374,2,FALSE),"")</f>
        <v/>
      </c>
      <c r="K401" s="10">
        <f t="shared" si="6"/>
        <v>11274</v>
      </c>
    </row>
    <row r="402" spans="1:11">
      <c r="A402" t="s">
        <v>2470</v>
      </c>
      <c r="B402" s="10">
        <v>2018</v>
      </c>
      <c r="C402" t="s">
        <v>99</v>
      </c>
      <c r="D402" t="s">
        <v>2472</v>
      </c>
      <c r="E402" t="s">
        <v>2474</v>
      </c>
      <c r="F402" t="s">
        <v>1514</v>
      </c>
      <c r="G402" t="s">
        <v>2056</v>
      </c>
      <c r="H402" s="10">
        <v>15411</v>
      </c>
      <c r="I402" t="str">
        <f>IFERROR(VLOOKUP(Final!F402,'LEAID Match'!$A$2:$B$374,2,FALSE),"")</f>
        <v/>
      </c>
      <c r="K402" s="10">
        <f t="shared" si="6"/>
        <v>15411</v>
      </c>
    </row>
    <row r="403" spans="1:11">
      <c r="A403" t="s">
        <v>2470</v>
      </c>
      <c r="B403" s="10">
        <v>2019</v>
      </c>
      <c r="C403" t="s">
        <v>99</v>
      </c>
      <c r="D403" t="s">
        <v>2472</v>
      </c>
      <c r="E403" t="s">
        <v>2474</v>
      </c>
      <c r="F403" t="s">
        <v>1514</v>
      </c>
      <c r="G403" t="s">
        <v>1514</v>
      </c>
      <c r="H403" s="10">
        <v>18968</v>
      </c>
      <c r="I403" t="str">
        <f>IFERROR(VLOOKUP(Final!F403,'LEAID Match'!$A$2:$B$374,2,FALSE),"")</f>
        <v/>
      </c>
      <c r="K403" s="10">
        <f t="shared" si="6"/>
        <v>18968</v>
      </c>
    </row>
    <row r="404" spans="1:11">
      <c r="A404" t="s">
        <v>2470</v>
      </c>
      <c r="B404" s="10">
        <v>2020</v>
      </c>
      <c r="C404" t="s">
        <v>99</v>
      </c>
      <c r="D404" t="s">
        <v>2472</v>
      </c>
      <c r="E404" t="s">
        <v>2474</v>
      </c>
      <c r="F404" t="s">
        <v>1514</v>
      </c>
      <c r="G404" t="s">
        <v>1514</v>
      </c>
      <c r="H404" s="10">
        <v>18852</v>
      </c>
      <c r="I404" t="str">
        <f>IFERROR(VLOOKUP(Final!F404,'LEAID Match'!$A$2:$B$374,2,FALSE),"")</f>
        <v/>
      </c>
      <c r="K404" s="10">
        <f t="shared" si="6"/>
        <v>18852</v>
      </c>
    </row>
    <row r="405" spans="1:11">
      <c r="A405" t="s">
        <v>2470</v>
      </c>
      <c r="B405" s="10">
        <v>2021</v>
      </c>
      <c r="C405" t="s">
        <v>99</v>
      </c>
      <c r="D405" t="s">
        <v>2472</v>
      </c>
      <c r="E405" t="s">
        <v>2474</v>
      </c>
      <c r="F405" t="s">
        <v>1514</v>
      </c>
      <c r="G405" t="s">
        <v>1514</v>
      </c>
      <c r="H405" s="10">
        <v>18766</v>
      </c>
      <c r="I405" t="str">
        <f>IFERROR(VLOOKUP(Final!F405,'LEAID Match'!$A$2:$B$374,2,FALSE),"")</f>
        <v/>
      </c>
      <c r="K405" s="10">
        <f t="shared" si="6"/>
        <v>18766</v>
      </c>
    </row>
    <row r="406" spans="1:11">
      <c r="A406" t="s">
        <v>2470</v>
      </c>
      <c r="B406" s="10">
        <v>2022</v>
      </c>
      <c r="C406" t="s">
        <v>99</v>
      </c>
      <c r="D406" t="s">
        <v>2472</v>
      </c>
      <c r="E406" t="s">
        <v>2474</v>
      </c>
      <c r="F406" t="s">
        <v>1514</v>
      </c>
      <c r="G406" t="s">
        <v>1514</v>
      </c>
      <c r="H406" s="10">
        <v>16664</v>
      </c>
      <c r="I406" t="str">
        <f>IFERROR(VLOOKUP(Final!F406,'LEAID Match'!$A$2:$B$374,2,FALSE),"")</f>
        <v/>
      </c>
      <c r="K406" s="10">
        <f t="shared" si="6"/>
        <v>16664</v>
      </c>
    </row>
    <row r="407" spans="1:11">
      <c r="A407" t="s">
        <v>2470</v>
      </c>
      <c r="B407" s="10">
        <v>2023</v>
      </c>
      <c r="C407" t="s">
        <v>99</v>
      </c>
      <c r="D407" t="s">
        <v>2472</v>
      </c>
      <c r="E407" t="s">
        <v>2474</v>
      </c>
      <c r="F407" t="s">
        <v>1514</v>
      </c>
      <c r="G407" t="s">
        <v>1514</v>
      </c>
      <c r="H407" s="10">
        <v>26042</v>
      </c>
      <c r="I407" t="str">
        <f>IFERROR(VLOOKUP(Final!F407,'LEAID Match'!$A$2:$B$374,2,FALSE),"")</f>
        <v/>
      </c>
      <c r="K407" s="10">
        <f t="shared" si="6"/>
        <v>26042</v>
      </c>
    </row>
    <row r="408" spans="1:11">
      <c r="A408" t="s">
        <v>2470</v>
      </c>
      <c r="B408" s="10">
        <v>2015</v>
      </c>
      <c r="C408" t="s">
        <v>213</v>
      </c>
      <c r="D408" t="s">
        <v>2472</v>
      </c>
      <c r="E408" t="s">
        <v>2474</v>
      </c>
      <c r="F408" t="s">
        <v>158</v>
      </c>
      <c r="G408" t="s">
        <v>158</v>
      </c>
      <c r="H408" s="10">
        <v>1134350</v>
      </c>
      <c r="I408" t="str">
        <f>IFERROR(VLOOKUP(Final!F408,'LEAID Match'!$A$2:$B$374,2,FALSE),"")</f>
        <v/>
      </c>
      <c r="K408" s="10">
        <f t="shared" si="6"/>
        <v>1134350</v>
      </c>
    </row>
    <row r="409" spans="1:11">
      <c r="A409" t="s">
        <v>2470</v>
      </c>
      <c r="B409" s="10">
        <v>2016</v>
      </c>
      <c r="C409" t="s">
        <v>213</v>
      </c>
      <c r="D409" t="s">
        <v>2472</v>
      </c>
      <c r="E409" t="s">
        <v>2474</v>
      </c>
      <c r="F409" t="s">
        <v>158</v>
      </c>
      <c r="G409" t="s">
        <v>158</v>
      </c>
      <c r="H409" s="10">
        <v>1098946</v>
      </c>
      <c r="I409" t="str">
        <f>IFERROR(VLOOKUP(Final!F409,'LEAID Match'!$A$2:$B$374,2,FALSE),"")</f>
        <v/>
      </c>
      <c r="K409" s="10">
        <f t="shared" si="6"/>
        <v>1098946</v>
      </c>
    </row>
    <row r="410" spans="1:11">
      <c r="A410" t="s">
        <v>2470</v>
      </c>
      <c r="B410" s="10">
        <v>2017</v>
      </c>
      <c r="C410" t="s">
        <v>213</v>
      </c>
      <c r="D410" t="s">
        <v>2472</v>
      </c>
      <c r="E410" t="s">
        <v>2474</v>
      </c>
      <c r="F410" t="s">
        <v>158</v>
      </c>
      <c r="G410" t="s">
        <v>158</v>
      </c>
      <c r="H410" s="10">
        <v>1139533</v>
      </c>
      <c r="I410" t="str">
        <f>IFERROR(VLOOKUP(Final!F410,'LEAID Match'!$A$2:$B$374,2,FALSE),"")</f>
        <v/>
      </c>
      <c r="K410" s="10">
        <f t="shared" si="6"/>
        <v>1139533</v>
      </c>
    </row>
    <row r="411" spans="1:11">
      <c r="A411" t="s">
        <v>2470</v>
      </c>
      <c r="B411" s="10">
        <v>2018</v>
      </c>
      <c r="C411" t="s">
        <v>213</v>
      </c>
      <c r="D411" t="s">
        <v>2472</v>
      </c>
      <c r="E411" t="s">
        <v>2474</v>
      </c>
      <c r="F411" t="s">
        <v>158</v>
      </c>
      <c r="G411" t="s">
        <v>158</v>
      </c>
      <c r="H411" s="10">
        <v>1033054</v>
      </c>
      <c r="I411" t="str">
        <f>IFERROR(VLOOKUP(Final!F411,'LEAID Match'!$A$2:$B$374,2,FALSE),"")</f>
        <v/>
      </c>
      <c r="K411" s="10">
        <f t="shared" si="6"/>
        <v>1033054</v>
      </c>
    </row>
    <row r="412" spans="1:11">
      <c r="A412" t="s">
        <v>2470</v>
      </c>
      <c r="B412" s="10">
        <v>2019</v>
      </c>
      <c r="C412" t="s">
        <v>213</v>
      </c>
      <c r="D412" t="s">
        <v>2472</v>
      </c>
      <c r="E412" t="s">
        <v>2474</v>
      </c>
      <c r="F412" t="s">
        <v>158</v>
      </c>
      <c r="G412" t="s">
        <v>158</v>
      </c>
      <c r="H412" s="10">
        <v>1068797</v>
      </c>
      <c r="I412" t="str">
        <f>IFERROR(VLOOKUP(Final!F412,'LEAID Match'!$A$2:$B$374,2,FALSE),"")</f>
        <v/>
      </c>
      <c r="K412" s="10">
        <f t="shared" si="6"/>
        <v>1068797</v>
      </c>
    </row>
    <row r="413" spans="1:11">
      <c r="A413" t="s">
        <v>2470</v>
      </c>
      <c r="B413" s="10">
        <v>2020</v>
      </c>
      <c r="C413" t="s">
        <v>213</v>
      </c>
      <c r="D413" t="s">
        <v>2472</v>
      </c>
      <c r="E413" t="s">
        <v>2474</v>
      </c>
      <c r="F413" t="s">
        <v>158</v>
      </c>
      <c r="G413" t="s">
        <v>158</v>
      </c>
      <c r="H413" s="10">
        <v>1125368</v>
      </c>
      <c r="I413" t="str">
        <f>IFERROR(VLOOKUP(Final!F413,'LEAID Match'!$A$2:$B$374,2,FALSE),"")</f>
        <v/>
      </c>
      <c r="K413" s="10">
        <f t="shared" si="6"/>
        <v>1125368</v>
      </c>
    </row>
    <row r="414" spans="1:11">
      <c r="A414" t="s">
        <v>2470</v>
      </c>
      <c r="B414" s="10">
        <v>2021</v>
      </c>
      <c r="C414" t="s">
        <v>213</v>
      </c>
      <c r="D414" t="s">
        <v>2472</v>
      </c>
      <c r="E414" t="s">
        <v>2474</v>
      </c>
      <c r="F414" t="s">
        <v>158</v>
      </c>
      <c r="G414" t="s">
        <v>158</v>
      </c>
      <c r="H414" s="10">
        <v>1174444</v>
      </c>
      <c r="I414" t="str">
        <f>IFERROR(VLOOKUP(Final!F414,'LEAID Match'!$A$2:$B$374,2,FALSE),"")</f>
        <v/>
      </c>
      <c r="K414" s="10">
        <f t="shared" si="6"/>
        <v>1174444</v>
      </c>
    </row>
    <row r="415" spans="1:11">
      <c r="A415" t="s">
        <v>2470</v>
      </c>
      <c r="B415" s="10">
        <v>2022</v>
      </c>
      <c r="C415" t="s">
        <v>213</v>
      </c>
      <c r="D415" t="s">
        <v>2472</v>
      </c>
      <c r="E415" t="s">
        <v>2474</v>
      </c>
      <c r="F415" t="s">
        <v>158</v>
      </c>
      <c r="G415" t="s">
        <v>158</v>
      </c>
      <c r="H415" s="10">
        <v>1188321</v>
      </c>
      <c r="I415" t="str">
        <f>IFERROR(VLOOKUP(Final!F415,'LEAID Match'!$A$2:$B$374,2,FALSE),"")</f>
        <v/>
      </c>
      <c r="K415" s="10">
        <f t="shared" si="6"/>
        <v>1188321</v>
      </c>
    </row>
    <row r="416" spans="1:11">
      <c r="A416" t="s">
        <v>2470</v>
      </c>
      <c r="B416" s="10">
        <v>2023</v>
      </c>
      <c r="C416" t="s">
        <v>213</v>
      </c>
      <c r="D416" t="s">
        <v>2472</v>
      </c>
      <c r="E416" t="s">
        <v>2474</v>
      </c>
      <c r="F416" t="s">
        <v>158</v>
      </c>
      <c r="G416" t="s">
        <v>158</v>
      </c>
      <c r="H416" s="10">
        <v>1297665</v>
      </c>
      <c r="I416" t="str">
        <f>IFERROR(VLOOKUP(Final!F416,'LEAID Match'!$A$2:$B$374,2,FALSE),"")</f>
        <v/>
      </c>
      <c r="K416" s="10">
        <f t="shared" si="6"/>
        <v>1297665</v>
      </c>
    </row>
    <row r="417" spans="1:11">
      <c r="A417" t="s">
        <v>2470</v>
      </c>
      <c r="B417" s="10">
        <v>2015</v>
      </c>
      <c r="C417" t="s">
        <v>193</v>
      </c>
      <c r="D417" t="s">
        <v>2472</v>
      </c>
      <c r="E417" t="s">
        <v>2474</v>
      </c>
      <c r="F417" t="s">
        <v>1549</v>
      </c>
      <c r="G417" t="s">
        <v>138</v>
      </c>
      <c r="H417" s="10">
        <v>487082</v>
      </c>
      <c r="I417" t="str">
        <f>IFERROR(VLOOKUP(Final!F417,'LEAID Match'!$A$2:$B$374,2,FALSE),"")</f>
        <v/>
      </c>
      <c r="K417" s="10">
        <f t="shared" si="6"/>
        <v>487082</v>
      </c>
    </row>
    <row r="418" spans="1:11">
      <c r="A418" t="s">
        <v>2470</v>
      </c>
      <c r="B418" s="10">
        <v>2016</v>
      </c>
      <c r="C418" t="s">
        <v>193</v>
      </c>
      <c r="D418" t="s">
        <v>2472</v>
      </c>
      <c r="E418" t="s">
        <v>2474</v>
      </c>
      <c r="F418" t="s">
        <v>1549</v>
      </c>
      <c r="G418" t="s">
        <v>138</v>
      </c>
      <c r="H418" s="10">
        <v>479425</v>
      </c>
      <c r="I418" t="str">
        <f>IFERROR(VLOOKUP(Final!F418,'LEAID Match'!$A$2:$B$374,2,FALSE),"")</f>
        <v/>
      </c>
      <c r="K418" s="10">
        <f t="shared" si="6"/>
        <v>479425</v>
      </c>
    </row>
    <row r="419" spans="1:11">
      <c r="A419" t="s">
        <v>2470</v>
      </c>
      <c r="B419" s="10">
        <v>2017</v>
      </c>
      <c r="C419" t="s">
        <v>193</v>
      </c>
      <c r="D419" t="s">
        <v>2472</v>
      </c>
      <c r="E419" t="s">
        <v>2474</v>
      </c>
      <c r="F419" t="s">
        <v>1549</v>
      </c>
      <c r="G419" t="s">
        <v>1549</v>
      </c>
      <c r="H419" s="10">
        <v>472097</v>
      </c>
      <c r="I419" t="str">
        <f>IFERROR(VLOOKUP(Final!F419,'LEAID Match'!$A$2:$B$374,2,FALSE),"")</f>
        <v/>
      </c>
      <c r="K419" s="10">
        <f t="shared" si="6"/>
        <v>472097</v>
      </c>
    </row>
    <row r="420" spans="1:11">
      <c r="A420" t="s">
        <v>2470</v>
      </c>
      <c r="B420" s="10">
        <v>2018</v>
      </c>
      <c r="C420" t="s">
        <v>193</v>
      </c>
      <c r="D420" t="s">
        <v>2472</v>
      </c>
      <c r="E420" t="s">
        <v>2474</v>
      </c>
      <c r="F420" t="s">
        <v>1549</v>
      </c>
      <c r="G420" t="s">
        <v>1549</v>
      </c>
      <c r="H420" s="10">
        <v>458462</v>
      </c>
      <c r="I420" t="str">
        <f>IFERROR(VLOOKUP(Final!F420,'LEAID Match'!$A$2:$B$374,2,FALSE),"")</f>
        <v/>
      </c>
      <c r="K420" s="10">
        <f t="shared" si="6"/>
        <v>458462</v>
      </c>
    </row>
    <row r="421" spans="1:11">
      <c r="A421" t="s">
        <v>2470</v>
      </c>
      <c r="B421" s="10">
        <v>2019</v>
      </c>
      <c r="C421" t="s">
        <v>193</v>
      </c>
      <c r="D421" t="s">
        <v>2472</v>
      </c>
      <c r="E421" t="s">
        <v>2474</v>
      </c>
      <c r="F421" t="s">
        <v>1549</v>
      </c>
      <c r="G421" t="s">
        <v>1549</v>
      </c>
      <c r="H421" s="10">
        <v>489910</v>
      </c>
      <c r="I421" t="str">
        <f>IFERROR(VLOOKUP(Final!F421,'LEAID Match'!$A$2:$B$374,2,FALSE),"")</f>
        <v/>
      </c>
      <c r="K421" s="10">
        <f t="shared" si="6"/>
        <v>489910</v>
      </c>
    </row>
    <row r="422" spans="1:11">
      <c r="A422" t="s">
        <v>2470</v>
      </c>
      <c r="B422" s="10">
        <v>2020</v>
      </c>
      <c r="C422" t="s">
        <v>193</v>
      </c>
      <c r="D422" t="s">
        <v>2472</v>
      </c>
      <c r="E422" t="s">
        <v>2474</v>
      </c>
      <c r="F422" t="s">
        <v>1549</v>
      </c>
      <c r="G422" t="s">
        <v>1549</v>
      </c>
      <c r="H422" s="10">
        <v>518069</v>
      </c>
      <c r="I422" t="str">
        <f>IFERROR(VLOOKUP(Final!F422,'LEAID Match'!$A$2:$B$374,2,FALSE),"")</f>
        <v/>
      </c>
      <c r="K422" s="10">
        <f t="shared" si="6"/>
        <v>518069</v>
      </c>
    </row>
    <row r="423" spans="1:11">
      <c r="A423" t="s">
        <v>2470</v>
      </c>
      <c r="B423" s="10">
        <v>2021</v>
      </c>
      <c r="C423" t="s">
        <v>193</v>
      </c>
      <c r="D423" t="s">
        <v>2472</v>
      </c>
      <c r="E423" t="s">
        <v>2474</v>
      </c>
      <c r="F423" t="s">
        <v>1549</v>
      </c>
      <c r="G423" t="s">
        <v>1549</v>
      </c>
      <c r="H423" s="10">
        <v>957941</v>
      </c>
      <c r="I423" t="str">
        <f>IFERROR(VLOOKUP(Final!F423,'LEAID Match'!$A$2:$B$374,2,FALSE),"")</f>
        <v/>
      </c>
      <c r="K423" s="10">
        <f t="shared" si="6"/>
        <v>957941</v>
      </c>
    </row>
    <row r="424" spans="1:11">
      <c r="A424" t="s">
        <v>2470</v>
      </c>
      <c r="B424" s="10">
        <v>2022</v>
      </c>
      <c r="C424" t="s">
        <v>193</v>
      </c>
      <c r="D424" t="s">
        <v>2472</v>
      </c>
      <c r="E424" t="s">
        <v>2474</v>
      </c>
      <c r="F424" t="s">
        <v>1549</v>
      </c>
      <c r="G424" t="s">
        <v>1549</v>
      </c>
      <c r="H424" s="10">
        <v>1004125</v>
      </c>
      <c r="I424" t="str">
        <f>IFERROR(VLOOKUP(Final!F424,'LEAID Match'!$A$2:$B$374,2,FALSE),"")</f>
        <v/>
      </c>
      <c r="K424" s="10">
        <f t="shared" si="6"/>
        <v>1004125</v>
      </c>
    </row>
    <row r="425" spans="1:11">
      <c r="A425" t="s">
        <v>2470</v>
      </c>
      <c r="B425" s="10">
        <v>2023</v>
      </c>
      <c r="C425" t="s">
        <v>193</v>
      </c>
      <c r="D425" t="s">
        <v>2472</v>
      </c>
      <c r="E425" t="s">
        <v>2474</v>
      </c>
      <c r="F425" t="s">
        <v>1549</v>
      </c>
      <c r="G425" t="s">
        <v>1549</v>
      </c>
      <c r="H425" s="10">
        <v>1112680</v>
      </c>
      <c r="I425" t="str">
        <f>IFERROR(VLOOKUP(Final!F425,'LEAID Match'!$A$2:$B$374,2,FALSE),"")</f>
        <v/>
      </c>
      <c r="K425" s="10">
        <f t="shared" si="6"/>
        <v>1112680</v>
      </c>
    </row>
    <row r="426" spans="1:11">
      <c r="A426" t="s">
        <v>2470</v>
      </c>
      <c r="B426" s="10">
        <v>2015</v>
      </c>
      <c r="C426" t="s">
        <v>196</v>
      </c>
      <c r="D426" t="s">
        <v>2472</v>
      </c>
      <c r="E426" t="s">
        <v>2474</v>
      </c>
      <c r="F426" t="s">
        <v>1551</v>
      </c>
      <c r="G426" t="s">
        <v>141</v>
      </c>
      <c r="H426" s="10">
        <v>147223</v>
      </c>
      <c r="I426" t="str">
        <f>IFERROR(VLOOKUP(Final!F426,'LEAID Match'!$A$2:$B$374,2,FALSE),"")</f>
        <v/>
      </c>
      <c r="K426" s="10">
        <f t="shared" si="6"/>
        <v>147223</v>
      </c>
    </row>
    <row r="427" spans="1:11">
      <c r="A427" t="s">
        <v>2470</v>
      </c>
      <c r="B427" s="10">
        <v>2016</v>
      </c>
      <c r="C427" t="s">
        <v>196</v>
      </c>
      <c r="D427" t="s">
        <v>2472</v>
      </c>
      <c r="E427" t="s">
        <v>2474</v>
      </c>
      <c r="F427" t="s">
        <v>1551</v>
      </c>
      <c r="G427" t="s">
        <v>141</v>
      </c>
      <c r="H427" s="10">
        <v>109186</v>
      </c>
      <c r="I427" t="str">
        <f>IFERROR(VLOOKUP(Final!F427,'LEAID Match'!$A$2:$B$374,2,FALSE),"")</f>
        <v/>
      </c>
      <c r="K427" s="10">
        <f t="shared" si="6"/>
        <v>109186</v>
      </c>
    </row>
    <row r="428" spans="1:11">
      <c r="A428" t="s">
        <v>2470</v>
      </c>
      <c r="B428" s="10">
        <v>2017</v>
      </c>
      <c r="C428" t="s">
        <v>196</v>
      </c>
      <c r="D428" t="s">
        <v>2472</v>
      </c>
      <c r="E428" t="s">
        <v>2474</v>
      </c>
      <c r="F428" t="s">
        <v>1551</v>
      </c>
      <c r="G428" t="s">
        <v>1551</v>
      </c>
      <c r="H428" s="10">
        <v>124147</v>
      </c>
      <c r="I428" t="str">
        <f>IFERROR(VLOOKUP(Final!F428,'LEAID Match'!$A$2:$B$374,2,FALSE),"")</f>
        <v/>
      </c>
      <c r="K428" s="10">
        <f t="shared" si="6"/>
        <v>124147</v>
      </c>
    </row>
    <row r="429" spans="1:11">
      <c r="A429" t="s">
        <v>2470</v>
      </c>
      <c r="B429" s="10">
        <v>2018</v>
      </c>
      <c r="C429" t="s">
        <v>196</v>
      </c>
      <c r="D429" t="s">
        <v>2472</v>
      </c>
      <c r="E429" t="s">
        <v>2474</v>
      </c>
      <c r="F429" t="s">
        <v>1551</v>
      </c>
      <c r="G429" t="s">
        <v>2080</v>
      </c>
      <c r="H429" s="10">
        <v>122866</v>
      </c>
      <c r="I429" t="str">
        <f>IFERROR(VLOOKUP(Final!F429,'LEAID Match'!$A$2:$B$374,2,FALSE),"")</f>
        <v/>
      </c>
      <c r="K429" s="10">
        <f t="shared" si="6"/>
        <v>122866</v>
      </c>
    </row>
    <row r="430" spans="1:11">
      <c r="A430" t="s">
        <v>2470</v>
      </c>
      <c r="B430" s="10">
        <v>2019</v>
      </c>
      <c r="C430" t="s">
        <v>196</v>
      </c>
      <c r="D430" t="s">
        <v>2472</v>
      </c>
      <c r="E430" t="s">
        <v>2474</v>
      </c>
      <c r="F430" t="s">
        <v>1551</v>
      </c>
      <c r="G430" t="s">
        <v>2353</v>
      </c>
      <c r="H430" s="10">
        <v>127596</v>
      </c>
      <c r="I430" t="str">
        <f>IFERROR(VLOOKUP(Final!F430,'LEAID Match'!$A$2:$B$374,2,FALSE),"")</f>
        <v/>
      </c>
      <c r="K430" s="10">
        <f t="shared" si="6"/>
        <v>127596</v>
      </c>
    </row>
    <row r="431" spans="1:11">
      <c r="A431" t="s">
        <v>2470</v>
      </c>
      <c r="B431" s="10">
        <v>2020</v>
      </c>
      <c r="C431" t="s">
        <v>196</v>
      </c>
      <c r="D431" t="s">
        <v>2472</v>
      </c>
      <c r="E431" t="s">
        <v>2474</v>
      </c>
      <c r="F431" t="s">
        <v>1551</v>
      </c>
      <c r="G431" t="s">
        <v>1551</v>
      </c>
      <c r="H431" s="10">
        <v>135952</v>
      </c>
      <c r="I431" t="str">
        <f>IFERROR(VLOOKUP(Final!F431,'LEAID Match'!$A$2:$B$374,2,FALSE),"")</f>
        <v/>
      </c>
      <c r="K431" s="10">
        <f t="shared" si="6"/>
        <v>135952</v>
      </c>
    </row>
    <row r="432" spans="1:11">
      <c r="A432" t="s">
        <v>2470</v>
      </c>
      <c r="B432" s="10">
        <v>2021</v>
      </c>
      <c r="C432" t="s">
        <v>196</v>
      </c>
      <c r="D432" t="s">
        <v>2472</v>
      </c>
      <c r="E432" t="s">
        <v>2474</v>
      </c>
      <c r="F432" t="s">
        <v>1551</v>
      </c>
      <c r="G432" t="s">
        <v>1551</v>
      </c>
      <c r="H432" s="10">
        <v>139346</v>
      </c>
      <c r="I432" t="str">
        <f>IFERROR(VLOOKUP(Final!F432,'LEAID Match'!$A$2:$B$374,2,FALSE),"")</f>
        <v/>
      </c>
      <c r="K432" s="10">
        <f t="shared" si="6"/>
        <v>139346</v>
      </c>
    </row>
    <row r="433" spans="1:11">
      <c r="A433" t="s">
        <v>2470</v>
      </c>
      <c r="B433" s="10">
        <v>2022</v>
      </c>
      <c r="C433" t="s">
        <v>196</v>
      </c>
      <c r="D433" t="s">
        <v>2472</v>
      </c>
      <c r="E433" t="s">
        <v>2474</v>
      </c>
      <c r="F433" t="s">
        <v>1551</v>
      </c>
      <c r="G433" t="s">
        <v>1551</v>
      </c>
      <c r="H433" s="10">
        <v>131044</v>
      </c>
      <c r="I433" t="str">
        <f>IFERROR(VLOOKUP(Final!F433,'LEAID Match'!$A$2:$B$374,2,FALSE),"")</f>
        <v/>
      </c>
      <c r="K433" s="10">
        <f t="shared" si="6"/>
        <v>131044</v>
      </c>
    </row>
    <row r="434" spans="1:11">
      <c r="A434" t="s">
        <v>2470</v>
      </c>
      <c r="B434" s="10">
        <v>2023</v>
      </c>
      <c r="C434" t="s">
        <v>196</v>
      </c>
      <c r="D434" t="s">
        <v>2472</v>
      </c>
      <c r="E434" t="s">
        <v>2474</v>
      </c>
      <c r="F434" t="s">
        <v>1551</v>
      </c>
      <c r="G434" t="s">
        <v>1551</v>
      </c>
      <c r="H434" s="10">
        <v>218442</v>
      </c>
      <c r="I434" t="str">
        <f>IFERROR(VLOOKUP(Final!F434,'LEAID Match'!$A$2:$B$374,2,FALSE),"")</f>
        <v/>
      </c>
      <c r="K434" s="10">
        <f t="shared" si="6"/>
        <v>218442</v>
      </c>
    </row>
    <row r="435" spans="1:11">
      <c r="A435" t="s">
        <v>2470</v>
      </c>
      <c r="B435" s="10">
        <v>2015</v>
      </c>
      <c r="C435" t="s">
        <v>218</v>
      </c>
      <c r="D435" t="s">
        <v>2472</v>
      </c>
      <c r="E435" t="s">
        <v>2474</v>
      </c>
      <c r="F435" t="s">
        <v>1607</v>
      </c>
      <c r="G435" t="s">
        <v>163</v>
      </c>
      <c r="H435" s="10">
        <v>421061</v>
      </c>
      <c r="I435" t="str">
        <f>IFERROR(VLOOKUP(Final!F435,'LEAID Match'!$A$2:$B$374,2,FALSE),"")</f>
        <v/>
      </c>
      <c r="K435" s="10">
        <f t="shared" si="6"/>
        <v>421061</v>
      </c>
    </row>
    <row r="436" spans="1:11">
      <c r="A436" t="s">
        <v>2470</v>
      </c>
      <c r="B436" s="10">
        <v>2016</v>
      </c>
      <c r="C436" t="s">
        <v>218</v>
      </c>
      <c r="D436" t="s">
        <v>2472</v>
      </c>
      <c r="E436" t="s">
        <v>2474</v>
      </c>
      <c r="F436" t="s">
        <v>1607</v>
      </c>
      <c r="G436" t="s">
        <v>163</v>
      </c>
      <c r="H436" s="10">
        <v>362004</v>
      </c>
      <c r="I436" t="str">
        <f>IFERROR(VLOOKUP(Final!F436,'LEAID Match'!$A$2:$B$374,2,FALSE),"")</f>
        <v/>
      </c>
      <c r="K436" s="10">
        <f t="shared" si="6"/>
        <v>362004</v>
      </c>
    </row>
    <row r="437" spans="1:11">
      <c r="A437" t="s">
        <v>2470</v>
      </c>
      <c r="B437" s="10">
        <v>2017</v>
      </c>
      <c r="C437" t="s">
        <v>218</v>
      </c>
      <c r="D437" t="s">
        <v>2472</v>
      </c>
      <c r="E437" t="s">
        <v>2474</v>
      </c>
      <c r="F437" t="s">
        <v>1607</v>
      </c>
      <c r="G437" t="s">
        <v>1607</v>
      </c>
      <c r="H437" s="10">
        <v>377587</v>
      </c>
      <c r="I437" t="str">
        <f>IFERROR(VLOOKUP(Final!F437,'LEAID Match'!$A$2:$B$374,2,FALSE),"")</f>
        <v/>
      </c>
      <c r="K437" s="10">
        <f t="shared" si="6"/>
        <v>377587</v>
      </c>
    </row>
    <row r="438" spans="1:11">
      <c r="A438" t="s">
        <v>2470</v>
      </c>
      <c r="B438" s="10">
        <v>2018</v>
      </c>
      <c r="C438" t="s">
        <v>218</v>
      </c>
      <c r="D438" t="s">
        <v>2472</v>
      </c>
      <c r="E438" t="s">
        <v>2474</v>
      </c>
      <c r="F438" t="s">
        <v>1607</v>
      </c>
      <c r="G438" t="s">
        <v>1607</v>
      </c>
      <c r="H438" s="10">
        <v>426967</v>
      </c>
      <c r="I438" t="str">
        <f>IFERROR(VLOOKUP(Final!F438,'LEAID Match'!$A$2:$B$374,2,FALSE),"")</f>
        <v/>
      </c>
      <c r="K438" s="10">
        <f t="shared" si="6"/>
        <v>426967</v>
      </c>
    </row>
    <row r="439" spans="1:11">
      <c r="A439" t="s">
        <v>2470</v>
      </c>
      <c r="B439" s="10">
        <v>2019</v>
      </c>
      <c r="C439" t="s">
        <v>218</v>
      </c>
      <c r="D439" t="s">
        <v>2472</v>
      </c>
      <c r="E439" t="s">
        <v>2474</v>
      </c>
      <c r="F439" t="s">
        <v>1607</v>
      </c>
      <c r="G439" t="s">
        <v>1607</v>
      </c>
      <c r="H439" s="10">
        <v>458172</v>
      </c>
      <c r="I439" t="str">
        <f>IFERROR(VLOOKUP(Final!F439,'LEAID Match'!$A$2:$B$374,2,FALSE),"")</f>
        <v/>
      </c>
      <c r="K439" s="10">
        <f t="shared" si="6"/>
        <v>458172</v>
      </c>
    </row>
    <row r="440" spans="1:11">
      <c r="A440" t="s">
        <v>2470</v>
      </c>
      <c r="B440" s="10">
        <v>2020</v>
      </c>
      <c r="C440" t="s">
        <v>218</v>
      </c>
      <c r="D440" t="s">
        <v>2472</v>
      </c>
      <c r="E440" t="s">
        <v>2474</v>
      </c>
      <c r="F440" t="s">
        <v>1607</v>
      </c>
      <c r="G440" t="s">
        <v>1607</v>
      </c>
      <c r="H440" s="10">
        <v>475790</v>
      </c>
      <c r="I440" t="str">
        <f>IFERROR(VLOOKUP(Final!F440,'LEAID Match'!$A$2:$B$374,2,FALSE),"")</f>
        <v/>
      </c>
      <c r="K440" s="10">
        <f t="shared" si="6"/>
        <v>475790</v>
      </c>
    </row>
    <row r="441" spans="1:11">
      <c r="A441" t="s">
        <v>2470</v>
      </c>
      <c r="B441" s="10">
        <v>2021</v>
      </c>
      <c r="C441" t="s">
        <v>218</v>
      </c>
      <c r="D441" t="s">
        <v>2472</v>
      </c>
      <c r="E441" t="s">
        <v>2474</v>
      </c>
      <c r="F441" t="s">
        <v>1607</v>
      </c>
      <c r="G441" t="s">
        <v>1607</v>
      </c>
      <c r="H441" s="10">
        <v>521662</v>
      </c>
      <c r="I441" t="str">
        <f>IFERROR(VLOOKUP(Final!F441,'LEAID Match'!$A$2:$B$374,2,FALSE),"")</f>
        <v/>
      </c>
      <c r="K441" s="10">
        <f t="shared" si="6"/>
        <v>521662</v>
      </c>
    </row>
    <row r="442" spans="1:11">
      <c r="A442" t="s">
        <v>2470</v>
      </c>
      <c r="B442" s="10">
        <v>2022</v>
      </c>
      <c r="C442" t="s">
        <v>218</v>
      </c>
      <c r="D442" t="s">
        <v>2472</v>
      </c>
      <c r="E442" t="s">
        <v>2474</v>
      </c>
      <c r="F442" t="s">
        <v>1607</v>
      </c>
      <c r="G442" t="s">
        <v>1607</v>
      </c>
      <c r="H442" s="10">
        <v>529152</v>
      </c>
      <c r="I442" t="str">
        <f>IFERROR(VLOOKUP(Final!F442,'LEAID Match'!$A$2:$B$374,2,FALSE),"")</f>
        <v/>
      </c>
      <c r="K442" s="10">
        <f t="shared" si="6"/>
        <v>529152</v>
      </c>
    </row>
    <row r="443" spans="1:11">
      <c r="A443" t="s">
        <v>2470</v>
      </c>
      <c r="B443" s="10">
        <v>2023</v>
      </c>
      <c r="C443" t="s">
        <v>218</v>
      </c>
      <c r="D443" t="s">
        <v>2472</v>
      </c>
      <c r="E443" t="s">
        <v>2474</v>
      </c>
      <c r="F443" t="s">
        <v>1607</v>
      </c>
      <c r="G443" t="s">
        <v>1607</v>
      </c>
      <c r="H443" s="10">
        <v>541452</v>
      </c>
      <c r="I443" t="str">
        <f>IFERROR(VLOOKUP(Final!F443,'LEAID Match'!$A$2:$B$374,2,FALSE),"")</f>
        <v/>
      </c>
      <c r="K443" s="10">
        <f t="shared" si="6"/>
        <v>541452</v>
      </c>
    </row>
    <row r="444" spans="1:11">
      <c r="A444" t="s">
        <v>2470</v>
      </c>
      <c r="B444" s="10">
        <v>2015</v>
      </c>
      <c r="C444" t="s">
        <v>219</v>
      </c>
      <c r="D444" t="s">
        <v>2472</v>
      </c>
      <c r="E444" t="s">
        <v>2474</v>
      </c>
      <c r="F444" t="s">
        <v>164</v>
      </c>
      <c r="G444" t="s">
        <v>164</v>
      </c>
      <c r="H444" s="10">
        <v>263790</v>
      </c>
      <c r="I444" t="str">
        <f>IFERROR(VLOOKUP(Final!F444,'LEAID Match'!$A$2:$B$374,2,FALSE),"")</f>
        <v/>
      </c>
      <c r="K444" s="10">
        <f t="shared" si="6"/>
        <v>263790</v>
      </c>
    </row>
    <row r="445" spans="1:11">
      <c r="A445" t="s">
        <v>2470</v>
      </c>
      <c r="B445" s="10">
        <v>2016</v>
      </c>
      <c r="C445" t="s">
        <v>219</v>
      </c>
      <c r="D445" t="s">
        <v>2472</v>
      </c>
      <c r="E445" t="s">
        <v>2474</v>
      </c>
      <c r="F445" t="s">
        <v>164</v>
      </c>
      <c r="G445" t="s">
        <v>164</v>
      </c>
      <c r="H445" s="10">
        <v>268669</v>
      </c>
      <c r="I445" t="str">
        <f>IFERROR(VLOOKUP(Final!F445,'LEAID Match'!$A$2:$B$374,2,FALSE),"")</f>
        <v/>
      </c>
      <c r="K445" s="10">
        <f t="shared" si="6"/>
        <v>268669</v>
      </c>
    </row>
    <row r="446" spans="1:11">
      <c r="A446" t="s">
        <v>2470</v>
      </c>
      <c r="B446" s="10">
        <v>2017</v>
      </c>
      <c r="C446" t="s">
        <v>219</v>
      </c>
      <c r="D446" t="s">
        <v>2472</v>
      </c>
      <c r="E446" t="s">
        <v>2474</v>
      </c>
      <c r="F446" t="s">
        <v>164</v>
      </c>
      <c r="G446" t="s">
        <v>164</v>
      </c>
      <c r="H446" s="10">
        <v>316923</v>
      </c>
      <c r="I446" t="str">
        <f>IFERROR(VLOOKUP(Final!F446,'LEAID Match'!$A$2:$B$374,2,FALSE),"")</f>
        <v/>
      </c>
      <c r="K446" s="10">
        <f t="shared" si="6"/>
        <v>316923</v>
      </c>
    </row>
    <row r="447" spans="1:11">
      <c r="A447" t="s">
        <v>2470</v>
      </c>
      <c r="B447" s="10">
        <v>2018</v>
      </c>
      <c r="C447" t="s">
        <v>219</v>
      </c>
      <c r="D447" t="s">
        <v>2472</v>
      </c>
      <c r="E447" t="s">
        <v>2474</v>
      </c>
      <c r="F447" t="s">
        <v>164</v>
      </c>
      <c r="G447" t="s">
        <v>164</v>
      </c>
      <c r="H447" s="10">
        <v>309405</v>
      </c>
      <c r="I447" t="str">
        <f>IFERROR(VLOOKUP(Final!F447,'LEAID Match'!$A$2:$B$374,2,FALSE),"")</f>
        <v/>
      </c>
      <c r="K447" s="10">
        <f t="shared" si="6"/>
        <v>309405</v>
      </c>
    </row>
    <row r="448" spans="1:11">
      <c r="A448" t="s">
        <v>2470</v>
      </c>
      <c r="B448" s="10">
        <v>2019</v>
      </c>
      <c r="C448" t="s">
        <v>219</v>
      </c>
      <c r="D448" t="s">
        <v>2472</v>
      </c>
      <c r="E448" t="s">
        <v>2474</v>
      </c>
      <c r="F448" t="s">
        <v>164</v>
      </c>
      <c r="G448" t="s">
        <v>164</v>
      </c>
      <c r="H448" s="10">
        <v>308009</v>
      </c>
      <c r="I448" t="str">
        <f>IFERROR(VLOOKUP(Final!F448,'LEAID Match'!$A$2:$B$374,2,FALSE),"")</f>
        <v/>
      </c>
      <c r="K448" s="10">
        <f t="shared" si="6"/>
        <v>308009</v>
      </c>
    </row>
    <row r="449" spans="1:11">
      <c r="A449" t="s">
        <v>2470</v>
      </c>
      <c r="B449" s="10">
        <v>2020</v>
      </c>
      <c r="C449" t="s">
        <v>219</v>
      </c>
      <c r="D449" t="s">
        <v>2472</v>
      </c>
      <c r="E449" t="s">
        <v>2474</v>
      </c>
      <c r="F449" t="s">
        <v>164</v>
      </c>
      <c r="G449" t="s">
        <v>164</v>
      </c>
      <c r="H449" s="10">
        <v>336786</v>
      </c>
      <c r="I449" t="str">
        <f>IFERROR(VLOOKUP(Final!F449,'LEAID Match'!$A$2:$B$374,2,FALSE),"")</f>
        <v/>
      </c>
      <c r="K449" s="10">
        <f t="shared" si="6"/>
        <v>336786</v>
      </c>
    </row>
    <row r="450" spans="1:11">
      <c r="A450" t="s">
        <v>2470</v>
      </c>
      <c r="B450" s="10">
        <v>2021</v>
      </c>
      <c r="C450" t="s">
        <v>219</v>
      </c>
      <c r="D450" t="s">
        <v>2472</v>
      </c>
      <c r="E450" t="s">
        <v>2474</v>
      </c>
      <c r="F450" t="s">
        <v>164</v>
      </c>
      <c r="G450" t="s">
        <v>164</v>
      </c>
      <c r="H450" s="10">
        <v>335090</v>
      </c>
      <c r="I450" t="str">
        <f>IFERROR(VLOOKUP(Final!F450,'LEAID Match'!$A$2:$B$374,2,FALSE),"")</f>
        <v/>
      </c>
      <c r="K450" s="10">
        <f t="shared" si="6"/>
        <v>335090</v>
      </c>
    </row>
    <row r="451" spans="1:11">
      <c r="A451" t="s">
        <v>2470</v>
      </c>
      <c r="B451" s="10">
        <v>2022</v>
      </c>
      <c r="C451" t="s">
        <v>219</v>
      </c>
      <c r="D451" t="s">
        <v>2472</v>
      </c>
      <c r="E451" t="s">
        <v>2474</v>
      </c>
      <c r="F451" t="s">
        <v>164</v>
      </c>
      <c r="G451" t="s">
        <v>164</v>
      </c>
      <c r="H451" s="10">
        <v>354861</v>
      </c>
      <c r="I451" t="str">
        <f>IFERROR(VLOOKUP(Final!F451,'LEAID Match'!$A$2:$B$374,2,FALSE),"")</f>
        <v/>
      </c>
      <c r="K451" s="10">
        <f t="shared" ref="K451:K514" si="7">SUM(H451,J451)</f>
        <v>354861</v>
      </c>
    </row>
    <row r="452" spans="1:11">
      <c r="A452" t="s">
        <v>2470</v>
      </c>
      <c r="B452" s="10">
        <v>2023</v>
      </c>
      <c r="C452" t="s">
        <v>219</v>
      </c>
      <c r="D452" t="s">
        <v>2472</v>
      </c>
      <c r="E452" t="s">
        <v>2474</v>
      </c>
      <c r="F452" t="s">
        <v>164</v>
      </c>
      <c r="G452" t="s">
        <v>164</v>
      </c>
      <c r="H452" s="10">
        <v>385967</v>
      </c>
      <c r="I452" t="str">
        <f>IFERROR(VLOOKUP(Final!F452,'LEAID Match'!$A$2:$B$374,2,FALSE),"")</f>
        <v/>
      </c>
      <c r="K452" s="10">
        <f t="shared" si="7"/>
        <v>385967</v>
      </c>
    </row>
    <row r="453" spans="1:11">
      <c r="A453" t="s">
        <v>2470</v>
      </c>
      <c r="B453" s="10">
        <v>2015</v>
      </c>
      <c r="C453" t="s">
        <v>1410</v>
      </c>
      <c r="D453" t="s">
        <v>2472</v>
      </c>
      <c r="E453" t="s">
        <v>2474</v>
      </c>
      <c r="F453" t="s">
        <v>243</v>
      </c>
      <c r="G453" t="s">
        <v>243</v>
      </c>
      <c r="H453" s="10">
        <v>79395</v>
      </c>
      <c r="I453" t="str">
        <f>IFERROR(VLOOKUP(Final!F453,'LEAID Match'!$A$2:$B$374,2,FALSE),"")</f>
        <v/>
      </c>
      <c r="K453" s="10">
        <f t="shared" si="7"/>
        <v>79395</v>
      </c>
    </row>
    <row r="454" spans="1:11">
      <c r="A454" t="s">
        <v>2470</v>
      </c>
      <c r="B454" s="10">
        <v>2016</v>
      </c>
      <c r="C454" t="s">
        <v>1410</v>
      </c>
      <c r="D454" t="s">
        <v>2472</v>
      </c>
      <c r="E454" t="s">
        <v>2474</v>
      </c>
      <c r="F454" t="s">
        <v>243</v>
      </c>
      <c r="G454" t="s">
        <v>243</v>
      </c>
      <c r="H454" s="10">
        <v>77423</v>
      </c>
      <c r="I454" t="str">
        <f>IFERROR(VLOOKUP(Final!F454,'LEAID Match'!$A$2:$B$374,2,FALSE),"")</f>
        <v/>
      </c>
      <c r="K454" s="10">
        <f t="shared" si="7"/>
        <v>77423</v>
      </c>
    </row>
    <row r="455" spans="1:11">
      <c r="A455" t="s">
        <v>2470</v>
      </c>
      <c r="B455" s="10">
        <v>2017</v>
      </c>
      <c r="C455" t="s">
        <v>1410</v>
      </c>
      <c r="D455" t="s">
        <v>2472</v>
      </c>
      <c r="E455" t="s">
        <v>2474</v>
      </c>
      <c r="F455" t="s">
        <v>243</v>
      </c>
      <c r="G455" t="s">
        <v>243</v>
      </c>
      <c r="H455" s="10">
        <v>81483</v>
      </c>
      <c r="I455" t="str">
        <f>IFERROR(VLOOKUP(Final!F455,'LEAID Match'!$A$2:$B$374,2,FALSE),"")</f>
        <v/>
      </c>
      <c r="K455" s="10">
        <f t="shared" si="7"/>
        <v>81483</v>
      </c>
    </row>
    <row r="456" spans="1:11">
      <c r="A456" t="s">
        <v>2470</v>
      </c>
      <c r="B456" s="10">
        <v>2018</v>
      </c>
      <c r="C456" t="s">
        <v>1410</v>
      </c>
      <c r="D456" t="s">
        <v>2472</v>
      </c>
      <c r="E456" t="s">
        <v>2474</v>
      </c>
      <c r="F456" t="s">
        <v>243</v>
      </c>
      <c r="G456" t="s">
        <v>243</v>
      </c>
      <c r="H456" s="10">
        <v>74642</v>
      </c>
      <c r="I456" t="str">
        <f>IFERROR(VLOOKUP(Final!F456,'LEAID Match'!$A$2:$B$374,2,FALSE),"")</f>
        <v/>
      </c>
      <c r="K456" s="10">
        <f t="shared" si="7"/>
        <v>74642</v>
      </c>
    </row>
    <row r="457" spans="1:11">
      <c r="A457" t="s">
        <v>2470</v>
      </c>
      <c r="B457" s="10">
        <v>2019</v>
      </c>
      <c r="C457" t="s">
        <v>1410</v>
      </c>
      <c r="D457" t="s">
        <v>2472</v>
      </c>
      <c r="E457" t="s">
        <v>2474</v>
      </c>
      <c r="F457" t="s">
        <v>243</v>
      </c>
      <c r="G457" t="s">
        <v>243</v>
      </c>
      <c r="H457" s="10">
        <v>73582</v>
      </c>
      <c r="I457" t="str">
        <f>IFERROR(VLOOKUP(Final!F457,'LEAID Match'!$A$2:$B$374,2,FALSE),"")</f>
        <v/>
      </c>
      <c r="K457" s="10">
        <f t="shared" si="7"/>
        <v>73582</v>
      </c>
    </row>
    <row r="458" spans="1:11">
      <c r="A458" t="s">
        <v>2470</v>
      </c>
      <c r="B458" s="10">
        <v>2020</v>
      </c>
      <c r="C458" t="s">
        <v>1410</v>
      </c>
      <c r="D458" t="s">
        <v>2472</v>
      </c>
      <c r="E458" t="s">
        <v>2474</v>
      </c>
      <c r="F458" t="s">
        <v>243</v>
      </c>
      <c r="G458" t="s">
        <v>243</v>
      </c>
      <c r="H458" s="10">
        <v>84901</v>
      </c>
      <c r="I458" t="str">
        <f>IFERROR(VLOOKUP(Final!F458,'LEAID Match'!$A$2:$B$374,2,FALSE),"")</f>
        <v/>
      </c>
      <c r="K458" s="10">
        <f t="shared" si="7"/>
        <v>84901</v>
      </c>
    </row>
    <row r="459" spans="1:11">
      <c r="A459" t="s">
        <v>2470</v>
      </c>
      <c r="B459" s="10">
        <v>2021</v>
      </c>
      <c r="C459" t="s">
        <v>1410</v>
      </c>
      <c r="D459" t="s">
        <v>2472</v>
      </c>
      <c r="E459" t="s">
        <v>2474</v>
      </c>
      <c r="F459" t="s">
        <v>243</v>
      </c>
      <c r="G459" t="s">
        <v>243</v>
      </c>
      <c r="H459" s="10">
        <v>88518</v>
      </c>
      <c r="I459" t="str">
        <f>IFERROR(VLOOKUP(Final!F459,'LEAID Match'!$A$2:$B$374,2,FALSE),"")</f>
        <v/>
      </c>
      <c r="K459" s="10">
        <f t="shared" si="7"/>
        <v>88518</v>
      </c>
    </row>
    <row r="460" spans="1:11">
      <c r="A460" t="s">
        <v>2470</v>
      </c>
      <c r="B460" s="10">
        <v>2022</v>
      </c>
      <c r="C460" t="s">
        <v>1410</v>
      </c>
      <c r="D460" t="s">
        <v>2472</v>
      </c>
      <c r="E460" t="s">
        <v>2474</v>
      </c>
      <c r="F460" t="s">
        <v>243</v>
      </c>
      <c r="G460" t="s">
        <v>243</v>
      </c>
      <c r="H460" s="10">
        <v>88555</v>
      </c>
      <c r="I460" t="str">
        <f>IFERROR(VLOOKUP(Final!F460,'LEAID Match'!$A$2:$B$374,2,FALSE),"")</f>
        <v/>
      </c>
      <c r="K460" s="10">
        <f t="shared" si="7"/>
        <v>88555</v>
      </c>
    </row>
    <row r="461" spans="1:11">
      <c r="A461" t="s">
        <v>2470</v>
      </c>
      <c r="B461" s="10">
        <v>2023</v>
      </c>
      <c r="C461" t="s">
        <v>1410</v>
      </c>
      <c r="D461" t="s">
        <v>2472</v>
      </c>
      <c r="E461" t="s">
        <v>2474</v>
      </c>
      <c r="F461" t="s">
        <v>243</v>
      </c>
      <c r="G461" t="s">
        <v>243</v>
      </c>
      <c r="H461" s="10">
        <v>107874</v>
      </c>
      <c r="I461" t="str">
        <f>IFERROR(VLOOKUP(Final!F461,'LEAID Match'!$A$2:$B$374,2,FALSE),"")</f>
        <v/>
      </c>
      <c r="K461" s="10">
        <f t="shared" si="7"/>
        <v>107874</v>
      </c>
    </row>
    <row r="462" spans="1:11">
      <c r="A462" t="s">
        <v>2470</v>
      </c>
      <c r="B462" s="10">
        <v>2015</v>
      </c>
      <c r="C462" t="s">
        <v>180</v>
      </c>
      <c r="D462" t="s">
        <v>2472</v>
      </c>
      <c r="E462" t="s">
        <v>2474</v>
      </c>
      <c r="F462" t="s">
        <v>1543</v>
      </c>
      <c r="G462" t="s">
        <v>125</v>
      </c>
      <c r="H462" s="10">
        <v>134830</v>
      </c>
      <c r="I462" t="str">
        <f>IFERROR(VLOOKUP(Final!F462,'LEAID Match'!$A$2:$B$374,2,FALSE),"")</f>
        <v/>
      </c>
      <c r="K462" s="10">
        <f t="shared" si="7"/>
        <v>134830</v>
      </c>
    </row>
    <row r="463" spans="1:11">
      <c r="A463" t="s">
        <v>2470</v>
      </c>
      <c r="B463" s="10">
        <v>2016</v>
      </c>
      <c r="C463" t="s">
        <v>180</v>
      </c>
      <c r="D463" t="s">
        <v>2472</v>
      </c>
      <c r="E463" t="s">
        <v>2474</v>
      </c>
      <c r="F463" t="s">
        <v>1543</v>
      </c>
      <c r="G463" t="s">
        <v>125</v>
      </c>
      <c r="H463" s="10">
        <v>131485</v>
      </c>
      <c r="I463" t="str">
        <f>IFERROR(VLOOKUP(Final!F463,'LEAID Match'!$A$2:$B$374,2,FALSE),"")</f>
        <v/>
      </c>
      <c r="K463" s="10">
        <f t="shared" si="7"/>
        <v>131485</v>
      </c>
    </row>
    <row r="464" spans="1:11">
      <c r="A464" t="s">
        <v>2470</v>
      </c>
      <c r="B464" s="10">
        <v>2017</v>
      </c>
      <c r="C464" t="s">
        <v>180</v>
      </c>
      <c r="D464" t="s">
        <v>2472</v>
      </c>
      <c r="E464" t="s">
        <v>2474</v>
      </c>
      <c r="F464" t="s">
        <v>1543</v>
      </c>
      <c r="G464" t="s">
        <v>1543</v>
      </c>
      <c r="H464" s="10"/>
      <c r="I464" t="str">
        <f>IFERROR(VLOOKUP(Final!F464,'LEAID Match'!$A$2:$B$374,2,FALSE),"")</f>
        <v/>
      </c>
      <c r="K464" s="10">
        <f t="shared" si="7"/>
        <v>0</v>
      </c>
    </row>
    <row r="465" spans="1:11">
      <c r="A465" t="s">
        <v>2470</v>
      </c>
      <c r="B465" s="10">
        <v>2018</v>
      </c>
      <c r="C465" t="s">
        <v>180</v>
      </c>
      <c r="D465" t="s">
        <v>2472</v>
      </c>
      <c r="E465" t="s">
        <v>2474</v>
      </c>
      <c r="F465" t="s">
        <v>1543</v>
      </c>
      <c r="G465" t="s">
        <v>2075</v>
      </c>
      <c r="H465" s="10"/>
      <c r="I465" t="str">
        <f>IFERROR(VLOOKUP(Final!F465,'LEAID Match'!$A$2:$B$374,2,FALSE),"")</f>
        <v/>
      </c>
      <c r="K465" s="10">
        <f t="shared" si="7"/>
        <v>0</v>
      </c>
    </row>
    <row r="466" spans="1:11">
      <c r="A466" t="s">
        <v>2470</v>
      </c>
      <c r="B466" s="10">
        <v>2019</v>
      </c>
      <c r="C466" t="s">
        <v>180</v>
      </c>
      <c r="D466" t="s">
        <v>2472</v>
      </c>
      <c r="E466" t="s">
        <v>2474</v>
      </c>
      <c r="F466" t="s">
        <v>1543</v>
      </c>
      <c r="G466" t="s">
        <v>2352</v>
      </c>
      <c r="H466" s="10"/>
      <c r="I466" t="str">
        <f>IFERROR(VLOOKUP(Final!F466,'LEAID Match'!$A$2:$B$374,2,FALSE),"")</f>
        <v/>
      </c>
      <c r="K466" s="10">
        <f t="shared" si="7"/>
        <v>0</v>
      </c>
    </row>
    <row r="467" spans="1:11">
      <c r="A467" t="s">
        <v>2470</v>
      </c>
      <c r="B467" s="10">
        <v>2020</v>
      </c>
      <c r="C467" t="s">
        <v>180</v>
      </c>
      <c r="D467" t="s">
        <v>2472</v>
      </c>
      <c r="E467" t="s">
        <v>2474</v>
      </c>
      <c r="F467" t="s">
        <v>1543</v>
      </c>
      <c r="G467" t="s">
        <v>1543</v>
      </c>
      <c r="H467" s="10"/>
      <c r="I467" t="str">
        <f>IFERROR(VLOOKUP(Final!F467,'LEAID Match'!$A$2:$B$374,2,FALSE),"")</f>
        <v/>
      </c>
      <c r="K467" s="10">
        <f t="shared" si="7"/>
        <v>0</v>
      </c>
    </row>
    <row r="468" spans="1:11">
      <c r="A468" t="s">
        <v>2470</v>
      </c>
      <c r="B468" s="10">
        <v>2015</v>
      </c>
      <c r="C468" t="s">
        <v>1387</v>
      </c>
      <c r="D468" t="s">
        <v>2472</v>
      </c>
      <c r="E468" t="s">
        <v>2474</v>
      </c>
      <c r="F468" t="s">
        <v>1572</v>
      </c>
      <c r="G468" t="s">
        <v>222</v>
      </c>
      <c r="H468" s="10">
        <v>8905</v>
      </c>
      <c r="I468" t="str">
        <f>IFERROR(VLOOKUP(Final!F468,'LEAID Match'!$A$2:$B$374,2,FALSE),"")</f>
        <v/>
      </c>
      <c r="K468" s="10">
        <f t="shared" si="7"/>
        <v>8905</v>
      </c>
    </row>
    <row r="469" spans="1:11">
      <c r="A469" t="s">
        <v>2470</v>
      </c>
      <c r="B469" s="10">
        <v>2016</v>
      </c>
      <c r="C469" t="s">
        <v>1387</v>
      </c>
      <c r="D469" t="s">
        <v>2472</v>
      </c>
      <c r="E469" t="s">
        <v>2474</v>
      </c>
      <c r="F469" t="s">
        <v>1572</v>
      </c>
      <c r="G469" t="s">
        <v>222</v>
      </c>
      <c r="H469" s="10">
        <v>9003</v>
      </c>
      <c r="I469" t="str">
        <f>IFERROR(VLOOKUP(Final!F469,'LEAID Match'!$A$2:$B$374,2,FALSE),"")</f>
        <v/>
      </c>
      <c r="K469" s="10">
        <f t="shared" si="7"/>
        <v>9003</v>
      </c>
    </row>
    <row r="470" spans="1:11">
      <c r="A470" t="s">
        <v>2470</v>
      </c>
      <c r="B470" s="10">
        <v>2017</v>
      </c>
      <c r="C470" t="s">
        <v>1387</v>
      </c>
      <c r="D470" t="s">
        <v>2472</v>
      </c>
      <c r="E470" t="s">
        <v>2474</v>
      </c>
      <c r="F470" t="s">
        <v>1572</v>
      </c>
      <c r="G470" t="s">
        <v>1572</v>
      </c>
      <c r="H470" s="10">
        <v>10264</v>
      </c>
      <c r="I470" t="str">
        <f>IFERROR(VLOOKUP(Final!F470,'LEAID Match'!$A$2:$B$374,2,FALSE),"")</f>
        <v/>
      </c>
      <c r="K470" s="10">
        <f t="shared" si="7"/>
        <v>10264</v>
      </c>
    </row>
    <row r="471" spans="1:11">
      <c r="A471" t="s">
        <v>2470</v>
      </c>
      <c r="B471" s="10">
        <v>2018</v>
      </c>
      <c r="C471" t="s">
        <v>1387</v>
      </c>
      <c r="D471" t="s">
        <v>2472</v>
      </c>
      <c r="E471" t="s">
        <v>2474</v>
      </c>
      <c r="F471" t="s">
        <v>1572</v>
      </c>
      <c r="G471" t="s">
        <v>2097</v>
      </c>
      <c r="H471" s="10">
        <v>9997</v>
      </c>
      <c r="I471" t="str">
        <f>IFERROR(VLOOKUP(Final!F471,'LEAID Match'!$A$2:$B$374,2,FALSE),"")</f>
        <v/>
      </c>
      <c r="K471" s="10">
        <f t="shared" si="7"/>
        <v>9997</v>
      </c>
    </row>
    <row r="472" spans="1:11">
      <c r="A472" t="s">
        <v>2470</v>
      </c>
      <c r="B472" s="10">
        <v>2019</v>
      </c>
      <c r="C472" t="s">
        <v>1387</v>
      </c>
      <c r="D472" t="s">
        <v>2472</v>
      </c>
      <c r="E472" t="s">
        <v>2474</v>
      </c>
      <c r="F472" t="s">
        <v>1572</v>
      </c>
      <c r="G472" t="s">
        <v>1572</v>
      </c>
      <c r="H472" s="10">
        <v>7166</v>
      </c>
      <c r="I472" t="str">
        <f>IFERROR(VLOOKUP(Final!F472,'LEAID Match'!$A$2:$B$374,2,FALSE),"")</f>
        <v/>
      </c>
      <c r="K472" s="10">
        <f t="shared" si="7"/>
        <v>7166</v>
      </c>
    </row>
    <row r="473" spans="1:11">
      <c r="A473" t="s">
        <v>2470</v>
      </c>
      <c r="B473" s="10">
        <v>2020</v>
      </c>
      <c r="C473" t="s">
        <v>1387</v>
      </c>
      <c r="D473" t="s">
        <v>2472</v>
      </c>
      <c r="E473" t="s">
        <v>2474</v>
      </c>
      <c r="F473" t="s">
        <v>1572</v>
      </c>
      <c r="G473" t="s">
        <v>1572</v>
      </c>
      <c r="H473" s="10">
        <v>7340</v>
      </c>
      <c r="I473" t="str">
        <f>IFERROR(VLOOKUP(Final!F473,'LEAID Match'!$A$2:$B$374,2,FALSE),"")</f>
        <v/>
      </c>
      <c r="K473" s="10">
        <f t="shared" si="7"/>
        <v>7340</v>
      </c>
    </row>
    <row r="474" spans="1:11">
      <c r="A474" t="s">
        <v>2470</v>
      </c>
      <c r="B474" s="10">
        <v>2021</v>
      </c>
      <c r="C474" t="s">
        <v>1387</v>
      </c>
      <c r="D474" t="s">
        <v>2472</v>
      </c>
      <c r="E474" t="s">
        <v>2474</v>
      </c>
      <c r="F474" t="s">
        <v>1572</v>
      </c>
      <c r="G474" t="s">
        <v>1572</v>
      </c>
      <c r="H474" s="10">
        <v>7496</v>
      </c>
      <c r="I474" t="str">
        <f>IFERROR(VLOOKUP(Final!F474,'LEAID Match'!$A$2:$B$374,2,FALSE),"")</f>
        <v/>
      </c>
      <c r="K474" s="10">
        <f t="shared" si="7"/>
        <v>7496</v>
      </c>
    </row>
    <row r="475" spans="1:11">
      <c r="A475" t="s">
        <v>2470</v>
      </c>
      <c r="B475" s="10">
        <v>2022</v>
      </c>
      <c r="C475" t="s">
        <v>1387</v>
      </c>
      <c r="D475" t="s">
        <v>2472</v>
      </c>
      <c r="E475" t="s">
        <v>2474</v>
      </c>
      <c r="F475" t="s">
        <v>1572</v>
      </c>
      <c r="G475" t="s">
        <v>1572</v>
      </c>
      <c r="H475" s="10">
        <v>8469</v>
      </c>
      <c r="I475" t="str">
        <f>IFERROR(VLOOKUP(Final!F475,'LEAID Match'!$A$2:$B$374,2,FALSE),"")</f>
        <v/>
      </c>
      <c r="K475" s="10">
        <f t="shared" si="7"/>
        <v>8469</v>
      </c>
    </row>
    <row r="476" spans="1:11">
      <c r="A476" t="s">
        <v>2470</v>
      </c>
      <c r="B476" s="10">
        <v>2023</v>
      </c>
      <c r="C476" t="s">
        <v>1387</v>
      </c>
      <c r="D476" t="s">
        <v>2472</v>
      </c>
      <c r="E476" t="s">
        <v>2474</v>
      </c>
      <c r="F476" t="s">
        <v>1572</v>
      </c>
      <c r="G476" t="s">
        <v>1572</v>
      </c>
      <c r="H476" s="10">
        <v>9676</v>
      </c>
      <c r="I476" t="str">
        <f>IFERROR(VLOOKUP(Final!F476,'LEAID Match'!$A$2:$B$374,2,FALSE),"")</f>
        <v/>
      </c>
      <c r="K476" s="10">
        <f t="shared" si="7"/>
        <v>9676</v>
      </c>
    </row>
    <row r="477" spans="1:11">
      <c r="A477" t="s">
        <v>2470</v>
      </c>
      <c r="B477" s="10">
        <v>2015</v>
      </c>
      <c r="C477" t="s">
        <v>101</v>
      </c>
      <c r="D477" t="s">
        <v>2472</v>
      </c>
      <c r="E477" t="s">
        <v>2474</v>
      </c>
      <c r="F477" t="s">
        <v>1599</v>
      </c>
      <c r="G477" t="s">
        <v>47</v>
      </c>
      <c r="H477" s="10">
        <v>272412</v>
      </c>
      <c r="I477" t="str">
        <f>IFERROR(VLOOKUP(Final!F477,'LEAID Match'!$A$2:$B$374,2,FALSE),"")</f>
        <v/>
      </c>
      <c r="K477" s="10">
        <f t="shared" si="7"/>
        <v>272412</v>
      </c>
    </row>
    <row r="478" spans="1:11">
      <c r="A478" t="s">
        <v>2470</v>
      </c>
      <c r="B478" s="10">
        <v>2016</v>
      </c>
      <c r="C478" t="s">
        <v>101</v>
      </c>
      <c r="D478" t="s">
        <v>2472</v>
      </c>
      <c r="E478" t="s">
        <v>2474</v>
      </c>
      <c r="F478" t="s">
        <v>1599</v>
      </c>
      <c r="G478" t="s">
        <v>47</v>
      </c>
      <c r="H478" s="10">
        <v>295632</v>
      </c>
      <c r="I478" t="str">
        <f>IFERROR(VLOOKUP(Final!F478,'LEAID Match'!$A$2:$B$374,2,FALSE),"")</f>
        <v/>
      </c>
      <c r="K478" s="10">
        <f t="shared" si="7"/>
        <v>295632</v>
      </c>
    </row>
    <row r="479" spans="1:11">
      <c r="A479" t="s">
        <v>2470</v>
      </c>
      <c r="B479" s="10">
        <v>2017</v>
      </c>
      <c r="C479" t="s">
        <v>101</v>
      </c>
      <c r="D479" t="s">
        <v>2472</v>
      </c>
      <c r="E479" t="s">
        <v>2474</v>
      </c>
      <c r="F479" t="s">
        <v>1599</v>
      </c>
      <c r="G479" t="s">
        <v>1599</v>
      </c>
      <c r="H479" s="10">
        <v>310859</v>
      </c>
      <c r="I479" t="str">
        <f>IFERROR(VLOOKUP(Final!F479,'LEAID Match'!$A$2:$B$374,2,FALSE),"")</f>
        <v/>
      </c>
      <c r="K479" s="10">
        <f t="shared" si="7"/>
        <v>310859</v>
      </c>
    </row>
    <row r="480" spans="1:11">
      <c r="A480" t="s">
        <v>2470</v>
      </c>
      <c r="B480" s="10">
        <v>2018</v>
      </c>
      <c r="C480" t="s">
        <v>101</v>
      </c>
      <c r="D480" t="s">
        <v>2472</v>
      </c>
      <c r="E480" t="s">
        <v>2474</v>
      </c>
      <c r="F480" t="s">
        <v>1599</v>
      </c>
      <c r="G480" t="s">
        <v>1599</v>
      </c>
      <c r="H480" s="10">
        <v>329368</v>
      </c>
      <c r="I480" t="str">
        <f>IFERROR(VLOOKUP(Final!F480,'LEAID Match'!$A$2:$B$374,2,FALSE),"")</f>
        <v/>
      </c>
      <c r="K480" s="10">
        <f t="shared" si="7"/>
        <v>329368</v>
      </c>
    </row>
    <row r="481" spans="1:11">
      <c r="A481" t="s">
        <v>2470</v>
      </c>
      <c r="B481" s="10">
        <v>2019</v>
      </c>
      <c r="C481" t="s">
        <v>101</v>
      </c>
      <c r="D481" t="s">
        <v>2472</v>
      </c>
      <c r="E481" t="s">
        <v>2474</v>
      </c>
      <c r="F481" t="s">
        <v>1599</v>
      </c>
      <c r="G481" t="s">
        <v>1599</v>
      </c>
      <c r="H481" s="10">
        <v>344982</v>
      </c>
      <c r="I481" t="str">
        <f>IFERROR(VLOOKUP(Final!F481,'LEAID Match'!$A$2:$B$374,2,FALSE),"")</f>
        <v/>
      </c>
      <c r="K481" s="10">
        <f t="shared" si="7"/>
        <v>344982</v>
      </c>
    </row>
    <row r="482" spans="1:11">
      <c r="A482" t="s">
        <v>2470</v>
      </c>
      <c r="B482" s="10">
        <v>2020</v>
      </c>
      <c r="C482" t="s">
        <v>101</v>
      </c>
      <c r="D482" t="s">
        <v>2472</v>
      </c>
      <c r="E482" t="s">
        <v>2474</v>
      </c>
      <c r="F482" t="s">
        <v>1599</v>
      </c>
      <c r="G482" t="s">
        <v>1599</v>
      </c>
      <c r="H482" s="10">
        <v>328079</v>
      </c>
      <c r="I482" t="str">
        <f>IFERROR(VLOOKUP(Final!F482,'LEAID Match'!$A$2:$B$374,2,FALSE),"")</f>
        <v/>
      </c>
      <c r="K482" s="10">
        <f t="shared" si="7"/>
        <v>328079</v>
      </c>
    </row>
    <row r="483" spans="1:11">
      <c r="A483" t="s">
        <v>2470</v>
      </c>
      <c r="B483" s="10">
        <v>2021</v>
      </c>
      <c r="C483" t="s">
        <v>101</v>
      </c>
      <c r="D483" t="s">
        <v>2472</v>
      </c>
      <c r="E483" t="s">
        <v>2474</v>
      </c>
      <c r="F483" t="s">
        <v>1599</v>
      </c>
      <c r="G483" t="s">
        <v>1599</v>
      </c>
      <c r="H483" s="10">
        <v>347216</v>
      </c>
      <c r="I483" t="str">
        <f>IFERROR(VLOOKUP(Final!F483,'LEAID Match'!$A$2:$B$374,2,FALSE),"")</f>
        <v/>
      </c>
      <c r="K483" s="10">
        <f t="shared" si="7"/>
        <v>347216</v>
      </c>
    </row>
    <row r="484" spans="1:11">
      <c r="A484" t="s">
        <v>2470</v>
      </c>
      <c r="B484" s="10">
        <v>2022</v>
      </c>
      <c r="C484" t="s">
        <v>101</v>
      </c>
      <c r="D484" t="s">
        <v>2472</v>
      </c>
      <c r="E484" t="s">
        <v>2474</v>
      </c>
      <c r="F484" t="s">
        <v>1599</v>
      </c>
      <c r="G484" t="s">
        <v>1599</v>
      </c>
      <c r="H484" s="10">
        <v>363406</v>
      </c>
      <c r="I484" t="str">
        <f>IFERROR(VLOOKUP(Final!F484,'LEAID Match'!$A$2:$B$374,2,FALSE),"")</f>
        <v/>
      </c>
      <c r="K484" s="10">
        <f t="shared" si="7"/>
        <v>363406</v>
      </c>
    </row>
    <row r="485" spans="1:11">
      <c r="A485" t="s">
        <v>2470</v>
      </c>
      <c r="B485" s="10">
        <v>2023</v>
      </c>
      <c r="C485" t="s">
        <v>101</v>
      </c>
      <c r="D485" t="s">
        <v>2472</v>
      </c>
      <c r="E485" t="s">
        <v>2474</v>
      </c>
      <c r="F485" t="s">
        <v>1599</v>
      </c>
      <c r="G485" t="s">
        <v>1599</v>
      </c>
      <c r="H485" s="10">
        <v>416017</v>
      </c>
      <c r="I485" t="str">
        <f>IFERROR(VLOOKUP(Final!F485,'LEAID Match'!$A$2:$B$374,2,FALSE),"")</f>
        <v/>
      </c>
      <c r="K485" s="10">
        <f t="shared" si="7"/>
        <v>416017</v>
      </c>
    </row>
    <row r="486" spans="1:11">
      <c r="A486" t="s">
        <v>2470</v>
      </c>
      <c r="B486" s="10">
        <v>2015</v>
      </c>
      <c r="C486" t="s">
        <v>103</v>
      </c>
      <c r="D486" t="s">
        <v>2472</v>
      </c>
      <c r="E486" t="s">
        <v>2474</v>
      </c>
      <c r="F486" t="s">
        <v>2421</v>
      </c>
      <c r="G486" t="s">
        <v>49</v>
      </c>
      <c r="H486" s="10">
        <v>12118</v>
      </c>
      <c r="I486" t="str">
        <f>IFERROR(VLOOKUP(Final!F486,'LEAID Match'!$A$2:$B$374,2,FALSE),"")</f>
        <v/>
      </c>
      <c r="K486" s="10">
        <f t="shared" si="7"/>
        <v>12118</v>
      </c>
    </row>
    <row r="487" spans="1:11">
      <c r="A487" t="s">
        <v>2470</v>
      </c>
      <c r="B487" s="10">
        <v>2016</v>
      </c>
      <c r="C487" t="s">
        <v>103</v>
      </c>
      <c r="D487" t="s">
        <v>2472</v>
      </c>
      <c r="E487" t="s">
        <v>2474</v>
      </c>
      <c r="F487" t="s">
        <v>2421</v>
      </c>
      <c r="G487" t="s">
        <v>49</v>
      </c>
      <c r="H487" s="10">
        <v>9152</v>
      </c>
      <c r="I487" t="str">
        <f>IFERROR(VLOOKUP(Final!F487,'LEAID Match'!$A$2:$B$374,2,FALSE),"")</f>
        <v/>
      </c>
      <c r="K487" s="10">
        <f t="shared" si="7"/>
        <v>9152</v>
      </c>
    </row>
    <row r="488" spans="1:11">
      <c r="A488" t="s">
        <v>2470</v>
      </c>
      <c r="B488" s="10">
        <v>2017</v>
      </c>
      <c r="C488" t="s">
        <v>103</v>
      </c>
      <c r="D488" t="s">
        <v>2472</v>
      </c>
      <c r="E488" t="s">
        <v>2474</v>
      </c>
      <c r="F488" t="s">
        <v>2421</v>
      </c>
      <c r="G488" t="s">
        <v>1600</v>
      </c>
      <c r="H488" s="10">
        <v>13111</v>
      </c>
      <c r="I488" t="str">
        <f>IFERROR(VLOOKUP(Final!F488,'LEAID Match'!$A$2:$B$374,2,FALSE),"")</f>
        <v/>
      </c>
      <c r="K488" s="10">
        <f t="shared" si="7"/>
        <v>13111</v>
      </c>
    </row>
    <row r="489" spans="1:11">
      <c r="A489" t="s">
        <v>2470</v>
      </c>
      <c r="B489" s="10">
        <v>2018</v>
      </c>
      <c r="C489" t="s">
        <v>103</v>
      </c>
      <c r="D489" t="s">
        <v>2472</v>
      </c>
      <c r="E489" t="s">
        <v>2474</v>
      </c>
      <c r="F489" t="s">
        <v>2421</v>
      </c>
      <c r="G489" t="s">
        <v>1600</v>
      </c>
      <c r="H489" s="10">
        <v>13435</v>
      </c>
      <c r="I489" t="str">
        <f>IFERROR(VLOOKUP(Final!F489,'LEAID Match'!$A$2:$B$374,2,FALSE),"")</f>
        <v/>
      </c>
      <c r="K489" s="10">
        <f t="shared" si="7"/>
        <v>13435</v>
      </c>
    </row>
    <row r="490" spans="1:11">
      <c r="A490" t="s">
        <v>2470</v>
      </c>
      <c r="B490" s="10">
        <v>2019</v>
      </c>
      <c r="C490" t="s">
        <v>103</v>
      </c>
      <c r="D490" t="s">
        <v>2472</v>
      </c>
      <c r="E490" t="s">
        <v>2474</v>
      </c>
      <c r="F490" t="s">
        <v>2421</v>
      </c>
      <c r="G490" t="s">
        <v>1600</v>
      </c>
      <c r="H490" s="10">
        <v>13847</v>
      </c>
      <c r="I490" t="str">
        <f>IFERROR(VLOOKUP(Final!F490,'LEAID Match'!$A$2:$B$374,2,FALSE),"")</f>
        <v/>
      </c>
      <c r="K490" s="10">
        <f t="shared" si="7"/>
        <v>13847</v>
      </c>
    </row>
    <row r="491" spans="1:11">
      <c r="A491" t="s">
        <v>2470</v>
      </c>
      <c r="B491" s="10">
        <v>2020</v>
      </c>
      <c r="C491" t="s">
        <v>103</v>
      </c>
      <c r="D491" t="s">
        <v>2472</v>
      </c>
      <c r="E491" t="s">
        <v>2474</v>
      </c>
      <c r="F491" t="s">
        <v>2421</v>
      </c>
      <c r="G491" t="s">
        <v>1600</v>
      </c>
      <c r="H491" s="10">
        <v>14349</v>
      </c>
      <c r="I491" t="str">
        <f>IFERROR(VLOOKUP(Final!F491,'LEAID Match'!$A$2:$B$374,2,FALSE),"")</f>
        <v/>
      </c>
      <c r="K491" s="10">
        <f t="shared" si="7"/>
        <v>14349</v>
      </c>
    </row>
    <row r="492" spans="1:11">
      <c r="A492" t="s">
        <v>2470</v>
      </c>
      <c r="B492" s="10">
        <v>2021</v>
      </c>
      <c r="C492" t="s">
        <v>103</v>
      </c>
      <c r="D492" t="s">
        <v>2472</v>
      </c>
      <c r="E492" t="s">
        <v>2474</v>
      </c>
      <c r="F492" t="s">
        <v>2421</v>
      </c>
      <c r="G492" t="s">
        <v>2421</v>
      </c>
      <c r="H492" s="10">
        <v>12008</v>
      </c>
      <c r="I492" t="str">
        <f>IFERROR(VLOOKUP(Final!F492,'LEAID Match'!$A$2:$B$374,2,FALSE),"")</f>
        <v/>
      </c>
      <c r="K492" s="10">
        <f t="shared" si="7"/>
        <v>12008</v>
      </c>
    </row>
    <row r="493" spans="1:11">
      <c r="A493" t="s">
        <v>2470</v>
      </c>
      <c r="B493" s="10">
        <v>2022</v>
      </c>
      <c r="C493" t="s">
        <v>103</v>
      </c>
      <c r="D493" t="s">
        <v>2472</v>
      </c>
      <c r="E493" t="s">
        <v>2474</v>
      </c>
      <c r="F493" t="s">
        <v>2421</v>
      </c>
      <c r="G493" t="s">
        <v>2421</v>
      </c>
      <c r="H493" s="10">
        <v>14052</v>
      </c>
      <c r="I493" t="str">
        <f>IFERROR(VLOOKUP(Final!F493,'LEAID Match'!$A$2:$B$374,2,FALSE),"")</f>
        <v/>
      </c>
      <c r="K493" s="10">
        <f t="shared" si="7"/>
        <v>14052</v>
      </c>
    </row>
    <row r="494" spans="1:11">
      <c r="A494" t="s">
        <v>2470</v>
      </c>
      <c r="B494" s="10">
        <v>2023</v>
      </c>
      <c r="C494" t="s">
        <v>103</v>
      </c>
      <c r="D494" t="s">
        <v>2472</v>
      </c>
      <c r="E494" t="s">
        <v>2474</v>
      </c>
      <c r="F494" t="s">
        <v>2421</v>
      </c>
      <c r="G494" t="s">
        <v>2421</v>
      </c>
      <c r="H494" s="10">
        <v>15289</v>
      </c>
      <c r="I494" t="str">
        <f>IFERROR(VLOOKUP(Final!F494,'LEAID Match'!$A$2:$B$374,2,FALSE),"")</f>
        <v/>
      </c>
      <c r="K494" s="10">
        <f t="shared" si="7"/>
        <v>15289</v>
      </c>
    </row>
    <row r="495" spans="1:11">
      <c r="A495" t="s">
        <v>2470</v>
      </c>
      <c r="B495" s="10">
        <v>2015</v>
      </c>
      <c r="C495" t="s">
        <v>104</v>
      </c>
      <c r="D495" t="s">
        <v>2472</v>
      </c>
      <c r="E495" t="s">
        <v>2474</v>
      </c>
      <c r="F495" t="s">
        <v>1518</v>
      </c>
      <c r="G495" t="s">
        <v>50</v>
      </c>
      <c r="H495" s="10">
        <v>35044</v>
      </c>
      <c r="I495" t="str">
        <f>IFERROR(VLOOKUP(Final!F495,'LEAID Match'!$A$2:$B$374,2,FALSE),"")</f>
        <v/>
      </c>
      <c r="K495" s="10">
        <f t="shared" si="7"/>
        <v>35044</v>
      </c>
    </row>
    <row r="496" spans="1:11">
      <c r="A496" t="s">
        <v>2470</v>
      </c>
      <c r="B496" s="10">
        <v>2016</v>
      </c>
      <c r="C496" t="s">
        <v>104</v>
      </c>
      <c r="D496" t="s">
        <v>2472</v>
      </c>
      <c r="E496" t="s">
        <v>2474</v>
      </c>
      <c r="F496" t="s">
        <v>1518</v>
      </c>
      <c r="G496" t="s">
        <v>50</v>
      </c>
      <c r="H496" s="10">
        <v>36874</v>
      </c>
      <c r="I496" t="str">
        <f>IFERROR(VLOOKUP(Final!F496,'LEAID Match'!$A$2:$B$374,2,FALSE),"")</f>
        <v/>
      </c>
      <c r="K496" s="10">
        <f t="shared" si="7"/>
        <v>36874</v>
      </c>
    </row>
    <row r="497" spans="1:11">
      <c r="A497" t="s">
        <v>2470</v>
      </c>
      <c r="B497" s="10">
        <v>2017</v>
      </c>
      <c r="C497" t="s">
        <v>104</v>
      </c>
      <c r="D497" t="s">
        <v>2472</v>
      </c>
      <c r="E497" t="s">
        <v>2474</v>
      </c>
      <c r="F497" t="s">
        <v>1518</v>
      </c>
      <c r="G497" t="s">
        <v>1518</v>
      </c>
      <c r="H497" s="10">
        <v>42419</v>
      </c>
      <c r="I497" t="str">
        <f>IFERROR(VLOOKUP(Final!F497,'LEAID Match'!$A$2:$B$374,2,FALSE),"")</f>
        <v/>
      </c>
      <c r="K497" s="10">
        <f t="shared" si="7"/>
        <v>42419</v>
      </c>
    </row>
    <row r="498" spans="1:11">
      <c r="A498" t="s">
        <v>2470</v>
      </c>
      <c r="B498" s="10">
        <v>2018</v>
      </c>
      <c r="C498" t="s">
        <v>104</v>
      </c>
      <c r="D498" t="s">
        <v>2472</v>
      </c>
      <c r="E498" t="s">
        <v>2474</v>
      </c>
      <c r="F498" t="s">
        <v>1518</v>
      </c>
      <c r="G498" t="s">
        <v>2060</v>
      </c>
      <c r="H498" s="10">
        <v>39694</v>
      </c>
      <c r="I498" t="str">
        <f>IFERROR(VLOOKUP(Final!F498,'LEAID Match'!$A$2:$B$374,2,FALSE),"")</f>
        <v/>
      </c>
      <c r="K498" s="10">
        <f t="shared" si="7"/>
        <v>39694</v>
      </c>
    </row>
    <row r="499" spans="1:11">
      <c r="A499" t="s">
        <v>2470</v>
      </c>
      <c r="B499" s="10">
        <v>2019</v>
      </c>
      <c r="C499" t="s">
        <v>104</v>
      </c>
      <c r="D499" t="s">
        <v>2472</v>
      </c>
      <c r="E499" t="s">
        <v>2474</v>
      </c>
      <c r="F499" t="s">
        <v>1518</v>
      </c>
      <c r="G499" t="s">
        <v>1518</v>
      </c>
      <c r="H499" s="10">
        <v>36916</v>
      </c>
      <c r="I499" t="str">
        <f>IFERROR(VLOOKUP(Final!F499,'LEAID Match'!$A$2:$B$374,2,FALSE),"")</f>
        <v/>
      </c>
      <c r="K499" s="10">
        <f t="shared" si="7"/>
        <v>36916</v>
      </c>
    </row>
    <row r="500" spans="1:11">
      <c r="A500" t="s">
        <v>2470</v>
      </c>
      <c r="B500" s="10">
        <v>2020</v>
      </c>
      <c r="C500" t="s">
        <v>104</v>
      </c>
      <c r="D500" t="s">
        <v>2472</v>
      </c>
      <c r="E500" t="s">
        <v>2474</v>
      </c>
      <c r="F500" t="s">
        <v>1518</v>
      </c>
      <c r="G500" t="s">
        <v>1518</v>
      </c>
      <c r="H500" s="10">
        <v>47781</v>
      </c>
      <c r="I500" t="str">
        <f>IFERROR(VLOOKUP(Final!F500,'LEAID Match'!$A$2:$B$374,2,FALSE),"")</f>
        <v/>
      </c>
      <c r="K500" s="10">
        <f t="shared" si="7"/>
        <v>47781</v>
      </c>
    </row>
    <row r="501" spans="1:11">
      <c r="A501" t="s">
        <v>2470</v>
      </c>
      <c r="B501" s="10">
        <v>2021</v>
      </c>
      <c r="C501" t="s">
        <v>104</v>
      </c>
      <c r="D501" t="s">
        <v>2472</v>
      </c>
      <c r="E501" t="s">
        <v>2474</v>
      </c>
      <c r="F501" t="s">
        <v>1518</v>
      </c>
      <c r="G501" t="s">
        <v>1518</v>
      </c>
      <c r="H501" s="10">
        <v>54019</v>
      </c>
      <c r="I501" t="str">
        <f>IFERROR(VLOOKUP(Final!F501,'LEAID Match'!$A$2:$B$374,2,FALSE),"")</f>
        <v/>
      </c>
      <c r="K501" s="10">
        <f t="shared" si="7"/>
        <v>54019</v>
      </c>
    </row>
    <row r="502" spans="1:11">
      <c r="A502" t="s">
        <v>2470</v>
      </c>
      <c r="B502" s="10">
        <v>2022</v>
      </c>
      <c r="C502" t="s">
        <v>104</v>
      </c>
      <c r="D502" t="s">
        <v>2472</v>
      </c>
      <c r="E502" t="s">
        <v>2474</v>
      </c>
      <c r="F502" t="s">
        <v>1518</v>
      </c>
      <c r="G502" t="s">
        <v>1518</v>
      </c>
      <c r="H502" s="10">
        <v>55758</v>
      </c>
      <c r="I502" t="str">
        <f>IFERROR(VLOOKUP(Final!F502,'LEAID Match'!$A$2:$B$374,2,FALSE),"")</f>
        <v/>
      </c>
      <c r="K502" s="10">
        <f t="shared" si="7"/>
        <v>55758</v>
      </c>
    </row>
    <row r="503" spans="1:11">
      <c r="A503" t="s">
        <v>2470</v>
      </c>
      <c r="B503" s="10">
        <v>2023</v>
      </c>
      <c r="C503" t="s">
        <v>104</v>
      </c>
      <c r="D503" t="s">
        <v>2472</v>
      </c>
      <c r="E503" t="s">
        <v>2474</v>
      </c>
      <c r="F503" t="s">
        <v>1518</v>
      </c>
      <c r="G503" t="s">
        <v>1518</v>
      </c>
      <c r="H503" s="10">
        <v>64814</v>
      </c>
      <c r="I503" t="str">
        <f>IFERROR(VLOOKUP(Final!F503,'LEAID Match'!$A$2:$B$374,2,FALSE),"")</f>
        <v/>
      </c>
      <c r="K503" s="10">
        <f t="shared" si="7"/>
        <v>64814</v>
      </c>
    </row>
    <row r="504" spans="1:11">
      <c r="A504" t="s">
        <v>2470</v>
      </c>
      <c r="B504" s="10">
        <v>2015</v>
      </c>
      <c r="C504" t="s">
        <v>105</v>
      </c>
      <c r="D504" t="s">
        <v>2472</v>
      </c>
      <c r="E504" t="s">
        <v>2474</v>
      </c>
      <c r="F504" t="s">
        <v>1601</v>
      </c>
      <c r="G504" t="s">
        <v>51</v>
      </c>
      <c r="H504" s="10">
        <v>135512</v>
      </c>
      <c r="I504" t="str">
        <f>IFERROR(VLOOKUP(Final!F504,'LEAID Match'!$A$2:$B$374,2,FALSE),"")</f>
        <v/>
      </c>
      <c r="K504" s="10">
        <f t="shared" si="7"/>
        <v>135512</v>
      </c>
    </row>
    <row r="505" spans="1:11">
      <c r="A505" t="s">
        <v>2470</v>
      </c>
      <c r="B505" s="10">
        <v>2016</v>
      </c>
      <c r="C505" t="s">
        <v>105</v>
      </c>
      <c r="D505" t="s">
        <v>2472</v>
      </c>
      <c r="E505" t="s">
        <v>2474</v>
      </c>
      <c r="F505" t="s">
        <v>1601</v>
      </c>
      <c r="G505" t="s">
        <v>1372</v>
      </c>
      <c r="H505" s="10">
        <v>138448</v>
      </c>
      <c r="I505" t="str">
        <f>IFERROR(VLOOKUP(Final!F505,'LEAID Match'!$A$2:$B$374,2,FALSE),"")</f>
        <v/>
      </c>
      <c r="K505" s="10">
        <f t="shared" si="7"/>
        <v>138448</v>
      </c>
    </row>
    <row r="506" spans="1:11">
      <c r="A506" t="s">
        <v>2470</v>
      </c>
      <c r="B506" s="10">
        <v>2017</v>
      </c>
      <c r="C506" t="s">
        <v>105</v>
      </c>
      <c r="D506" t="s">
        <v>2472</v>
      </c>
      <c r="E506" t="s">
        <v>2474</v>
      </c>
      <c r="F506" t="s">
        <v>1601</v>
      </c>
      <c r="G506" t="s">
        <v>1601</v>
      </c>
      <c r="H506" s="10">
        <v>157774</v>
      </c>
      <c r="I506" t="str">
        <f>IFERROR(VLOOKUP(Final!F506,'LEAID Match'!$A$2:$B$374,2,FALSE),"")</f>
        <v/>
      </c>
      <c r="K506" s="10">
        <f t="shared" si="7"/>
        <v>157774</v>
      </c>
    </row>
    <row r="507" spans="1:11">
      <c r="A507" t="s">
        <v>2470</v>
      </c>
      <c r="B507" s="10">
        <v>2018</v>
      </c>
      <c r="C507" t="s">
        <v>105</v>
      </c>
      <c r="D507" t="s">
        <v>2472</v>
      </c>
      <c r="E507" t="s">
        <v>2474</v>
      </c>
      <c r="F507" t="s">
        <v>1601</v>
      </c>
      <c r="G507" t="s">
        <v>1601</v>
      </c>
      <c r="H507" s="10">
        <v>159487</v>
      </c>
      <c r="I507" t="str">
        <f>IFERROR(VLOOKUP(Final!F507,'LEAID Match'!$A$2:$B$374,2,FALSE),"")</f>
        <v/>
      </c>
      <c r="K507" s="10">
        <f t="shared" si="7"/>
        <v>159487</v>
      </c>
    </row>
    <row r="508" spans="1:11">
      <c r="A508" t="s">
        <v>2470</v>
      </c>
      <c r="B508" s="10">
        <v>2019</v>
      </c>
      <c r="C508" t="s">
        <v>105</v>
      </c>
      <c r="D508" t="s">
        <v>2472</v>
      </c>
      <c r="E508" t="s">
        <v>2474</v>
      </c>
      <c r="F508" t="s">
        <v>1601</v>
      </c>
      <c r="G508" t="s">
        <v>1601</v>
      </c>
      <c r="H508" s="10">
        <v>167238</v>
      </c>
      <c r="I508" t="str">
        <f>IFERROR(VLOOKUP(Final!F508,'LEAID Match'!$A$2:$B$374,2,FALSE),"")</f>
        <v/>
      </c>
      <c r="K508" s="10">
        <f t="shared" si="7"/>
        <v>167238</v>
      </c>
    </row>
    <row r="509" spans="1:11">
      <c r="A509" t="s">
        <v>2470</v>
      </c>
      <c r="B509" s="10">
        <v>2020</v>
      </c>
      <c r="C509" t="s">
        <v>105</v>
      </c>
      <c r="D509" t="s">
        <v>2472</v>
      </c>
      <c r="E509" t="s">
        <v>2474</v>
      </c>
      <c r="F509" t="s">
        <v>1601</v>
      </c>
      <c r="G509" t="s">
        <v>1601</v>
      </c>
      <c r="H509" s="10">
        <v>176041</v>
      </c>
      <c r="I509" t="str">
        <f>IFERROR(VLOOKUP(Final!F509,'LEAID Match'!$A$2:$B$374,2,FALSE),"")</f>
        <v/>
      </c>
      <c r="K509" s="10">
        <f t="shared" si="7"/>
        <v>176041</v>
      </c>
    </row>
    <row r="510" spans="1:11">
      <c r="A510" t="s">
        <v>2470</v>
      </c>
      <c r="B510" s="10">
        <v>2021</v>
      </c>
      <c r="C510" t="s">
        <v>105</v>
      </c>
      <c r="D510" t="s">
        <v>2472</v>
      </c>
      <c r="E510" t="s">
        <v>2474</v>
      </c>
      <c r="F510" t="s">
        <v>1601</v>
      </c>
      <c r="G510" t="s">
        <v>1601</v>
      </c>
      <c r="H510" s="10">
        <v>191293</v>
      </c>
      <c r="I510" t="str">
        <f>IFERROR(VLOOKUP(Final!F510,'LEAID Match'!$A$2:$B$374,2,FALSE),"")</f>
        <v/>
      </c>
      <c r="K510" s="10">
        <f t="shared" si="7"/>
        <v>191293</v>
      </c>
    </row>
    <row r="511" spans="1:11">
      <c r="A511" t="s">
        <v>2470</v>
      </c>
      <c r="B511" s="10">
        <v>2022</v>
      </c>
      <c r="C511" t="s">
        <v>105</v>
      </c>
      <c r="D511" t="s">
        <v>2472</v>
      </c>
      <c r="E511" t="s">
        <v>2474</v>
      </c>
      <c r="F511" t="s">
        <v>1601</v>
      </c>
      <c r="G511" t="s">
        <v>1601</v>
      </c>
      <c r="H511" s="10">
        <v>215498</v>
      </c>
      <c r="I511" t="str">
        <f>IFERROR(VLOOKUP(Final!F511,'LEAID Match'!$A$2:$B$374,2,FALSE),"")</f>
        <v/>
      </c>
      <c r="K511" s="10">
        <f t="shared" si="7"/>
        <v>215498</v>
      </c>
    </row>
    <row r="512" spans="1:11">
      <c r="A512" t="s">
        <v>2470</v>
      </c>
      <c r="B512" s="10">
        <v>2023</v>
      </c>
      <c r="C512" t="s">
        <v>105</v>
      </c>
      <c r="D512" t="s">
        <v>2472</v>
      </c>
      <c r="E512" t="s">
        <v>2474</v>
      </c>
      <c r="F512" t="s">
        <v>1601</v>
      </c>
      <c r="G512" t="s">
        <v>1601</v>
      </c>
      <c r="H512" s="10">
        <v>281477</v>
      </c>
      <c r="I512" t="str">
        <f>IFERROR(VLOOKUP(Final!F512,'LEAID Match'!$A$2:$B$374,2,FALSE),"")</f>
        <v/>
      </c>
      <c r="K512" s="10">
        <f t="shared" si="7"/>
        <v>281477</v>
      </c>
    </row>
    <row r="513" spans="1:11">
      <c r="A513" t="s">
        <v>2470</v>
      </c>
      <c r="B513" s="10">
        <v>2015</v>
      </c>
      <c r="C513" t="s">
        <v>166</v>
      </c>
      <c r="D513" t="s">
        <v>2472</v>
      </c>
      <c r="E513" t="s">
        <v>2474</v>
      </c>
      <c r="F513" t="s">
        <v>1602</v>
      </c>
      <c r="G513" t="s">
        <v>111</v>
      </c>
      <c r="H513" s="10">
        <v>20761</v>
      </c>
      <c r="I513" t="str">
        <f>IFERROR(VLOOKUP(Final!F513,'LEAID Match'!$A$2:$B$374,2,FALSE),"")</f>
        <v/>
      </c>
      <c r="K513" s="10">
        <f t="shared" si="7"/>
        <v>20761</v>
      </c>
    </row>
    <row r="514" spans="1:11">
      <c r="A514" t="s">
        <v>2470</v>
      </c>
      <c r="B514" s="10">
        <v>2016</v>
      </c>
      <c r="C514" t="s">
        <v>166</v>
      </c>
      <c r="D514" t="s">
        <v>2472</v>
      </c>
      <c r="E514" t="s">
        <v>2474</v>
      </c>
      <c r="F514" t="s">
        <v>1602</v>
      </c>
      <c r="G514" t="s">
        <v>111</v>
      </c>
      <c r="H514" s="10">
        <v>21310</v>
      </c>
      <c r="I514" t="str">
        <f>IFERROR(VLOOKUP(Final!F514,'LEAID Match'!$A$2:$B$374,2,FALSE),"")</f>
        <v/>
      </c>
      <c r="K514" s="10">
        <f t="shared" si="7"/>
        <v>21310</v>
      </c>
    </row>
    <row r="515" spans="1:11">
      <c r="A515" t="s">
        <v>2470</v>
      </c>
      <c r="B515" s="10">
        <v>2017</v>
      </c>
      <c r="C515" t="s">
        <v>166</v>
      </c>
      <c r="D515" t="s">
        <v>2472</v>
      </c>
      <c r="E515" t="s">
        <v>2474</v>
      </c>
      <c r="F515" t="s">
        <v>1602</v>
      </c>
      <c r="G515" t="s">
        <v>1602</v>
      </c>
      <c r="H515" s="10">
        <v>22915</v>
      </c>
      <c r="I515" t="str">
        <f>IFERROR(VLOOKUP(Final!F515,'LEAID Match'!$A$2:$B$374,2,FALSE),"")</f>
        <v/>
      </c>
      <c r="K515" s="10">
        <f t="shared" ref="K515:K578" si="8">SUM(H515,J515)</f>
        <v>22915</v>
      </c>
    </row>
    <row r="516" spans="1:11">
      <c r="A516" t="s">
        <v>2470</v>
      </c>
      <c r="B516" s="10">
        <v>2018</v>
      </c>
      <c r="C516" t="s">
        <v>166</v>
      </c>
      <c r="D516" t="s">
        <v>2472</v>
      </c>
      <c r="E516" t="s">
        <v>2474</v>
      </c>
      <c r="F516" t="s">
        <v>1602</v>
      </c>
      <c r="G516" t="s">
        <v>2112</v>
      </c>
      <c r="H516" s="10">
        <v>21811</v>
      </c>
      <c r="I516" t="str">
        <f>IFERROR(VLOOKUP(Final!F516,'LEAID Match'!$A$2:$B$374,2,FALSE),"")</f>
        <v/>
      </c>
      <c r="K516" s="10">
        <f t="shared" si="8"/>
        <v>21811</v>
      </c>
    </row>
    <row r="517" spans="1:11">
      <c r="A517" t="s">
        <v>2470</v>
      </c>
      <c r="B517" s="10">
        <v>2019</v>
      </c>
      <c r="C517" t="s">
        <v>166</v>
      </c>
      <c r="D517" t="s">
        <v>2472</v>
      </c>
      <c r="E517" t="s">
        <v>2474</v>
      </c>
      <c r="F517" t="s">
        <v>1602</v>
      </c>
      <c r="G517" t="s">
        <v>1602</v>
      </c>
      <c r="H517" s="10">
        <v>20345</v>
      </c>
      <c r="I517" t="str">
        <f>IFERROR(VLOOKUP(Final!F517,'LEAID Match'!$A$2:$B$374,2,FALSE),"")</f>
        <v/>
      </c>
      <c r="K517" s="10">
        <f t="shared" si="8"/>
        <v>20345</v>
      </c>
    </row>
    <row r="518" spans="1:11">
      <c r="A518" t="s">
        <v>2470</v>
      </c>
      <c r="B518" s="10">
        <v>2020</v>
      </c>
      <c r="C518" t="s">
        <v>166</v>
      </c>
      <c r="D518" t="s">
        <v>2472</v>
      </c>
      <c r="E518" t="s">
        <v>2474</v>
      </c>
      <c r="F518" t="s">
        <v>1602</v>
      </c>
      <c r="G518" t="s">
        <v>1602</v>
      </c>
      <c r="H518" s="10">
        <v>20183</v>
      </c>
      <c r="I518" t="str">
        <f>IFERROR(VLOOKUP(Final!F518,'LEAID Match'!$A$2:$B$374,2,FALSE),"")</f>
        <v/>
      </c>
      <c r="K518" s="10">
        <f t="shared" si="8"/>
        <v>20183</v>
      </c>
    </row>
    <row r="519" spans="1:11">
      <c r="A519" t="s">
        <v>2470</v>
      </c>
      <c r="B519" s="10">
        <v>2021</v>
      </c>
      <c r="C519" t="s">
        <v>166</v>
      </c>
      <c r="D519" t="s">
        <v>2472</v>
      </c>
      <c r="E519" t="s">
        <v>2474</v>
      </c>
      <c r="F519" t="s">
        <v>1602</v>
      </c>
      <c r="G519" t="s">
        <v>1602</v>
      </c>
      <c r="H519" s="10">
        <v>24118</v>
      </c>
      <c r="I519" t="str">
        <f>IFERROR(VLOOKUP(Final!F519,'LEAID Match'!$A$2:$B$374,2,FALSE),"")</f>
        <v/>
      </c>
      <c r="K519" s="10">
        <f t="shared" si="8"/>
        <v>24118</v>
      </c>
    </row>
    <row r="520" spans="1:11">
      <c r="A520" t="s">
        <v>2470</v>
      </c>
      <c r="B520" s="10">
        <v>2022</v>
      </c>
      <c r="C520" t="s">
        <v>166</v>
      </c>
      <c r="D520" t="s">
        <v>2472</v>
      </c>
      <c r="E520" t="s">
        <v>2474</v>
      </c>
      <c r="F520" t="s">
        <v>1602</v>
      </c>
      <c r="G520" t="s">
        <v>1602</v>
      </c>
      <c r="H520" s="10">
        <v>20590</v>
      </c>
      <c r="I520" t="str">
        <f>IFERROR(VLOOKUP(Final!F520,'LEAID Match'!$A$2:$B$374,2,FALSE),"")</f>
        <v/>
      </c>
      <c r="K520" s="10">
        <f t="shared" si="8"/>
        <v>20590</v>
      </c>
    </row>
    <row r="521" spans="1:11">
      <c r="A521" t="s">
        <v>2470</v>
      </c>
      <c r="B521" s="10">
        <v>2023</v>
      </c>
      <c r="C521" t="s">
        <v>166</v>
      </c>
      <c r="D521" t="s">
        <v>2472</v>
      </c>
      <c r="E521" t="s">
        <v>2474</v>
      </c>
      <c r="F521" t="s">
        <v>1602</v>
      </c>
      <c r="G521" t="s">
        <v>1602</v>
      </c>
      <c r="H521" s="10">
        <v>23529</v>
      </c>
      <c r="I521" t="str">
        <f>IFERROR(VLOOKUP(Final!F521,'LEAID Match'!$A$2:$B$374,2,FALSE),"")</f>
        <v/>
      </c>
      <c r="K521" s="10">
        <f t="shared" si="8"/>
        <v>23529</v>
      </c>
    </row>
    <row r="522" spans="1:11">
      <c r="A522" t="s">
        <v>2470</v>
      </c>
      <c r="B522" s="10">
        <v>2015</v>
      </c>
      <c r="C522" t="s">
        <v>106</v>
      </c>
      <c r="D522" t="s">
        <v>2472</v>
      </c>
      <c r="E522" t="s">
        <v>2474</v>
      </c>
      <c r="F522" t="s">
        <v>1519</v>
      </c>
      <c r="G522" t="s">
        <v>52</v>
      </c>
      <c r="H522" s="10">
        <v>6429</v>
      </c>
      <c r="I522" t="str">
        <f>IFERROR(VLOOKUP(Final!F522,'LEAID Match'!$A$2:$B$374,2,FALSE),"")</f>
        <v/>
      </c>
      <c r="K522" s="10">
        <f t="shared" si="8"/>
        <v>6429</v>
      </c>
    </row>
    <row r="523" spans="1:11">
      <c r="A523" t="s">
        <v>2470</v>
      </c>
      <c r="B523" s="10">
        <v>2016</v>
      </c>
      <c r="C523" t="s">
        <v>106</v>
      </c>
      <c r="D523" t="s">
        <v>2472</v>
      </c>
      <c r="E523" t="s">
        <v>2474</v>
      </c>
      <c r="F523" t="s">
        <v>1519</v>
      </c>
      <c r="G523" t="s">
        <v>52</v>
      </c>
      <c r="H523" s="10">
        <v>9897</v>
      </c>
      <c r="I523" t="str">
        <f>IFERROR(VLOOKUP(Final!F523,'LEAID Match'!$A$2:$B$374,2,FALSE),"")</f>
        <v/>
      </c>
      <c r="K523" s="10">
        <f t="shared" si="8"/>
        <v>9897</v>
      </c>
    </row>
    <row r="524" spans="1:11">
      <c r="A524" t="s">
        <v>2470</v>
      </c>
      <c r="B524" s="10">
        <v>2017</v>
      </c>
      <c r="C524" t="s">
        <v>106</v>
      </c>
      <c r="D524" t="s">
        <v>2472</v>
      </c>
      <c r="E524" t="s">
        <v>2474</v>
      </c>
      <c r="F524" t="s">
        <v>1519</v>
      </c>
      <c r="G524" t="s">
        <v>1519</v>
      </c>
      <c r="H524" s="10">
        <v>7492</v>
      </c>
      <c r="I524" t="str">
        <f>IFERROR(VLOOKUP(Final!F524,'LEAID Match'!$A$2:$B$374,2,FALSE),"")</f>
        <v/>
      </c>
      <c r="K524" s="10">
        <f t="shared" si="8"/>
        <v>7492</v>
      </c>
    </row>
    <row r="525" spans="1:11">
      <c r="A525" t="s">
        <v>2470</v>
      </c>
      <c r="B525" s="10">
        <v>2018</v>
      </c>
      <c r="C525" t="s">
        <v>106</v>
      </c>
      <c r="D525" t="s">
        <v>2472</v>
      </c>
      <c r="E525" t="s">
        <v>2474</v>
      </c>
      <c r="F525" t="s">
        <v>1519</v>
      </c>
      <c r="G525" t="s">
        <v>1519</v>
      </c>
      <c r="H525" s="10">
        <v>7446</v>
      </c>
      <c r="I525" t="str">
        <f>IFERROR(VLOOKUP(Final!F525,'LEAID Match'!$A$2:$B$374,2,FALSE),"")</f>
        <v/>
      </c>
      <c r="K525" s="10">
        <f t="shared" si="8"/>
        <v>7446</v>
      </c>
    </row>
    <row r="526" spans="1:11">
      <c r="A526" t="s">
        <v>2470</v>
      </c>
      <c r="B526" s="10">
        <v>2019</v>
      </c>
      <c r="C526" t="s">
        <v>106</v>
      </c>
      <c r="D526" t="s">
        <v>2472</v>
      </c>
      <c r="E526" t="s">
        <v>2474</v>
      </c>
      <c r="F526" t="s">
        <v>1519</v>
      </c>
      <c r="G526" t="s">
        <v>1519</v>
      </c>
      <c r="H526" s="10">
        <v>6488</v>
      </c>
      <c r="I526" t="str">
        <f>IFERROR(VLOOKUP(Final!F526,'LEAID Match'!$A$2:$B$374,2,FALSE),"")</f>
        <v/>
      </c>
      <c r="K526" s="10">
        <f t="shared" si="8"/>
        <v>6488</v>
      </c>
    </row>
    <row r="527" spans="1:11">
      <c r="A527" t="s">
        <v>2470</v>
      </c>
      <c r="B527" s="10">
        <v>2020</v>
      </c>
      <c r="C527" t="s">
        <v>106</v>
      </c>
      <c r="D527" t="s">
        <v>2472</v>
      </c>
      <c r="E527" t="s">
        <v>2474</v>
      </c>
      <c r="F527" t="s">
        <v>1519</v>
      </c>
      <c r="G527" t="s">
        <v>1519</v>
      </c>
      <c r="H527" s="10">
        <v>7443</v>
      </c>
      <c r="I527" t="str">
        <f>IFERROR(VLOOKUP(Final!F527,'LEAID Match'!$A$2:$B$374,2,FALSE),"")</f>
        <v/>
      </c>
      <c r="K527" s="10">
        <f t="shared" si="8"/>
        <v>7443</v>
      </c>
    </row>
    <row r="528" spans="1:11">
      <c r="A528" t="s">
        <v>2470</v>
      </c>
      <c r="B528" s="10">
        <v>2021</v>
      </c>
      <c r="C528" t="s">
        <v>106</v>
      </c>
      <c r="D528" t="s">
        <v>2472</v>
      </c>
      <c r="E528" t="s">
        <v>2474</v>
      </c>
      <c r="F528" t="s">
        <v>1519</v>
      </c>
      <c r="G528" t="s">
        <v>1519</v>
      </c>
      <c r="H528" s="10">
        <v>7817</v>
      </c>
      <c r="I528" t="str">
        <f>IFERROR(VLOOKUP(Final!F528,'LEAID Match'!$A$2:$B$374,2,FALSE),"")</f>
        <v/>
      </c>
      <c r="K528" s="10">
        <f t="shared" si="8"/>
        <v>7817</v>
      </c>
    </row>
    <row r="529" spans="1:11">
      <c r="A529" t="s">
        <v>2470</v>
      </c>
      <c r="B529" s="10">
        <v>2022</v>
      </c>
      <c r="C529" t="s">
        <v>106</v>
      </c>
      <c r="D529" t="s">
        <v>2472</v>
      </c>
      <c r="E529" t="s">
        <v>2474</v>
      </c>
      <c r="F529" t="s">
        <v>1519</v>
      </c>
      <c r="G529" t="s">
        <v>1519</v>
      </c>
      <c r="H529" s="10">
        <v>9539</v>
      </c>
      <c r="I529" t="str">
        <f>IFERROR(VLOOKUP(Final!F529,'LEAID Match'!$A$2:$B$374,2,FALSE),"")</f>
        <v/>
      </c>
      <c r="K529" s="10">
        <f t="shared" si="8"/>
        <v>9539</v>
      </c>
    </row>
    <row r="530" spans="1:11">
      <c r="A530" t="s">
        <v>2470</v>
      </c>
      <c r="B530" s="10">
        <v>2023</v>
      </c>
      <c r="C530" t="s">
        <v>106</v>
      </c>
      <c r="D530" t="s">
        <v>2472</v>
      </c>
      <c r="E530" t="s">
        <v>2474</v>
      </c>
      <c r="F530" t="s">
        <v>1519</v>
      </c>
      <c r="G530" t="s">
        <v>1519</v>
      </c>
      <c r="H530" s="10">
        <v>12413</v>
      </c>
      <c r="I530" t="str">
        <f>IFERROR(VLOOKUP(Final!F530,'LEAID Match'!$A$2:$B$374,2,FALSE),"")</f>
        <v/>
      </c>
      <c r="K530" s="10">
        <f t="shared" si="8"/>
        <v>12413</v>
      </c>
    </row>
    <row r="531" spans="1:11">
      <c r="A531" t="s">
        <v>2470</v>
      </c>
      <c r="B531" s="10">
        <v>2015</v>
      </c>
      <c r="C531" t="s">
        <v>107</v>
      </c>
      <c r="D531" t="s">
        <v>2472</v>
      </c>
      <c r="E531" t="s">
        <v>2474</v>
      </c>
      <c r="F531" t="s">
        <v>1520</v>
      </c>
      <c r="G531" t="s">
        <v>53</v>
      </c>
      <c r="H531" s="10">
        <v>20367</v>
      </c>
      <c r="I531" t="str">
        <f>IFERROR(VLOOKUP(Final!F531,'LEAID Match'!$A$2:$B$374,2,FALSE),"")</f>
        <v/>
      </c>
      <c r="K531" s="10">
        <f t="shared" si="8"/>
        <v>20367</v>
      </c>
    </row>
    <row r="532" spans="1:11">
      <c r="A532" t="s">
        <v>2470</v>
      </c>
      <c r="B532" s="10">
        <v>2016</v>
      </c>
      <c r="C532" t="s">
        <v>107</v>
      </c>
      <c r="D532" t="s">
        <v>2472</v>
      </c>
      <c r="E532" t="s">
        <v>2474</v>
      </c>
      <c r="F532" t="s">
        <v>1520</v>
      </c>
      <c r="G532" t="s">
        <v>53</v>
      </c>
      <c r="H532" s="10">
        <v>23153</v>
      </c>
      <c r="I532" t="str">
        <f>IFERROR(VLOOKUP(Final!F532,'LEAID Match'!$A$2:$B$374,2,FALSE),"")</f>
        <v/>
      </c>
      <c r="K532" s="10">
        <f t="shared" si="8"/>
        <v>23153</v>
      </c>
    </row>
    <row r="533" spans="1:11">
      <c r="A533" t="s">
        <v>2470</v>
      </c>
      <c r="B533" s="10">
        <v>2017</v>
      </c>
      <c r="C533" t="s">
        <v>107</v>
      </c>
      <c r="D533" t="s">
        <v>2472</v>
      </c>
      <c r="E533" t="s">
        <v>2474</v>
      </c>
      <c r="F533" t="s">
        <v>1520</v>
      </c>
      <c r="G533" t="s">
        <v>1520</v>
      </c>
      <c r="H533" s="10">
        <v>24671</v>
      </c>
      <c r="I533" t="str">
        <f>IFERROR(VLOOKUP(Final!F533,'LEAID Match'!$A$2:$B$374,2,FALSE),"")</f>
        <v/>
      </c>
      <c r="K533" s="10">
        <f t="shared" si="8"/>
        <v>24671</v>
      </c>
    </row>
    <row r="534" spans="1:11">
      <c r="A534" t="s">
        <v>2470</v>
      </c>
      <c r="B534" s="10">
        <v>2018</v>
      </c>
      <c r="C534" t="s">
        <v>107</v>
      </c>
      <c r="D534" t="s">
        <v>2472</v>
      </c>
      <c r="E534" t="s">
        <v>2474</v>
      </c>
      <c r="F534" t="s">
        <v>1520</v>
      </c>
      <c r="G534" t="s">
        <v>2061</v>
      </c>
      <c r="H534" s="10">
        <v>22716</v>
      </c>
      <c r="I534" t="str">
        <f>IFERROR(VLOOKUP(Final!F534,'LEAID Match'!$A$2:$B$374,2,FALSE),"")</f>
        <v/>
      </c>
      <c r="K534" s="10">
        <f t="shared" si="8"/>
        <v>22716</v>
      </c>
    </row>
    <row r="535" spans="1:11">
      <c r="A535" t="s">
        <v>2470</v>
      </c>
      <c r="B535" s="10">
        <v>2019</v>
      </c>
      <c r="C535" t="s">
        <v>107</v>
      </c>
      <c r="D535" t="s">
        <v>2472</v>
      </c>
      <c r="E535" t="s">
        <v>2474</v>
      </c>
      <c r="F535" t="s">
        <v>1520</v>
      </c>
      <c r="G535" t="s">
        <v>1520</v>
      </c>
      <c r="H535" s="10">
        <v>24991</v>
      </c>
      <c r="I535" t="str">
        <f>IFERROR(VLOOKUP(Final!F535,'LEAID Match'!$A$2:$B$374,2,FALSE),"")</f>
        <v/>
      </c>
      <c r="K535" s="10">
        <f t="shared" si="8"/>
        <v>24991</v>
      </c>
    </row>
    <row r="536" spans="1:11">
      <c r="A536" t="s">
        <v>2470</v>
      </c>
      <c r="B536" s="10">
        <v>2020</v>
      </c>
      <c r="C536" t="s">
        <v>107</v>
      </c>
      <c r="D536" t="s">
        <v>2472</v>
      </c>
      <c r="E536" t="s">
        <v>2474</v>
      </c>
      <c r="F536" t="s">
        <v>1520</v>
      </c>
      <c r="G536" t="s">
        <v>1520</v>
      </c>
      <c r="H536" s="10">
        <v>25688</v>
      </c>
      <c r="I536" t="str">
        <f>IFERROR(VLOOKUP(Final!F536,'LEAID Match'!$A$2:$B$374,2,FALSE),"")</f>
        <v/>
      </c>
      <c r="K536" s="10">
        <f t="shared" si="8"/>
        <v>25688</v>
      </c>
    </row>
    <row r="537" spans="1:11">
      <c r="A537" t="s">
        <v>2470</v>
      </c>
      <c r="B537" s="10">
        <v>2021</v>
      </c>
      <c r="C537" t="s">
        <v>107</v>
      </c>
      <c r="D537" t="s">
        <v>2472</v>
      </c>
      <c r="E537" t="s">
        <v>2474</v>
      </c>
      <c r="F537" t="s">
        <v>1520</v>
      </c>
      <c r="G537" t="s">
        <v>1520</v>
      </c>
      <c r="H537" s="10">
        <v>29149</v>
      </c>
      <c r="I537" t="str">
        <f>IFERROR(VLOOKUP(Final!F537,'LEAID Match'!$A$2:$B$374,2,FALSE),"")</f>
        <v/>
      </c>
      <c r="K537" s="10">
        <f t="shared" si="8"/>
        <v>29149</v>
      </c>
    </row>
    <row r="538" spans="1:11">
      <c r="A538" t="s">
        <v>2470</v>
      </c>
      <c r="B538" s="10">
        <v>2022</v>
      </c>
      <c r="C538" t="s">
        <v>107</v>
      </c>
      <c r="D538" t="s">
        <v>2472</v>
      </c>
      <c r="E538" t="s">
        <v>2474</v>
      </c>
      <c r="F538" t="s">
        <v>1520</v>
      </c>
      <c r="G538" t="s">
        <v>1520</v>
      </c>
      <c r="H538" s="10">
        <v>34607</v>
      </c>
      <c r="I538" t="str">
        <f>IFERROR(VLOOKUP(Final!F538,'LEAID Match'!$A$2:$B$374,2,FALSE),"")</f>
        <v/>
      </c>
      <c r="K538" s="10">
        <f t="shared" si="8"/>
        <v>34607</v>
      </c>
    </row>
    <row r="539" spans="1:11">
      <c r="A539" t="s">
        <v>2470</v>
      </c>
      <c r="B539" s="10">
        <v>2023</v>
      </c>
      <c r="C539" t="s">
        <v>107</v>
      </c>
      <c r="D539" t="s">
        <v>2472</v>
      </c>
      <c r="E539" t="s">
        <v>2474</v>
      </c>
      <c r="F539" t="s">
        <v>1520</v>
      </c>
      <c r="G539" t="s">
        <v>1520</v>
      </c>
      <c r="H539" s="10">
        <v>37356</v>
      </c>
      <c r="I539" t="str">
        <f>IFERROR(VLOOKUP(Final!F539,'LEAID Match'!$A$2:$B$374,2,FALSE),"")</f>
        <v/>
      </c>
      <c r="K539" s="10">
        <f t="shared" si="8"/>
        <v>37356</v>
      </c>
    </row>
    <row r="540" spans="1:11">
      <c r="A540" t="s">
        <v>2470</v>
      </c>
      <c r="B540" s="10">
        <v>2015</v>
      </c>
      <c r="C540" t="s">
        <v>1397</v>
      </c>
      <c r="D540" t="s">
        <v>2472</v>
      </c>
      <c r="E540" t="s">
        <v>2474</v>
      </c>
      <c r="F540" t="s">
        <v>2356</v>
      </c>
      <c r="G540" t="s">
        <v>232</v>
      </c>
      <c r="H540" s="10">
        <v>28092</v>
      </c>
      <c r="I540" t="str">
        <f>IFERROR(VLOOKUP(Final!F540,'LEAID Match'!$A$2:$B$374,2,FALSE),"")</f>
        <v/>
      </c>
      <c r="K540" s="10">
        <f t="shared" si="8"/>
        <v>28092</v>
      </c>
    </row>
    <row r="541" spans="1:11">
      <c r="A541" t="s">
        <v>2470</v>
      </c>
      <c r="B541" s="10">
        <v>2016</v>
      </c>
      <c r="C541" t="s">
        <v>1397</v>
      </c>
      <c r="D541" t="s">
        <v>2472</v>
      </c>
      <c r="E541" t="s">
        <v>2474</v>
      </c>
      <c r="F541" t="s">
        <v>2356</v>
      </c>
      <c r="G541" t="s">
        <v>232</v>
      </c>
      <c r="H541" s="10">
        <v>28770</v>
      </c>
      <c r="I541" t="str">
        <f>IFERROR(VLOOKUP(Final!F541,'LEAID Match'!$A$2:$B$374,2,FALSE),"")</f>
        <v/>
      </c>
      <c r="K541" s="10">
        <f t="shared" si="8"/>
        <v>28770</v>
      </c>
    </row>
    <row r="542" spans="1:11">
      <c r="A542" t="s">
        <v>2470</v>
      </c>
      <c r="B542" s="10">
        <v>2017</v>
      </c>
      <c r="C542" t="s">
        <v>1397</v>
      </c>
      <c r="D542" t="s">
        <v>2472</v>
      </c>
      <c r="E542" t="s">
        <v>2474</v>
      </c>
      <c r="F542" t="s">
        <v>2356</v>
      </c>
      <c r="G542" t="s">
        <v>1588</v>
      </c>
      <c r="H542" s="10">
        <v>36045</v>
      </c>
      <c r="I542" t="str">
        <f>IFERROR(VLOOKUP(Final!F542,'LEAID Match'!$A$2:$B$374,2,FALSE),"")</f>
        <v/>
      </c>
      <c r="K542" s="10">
        <f t="shared" si="8"/>
        <v>36045</v>
      </c>
    </row>
    <row r="543" spans="1:11">
      <c r="A543" t="s">
        <v>2470</v>
      </c>
      <c r="B543" s="10">
        <v>2018</v>
      </c>
      <c r="C543" t="s">
        <v>1397</v>
      </c>
      <c r="D543" t="s">
        <v>2472</v>
      </c>
      <c r="E543" t="s">
        <v>2474</v>
      </c>
      <c r="F543" t="s">
        <v>2356</v>
      </c>
      <c r="G543" t="s">
        <v>2107</v>
      </c>
      <c r="H543" s="10">
        <v>38390</v>
      </c>
      <c r="I543" t="str">
        <f>IFERROR(VLOOKUP(Final!F543,'LEAID Match'!$A$2:$B$374,2,FALSE),"")</f>
        <v/>
      </c>
      <c r="K543" s="10">
        <f t="shared" si="8"/>
        <v>38390</v>
      </c>
    </row>
    <row r="544" spans="1:11">
      <c r="A544" t="s">
        <v>2470</v>
      </c>
      <c r="B544" s="10">
        <v>2019</v>
      </c>
      <c r="C544" t="s">
        <v>1397</v>
      </c>
      <c r="D544" t="s">
        <v>2472</v>
      </c>
      <c r="E544" t="s">
        <v>2474</v>
      </c>
      <c r="F544" t="s">
        <v>2356</v>
      </c>
      <c r="G544" t="s">
        <v>2356</v>
      </c>
      <c r="H544" s="10">
        <v>40373</v>
      </c>
      <c r="I544" t="str">
        <f>IFERROR(VLOOKUP(Final!F544,'LEAID Match'!$A$2:$B$374,2,FALSE),"")</f>
        <v/>
      </c>
      <c r="K544" s="10">
        <f t="shared" si="8"/>
        <v>40373</v>
      </c>
    </row>
    <row r="545" spans="1:11">
      <c r="A545" t="s">
        <v>2470</v>
      </c>
      <c r="B545" s="10">
        <v>2020</v>
      </c>
      <c r="C545" t="s">
        <v>1397</v>
      </c>
      <c r="D545" t="s">
        <v>2472</v>
      </c>
      <c r="E545" t="s">
        <v>2474</v>
      </c>
      <c r="F545" t="s">
        <v>2356</v>
      </c>
      <c r="G545" t="s">
        <v>2356</v>
      </c>
      <c r="H545" s="10">
        <v>39406</v>
      </c>
      <c r="I545" t="str">
        <f>IFERROR(VLOOKUP(Final!F545,'LEAID Match'!$A$2:$B$374,2,FALSE),"")</f>
        <v/>
      </c>
      <c r="K545" s="10">
        <f t="shared" si="8"/>
        <v>39406</v>
      </c>
    </row>
    <row r="546" spans="1:11">
      <c r="A546" t="s">
        <v>2470</v>
      </c>
      <c r="B546" s="10">
        <v>2021</v>
      </c>
      <c r="C546" t="s">
        <v>1397</v>
      </c>
      <c r="D546" t="s">
        <v>2472</v>
      </c>
      <c r="E546" t="s">
        <v>2474</v>
      </c>
      <c r="F546" t="s">
        <v>2356</v>
      </c>
      <c r="G546" t="s">
        <v>1588</v>
      </c>
      <c r="H546" s="10">
        <v>35072</v>
      </c>
      <c r="I546" t="str">
        <f>IFERROR(VLOOKUP(Final!F546,'LEAID Match'!$A$2:$B$374,2,FALSE),"")</f>
        <v/>
      </c>
      <c r="K546" s="10">
        <f t="shared" si="8"/>
        <v>35072</v>
      </c>
    </row>
    <row r="547" spans="1:11">
      <c r="A547" t="s">
        <v>2470</v>
      </c>
      <c r="B547" s="10">
        <v>2022</v>
      </c>
      <c r="C547" t="s">
        <v>1397</v>
      </c>
      <c r="D547" t="s">
        <v>2472</v>
      </c>
      <c r="E547" t="s">
        <v>2474</v>
      </c>
      <c r="F547" t="s">
        <v>2356</v>
      </c>
      <c r="G547" t="s">
        <v>1588</v>
      </c>
      <c r="H547" s="10">
        <v>37926</v>
      </c>
      <c r="I547" t="str">
        <f>IFERROR(VLOOKUP(Final!F547,'LEAID Match'!$A$2:$B$374,2,FALSE),"")</f>
        <v/>
      </c>
      <c r="K547" s="10">
        <f t="shared" si="8"/>
        <v>37926</v>
      </c>
    </row>
    <row r="548" spans="1:11">
      <c r="A548" t="s">
        <v>2470</v>
      </c>
      <c r="B548" s="10">
        <v>2023</v>
      </c>
      <c r="C548" t="s">
        <v>1397</v>
      </c>
      <c r="D548" t="s">
        <v>2472</v>
      </c>
      <c r="E548" t="s">
        <v>2474</v>
      </c>
      <c r="F548" t="s">
        <v>2356</v>
      </c>
      <c r="G548" t="s">
        <v>2356</v>
      </c>
      <c r="H548" s="10">
        <v>45307</v>
      </c>
      <c r="I548" t="str">
        <f>IFERROR(VLOOKUP(Final!F548,'LEAID Match'!$A$2:$B$374,2,FALSE),"")</f>
        <v/>
      </c>
      <c r="K548" s="10">
        <f t="shared" si="8"/>
        <v>45307</v>
      </c>
    </row>
    <row r="549" spans="1:11">
      <c r="A549" t="s">
        <v>2470</v>
      </c>
      <c r="B549" s="10">
        <v>2015</v>
      </c>
      <c r="C549" t="s">
        <v>179</v>
      </c>
      <c r="D549" t="s">
        <v>2472</v>
      </c>
      <c r="E549" t="s">
        <v>2474</v>
      </c>
      <c r="F549" t="s">
        <v>1545</v>
      </c>
      <c r="G549" t="s">
        <v>124</v>
      </c>
      <c r="H549" s="10">
        <v>143598</v>
      </c>
      <c r="I549" t="str">
        <f>IFERROR(VLOOKUP(Final!F549,'LEAID Match'!$A$2:$B$374,2,FALSE),"")</f>
        <v/>
      </c>
      <c r="K549" s="10">
        <f t="shared" si="8"/>
        <v>143598</v>
      </c>
    </row>
    <row r="550" spans="1:11">
      <c r="A550" t="s">
        <v>2470</v>
      </c>
      <c r="B550" s="10">
        <v>2016</v>
      </c>
      <c r="C550" t="s">
        <v>179</v>
      </c>
      <c r="D550" t="s">
        <v>2472</v>
      </c>
      <c r="E550" t="s">
        <v>2474</v>
      </c>
      <c r="F550" t="s">
        <v>1545</v>
      </c>
      <c r="G550" t="s">
        <v>124</v>
      </c>
      <c r="H550" s="10"/>
      <c r="I550" t="str">
        <f>IFERROR(VLOOKUP(Final!F550,'LEAID Match'!$A$2:$B$374,2,FALSE),"")</f>
        <v/>
      </c>
      <c r="K550" s="10">
        <f t="shared" si="8"/>
        <v>0</v>
      </c>
    </row>
    <row r="551" spans="1:11">
      <c r="A551" t="s">
        <v>2470</v>
      </c>
      <c r="B551" s="10">
        <v>2017</v>
      </c>
      <c r="C551" t="s">
        <v>179</v>
      </c>
      <c r="D551" t="s">
        <v>2472</v>
      </c>
      <c r="E551" t="s">
        <v>2474</v>
      </c>
      <c r="F551" t="s">
        <v>1545</v>
      </c>
      <c r="G551" t="s">
        <v>1545</v>
      </c>
      <c r="H551" s="10"/>
      <c r="I551" t="str">
        <f>IFERROR(VLOOKUP(Final!F551,'LEAID Match'!$A$2:$B$374,2,FALSE),"")</f>
        <v/>
      </c>
      <c r="K551" s="10">
        <f t="shared" si="8"/>
        <v>0</v>
      </c>
    </row>
    <row r="552" spans="1:11">
      <c r="A552" t="s">
        <v>2470</v>
      </c>
      <c r="B552" s="10">
        <v>2018</v>
      </c>
      <c r="C552" t="s">
        <v>179</v>
      </c>
      <c r="D552" t="s">
        <v>2472</v>
      </c>
      <c r="E552" t="s">
        <v>2474</v>
      </c>
      <c r="F552" t="s">
        <v>1545</v>
      </c>
      <c r="G552" t="s">
        <v>2076</v>
      </c>
      <c r="H552" s="10"/>
      <c r="I552" t="str">
        <f>IFERROR(VLOOKUP(Final!F552,'LEAID Match'!$A$2:$B$374,2,FALSE),"")</f>
        <v/>
      </c>
      <c r="K552" s="10">
        <f t="shared" si="8"/>
        <v>0</v>
      </c>
    </row>
    <row r="553" spans="1:11">
      <c r="A553" t="s">
        <v>2470</v>
      </c>
      <c r="B553" s="10">
        <v>2019</v>
      </c>
      <c r="C553" t="s">
        <v>179</v>
      </c>
      <c r="D553" t="s">
        <v>2472</v>
      </c>
      <c r="E553" t="s">
        <v>2474</v>
      </c>
      <c r="F553" t="s">
        <v>1545</v>
      </c>
      <c r="G553" t="s">
        <v>1545</v>
      </c>
      <c r="H553" s="10"/>
      <c r="I553" t="str">
        <f>IFERROR(VLOOKUP(Final!F553,'LEAID Match'!$A$2:$B$374,2,FALSE),"")</f>
        <v/>
      </c>
      <c r="K553" s="10">
        <f t="shared" si="8"/>
        <v>0</v>
      </c>
    </row>
    <row r="554" spans="1:11">
      <c r="A554" t="s">
        <v>2470</v>
      </c>
      <c r="B554" s="10">
        <v>2015</v>
      </c>
      <c r="C554" t="s">
        <v>86</v>
      </c>
      <c r="D554" t="s">
        <v>2472</v>
      </c>
      <c r="E554" t="s">
        <v>2474</v>
      </c>
      <c r="F554" t="s">
        <v>1603</v>
      </c>
      <c r="G554" t="s">
        <v>33</v>
      </c>
      <c r="H554" s="10">
        <v>16644</v>
      </c>
      <c r="I554" t="str">
        <f>IFERROR(VLOOKUP(Final!F554,'LEAID Match'!$A$2:$B$374,2,FALSE),"")</f>
        <v/>
      </c>
      <c r="K554" s="10">
        <f t="shared" si="8"/>
        <v>16644</v>
      </c>
    </row>
    <row r="555" spans="1:11">
      <c r="A555" t="s">
        <v>2470</v>
      </c>
      <c r="B555" s="10">
        <v>2016</v>
      </c>
      <c r="C555" t="s">
        <v>86</v>
      </c>
      <c r="D555" t="s">
        <v>2472</v>
      </c>
      <c r="E555" t="s">
        <v>2474</v>
      </c>
      <c r="F555" t="s">
        <v>1603</v>
      </c>
      <c r="G555" t="s">
        <v>33</v>
      </c>
      <c r="H555" s="10">
        <v>17645</v>
      </c>
      <c r="I555" t="str">
        <f>IFERROR(VLOOKUP(Final!F555,'LEAID Match'!$A$2:$B$374,2,FALSE),"")</f>
        <v/>
      </c>
      <c r="K555" s="10">
        <f t="shared" si="8"/>
        <v>17645</v>
      </c>
    </row>
    <row r="556" spans="1:11">
      <c r="A556" t="s">
        <v>2470</v>
      </c>
      <c r="B556" s="10">
        <v>2017</v>
      </c>
      <c r="C556" t="s">
        <v>86</v>
      </c>
      <c r="D556" t="s">
        <v>2472</v>
      </c>
      <c r="E556" t="s">
        <v>2474</v>
      </c>
      <c r="F556" t="s">
        <v>1603</v>
      </c>
      <c r="G556" t="s">
        <v>1603</v>
      </c>
      <c r="H556" s="10">
        <v>19009</v>
      </c>
      <c r="I556" t="str">
        <f>IFERROR(VLOOKUP(Final!F556,'LEAID Match'!$A$2:$B$374,2,FALSE),"")</f>
        <v/>
      </c>
      <c r="K556" s="10">
        <f t="shared" si="8"/>
        <v>19009</v>
      </c>
    </row>
    <row r="557" spans="1:11">
      <c r="A557" t="s">
        <v>2470</v>
      </c>
      <c r="B557" s="10">
        <v>2018</v>
      </c>
      <c r="C557" t="s">
        <v>86</v>
      </c>
      <c r="D557" t="s">
        <v>2472</v>
      </c>
      <c r="E557" t="s">
        <v>2474</v>
      </c>
      <c r="F557" t="s">
        <v>1603</v>
      </c>
      <c r="G557" t="s">
        <v>2113</v>
      </c>
      <c r="H557" s="10">
        <v>18235</v>
      </c>
      <c r="I557" t="str">
        <f>IFERROR(VLOOKUP(Final!F557,'LEAID Match'!$A$2:$B$374,2,FALSE),"")</f>
        <v/>
      </c>
      <c r="K557" s="10">
        <f t="shared" si="8"/>
        <v>18235</v>
      </c>
    </row>
    <row r="558" spans="1:11">
      <c r="A558" t="s">
        <v>2470</v>
      </c>
      <c r="B558" s="10">
        <v>2019</v>
      </c>
      <c r="C558" t="s">
        <v>86</v>
      </c>
      <c r="D558" t="s">
        <v>2472</v>
      </c>
      <c r="E558" t="s">
        <v>2474</v>
      </c>
      <c r="F558" t="s">
        <v>1603</v>
      </c>
      <c r="G558" t="s">
        <v>1603</v>
      </c>
      <c r="H558" s="10">
        <v>18234</v>
      </c>
      <c r="I558" t="str">
        <f>IFERROR(VLOOKUP(Final!F558,'LEAID Match'!$A$2:$B$374,2,FALSE),"")</f>
        <v/>
      </c>
      <c r="K558" s="10">
        <f t="shared" si="8"/>
        <v>18234</v>
      </c>
    </row>
    <row r="559" spans="1:11">
      <c r="A559" t="s">
        <v>2470</v>
      </c>
      <c r="B559" s="10">
        <v>2020</v>
      </c>
      <c r="C559" t="s">
        <v>86</v>
      </c>
      <c r="D559" t="s">
        <v>2472</v>
      </c>
      <c r="E559" t="s">
        <v>2474</v>
      </c>
      <c r="F559" t="s">
        <v>1603</v>
      </c>
      <c r="G559" t="s">
        <v>1603</v>
      </c>
      <c r="H559" s="10">
        <v>16905</v>
      </c>
      <c r="I559" t="str">
        <f>IFERROR(VLOOKUP(Final!F559,'LEAID Match'!$A$2:$B$374,2,FALSE),"")</f>
        <v/>
      </c>
      <c r="K559" s="10">
        <f t="shared" si="8"/>
        <v>16905</v>
      </c>
    </row>
    <row r="560" spans="1:11">
      <c r="A560" t="s">
        <v>2470</v>
      </c>
      <c r="B560" s="10">
        <v>2021</v>
      </c>
      <c r="C560" t="s">
        <v>86</v>
      </c>
      <c r="D560" t="s">
        <v>2472</v>
      </c>
      <c r="E560" t="s">
        <v>2474</v>
      </c>
      <c r="F560" t="s">
        <v>1603</v>
      </c>
      <c r="G560" t="s">
        <v>1603</v>
      </c>
      <c r="H560" s="10">
        <v>19852</v>
      </c>
      <c r="I560" t="str">
        <f>IFERROR(VLOOKUP(Final!F560,'LEAID Match'!$A$2:$B$374,2,FALSE),"")</f>
        <v/>
      </c>
      <c r="K560" s="10">
        <f t="shared" si="8"/>
        <v>19852</v>
      </c>
    </row>
    <row r="561" spans="1:11">
      <c r="A561" t="s">
        <v>2470</v>
      </c>
      <c r="B561" s="10">
        <v>2022</v>
      </c>
      <c r="C561" t="s">
        <v>86</v>
      </c>
      <c r="D561" t="s">
        <v>2472</v>
      </c>
      <c r="E561" t="s">
        <v>2474</v>
      </c>
      <c r="F561" t="s">
        <v>1603</v>
      </c>
      <c r="G561" t="s">
        <v>1603</v>
      </c>
      <c r="H561" s="10">
        <v>19738</v>
      </c>
      <c r="I561" t="str">
        <f>IFERROR(VLOOKUP(Final!F561,'LEAID Match'!$A$2:$B$374,2,FALSE),"")</f>
        <v/>
      </c>
      <c r="K561" s="10">
        <f t="shared" si="8"/>
        <v>19738</v>
      </c>
    </row>
    <row r="562" spans="1:11">
      <c r="A562" t="s">
        <v>2470</v>
      </c>
      <c r="B562" s="10">
        <v>2023</v>
      </c>
      <c r="C562" t="s">
        <v>86</v>
      </c>
      <c r="D562" t="s">
        <v>2472</v>
      </c>
      <c r="E562" t="s">
        <v>2474</v>
      </c>
      <c r="F562" t="s">
        <v>1603</v>
      </c>
      <c r="G562" t="s">
        <v>1603</v>
      </c>
      <c r="H562" s="10">
        <v>21664</v>
      </c>
      <c r="I562" t="str">
        <f>IFERROR(VLOOKUP(Final!F562,'LEAID Match'!$A$2:$B$374,2,FALSE),"")</f>
        <v/>
      </c>
      <c r="K562" s="10">
        <f t="shared" si="8"/>
        <v>21664</v>
      </c>
    </row>
    <row r="563" spans="1:11">
      <c r="A563" t="s">
        <v>2470</v>
      </c>
      <c r="B563" s="10">
        <v>2015</v>
      </c>
      <c r="C563" t="s">
        <v>198</v>
      </c>
      <c r="D563" t="s">
        <v>2472</v>
      </c>
      <c r="E563" t="s">
        <v>2474</v>
      </c>
      <c r="F563" t="s">
        <v>1553</v>
      </c>
      <c r="G563" t="s">
        <v>143</v>
      </c>
      <c r="H563" s="10">
        <v>140949</v>
      </c>
      <c r="I563" t="str">
        <f>IFERROR(VLOOKUP(Final!F563,'LEAID Match'!$A$2:$B$374,2,FALSE),"")</f>
        <v/>
      </c>
      <c r="K563" s="10">
        <f t="shared" si="8"/>
        <v>140949</v>
      </c>
    </row>
    <row r="564" spans="1:11">
      <c r="A564" t="s">
        <v>2470</v>
      </c>
      <c r="B564" s="10">
        <v>2016</v>
      </c>
      <c r="C564" t="s">
        <v>198</v>
      </c>
      <c r="D564" t="s">
        <v>2472</v>
      </c>
      <c r="E564" t="s">
        <v>2474</v>
      </c>
      <c r="F564" t="s">
        <v>1553</v>
      </c>
      <c r="G564" t="s">
        <v>143</v>
      </c>
      <c r="H564" s="10">
        <v>142219</v>
      </c>
      <c r="I564" t="str">
        <f>IFERROR(VLOOKUP(Final!F564,'LEAID Match'!$A$2:$B$374,2,FALSE),"")</f>
        <v/>
      </c>
      <c r="K564" s="10">
        <f t="shared" si="8"/>
        <v>142219</v>
      </c>
    </row>
    <row r="565" spans="1:11">
      <c r="A565" t="s">
        <v>2470</v>
      </c>
      <c r="B565" s="10">
        <v>2017</v>
      </c>
      <c r="C565" t="s">
        <v>198</v>
      </c>
      <c r="D565" t="s">
        <v>2472</v>
      </c>
      <c r="E565" t="s">
        <v>2474</v>
      </c>
      <c r="F565" t="s">
        <v>1553</v>
      </c>
      <c r="G565" t="s">
        <v>1553</v>
      </c>
      <c r="H565" s="10">
        <v>141885</v>
      </c>
      <c r="I565" t="str">
        <f>IFERROR(VLOOKUP(Final!F565,'LEAID Match'!$A$2:$B$374,2,FALSE),"")</f>
        <v/>
      </c>
      <c r="K565" s="10">
        <f t="shared" si="8"/>
        <v>141885</v>
      </c>
    </row>
    <row r="566" spans="1:11">
      <c r="A566" t="s">
        <v>2470</v>
      </c>
      <c r="B566" s="10">
        <v>2018</v>
      </c>
      <c r="C566" t="s">
        <v>198</v>
      </c>
      <c r="D566" t="s">
        <v>2472</v>
      </c>
      <c r="E566" t="s">
        <v>2474</v>
      </c>
      <c r="F566" t="s">
        <v>1553</v>
      </c>
      <c r="G566" t="s">
        <v>1553</v>
      </c>
      <c r="H566" s="10">
        <v>141156</v>
      </c>
      <c r="I566" t="str">
        <f>IFERROR(VLOOKUP(Final!F566,'LEAID Match'!$A$2:$B$374,2,FALSE),"")</f>
        <v/>
      </c>
      <c r="K566" s="10">
        <f t="shared" si="8"/>
        <v>141156</v>
      </c>
    </row>
    <row r="567" spans="1:11">
      <c r="A567" t="s">
        <v>2470</v>
      </c>
      <c r="B567" s="10">
        <v>2019</v>
      </c>
      <c r="C567" t="s">
        <v>198</v>
      </c>
      <c r="D567" t="s">
        <v>2472</v>
      </c>
      <c r="E567" t="s">
        <v>2474</v>
      </c>
      <c r="F567" t="s">
        <v>1553</v>
      </c>
      <c r="G567" t="s">
        <v>1553</v>
      </c>
      <c r="H567" s="10">
        <v>141584</v>
      </c>
      <c r="I567" t="str">
        <f>IFERROR(VLOOKUP(Final!F567,'LEAID Match'!$A$2:$B$374,2,FALSE),"")</f>
        <v/>
      </c>
      <c r="K567" s="10">
        <f t="shared" si="8"/>
        <v>141584</v>
      </c>
    </row>
    <row r="568" spans="1:11">
      <c r="A568" t="s">
        <v>2470</v>
      </c>
      <c r="B568" s="10">
        <v>2020</v>
      </c>
      <c r="C568" t="s">
        <v>198</v>
      </c>
      <c r="D568" t="s">
        <v>2472</v>
      </c>
      <c r="E568" t="s">
        <v>2474</v>
      </c>
      <c r="F568" t="s">
        <v>1553</v>
      </c>
      <c r="G568" t="s">
        <v>1553</v>
      </c>
      <c r="H568" s="10">
        <v>140167</v>
      </c>
      <c r="I568" t="str">
        <f>IFERROR(VLOOKUP(Final!F568,'LEAID Match'!$A$2:$B$374,2,FALSE),"")</f>
        <v/>
      </c>
      <c r="K568" s="10">
        <f t="shared" si="8"/>
        <v>140167</v>
      </c>
    </row>
    <row r="569" spans="1:11">
      <c r="A569" t="s">
        <v>2470</v>
      </c>
      <c r="B569" s="10">
        <v>2021</v>
      </c>
      <c r="C569" t="s">
        <v>198</v>
      </c>
      <c r="D569" t="s">
        <v>2472</v>
      </c>
      <c r="E569" t="s">
        <v>2474</v>
      </c>
      <c r="F569" t="s">
        <v>1553</v>
      </c>
      <c r="G569" t="s">
        <v>1553</v>
      </c>
      <c r="H569" s="10">
        <v>147818</v>
      </c>
      <c r="I569" t="str">
        <f>IFERROR(VLOOKUP(Final!F569,'LEAID Match'!$A$2:$B$374,2,FALSE),"")</f>
        <v/>
      </c>
      <c r="K569" s="10">
        <f t="shared" si="8"/>
        <v>147818</v>
      </c>
    </row>
    <row r="570" spans="1:11">
      <c r="A570" t="s">
        <v>2470</v>
      </c>
      <c r="B570" s="10">
        <v>2022</v>
      </c>
      <c r="C570" t="s">
        <v>198</v>
      </c>
      <c r="D570" t="s">
        <v>2472</v>
      </c>
      <c r="E570" t="s">
        <v>2474</v>
      </c>
      <c r="F570" t="s">
        <v>1553</v>
      </c>
      <c r="G570" t="s">
        <v>1553</v>
      </c>
      <c r="H570" s="10">
        <v>145898</v>
      </c>
      <c r="I570" t="str">
        <f>IFERROR(VLOOKUP(Final!F570,'LEAID Match'!$A$2:$B$374,2,FALSE),"")</f>
        <v/>
      </c>
      <c r="K570" s="10">
        <f t="shared" si="8"/>
        <v>145898</v>
      </c>
    </row>
    <row r="571" spans="1:11">
      <c r="A571" t="s">
        <v>2470</v>
      </c>
      <c r="B571" s="10">
        <v>2023</v>
      </c>
      <c r="C571" t="s">
        <v>198</v>
      </c>
      <c r="D571" t="s">
        <v>2472</v>
      </c>
      <c r="E571" t="s">
        <v>2474</v>
      </c>
      <c r="F571" t="s">
        <v>1553</v>
      </c>
      <c r="G571" t="s">
        <v>1553</v>
      </c>
      <c r="H571" s="10">
        <v>162693</v>
      </c>
      <c r="I571" t="str">
        <f>IFERROR(VLOOKUP(Final!F571,'LEAID Match'!$A$2:$B$374,2,FALSE),"")</f>
        <v/>
      </c>
      <c r="K571" s="10">
        <f t="shared" si="8"/>
        <v>162693</v>
      </c>
    </row>
    <row r="572" spans="1:11">
      <c r="A572" t="s">
        <v>2470</v>
      </c>
      <c r="B572" s="10">
        <v>2015</v>
      </c>
      <c r="C572" t="s">
        <v>1392</v>
      </c>
      <c r="D572" t="s">
        <v>2472</v>
      </c>
      <c r="E572" t="s">
        <v>2474</v>
      </c>
      <c r="F572" t="s">
        <v>1577</v>
      </c>
      <c r="G572" t="s">
        <v>226</v>
      </c>
      <c r="H572" s="10">
        <v>77743</v>
      </c>
      <c r="I572" t="str">
        <f>IFERROR(VLOOKUP(Final!F572,'LEAID Match'!$A$2:$B$374,2,FALSE),"")</f>
        <v/>
      </c>
      <c r="K572" s="10">
        <f t="shared" si="8"/>
        <v>77743</v>
      </c>
    </row>
    <row r="573" spans="1:11">
      <c r="A573" t="s">
        <v>2470</v>
      </c>
      <c r="B573" s="10">
        <v>2016</v>
      </c>
      <c r="C573" t="s">
        <v>1392</v>
      </c>
      <c r="D573" t="s">
        <v>2472</v>
      </c>
      <c r="E573" t="s">
        <v>2474</v>
      </c>
      <c r="F573" t="s">
        <v>1577</v>
      </c>
      <c r="G573" t="s">
        <v>226</v>
      </c>
      <c r="H573" s="10">
        <v>76731</v>
      </c>
      <c r="I573" t="str">
        <f>IFERROR(VLOOKUP(Final!F573,'LEAID Match'!$A$2:$B$374,2,FALSE),"")</f>
        <v/>
      </c>
      <c r="K573" s="10">
        <f t="shared" si="8"/>
        <v>76731</v>
      </c>
    </row>
    <row r="574" spans="1:11">
      <c r="A574" t="s">
        <v>2470</v>
      </c>
      <c r="B574" s="10">
        <v>2017</v>
      </c>
      <c r="C574" t="s">
        <v>1392</v>
      </c>
      <c r="D574" t="s">
        <v>2472</v>
      </c>
      <c r="E574" t="s">
        <v>2474</v>
      </c>
      <c r="F574" t="s">
        <v>1577</v>
      </c>
      <c r="G574" t="s">
        <v>1577</v>
      </c>
      <c r="H574" s="10"/>
      <c r="I574" t="str">
        <f>IFERROR(VLOOKUP(Final!F574,'LEAID Match'!$A$2:$B$374,2,FALSE),"")</f>
        <v/>
      </c>
      <c r="K574" s="10">
        <f t="shared" si="8"/>
        <v>0</v>
      </c>
    </row>
    <row r="575" spans="1:11">
      <c r="A575" t="s">
        <v>2470</v>
      </c>
      <c r="B575" s="10">
        <v>2018</v>
      </c>
      <c r="C575" t="s">
        <v>1392</v>
      </c>
      <c r="D575" t="s">
        <v>2472</v>
      </c>
      <c r="E575" t="s">
        <v>2474</v>
      </c>
      <c r="F575" t="s">
        <v>1577</v>
      </c>
      <c r="G575" t="s">
        <v>1577</v>
      </c>
      <c r="H575" s="10"/>
      <c r="I575" t="str">
        <f>IFERROR(VLOOKUP(Final!F575,'LEAID Match'!$A$2:$B$374,2,FALSE),"")</f>
        <v/>
      </c>
      <c r="K575" s="10">
        <f t="shared" si="8"/>
        <v>0</v>
      </c>
    </row>
    <row r="576" spans="1:11">
      <c r="A576" t="s">
        <v>2470</v>
      </c>
      <c r="B576" s="10">
        <v>2019</v>
      </c>
      <c r="C576" t="s">
        <v>1392</v>
      </c>
      <c r="D576" t="s">
        <v>2472</v>
      </c>
      <c r="E576" t="s">
        <v>2474</v>
      </c>
      <c r="F576" t="s">
        <v>1577</v>
      </c>
      <c r="G576" t="s">
        <v>1577</v>
      </c>
      <c r="H576" s="10"/>
      <c r="I576" t="str">
        <f>IFERROR(VLOOKUP(Final!F576,'LEAID Match'!$A$2:$B$374,2,FALSE),"")</f>
        <v/>
      </c>
      <c r="K576" s="10">
        <f t="shared" si="8"/>
        <v>0</v>
      </c>
    </row>
    <row r="577" spans="1:11">
      <c r="A577" t="s">
        <v>2470</v>
      </c>
      <c r="B577" s="10">
        <v>2020</v>
      </c>
      <c r="C577" t="s">
        <v>1392</v>
      </c>
      <c r="D577" t="s">
        <v>2472</v>
      </c>
      <c r="E577" t="s">
        <v>2474</v>
      </c>
      <c r="F577" t="s">
        <v>1577</v>
      </c>
      <c r="G577" t="s">
        <v>1577</v>
      </c>
      <c r="H577" s="10"/>
      <c r="I577" t="str">
        <f>IFERROR(VLOOKUP(Final!F577,'LEAID Match'!$A$2:$B$374,2,FALSE),"")</f>
        <v/>
      </c>
      <c r="K577" s="10">
        <f t="shared" si="8"/>
        <v>0</v>
      </c>
    </row>
    <row r="578" spans="1:11">
      <c r="A578" t="s">
        <v>2470</v>
      </c>
      <c r="B578" s="10">
        <v>2015</v>
      </c>
      <c r="C578" t="s">
        <v>110</v>
      </c>
      <c r="D578" t="s">
        <v>2472</v>
      </c>
      <c r="E578" t="s">
        <v>2474</v>
      </c>
      <c r="F578" t="s">
        <v>1604</v>
      </c>
      <c r="G578" t="s">
        <v>56</v>
      </c>
      <c r="H578" s="10">
        <v>89213</v>
      </c>
      <c r="I578" t="str">
        <f>IFERROR(VLOOKUP(Final!F578,'LEAID Match'!$A$2:$B$374,2,FALSE),"")</f>
        <v/>
      </c>
      <c r="K578" s="10">
        <f t="shared" si="8"/>
        <v>89213</v>
      </c>
    </row>
    <row r="579" spans="1:11">
      <c r="A579" t="s">
        <v>2470</v>
      </c>
      <c r="B579" s="10">
        <v>2016</v>
      </c>
      <c r="C579" t="s">
        <v>110</v>
      </c>
      <c r="D579" t="s">
        <v>2472</v>
      </c>
      <c r="E579" t="s">
        <v>2474</v>
      </c>
      <c r="F579" t="s">
        <v>1604</v>
      </c>
      <c r="G579" t="s">
        <v>56</v>
      </c>
      <c r="H579" s="10">
        <v>96954</v>
      </c>
      <c r="I579" t="str">
        <f>IFERROR(VLOOKUP(Final!F579,'LEAID Match'!$A$2:$B$374,2,FALSE),"")</f>
        <v/>
      </c>
      <c r="K579" s="10">
        <f t="shared" ref="K579:K642" si="9">SUM(H579,J579)</f>
        <v>96954</v>
      </c>
    </row>
    <row r="580" spans="1:11">
      <c r="A580" t="s">
        <v>2470</v>
      </c>
      <c r="B580" s="10">
        <v>2017</v>
      </c>
      <c r="C580" t="s">
        <v>110</v>
      </c>
      <c r="D580" t="s">
        <v>2472</v>
      </c>
      <c r="E580" t="s">
        <v>2474</v>
      </c>
      <c r="F580" t="s">
        <v>1604</v>
      </c>
      <c r="G580" t="s">
        <v>1604</v>
      </c>
      <c r="H580" s="10">
        <v>105251</v>
      </c>
      <c r="I580" t="str">
        <f>IFERROR(VLOOKUP(Final!F580,'LEAID Match'!$A$2:$B$374,2,FALSE),"")</f>
        <v/>
      </c>
      <c r="K580" s="10">
        <f t="shared" si="9"/>
        <v>105251</v>
      </c>
    </row>
    <row r="581" spans="1:11">
      <c r="A581" t="s">
        <v>2470</v>
      </c>
      <c r="B581" s="10">
        <v>2018</v>
      </c>
      <c r="C581" t="s">
        <v>110</v>
      </c>
      <c r="D581" t="s">
        <v>2472</v>
      </c>
      <c r="E581" t="s">
        <v>2474</v>
      </c>
      <c r="F581" t="s">
        <v>1604</v>
      </c>
      <c r="G581" t="s">
        <v>2114</v>
      </c>
      <c r="H581" s="10">
        <v>102385</v>
      </c>
      <c r="I581" t="str">
        <f>IFERROR(VLOOKUP(Final!F581,'LEAID Match'!$A$2:$B$374,2,FALSE),"")</f>
        <v/>
      </c>
      <c r="K581" s="10">
        <f t="shared" si="9"/>
        <v>102385</v>
      </c>
    </row>
    <row r="582" spans="1:11">
      <c r="A582" t="s">
        <v>2470</v>
      </c>
      <c r="B582" s="10">
        <v>2019</v>
      </c>
      <c r="C582" t="s">
        <v>110</v>
      </c>
      <c r="D582" t="s">
        <v>2472</v>
      </c>
      <c r="E582" t="s">
        <v>2474</v>
      </c>
      <c r="F582" t="s">
        <v>1604</v>
      </c>
      <c r="G582" t="s">
        <v>1604</v>
      </c>
      <c r="H582" s="10">
        <v>107276</v>
      </c>
      <c r="I582" t="str">
        <f>IFERROR(VLOOKUP(Final!F582,'LEAID Match'!$A$2:$B$374,2,FALSE),"")</f>
        <v/>
      </c>
      <c r="K582" s="10">
        <f t="shared" si="9"/>
        <v>107276</v>
      </c>
    </row>
    <row r="583" spans="1:11">
      <c r="A583" t="s">
        <v>2470</v>
      </c>
      <c r="B583" s="10">
        <v>2020</v>
      </c>
      <c r="C583" t="s">
        <v>110</v>
      </c>
      <c r="D583" t="s">
        <v>2472</v>
      </c>
      <c r="E583" t="s">
        <v>2474</v>
      </c>
      <c r="F583" t="s">
        <v>1604</v>
      </c>
      <c r="G583" t="s">
        <v>1604</v>
      </c>
      <c r="H583" s="10">
        <v>110636</v>
      </c>
      <c r="I583" t="str">
        <f>IFERROR(VLOOKUP(Final!F583,'LEAID Match'!$A$2:$B$374,2,FALSE),"")</f>
        <v/>
      </c>
      <c r="K583" s="10">
        <f t="shared" si="9"/>
        <v>110636</v>
      </c>
    </row>
    <row r="584" spans="1:11">
      <c r="A584" t="s">
        <v>2470</v>
      </c>
      <c r="B584" s="10">
        <v>2021</v>
      </c>
      <c r="C584" t="s">
        <v>110</v>
      </c>
      <c r="D584" t="s">
        <v>2472</v>
      </c>
      <c r="E584" t="s">
        <v>2474</v>
      </c>
      <c r="F584" t="s">
        <v>1604</v>
      </c>
      <c r="G584" t="s">
        <v>1604</v>
      </c>
      <c r="H584" s="10">
        <v>104255</v>
      </c>
      <c r="I584" t="str">
        <f>IFERROR(VLOOKUP(Final!F584,'LEAID Match'!$A$2:$B$374,2,FALSE),"")</f>
        <v/>
      </c>
      <c r="K584" s="10">
        <f t="shared" si="9"/>
        <v>104255</v>
      </c>
    </row>
    <row r="585" spans="1:11">
      <c r="A585" t="s">
        <v>2470</v>
      </c>
      <c r="B585" s="10">
        <v>2022</v>
      </c>
      <c r="C585" t="s">
        <v>110</v>
      </c>
      <c r="D585" t="s">
        <v>2472</v>
      </c>
      <c r="E585" t="s">
        <v>2474</v>
      </c>
      <c r="F585" t="s">
        <v>1604</v>
      </c>
      <c r="G585" t="s">
        <v>1604</v>
      </c>
      <c r="H585" s="10">
        <v>113142</v>
      </c>
      <c r="I585" t="str">
        <f>IFERROR(VLOOKUP(Final!F585,'LEAID Match'!$A$2:$B$374,2,FALSE),"")</f>
        <v/>
      </c>
      <c r="K585" s="10">
        <f t="shared" si="9"/>
        <v>113142</v>
      </c>
    </row>
    <row r="586" spans="1:11">
      <c r="A586" t="s">
        <v>2470</v>
      </c>
      <c r="B586" s="10">
        <v>2023</v>
      </c>
      <c r="C586" t="s">
        <v>110</v>
      </c>
      <c r="D586" t="s">
        <v>2472</v>
      </c>
      <c r="E586" t="s">
        <v>2474</v>
      </c>
      <c r="F586" t="s">
        <v>1604</v>
      </c>
      <c r="G586" t="s">
        <v>1604</v>
      </c>
      <c r="H586" s="10">
        <v>137542</v>
      </c>
      <c r="I586" t="str">
        <f>IFERROR(VLOOKUP(Final!F586,'LEAID Match'!$A$2:$B$374,2,FALSE),"")</f>
        <v/>
      </c>
      <c r="K586" s="10">
        <f t="shared" si="9"/>
        <v>137542</v>
      </c>
    </row>
    <row r="587" spans="1:11">
      <c r="A587" t="s">
        <v>2470</v>
      </c>
      <c r="B587" s="10">
        <v>2015</v>
      </c>
      <c r="C587" t="s">
        <v>1417</v>
      </c>
      <c r="D587" t="s">
        <v>2472</v>
      </c>
      <c r="E587" t="s">
        <v>2474</v>
      </c>
      <c r="F587" t="s">
        <v>1610</v>
      </c>
      <c r="G587" t="s">
        <v>250</v>
      </c>
      <c r="H587" s="10">
        <v>28049</v>
      </c>
      <c r="I587" t="str">
        <f>IFERROR(VLOOKUP(Final!F587,'LEAID Match'!$A$2:$B$374,2,FALSE),"")</f>
        <v/>
      </c>
      <c r="K587" s="10">
        <f t="shared" si="9"/>
        <v>28049</v>
      </c>
    </row>
    <row r="588" spans="1:11">
      <c r="A588" t="s">
        <v>2470</v>
      </c>
      <c r="B588" s="10">
        <v>2016</v>
      </c>
      <c r="C588" t="s">
        <v>1417</v>
      </c>
      <c r="D588" t="s">
        <v>2472</v>
      </c>
      <c r="E588" t="s">
        <v>2474</v>
      </c>
      <c r="F588" t="s">
        <v>1610</v>
      </c>
      <c r="G588" t="s">
        <v>250</v>
      </c>
      <c r="H588" s="10">
        <v>26244</v>
      </c>
      <c r="I588" t="str">
        <f>IFERROR(VLOOKUP(Final!F588,'LEAID Match'!$A$2:$B$374,2,FALSE),"")</f>
        <v/>
      </c>
      <c r="K588" s="10">
        <f t="shared" si="9"/>
        <v>26244</v>
      </c>
    </row>
    <row r="589" spans="1:11">
      <c r="A589" t="s">
        <v>2470</v>
      </c>
      <c r="B589" s="10">
        <v>2017</v>
      </c>
      <c r="C589" t="s">
        <v>1417</v>
      </c>
      <c r="D589" t="s">
        <v>2472</v>
      </c>
      <c r="E589" t="s">
        <v>2474</v>
      </c>
      <c r="F589" t="s">
        <v>1610</v>
      </c>
      <c r="G589" t="s">
        <v>1610</v>
      </c>
      <c r="H589" s="10">
        <v>23706</v>
      </c>
      <c r="I589" t="str">
        <f>IFERROR(VLOOKUP(Final!F589,'LEAID Match'!$A$2:$B$374,2,FALSE),"")</f>
        <v/>
      </c>
      <c r="K589" s="10">
        <f t="shared" si="9"/>
        <v>23706</v>
      </c>
    </row>
    <row r="590" spans="1:11">
      <c r="A590" t="s">
        <v>2470</v>
      </c>
      <c r="B590" s="10">
        <v>2018</v>
      </c>
      <c r="C590" t="s">
        <v>1417</v>
      </c>
      <c r="D590" t="s">
        <v>2472</v>
      </c>
      <c r="E590" t="s">
        <v>2474</v>
      </c>
      <c r="F590" t="s">
        <v>1610</v>
      </c>
      <c r="G590" t="s">
        <v>2116</v>
      </c>
      <c r="H590" s="10">
        <v>22468</v>
      </c>
      <c r="I590" t="str">
        <f>IFERROR(VLOOKUP(Final!F590,'LEAID Match'!$A$2:$B$374,2,FALSE),"")</f>
        <v/>
      </c>
      <c r="K590" s="10">
        <f t="shared" si="9"/>
        <v>22468</v>
      </c>
    </row>
    <row r="591" spans="1:11">
      <c r="A591" t="s">
        <v>2470</v>
      </c>
      <c r="B591" s="10">
        <v>2019</v>
      </c>
      <c r="C591" t="s">
        <v>1417</v>
      </c>
      <c r="D591" t="s">
        <v>2472</v>
      </c>
      <c r="E591" t="s">
        <v>2474</v>
      </c>
      <c r="F591" t="s">
        <v>1610</v>
      </c>
      <c r="G591" t="s">
        <v>1610</v>
      </c>
      <c r="H591" s="10">
        <v>23352</v>
      </c>
      <c r="I591" t="str">
        <f>IFERROR(VLOOKUP(Final!F591,'LEAID Match'!$A$2:$B$374,2,FALSE),"")</f>
        <v/>
      </c>
      <c r="K591" s="10">
        <f t="shared" si="9"/>
        <v>23352</v>
      </c>
    </row>
    <row r="592" spans="1:11">
      <c r="A592" t="s">
        <v>2470</v>
      </c>
      <c r="B592" s="10">
        <v>2020</v>
      </c>
      <c r="C592" t="s">
        <v>1417</v>
      </c>
      <c r="D592" t="s">
        <v>2472</v>
      </c>
      <c r="E592" t="s">
        <v>2474</v>
      </c>
      <c r="F592" t="s">
        <v>1610</v>
      </c>
      <c r="G592" t="s">
        <v>1610</v>
      </c>
      <c r="H592" s="10">
        <v>24591</v>
      </c>
      <c r="I592" t="str">
        <f>IFERROR(VLOOKUP(Final!F592,'LEAID Match'!$A$2:$B$374,2,FALSE),"")</f>
        <v/>
      </c>
      <c r="K592" s="10">
        <f t="shared" si="9"/>
        <v>24591</v>
      </c>
    </row>
    <row r="593" spans="1:11">
      <c r="A593" t="s">
        <v>2470</v>
      </c>
      <c r="B593" s="10">
        <v>2021</v>
      </c>
      <c r="C593" t="s">
        <v>1417</v>
      </c>
      <c r="D593" t="s">
        <v>2472</v>
      </c>
      <c r="E593" t="s">
        <v>2474</v>
      </c>
      <c r="F593" t="s">
        <v>1610</v>
      </c>
      <c r="G593" t="s">
        <v>1610</v>
      </c>
      <c r="H593" s="10">
        <v>26658</v>
      </c>
      <c r="I593" t="str">
        <f>IFERROR(VLOOKUP(Final!F593,'LEAID Match'!$A$2:$B$374,2,FALSE),"")</f>
        <v/>
      </c>
      <c r="K593" s="10">
        <f t="shared" si="9"/>
        <v>26658</v>
      </c>
    </row>
    <row r="594" spans="1:11">
      <c r="A594" t="s">
        <v>2470</v>
      </c>
      <c r="B594" s="10">
        <v>2022</v>
      </c>
      <c r="C594" t="s">
        <v>1417</v>
      </c>
      <c r="D594" t="s">
        <v>2472</v>
      </c>
      <c r="E594" t="s">
        <v>2474</v>
      </c>
      <c r="F594" t="s">
        <v>1610</v>
      </c>
      <c r="G594" t="s">
        <v>1610</v>
      </c>
      <c r="H594" s="10">
        <v>32387</v>
      </c>
      <c r="I594" t="str">
        <f>IFERROR(VLOOKUP(Final!F594,'LEAID Match'!$A$2:$B$374,2,FALSE),"")</f>
        <v/>
      </c>
      <c r="K594" s="10">
        <f t="shared" si="9"/>
        <v>32387</v>
      </c>
    </row>
    <row r="595" spans="1:11">
      <c r="A595" t="s">
        <v>2470</v>
      </c>
      <c r="B595" s="10">
        <v>2023</v>
      </c>
      <c r="C595" t="s">
        <v>1417</v>
      </c>
      <c r="D595" t="s">
        <v>2472</v>
      </c>
      <c r="E595" t="s">
        <v>2474</v>
      </c>
      <c r="F595" t="s">
        <v>1610</v>
      </c>
      <c r="G595" t="s">
        <v>1610</v>
      </c>
      <c r="H595" s="10">
        <v>32195</v>
      </c>
      <c r="I595" t="str">
        <f>IFERROR(VLOOKUP(Final!F595,'LEAID Match'!$A$2:$B$374,2,FALSE),"")</f>
        <v/>
      </c>
      <c r="K595" s="10">
        <f t="shared" si="9"/>
        <v>32195</v>
      </c>
    </row>
    <row r="596" spans="1:11">
      <c r="A596" t="s">
        <v>2470</v>
      </c>
      <c r="B596" s="10">
        <v>2015</v>
      </c>
      <c r="C596" t="s">
        <v>108</v>
      </c>
      <c r="D596" t="s">
        <v>2472</v>
      </c>
      <c r="E596" t="s">
        <v>2474</v>
      </c>
      <c r="F596" t="s">
        <v>1521</v>
      </c>
      <c r="G596" t="s">
        <v>54</v>
      </c>
      <c r="H596" s="10">
        <v>204861</v>
      </c>
      <c r="I596" t="str">
        <f>IFERROR(VLOOKUP(Final!F596,'LEAID Match'!$A$2:$B$374,2,FALSE),"")</f>
        <v/>
      </c>
      <c r="K596" s="10">
        <f t="shared" si="9"/>
        <v>204861</v>
      </c>
    </row>
    <row r="597" spans="1:11">
      <c r="A597" t="s">
        <v>2470</v>
      </c>
      <c r="B597" s="10">
        <v>2016</v>
      </c>
      <c r="C597" t="s">
        <v>108</v>
      </c>
      <c r="D597" t="s">
        <v>2472</v>
      </c>
      <c r="E597" t="s">
        <v>2474</v>
      </c>
      <c r="F597" t="s">
        <v>1521</v>
      </c>
      <c r="G597" t="s">
        <v>54</v>
      </c>
      <c r="H597" s="10">
        <v>252833</v>
      </c>
      <c r="I597" t="str">
        <f>IFERROR(VLOOKUP(Final!F597,'LEAID Match'!$A$2:$B$374,2,FALSE),"")</f>
        <v/>
      </c>
      <c r="K597" s="10">
        <f t="shared" si="9"/>
        <v>252833</v>
      </c>
    </row>
    <row r="598" spans="1:11">
      <c r="A598" t="s">
        <v>2470</v>
      </c>
      <c r="B598" s="10">
        <v>2017</v>
      </c>
      <c r="C598" t="s">
        <v>108</v>
      </c>
      <c r="D598" t="s">
        <v>2472</v>
      </c>
      <c r="E598" t="s">
        <v>2474</v>
      </c>
      <c r="F598" t="s">
        <v>1521</v>
      </c>
      <c r="G598" t="s">
        <v>1521</v>
      </c>
      <c r="H598" s="10">
        <v>275417</v>
      </c>
      <c r="I598" t="str">
        <f>IFERROR(VLOOKUP(Final!F598,'LEAID Match'!$A$2:$B$374,2,FALSE),"")</f>
        <v/>
      </c>
      <c r="K598" s="10">
        <f t="shared" si="9"/>
        <v>275417</v>
      </c>
    </row>
    <row r="599" spans="1:11">
      <c r="A599" t="s">
        <v>2470</v>
      </c>
      <c r="B599" s="10">
        <v>2018</v>
      </c>
      <c r="C599" t="s">
        <v>108</v>
      </c>
      <c r="D599" t="s">
        <v>2472</v>
      </c>
      <c r="E599" t="s">
        <v>2474</v>
      </c>
      <c r="F599" t="s">
        <v>1521</v>
      </c>
      <c r="G599" t="s">
        <v>1521</v>
      </c>
      <c r="H599" s="10">
        <v>309105</v>
      </c>
      <c r="I599" t="str">
        <f>IFERROR(VLOOKUP(Final!F599,'LEAID Match'!$A$2:$B$374,2,FALSE),"")</f>
        <v/>
      </c>
      <c r="K599" s="10">
        <f t="shared" si="9"/>
        <v>309105</v>
      </c>
    </row>
    <row r="600" spans="1:11">
      <c r="A600" t="s">
        <v>2470</v>
      </c>
      <c r="B600" s="10">
        <v>2019</v>
      </c>
      <c r="C600" t="s">
        <v>108</v>
      </c>
      <c r="D600" t="s">
        <v>2472</v>
      </c>
      <c r="E600" t="s">
        <v>2474</v>
      </c>
      <c r="F600" t="s">
        <v>1521</v>
      </c>
      <c r="G600" t="s">
        <v>1521</v>
      </c>
      <c r="H600" s="10">
        <v>317745</v>
      </c>
      <c r="I600" t="str">
        <f>IFERROR(VLOOKUP(Final!F600,'LEAID Match'!$A$2:$B$374,2,FALSE),"")</f>
        <v/>
      </c>
      <c r="K600" s="10">
        <f t="shared" si="9"/>
        <v>317745</v>
      </c>
    </row>
    <row r="601" spans="1:11">
      <c r="A601" t="s">
        <v>2470</v>
      </c>
      <c r="B601" s="10">
        <v>2020</v>
      </c>
      <c r="C601" t="s">
        <v>108</v>
      </c>
      <c r="D601" t="s">
        <v>2472</v>
      </c>
      <c r="E601" t="s">
        <v>2474</v>
      </c>
      <c r="F601" t="s">
        <v>1521</v>
      </c>
      <c r="G601" t="s">
        <v>1521</v>
      </c>
      <c r="H601" s="10">
        <v>327405</v>
      </c>
      <c r="I601" t="str">
        <f>IFERROR(VLOOKUP(Final!F601,'LEAID Match'!$A$2:$B$374,2,FALSE),"")</f>
        <v/>
      </c>
      <c r="K601" s="10">
        <f t="shared" si="9"/>
        <v>327405</v>
      </c>
    </row>
    <row r="602" spans="1:11">
      <c r="A602" t="s">
        <v>2470</v>
      </c>
      <c r="B602" s="10">
        <v>2021</v>
      </c>
      <c r="C602" t="s">
        <v>108</v>
      </c>
      <c r="D602" t="s">
        <v>2472</v>
      </c>
      <c r="E602" t="s">
        <v>2474</v>
      </c>
      <c r="F602" t="s">
        <v>1521</v>
      </c>
      <c r="G602" t="s">
        <v>1521</v>
      </c>
      <c r="H602" s="10">
        <v>329618</v>
      </c>
      <c r="I602" t="str">
        <f>IFERROR(VLOOKUP(Final!F602,'LEAID Match'!$A$2:$B$374,2,FALSE),"")</f>
        <v/>
      </c>
      <c r="K602" s="10">
        <f t="shared" si="9"/>
        <v>329618</v>
      </c>
    </row>
    <row r="603" spans="1:11">
      <c r="A603" t="s">
        <v>2470</v>
      </c>
      <c r="B603" s="10">
        <v>2022</v>
      </c>
      <c r="C603" t="s">
        <v>108</v>
      </c>
      <c r="D603" t="s">
        <v>2472</v>
      </c>
      <c r="E603" t="s">
        <v>2474</v>
      </c>
      <c r="F603" t="s">
        <v>1521</v>
      </c>
      <c r="G603" t="s">
        <v>1521</v>
      </c>
      <c r="H603" s="10">
        <v>377508</v>
      </c>
      <c r="I603" t="str">
        <f>IFERROR(VLOOKUP(Final!F603,'LEAID Match'!$A$2:$B$374,2,FALSE),"")</f>
        <v/>
      </c>
      <c r="K603" s="10">
        <f t="shared" si="9"/>
        <v>377508</v>
      </c>
    </row>
    <row r="604" spans="1:11">
      <c r="A604" t="s">
        <v>2470</v>
      </c>
      <c r="B604" s="10">
        <v>2023</v>
      </c>
      <c r="C604" t="s">
        <v>108</v>
      </c>
      <c r="D604" t="s">
        <v>2472</v>
      </c>
      <c r="E604" t="s">
        <v>2474</v>
      </c>
      <c r="F604" t="s">
        <v>1521</v>
      </c>
      <c r="G604" t="s">
        <v>1521</v>
      </c>
      <c r="H604" s="10">
        <v>429762</v>
      </c>
      <c r="I604" t="str">
        <f>IFERROR(VLOOKUP(Final!F604,'LEAID Match'!$A$2:$B$374,2,FALSE),"")</f>
        <v/>
      </c>
      <c r="K604" s="10">
        <f t="shared" si="9"/>
        <v>429762</v>
      </c>
    </row>
    <row r="605" spans="1:11">
      <c r="A605" t="s">
        <v>2470</v>
      </c>
      <c r="B605" s="10">
        <v>2015</v>
      </c>
      <c r="C605" t="s">
        <v>1312</v>
      </c>
      <c r="D605" t="s">
        <v>2472</v>
      </c>
      <c r="E605" t="s">
        <v>2474</v>
      </c>
      <c r="F605" t="s">
        <v>2000</v>
      </c>
      <c r="G605" t="s">
        <v>1264</v>
      </c>
      <c r="H605" s="10">
        <v>39173347</v>
      </c>
      <c r="I605" t="str">
        <f>IFERROR(VLOOKUP(Final!F605,'LEAID Match'!$A$2:$B$374,2,FALSE),"")</f>
        <v/>
      </c>
      <c r="K605" s="10">
        <f t="shared" si="9"/>
        <v>39173347</v>
      </c>
    </row>
    <row r="606" spans="1:11">
      <c r="A606" t="s">
        <v>2470</v>
      </c>
      <c r="B606" s="10">
        <v>2016</v>
      </c>
      <c r="C606" t="s">
        <v>1312</v>
      </c>
      <c r="D606" t="s">
        <v>2472</v>
      </c>
      <c r="E606" t="s">
        <v>2474</v>
      </c>
      <c r="F606" t="s">
        <v>2000</v>
      </c>
      <c r="G606" t="s">
        <v>1264</v>
      </c>
      <c r="H606" s="10">
        <v>39129819</v>
      </c>
      <c r="I606" t="str">
        <f>IFERROR(VLOOKUP(Final!F606,'LEAID Match'!$A$2:$B$374,2,FALSE),"")</f>
        <v/>
      </c>
      <c r="K606" s="10">
        <f t="shared" si="9"/>
        <v>39129819</v>
      </c>
    </row>
    <row r="607" spans="1:11">
      <c r="A607" t="s">
        <v>2470</v>
      </c>
      <c r="B607" s="10">
        <v>2017</v>
      </c>
      <c r="C607" t="s">
        <v>1312</v>
      </c>
      <c r="D607" t="s">
        <v>2472</v>
      </c>
      <c r="E607" t="s">
        <v>2474</v>
      </c>
      <c r="F607" t="s">
        <v>2000</v>
      </c>
      <c r="G607" t="s">
        <v>2000</v>
      </c>
      <c r="H607" s="10">
        <v>40396427</v>
      </c>
      <c r="I607" t="str">
        <f>IFERROR(VLOOKUP(Final!F607,'LEAID Match'!$A$2:$B$374,2,FALSE),"")</f>
        <v/>
      </c>
      <c r="K607" s="10">
        <f t="shared" si="9"/>
        <v>40396427</v>
      </c>
    </row>
    <row r="608" spans="1:11">
      <c r="A608" t="s">
        <v>2470</v>
      </c>
      <c r="B608" s="10">
        <v>2018</v>
      </c>
      <c r="C608" t="s">
        <v>1312</v>
      </c>
      <c r="D608" t="s">
        <v>2472</v>
      </c>
      <c r="E608" t="s">
        <v>2474</v>
      </c>
      <c r="F608" t="s">
        <v>2000</v>
      </c>
      <c r="G608" t="s">
        <v>2000</v>
      </c>
      <c r="H608" s="10">
        <v>43892011</v>
      </c>
      <c r="I608" t="str">
        <f>IFERROR(VLOOKUP(Final!F608,'LEAID Match'!$A$2:$B$374,2,FALSE),"")</f>
        <v/>
      </c>
      <c r="K608" s="10">
        <f t="shared" si="9"/>
        <v>43892011</v>
      </c>
    </row>
    <row r="609" spans="1:11">
      <c r="A609" t="s">
        <v>2470</v>
      </c>
      <c r="B609" s="10">
        <v>2019</v>
      </c>
      <c r="C609" t="s">
        <v>1312</v>
      </c>
      <c r="D609" t="s">
        <v>2472</v>
      </c>
      <c r="E609" t="s">
        <v>2474</v>
      </c>
      <c r="F609" t="s">
        <v>2000</v>
      </c>
      <c r="G609" t="s">
        <v>2000</v>
      </c>
      <c r="H609" s="10">
        <v>50462026</v>
      </c>
      <c r="I609" t="str">
        <f>IFERROR(VLOOKUP(Final!F609,'LEAID Match'!$A$2:$B$374,2,FALSE),"")</f>
        <v/>
      </c>
      <c r="K609" s="10">
        <f t="shared" si="9"/>
        <v>50462026</v>
      </c>
    </row>
    <row r="610" spans="1:11">
      <c r="A610" t="s">
        <v>2470</v>
      </c>
      <c r="B610" s="10">
        <v>2020</v>
      </c>
      <c r="C610" t="s">
        <v>1312</v>
      </c>
      <c r="D610" t="s">
        <v>2472</v>
      </c>
      <c r="E610" t="s">
        <v>2474</v>
      </c>
      <c r="F610" t="s">
        <v>2000</v>
      </c>
      <c r="G610" t="s">
        <v>2000</v>
      </c>
      <c r="H610" s="10">
        <v>50769667</v>
      </c>
      <c r="I610" t="str">
        <f>IFERROR(VLOOKUP(Final!F610,'LEAID Match'!$A$2:$B$374,2,FALSE),"")</f>
        <v/>
      </c>
      <c r="K610" s="10">
        <f t="shared" si="9"/>
        <v>50769667</v>
      </c>
    </row>
    <row r="611" spans="1:11">
      <c r="A611" t="s">
        <v>2470</v>
      </c>
      <c r="B611" s="10">
        <v>2021</v>
      </c>
      <c r="C611" t="s">
        <v>1312</v>
      </c>
      <c r="D611" t="s">
        <v>2472</v>
      </c>
      <c r="E611" t="s">
        <v>2474</v>
      </c>
      <c r="F611" t="s">
        <v>2000</v>
      </c>
      <c r="G611" t="s">
        <v>2000</v>
      </c>
      <c r="H611" s="10">
        <v>49360825</v>
      </c>
      <c r="I611" t="str">
        <f>IFERROR(VLOOKUP(Final!F611,'LEAID Match'!$A$2:$B$374,2,FALSE),"")</f>
        <v/>
      </c>
      <c r="K611" s="10">
        <f t="shared" si="9"/>
        <v>49360825</v>
      </c>
    </row>
    <row r="612" spans="1:11">
      <c r="A612" t="s">
        <v>2470</v>
      </c>
      <c r="B612" s="10">
        <v>2022</v>
      </c>
      <c r="C612" t="s">
        <v>1312</v>
      </c>
      <c r="D612" t="s">
        <v>2472</v>
      </c>
      <c r="E612" t="s">
        <v>2474</v>
      </c>
      <c r="F612" t="s">
        <v>2000</v>
      </c>
      <c r="G612" t="s">
        <v>2000</v>
      </c>
      <c r="H612" s="10">
        <v>53581442</v>
      </c>
      <c r="I612" t="str">
        <f>IFERROR(VLOOKUP(Final!F612,'LEAID Match'!$A$2:$B$374,2,FALSE),"")</f>
        <v/>
      </c>
      <c r="K612" s="10">
        <f t="shared" si="9"/>
        <v>53581442</v>
      </c>
    </row>
    <row r="613" spans="1:11">
      <c r="A613" t="s">
        <v>2470</v>
      </c>
      <c r="B613" s="10">
        <v>2023</v>
      </c>
      <c r="C613" t="s">
        <v>1312</v>
      </c>
      <c r="D613" t="s">
        <v>2472</v>
      </c>
      <c r="E613" t="s">
        <v>2474</v>
      </c>
      <c r="F613" t="s">
        <v>2000</v>
      </c>
      <c r="G613" t="s">
        <v>2000</v>
      </c>
      <c r="H613" s="10">
        <v>59023609</v>
      </c>
      <c r="I613" t="str">
        <f>IFERROR(VLOOKUP(Final!F613,'LEAID Match'!$A$2:$B$374,2,FALSE),"")</f>
        <v/>
      </c>
      <c r="K613" s="10">
        <f t="shared" si="9"/>
        <v>59023609</v>
      </c>
    </row>
    <row r="614" spans="1:11">
      <c r="A614" t="s">
        <v>2470</v>
      </c>
      <c r="B614" s="10">
        <v>2015</v>
      </c>
      <c r="C614" t="s">
        <v>1415</v>
      </c>
      <c r="D614" t="s">
        <v>2472</v>
      </c>
      <c r="E614" t="s">
        <v>2474</v>
      </c>
      <c r="F614" t="s">
        <v>248</v>
      </c>
      <c r="G614" t="s">
        <v>248</v>
      </c>
      <c r="H614" s="10">
        <v>32026446</v>
      </c>
      <c r="I614" t="str">
        <f>IFERROR(VLOOKUP(Final!F614,'LEAID Match'!$A$2:$B$374,2,FALSE),"")</f>
        <v/>
      </c>
      <c r="K614" s="10">
        <f t="shared" si="9"/>
        <v>32026446</v>
      </c>
    </row>
    <row r="615" spans="1:11">
      <c r="A615" t="s">
        <v>2470</v>
      </c>
      <c r="B615" s="10">
        <v>2016</v>
      </c>
      <c r="C615" t="s">
        <v>1415</v>
      </c>
      <c r="D615" t="s">
        <v>2472</v>
      </c>
      <c r="E615" t="s">
        <v>2474</v>
      </c>
      <c r="F615" t="s">
        <v>248</v>
      </c>
      <c r="G615" t="s">
        <v>248</v>
      </c>
      <c r="H615" s="10">
        <v>34407717</v>
      </c>
      <c r="I615" t="str">
        <f>IFERROR(VLOOKUP(Final!F615,'LEAID Match'!$A$2:$B$374,2,FALSE),"")</f>
        <v/>
      </c>
      <c r="K615" s="10">
        <f t="shared" si="9"/>
        <v>34407717</v>
      </c>
    </row>
    <row r="616" spans="1:11">
      <c r="A616" t="s">
        <v>2470</v>
      </c>
      <c r="B616" s="10">
        <v>2017</v>
      </c>
      <c r="C616" t="s">
        <v>1415</v>
      </c>
      <c r="D616" t="s">
        <v>2472</v>
      </c>
      <c r="E616" t="s">
        <v>2474</v>
      </c>
      <c r="F616" t="s">
        <v>248</v>
      </c>
      <c r="G616" t="s">
        <v>248</v>
      </c>
      <c r="H616" s="10">
        <v>36607245</v>
      </c>
      <c r="I616" t="str">
        <f>IFERROR(VLOOKUP(Final!F616,'LEAID Match'!$A$2:$B$374,2,FALSE),"")</f>
        <v/>
      </c>
      <c r="K616" s="10">
        <f t="shared" si="9"/>
        <v>36607245</v>
      </c>
    </row>
    <row r="617" spans="1:11">
      <c r="A617" t="s">
        <v>2470</v>
      </c>
      <c r="B617" s="10">
        <v>2018</v>
      </c>
      <c r="C617" t="s">
        <v>1415</v>
      </c>
      <c r="D617" t="s">
        <v>2472</v>
      </c>
      <c r="E617" t="s">
        <v>2474</v>
      </c>
      <c r="F617" t="s">
        <v>248</v>
      </c>
      <c r="G617" t="s">
        <v>248</v>
      </c>
      <c r="H617" s="10">
        <v>39725777</v>
      </c>
      <c r="I617" t="str">
        <f>IFERROR(VLOOKUP(Final!F617,'LEAID Match'!$A$2:$B$374,2,FALSE),"")</f>
        <v/>
      </c>
      <c r="K617" s="10">
        <f t="shared" si="9"/>
        <v>39725777</v>
      </c>
    </row>
    <row r="618" spans="1:11">
      <c r="A618" t="s">
        <v>2470</v>
      </c>
      <c r="B618" s="10">
        <v>2019</v>
      </c>
      <c r="C618" t="s">
        <v>1415</v>
      </c>
      <c r="D618" t="s">
        <v>2472</v>
      </c>
      <c r="E618" t="s">
        <v>2474</v>
      </c>
      <c r="F618" t="s">
        <v>248</v>
      </c>
      <c r="G618" t="s">
        <v>248</v>
      </c>
      <c r="H618" s="10">
        <v>44992032</v>
      </c>
      <c r="I618" t="str">
        <f>IFERROR(VLOOKUP(Final!F618,'LEAID Match'!$A$2:$B$374,2,FALSE),"")</f>
        <v/>
      </c>
      <c r="K618" s="10">
        <f t="shared" si="9"/>
        <v>44992032</v>
      </c>
    </row>
    <row r="619" spans="1:11">
      <c r="A619" t="s">
        <v>2470</v>
      </c>
      <c r="B619" s="10">
        <v>2020</v>
      </c>
      <c r="C619" t="s">
        <v>1415</v>
      </c>
      <c r="D619" t="s">
        <v>2472</v>
      </c>
      <c r="E619" t="s">
        <v>2474</v>
      </c>
      <c r="F619" t="s">
        <v>248</v>
      </c>
      <c r="G619" t="s">
        <v>248</v>
      </c>
      <c r="H619" s="10">
        <v>47843673</v>
      </c>
      <c r="I619" t="str">
        <f>IFERROR(VLOOKUP(Final!F619,'LEAID Match'!$A$2:$B$374,2,FALSE),"")</f>
        <v/>
      </c>
      <c r="K619" s="10">
        <f t="shared" si="9"/>
        <v>47843673</v>
      </c>
    </row>
    <row r="620" spans="1:11">
      <c r="A620" t="s">
        <v>2470</v>
      </c>
      <c r="B620" s="10">
        <v>2021</v>
      </c>
      <c r="C620" t="s">
        <v>1415</v>
      </c>
      <c r="D620" t="s">
        <v>2472</v>
      </c>
      <c r="E620" t="s">
        <v>2474</v>
      </c>
      <c r="F620" t="s">
        <v>248</v>
      </c>
      <c r="G620" t="s">
        <v>248</v>
      </c>
      <c r="H620" s="10">
        <v>51049987</v>
      </c>
      <c r="I620" t="str">
        <f>IFERROR(VLOOKUP(Final!F620,'LEAID Match'!$A$2:$B$374,2,FALSE),"")</f>
        <v/>
      </c>
      <c r="K620" s="10">
        <f t="shared" si="9"/>
        <v>51049987</v>
      </c>
    </row>
    <row r="621" spans="1:11">
      <c r="A621" t="s">
        <v>2470</v>
      </c>
      <c r="B621" s="10">
        <v>2022</v>
      </c>
      <c r="C621" t="s">
        <v>1415</v>
      </c>
      <c r="D621" t="s">
        <v>2472</v>
      </c>
      <c r="E621" t="s">
        <v>2474</v>
      </c>
      <c r="F621" t="s">
        <v>248</v>
      </c>
      <c r="G621" t="s">
        <v>248</v>
      </c>
      <c r="H621" s="10">
        <v>54380801</v>
      </c>
      <c r="I621" t="str">
        <f>IFERROR(VLOOKUP(Final!F621,'LEAID Match'!$A$2:$B$374,2,FALSE),"")</f>
        <v/>
      </c>
      <c r="K621" s="10">
        <f t="shared" si="9"/>
        <v>54380801</v>
      </c>
    </row>
    <row r="622" spans="1:11">
      <c r="A622" t="s">
        <v>2470</v>
      </c>
      <c r="B622" s="10">
        <v>2023</v>
      </c>
      <c r="C622" t="s">
        <v>1415</v>
      </c>
      <c r="D622" t="s">
        <v>2472</v>
      </c>
      <c r="E622" t="s">
        <v>2474</v>
      </c>
      <c r="F622" t="s">
        <v>248</v>
      </c>
      <c r="G622" t="s">
        <v>248</v>
      </c>
      <c r="H622" s="10">
        <v>60617178</v>
      </c>
      <c r="I622" t="str">
        <f>IFERROR(VLOOKUP(Final!F622,'LEAID Match'!$A$2:$B$374,2,FALSE),"")</f>
        <v/>
      </c>
      <c r="K622" s="10">
        <f t="shared" si="9"/>
        <v>60617178</v>
      </c>
    </row>
    <row r="623" spans="1:11">
      <c r="A623" t="s">
        <v>2470</v>
      </c>
      <c r="B623" s="10">
        <v>2015</v>
      </c>
      <c r="C623" t="s">
        <v>894</v>
      </c>
      <c r="D623" t="s">
        <v>2472</v>
      </c>
      <c r="E623" t="s">
        <v>2474</v>
      </c>
      <c r="F623" t="s">
        <v>839</v>
      </c>
      <c r="G623" t="s">
        <v>839</v>
      </c>
      <c r="H623" s="10">
        <v>11313178</v>
      </c>
      <c r="I623" t="str">
        <f>IFERROR(VLOOKUP(Final!F623,'LEAID Match'!$A$2:$B$374,2,FALSE),"")</f>
        <v/>
      </c>
      <c r="K623" s="10">
        <f t="shared" si="9"/>
        <v>11313178</v>
      </c>
    </row>
    <row r="624" spans="1:11">
      <c r="A624" t="s">
        <v>2470</v>
      </c>
      <c r="B624" s="10">
        <v>2016</v>
      </c>
      <c r="C624" t="s">
        <v>894</v>
      </c>
      <c r="D624" t="s">
        <v>2472</v>
      </c>
      <c r="E624" t="s">
        <v>2474</v>
      </c>
      <c r="F624" t="s">
        <v>839</v>
      </c>
      <c r="G624" t="s">
        <v>839</v>
      </c>
      <c r="H624" s="10">
        <v>11569921</v>
      </c>
      <c r="I624" t="str">
        <f>IFERROR(VLOOKUP(Final!F624,'LEAID Match'!$A$2:$B$374,2,FALSE),"")</f>
        <v/>
      </c>
      <c r="K624" s="10">
        <f t="shared" si="9"/>
        <v>11569921</v>
      </c>
    </row>
    <row r="625" spans="1:11">
      <c r="A625" t="s">
        <v>2470</v>
      </c>
      <c r="B625" s="10">
        <v>2017</v>
      </c>
      <c r="C625" t="s">
        <v>894</v>
      </c>
      <c r="D625" t="s">
        <v>2472</v>
      </c>
      <c r="E625" t="s">
        <v>2474</v>
      </c>
      <c r="F625" t="s">
        <v>839</v>
      </c>
      <c r="G625" t="s">
        <v>839</v>
      </c>
      <c r="H625" s="10">
        <v>11987682</v>
      </c>
      <c r="I625" t="str">
        <f>IFERROR(VLOOKUP(Final!F625,'LEAID Match'!$A$2:$B$374,2,FALSE),"")</f>
        <v/>
      </c>
      <c r="K625" s="10">
        <f t="shared" si="9"/>
        <v>11987682</v>
      </c>
    </row>
    <row r="626" spans="1:11">
      <c r="A626" t="s">
        <v>2470</v>
      </c>
      <c r="B626" s="10">
        <v>2018</v>
      </c>
      <c r="C626" t="s">
        <v>894</v>
      </c>
      <c r="D626" t="s">
        <v>2472</v>
      </c>
      <c r="E626" t="s">
        <v>2474</v>
      </c>
      <c r="F626" t="s">
        <v>839</v>
      </c>
      <c r="G626" t="s">
        <v>839</v>
      </c>
      <c r="H626" s="10">
        <v>12677069</v>
      </c>
      <c r="I626" t="str">
        <f>IFERROR(VLOOKUP(Final!F626,'LEAID Match'!$A$2:$B$374,2,FALSE),"")</f>
        <v/>
      </c>
      <c r="K626" s="10">
        <f t="shared" si="9"/>
        <v>12677069</v>
      </c>
    </row>
    <row r="627" spans="1:11">
      <c r="A627" t="s">
        <v>2470</v>
      </c>
      <c r="B627" s="10">
        <v>2019</v>
      </c>
      <c r="C627" t="s">
        <v>894</v>
      </c>
      <c r="D627" t="s">
        <v>2472</v>
      </c>
      <c r="E627" t="s">
        <v>2474</v>
      </c>
      <c r="F627" t="s">
        <v>839</v>
      </c>
      <c r="G627" t="s">
        <v>839</v>
      </c>
      <c r="H627" s="10">
        <v>13781880</v>
      </c>
      <c r="I627" t="str">
        <f>IFERROR(VLOOKUP(Final!F627,'LEAID Match'!$A$2:$B$374,2,FALSE),"")</f>
        <v/>
      </c>
      <c r="K627" s="10">
        <f t="shared" si="9"/>
        <v>13781880</v>
      </c>
    </row>
    <row r="628" spans="1:11">
      <c r="A628" t="s">
        <v>2470</v>
      </c>
      <c r="B628" s="10">
        <v>2020</v>
      </c>
      <c r="C628" t="s">
        <v>894</v>
      </c>
      <c r="D628" t="s">
        <v>2472</v>
      </c>
      <c r="E628" t="s">
        <v>2474</v>
      </c>
      <c r="F628" t="s">
        <v>839</v>
      </c>
      <c r="G628" t="s">
        <v>839</v>
      </c>
      <c r="H628" s="10">
        <v>14048831</v>
      </c>
      <c r="I628" t="str">
        <f>IFERROR(VLOOKUP(Final!F628,'LEAID Match'!$A$2:$B$374,2,FALSE),"")</f>
        <v/>
      </c>
      <c r="K628" s="10">
        <f t="shared" si="9"/>
        <v>14048831</v>
      </c>
    </row>
    <row r="629" spans="1:11">
      <c r="A629" t="s">
        <v>2470</v>
      </c>
      <c r="B629" s="10">
        <v>2021</v>
      </c>
      <c r="C629" t="s">
        <v>894</v>
      </c>
      <c r="D629" t="s">
        <v>2472</v>
      </c>
      <c r="E629" t="s">
        <v>2474</v>
      </c>
      <c r="F629" t="s">
        <v>839</v>
      </c>
      <c r="G629" t="s">
        <v>839</v>
      </c>
      <c r="H629" s="10">
        <v>13909633</v>
      </c>
      <c r="I629" t="str">
        <f>IFERROR(VLOOKUP(Final!F629,'LEAID Match'!$A$2:$B$374,2,FALSE),"")</f>
        <v/>
      </c>
      <c r="K629" s="10">
        <f t="shared" si="9"/>
        <v>13909633</v>
      </c>
    </row>
    <row r="630" spans="1:11">
      <c r="A630" t="s">
        <v>2470</v>
      </c>
      <c r="B630" s="10">
        <v>2022</v>
      </c>
      <c r="C630" t="s">
        <v>894</v>
      </c>
      <c r="D630" t="s">
        <v>2472</v>
      </c>
      <c r="E630" t="s">
        <v>2474</v>
      </c>
      <c r="F630" t="s">
        <v>839</v>
      </c>
      <c r="G630" t="s">
        <v>839</v>
      </c>
      <c r="H630" s="10">
        <v>15222292</v>
      </c>
      <c r="I630" t="str">
        <f>IFERROR(VLOOKUP(Final!F630,'LEAID Match'!$A$2:$B$374,2,FALSE),"")</f>
        <v/>
      </c>
      <c r="K630" s="10">
        <f t="shared" si="9"/>
        <v>15222292</v>
      </c>
    </row>
    <row r="631" spans="1:11">
      <c r="A631" t="s">
        <v>2470</v>
      </c>
      <c r="B631" s="10">
        <v>2023</v>
      </c>
      <c r="C631" t="s">
        <v>894</v>
      </c>
      <c r="D631" t="s">
        <v>2472</v>
      </c>
      <c r="E631" t="s">
        <v>2474</v>
      </c>
      <c r="F631" t="s">
        <v>839</v>
      </c>
      <c r="G631" t="s">
        <v>839</v>
      </c>
      <c r="H631" s="10">
        <v>16573196</v>
      </c>
      <c r="I631" t="str">
        <f>IFERROR(VLOOKUP(Final!F631,'LEAID Match'!$A$2:$B$374,2,FALSE),"")</f>
        <v/>
      </c>
      <c r="K631" s="10">
        <f t="shared" si="9"/>
        <v>16573196</v>
      </c>
    </row>
    <row r="632" spans="1:11">
      <c r="A632" t="s">
        <v>2470</v>
      </c>
      <c r="B632" s="10">
        <v>2015</v>
      </c>
      <c r="C632" t="s">
        <v>184</v>
      </c>
      <c r="D632" t="s">
        <v>2472</v>
      </c>
      <c r="E632" t="s">
        <v>2474</v>
      </c>
      <c r="F632" t="s">
        <v>1539</v>
      </c>
      <c r="G632" t="s">
        <v>129</v>
      </c>
      <c r="H632" s="10">
        <v>3473565</v>
      </c>
      <c r="I632" t="str">
        <f>IFERROR(VLOOKUP(Final!F632,'LEAID Match'!$A$2:$B$374,2,FALSE),"")</f>
        <v/>
      </c>
      <c r="K632" s="10">
        <f t="shared" si="9"/>
        <v>3473565</v>
      </c>
    </row>
    <row r="633" spans="1:11">
      <c r="A633" t="s">
        <v>2470</v>
      </c>
      <c r="B633" s="10">
        <v>2016</v>
      </c>
      <c r="C633" t="s">
        <v>184</v>
      </c>
      <c r="D633" t="s">
        <v>2472</v>
      </c>
      <c r="E633" t="s">
        <v>2474</v>
      </c>
      <c r="F633" t="s">
        <v>1539</v>
      </c>
      <c r="G633" t="s">
        <v>1379</v>
      </c>
      <c r="H633" s="10">
        <v>3401227</v>
      </c>
      <c r="I633" t="str">
        <f>IFERROR(VLOOKUP(Final!F633,'LEAID Match'!$A$2:$B$374,2,FALSE),"")</f>
        <v/>
      </c>
      <c r="K633" s="10">
        <f t="shared" si="9"/>
        <v>3401227</v>
      </c>
    </row>
    <row r="634" spans="1:11">
      <c r="A634" t="s">
        <v>2470</v>
      </c>
      <c r="B634" s="10">
        <v>2017</v>
      </c>
      <c r="C634" t="s">
        <v>184</v>
      </c>
      <c r="D634" t="s">
        <v>2472</v>
      </c>
      <c r="E634" t="s">
        <v>2474</v>
      </c>
      <c r="F634" t="s">
        <v>1539</v>
      </c>
      <c r="G634" t="s">
        <v>1539</v>
      </c>
      <c r="H634" s="10">
        <v>3295133</v>
      </c>
      <c r="I634" t="str">
        <f>IFERROR(VLOOKUP(Final!F634,'LEAID Match'!$A$2:$B$374,2,FALSE),"")</f>
        <v/>
      </c>
      <c r="K634" s="10">
        <f t="shared" si="9"/>
        <v>3295133</v>
      </c>
    </row>
    <row r="635" spans="1:11">
      <c r="A635" t="s">
        <v>2470</v>
      </c>
      <c r="B635" s="10">
        <v>2018</v>
      </c>
      <c r="C635" t="s">
        <v>184</v>
      </c>
      <c r="D635" t="s">
        <v>2472</v>
      </c>
      <c r="E635" t="s">
        <v>2474</v>
      </c>
      <c r="F635" t="s">
        <v>1539</v>
      </c>
      <c r="G635" t="s">
        <v>1539</v>
      </c>
      <c r="H635" s="10">
        <v>3140138</v>
      </c>
      <c r="I635" t="str">
        <f>IFERROR(VLOOKUP(Final!F635,'LEAID Match'!$A$2:$B$374,2,FALSE),"")</f>
        <v/>
      </c>
      <c r="K635" s="10">
        <f t="shared" si="9"/>
        <v>3140138</v>
      </c>
    </row>
    <row r="636" spans="1:11">
      <c r="A636" t="s">
        <v>2470</v>
      </c>
      <c r="B636" s="10">
        <v>2019</v>
      </c>
      <c r="C636" t="s">
        <v>184</v>
      </c>
      <c r="D636" t="s">
        <v>2472</v>
      </c>
      <c r="E636" t="s">
        <v>2474</v>
      </c>
      <c r="F636" t="s">
        <v>1539</v>
      </c>
      <c r="G636" t="s">
        <v>1539</v>
      </c>
      <c r="H636" s="10">
        <v>3175508</v>
      </c>
      <c r="I636" t="str">
        <f>IFERROR(VLOOKUP(Final!F636,'LEAID Match'!$A$2:$B$374,2,FALSE),"")</f>
        <v/>
      </c>
      <c r="K636" s="10">
        <f t="shared" si="9"/>
        <v>3175508</v>
      </c>
    </row>
    <row r="637" spans="1:11">
      <c r="A637" t="s">
        <v>2470</v>
      </c>
      <c r="B637" s="10">
        <v>2020</v>
      </c>
      <c r="C637" t="s">
        <v>184</v>
      </c>
      <c r="D637" t="s">
        <v>2472</v>
      </c>
      <c r="E637" t="s">
        <v>2474</v>
      </c>
      <c r="F637" t="s">
        <v>1539</v>
      </c>
      <c r="G637" t="s">
        <v>1539</v>
      </c>
      <c r="H637" s="10">
        <v>3620525</v>
      </c>
      <c r="I637" t="str">
        <f>IFERROR(VLOOKUP(Final!F637,'LEAID Match'!$A$2:$B$374,2,FALSE),"")</f>
        <v/>
      </c>
      <c r="K637" s="10">
        <f t="shared" si="9"/>
        <v>3620525</v>
      </c>
    </row>
    <row r="638" spans="1:11">
      <c r="A638" t="s">
        <v>2470</v>
      </c>
      <c r="B638" s="10">
        <v>2021</v>
      </c>
      <c r="C638" t="s">
        <v>184</v>
      </c>
      <c r="D638" t="s">
        <v>2472</v>
      </c>
      <c r="E638" t="s">
        <v>2474</v>
      </c>
      <c r="F638" t="s">
        <v>1539</v>
      </c>
      <c r="G638" t="s">
        <v>1539</v>
      </c>
      <c r="H638" s="10">
        <v>4033253</v>
      </c>
      <c r="I638" t="str">
        <f>IFERROR(VLOOKUP(Final!F638,'LEAID Match'!$A$2:$B$374,2,FALSE),"")</f>
        <v/>
      </c>
      <c r="K638" s="10">
        <f t="shared" si="9"/>
        <v>4033253</v>
      </c>
    </row>
    <row r="639" spans="1:11">
      <c r="A639" t="s">
        <v>2470</v>
      </c>
      <c r="B639" s="10">
        <v>2022</v>
      </c>
      <c r="C639" t="s">
        <v>184</v>
      </c>
      <c r="D639" t="s">
        <v>2472</v>
      </c>
      <c r="E639" t="s">
        <v>2474</v>
      </c>
      <c r="F639" t="s">
        <v>1539</v>
      </c>
      <c r="G639" t="s">
        <v>1539</v>
      </c>
      <c r="H639" s="10">
        <v>4354981</v>
      </c>
      <c r="I639" t="str">
        <f>IFERROR(VLOOKUP(Final!F639,'LEAID Match'!$A$2:$B$374,2,FALSE),"")</f>
        <v/>
      </c>
      <c r="K639" s="10">
        <f t="shared" si="9"/>
        <v>4354981</v>
      </c>
    </row>
    <row r="640" spans="1:11">
      <c r="A640" t="s">
        <v>2470</v>
      </c>
      <c r="B640" s="10">
        <v>2023</v>
      </c>
      <c r="C640" t="s">
        <v>184</v>
      </c>
      <c r="D640" t="s">
        <v>2472</v>
      </c>
      <c r="E640" t="s">
        <v>2474</v>
      </c>
      <c r="F640" t="s">
        <v>1539</v>
      </c>
      <c r="G640" t="s">
        <v>1539</v>
      </c>
      <c r="H640" s="10">
        <v>4891836</v>
      </c>
      <c r="I640" t="str">
        <f>IFERROR(VLOOKUP(Final!F640,'LEAID Match'!$A$2:$B$374,2,FALSE),"")</f>
        <v/>
      </c>
      <c r="K640" s="10">
        <f t="shared" si="9"/>
        <v>4891836</v>
      </c>
    </row>
    <row r="641" spans="1:11">
      <c r="A641" t="s">
        <v>2470</v>
      </c>
      <c r="B641" s="10">
        <v>2015</v>
      </c>
      <c r="C641" t="s">
        <v>1412</v>
      </c>
      <c r="D641" t="s">
        <v>2472</v>
      </c>
      <c r="E641" t="s">
        <v>2474</v>
      </c>
      <c r="F641" t="s">
        <v>1609</v>
      </c>
      <c r="G641" t="s">
        <v>245</v>
      </c>
      <c r="H641" s="10">
        <v>2752019</v>
      </c>
      <c r="I641" t="str">
        <f>IFERROR(VLOOKUP(Final!F641,'LEAID Match'!$A$2:$B$374,2,FALSE),"")</f>
        <v/>
      </c>
      <c r="K641" s="10">
        <f t="shared" si="9"/>
        <v>2752019</v>
      </c>
    </row>
    <row r="642" spans="1:11">
      <c r="A642" t="s">
        <v>2470</v>
      </c>
      <c r="B642" s="10">
        <v>2016</v>
      </c>
      <c r="C642" t="s">
        <v>1412</v>
      </c>
      <c r="D642" t="s">
        <v>2472</v>
      </c>
      <c r="E642" t="s">
        <v>2474</v>
      </c>
      <c r="F642" t="s">
        <v>1609</v>
      </c>
      <c r="G642" t="s">
        <v>245</v>
      </c>
      <c r="H642" s="10">
        <v>2887588</v>
      </c>
      <c r="I642" t="str">
        <f>IFERROR(VLOOKUP(Final!F642,'LEAID Match'!$A$2:$B$374,2,FALSE),"")</f>
        <v/>
      </c>
      <c r="K642" s="10">
        <f t="shared" si="9"/>
        <v>2887588</v>
      </c>
    </row>
    <row r="643" spans="1:11">
      <c r="A643" t="s">
        <v>2470</v>
      </c>
      <c r="B643" s="10">
        <v>2017</v>
      </c>
      <c r="C643" t="s">
        <v>1412</v>
      </c>
      <c r="D643" t="s">
        <v>2472</v>
      </c>
      <c r="E643" t="s">
        <v>2474</v>
      </c>
      <c r="F643" t="s">
        <v>1609</v>
      </c>
      <c r="G643" t="s">
        <v>1609</v>
      </c>
      <c r="H643" s="10">
        <v>3081113</v>
      </c>
      <c r="I643" t="str">
        <f>IFERROR(VLOOKUP(Final!F643,'LEAID Match'!$A$2:$B$374,2,FALSE),"")</f>
        <v/>
      </c>
      <c r="K643" s="10">
        <f t="shared" ref="K643:K706" si="10">SUM(H643,J643)</f>
        <v>3081113</v>
      </c>
    </row>
    <row r="644" spans="1:11">
      <c r="A644" t="s">
        <v>2470</v>
      </c>
      <c r="B644" s="10">
        <v>2018</v>
      </c>
      <c r="C644" t="s">
        <v>1412</v>
      </c>
      <c r="D644" t="s">
        <v>2472</v>
      </c>
      <c r="E644" t="s">
        <v>2474</v>
      </c>
      <c r="F644" t="s">
        <v>1609</v>
      </c>
      <c r="G644" t="s">
        <v>2115</v>
      </c>
      <c r="H644" s="10">
        <v>3031094</v>
      </c>
      <c r="I644" t="str">
        <f>IFERROR(VLOOKUP(Final!F644,'LEAID Match'!$A$2:$B$374,2,FALSE),"")</f>
        <v/>
      </c>
      <c r="K644" s="10">
        <f t="shared" si="10"/>
        <v>3031094</v>
      </c>
    </row>
    <row r="645" spans="1:11">
      <c r="A645" t="s">
        <v>2470</v>
      </c>
      <c r="B645" s="10">
        <v>2019</v>
      </c>
      <c r="C645" t="s">
        <v>1412</v>
      </c>
      <c r="D645" t="s">
        <v>2472</v>
      </c>
      <c r="E645" t="s">
        <v>2474</v>
      </c>
      <c r="F645" t="s">
        <v>1609</v>
      </c>
      <c r="G645" t="s">
        <v>1609</v>
      </c>
      <c r="H645" s="10">
        <v>3180332</v>
      </c>
      <c r="I645" t="str">
        <f>IFERROR(VLOOKUP(Final!F645,'LEAID Match'!$A$2:$B$374,2,FALSE),"")</f>
        <v/>
      </c>
      <c r="K645" s="10">
        <f t="shared" si="10"/>
        <v>3180332</v>
      </c>
    </row>
    <row r="646" spans="1:11">
      <c r="A646" t="s">
        <v>2470</v>
      </c>
      <c r="B646" s="10">
        <v>2020</v>
      </c>
      <c r="C646" t="s">
        <v>1412</v>
      </c>
      <c r="D646" t="s">
        <v>2472</v>
      </c>
      <c r="E646" t="s">
        <v>2474</v>
      </c>
      <c r="F646" t="s">
        <v>1609</v>
      </c>
      <c r="G646" t="s">
        <v>1609</v>
      </c>
      <c r="H646" s="10">
        <v>3332878</v>
      </c>
      <c r="I646" t="str">
        <f>IFERROR(VLOOKUP(Final!F646,'LEAID Match'!$A$2:$B$374,2,FALSE),"")</f>
        <v/>
      </c>
      <c r="K646" s="10">
        <f t="shared" si="10"/>
        <v>3332878</v>
      </c>
    </row>
    <row r="647" spans="1:11">
      <c r="A647" t="s">
        <v>2470</v>
      </c>
      <c r="B647" s="10">
        <v>2021</v>
      </c>
      <c r="C647" t="s">
        <v>1412</v>
      </c>
      <c r="D647" t="s">
        <v>2472</v>
      </c>
      <c r="E647" t="s">
        <v>2474</v>
      </c>
      <c r="F647" t="s">
        <v>1609</v>
      </c>
      <c r="G647" t="s">
        <v>1609</v>
      </c>
      <c r="H647" s="10">
        <v>3432372</v>
      </c>
      <c r="I647" t="str">
        <f>IFERROR(VLOOKUP(Final!F647,'LEAID Match'!$A$2:$B$374,2,FALSE),"")</f>
        <v/>
      </c>
      <c r="K647" s="10">
        <f t="shared" si="10"/>
        <v>3432372</v>
      </c>
    </row>
    <row r="648" spans="1:11">
      <c r="A648" t="s">
        <v>2470</v>
      </c>
      <c r="B648" s="10">
        <v>2022</v>
      </c>
      <c r="C648" t="s">
        <v>1412</v>
      </c>
      <c r="D648" t="s">
        <v>2472</v>
      </c>
      <c r="E648" t="s">
        <v>2474</v>
      </c>
      <c r="F648" t="s">
        <v>1609</v>
      </c>
      <c r="G648" t="s">
        <v>1609</v>
      </c>
      <c r="H648" s="10">
        <v>3430124</v>
      </c>
      <c r="I648" t="str">
        <f>IFERROR(VLOOKUP(Final!F648,'LEAID Match'!$A$2:$B$374,2,FALSE),"")</f>
        <v/>
      </c>
      <c r="K648" s="10">
        <f t="shared" si="10"/>
        <v>3430124</v>
      </c>
    </row>
    <row r="649" spans="1:11">
      <c r="A649" t="s">
        <v>2470</v>
      </c>
      <c r="B649" s="10">
        <v>2023</v>
      </c>
      <c r="C649" t="s">
        <v>1412</v>
      </c>
      <c r="D649" t="s">
        <v>2472</v>
      </c>
      <c r="E649" t="s">
        <v>2474</v>
      </c>
      <c r="F649" t="s">
        <v>1609</v>
      </c>
      <c r="G649" t="s">
        <v>1609</v>
      </c>
      <c r="H649" s="10">
        <v>3632629</v>
      </c>
      <c r="I649" t="str">
        <f>IFERROR(VLOOKUP(Final!F649,'LEAID Match'!$A$2:$B$374,2,FALSE),"")</f>
        <v/>
      </c>
      <c r="K649" s="10">
        <f t="shared" si="10"/>
        <v>3632629</v>
      </c>
    </row>
    <row r="650" spans="1:11">
      <c r="A650" t="s">
        <v>2470</v>
      </c>
      <c r="B650" s="10">
        <v>2015</v>
      </c>
      <c r="C650" t="s">
        <v>171</v>
      </c>
      <c r="D650" t="s">
        <v>2472</v>
      </c>
      <c r="E650" t="s">
        <v>2474</v>
      </c>
      <c r="F650" t="s">
        <v>1529</v>
      </c>
      <c r="G650" t="s">
        <v>116</v>
      </c>
      <c r="H650" s="10">
        <v>56835</v>
      </c>
      <c r="I650" t="str">
        <f>IFERROR(VLOOKUP(Final!F650,'LEAID Match'!$A$2:$B$374,2,FALSE),"")</f>
        <v/>
      </c>
      <c r="K650" s="10">
        <f t="shared" si="10"/>
        <v>56835</v>
      </c>
    </row>
    <row r="651" spans="1:11">
      <c r="A651" t="s">
        <v>2470</v>
      </c>
      <c r="B651" s="10">
        <v>2016</v>
      </c>
      <c r="C651" t="s">
        <v>171</v>
      </c>
      <c r="D651" t="s">
        <v>2472</v>
      </c>
      <c r="E651" t="s">
        <v>2474</v>
      </c>
      <c r="F651" t="s">
        <v>1529</v>
      </c>
      <c r="G651" t="s">
        <v>116</v>
      </c>
      <c r="H651" s="10">
        <v>55560</v>
      </c>
      <c r="I651" t="str">
        <f>IFERROR(VLOOKUP(Final!F651,'LEAID Match'!$A$2:$B$374,2,FALSE),"")</f>
        <v/>
      </c>
      <c r="K651" s="10">
        <f t="shared" si="10"/>
        <v>55560</v>
      </c>
    </row>
    <row r="652" spans="1:11">
      <c r="A652" t="s">
        <v>2470</v>
      </c>
      <c r="B652" s="10">
        <v>2017</v>
      </c>
      <c r="C652" t="s">
        <v>171</v>
      </c>
      <c r="D652" t="s">
        <v>2472</v>
      </c>
      <c r="E652" t="s">
        <v>2474</v>
      </c>
      <c r="F652" t="s">
        <v>1529</v>
      </c>
      <c r="G652" t="s">
        <v>1529</v>
      </c>
      <c r="H652" s="10">
        <v>56704</v>
      </c>
      <c r="I652" t="str">
        <f>IFERROR(VLOOKUP(Final!F652,'LEAID Match'!$A$2:$B$374,2,FALSE),"")</f>
        <v/>
      </c>
      <c r="K652" s="10">
        <f t="shared" si="10"/>
        <v>56704</v>
      </c>
    </row>
    <row r="653" spans="1:11">
      <c r="A653" t="s">
        <v>2470</v>
      </c>
      <c r="B653" s="10">
        <v>2018</v>
      </c>
      <c r="C653" t="s">
        <v>171</v>
      </c>
      <c r="D653" t="s">
        <v>2472</v>
      </c>
      <c r="E653" t="s">
        <v>2474</v>
      </c>
      <c r="F653" t="s">
        <v>1529</v>
      </c>
      <c r="G653" t="s">
        <v>1529</v>
      </c>
      <c r="H653" s="10">
        <v>54048</v>
      </c>
      <c r="I653" t="str">
        <f>IFERROR(VLOOKUP(Final!F653,'LEAID Match'!$A$2:$B$374,2,FALSE),"")</f>
        <v/>
      </c>
      <c r="K653" s="10">
        <f t="shared" si="10"/>
        <v>54048</v>
      </c>
    </row>
    <row r="654" spans="1:11">
      <c r="A654" t="s">
        <v>2470</v>
      </c>
      <c r="B654" s="10">
        <v>2019</v>
      </c>
      <c r="C654" t="s">
        <v>171</v>
      </c>
      <c r="D654" t="s">
        <v>2472</v>
      </c>
      <c r="E654" t="s">
        <v>2474</v>
      </c>
      <c r="F654" t="s">
        <v>1529</v>
      </c>
      <c r="G654" t="s">
        <v>1529</v>
      </c>
      <c r="H654" s="10">
        <v>58391</v>
      </c>
      <c r="I654" t="str">
        <f>IFERROR(VLOOKUP(Final!F654,'LEAID Match'!$A$2:$B$374,2,FALSE),"")</f>
        <v/>
      </c>
      <c r="K654" s="10">
        <f t="shared" si="10"/>
        <v>58391</v>
      </c>
    </row>
    <row r="655" spans="1:11">
      <c r="A655" t="s">
        <v>2470</v>
      </c>
      <c r="B655" s="10">
        <v>2020</v>
      </c>
      <c r="C655" t="s">
        <v>171</v>
      </c>
      <c r="D655" t="s">
        <v>2472</v>
      </c>
      <c r="E655" t="s">
        <v>2474</v>
      </c>
      <c r="F655" t="s">
        <v>1529</v>
      </c>
      <c r="G655" t="s">
        <v>1529</v>
      </c>
      <c r="H655" s="10">
        <v>60709</v>
      </c>
      <c r="I655" t="str">
        <f>IFERROR(VLOOKUP(Final!F655,'LEAID Match'!$A$2:$B$374,2,FALSE),"")</f>
        <v/>
      </c>
      <c r="K655" s="10">
        <f t="shared" si="10"/>
        <v>60709</v>
      </c>
    </row>
    <row r="656" spans="1:11">
      <c r="A656" t="s">
        <v>2470</v>
      </c>
      <c r="B656" s="10">
        <v>2021</v>
      </c>
      <c r="C656" t="s">
        <v>171</v>
      </c>
      <c r="D656" t="s">
        <v>2472</v>
      </c>
      <c r="E656" t="s">
        <v>2474</v>
      </c>
      <c r="F656" t="s">
        <v>1529</v>
      </c>
      <c r="G656" t="s">
        <v>1529</v>
      </c>
      <c r="H656" s="10">
        <v>71190</v>
      </c>
      <c r="I656" t="str">
        <f>IFERROR(VLOOKUP(Final!F656,'LEAID Match'!$A$2:$B$374,2,FALSE),"")</f>
        <v/>
      </c>
      <c r="K656" s="10">
        <f t="shared" si="10"/>
        <v>71190</v>
      </c>
    </row>
    <row r="657" spans="1:11">
      <c r="A657" t="s">
        <v>2470</v>
      </c>
      <c r="B657" s="10">
        <v>2022</v>
      </c>
      <c r="C657" t="s">
        <v>171</v>
      </c>
      <c r="D657" t="s">
        <v>2472</v>
      </c>
      <c r="E657" t="s">
        <v>2474</v>
      </c>
      <c r="F657" t="s">
        <v>1529</v>
      </c>
      <c r="G657" t="s">
        <v>1529</v>
      </c>
      <c r="H657" s="10">
        <v>71491</v>
      </c>
      <c r="I657" t="str">
        <f>IFERROR(VLOOKUP(Final!F657,'LEAID Match'!$A$2:$B$374,2,FALSE),"")</f>
        <v/>
      </c>
      <c r="K657" s="10">
        <f t="shared" si="10"/>
        <v>71491</v>
      </c>
    </row>
    <row r="658" spans="1:11">
      <c r="A658" t="s">
        <v>2470</v>
      </c>
      <c r="B658" s="10">
        <v>2023</v>
      </c>
      <c r="C658" t="s">
        <v>171</v>
      </c>
      <c r="D658" t="s">
        <v>2472</v>
      </c>
      <c r="E658" t="s">
        <v>2474</v>
      </c>
      <c r="F658" t="s">
        <v>1529</v>
      </c>
      <c r="G658" t="s">
        <v>1529</v>
      </c>
      <c r="H658" s="10">
        <v>86900</v>
      </c>
      <c r="I658" t="str">
        <f>IFERROR(VLOOKUP(Final!F658,'LEAID Match'!$A$2:$B$374,2,FALSE),"")</f>
        <v/>
      </c>
      <c r="K658" s="10">
        <f t="shared" si="10"/>
        <v>86900</v>
      </c>
    </row>
    <row r="659" spans="1:11">
      <c r="A659" t="s">
        <v>2470</v>
      </c>
      <c r="B659" s="10">
        <v>2015</v>
      </c>
      <c r="C659" t="s">
        <v>209</v>
      </c>
      <c r="D659" t="s">
        <v>2472</v>
      </c>
      <c r="E659" t="s">
        <v>2474</v>
      </c>
      <c r="F659" t="s">
        <v>154</v>
      </c>
      <c r="G659" t="s">
        <v>154</v>
      </c>
      <c r="H659" s="10">
        <v>173717</v>
      </c>
      <c r="I659" t="str">
        <f>IFERROR(VLOOKUP(Final!F659,'LEAID Match'!$A$2:$B$374,2,FALSE),"")</f>
        <v/>
      </c>
      <c r="K659" s="10">
        <f t="shared" si="10"/>
        <v>173717</v>
      </c>
    </row>
    <row r="660" spans="1:11">
      <c r="A660" t="s">
        <v>2470</v>
      </c>
      <c r="B660" s="10">
        <v>2016</v>
      </c>
      <c r="C660" t="s">
        <v>209</v>
      </c>
      <c r="D660" t="s">
        <v>2472</v>
      </c>
      <c r="E660" t="s">
        <v>2474</v>
      </c>
      <c r="F660" t="s">
        <v>154</v>
      </c>
      <c r="G660" t="s">
        <v>154</v>
      </c>
      <c r="H660" s="10">
        <v>174107</v>
      </c>
      <c r="I660" t="str">
        <f>IFERROR(VLOOKUP(Final!F660,'LEAID Match'!$A$2:$B$374,2,FALSE),"")</f>
        <v/>
      </c>
      <c r="K660" s="10">
        <f t="shared" si="10"/>
        <v>174107</v>
      </c>
    </row>
    <row r="661" spans="1:11">
      <c r="A661" t="s">
        <v>2470</v>
      </c>
      <c r="B661" s="10">
        <v>2017</v>
      </c>
      <c r="C661" t="s">
        <v>209</v>
      </c>
      <c r="D661" t="s">
        <v>2472</v>
      </c>
      <c r="E661" t="s">
        <v>2474</v>
      </c>
      <c r="F661" t="s">
        <v>154</v>
      </c>
      <c r="G661" t="s">
        <v>154</v>
      </c>
      <c r="H661" s="10">
        <v>180772</v>
      </c>
      <c r="I661" t="str">
        <f>IFERROR(VLOOKUP(Final!F661,'LEAID Match'!$A$2:$B$374,2,FALSE),"")</f>
        <v/>
      </c>
      <c r="K661" s="10">
        <f t="shared" si="10"/>
        <v>180772</v>
      </c>
    </row>
    <row r="662" spans="1:11">
      <c r="A662" t="s">
        <v>2470</v>
      </c>
      <c r="B662" s="10">
        <v>2018</v>
      </c>
      <c r="C662" t="s">
        <v>209</v>
      </c>
      <c r="D662" t="s">
        <v>2472</v>
      </c>
      <c r="E662" t="s">
        <v>2474</v>
      </c>
      <c r="F662" t="s">
        <v>154</v>
      </c>
      <c r="G662" t="s">
        <v>154</v>
      </c>
      <c r="H662" s="10">
        <v>159007</v>
      </c>
      <c r="I662" t="str">
        <f>IFERROR(VLOOKUP(Final!F662,'LEAID Match'!$A$2:$B$374,2,FALSE),"")</f>
        <v/>
      </c>
      <c r="K662" s="10">
        <f t="shared" si="10"/>
        <v>159007</v>
      </c>
    </row>
    <row r="663" spans="1:11">
      <c r="A663" t="s">
        <v>2470</v>
      </c>
      <c r="B663" s="10">
        <v>2019</v>
      </c>
      <c r="C663" t="s">
        <v>209</v>
      </c>
      <c r="D663" t="s">
        <v>2472</v>
      </c>
      <c r="E663" t="s">
        <v>2474</v>
      </c>
      <c r="F663" t="s">
        <v>154</v>
      </c>
      <c r="G663" t="s">
        <v>154</v>
      </c>
      <c r="H663" s="10">
        <v>170465</v>
      </c>
      <c r="I663" t="str">
        <f>IFERROR(VLOOKUP(Final!F663,'LEAID Match'!$A$2:$B$374,2,FALSE),"")</f>
        <v/>
      </c>
      <c r="K663" s="10">
        <f t="shared" si="10"/>
        <v>170465</v>
      </c>
    </row>
    <row r="664" spans="1:11">
      <c r="A664" t="s">
        <v>2470</v>
      </c>
      <c r="B664" s="10">
        <v>2020</v>
      </c>
      <c r="C664" t="s">
        <v>209</v>
      </c>
      <c r="D664" t="s">
        <v>2472</v>
      </c>
      <c r="E664" t="s">
        <v>2474</v>
      </c>
      <c r="F664" t="s">
        <v>154</v>
      </c>
      <c r="G664" t="s">
        <v>154</v>
      </c>
      <c r="H664" s="10">
        <v>176854</v>
      </c>
      <c r="I664" t="str">
        <f>IFERROR(VLOOKUP(Final!F664,'LEAID Match'!$A$2:$B$374,2,FALSE),"")</f>
        <v/>
      </c>
      <c r="K664" s="10">
        <f t="shared" si="10"/>
        <v>176854</v>
      </c>
    </row>
    <row r="665" spans="1:11">
      <c r="A665" t="s">
        <v>2470</v>
      </c>
      <c r="B665" s="10">
        <v>2021</v>
      </c>
      <c r="C665" t="s">
        <v>209</v>
      </c>
      <c r="D665" t="s">
        <v>2472</v>
      </c>
      <c r="E665" t="s">
        <v>2474</v>
      </c>
      <c r="F665" t="s">
        <v>154</v>
      </c>
      <c r="G665" t="s">
        <v>154</v>
      </c>
      <c r="H665" s="10">
        <v>190500</v>
      </c>
      <c r="I665" t="str">
        <f>IFERROR(VLOOKUP(Final!F665,'LEAID Match'!$A$2:$B$374,2,FALSE),"")</f>
        <v/>
      </c>
      <c r="K665" s="10">
        <f t="shared" si="10"/>
        <v>190500</v>
      </c>
    </row>
    <row r="666" spans="1:11">
      <c r="A666" t="s">
        <v>2470</v>
      </c>
      <c r="B666" s="10">
        <v>2022</v>
      </c>
      <c r="C666" t="s">
        <v>209</v>
      </c>
      <c r="D666" t="s">
        <v>2472</v>
      </c>
      <c r="E666" t="s">
        <v>2474</v>
      </c>
      <c r="F666" t="s">
        <v>154</v>
      </c>
      <c r="G666" t="s">
        <v>154</v>
      </c>
      <c r="H666" s="10">
        <v>179891</v>
      </c>
      <c r="I666" t="str">
        <f>IFERROR(VLOOKUP(Final!F666,'LEAID Match'!$A$2:$B$374,2,FALSE),"")</f>
        <v/>
      </c>
      <c r="K666" s="10">
        <f t="shared" si="10"/>
        <v>179891</v>
      </c>
    </row>
    <row r="667" spans="1:11">
      <c r="A667" t="s">
        <v>2470</v>
      </c>
      <c r="B667" s="10">
        <v>2023</v>
      </c>
      <c r="C667" t="s">
        <v>209</v>
      </c>
      <c r="D667" t="s">
        <v>2472</v>
      </c>
      <c r="E667" t="s">
        <v>2474</v>
      </c>
      <c r="F667" t="s">
        <v>154</v>
      </c>
      <c r="G667" t="s">
        <v>154</v>
      </c>
      <c r="H667" s="10">
        <v>202348</v>
      </c>
      <c r="I667" t="str">
        <f>IFERROR(VLOOKUP(Final!F667,'LEAID Match'!$A$2:$B$374,2,FALSE),"")</f>
        <v/>
      </c>
      <c r="K667" s="10">
        <f t="shared" si="10"/>
        <v>202348</v>
      </c>
    </row>
    <row r="668" spans="1:11">
      <c r="A668" t="s">
        <v>2470</v>
      </c>
      <c r="B668" s="10">
        <v>2015</v>
      </c>
      <c r="C668" t="s">
        <v>1019</v>
      </c>
      <c r="D668" t="s">
        <v>2472</v>
      </c>
      <c r="E668" t="s">
        <v>2474</v>
      </c>
      <c r="F668" t="s">
        <v>1901</v>
      </c>
      <c r="G668" t="s">
        <v>964</v>
      </c>
      <c r="H668" s="10">
        <v>52661</v>
      </c>
      <c r="I668" t="str">
        <f>IFERROR(VLOOKUP(Final!F668,'LEAID Match'!$A$2:$B$374,2,FALSE),"")</f>
        <v/>
      </c>
      <c r="K668" s="10">
        <f t="shared" si="10"/>
        <v>52661</v>
      </c>
    </row>
    <row r="669" spans="1:11">
      <c r="A669" t="s">
        <v>2470</v>
      </c>
      <c r="B669" s="10">
        <v>2016</v>
      </c>
      <c r="C669" t="s">
        <v>1019</v>
      </c>
      <c r="D669" t="s">
        <v>2472</v>
      </c>
      <c r="E669" t="s">
        <v>2474</v>
      </c>
      <c r="F669" t="s">
        <v>1901</v>
      </c>
      <c r="G669" t="s">
        <v>964</v>
      </c>
      <c r="H669" s="10">
        <v>52584</v>
      </c>
      <c r="I669" t="str">
        <f>IFERROR(VLOOKUP(Final!F669,'LEAID Match'!$A$2:$B$374,2,FALSE),"")</f>
        <v/>
      </c>
      <c r="K669" s="10">
        <f t="shared" si="10"/>
        <v>52584</v>
      </c>
    </row>
    <row r="670" spans="1:11">
      <c r="A670" t="s">
        <v>2470</v>
      </c>
      <c r="B670" s="10">
        <v>2017</v>
      </c>
      <c r="C670" t="s">
        <v>1019</v>
      </c>
      <c r="D670" t="s">
        <v>2472</v>
      </c>
      <c r="E670" t="s">
        <v>2474</v>
      </c>
      <c r="F670" t="s">
        <v>1901</v>
      </c>
      <c r="G670" t="s">
        <v>1901</v>
      </c>
      <c r="H670" s="10">
        <v>57118</v>
      </c>
      <c r="I670" t="str">
        <f>IFERROR(VLOOKUP(Final!F670,'LEAID Match'!$A$2:$B$374,2,FALSE),"")</f>
        <v/>
      </c>
      <c r="K670" s="10">
        <f t="shared" si="10"/>
        <v>57118</v>
      </c>
    </row>
    <row r="671" spans="1:11">
      <c r="A671" t="s">
        <v>2470</v>
      </c>
      <c r="B671" s="10">
        <v>2018</v>
      </c>
      <c r="C671" t="s">
        <v>1019</v>
      </c>
      <c r="D671" t="s">
        <v>2472</v>
      </c>
      <c r="E671" t="s">
        <v>2474</v>
      </c>
      <c r="F671" t="s">
        <v>1901</v>
      </c>
      <c r="G671" t="s">
        <v>1901</v>
      </c>
      <c r="H671" s="10">
        <v>52898</v>
      </c>
      <c r="I671" t="str">
        <f>IFERROR(VLOOKUP(Final!F671,'LEAID Match'!$A$2:$B$374,2,FALSE),"")</f>
        <v/>
      </c>
      <c r="K671" s="10">
        <f t="shared" si="10"/>
        <v>52898</v>
      </c>
    </row>
    <row r="672" spans="1:11">
      <c r="A672" t="s">
        <v>2470</v>
      </c>
      <c r="B672" s="10">
        <v>2019</v>
      </c>
      <c r="C672" t="s">
        <v>1019</v>
      </c>
      <c r="D672" t="s">
        <v>2472</v>
      </c>
      <c r="E672" t="s">
        <v>2474</v>
      </c>
      <c r="F672" t="s">
        <v>1901</v>
      </c>
      <c r="G672" t="s">
        <v>1901</v>
      </c>
      <c r="H672" s="10">
        <v>58651</v>
      </c>
      <c r="I672" t="str">
        <f>IFERROR(VLOOKUP(Final!F672,'LEAID Match'!$A$2:$B$374,2,FALSE),"")</f>
        <v/>
      </c>
      <c r="K672" s="10">
        <f t="shared" si="10"/>
        <v>58651</v>
      </c>
    </row>
    <row r="673" spans="1:11">
      <c r="A673" t="s">
        <v>2470</v>
      </c>
      <c r="B673" s="10">
        <v>2020</v>
      </c>
      <c r="C673" t="s">
        <v>1019</v>
      </c>
      <c r="D673" t="s">
        <v>2472</v>
      </c>
      <c r="E673" t="s">
        <v>2474</v>
      </c>
      <c r="F673" t="s">
        <v>1901</v>
      </c>
      <c r="G673" t="s">
        <v>1901</v>
      </c>
      <c r="H673" s="10">
        <v>61428</v>
      </c>
      <c r="I673" t="str">
        <f>IFERROR(VLOOKUP(Final!F673,'LEAID Match'!$A$2:$B$374,2,FALSE),"")</f>
        <v/>
      </c>
      <c r="K673" s="10">
        <f t="shared" si="10"/>
        <v>61428</v>
      </c>
    </row>
    <row r="674" spans="1:11">
      <c r="A674" t="s">
        <v>2470</v>
      </c>
      <c r="B674" s="10">
        <v>2021</v>
      </c>
      <c r="C674" t="s">
        <v>1019</v>
      </c>
      <c r="D674" t="s">
        <v>2472</v>
      </c>
      <c r="E674" t="s">
        <v>2474</v>
      </c>
      <c r="F674" t="s">
        <v>1901</v>
      </c>
      <c r="G674" t="s">
        <v>1901</v>
      </c>
      <c r="H674" s="10">
        <v>55371</v>
      </c>
      <c r="I674" t="str">
        <f>IFERROR(VLOOKUP(Final!F674,'LEAID Match'!$A$2:$B$374,2,FALSE),"")</f>
        <v/>
      </c>
      <c r="K674" s="10">
        <f t="shared" si="10"/>
        <v>55371</v>
      </c>
    </row>
    <row r="675" spans="1:11">
      <c r="A675" t="s">
        <v>2470</v>
      </c>
      <c r="B675" s="10">
        <v>2022</v>
      </c>
      <c r="C675" t="s">
        <v>1019</v>
      </c>
      <c r="D675" t="s">
        <v>2472</v>
      </c>
      <c r="E675" t="s">
        <v>2474</v>
      </c>
      <c r="F675" t="s">
        <v>1901</v>
      </c>
      <c r="G675" t="s">
        <v>1901</v>
      </c>
      <c r="H675" s="10">
        <v>56578</v>
      </c>
      <c r="I675" t="str">
        <f>IFERROR(VLOOKUP(Final!F675,'LEAID Match'!$A$2:$B$374,2,FALSE),"")</f>
        <v/>
      </c>
      <c r="K675" s="10">
        <f t="shared" si="10"/>
        <v>56578</v>
      </c>
    </row>
    <row r="676" spans="1:11">
      <c r="A676" t="s">
        <v>2470</v>
      </c>
      <c r="B676" s="10">
        <v>2023</v>
      </c>
      <c r="C676" t="s">
        <v>1019</v>
      </c>
      <c r="D676" t="s">
        <v>2472</v>
      </c>
      <c r="E676" t="s">
        <v>2474</v>
      </c>
      <c r="F676" t="s">
        <v>1901</v>
      </c>
      <c r="G676" t="s">
        <v>1901</v>
      </c>
      <c r="H676" s="10">
        <v>57811</v>
      </c>
      <c r="I676" t="str">
        <f>IFERROR(VLOOKUP(Final!F676,'LEAID Match'!$A$2:$B$374,2,FALSE),"")</f>
        <v/>
      </c>
      <c r="K676" s="10">
        <f t="shared" si="10"/>
        <v>57811</v>
      </c>
    </row>
    <row r="677" spans="1:11">
      <c r="A677">
        <v>400120</v>
      </c>
      <c r="B677" s="10">
        <v>2015</v>
      </c>
      <c r="C677" t="s">
        <v>182</v>
      </c>
      <c r="D677" t="s">
        <v>2472</v>
      </c>
      <c r="E677" t="s">
        <v>2474</v>
      </c>
      <c r="F677" t="s">
        <v>1537</v>
      </c>
      <c r="G677" t="s">
        <v>127</v>
      </c>
      <c r="H677" s="10">
        <v>4926885</v>
      </c>
      <c r="I677">
        <f>IFERROR(VLOOKUP(Final!F677,'LEAID Match'!$A$2:$B$374,2,FALSE),"")</f>
        <v>400120</v>
      </c>
      <c r="K677" s="10">
        <f t="shared" si="10"/>
        <v>4926885</v>
      </c>
    </row>
    <row r="678" spans="1:11">
      <c r="A678">
        <v>400120</v>
      </c>
      <c r="B678" s="10">
        <v>2016</v>
      </c>
      <c r="C678" t="s">
        <v>182</v>
      </c>
      <c r="D678" t="s">
        <v>2472</v>
      </c>
      <c r="E678" t="s">
        <v>2474</v>
      </c>
      <c r="F678" t="s">
        <v>1537</v>
      </c>
      <c r="G678" t="s">
        <v>1377</v>
      </c>
      <c r="H678" s="10">
        <v>4859625</v>
      </c>
      <c r="I678">
        <f>IFERROR(VLOOKUP(Final!F678,'LEAID Match'!$A$2:$B$374,2,FALSE),"")</f>
        <v>400120</v>
      </c>
      <c r="K678" s="10">
        <f t="shared" si="10"/>
        <v>4859625</v>
      </c>
    </row>
    <row r="679" spans="1:11">
      <c r="A679">
        <v>400120</v>
      </c>
      <c r="B679" s="10">
        <v>2017</v>
      </c>
      <c r="C679" t="s">
        <v>182</v>
      </c>
      <c r="D679" t="s">
        <v>2472</v>
      </c>
      <c r="E679" t="s">
        <v>2474</v>
      </c>
      <c r="F679" t="s">
        <v>1537</v>
      </c>
      <c r="G679" t="s">
        <v>1537</v>
      </c>
      <c r="H679" s="10">
        <v>5196516</v>
      </c>
      <c r="I679">
        <f>IFERROR(VLOOKUP(Final!F679,'LEAID Match'!$A$2:$B$374,2,FALSE),"")</f>
        <v>400120</v>
      </c>
      <c r="K679" s="10">
        <f t="shared" si="10"/>
        <v>5196516</v>
      </c>
    </row>
    <row r="680" spans="1:11">
      <c r="A680">
        <v>400120</v>
      </c>
      <c r="B680" s="10">
        <v>2018</v>
      </c>
      <c r="C680" t="s">
        <v>182</v>
      </c>
      <c r="D680" t="s">
        <v>2472</v>
      </c>
      <c r="E680" t="s">
        <v>2474</v>
      </c>
      <c r="F680" t="s">
        <v>1537</v>
      </c>
      <c r="G680" t="s">
        <v>1537</v>
      </c>
      <c r="H680" s="10">
        <v>5310000</v>
      </c>
      <c r="I680">
        <f>IFERROR(VLOOKUP(Final!F680,'LEAID Match'!$A$2:$B$374,2,FALSE),"")</f>
        <v>400120</v>
      </c>
      <c r="K680" s="10">
        <f t="shared" si="10"/>
        <v>5310000</v>
      </c>
    </row>
    <row r="681" spans="1:11">
      <c r="A681">
        <v>400120</v>
      </c>
      <c r="B681" s="10">
        <v>2019</v>
      </c>
      <c r="C681" t="s">
        <v>182</v>
      </c>
      <c r="D681" t="s">
        <v>2472</v>
      </c>
      <c r="E681" t="s">
        <v>2474</v>
      </c>
      <c r="F681" t="s">
        <v>1537</v>
      </c>
      <c r="G681" t="s">
        <v>1537</v>
      </c>
      <c r="H681" s="10">
        <v>5600784</v>
      </c>
      <c r="I681">
        <f>IFERROR(VLOOKUP(Final!F681,'LEAID Match'!$A$2:$B$374,2,FALSE),"")</f>
        <v>400120</v>
      </c>
      <c r="K681" s="10">
        <f t="shared" si="10"/>
        <v>5600784</v>
      </c>
    </row>
    <row r="682" spans="1:11">
      <c r="A682">
        <v>400120</v>
      </c>
      <c r="B682" s="10">
        <v>2020</v>
      </c>
      <c r="C682" t="s">
        <v>182</v>
      </c>
      <c r="D682" t="s">
        <v>2472</v>
      </c>
      <c r="E682" t="s">
        <v>2474</v>
      </c>
      <c r="F682" t="s">
        <v>1537</v>
      </c>
      <c r="G682" t="s">
        <v>1537</v>
      </c>
      <c r="H682" s="10">
        <v>6112701</v>
      </c>
      <c r="I682">
        <f>IFERROR(VLOOKUP(Final!F682,'LEAID Match'!$A$2:$B$374,2,FALSE),"")</f>
        <v>400120</v>
      </c>
      <c r="K682" s="10">
        <f t="shared" si="10"/>
        <v>6112701</v>
      </c>
    </row>
    <row r="683" spans="1:11">
      <c r="A683">
        <v>400120</v>
      </c>
      <c r="B683" s="10">
        <v>2021</v>
      </c>
      <c r="C683" t="s">
        <v>182</v>
      </c>
      <c r="D683" t="s">
        <v>2472</v>
      </c>
      <c r="E683" t="s">
        <v>2474</v>
      </c>
      <c r="F683" t="s">
        <v>1537</v>
      </c>
      <c r="G683" t="s">
        <v>1537</v>
      </c>
      <c r="H683" s="10">
        <v>6543083</v>
      </c>
      <c r="I683">
        <f>IFERROR(VLOOKUP(Final!F683,'LEAID Match'!$A$2:$B$374,2,FALSE),"")</f>
        <v>400120</v>
      </c>
      <c r="K683" s="10">
        <f t="shared" si="10"/>
        <v>6543083</v>
      </c>
    </row>
    <row r="684" spans="1:11">
      <c r="A684">
        <v>400120</v>
      </c>
      <c r="B684" s="10">
        <v>2022</v>
      </c>
      <c r="C684" t="s">
        <v>182</v>
      </c>
      <c r="D684" t="s">
        <v>2472</v>
      </c>
      <c r="E684" t="s">
        <v>2474</v>
      </c>
      <c r="F684" t="s">
        <v>1537</v>
      </c>
      <c r="G684" t="s">
        <v>1537</v>
      </c>
      <c r="H684" s="10">
        <v>7073465</v>
      </c>
      <c r="I684">
        <f>IFERROR(VLOOKUP(Final!F684,'LEAID Match'!$A$2:$B$374,2,FALSE),"")</f>
        <v>400120</v>
      </c>
      <c r="K684" s="10">
        <f t="shared" si="10"/>
        <v>7073465</v>
      </c>
    </row>
    <row r="685" spans="1:11">
      <c r="A685">
        <v>400120</v>
      </c>
      <c r="B685" s="10">
        <v>2023</v>
      </c>
      <c r="C685" t="s">
        <v>182</v>
      </c>
      <c r="D685" t="s">
        <v>2472</v>
      </c>
      <c r="E685" t="s">
        <v>2474</v>
      </c>
      <c r="F685" t="s">
        <v>1537</v>
      </c>
      <c r="G685" t="s">
        <v>1537</v>
      </c>
      <c r="H685" s="10">
        <v>8241737</v>
      </c>
      <c r="I685">
        <f>IFERROR(VLOOKUP(Final!F685,'LEAID Match'!$A$2:$B$374,2,FALSE),"")</f>
        <v>400120</v>
      </c>
      <c r="K685" s="10">
        <f t="shared" si="10"/>
        <v>8241737</v>
      </c>
    </row>
    <row r="686" spans="1:11">
      <c r="A686" t="s">
        <v>2470</v>
      </c>
      <c r="B686" s="10">
        <v>2015</v>
      </c>
      <c r="C686" t="s">
        <v>194</v>
      </c>
      <c r="D686" t="s">
        <v>2472</v>
      </c>
      <c r="E686" t="s">
        <v>2474</v>
      </c>
      <c r="F686" t="s">
        <v>1550</v>
      </c>
      <c r="G686" t="s">
        <v>139</v>
      </c>
      <c r="H686" s="10">
        <v>572647</v>
      </c>
      <c r="I686" t="str">
        <f>IFERROR(VLOOKUP(Final!F686,'LEAID Match'!$A$2:$B$374,2,FALSE),"")</f>
        <v/>
      </c>
      <c r="K686" s="10">
        <f t="shared" si="10"/>
        <v>572647</v>
      </c>
    </row>
    <row r="687" spans="1:11">
      <c r="A687" t="s">
        <v>2470</v>
      </c>
      <c r="B687" s="10">
        <v>2016</v>
      </c>
      <c r="C687" t="s">
        <v>194</v>
      </c>
      <c r="D687" t="s">
        <v>2472</v>
      </c>
      <c r="E687" t="s">
        <v>2474</v>
      </c>
      <c r="F687" t="s">
        <v>1550</v>
      </c>
      <c r="G687" t="s">
        <v>139</v>
      </c>
      <c r="H687" s="10">
        <v>538548</v>
      </c>
      <c r="I687" t="str">
        <f>IFERROR(VLOOKUP(Final!F687,'LEAID Match'!$A$2:$B$374,2,FALSE),"")</f>
        <v/>
      </c>
      <c r="K687" s="10">
        <f t="shared" si="10"/>
        <v>538548</v>
      </c>
    </row>
    <row r="688" spans="1:11">
      <c r="A688" t="s">
        <v>2470</v>
      </c>
      <c r="B688" s="10">
        <v>2017</v>
      </c>
      <c r="C688" t="s">
        <v>194</v>
      </c>
      <c r="D688" t="s">
        <v>2472</v>
      </c>
      <c r="E688" t="s">
        <v>2474</v>
      </c>
      <c r="F688" t="s">
        <v>1550</v>
      </c>
      <c r="G688" t="s">
        <v>1550</v>
      </c>
      <c r="H688" s="10">
        <v>518568</v>
      </c>
      <c r="I688" t="str">
        <f>IFERROR(VLOOKUP(Final!F688,'LEAID Match'!$A$2:$B$374,2,FALSE),"")</f>
        <v/>
      </c>
      <c r="K688" s="10">
        <f t="shared" si="10"/>
        <v>518568</v>
      </c>
    </row>
    <row r="689" spans="1:11">
      <c r="A689" t="s">
        <v>2470</v>
      </c>
      <c r="B689" s="10">
        <v>2018</v>
      </c>
      <c r="C689" t="s">
        <v>194</v>
      </c>
      <c r="D689" t="s">
        <v>2472</v>
      </c>
      <c r="E689" t="s">
        <v>2474</v>
      </c>
      <c r="F689" t="s">
        <v>1550</v>
      </c>
      <c r="G689" t="s">
        <v>2079</v>
      </c>
      <c r="H689" s="10">
        <v>486171</v>
      </c>
      <c r="I689" t="str">
        <f>IFERROR(VLOOKUP(Final!F689,'LEAID Match'!$A$2:$B$374,2,FALSE),"")</f>
        <v/>
      </c>
      <c r="K689" s="10">
        <f t="shared" si="10"/>
        <v>486171</v>
      </c>
    </row>
    <row r="690" spans="1:11">
      <c r="A690" t="s">
        <v>2470</v>
      </c>
      <c r="B690" s="10">
        <v>2019</v>
      </c>
      <c r="C690" t="s">
        <v>194</v>
      </c>
      <c r="D690" t="s">
        <v>2472</v>
      </c>
      <c r="E690" t="s">
        <v>2474</v>
      </c>
      <c r="F690" t="s">
        <v>1550</v>
      </c>
      <c r="G690" t="s">
        <v>1550</v>
      </c>
      <c r="H690" s="10">
        <v>476004</v>
      </c>
      <c r="I690" t="str">
        <f>IFERROR(VLOOKUP(Final!F690,'LEAID Match'!$A$2:$B$374,2,FALSE),"")</f>
        <v/>
      </c>
      <c r="K690" s="10">
        <f t="shared" si="10"/>
        <v>476004</v>
      </c>
    </row>
    <row r="691" spans="1:11">
      <c r="A691" t="s">
        <v>2470</v>
      </c>
      <c r="B691" s="10">
        <v>2020</v>
      </c>
      <c r="C691" t="s">
        <v>194</v>
      </c>
      <c r="D691" t="s">
        <v>2472</v>
      </c>
      <c r="E691" t="s">
        <v>2474</v>
      </c>
      <c r="F691" t="s">
        <v>1550</v>
      </c>
      <c r="G691" t="s">
        <v>1550</v>
      </c>
      <c r="H691" s="10">
        <v>514028</v>
      </c>
      <c r="I691" t="str">
        <f>IFERROR(VLOOKUP(Final!F691,'LEAID Match'!$A$2:$B$374,2,FALSE),"")</f>
        <v/>
      </c>
      <c r="K691" s="10">
        <f t="shared" si="10"/>
        <v>514028</v>
      </c>
    </row>
    <row r="692" spans="1:11">
      <c r="A692" t="s">
        <v>2470</v>
      </c>
      <c r="B692" s="10">
        <v>2021</v>
      </c>
      <c r="C692" t="s">
        <v>194</v>
      </c>
      <c r="D692" t="s">
        <v>2472</v>
      </c>
      <c r="E692" t="s">
        <v>2474</v>
      </c>
      <c r="F692" t="s">
        <v>1550</v>
      </c>
      <c r="G692" t="s">
        <v>1550</v>
      </c>
      <c r="H692" s="10">
        <v>588465</v>
      </c>
      <c r="I692" t="str">
        <f>IFERROR(VLOOKUP(Final!F692,'LEAID Match'!$A$2:$B$374,2,FALSE),"")</f>
        <v/>
      </c>
      <c r="K692" s="10">
        <f t="shared" si="10"/>
        <v>588465</v>
      </c>
    </row>
    <row r="693" spans="1:11">
      <c r="A693" t="s">
        <v>2470</v>
      </c>
      <c r="B693" s="10">
        <v>2022</v>
      </c>
      <c r="C693" t="s">
        <v>194</v>
      </c>
      <c r="D693" t="s">
        <v>2472</v>
      </c>
      <c r="E693" t="s">
        <v>2474</v>
      </c>
      <c r="F693" t="s">
        <v>1550</v>
      </c>
      <c r="G693" t="s">
        <v>1550</v>
      </c>
      <c r="H693" s="10">
        <v>630941</v>
      </c>
      <c r="I693" t="str">
        <f>IFERROR(VLOOKUP(Final!F693,'LEAID Match'!$A$2:$B$374,2,FALSE),"")</f>
        <v/>
      </c>
      <c r="K693" s="10">
        <f t="shared" si="10"/>
        <v>630941</v>
      </c>
    </row>
    <row r="694" spans="1:11">
      <c r="A694" t="s">
        <v>2470</v>
      </c>
      <c r="B694" s="10">
        <v>2023</v>
      </c>
      <c r="C694" t="s">
        <v>194</v>
      </c>
      <c r="D694" t="s">
        <v>2472</v>
      </c>
      <c r="E694" t="s">
        <v>2474</v>
      </c>
      <c r="F694" t="s">
        <v>1550</v>
      </c>
      <c r="G694" t="s">
        <v>1550</v>
      </c>
      <c r="H694" s="10">
        <v>722153</v>
      </c>
      <c r="I694" t="str">
        <f>IFERROR(VLOOKUP(Final!F694,'LEAID Match'!$A$2:$B$374,2,FALSE),"")</f>
        <v/>
      </c>
      <c r="K694" s="10">
        <f t="shared" si="10"/>
        <v>722153</v>
      </c>
    </row>
    <row r="695" spans="1:11">
      <c r="A695" t="s">
        <v>2470</v>
      </c>
      <c r="B695" s="10">
        <v>2015</v>
      </c>
      <c r="C695" t="s">
        <v>185</v>
      </c>
      <c r="D695" t="s">
        <v>2472</v>
      </c>
      <c r="E695" t="s">
        <v>2474</v>
      </c>
      <c r="F695" t="s">
        <v>1540</v>
      </c>
      <c r="G695" t="s">
        <v>130</v>
      </c>
      <c r="H695" s="10">
        <v>1731251</v>
      </c>
      <c r="I695" t="str">
        <f>IFERROR(VLOOKUP(Final!F695,'LEAID Match'!$A$2:$B$374,2,FALSE),"")</f>
        <v/>
      </c>
      <c r="K695" s="10">
        <f t="shared" si="10"/>
        <v>1731251</v>
      </c>
    </row>
    <row r="696" spans="1:11">
      <c r="A696" t="s">
        <v>2470</v>
      </c>
      <c r="B696" s="10">
        <v>2016</v>
      </c>
      <c r="C696" t="s">
        <v>185</v>
      </c>
      <c r="D696" t="s">
        <v>2472</v>
      </c>
      <c r="E696" t="s">
        <v>2474</v>
      </c>
      <c r="F696" t="s">
        <v>1540</v>
      </c>
      <c r="G696" t="s">
        <v>1380</v>
      </c>
      <c r="H696" s="10">
        <v>1799521</v>
      </c>
      <c r="I696" t="str">
        <f>IFERROR(VLOOKUP(Final!F696,'LEAID Match'!$A$2:$B$374,2,FALSE),"")</f>
        <v/>
      </c>
      <c r="K696" s="10">
        <f t="shared" si="10"/>
        <v>1799521</v>
      </c>
    </row>
    <row r="697" spans="1:11">
      <c r="A697" t="s">
        <v>2470</v>
      </c>
      <c r="B697" s="10">
        <v>2017</v>
      </c>
      <c r="C697" t="s">
        <v>185</v>
      </c>
      <c r="D697" t="s">
        <v>2472</v>
      </c>
      <c r="E697" t="s">
        <v>2474</v>
      </c>
      <c r="F697" t="s">
        <v>1540</v>
      </c>
      <c r="G697" t="s">
        <v>1540</v>
      </c>
      <c r="H697" s="10">
        <v>1817065</v>
      </c>
      <c r="I697" t="str">
        <f>IFERROR(VLOOKUP(Final!F697,'LEAID Match'!$A$2:$B$374,2,FALSE),"")</f>
        <v/>
      </c>
      <c r="K697" s="10">
        <f t="shared" si="10"/>
        <v>1817065</v>
      </c>
    </row>
    <row r="698" spans="1:11">
      <c r="A698" t="s">
        <v>2470</v>
      </c>
      <c r="B698" s="10">
        <v>2018</v>
      </c>
      <c r="C698" t="s">
        <v>185</v>
      </c>
      <c r="D698" t="s">
        <v>2472</v>
      </c>
      <c r="E698" t="s">
        <v>2474</v>
      </c>
      <c r="F698" t="s">
        <v>1540</v>
      </c>
      <c r="G698" t="s">
        <v>2072</v>
      </c>
      <c r="H698" s="10">
        <v>1764546</v>
      </c>
      <c r="I698" t="str">
        <f>IFERROR(VLOOKUP(Final!F698,'LEAID Match'!$A$2:$B$374,2,FALSE),"")</f>
        <v/>
      </c>
      <c r="K698" s="10">
        <f t="shared" si="10"/>
        <v>1764546</v>
      </c>
    </row>
    <row r="699" spans="1:11">
      <c r="A699" t="s">
        <v>2470</v>
      </c>
      <c r="B699" s="10">
        <v>2019</v>
      </c>
      <c r="C699" t="s">
        <v>185</v>
      </c>
      <c r="D699" t="s">
        <v>2472</v>
      </c>
      <c r="E699" t="s">
        <v>2474</v>
      </c>
      <c r="F699" t="s">
        <v>1540</v>
      </c>
      <c r="G699" t="s">
        <v>2351</v>
      </c>
      <c r="H699" s="10">
        <v>1809557</v>
      </c>
      <c r="I699" t="str">
        <f>IFERROR(VLOOKUP(Final!F699,'LEAID Match'!$A$2:$B$374,2,FALSE),"")</f>
        <v/>
      </c>
      <c r="K699" s="10">
        <f t="shared" si="10"/>
        <v>1809557</v>
      </c>
    </row>
    <row r="700" spans="1:11">
      <c r="A700" t="s">
        <v>2470</v>
      </c>
      <c r="B700" s="10">
        <v>2020</v>
      </c>
      <c r="C700" t="s">
        <v>185</v>
      </c>
      <c r="D700" t="s">
        <v>2472</v>
      </c>
      <c r="E700" t="s">
        <v>2474</v>
      </c>
      <c r="F700" t="s">
        <v>1540</v>
      </c>
      <c r="G700" t="s">
        <v>1540</v>
      </c>
      <c r="H700" s="10">
        <v>1865734</v>
      </c>
      <c r="I700" t="str">
        <f>IFERROR(VLOOKUP(Final!F700,'LEAID Match'!$A$2:$B$374,2,FALSE),"")</f>
        <v/>
      </c>
      <c r="K700" s="10">
        <f t="shared" si="10"/>
        <v>1865734</v>
      </c>
    </row>
    <row r="701" spans="1:11">
      <c r="A701" t="s">
        <v>2470</v>
      </c>
      <c r="B701" s="10">
        <v>2021</v>
      </c>
      <c r="C701" t="s">
        <v>185</v>
      </c>
      <c r="D701" t="s">
        <v>2472</v>
      </c>
      <c r="E701" t="s">
        <v>2474</v>
      </c>
      <c r="F701" t="s">
        <v>1540</v>
      </c>
      <c r="G701" t="s">
        <v>1540</v>
      </c>
      <c r="H701" s="10">
        <v>1972298</v>
      </c>
      <c r="I701" t="str">
        <f>IFERROR(VLOOKUP(Final!F701,'LEAID Match'!$A$2:$B$374,2,FALSE),"")</f>
        <v/>
      </c>
      <c r="K701" s="10">
        <f t="shared" si="10"/>
        <v>1972298</v>
      </c>
    </row>
    <row r="702" spans="1:11">
      <c r="A702" t="s">
        <v>2470</v>
      </c>
      <c r="B702" s="10">
        <v>2022</v>
      </c>
      <c r="C702" t="s">
        <v>185</v>
      </c>
      <c r="D702" t="s">
        <v>2472</v>
      </c>
      <c r="E702" t="s">
        <v>2474</v>
      </c>
      <c r="F702" t="s">
        <v>1540</v>
      </c>
      <c r="G702" t="s">
        <v>1540</v>
      </c>
      <c r="H702" s="10">
        <v>1971690</v>
      </c>
      <c r="I702" t="str">
        <f>IFERROR(VLOOKUP(Final!F702,'LEAID Match'!$A$2:$B$374,2,FALSE),"")</f>
        <v/>
      </c>
      <c r="K702" s="10">
        <f t="shared" si="10"/>
        <v>1971690</v>
      </c>
    </row>
    <row r="703" spans="1:11">
      <c r="A703" t="s">
        <v>2470</v>
      </c>
      <c r="B703" s="10">
        <v>2023</v>
      </c>
      <c r="C703" t="s">
        <v>185</v>
      </c>
      <c r="D703" t="s">
        <v>2472</v>
      </c>
      <c r="E703" t="s">
        <v>2474</v>
      </c>
      <c r="F703" t="s">
        <v>1540</v>
      </c>
      <c r="G703" t="s">
        <v>1540</v>
      </c>
      <c r="H703" s="10">
        <v>2084088</v>
      </c>
      <c r="I703" t="str">
        <f>IFERROR(VLOOKUP(Final!F703,'LEAID Match'!$A$2:$B$374,2,FALSE),"")</f>
        <v/>
      </c>
      <c r="K703" s="10">
        <f t="shared" si="10"/>
        <v>2084088</v>
      </c>
    </row>
    <row r="704" spans="1:11">
      <c r="A704" t="s">
        <v>2470</v>
      </c>
      <c r="B704" s="10">
        <v>2015</v>
      </c>
      <c r="C704" t="s">
        <v>97</v>
      </c>
      <c r="D704" t="s">
        <v>2472</v>
      </c>
      <c r="E704" t="s">
        <v>2474</v>
      </c>
      <c r="F704" t="s">
        <v>1512</v>
      </c>
      <c r="G704" t="s">
        <v>1370</v>
      </c>
      <c r="H704" s="10">
        <v>47042</v>
      </c>
      <c r="I704" t="str">
        <f>IFERROR(VLOOKUP(Final!F704,'LEAID Match'!$A$2:$B$374,2,FALSE),"")</f>
        <v/>
      </c>
      <c r="K704" s="10">
        <f t="shared" si="10"/>
        <v>47042</v>
      </c>
    </row>
    <row r="705" spans="1:11">
      <c r="A705" t="s">
        <v>2470</v>
      </c>
      <c r="B705" s="10">
        <v>2016</v>
      </c>
      <c r="C705" t="s">
        <v>97</v>
      </c>
      <c r="D705" t="s">
        <v>2472</v>
      </c>
      <c r="E705" t="s">
        <v>2474</v>
      </c>
      <c r="F705" t="s">
        <v>1512</v>
      </c>
      <c r="G705" t="s">
        <v>1370</v>
      </c>
      <c r="H705" s="10">
        <v>48498</v>
      </c>
      <c r="I705" t="str">
        <f>IFERROR(VLOOKUP(Final!F705,'LEAID Match'!$A$2:$B$374,2,FALSE),"")</f>
        <v/>
      </c>
      <c r="K705" s="10">
        <f t="shared" si="10"/>
        <v>48498</v>
      </c>
    </row>
    <row r="706" spans="1:11">
      <c r="A706" t="s">
        <v>2470</v>
      </c>
      <c r="B706" s="10">
        <v>2017</v>
      </c>
      <c r="C706" t="s">
        <v>97</v>
      </c>
      <c r="D706" t="s">
        <v>2472</v>
      </c>
      <c r="E706" t="s">
        <v>2474</v>
      </c>
      <c r="F706" t="s">
        <v>1512</v>
      </c>
      <c r="G706" t="s">
        <v>1512</v>
      </c>
      <c r="H706" s="10">
        <v>43528</v>
      </c>
      <c r="I706" t="str">
        <f>IFERROR(VLOOKUP(Final!F706,'LEAID Match'!$A$2:$B$374,2,FALSE),"")</f>
        <v/>
      </c>
      <c r="K706" s="10">
        <f t="shared" si="10"/>
        <v>43528</v>
      </c>
    </row>
    <row r="707" spans="1:11">
      <c r="A707" t="s">
        <v>2470</v>
      </c>
      <c r="B707" s="10">
        <v>2018</v>
      </c>
      <c r="C707" t="s">
        <v>97</v>
      </c>
      <c r="D707" t="s">
        <v>2472</v>
      </c>
      <c r="E707" t="s">
        <v>2474</v>
      </c>
      <c r="F707" t="s">
        <v>1512</v>
      </c>
      <c r="G707" t="s">
        <v>1512</v>
      </c>
      <c r="H707" s="10">
        <v>48302</v>
      </c>
      <c r="I707" t="str">
        <f>IFERROR(VLOOKUP(Final!F707,'LEAID Match'!$A$2:$B$374,2,FALSE),"")</f>
        <v/>
      </c>
      <c r="K707" s="10">
        <f t="shared" ref="K707:K770" si="11">SUM(H707,J707)</f>
        <v>48302</v>
      </c>
    </row>
    <row r="708" spans="1:11">
      <c r="A708" t="s">
        <v>2470</v>
      </c>
      <c r="B708" s="10">
        <v>2019</v>
      </c>
      <c r="C708" t="s">
        <v>97</v>
      </c>
      <c r="D708" t="s">
        <v>2472</v>
      </c>
      <c r="E708" t="s">
        <v>2474</v>
      </c>
      <c r="F708" t="s">
        <v>1512</v>
      </c>
      <c r="G708" t="s">
        <v>1512</v>
      </c>
      <c r="H708" s="10">
        <v>66475</v>
      </c>
      <c r="I708" t="str">
        <f>IFERROR(VLOOKUP(Final!F708,'LEAID Match'!$A$2:$B$374,2,FALSE),"")</f>
        <v/>
      </c>
      <c r="K708" s="10">
        <f t="shared" si="11"/>
        <v>66475</v>
      </c>
    </row>
    <row r="709" spans="1:11">
      <c r="A709" t="s">
        <v>2470</v>
      </c>
      <c r="B709" s="10">
        <v>2020</v>
      </c>
      <c r="C709" t="s">
        <v>97</v>
      </c>
      <c r="D709" t="s">
        <v>2472</v>
      </c>
      <c r="E709" t="s">
        <v>2474</v>
      </c>
      <c r="F709" t="s">
        <v>1512</v>
      </c>
      <c r="G709" t="s">
        <v>1512</v>
      </c>
      <c r="H709" s="10">
        <v>65031</v>
      </c>
      <c r="I709" t="str">
        <f>IFERROR(VLOOKUP(Final!F709,'LEAID Match'!$A$2:$B$374,2,FALSE),"")</f>
        <v/>
      </c>
      <c r="K709" s="10">
        <f t="shared" si="11"/>
        <v>65031</v>
      </c>
    </row>
    <row r="710" spans="1:11">
      <c r="A710" t="s">
        <v>2470</v>
      </c>
      <c r="B710" s="10">
        <v>2021</v>
      </c>
      <c r="C710" t="s">
        <v>97</v>
      </c>
      <c r="D710" t="s">
        <v>2472</v>
      </c>
      <c r="E710" t="s">
        <v>2474</v>
      </c>
      <c r="F710" t="s">
        <v>1512</v>
      </c>
      <c r="G710" t="s">
        <v>1512</v>
      </c>
      <c r="H710" s="10">
        <v>60265</v>
      </c>
      <c r="I710" t="str">
        <f>IFERROR(VLOOKUP(Final!F710,'LEAID Match'!$A$2:$B$374,2,FALSE),"")</f>
        <v/>
      </c>
      <c r="K710" s="10">
        <f t="shared" si="11"/>
        <v>60265</v>
      </c>
    </row>
    <row r="711" spans="1:11">
      <c r="A711" t="s">
        <v>2470</v>
      </c>
      <c r="B711" s="10">
        <v>2022</v>
      </c>
      <c r="C711" t="s">
        <v>97</v>
      </c>
      <c r="D711" t="s">
        <v>2472</v>
      </c>
      <c r="E711" t="s">
        <v>2474</v>
      </c>
      <c r="F711" t="s">
        <v>1512</v>
      </c>
      <c r="G711" t="s">
        <v>1512</v>
      </c>
      <c r="H711" s="10">
        <v>71021</v>
      </c>
      <c r="I711" t="str">
        <f>IFERROR(VLOOKUP(Final!F711,'LEAID Match'!$A$2:$B$374,2,FALSE),"")</f>
        <v/>
      </c>
      <c r="K711" s="10">
        <f t="shared" si="11"/>
        <v>71021</v>
      </c>
    </row>
    <row r="712" spans="1:11">
      <c r="A712" t="s">
        <v>2470</v>
      </c>
      <c r="B712" s="10">
        <v>2023</v>
      </c>
      <c r="C712" t="s">
        <v>97</v>
      </c>
      <c r="D712" t="s">
        <v>2472</v>
      </c>
      <c r="E712" t="s">
        <v>2474</v>
      </c>
      <c r="F712" t="s">
        <v>1512</v>
      </c>
      <c r="G712" t="s">
        <v>1512</v>
      </c>
      <c r="H712" s="10">
        <v>79780</v>
      </c>
      <c r="I712" t="str">
        <f>IFERROR(VLOOKUP(Final!F712,'LEAID Match'!$A$2:$B$374,2,FALSE),"")</f>
        <v/>
      </c>
      <c r="K712" s="10">
        <f t="shared" si="11"/>
        <v>79780</v>
      </c>
    </row>
    <row r="713" spans="1:11">
      <c r="A713" t="s">
        <v>2470</v>
      </c>
      <c r="B713" s="10">
        <v>2015</v>
      </c>
      <c r="C713" t="s">
        <v>197</v>
      </c>
      <c r="D713" t="s">
        <v>2472</v>
      </c>
      <c r="E713" t="s">
        <v>2474</v>
      </c>
      <c r="F713" t="s">
        <v>1552</v>
      </c>
      <c r="G713" t="s">
        <v>142</v>
      </c>
      <c r="H713" s="10">
        <v>4311449</v>
      </c>
      <c r="I713" t="str">
        <f>IFERROR(VLOOKUP(Final!F713,'LEAID Match'!$A$2:$B$374,2,FALSE),"")</f>
        <v/>
      </c>
      <c r="K713" s="10">
        <f t="shared" si="11"/>
        <v>4311449</v>
      </c>
    </row>
    <row r="714" spans="1:11">
      <c r="A714" t="s">
        <v>2470</v>
      </c>
      <c r="B714" s="10">
        <v>2016</v>
      </c>
      <c r="C714" t="s">
        <v>197</v>
      </c>
      <c r="D714" t="s">
        <v>2472</v>
      </c>
      <c r="E714" t="s">
        <v>2474</v>
      </c>
      <c r="F714" t="s">
        <v>1552</v>
      </c>
      <c r="G714" t="s">
        <v>142</v>
      </c>
      <c r="H714" s="10">
        <v>4353115</v>
      </c>
      <c r="I714" t="str">
        <f>IFERROR(VLOOKUP(Final!F714,'LEAID Match'!$A$2:$B$374,2,FALSE),"")</f>
        <v/>
      </c>
      <c r="K714" s="10">
        <f t="shared" si="11"/>
        <v>4353115</v>
      </c>
    </row>
    <row r="715" spans="1:11">
      <c r="A715" t="s">
        <v>2470</v>
      </c>
      <c r="B715" s="10">
        <v>2017</v>
      </c>
      <c r="C715" t="s">
        <v>197</v>
      </c>
      <c r="D715" t="s">
        <v>2472</v>
      </c>
      <c r="E715" t="s">
        <v>2474</v>
      </c>
      <c r="F715" t="s">
        <v>1552</v>
      </c>
      <c r="G715" t="s">
        <v>1552</v>
      </c>
      <c r="H715" s="10">
        <v>4684849</v>
      </c>
      <c r="I715" t="str">
        <f>IFERROR(VLOOKUP(Final!F715,'LEAID Match'!$A$2:$B$374,2,FALSE),"")</f>
        <v/>
      </c>
      <c r="K715" s="10">
        <f t="shared" si="11"/>
        <v>4684849</v>
      </c>
    </row>
    <row r="716" spans="1:11">
      <c r="A716" t="s">
        <v>2470</v>
      </c>
      <c r="B716" s="10">
        <v>2018</v>
      </c>
      <c r="C716" t="s">
        <v>197</v>
      </c>
      <c r="D716" t="s">
        <v>2472</v>
      </c>
      <c r="E716" t="s">
        <v>2474</v>
      </c>
      <c r="F716" t="s">
        <v>1552</v>
      </c>
      <c r="G716" t="s">
        <v>1552</v>
      </c>
      <c r="H716" s="10">
        <v>4776424</v>
      </c>
      <c r="I716" t="str">
        <f>IFERROR(VLOOKUP(Final!F716,'LEAID Match'!$A$2:$B$374,2,FALSE),"")</f>
        <v/>
      </c>
      <c r="K716" s="10">
        <f t="shared" si="11"/>
        <v>4776424</v>
      </c>
    </row>
    <row r="717" spans="1:11">
      <c r="A717" t="s">
        <v>2470</v>
      </c>
      <c r="B717" s="10">
        <v>2019</v>
      </c>
      <c r="C717" t="s">
        <v>197</v>
      </c>
      <c r="D717" t="s">
        <v>2472</v>
      </c>
      <c r="E717" t="s">
        <v>2474</v>
      </c>
      <c r="F717" t="s">
        <v>1552</v>
      </c>
      <c r="G717" t="s">
        <v>1552</v>
      </c>
      <c r="H717" s="10">
        <v>4833697</v>
      </c>
      <c r="I717" t="str">
        <f>IFERROR(VLOOKUP(Final!F717,'LEAID Match'!$A$2:$B$374,2,FALSE),"")</f>
        <v/>
      </c>
      <c r="K717" s="10">
        <f t="shared" si="11"/>
        <v>4833697</v>
      </c>
    </row>
    <row r="718" spans="1:11">
      <c r="A718" t="s">
        <v>2470</v>
      </c>
      <c r="B718" s="10">
        <v>2020</v>
      </c>
      <c r="C718" t="s">
        <v>197</v>
      </c>
      <c r="D718" t="s">
        <v>2472</v>
      </c>
      <c r="E718" t="s">
        <v>2474</v>
      </c>
      <c r="F718" t="s">
        <v>1552</v>
      </c>
      <c r="G718" t="s">
        <v>1552</v>
      </c>
      <c r="H718" s="10">
        <v>5208458</v>
      </c>
      <c r="I718" t="str">
        <f>IFERROR(VLOOKUP(Final!F718,'LEAID Match'!$A$2:$B$374,2,FALSE),"")</f>
        <v/>
      </c>
      <c r="K718" s="10">
        <f t="shared" si="11"/>
        <v>5208458</v>
      </c>
    </row>
    <row r="719" spans="1:11">
      <c r="A719" t="s">
        <v>2470</v>
      </c>
      <c r="B719" s="10">
        <v>2021</v>
      </c>
      <c r="C719" t="s">
        <v>197</v>
      </c>
      <c r="D719" t="s">
        <v>2472</v>
      </c>
      <c r="E719" t="s">
        <v>2474</v>
      </c>
      <c r="F719" t="s">
        <v>1552</v>
      </c>
      <c r="G719" t="s">
        <v>1552</v>
      </c>
      <c r="H719" s="10">
        <v>5261213</v>
      </c>
      <c r="I719" t="str">
        <f>IFERROR(VLOOKUP(Final!F719,'LEAID Match'!$A$2:$B$374,2,FALSE),"")</f>
        <v/>
      </c>
      <c r="K719" s="10">
        <f t="shared" si="11"/>
        <v>5261213</v>
      </c>
    </row>
    <row r="720" spans="1:11">
      <c r="A720" t="s">
        <v>2470</v>
      </c>
      <c r="B720" s="10">
        <v>2022</v>
      </c>
      <c r="C720" t="s">
        <v>197</v>
      </c>
      <c r="D720" t="s">
        <v>2472</v>
      </c>
      <c r="E720" t="s">
        <v>2474</v>
      </c>
      <c r="F720" t="s">
        <v>1552</v>
      </c>
      <c r="G720" t="s">
        <v>1552</v>
      </c>
      <c r="H720" s="10">
        <v>6364797</v>
      </c>
      <c r="I720" t="str">
        <f>IFERROR(VLOOKUP(Final!F720,'LEAID Match'!$A$2:$B$374,2,FALSE),"")</f>
        <v/>
      </c>
      <c r="K720" s="10">
        <f t="shared" si="11"/>
        <v>6364797</v>
      </c>
    </row>
    <row r="721" spans="1:11">
      <c r="A721" t="s">
        <v>2470</v>
      </c>
      <c r="B721" s="10">
        <v>2023</v>
      </c>
      <c r="C721" t="s">
        <v>197</v>
      </c>
      <c r="D721" t="s">
        <v>2472</v>
      </c>
      <c r="E721" t="s">
        <v>2474</v>
      </c>
      <c r="F721" t="s">
        <v>1552</v>
      </c>
      <c r="G721" t="s">
        <v>1552</v>
      </c>
      <c r="H721" s="10">
        <v>7225976</v>
      </c>
      <c r="I721" t="str">
        <f>IFERROR(VLOOKUP(Final!F721,'LEAID Match'!$A$2:$B$374,2,FALSE),"")</f>
        <v/>
      </c>
      <c r="K721" s="10">
        <f t="shared" si="11"/>
        <v>7225976</v>
      </c>
    </row>
    <row r="722" spans="1:11">
      <c r="A722" t="s">
        <v>2470</v>
      </c>
      <c r="B722" s="10">
        <v>2015</v>
      </c>
      <c r="C722" t="s">
        <v>200</v>
      </c>
      <c r="D722" t="s">
        <v>2472</v>
      </c>
      <c r="E722" t="s">
        <v>2474</v>
      </c>
      <c r="F722" t="s">
        <v>1555</v>
      </c>
      <c r="G722" t="s">
        <v>145</v>
      </c>
      <c r="H722" s="10">
        <v>20736712</v>
      </c>
      <c r="I722" t="str">
        <f>IFERROR(VLOOKUP(Final!F722,'LEAID Match'!$A$2:$B$374,2,FALSE),"")</f>
        <v/>
      </c>
      <c r="K722" s="10">
        <f t="shared" si="11"/>
        <v>20736712</v>
      </c>
    </row>
    <row r="723" spans="1:11">
      <c r="A723" t="s">
        <v>2470</v>
      </c>
      <c r="B723" s="10">
        <v>2016</v>
      </c>
      <c r="C723" t="s">
        <v>200</v>
      </c>
      <c r="D723" t="s">
        <v>2472</v>
      </c>
      <c r="E723" t="s">
        <v>2474</v>
      </c>
      <c r="F723" t="s">
        <v>1555</v>
      </c>
      <c r="G723" t="s">
        <v>145</v>
      </c>
      <c r="H723" s="10">
        <v>20225627</v>
      </c>
      <c r="I723" t="str">
        <f>IFERROR(VLOOKUP(Final!F723,'LEAID Match'!$A$2:$B$374,2,FALSE),"")</f>
        <v/>
      </c>
      <c r="K723" s="10">
        <f t="shared" si="11"/>
        <v>20225627</v>
      </c>
    </row>
    <row r="724" spans="1:11">
      <c r="A724" t="s">
        <v>2470</v>
      </c>
      <c r="B724" s="10">
        <v>2017</v>
      </c>
      <c r="C724" t="s">
        <v>200</v>
      </c>
      <c r="D724" t="s">
        <v>2472</v>
      </c>
      <c r="E724" t="s">
        <v>2474</v>
      </c>
      <c r="F724" t="s">
        <v>1555</v>
      </c>
      <c r="G724" t="s">
        <v>1555</v>
      </c>
      <c r="H724" s="10">
        <v>20039878</v>
      </c>
      <c r="I724" t="str">
        <f>IFERROR(VLOOKUP(Final!F724,'LEAID Match'!$A$2:$B$374,2,FALSE),"")</f>
        <v/>
      </c>
      <c r="K724" s="10">
        <f t="shared" si="11"/>
        <v>20039878</v>
      </c>
    </row>
    <row r="725" spans="1:11">
      <c r="A725" t="s">
        <v>2470</v>
      </c>
      <c r="B725" s="10">
        <v>2018</v>
      </c>
      <c r="C725" t="s">
        <v>200</v>
      </c>
      <c r="D725" t="s">
        <v>2472</v>
      </c>
      <c r="E725" t="s">
        <v>2474</v>
      </c>
      <c r="F725" t="s">
        <v>1555</v>
      </c>
      <c r="G725" t="s">
        <v>2081</v>
      </c>
      <c r="H725" s="10">
        <v>19272894</v>
      </c>
      <c r="I725" t="str">
        <f>IFERROR(VLOOKUP(Final!F725,'LEAID Match'!$A$2:$B$374,2,FALSE),"")</f>
        <v/>
      </c>
      <c r="K725" s="10">
        <f t="shared" si="11"/>
        <v>19272894</v>
      </c>
    </row>
    <row r="726" spans="1:11">
      <c r="A726" t="s">
        <v>2470</v>
      </c>
      <c r="B726" s="10">
        <v>2019</v>
      </c>
      <c r="C726" t="s">
        <v>200</v>
      </c>
      <c r="D726" t="s">
        <v>2472</v>
      </c>
      <c r="E726" t="s">
        <v>2474</v>
      </c>
      <c r="F726" t="s">
        <v>1555</v>
      </c>
      <c r="G726" t="s">
        <v>1555</v>
      </c>
      <c r="H726" s="10">
        <v>19988863</v>
      </c>
      <c r="I726" t="str">
        <f>IFERROR(VLOOKUP(Final!F726,'LEAID Match'!$A$2:$B$374,2,FALSE),"")</f>
        <v/>
      </c>
      <c r="K726" s="10">
        <f t="shared" si="11"/>
        <v>19988863</v>
      </c>
    </row>
    <row r="727" spans="1:11">
      <c r="A727" t="s">
        <v>2470</v>
      </c>
      <c r="B727" s="10">
        <v>2020</v>
      </c>
      <c r="C727" t="s">
        <v>200</v>
      </c>
      <c r="D727" t="s">
        <v>2472</v>
      </c>
      <c r="E727" t="s">
        <v>2474</v>
      </c>
      <c r="F727" t="s">
        <v>1555</v>
      </c>
      <c r="G727" t="s">
        <v>1555</v>
      </c>
      <c r="H727" s="10">
        <v>20585161</v>
      </c>
      <c r="I727" t="str">
        <f>IFERROR(VLOOKUP(Final!F727,'LEAID Match'!$A$2:$B$374,2,FALSE),"")</f>
        <v/>
      </c>
      <c r="K727" s="10">
        <f t="shared" si="11"/>
        <v>20585161</v>
      </c>
    </row>
    <row r="728" spans="1:11">
      <c r="A728" t="s">
        <v>2470</v>
      </c>
      <c r="B728" s="10">
        <v>2021</v>
      </c>
      <c r="C728" t="s">
        <v>200</v>
      </c>
      <c r="D728" t="s">
        <v>2472</v>
      </c>
      <c r="E728" t="s">
        <v>2474</v>
      </c>
      <c r="F728" t="s">
        <v>1555</v>
      </c>
      <c r="G728" t="s">
        <v>1555</v>
      </c>
      <c r="H728" s="10">
        <v>22019981</v>
      </c>
      <c r="I728" t="str">
        <f>IFERROR(VLOOKUP(Final!F728,'LEAID Match'!$A$2:$B$374,2,FALSE),"")</f>
        <v/>
      </c>
      <c r="K728" s="10">
        <f t="shared" si="11"/>
        <v>22019981</v>
      </c>
    </row>
    <row r="729" spans="1:11">
      <c r="A729" t="s">
        <v>2470</v>
      </c>
      <c r="B729" s="10">
        <v>2022</v>
      </c>
      <c r="C729" t="s">
        <v>200</v>
      </c>
      <c r="D729" t="s">
        <v>2472</v>
      </c>
      <c r="E729" t="s">
        <v>2474</v>
      </c>
      <c r="F729" t="s">
        <v>1555</v>
      </c>
      <c r="G729" t="s">
        <v>1555</v>
      </c>
      <c r="H729" s="10">
        <v>23418166</v>
      </c>
      <c r="I729" t="str">
        <f>IFERROR(VLOOKUP(Final!F729,'LEAID Match'!$A$2:$B$374,2,FALSE),"")</f>
        <v/>
      </c>
      <c r="K729" s="10">
        <f t="shared" si="11"/>
        <v>23418166</v>
      </c>
    </row>
    <row r="730" spans="1:11">
      <c r="A730" t="s">
        <v>2470</v>
      </c>
      <c r="B730" s="10">
        <v>2023</v>
      </c>
      <c r="C730" t="s">
        <v>200</v>
      </c>
      <c r="D730" t="s">
        <v>2472</v>
      </c>
      <c r="E730" t="s">
        <v>2474</v>
      </c>
      <c r="F730" t="s">
        <v>1555</v>
      </c>
      <c r="G730" t="s">
        <v>1555</v>
      </c>
      <c r="H730" s="10">
        <v>25652267</v>
      </c>
      <c r="I730" t="str">
        <f>IFERROR(VLOOKUP(Final!F730,'LEAID Match'!$A$2:$B$374,2,FALSE),"")</f>
        <v/>
      </c>
      <c r="K730" s="10">
        <f t="shared" si="11"/>
        <v>25652267</v>
      </c>
    </row>
    <row r="731" spans="1:11">
      <c r="A731" t="s">
        <v>2470</v>
      </c>
      <c r="B731" s="10">
        <v>2015</v>
      </c>
      <c r="C731" t="s">
        <v>186</v>
      </c>
      <c r="D731" t="s">
        <v>2472</v>
      </c>
      <c r="E731" t="s">
        <v>2474</v>
      </c>
      <c r="F731" t="s">
        <v>1541</v>
      </c>
      <c r="G731" t="s">
        <v>131</v>
      </c>
      <c r="H731" s="10">
        <v>2405362</v>
      </c>
      <c r="I731" t="str">
        <f>IFERROR(VLOOKUP(Final!F731,'LEAID Match'!$A$2:$B$374,2,FALSE),"")</f>
        <v/>
      </c>
      <c r="K731" s="10">
        <f t="shared" si="11"/>
        <v>2405362</v>
      </c>
    </row>
    <row r="732" spans="1:11">
      <c r="A732" t="s">
        <v>2470</v>
      </c>
      <c r="B732" s="10">
        <v>2016</v>
      </c>
      <c r="C732" t="s">
        <v>186</v>
      </c>
      <c r="D732" t="s">
        <v>2472</v>
      </c>
      <c r="E732" t="s">
        <v>2474</v>
      </c>
      <c r="F732" t="s">
        <v>1541</v>
      </c>
      <c r="G732" t="s">
        <v>131</v>
      </c>
      <c r="H732" s="10">
        <v>2319097</v>
      </c>
      <c r="I732" t="str">
        <f>IFERROR(VLOOKUP(Final!F732,'LEAID Match'!$A$2:$B$374,2,FALSE),"")</f>
        <v/>
      </c>
      <c r="K732" s="10">
        <f t="shared" si="11"/>
        <v>2319097</v>
      </c>
    </row>
    <row r="733" spans="1:11">
      <c r="A733" t="s">
        <v>2470</v>
      </c>
      <c r="B733" s="10">
        <v>2017</v>
      </c>
      <c r="C733" t="s">
        <v>186</v>
      </c>
      <c r="D733" t="s">
        <v>2472</v>
      </c>
      <c r="E733" t="s">
        <v>2474</v>
      </c>
      <c r="F733" t="s">
        <v>1541</v>
      </c>
      <c r="G733" t="s">
        <v>1541</v>
      </c>
      <c r="H733" s="10">
        <v>2472911</v>
      </c>
      <c r="I733" t="str">
        <f>IFERROR(VLOOKUP(Final!F733,'LEAID Match'!$A$2:$B$374,2,FALSE),"")</f>
        <v/>
      </c>
      <c r="K733" s="10">
        <f t="shared" si="11"/>
        <v>2472911</v>
      </c>
    </row>
    <row r="734" spans="1:11">
      <c r="A734" t="s">
        <v>2470</v>
      </c>
      <c r="B734" s="10">
        <v>2018</v>
      </c>
      <c r="C734" t="s">
        <v>186</v>
      </c>
      <c r="D734" t="s">
        <v>2472</v>
      </c>
      <c r="E734" t="s">
        <v>2474</v>
      </c>
      <c r="F734" t="s">
        <v>1541</v>
      </c>
      <c r="G734" t="s">
        <v>2073</v>
      </c>
      <c r="H734" s="10">
        <v>2681386</v>
      </c>
      <c r="I734" t="str">
        <f>IFERROR(VLOOKUP(Final!F734,'LEAID Match'!$A$2:$B$374,2,FALSE),"")</f>
        <v/>
      </c>
      <c r="K734" s="10">
        <f t="shared" si="11"/>
        <v>2681386</v>
      </c>
    </row>
    <row r="735" spans="1:11">
      <c r="A735" t="s">
        <v>2470</v>
      </c>
      <c r="B735" s="10">
        <v>2019</v>
      </c>
      <c r="C735" t="s">
        <v>186</v>
      </c>
      <c r="D735" t="s">
        <v>2472</v>
      </c>
      <c r="E735" t="s">
        <v>2474</v>
      </c>
      <c r="F735" t="s">
        <v>1541</v>
      </c>
      <c r="G735" t="s">
        <v>1541</v>
      </c>
      <c r="H735" s="10">
        <v>2964141</v>
      </c>
      <c r="I735" t="str">
        <f>IFERROR(VLOOKUP(Final!F735,'LEAID Match'!$A$2:$B$374,2,FALSE),"")</f>
        <v/>
      </c>
      <c r="K735" s="10">
        <f t="shared" si="11"/>
        <v>2964141</v>
      </c>
    </row>
    <row r="736" spans="1:11">
      <c r="A736" t="s">
        <v>2470</v>
      </c>
      <c r="B736" s="10">
        <v>2020</v>
      </c>
      <c r="C736" t="s">
        <v>186</v>
      </c>
      <c r="D736" t="s">
        <v>2472</v>
      </c>
      <c r="E736" t="s">
        <v>2474</v>
      </c>
      <c r="F736" t="s">
        <v>1541</v>
      </c>
      <c r="G736" t="s">
        <v>1541</v>
      </c>
      <c r="H736" s="10">
        <v>3332542</v>
      </c>
      <c r="I736" t="str">
        <f>IFERROR(VLOOKUP(Final!F736,'LEAID Match'!$A$2:$B$374,2,FALSE),"")</f>
        <v/>
      </c>
      <c r="K736" s="10">
        <f t="shared" si="11"/>
        <v>3332542</v>
      </c>
    </row>
    <row r="737" spans="1:11">
      <c r="A737" t="s">
        <v>2470</v>
      </c>
      <c r="B737" s="10">
        <v>2021</v>
      </c>
      <c r="C737" t="s">
        <v>186</v>
      </c>
      <c r="D737" t="s">
        <v>2472</v>
      </c>
      <c r="E737" t="s">
        <v>2474</v>
      </c>
      <c r="F737" t="s">
        <v>1541</v>
      </c>
      <c r="G737" t="s">
        <v>1541</v>
      </c>
      <c r="H737" s="10">
        <v>3430376</v>
      </c>
      <c r="I737" t="str">
        <f>IFERROR(VLOOKUP(Final!F737,'LEAID Match'!$A$2:$B$374,2,FALSE),"")</f>
        <v/>
      </c>
      <c r="K737" s="10">
        <f t="shared" si="11"/>
        <v>3430376</v>
      </c>
    </row>
    <row r="738" spans="1:11">
      <c r="A738" t="s">
        <v>2470</v>
      </c>
      <c r="B738" s="10">
        <v>2022</v>
      </c>
      <c r="C738" t="s">
        <v>186</v>
      </c>
      <c r="D738" t="s">
        <v>2472</v>
      </c>
      <c r="E738" t="s">
        <v>2474</v>
      </c>
      <c r="F738" t="s">
        <v>1541</v>
      </c>
      <c r="G738" t="s">
        <v>1541</v>
      </c>
      <c r="H738" s="10">
        <v>3551761</v>
      </c>
      <c r="I738" t="str">
        <f>IFERROR(VLOOKUP(Final!F738,'LEAID Match'!$A$2:$B$374,2,FALSE),"")</f>
        <v/>
      </c>
      <c r="K738" s="10">
        <f t="shared" si="11"/>
        <v>3551761</v>
      </c>
    </row>
    <row r="739" spans="1:11">
      <c r="A739" t="s">
        <v>2470</v>
      </c>
      <c r="B739" s="10">
        <v>2023</v>
      </c>
      <c r="C739" t="s">
        <v>186</v>
      </c>
      <c r="D739" t="s">
        <v>2472</v>
      </c>
      <c r="E739" t="s">
        <v>2474</v>
      </c>
      <c r="F739" t="s">
        <v>1541</v>
      </c>
      <c r="G739" t="s">
        <v>1541</v>
      </c>
      <c r="H739" s="10">
        <v>4019639</v>
      </c>
      <c r="I739" t="str">
        <f>IFERROR(VLOOKUP(Final!F739,'LEAID Match'!$A$2:$B$374,2,FALSE),"")</f>
        <v/>
      </c>
      <c r="K739" s="10">
        <f t="shared" si="11"/>
        <v>4019639</v>
      </c>
    </row>
    <row r="740" spans="1:11">
      <c r="A740" t="s">
        <v>2470</v>
      </c>
      <c r="B740" s="10">
        <v>2015</v>
      </c>
      <c r="C740" t="s">
        <v>188</v>
      </c>
      <c r="D740" t="s">
        <v>2472</v>
      </c>
      <c r="E740" t="s">
        <v>2474</v>
      </c>
      <c r="F740" t="s">
        <v>1561</v>
      </c>
      <c r="G740" t="s">
        <v>133</v>
      </c>
      <c r="H740" s="10">
        <v>2617769</v>
      </c>
      <c r="I740" t="str">
        <f>IFERROR(VLOOKUP(Final!F740,'LEAID Match'!$A$2:$B$374,2,FALSE),"")</f>
        <v/>
      </c>
      <c r="K740" s="10">
        <f t="shared" si="11"/>
        <v>2617769</v>
      </c>
    </row>
    <row r="741" spans="1:11">
      <c r="A741" t="s">
        <v>2470</v>
      </c>
      <c r="B741" s="10">
        <v>2016</v>
      </c>
      <c r="C741" t="s">
        <v>188</v>
      </c>
      <c r="D741" t="s">
        <v>2472</v>
      </c>
      <c r="E741" t="s">
        <v>2474</v>
      </c>
      <c r="F741" t="s">
        <v>1561</v>
      </c>
      <c r="G741" t="s">
        <v>133</v>
      </c>
      <c r="H741" s="10">
        <v>2674885</v>
      </c>
      <c r="I741" t="str">
        <f>IFERROR(VLOOKUP(Final!F741,'LEAID Match'!$A$2:$B$374,2,FALSE),"")</f>
        <v/>
      </c>
      <c r="K741" s="10">
        <f t="shared" si="11"/>
        <v>2674885</v>
      </c>
    </row>
    <row r="742" spans="1:11">
      <c r="A742" t="s">
        <v>2470</v>
      </c>
      <c r="B742" s="10">
        <v>2017</v>
      </c>
      <c r="C742" t="s">
        <v>188</v>
      </c>
      <c r="D742" t="s">
        <v>2472</v>
      </c>
      <c r="E742" t="s">
        <v>2474</v>
      </c>
      <c r="F742" t="s">
        <v>1561</v>
      </c>
      <c r="G742" t="s">
        <v>1561</v>
      </c>
      <c r="H742" s="10">
        <v>2660524</v>
      </c>
      <c r="I742" t="str">
        <f>IFERROR(VLOOKUP(Final!F742,'LEAID Match'!$A$2:$B$374,2,FALSE),"")</f>
        <v/>
      </c>
      <c r="K742" s="10">
        <f t="shared" si="11"/>
        <v>2660524</v>
      </c>
    </row>
    <row r="743" spans="1:11">
      <c r="A743" t="s">
        <v>2470</v>
      </c>
      <c r="B743" s="10">
        <v>2018</v>
      </c>
      <c r="C743" t="s">
        <v>188</v>
      </c>
      <c r="D743" t="s">
        <v>2472</v>
      </c>
      <c r="E743" t="s">
        <v>2474</v>
      </c>
      <c r="F743" t="s">
        <v>1561</v>
      </c>
      <c r="G743" t="s">
        <v>1561</v>
      </c>
      <c r="H743" s="10">
        <v>2642731</v>
      </c>
      <c r="I743" t="str">
        <f>IFERROR(VLOOKUP(Final!F743,'LEAID Match'!$A$2:$B$374,2,FALSE),"")</f>
        <v/>
      </c>
      <c r="K743" s="10">
        <f t="shared" si="11"/>
        <v>2642731</v>
      </c>
    </row>
    <row r="744" spans="1:11">
      <c r="A744" t="s">
        <v>2470</v>
      </c>
      <c r="B744" s="10">
        <v>2019</v>
      </c>
      <c r="C744" t="s">
        <v>188</v>
      </c>
      <c r="D744" t="s">
        <v>2472</v>
      </c>
      <c r="E744" t="s">
        <v>2474</v>
      </c>
      <c r="F744" t="s">
        <v>1561</v>
      </c>
      <c r="G744" t="s">
        <v>1561</v>
      </c>
      <c r="H744" s="10">
        <v>2706306</v>
      </c>
      <c r="I744" t="str">
        <f>IFERROR(VLOOKUP(Final!F744,'LEAID Match'!$A$2:$B$374,2,FALSE),"")</f>
        <v/>
      </c>
      <c r="K744" s="10">
        <f t="shared" si="11"/>
        <v>2706306</v>
      </c>
    </row>
    <row r="745" spans="1:11">
      <c r="A745" t="s">
        <v>2470</v>
      </c>
      <c r="B745" s="10">
        <v>2020</v>
      </c>
      <c r="C745" t="s">
        <v>188</v>
      </c>
      <c r="D745" t="s">
        <v>2472</v>
      </c>
      <c r="E745" t="s">
        <v>2474</v>
      </c>
      <c r="F745" t="s">
        <v>1561</v>
      </c>
      <c r="G745" t="s">
        <v>1561</v>
      </c>
      <c r="H745" s="10">
        <v>2797884</v>
      </c>
      <c r="I745" t="str">
        <f>IFERROR(VLOOKUP(Final!F745,'LEAID Match'!$A$2:$B$374,2,FALSE),"")</f>
        <v/>
      </c>
      <c r="K745" s="10">
        <f t="shared" si="11"/>
        <v>2797884</v>
      </c>
    </row>
    <row r="746" spans="1:11">
      <c r="A746" t="s">
        <v>2470</v>
      </c>
      <c r="B746" s="10">
        <v>2021</v>
      </c>
      <c r="C746" t="s">
        <v>188</v>
      </c>
      <c r="D746" t="s">
        <v>2472</v>
      </c>
      <c r="E746" t="s">
        <v>2474</v>
      </c>
      <c r="F746" t="s">
        <v>1561</v>
      </c>
      <c r="G746" t="s">
        <v>1561</v>
      </c>
      <c r="H746" s="10">
        <v>2848026</v>
      </c>
      <c r="I746" t="str">
        <f>IFERROR(VLOOKUP(Final!F746,'LEAID Match'!$A$2:$B$374,2,FALSE),"")</f>
        <v/>
      </c>
      <c r="K746" s="10">
        <f t="shared" si="11"/>
        <v>2848026</v>
      </c>
    </row>
    <row r="747" spans="1:11">
      <c r="A747" t="s">
        <v>2470</v>
      </c>
      <c r="B747" s="10">
        <v>2022</v>
      </c>
      <c r="C747" t="s">
        <v>188</v>
      </c>
      <c r="D747" t="s">
        <v>2472</v>
      </c>
      <c r="E747" t="s">
        <v>2474</v>
      </c>
      <c r="F747" t="s">
        <v>1561</v>
      </c>
      <c r="G747" t="s">
        <v>1561</v>
      </c>
      <c r="H747" s="10">
        <v>3081198</v>
      </c>
      <c r="I747" t="str">
        <f>IFERROR(VLOOKUP(Final!F747,'LEAID Match'!$A$2:$B$374,2,FALSE),"")</f>
        <v/>
      </c>
      <c r="K747" s="10">
        <f t="shared" si="11"/>
        <v>3081198</v>
      </c>
    </row>
    <row r="748" spans="1:11">
      <c r="A748" t="s">
        <v>2470</v>
      </c>
      <c r="B748" s="10">
        <v>2023</v>
      </c>
      <c r="C748" t="s">
        <v>188</v>
      </c>
      <c r="D748" t="s">
        <v>2472</v>
      </c>
      <c r="E748" t="s">
        <v>2474</v>
      </c>
      <c r="F748" t="s">
        <v>1561</v>
      </c>
      <c r="G748" t="s">
        <v>1561</v>
      </c>
      <c r="H748" s="10">
        <v>3292532</v>
      </c>
      <c r="I748" t="str">
        <f>IFERROR(VLOOKUP(Final!F748,'LEAID Match'!$A$2:$B$374,2,FALSE),"")</f>
        <v/>
      </c>
      <c r="K748" s="10">
        <f t="shared" si="11"/>
        <v>3292532</v>
      </c>
    </row>
    <row r="749" spans="1:11">
      <c r="A749" t="s">
        <v>2470</v>
      </c>
      <c r="B749" s="10">
        <v>2015</v>
      </c>
      <c r="C749" t="s">
        <v>206</v>
      </c>
      <c r="D749" t="s">
        <v>2472</v>
      </c>
      <c r="E749" t="s">
        <v>2474</v>
      </c>
      <c r="F749" t="s">
        <v>1562</v>
      </c>
      <c r="G749" t="s">
        <v>151</v>
      </c>
      <c r="H749" s="10">
        <v>198090</v>
      </c>
      <c r="I749" t="str">
        <f>IFERROR(VLOOKUP(Final!F749,'LEAID Match'!$A$2:$B$374,2,FALSE),"")</f>
        <v/>
      </c>
      <c r="K749" s="10">
        <f t="shared" si="11"/>
        <v>198090</v>
      </c>
    </row>
    <row r="750" spans="1:11">
      <c r="A750" t="s">
        <v>2470</v>
      </c>
      <c r="B750" s="10">
        <v>2016</v>
      </c>
      <c r="C750" t="s">
        <v>206</v>
      </c>
      <c r="D750" t="s">
        <v>2472</v>
      </c>
      <c r="E750" t="s">
        <v>2474</v>
      </c>
      <c r="F750" t="s">
        <v>1562</v>
      </c>
      <c r="G750" t="s">
        <v>151</v>
      </c>
      <c r="H750" s="10">
        <v>174625</v>
      </c>
      <c r="I750" t="str">
        <f>IFERROR(VLOOKUP(Final!F750,'LEAID Match'!$A$2:$B$374,2,FALSE),"")</f>
        <v/>
      </c>
      <c r="K750" s="10">
        <f t="shared" si="11"/>
        <v>174625</v>
      </c>
    </row>
    <row r="751" spans="1:11">
      <c r="A751" t="s">
        <v>2470</v>
      </c>
      <c r="B751" s="10">
        <v>2017</v>
      </c>
      <c r="C751" t="s">
        <v>206</v>
      </c>
      <c r="D751" t="s">
        <v>2472</v>
      </c>
      <c r="E751" t="s">
        <v>2474</v>
      </c>
      <c r="F751" t="s">
        <v>1562</v>
      </c>
      <c r="G751" t="s">
        <v>1562</v>
      </c>
      <c r="H751" s="10"/>
      <c r="I751" t="str">
        <f>IFERROR(VLOOKUP(Final!F751,'LEAID Match'!$A$2:$B$374,2,FALSE),"")</f>
        <v/>
      </c>
      <c r="K751" s="10">
        <f t="shared" si="11"/>
        <v>0</v>
      </c>
    </row>
    <row r="752" spans="1:11">
      <c r="A752" t="s">
        <v>2470</v>
      </c>
      <c r="B752" s="10">
        <v>2018</v>
      </c>
      <c r="C752" t="s">
        <v>206</v>
      </c>
      <c r="D752" t="s">
        <v>2472</v>
      </c>
      <c r="E752" t="s">
        <v>2474</v>
      </c>
      <c r="F752" t="s">
        <v>1562</v>
      </c>
      <c r="G752" t="s">
        <v>1562</v>
      </c>
      <c r="H752" s="10"/>
      <c r="I752" t="str">
        <f>IFERROR(VLOOKUP(Final!F752,'LEAID Match'!$A$2:$B$374,2,FALSE),"")</f>
        <v/>
      </c>
      <c r="K752" s="10">
        <f t="shared" si="11"/>
        <v>0</v>
      </c>
    </row>
    <row r="753" spans="1:11">
      <c r="A753" t="s">
        <v>2470</v>
      </c>
      <c r="B753" s="10">
        <v>2019</v>
      </c>
      <c r="C753" t="s">
        <v>206</v>
      </c>
      <c r="D753" t="s">
        <v>2472</v>
      </c>
      <c r="E753" t="s">
        <v>2474</v>
      </c>
      <c r="F753" t="s">
        <v>1562</v>
      </c>
      <c r="G753" t="s">
        <v>1562</v>
      </c>
      <c r="H753" s="10"/>
      <c r="I753" t="str">
        <f>IFERROR(VLOOKUP(Final!F753,'LEAID Match'!$A$2:$B$374,2,FALSE),"")</f>
        <v/>
      </c>
      <c r="K753" s="10">
        <f t="shared" si="11"/>
        <v>0</v>
      </c>
    </row>
    <row r="754" spans="1:11">
      <c r="A754" t="s">
        <v>2470</v>
      </c>
      <c r="B754" s="10">
        <v>2020</v>
      </c>
      <c r="C754" t="s">
        <v>206</v>
      </c>
      <c r="D754" t="s">
        <v>2472</v>
      </c>
      <c r="E754" t="s">
        <v>2474</v>
      </c>
      <c r="F754" t="s">
        <v>1562</v>
      </c>
      <c r="G754" t="s">
        <v>1562</v>
      </c>
      <c r="H754" s="10"/>
      <c r="I754" t="str">
        <f>IFERROR(VLOOKUP(Final!F754,'LEAID Match'!$A$2:$B$374,2,FALSE),"")</f>
        <v/>
      </c>
      <c r="K754" s="10">
        <f t="shared" si="11"/>
        <v>0</v>
      </c>
    </row>
    <row r="755" spans="1:11">
      <c r="A755" t="s">
        <v>2470</v>
      </c>
      <c r="B755" s="10">
        <v>2021</v>
      </c>
      <c r="C755" t="s">
        <v>206</v>
      </c>
      <c r="D755" t="s">
        <v>2472</v>
      </c>
      <c r="E755" t="s">
        <v>2474</v>
      </c>
      <c r="F755" t="s">
        <v>1562</v>
      </c>
      <c r="G755" t="s">
        <v>1562</v>
      </c>
      <c r="H755" s="10"/>
      <c r="I755" t="str">
        <f>IFERROR(VLOOKUP(Final!F755,'LEAID Match'!$A$2:$B$374,2,FALSE),"")</f>
        <v/>
      </c>
      <c r="K755" s="10">
        <f t="shared" si="11"/>
        <v>0</v>
      </c>
    </row>
    <row r="756" spans="1:11">
      <c r="A756" t="s">
        <v>2470</v>
      </c>
      <c r="B756" s="10">
        <v>2022</v>
      </c>
      <c r="C756" t="s">
        <v>206</v>
      </c>
      <c r="D756" t="s">
        <v>2472</v>
      </c>
      <c r="E756" t="s">
        <v>2474</v>
      </c>
      <c r="F756" t="s">
        <v>1562</v>
      </c>
      <c r="G756" t="s">
        <v>1562</v>
      </c>
      <c r="H756" s="10"/>
      <c r="I756" t="str">
        <f>IFERROR(VLOOKUP(Final!F756,'LEAID Match'!$A$2:$B$374,2,FALSE),"")</f>
        <v/>
      </c>
      <c r="K756" s="10">
        <f t="shared" si="11"/>
        <v>0</v>
      </c>
    </row>
    <row r="757" spans="1:11">
      <c r="A757" t="s">
        <v>2470</v>
      </c>
      <c r="B757" s="10">
        <v>2023</v>
      </c>
      <c r="C757" t="s">
        <v>206</v>
      </c>
      <c r="D757" t="s">
        <v>2472</v>
      </c>
      <c r="E757" t="s">
        <v>2474</v>
      </c>
      <c r="F757" t="s">
        <v>1562</v>
      </c>
      <c r="G757" t="s">
        <v>1562</v>
      </c>
      <c r="H757" s="10"/>
      <c r="I757" t="str">
        <f>IFERROR(VLOOKUP(Final!F757,'LEAID Match'!$A$2:$B$374,2,FALSE),"")</f>
        <v/>
      </c>
      <c r="K757" s="10">
        <f t="shared" si="11"/>
        <v>0</v>
      </c>
    </row>
    <row r="758" spans="1:11">
      <c r="A758" t="s">
        <v>2470</v>
      </c>
      <c r="B758" s="10">
        <v>2015</v>
      </c>
      <c r="C758" t="s">
        <v>195</v>
      </c>
      <c r="D758" t="s">
        <v>2472</v>
      </c>
      <c r="E758" t="s">
        <v>2474</v>
      </c>
      <c r="F758" t="s">
        <v>1606</v>
      </c>
      <c r="G758" t="s">
        <v>140</v>
      </c>
      <c r="H758" s="10">
        <v>684728</v>
      </c>
      <c r="I758" t="str">
        <f>IFERROR(VLOOKUP(Final!F758,'LEAID Match'!$A$2:$B$374,2,FALSE),"")</f>
        <v/>
      </c>
      <c r="K758" s="10">
        <f t="shared" si="11"/>
        <v>684728</v>
      </c>
    </row>
    <row r="759" spans="1:11">
      <c r="A759" t="s">
        <v>2470</v>
      </c>
      <c r="B759" s="10">
        <v>2016</v>
      </c>
      <c r="C759" t="s">
        <v>195</v>
      </c>
      <c r="D759" t="s">
        <v>2472</v>
      </c>
      <c r="E759" t="s">
        <v>2474</v>
      </c>
      <c r="F759" t="s">
        <v>1606</v>
      </c>
      <c r="G759" t="s">
        <v>140</v>
      </c>
      <c r="H759" s="10">
        <v>640045</v>
      </c>
      <c r="I759" t="str">
        <f>IFERROR(VLOOKUP(Final!F759,'LEAID Match'!$A$2:$B$374,2,FALSE),"")</f>
        <v/>
      </c>
      <c r="K759" s="10">
        <f t="shared" si="11"/>
        <v>640045</v>
      </c>
    </row>
    <row r="760" spans="1:11">
      <c r="A760" t="s">
        <v>2470</v>
      </c>
      <c r="B760" s="10">
        <v>2017</v>
      </c>
      <c r="C760" t="s">
        <v>195</v>
      </c>
      <c r="D760" t="s">
        <v>2472</v>
      </c>
      <c r="E760" t="s">
        <v>2474</v>
      </c>
      <c r="F760" t="s">
        <v>1606</v>
      </c>
      <c r="G760" t="s">
        <v>1606</v>
      </c>
      <c r="H760" s="10">
        <v>633116</v>
      </c>
      <c r="I760" t="str">
        <f>IFERROR(VLOOKUP(Final!F760,'LEAID Match'!$A$2:$B$374,2,FALSE),"")</f>
        <v/>
      </c>
      <c r="K760" s="10">
        <f t="shared" si="11"/>
        <v>633116</v>
      </c>
    </row>
    <row r="761" spans="1:11">
      <c r="A761" t="s">
        <v>2470</v>
      </c>
      <c r="B761" s="10">
        <v>2018</v>
      </c>
      <c r="C761" t="s">
        <v>195</v>
      </c>
      <c r="D761" t="s">
        <v>2472</v>
      </c>
      <c r="E761" t="s">
        <v>2474</v>
      </c>
      <c r="F761" t="s">
        <v>1606</v>
      </c>
      <c r="G761" t="s">
        <v>1606</v>
      </c>
      <c r="H761" s="10">
        <v>617752</v>
      </c>
      <c r="I761" t="str">
        <f>IFERROR(VLOOKUP(Final!F761,'LEAID Match'!$A$2:$B$374,2,FALSE),"")</f>
        <v/>
      </c>
      <c r="K761" s="10">
        <f t="shared" si="11"/>
        <v>617752</v>
      </c>
    </row>
    <row r="762" spans="1:11">
      <c r="A762" t="s">
        <v>2470</v>
      </c>
      <c r="B762" s="10">
        <v>2019</v>
      </c>
      <c r="C762" t="s">
        <v>195</v>
      </c>
      <c r="D762" t="s">
        <v>2472</v>
      </c>
      <c r="E762" t="s">
        <v>2474</v>
      </c>
      <c r="F762" t="s">
        <v>1606</v>
      </c>
      <c r="G762" t="s">
        <v>1606</v>
      </c>
      <c r="H762" s="10">
        <v>664996</v>
      </c>
      <c r="I762" t="str">
        <f>IFERROR(VLOOKUP(Final!F762,'LEAID Match'!$A$2:$B$374,2,FALSE),"")</f>
        <v/>
      </c>
      <c r="K762" s="10">
        <f t="shared" si="11"/>
        <v>664996</v>
      </c>
    </row>
    <row r="763" spans="1:11">
      <c r="A763" t="s">
        <v>2470</v>
      </c>
      <c r="B763" s="10">
        <v>2020</v>
      </c>
      <c r="C763" t="s">
        <v>195</v>
      </c>
      <c r="D763" t="s">
        <v>2472</v>
      </c>
      <c r="E763" t="s">
        <v>2474</v>
      </c>
      <c r="F763" t="s">
        <v>1606</v>
      </c>
      <c r="G763" t="s">
        <v>1606</v>
      </c>
      <c r="H763" s="10">
        <v>656327</v>
      </c>
      <c r="I763" t="str">
        <f>IFERROR(VLOOKUP(Final!F763,'LEAID Match'!$A$2:$B$374,2,FALSE),"")</f>
        <v/>
      </c>
      <c r="K763" s="10">
        <f t="shared" si="11"/>
        <v>656327</v>
      </c>
    </row>
    <row r="764" spans="1:11">
      <c r="A764" t="s">
        <v>2470</v>
      </c>
      <c r="B764" s="10">
        <v>2021</v>
      </c>
      <c r="C764" t="s">
        <v>195</v>
      </c>
      <c r="D764" t="s">
        <v>2472</v>
      </c>
      <c r="E764" t="s">
        <v>2474</v>
      </c>
      <c r="F764" t="s">
        <v>1606</v>
      </c>
      <c r="G764" t="s">
        <v>1606</v>
      </c>
      <c r="H764" s="10">
        <v>740833</v>
      </c>
      <c r="I764" t="str">
        <f>IFERROR(VLOOKUP(Final!F764,'LEAID Match'!$A$2:$B$374,2,FALSE),"")</f>
        <v/>
      </c>
      <c r="K764" s="10">
        <f t="shared" si="11"/>
        <v>740833</v>
      </c>
    </row>
    <row r="765" spans="1:11">
      <c r="A765" t="s">
        <v>2470</v>
      </c>
      <c r="B765" s="10">
        <v>2022</v>
      </c>
      <c r="C765" t="s">
        <v>195</v>
      </c>
      <c r="D765" t="s">
        <v>2472</v>
      </c>
      <c r="E765" t="s">
        <v>2474</v>
      </c>
      <c r="F765" t="s">
        <v>1606</v>
      </c>
      <c r="G765" t="s">
        <v>1606</v>
      </c>
      <c r="H765" s="10">
        <v>719546</v>
      </c>
      <c r="I765" t="str">
        <f>IFERROR(VLOOKUP(Final!F765,'LEAID Match'!$A$2:$B$374,2,FALSE),"")</f>
        <v/>
      </c>
      <c r="K765" s="10">
        <f t="shared" si="11"/>
        <v>719546</v>
      </c>
    </row>
    <row r="766" spans="1:11">
      <c r="A766" t="s">
        <v>2470</v>
      </c>
      <c r="B766" s="10">
        <v>2023</v>
      </c>
      <c r="C766" t="s">
        <v>195</v>
      </c>
      <c r="D766" t="s">
        <v>2472</v>
      </c>
      <c r="E766" t="s">
        <v>2474</v>
      </c>
      <c r="F766" t="s">
        <v>1606</v>
      </c>
      <c r="G766" t="s">
        <v>1606</v>
      </c>
      <c r="H766" s="10">
        <v>809838</v>
      </c>
      <c r="I766" t="str">
        <f>IFERROR(VLOOKUP(Final!F766,'LEAID Match'!$A$2:$B$374,2,FALSE),"")</f>
        <v/>
      </c>
      <c r="K766" s="10">
        <f t="shared" si="11"/>
        <v>809838</v>
      </c>
    </row>
    <row r="767" spans="1:11">
      <c r="A767" t="s">
        <v>2470</v>
      </c>
      <c r="B767" s="10">
        <v>2015</v>
      </c>
      <c r="C767" t="s">
        <v>1411</v>
      </c>
      <c r="D767" t="s">
        <v>2472</v>
      </c>
      <c r="E767" t="s">
        <v>2474</v>
      </c>
      <c r="F767" t="s">
        <v>244</v>
      </c>
      <c r="G767" t="s">
        <v>244</v>
      </c>
      <c r="H767" s="10">
        <v>703131</v>
      </c>
      <c r="I767" t="str">
        <f>IFERROR(VLOOKUP(Final!F767,'LEAID Match'!$A$2:$B$374,2,FALSE),"")</f>
        <v/>
      </c>
      <c r="K767" s="10">
        <f t="shared" si="11"/>
        <v>703131</v>
      </c>
    </row>
    <row r="768" spans="1:11">
      <c r="A768" t="s">
        <v>2470</v>
      </c>
      <c r="B768" s="10">
        <v>2016</v>
      </c>
      <c r="C768" t="s">
        <v>1411</v>
      </c>
      <c r="D768" t="s">
        <v>2472</v>
      </c>
      <c r="E768" t="s">
        <v>2474</v>
      </c>
      <c r="F768" t="s">
        <v>244</v>
      </c>
      <c r="G768" t="s">
        <v>244</v>
      </c>
      <c r="H768" s="10">
        <v>732746</v>
      </c>
      <c r="I768" t="str">
        <f>IFERROR(VLOOKUP(Final!F768,'LEAID Match'!$A$2:$B$374,2,FALSE),"")</f>
        <v/>
      </c>
      <c r="K768" s="10">
        <f t="shared" si="11"/>
        <v>732746</v>
      </c>
    </row>
    <row r="769" spans="1:11">
      <c r="A769" t="s">
        <v>2470</v>
      </c>
      <c r="B769" s="10">
        <v>2017</v>
      </c>
      <c r="C769" t="s">
        <v>1411</v>
      </c>
      <c r="D769" t="s">
        <v>2472</v>
      </c>
      <c r="E769" t="s">
        <v>2474</v>
      </c>
      <c r="F769" t="s">
        <v>244</v>
      </c>
      <c r="G769" t="s">
        <v>244</v>
      </c>
      <c r="H769" s="10">
        <v>833323</v>
      </c>
      <c r="I769" t="str">
        <f>IFERROR(VLOOKUP(Final!F769,'LEAID Match'!$A$2:$B$374,2,FALSE),"")</f>
        <v/>
      </c>
      <c r="K769" s="10">
        <f t="shared" si="11"/>
        <v>833323</v>
      </c>
    </row>
    <row r="770" spans="1:11">
      <c r="A770" t="s">
        <v>2470</v>
      </c>
      <c r="B770" s="10">
        <v>2018</v>
      </c>
      <c r="C770" t="s">
        <v>1411</v>
      </c>
      <c r="D770" t="s">
        <v>2472</v>
      </c>
      <c r="E770" t="s">
        <v>2474</v>
      </c>
      <c r="F770" t="s">
        <v>244</v>
      </c>
      <c r="G770" t="s">
        <v>244</v>
      </c>
      <c r="H770" s="10">
        <v>856648</v>
      </c>
      <c r="I770" t="str">
        <f>IFERROR(VLOOKUP(Final!F770,'LEAID Match'!$A$2:$B$374,2,FALSE),"")</f>
        <v/>
      </c>
      <c r="K770" s="10">
        <f t="shared" si="11"/>
        <v>856648</v>
      </c>
    </row>
    <row r="771" spans="1:11">
      <c r="A771" t="s">
        <v>2470</v>
      </c>
      <c r="B771" s="10">
        <v>2019</v>
      </c>
      <c r="C771" t="s">
        <v>1411</v>
      </c>
      <c r="D771" t="s">
        <v>2472</v>
      </c>
      <c r="E771" t="s">
        <v>2474</v>
      </c>
      <c r="F771" t="s">
        <v>244</v>
      </c>
      <c r="G771" t="s">
        <v>244</v>
      </c>
      <c r="H771" s="10">
        <v>895749</v>
      </c>
      <c r="I771" t="str">
        <f>IFERROR(VLOOKUP(Final!F771,'LEAID Match'!$A$2:$B$374,2,FALSE),"")</f>
        <v/>
      </c>
      <c r="K771" s="10">
        <f t="shared" ref="K771:K834" si="12">SUM(H771,J771)</f>
        <v>895749</v>
      </c>
    </row>
    <row r="772" spans="1:11">
      <c r="A772" t="s">
        <v>2470</v>
      </c>
      <c r="B772" s="10">
        <v>2020</v>
      </c>
      <c r="C772" t="s">
        <v>1411</v>
      </c>
      <c r="D772" t="s">
        <v>2472</v>
      </c>
      <c r="E772" t="s">
        <v>2474</v>
      </c>
      <c r="F772" t="s">
        <v>244</v>
      </c>
      <c r="G772" t="s">
        <v>244</v>
      </c>
      <c r="H772" s="10">
        <v>1038129</v>
      </c>
      <c r="I772" t="str">
        <f>IFERROR(VLOOKUP(Final!F772,'LEAID Match'!$A$2:$B$374,2,FALSE),"")</f>
        <v/>
      </c>
      <c r="K772" s="10">
        <f t="shared" si="12"/>
        <v>1038129</v>
      </c>
    </row>
    <row r="773" spans="1:11">
      <c r="A773" t="s">
        <v>2470</v>
      </c>
      <c r="B773" s="10">
        <v>2021</v>
      </c>
      <c r="C773" t="s">
        <v>1411</v>
      </c>
      <c r="D773" t="s">
        <v>2472</v>
      </c>
      <c r="E773" t="s">
        <v>2474</v>
      </c>
      <c r="F773" t="s">
        <v>244</v>
      </c>
      <c r="G773" t="s">
        <v>244</v>
      </c>
      <c r="H773" s="10">
        <v>1083043</v>
      </c>
      <c r="I773" t="str">
        <f>IFERROR(VLOOKUP(Final!F773,'LEAID Match'!$A$2:$B$374,2,FALSE),"")</f>
        <v/>
      </c>
      <c r="K773" s="10">
        <f t="shared" si="12"/>
        <v>1083043</v>
      </c>
    </row>
    <row r="774" spans="1:11">
      <c r="A774" t="s">
        <v>2470</v>
      </c>
      <c r="B774" s="10">
        <v>2022</v>
      </c>
      <c r="C774" t="s">
        <v>1411</v>
      </c>
      <c r="D774" t="s">
        <v>2472</v>
      </c>
      <c r="E774" t="s">
        <v>2474</v>
      </c>
      <c r="F774" t="s">
        <v>244</v>
      </c>
      <c r="G774" t="s">
        <v>244</v>
      </c>
      <c r="H774" s="10">
        <v>1140947</v>
      </c>
      <c r="I774" t="str">
        <f>IFERROR(VLOOKUP(Final!F774,'LEAID Match'!$A$2:$B$374,2,FALSE),"")</f>
        <v/>
      </c>
      <c r="K774" s="10">
        <f t="shared" si="12"/>
        <v>1140947</v>
      </c>
    </row>
    <row r="775" spans="1:11">
      <c r="A775" t="s">
        <v>2470</v>
      </c>
      <c r="B775" s="10">
        <v>2023</v>
      </c>
      <c r="C775" t="s">
        <v>1411</v>
      </c>
      <c r="D775" t="s">
        <v>2472</v>
      </c>
      <c r="E775" t="s">
        <v>2474</v>
      </c>
      <c r="F775" t="s">
        <v>244</v>
      </c>
      <c r="G775" t="s">
        <v>244</v>
      </c>
      <c r="H775" s="10">
        <v>1366124</v>
      </c>
      <c r="I775" t="str">
        <f>IFERROR(VLOOKUP(Final!F775,'LEAID Match'!$A$2:$B$374,2,FALSE),"")</f>
        <v/>
      </c>
      <c r="K775" s="10">
        <f t="shared" si="12"/>
        <v>1366124</v>
      </c>
    </row>
    <row r="776" spans="1:11">
      <c r="A776" t="s">
        <v>2470</v>
      </c>
      <c r="B776" s="10">
        <v>2015</v>
      </c>
      <c r="C776" t="s">
        <v>202</v>
      </c>
      <c r="D776" t="s">
        <v>2472</v>
      </c>
      <c r="E776" t="s">
        <v>2474</v>
      </c>
      <c r="F776" t="s">
        <v>1557</v>
      </c>
      <c r="G776" t="s">
        <v>147</v>
      </c>
      <c r="H776" s="10">
        <v>746822</v>
      </c>
      <c r="I776" t="str">
        <f>IFERROR(VLOOKUP(Final!F776,'LEAID Match'!$A$2:$B$374,2,FALSE),"")</f>
        <v/>
      </c>
      <c r="K776" s="10">
        <f t="shared" si="12"/>
        <v>746822</v>
      </c>
    </row>
    <row r="777" spans="1:11">
      <c r="A777" t="s">
        <v>2470</v>
      </c>
      <c r="B777" s="10">
        <v>2016</v>
      </c>
      <c r="C777" t="s">
        <v>202</v>
      </c>
      <c r="D777" t="s">
        <v>2472</v>
      </c>
      <c r="E777" t="s">
        <v>2474</v>
      </c>
      <c r="F777" t="s">
        <v>1557</v>
      </c>
      <c r="G777" t="s">
        <v>147</v>
      </c>
      <c r="H777" s="10">
        <v>734574</v>
      </c>
      <c r="I777" t="str">
        <f>IFERROR(VLOOKUP(Final!F777,'LEAID Match'!$A$2:$B$374,2,FALSE),"")</f>
        <v/>
      </c>
      <c r="K777" s="10">
        <f t="shared" si="12"/>
        <v>734574</v>
      </c>
    </row>
    <row r="778" spans="1:11">
      <c r="A778" t="s">
        <v>2470</v>
      </c>
      <c r="B778" s="10">
        <v>2017</v>
      </c>
      <c r="C778" t="s">
        <v>202</v>
      </c>
      <c r="D778" t="s">
        <v>2472</v>
      </c>
      <c r="E778" t="s">
        <v>2474</v>
      </c>
      <c r="F778" t="s">
        <v>1557</v>
      </c>
      <c r="G778" t="s">
        <v>1557</v>
      </c>
      <c r="H778" s="10">
        <v>817617</v>
      </c>
      <c r="I778" t="str">
        <f>IFERROR(VLOOKUP(Final!F778,'LEAID Match'!$A$2:$B$374,2,FALSE),"")</f>
        <v/>
      </c>
      <c r="K778" s="10">
        <f t="shared" si="12"/>
        <v>817617</v>
      </c>
    </row>
    <row r="779" spans="1:11">
      <c r="A779" t="s">
        <v>2470</v>
      </c>
      <c r="B779" s="10">
        <v>2018</v>
      </c>
      <c r="C779" t="s">
        <v>202</v>
      </c>
      <c r="D779" t="s">
        <v>2472</v>
      </c>
      <c r="E779" t="s">
        <v>2474</v>
      </c>
      <c r="F779" t="s">
        <v>1557</v>
      </c>
      <c r="G779" t="s">
        <v>2083</v>
      </c>
      <c r="H779" s="10">
        <v>892054</v>
      </c>
      <c r="I779" t="str">
        <f>IFERROR(VLOOKUP(Final!F779,'LEAID Match'!$A$2:$B$374,2,FALSE),"")</f>
        <v/>
      </c>
      <c r="K779" s="10">
        <f t="shared" si="12"/>
        <v>892054</v>
      </c>
    </row>
    <row r="780" spans="1:11">
      <c r="A780" t="s">
        <v>2470</v>
      </c>
      <c r="B780" s="10">
        <v>2019</v>
      </c>
      <c r="C780" t="s">
        <v>202</v>
      </c>
      <c r="D780" t="s">
        <v>2472</v>
      </c>
      <c r="E780" t="s">
        <v>2474</v>
      </c>
      <c r="F780" t="s">
        <v>1557</v>
      </c>
      <c r="G780" t="s">
        <v>1557</v>
      </c>
      <c r="H780" s="10">
        <v>983611</v>
      </c>
      <c r="I780" t="str">
        <f>IFERROR(VLOOKUP(Final!F780,'LEAID Match'!$A$2:$B$374,2,FALSE),"")</f>
        <v/>
      </c>
      <c r="K780" s="10">
        <f t="shared" si="12"/>
        <v>983611</v>
      </c>
    </row>
    <row r="781" spans="1:11">
      <c r="A781" t="s">
        <v>2470</v>
      </c>
      <c r="B781" s="10">
        <v>2020</v>
      </c>
      <c r="C781" t="s">
        <v>202</v>
      </c>
      <c r="D781" t="s">
        <v>2472</v>
      </c>
      <c r="E781" t="s">
        <v>2474</v>
      </c>
      <c r="F781" t="s">
        <v>1557</v>
      </c>
      <c r="G781" t="s">
        <v>1557</v>
      </c>
      <c r="H781" s="10">
        <v>1063572</v>
      </c>
      <c r="I781" t="str">
        <f>IFERROR(VLOOKUP(Final!F781,'LEAID Match'!$A$2:$B$374,2,FALSE),"")</f>
        <v/>
      </c>
      <c r="K781" s="10">
        <f t="shared" si="12"/>
        <v>1063572</v>
      </c>
    </row>
    <row r="782" spans="1:11">
      <c r="A782" t="s">
        <v>2470</v>
      </c>
      <c r="B782" s="10">
        <v>2021</v>
      </c>
      <c r="C782" t="s">
        <v>202</v>
      </c>
      <c r="D782" t="s">
        <v>2472</v>
      </c>
      <c r="E782" t="s">
        <v>2474</v>
      </c>
      <c r="F782" t="s">
        <v>1557</v>
      </c>
      <c r="G782" t="s">
        <v>1557</v>
      </c>
      <c r="H782" s="10">
        <v>1205239</v>
      </c>
      <c r="I782" t="str">
        <f>IFERROR(VLOOKUP(Final!F782,'LEAID Match'!$A$2:$B$374,2,FALSE),"")</f>
        <v/>
      </c>
      <c r="K782" s="10">
        <f t="shared" si="12"/>
        <v>1205239</v>
      </c>
    </row>
    <row r="783" spans="1:11">
      <c r="A783" t="s">
        <v>2470</v>
      </c>
      <c r="B783" s="10">
        <v>2022</v>
      </c>
      <c r="C783" t="s">
        <v>202</v>
      </c>
      <c r="D783" t="s">
        <v>2472</v>
      </c>
      <c r="E783" t="s">
        <v>2474</v>
      </c>
      <c r="F783" t="s">
        <v>1557</v>
      </c>
      <c r="G783" t="s">
        <v>1557</v>
      </c>
      <c r="H783" s="10">
        <v>1484237</v>
      </c>
      <c r="I783" t="str">
        <f>IFERROR(VLOOKUP(Final!F783,'LEAID Match'!$A$2:$B$374,2,FALSE),"")</f>
        <v/>
      </c>
      <c r="K783" s="10">
        <f t="shared" si="12"/>
        <v>1484237</v>
      </c>
    </row>
    <row r="784" spans="1:11">
      <c r="A784" t="s">
        <v>2470</v>
      </c>
      <c r="B784" s="10">
        <v>2023</v>
      </c>
      <c r="C784" t="s">
        <v>202</v>
      </c>
      <c r="D784" t="s">
        <v>2472</v>
      </c>
      <c r="E784" t="s">
        <v>2474</v>
      </c>
      <c r="F784" t="s">
        <v>1557</v>
      </c>
      <c r="G784" t="s">
        <v>1557</v>
      </c>
      <c r="H784" s="10">
        <v>1780945</v>
      </c>
      <c r="I784" t="str">
        <f>IFERROR(VLOOKUP(Final!F784,'LEAID Match'!$A$2:$B$374,2,FALSE),"")</f>
        <v/>
      </c>
      <c r="K784" s="10">
        <f t="shared" si="12"/>
        <v>1780945</v>
      </c>
    </row>
    <row r="785" spans="1:11">
      <c r="A785" t="s">
        <v>2470</v>
      </c>
      <c r="B785" s="10">
        <v>2015</v>
      </c>
      <c r="C785" t="s">
        <v>84</v>
      </c>
      <c r="D785" t="s">
        <v>2472</v>
      </c>
      <c r="E785" t="s">
        <v>2474</v>
      </c>
      <c r="F785" t="s">
        <v>31</v>
      </c>
      <c r="G785" t="s">
        <v>31</v>
      </c>
      <c r="H785" s="10">
        <v>21985</v>
      </c>
      <c r="I785" t="str">
        <f>IFERROR(VLOOKUP(Final!F785,'LEAID Match'!$A$2:$B$374,2,FALSE),"")</f>
        <v/>
      </c>
      <c r="K785" s="10">
        <f t="shared" si="12"/>
        <v>21985</v>
      </c>
    </row>
    <row r="786" spans="1:11">
      <c r="A786" t="s">
        <v>2470</v>
      </c>
      <c r="B786" s="10">
        <v>2016</v>
      </c>
      <c r="C786" t="s">
        <v>84</v>
      </c>
      <c r="D786" t="s">
        <v>2472</v>
      </c>
      <c r="E786" t="s">
        <v>2474</v>
      </c>
      <c r="F786" t="s">
        <v>31</v>
      </c>
      <c r="G786" t="s">
        <v>31</v>
      </c>
      <c r="H786" s="10">
        <v>28738</v>
      </c>
      <c r="I786" t="str">
        <f>IFERROR(VLOOKUP(Final!F786,'LEAID Match'!$A$2:$B$374,2,FALSE),"")</f>
        <v/>
      </c>
      <c r="K786" s="10">
        <f t="shared" si="12"/>
        <v>28738</v>
      </c>
    </row>
    <row r="787" spans="1:11">
      <c r="A787" t="s">
        <v>2470</v>
      </c>
      <c r="B787" s="10">
        <v>2017</v>
      </c>
      <c r="C787" t="s">
        <v>84</v>
      </c>
      <c r="D787" t="s">
        <v>2472</v>
      </c>
      <c r="E787" t="s">
        <v>2474</v>
      </c>
      <c r="F787" t="s">
        <v>31</v>
      </c>
      <c r="G787" t="s">
        <v>31</v>
      </c>
      <c r="H787" s="10">
        <v>34359</v>
      </c>
      <c r="I787" t="str">
        <f>IFERROR(VLOOKUP(Final!F787,'LEAID Match'!$A$2:$B$374,2,FALSE),"")</f>
        <v/>
      </c>
      <c r="K787" s="10">
        <f t="shared" si="12"/>
        <v>34359</v>
      </c>
    </row>
    <row r="788" spans="1:11">
      <c r="A788" t="s">
        <v>2470</v>
      </c>
      <c r="B788" s="10">
        <v>2018</v>
      </c>
      <c r="C788" t="s">
        <v>84</v>
      </c>
      <c r="D788" t="s">
        <v>2472</v>
      </c>
      <c r="E788" t="s">
        <v>2474</v>
      </c>
      <c r="F788" t="s">
        <v>31</v>
      </c>
      <c r="G788" t="s">
        <v>31</v>
      </c>
      <c r="H788" s="10">
        <v>34396</v>
      </c>
      <c r="I788" t="str">
        <f>IFERROR(VLOOKUP(Final!F788,'LEAID Match'!$A$2:$B$374,2,FALSE),"")</f>
        <v/>
      </c>
      <c r="K788" s="10">
        <f t="shared" si="12"/>
        <v>34396</v>
      </c>
    </row>
    <row r="789" spans="1:11">
      <c r="A789" t="s">
        <v>2470</v>
      </c>
      <c r="B789" s="10">
        <v>2019</v>
      </c>
      <c r="C789" t="s">
        <v>84</v>
      </c>
      <c r="D789" t="s">
        <v>2472</v>
      </c>
      <c r="E789" t="s">
        <v>2474</v>
      </c>
      <c r="F789" t="s">
        <v>31</v>
      </c>
      <c r="G789" t="s">
        <v>31</v>
      </c>
      <c r="H789" s="10">
        <v>35971</v>
      </c>
      <c r="I789" t="str">
        <f>IFERROR(VLOOKUP(Final!F789,'LEAID Match'!$A$2:$B$374,2,FALSE),"")</f>
        <v/>
      </c>
      <c r="K789" s="10">
        <f t="shared" si="12"/>
        <v>35971</v>
      </c>
    </row>
    <row r="790" spans="1:11">
      <c r="A790" t="s">
        <v>2470</v>
      </c>
      <c r="B790" s="10">
        <v>2020</v>
      </c>
      <c r="C790" t="s">
        <v>84</v>
      </c>
      <c r="D790" t="s">
        <v>2472</v>
      </c>
      <c r="E790" t="s">
        <v>2474</v>
      </c>
      <c r="F790" t="s">
        <v>31</v>
      </c>
      <c r="G790" t="s">
        <v>31</v>
      </c>
      <c r="H790" s="10"/>
      <c r="I790" t="str">
        <f>IFERROR(VLOOKUP(Final!F790,'LEAID Match'!$A$2:$B$374,2,FALSE),"")</f>
        <v/>
      </c>
      <c r="K790" s="10">
        <f t="shared" si="12"/>
        <v>0</v>
      </c>
    </row>
    <row r="791" spans="1:11">
      <c r="A791" t="s">
        <v>2470</v>
      </c>
      <c r="B791" s="10">
        <v>2021</v>
      </c>
      <c r="C791" t="s">
        <v>84</v>
      </c>
      <c r="D791" t="s">
        <v>2472</v>
      </c>
      <c r="E791" t="s">
        <v>2474</v>
      </c>
      <c r="F791" t="s">
        <v>31</v>
      </c>
      <c r="G791" t="s">
        <v>31</v>
      </c>
      <c r="H791" s="10"/>
      <c r="I791" t="str">
        <f>IFERROR(VLOOKUP(Final!F791,'LEAID Match'!$A$2:$B$374,2,FALSE),"")</f>
        <v/>
      </c>
      <c r="K791" s="10">
        <f t="shared" si="12"/>
        <v>0</v>
      </c>
    </row>
    <row r="792" spans="1:11">
      <c r="A792" t="s">
        <v>2470</v>
      </c>
      <c r="B792" s="10">
        <v>2022</v>
      </c>
      <c r="C792" t="s">
        <v>84</v>
      </c>
      <c r="D792" t="s">
        <v>2472</v>
      </c>
      <c r="E792" t="s">
        <v>2474</v>
      </c>
      <c r="F792" t="s">
        <v>31</v>
      </c>
      <c r="G792" t="s">
        <v>31</v>
      </c>
      <c r="H792" s="10"/>
      <c r="I792" t="str">
        <f>IFERROR(VLOOKUP(Final!F792,'LEAID Match'!$A$2:$B$374,2,FALSE),"")</f>
        <v/>
      </c>
      <c r="K792" s="10">
        <f t="shared" si="12"/>
        <v>0</v>
      </c>
    </row>
    <row r="793" spans="1:11">
      <c r="A793" t="s">
        <v>2470</v>
      </c>
      <c r="B793" s="10">
        <v>2023</v>
      </c>
      <c r="C793" t="s">
        <v>84</v>
      </c>
      <c r="D793" t="s">
        <v>2472</v>
      </c>
      <c r="E793" t="s">
        <v>2474</v>
      </c>
      <c r="F793" t="s">
        <v>31</v>
      </c>
      <c r="G793" t="s">
        <v>31</v>
      </c>
      <c r="H793" s="10"/>
      <c r="I793" t="str">
        <f>IFERROR(VLOOKUP(Final!F793,'LEAID Match'!$A$2:$B$374,2,FALSE),"")</f>
        <v/>
      </c>
      <c r="K793" s="10">
        <f t="shared" si="12"/>
        <v>0</v>
      </c>
    </row>
    <row r="794" spans="1:11">
      <c r="A794" t="s">
        <v>2470</v>
      </c>
      <c r="B794" s="10">
        <v>2015</v>
      </c>
      <c r="C794" t="s">
        <v>170</v>
      </c>
      <c r="D794" t="s">
        <v>2472</v>
      </c>
      <c r="E794" t="s">
        <v>2474</v>
      </c>
      <c r="F794" t="s">
        <v>1526</v>
      </c>
      <c r="G794" t="s">
        <v>115</v>
      </c>
      <c r="H794" s="10">
        <v>36425</v>
      </c>
      <c r="I794" t="str">
        <f>IFERROR(VLOOKUP(Final!F794,'LEAID Match'!$A$2:$B$374,2,FALSE),"")</f>
        <v/>
      </c>
      <c r="K794" s="10">
        <f t="shared" si="12"/>
        <v>36425</v>
      </c>
    </row>
    <row r="795" spans="1:11">
      <c r="A795" t="s">
        <v>2470</v>
      </c>
      <c r="B795" s="10">
        <v>2016</v>
      </c>
      <c r="C795" t="s">
        <v>170</v>
      </c>
      <c r="D795" t="s">
        <v>2472</v>
      </c>
      <c r="E795" t="s">
        <v>2474</v>
      </c>
      <c r="F795" t="s">
        <v>1526</v>
      </c>
      <c r="G795" t="s">
        <v>1374</v>
      </c>
      <c r="H795" s="10">
        <v>33988</v>
      </c>
      <c r="I795" t="str">
        <f>IFERROR(VLOOKUP(Final!F795,'LEAID Match'!$A$2:$B$374,2,FALSE),"")</f>
        <v/>
      </c>
      <c r="K795" s="10">
        <f t="shared" si="12"/>
        <v>33988</v>
      </c>
    </row>
    <row r="796" spans="1:11">
      <c r="A796" t="s">
        <v>2470</v>
      </c>
      <c r="B796" s="10">
        <v>2017</v>
      </c>
      <c r="C796" t="s">
        <v>170</v>
      </c>
      <c r="D796" t="s">
        <v>2472</v>
      </c>
      <c r="E796" t="s">
        <v>2474</v>
      </c>
      <c r="F796" t="s">
        <v>1526</v>
      </c>
      <c r="G796" t="s">
        <v>1526</v>
      </c>
      <c r="H796" s="10">
        <v>34388</v>
      </c>
      <c r="I796" t="str">
        <f>IFERROR(VLOOKUP(Final!F796,'LEAID Match'!$A$2:$B$374,2,FALSE),"")</f>
        <v/>
      </c>
      <c r="K796" s="10">
        <f t="shared" si="12"/>
        <v>34388</v>
      </c>
    </row>
    <row r="797" spans="1:11">
      <c r="A797" t="s">
        <v>2470</v>
      </c>
      <c r="B797" s="10">
        <v>2018</v>
      </c>
      <c r="C797" t="s">
        <v>170</v>
      </c>
      <c r="D797" t="s">
        <v>2472</v>
      </c>
      <c r="E797" t="s">
        <v>2474</v>
      </c>
      <c r="F797" t="s">
        <v>1526</v>
      </c>
      <c r="G797" t="s">
        <v>2063</v>
      </c>
      <c r="H797" s="10">
        <v>37353</v>
      </c>
      <c r="I797" t="str">
        <f>IFERROR(VLOOKUP(Final!F797,'LEAID Match'!$A$2:$B$374,2,FALSE),"")</f>
        <v/>
      </c>
      <c r="K797" s="10">
        <f t="shared" si="12"/>
        <v>37353</v>
      </c>
    </row>
    <row r="798" spans="1:11">
      <c r="A798" t="s">
        <v>2470</v>
      </c>
      <c r="B798" s="10">
        <v>2019</v>
      </c>
      <c r="C798" t="s">
        <v>170</v>
      </c>
      <c r="D798" t="s">
        <v>2472</v>
      </c>
      <c r="E798" t="s">
        <v>2474</v>
      </c>
      <c r="F798" t="s">
        <v>1526</v>
      </c>
      <c r="G798" t="s">
        <v>1526</v>
      </c>
      <c r="H798" s="10">
        <v>44000</v>
      </c>
      <c r="I798" t="str">
        <f>IFERROR(VLOOKUP(Final!F798,'LEAID Match'!$A$2:$B$374,2,FALSE),"")</f>
        <v/>
      </c>
      <c r="K798" s="10">
        <f t="shared" si="12"/>
        <v>44000</v>
      </c>
    </row>
    <row r="799" spans="1:11">
      <c r="A799" t="s">
        <v>2470</v>
      </c>
      <c r="B799" s="10">
        <v>2020</v>
      </c>
      <c r="C799" t="s">
        <v>170</v>
      </c>
      <c r="D799" t="s">
        <v>2472</v>
      </c>
      <c r="E799" t="s">
        <v>2474</v>
      </c>
      <c r="F799" t="s">
        <v>1526</v>
      </c>
      <c r="G799" t="s">
        <v>1526</v>
      </c>
      <c r="H799" s="10">
        <v>46490</v>
      </c>
      <c r="I799" t="str">
        <f>IFERROR(VLOOKUP(Final!F799,'LEAID Match'!$A$2:$B$374,2,FALSE),"")</f>
        <v/>
      </c>
      <c r="K799" s="10">
        <f t="shared" si="12"/>
        <v>46490</v>
      </c>
    </row>
    <row r="800" spans="1:11">
      <c r="A800" t="s">
        <v>2470</v>
      </c>
      <c r="B800" s="10">
        <v>2021</v>
      </c>
      <c r="C800" t="s">
        <v>170</v>
      </c>
      <c r="D800" t="s">
        <v>2472</v>
      </c>
      <c r="E800" t="s">
        <v>2474</v>
      </c>
      <c r="F800" t="s">
        <v>1526</v>
      </c>
      <c r="G800" t="s">
        <v>1526</v>
      </c>
      <c r="H800" s="10">
        <v>23794</v>
      </c>
      <c r="I800" t="str">
        <f>IFERROR(VLOOKUP(Final!F800,'LEAID Match'!$A$2:$B$374,2,FALSE),"")</f>
        <v/>
      </c>
      <c r="K800" s="10">
        <f t="shared" si="12"/>
        <v>23794</v>
      </c>
    </row>
    <row r="801" spans="1:11">
      <c r="A801" t="s">
        <v>2470</v>
      </c>
      <c r="B801" s="10">
        <v>2022</v>
      </c>
      <c r="C801" t="s">
        <v>170</v>
      </c>
      <c r="D801" t="s">
        <v>2472</v>
      </c>
      <c r="E801" t="s">
        <v>2474</v>
      </c>
      <c r="F801" t="s">
        <v>1526</v>
      </c>
      <c r="G801" t="s">
        <v>1526</v>
      </c>
      <c r="H801" s="10">
        <v>6391</v>
      </c>
      <c r="I801" t="str">
        <f>IFERROR(VLOOKUP(Final!F801,'LEAID Match'!$A$2:$B$374,2,FALSE),"")</f>
        <v/>
      </c>
      <c r="K801" s="10">
        <f t="shared" si="12"/>
        <v>6391</v>
      </c>
    </row>
    <row r="802" spans="1:11">
      <c r="A802" t="s">
        <v>2470</v>
      </c>
      <c r="B802" s="10">
        <v>2023</v>
      </c>
      <c r="C802" t="s">
        <v>170</v>
      </c>
      <c r="D802" t="s">
        <v>2472</v>
      </c>
      <c r="E802" t="s">
        <v>2474</v>
      </c>
      <c r="F802" t="s">
        <v>1526</v>
      </c>
      <c r="G802" t="s">
        <v>1526</v>
      </c>
      <c r="H802" s="10"/>
      <c r="I802" t="str">
        <f>IFERROR(VLOOKUP(Final!F802,'LEAID Match'!$A$2:$B$374,2,FALSE),"")</f>
        <v/>
      </c>
      <c r="K802" s="10">
        <f t="shared" si="12"/>
        <v>0</v>
      </c>
    </row>
    <row r="803" spans="1:11">
      <c r="A803" t="s">
        <v>2470</v>
      </c>
      <c r="B803" s="10">
        <v>2015</v>
      </c>
      <c r="C803" t="s">
        <v>1388</v>
      </c>
      <c r="D803" t="s">
        <v>2472</v>
      </c>
      <c r="E803" t="s">
        <v>2474</v>
      </c>
      <c r="F803" t="s">
        <v>1573</v>
      </c>
      <c r="G803" t="s">
        <v>223</v>
      </c>
      <c r="H803" s="10">
        <v>7708</v>
      </c>
      <c r="I803" t="str">
        <f>IFERROR(VLOOKUP(Final!F803,'LEAID Match'!$A$2:$B$374,2,FALSE),"")</f>
        <v/>
      </c>
      <c r="K803" s="10">
        <f t="shared" si="12"/>
        <v>7708</v>
      </c>
    </row>
    <row r="804" spans="1:11">
      <c r="A804" t="s">
        <v>2470</v>
      </c>
      <c r="B804" s="10">
        <v>2016</v>
      </c>
      <c r="C804" t="s">
        <v>1388</v>
      </c>
      <c r="D804" t="s">
        <v>2472</v>
      </c>
      <c r="E804" t="s">
        <v>2474</v>
      </c>
      <c r="F804" t="s">
        <v>1573</v>
      </c>
      <c r="G804" t="s">
        <v>223</v>
      </c>
      <c r="H804" s="10">
        <v>7680</v>
      </c>
      <c r="I804" t="str">
        <f>IFERROR(VLOOKUP(Final!F804,'LEAID Match'!$A$2:$B$374,2,FALSE),"")</f>
        <v/>
      </c>
      <c r="K804" s="10">
        <f t="shared" si="12"/>
        <v>7680</v>
      </c>
    </row>
    <row r="805" spans="1:11">
      <c r="A805" t="s">
        <v>2470</v>
      </c>
      <c r="B805" s="10">
        <v>2017</v>
      </c>
      <c r="C805" t="s">
        <v>1388</v>
      </c>
      <c r="D805" t="s">
        <v>2472</v>
      </c>
      <c r="E805" t="s">
        <v>2474</v>
      </c>
      <c r="F805" t="s">
        <v>1573</v>
      </c>
      <c r="G805" t="s">
        <v>1573</v>
      </c>
      <c r="H805" s="10">
        <v>7924</v>
      </c>
      <c r="I805" t="str">
        <f>IFERROR(VLOOKUP(Final!F805,'LEAID Match'!$A$2:$B$374,2,FALSE),"")</f>
        <v/>
      </c>
      <c r="K805" s="10">
        <f t="shared" si="12"/>
        <v>7924</v>
      </c>
    </row>
    <row r="806" spans="1:11">
      <c r="A806" t="s">
        <v>2470</v>
      </c>
      <c r="B806" s="10">
        <v>2018</v>
      </c>
      <c r="C806" t="s">
        <v>1388</v>
      </c>
      <c r="D806" t="s">
        <v>2472</v>
      </c>
      <c r="E806" t="s">
        <v>2474</v>
      </c>
      <c r="F806" t="s">
        <v>1573</v>
      </c>
      <c r="G806" t="s">
        <v>2098</v>
      </c>
      <c r="H806" s="10">
        <v>7715</v>
      </c>
      <c r="I806" t="str">
        <f>IFERROR(VLOOKUP(Final!F806,'LEAID Match'!$A$2:$B$374,2,FALSE),"")</f>
        <v/>
      </c>
      <c r="K806" s="10">
        <f t="shared" si="12"/>
        <v>7715</v>
      </c>
    </row>
    <row r="807" spans="1:11">
      <c r="A807" t="s">
        <v>2470</v>
      </c>
      <c r="B807" s="10">
        <v>2019</v>
      </c>
      <c r="C807" t="s">
        <v>1388</v>
      </c>
      <c r="D807" t="s">
        <v>2472</v>
      </c>
      <c r="E807" t="s">
        <v>2474</v>
      </c>
      <c r="F807" t="s">
        <v>1573</v>
      </c>
      <c r="G807" t="s">
        <v>2355</v>
      </c>
      <c r="H807" s="10">
        <v>7913</v>
      </c>
      <c r="I807" t="str">
        <f>IFERROR(VLOOKUP(Final!F807,'LEAID Match'!$A$2:$B$374,2,FALSE),"")</f>
        <v/>
      </c>
      <c r="K807" s="10">
        <f t="shared" si="12"/>
        <v>7913</v>
      </c>
    </row>
    <row r="808" spans="1:11">
      <c r="A808" t="s">
        <v>2470</v>
      </c>
      <c r="B808" s="10">
        <v>2020</v>
      </c>
      <c r="C808" t="s">
        <v>1388</v>
      </c>
      <c r="D808" t="s">
        <v>2472</v>
      </c>
      <c r="E808" t="s">
        <v>2474</v>
      </c>
      <c r="F808" t="s">
        <v>1573</v>
      </c>
      <c r="G808" t="s">
        <v>1573</v>
      </c>
      <c r="H808" s="10">
        <v>8104</v>
      </c>
      <c r="I808" t="str">
        <f>IFERROR(VLOOKUP(Final!F808,'LEAID Match'!$A$2:$B$374,2,FALSE),"")</f>
        <v/>
      </c>
      <c r="K808" s="10">
        <f t="shared" si="12"/>
        <v>8104</v>
      </c>
    </row>
    <row r="809" spans="1:11">
      <c r="A809" t="s">
        <v>2470</v>
      </c>
      <c r="B809" s="10">
        <v>2021</v>
      </c>
      <c r="C809" t="s">
        <v>1388</v>
      </c>
      <c r="D809" t="s">
        <v>2472</v>
      </c>
      <c r="E809" t="s">
        <v>2474</v>
      </c>
      <c r="F809" t="s">
        <v>1573</v>
      </c>
      <c r="G809" t="s">
        <v>1573</v>
      </c>
      <c r="H809" s="10">
        <v>8246</v>
      </c>
      <c r="I809" t="str">
        <f>IFERROR(VLOOKUP(Final!F809,'LEAID Match'!$A$2:$B$374,2,FALSE),"")</f>
        <v/>
      </c>
      <c r="K809" s="10">
        <f t="shared" si="12"/>
        <v>8246</v>
      </c>
    </row>
    <row r="810" spans="1:11">
      <c r="A810" t="s">
        <v>2470</v>
      </c>
      <c r="B810" s="10">
        <v>2022</v>
      </c>
      <c r="C810" t="s">
        <v>1388</v>
      </c>
      <c r="D810" t="s">
        <v>2472</v>
      </c>
      <c r="E810" t="s">
        <v>2474</v>
      </c>
      <c r="F810" t="s">
        <v>1573</v>
      </c>
      <c r="G810" t="s">
        <v>1573</v>
      </c>
      <c r="H810" s="10">
        <v>8501</v>
      </c>
      <c r="I810" t="str">
        <f>IFERROR(VLOOKUP(Final!F810,'LEAID Match'!$A$2:$B$374,2,FALSE),"")</f>
        <v/>
      </c>
      <c r="K810" s="10">
        <f t="shared" si="12"/>
        <v>8501</v>
      </c>
    </row>
    <row r="811" spans="1:11">
      <c r="A811" t="s">
        <v>2470</v>
      </c>
      <c r="B811" s="10">
        <v>2023</v>
      </c>
      <c r="C811" t="s">
        <v>1388</v>
      </c>
      <c r="D811" t="s">
        <v>2472</v>
      </c>
      <c r="E811" t="s">
        <v>2474</v>
      </c>
      <c r="F811" t="s">
        <v>1573</v>
      </c>
      <c r="G811" t="s">
        <v>1573</v>
      </c>
      <c r="H811" s="10">
        <v>9939</v>
      </c>
      <c r="I811" t="str">
        <f>IFERROR(VLOOKUP(Final!F811,'LEAID Match'!$A$2:$B$374,2,FALSE),"")</f>
        <v/>
      </c>
      <c r="K811" s="10">
        <f t="shared" si="12"/>
        <v>9939</v>
      </c>
    </row>
    <row r="812" spans="1:11">
      <c r="A812" t="s">
        <v>2470</v>
      </c>
      <c r="B812" s="10">
        <v>2015</v>
      </c>
      <c r="C812" t="s">
        <v>189</v>
      </c>
      <c r="D812" t="s">
        <v>2472</v>
      </c>
      <c r="E812" t="s">
        <v>2474</v>
      </c>
      <c r="F812" t="s">
        <v>1544</v>
      </c>
      <c r="G812" t="s">
        <v>134</v>
      </c>
      <c r="H812" s="10">
        <v>594468</v>
      </c>
      <c r="I812" t="str">
        <f>IFERROR(VLOOKUP(Final!F812,'LEAID Match'!$A$2:$B$374,2,FALSE),"")</f>
        <v/>
      </c>
      <c r="K812" s="10">
        <f t="shared" si="12"/>
        <v>594468</v>
      </c>
    </row>
    <row r="813" spans="1:11">
      <c r="A813" t="s">
        <v>2470</v>
      </c>
      <c r="B813" s="10">
        <v>2016</v>
      </c>
      <c r="C813" t="s">
        <v>189</v>
      </c>
      <c r="D813" t="s">
        <v>2472</v>
      </c>
      <c r="E813" t="s">
        <v>2474</v>
      </c>
      <c r="F813" t="s">
        <v>1544</v>
      </c>
      <c r="G813" t="s">
        <v>134</v>
      </c>
      <c r="H813" s="10">
        <v>663325</v>
      </c>
      <c r="I813" t="str">
        <f>IFERROR(VLOOKUP(Final!F813,'LEAID Match'!$A$2:$B$374,2,FALSE),"")</f>
        <v/>
      </c>
      <c r="K813" s="10">
        <f t="shared" si="12"/>
        <v>663325</v>
      </c>
    </row>
    <row r="814" spans="1:11">
      <c r="A814" t="s">
        <v>2470</v>
      </c>
      <c r="B814" s="10">
        <v>2017</v>
      </c>
      <c r="C814" t="s">
        <v>189</v>
      </c>
      <c r="D814" t="s">
        <v>2472</v>
      </c>
      <c r="E814" t="s">
        <v>2474</v>
      </c>
      <c r="F814" t="s">
        <v>1544</v>
      </c>
      <c r="G814" t="s">
        <v>1544</v>
      </c>
      <c r="H814" s="10">
        <v>666219</v>
      </c>
      <c r="I814" t="str">
        <f>IFERROR(VLOOKUP(Final!F814,'LEAID Match'!$A$2:$B$374,2,FALSE),"")</f>
        <v/>
      </c>
      <c r="K814" s="10">
        <f t="shared" si="12"/>
        <v>666219</v>
      </c>
    </row>
    <row r="815" spans="1:11">
      <c r="A815" t="s">
        <v>2470</v>
      </c>
      <c r="B815" s="10">
        <v>2018</v>
      </c>
      <c r="C815" t="s">
        <v>189</v>
      </c>
      <c r="D815" t="s">
        <v>2472</v>
      </c>
      <c r="E815" t="s">
        <v>2474</v>
      </c>
      <c r="F815" t="s">
        <v>1544</v>
      </c>
      <c r="G815" t="s">
        <v>1544</v>
      </c>
      <c r="H815" s="10">
        <v>658649</v>
      </c>
      <c r="I815" t="str">
        <f>IFERROR(VLOOKUP(Final!F815,'LEAID Match'!$A$2:$B$374,2,FALSE),"")</f>
        <v/>
      </c>
      <c r="K815" s="10">
        <f t="shared" si="12"/>
        <v>658649</v>
      </c>
    </row>
    <row r="816" spans="1:11">
      <c r="A816" t="s">
        <v>2470</v>
      </c>
      <c r="B816" s="10">
        <v>2019</v>
      </c>
      <c r="C816" t="s">
        <v>189</v>
      </c>
      <c r="D816" t="s">
        <v>2472</v>
      </c>
      <c r="E816" t="s">
        <v>2474</v>
      </c>
      <c r="F816" t="s">
        <v>1544</v>
      </c>
      <c r="G816" t="s">
        <v>1544</v>
      </c>
      <c r="H816" s="10">
        <v>687114</v>
      </c>
      <c r="I816" t="str">
        <f>IFERROR(VLOOKUP(Final!F816,'LEAID Match'!$A$2:$B$374,2,FALSE),"")</f>
        <v/>
      </c>
      <c r="K816" s="10">
        <f t="shared" si="12"/>
        <v>687114</v>
      </c>
    </row>
    <row r="817" spans="1:11">
      <c r="A817" t="s">
        <v>2470</v>
      </c>
      <c r="B817" s="10">
        <v>2020</v>
      </c>
      <c r="C817" t="s">
        <v>189</v>
      </c>
      <c r="D817" t="s">
        <v>2472</v>
      </c>
      <c r="E817" t="s">
        <v>2474</v>
      </c>
      <c r="F817" t="s">
        <v>1544</v>
      </c>
      <c r="G817" t="s">
        <v>1544</v>
      </c>
      <c r="H817" s="10">
        <v>716907</v>
      </c>
      <c r="I817" t="str">
        <f>IFERROR(VLOOKUP(Final!F817,'LEAID Match'!$A$2:$B$374,2,FALSE),"")</f>
        <v/>
      </c>
      <c r="K817" s="10">
        <f t="shared" si="12"/>
        <v>716907</v>
      </c>
    </row>
    <row r="818" spans="1:11">
      <c r="A818" t="s">
        <v>2470</v>
      </c>
      <c r="B818" s="10">
        <v>2021</v>
      </c>
      <c r="C818" t="s">
        <v>189</v>
      </c>
      <c r="D818" t="s">
        <v>2472</v>
      </c>
      <c r="E818" t="s">
        <v>2474</v>
      </c>
      <c r="F818" t="s">
        <v>1544</v>
      </c>
      <c r="G818" t="s">
        <v>1544</v>
      </c>
      <c r="H818" s="10">
        <v>725827</v>
      </c>
      <c r="I818" t="str">
        <f>IFERROR(VLOOKUP(Final!F818,'LEAID Match'!$A$2:$B$374,2,FALSE),"")</f>
        <v/>
      </c>
      <c r="K818" s="10">
        <f t="shared" si="12"/>
        <v>725827</v>
      </c>
    </row>
    <row r="819" spans="1:11">
      <c r="A819" t="s">
        <v>2470</v>
      </c>
      <c r="B819" s="10">
        <v>2022</v>
      </c>
      <c r="C819" t="s">
        <v>189</v>
      </c>
      <c r="D819" t="s">
        <v>2472</v>
      </c>
      <c r="E819" t="s">
        <v>2474</v>
      </c>
      <c r="F819" t="s">
        <v>1544</v>
      </c>
      <c r="G819" t="s">
        <v>1544</v>
      </c>
      <c r="H819" s="10">
        <v>716871</v>
      </c>
      <c r="I819" t="str">
        <f>IFERROR(VLOOKUP(Final!F819,'LEAID Match'!$A$2:$B$374,2,FALSE),"")</f>
        <v/>
      </c>
      <c r="K819" s="10">
        <f t="shared" si="12"/>
        <v>716871</v>
      </c>
    </row>
    <row r="820" spans="1:11">
      <c r="A820" t="s">
        <v>2470</v>
      </c>
      <c r="B820" s="10">
        <v>2023</v>
      </c>
      <c r="C820" t="s">
        <v>189</v>
      </c>
      <c r="D820" t="s">
        <v>2472</v>
      </c>
      <c r="E820" t="s">
        <v>2474</v>
      </c>
      <c r="F820" t="s">
        <v>1544</v>
      </c>
      <c r="G820" t="s">
        <v>1544</v>
      </c>
      <c r="H820" s="10">
        <v>858554</v>
      </c>
      <c r="I820" t="str">
        <f>IFERROR(VLOOKUP(Final!F820,'LEAID Match'!$A$2:$B$374,2,FALSE),"")</f>
        <v/>
      </c>
      <c r="K820" s="10">
        <f t="shared" si="12"/>
        <v>858554</v>
      </c>
    </row>
    <row r="821" spans="1:11">
      <c r="A821" t="s">
        <v>2470</v>
      </c>
      <c r="B821" s="10">
        <v>2015</v>
      </c>
      <c r="C821" t="s">
        <v>96</v>
      </c>
      <c r="D821" t="s">
        <v>2472</v>
      </c>
      <c r="E821" t="s">
        <v>2474</v>
      </c>
      <c r="F821" t="s">
        <v>1970</v>
      </c>
      <c r="G821" t="s">
        <v>43</v>
      </c>
      <c r="H821" s="10">
        <v>17500</v>
      </c>
      <c r="I821" t="str">
        <f>IFERROR(VLOOKUP(Final!F821,'LEAID Match'!$A$2:$B$374,2,FALSE),"")</f>
        <v/>
      </c>
      <c r="K821" s="10">
        <f t="shared" si="12"/>
        <v>17500</v>
      </c>
    </row>
    <row r="822" spans="1:11">
      <c r="A822" t="s">
        <v>2470</v>
      </c>
      <c r="B822" s="10">
        <v>2016</v>
      </c>
      <c r="C822" t="s">
        <v>96</v>
      </c>
      <c r="D822" t="s">
        <v>2472</v>
      </c>
      <c r="E822" t="s">
        <v>2474</v>
      </c>
      <c r="F822" t="s">
        <v>1970</v>
      </c>
      <c r="G822" t="s">
        <v>43</v>
      </c>
      <c r="H822" s="10">
        <v>19019</v>
      </c>
      <c r="I822" t="str">
        <f>IFERROR(VLOOKUP(Final!F822,'LEAID Match'!$A$2:$B$374,2,FALSE),"")</f>
        <v/>
      </c>
      <c r="K822" s="10">
        <f t="shared" si="12"/>
        <v>19019</v>
      </c>
    </row>
    <row r="823" spans="1:11">
      <c r="A823" t="s">
        <v>2470</v>
      </c>
      <c r="B823" s="10">
        <v>2017</v>
      </c>
      <c r="C823" t="s">
        <v>96</v>
      </c>
      <c r="D823" t="s">
        <v>2472</v>
      </c>
      <c r="E823" t="s">
        <v>2474</v>
      </c>
      <c r="F823" t="s">
        <v>1970</v>
      </c>
      <c r="G823" t="s">
        <v>1970</v>
      </c>
      <c r="H823" s="10">
        <v>19873</v>
      </c>
      <c r="I823" t="str">
        <f>IFERROR(VLOOKUP(Final!F823,'LEAID Match'!$A$2:$B$374,2,FALSE),"")</f>
        <v/>
      </c>
      <c r="K823" s="10">
        <f t="shared" si="12"/>
        <v>19873</v>
      </c>
    </row>
    <row r="824" spans="1:11">
      <c r="A824" t="s">
        <v>2470</v>
      </c>
      <c r="B824" s="10">
        <v>2018</v>
      </c>
      <c r="C824" t="s">
        <v>96</v>
      </c>
      <c r="D824" t="s">
        <v>2472</v>
      </c>
      <c r="E824" t="s">
        <v>2474</v>
      </c>
      <c r="F824" t="s">
        <v>1970</v>
      </c>
      <c r="G824" t="s">
        <v>1970</v>
      </c>
      <c r="H824" s="10">
        <v>17500</v>
      </c>
      <c r="I824" t="str">
        <f>IFERROR(VLOOKUP(Final!F824,'LEAID Match'!$A$2:$B$374,2,FALSE),"")</f>
        <v/>
      </c>
      <c r="K824" s="10">
        <f t="shared" si="12"/>
        <v>17500</v>
      </c>
    </row>
    <row r="825" spans="1:11">
      <c r="A825" t="s">
        <v>2470</v>
      </c>
      <c r="B825" s="10">
        <v>2019</v>
      </c>
      <c r="C825" t="s">
        <v>96</v>
      </c>
      <c r="D825" t="s">
        <v>2472</v>
      </c>
      <c r="E825" t="s">
        <v>2474</v>
      </c>
      <c r="F825" t="s">
        <v>1970</v>
      </c>
      <c r="G825" t="s">
        <v>1970</v>
      </c>
      <c r="H825" s="10">
        <v>16028</v>
      </c>
      <c r="I825" t="str">
        <f>IFERROR(VLOOKUP(Final!F825,'LEAID Match'!$A$2:$B$374,2,FALSE),"")</f>
        <v/>
      </c>
      <c r="K825" s="10">
        <f t="shared" si="12"/>
        <v>16028</v>
      </c>
    </row>
    <row r="826" spans="1:11">
      <c r="A826" t="s">
        <v>2470</v>
      </c>
      <c r="B826" s="10">
        <v>2020</v>
      </c>
      <c r="C826" t="s">
        <v>96</v>
      </c>
      <c r="D826" t="s">
        <v>2472</v>
      </c>
      <c r="E826" t="s">
        <v>2474</v>
      </c>
      <c r="F826" t="s">
        <v>1970</v>
      </c>
      <c r="G826" t="s">
        <v>1970</v>
      </c>
      <c r="H826" s="10">
        <v>21672</v>
      </c>
      <c r="I826" t="str">
        <f>IFERROR(VLOOKUP(Final!F826,'LEAID Match'!$A$2:$B$374,2,FALSE),"")</f>
        <v/>
      </c>
      <c r="K826" s="10">
        <f t="shared" si="12"/>
        <v>21672</v>
      </c>
    </row>
    <row r="827" spans="1:11">
      <c r="A827" t="s">
        <v>2470</v>
      </c>
      <c r="B827" s="10">
        <v>2021</v>
      </c>
      <c r="C827" t="s">
        <v>96</v>
      </c>
      <c r="D827" t="s">
        <v>2472</v>
      </c>
      <c r="E827" t="s">
        <v>2474</v>
      </c>
      <c r="F827" t="s">
        <v>1970</v>
      </c>
      <c r="G827" t="s">
        <v>1970</v>
      </c>
      <c r="H827" s="10">
        <v>22050</v>
      </c>
      <c r="I827" t="str">
        <f>IFERROR(VLOOKUP(Final!F827,'LEAID Match'!$A$2:$B$374,2,FALSE),"")</f>
        <v/>
      </c>
      <c r="K827" s="10">
        <f t="shared" si="12"/>
        <v>22050</v>
      </c>
    </row>
    <row r="828" spans="1:11">
      <c r="A828" t="s">
        <v>2470</v>
      </c>
      <c r="B828" s="10">
        <v>2022</v>
      </c>
      <c r="C828" t="s">
        <v>96</v>
      </c>
      <c r="D828" t="s">
        <v>2472</v>
      </c>
      <c r="E828" t="s">
        <v>2474</v>
      </c>
      <c r="F828" t="s">
        <v>1970</v>
      </c>
      <c r="G828" t="s">
        <v>1970</v>
      </c>
      <c r="H828" s="10">
        <v>22795</v>
      </c>
      <c r="I828" t="str">
        <f>IFERROR(VLOOKUP(Final!F828,'LEAID Match'!$A$2:$B$374,2,FALSE),"")</f>
        <v/>
      </c>
      <c r="K828" s="10">
        <f t="shared" si="12"/>
        <v>22795</v>
      </c>
    </row>
    <row r="829" spans="1:11">
      <c r="A829" t="s">
        <v>2470</v>
      </c>
      <c r="B829" s="10">
        <v>2023</v>
      </c>
      <c r="C829" t="s">
        <v>96</v>
      </c>
      <c r="D829" t="s">
        <v>2472</v>
      </c>
      <c r="E829" t="s">
        <v>2474</v>
      </c>
      <c r="F829" t="s">
        <v>1970</v>
      </c>
      <c r="G829" t="s">
        <v>1970</v>
      </c>
      <c r="H829" s="10">
        <v>26339</v>
      </c>
      <c r="I829" t="str">
        <f>IFERROR(VLOOKUP(Final!F829,'LEAID Match'!$A$2:$B$374,2,FALSE),"")</f>
        <v/>
      </c>
      <c r="K829" s="10">
        <f t="shared" si="12"/>
        <v>26339</v>
      </c>
    </row>
    <row r="830" spans="1:11">
      <c r="A830" t="s">
        <v>2470</v>
      </c>
      <c r="B830" s="10">
        <v>2015</v>
      </c>
      <c r="C830" t="s">
        <v>1389</v>
      </c>
      <c r="D830" t="s">
        <v>2472</v>
      </c>
      <c r="E830" t="s">
        <v>2474</v>
      </c>
      <c r="F830" t="s">
        <v>1574</v>
      </c>
      <c r="G830" t="s">
        <v>228</v>
      </c>
      <c r="H830" s="10">
        <v>106558</v>
      </c>
      <c r="I830" t="str">
        <f>IFERROR(VLOOKUP(Final!F830,'LEAID Match'!$A$2:$B$374,2,FALSE),"")</f>
        <v/>
      </c>
      <c r="K830" s="10">
        <f t="shared" si="12"/>
        <v>106558</v>
      </c>
    </row>
    <row r="831" spans="1:11">
      <c r="A831" t="s">
        <v>2470</v>
      </c>
      <c r="B831" s="10">
        <v>2016</v>
      </c>
      <c r="C831" t="s">
        <v>1389</v>
      </c>
      <c r="D831" t="s">
        <v>2472</v>
      </c>
      <c r="E831" t="s">
        <v>2474</v>
      </c>
      <c r="F831" t="s">
        <v>1574</v>
      </c>
      <c r="G831" t="s">
        <v>228</v>
      </c>
      <c r="H831" s="10">
        <v>93153</v>
      </c>
      <c r="I831" t="str">
        <f>IFERROR(VLOOKUP(Final!F831,'LEAID Match'!$A$2:$B$374,2,FALSE),"")</f>
        <v/>
      </c>
      <c r="K831" s="10">
        <f t="shared" si="12"/>
        <v>93153</v>
      </c>
    </row>
    <row r="832" spans="1:11">
      <c r="A832" t="s">
        <v>2470</v>
      </c>
      <c r="B832" s="10">
        <v>2017</v>
      </c>
      <c r="C832" t="s">
        <v>1389</v>
      </c>
      <c r="D832" t="s">
        <v>2472</v>
      </c>
      <c r="E832" t="s">
        <v>2474</v>
      </c>
      <c r="F832" t="s">
        <v>1574</v>
      </c>
      <c r="G832" t="s">
        <v>1574</v>
      </c>
      <c r="H832" s="10">
        <v>103608</v>
      </c>
      <c r="I832" t="str">
        <f>IFERROR(VLOOKUP(Final!F832,'LEAID Match'!$A$2:$B$374,2,FALSE),"")</f>
        <v/>
      </c>
      <c r="K832" s="10">
        <f t="shared" si="12"/>
        <v>103608</v>
      </c>
    </row>
    <row r="833" spans="1:11">
      <c r="A833" t="s">
        <v>2470</v>
      </c>
      <c r="B833" s="10">
        <v>2018</v>
      </c>
      <c r="C833" t="s">
        <v>1389</v>
      </c>
      <c r="D833" t="s">
        <v>2472</v>
      </c>
      <c r="E833" t="s">
        <v>2474</v>
      </c>
      <c r="F833" t="s">
        <v>1574</v>
      </c>
      <c r="G833" t="s">
        <v>2099</v>
      </c>
      <c r="H833" s="10">
        <v>95642</v>
      </c>
      <c r="I833" t="str">
        <f>IFERROR(VLOOKUP(Final!F833,'LEAID Match'!$A$2:$B$374,2,FALSE),"")</f>
        <v/>
      </c>
      <c r="K833" s="10">
        <f t="shared" si="12"/>
        <v>95642</v>
      </c>
    </row>
    <row r="834" spans="1:11">
      <c r="A834" t="s">
        <v>2470</v>
      </c>
      <c r="B834" s="10">
        <v>2019</v>
      </c>
      <c r="C834" t="s">
        <v>1389</v>
      </c>
      <c r="D834" t="s">
        <v>2472</v>
      </c>
      <c r="E834" t="s">
        <v>2474</v>
      </c>
      <c r="F834" t="s">
        <v>1574</v>
      </c>
      <c r="G834" t="s">
        <v>1574</v>
      </c>
      <c r="H834" s="10">
        <v>89907</v>
      </c>
      <c r="I834" t="str">
        <f>IFERROR(VLOOKUP(Final!F834,'LEAID Match'!$A$2:$B$374,2,FALSE),"")</f>
        <v/>
      </c>
      <c r="K834" s="10">
        <f t="shared" si="12"/>
        <v>89907</v>
      </c>
    </row>
    <row r="835" spans="1:11">
      <c r="A835" t="s">
        <v>2470</v>
      </c>
      <c r="B835" s="10">
        <v>2020</v>
      </c>
      <c r="C835" t="s">
        <v>1389</v>
      </c>
      <c r="D835" t="s">
        <v>2472</v>
      </c>
      <c r="E835" t="s">
        <v>2474</v>
      </c>
      <c r="F835" t="s">
        <v>1574</v>
      </c>
      <c r="G835" t="s">
        <v>1574</v>
      </c>
      <c r="H835" s="10">
        <v>106198</v>
      </c>
      <c r="I835" t="str">
        <f>IFERROR(VLOOKUP(Final!F835,'LEAID Match'!$A$2:$B$374,2,FALSE),"")</f>
        <v/>
      </c>
      <c r="K835" s="10">
        <f t="shared" ref="K835:K898" si="13">SUM(H835,J835)</f>
        <v>106198</v>
      </c>
    </row>
    <row r="836" spans="1:11">
      <c r="A836" t="s">
        <v>2470</v>
      </c>
      <c r="B836" s="10">
        <v>2021</v>
      </c>
      <c r="C836" t="s">
        <v>1389</v>
      </c>
      <c r="D836" t="s">
        <v>2472</v>
      </c>
      <c r="E836" t="s">
        <v>2474</v>
      </c>
      <c r="F836" t="s">
        <v>1574</v>
      </c>
      <c r="G836" t="s">
        <v>1574</v>
      </c>
      <c r="H836" s="10">
        <v>108677</v>
      </c>
      <c r="I836" t="str">
        <f>IFERROR(VLOOKUP(Final!F836,'LEAID Match'!$A$2:$B$374,2,FALSE),"")</f>
        <v/>
      </c>
      <c r="K836" s="10">
        <f t="shared" si="13"/>
        <v>108677</v>
      </c>
    </row>
    <row r="837" spans="1:11">
      <c r="A837" t="s">
        <v>2470</v>
      </c>
      <c r="B837" s="10">
        <v>2022</v>
      </c>
      <c r="C837" t="s">
        <v>1389</v>
      </c>
      <c r="D837" t="s">
        <v>2472</v>
      </c>
      <c r="E837" t="s">
        <v>2474</v>
      </c>
      <c r="F837" t="s">
        <v>1574</v>
      </c>
      <c r="G837" t="s">
        <v>1574</v>
      </c>
      <c r="H837" s="10">
        <v>113472</v>
      </c>
      <c r="I837" t="str">
        <f>IFERROR(VLOOKUP(Final!F837,'LEAID Match'!$A$2:$B$374,2,FALSE),"")</f>
        <v/>
      </c>
      <c r="K837" s="10">
        <f t="shared" si="13"/>
        <v>113472</v>
      </c>
    </row>
    <row r="838" spans="1:11">
      <c r="A838" t="s">
        <v>2470</v>
      </c>
      <c r="B838" s="10">
        <v>2023</v>
      </c>
      <c r="C838" t="s">
        <v>1389</v>
      </c>
      <c r="D838" t="s">
        <v>2472</v>
      </c>
      <c r="E838" t="s">
        <v>2474</v>
      </c>
      <c r="F838" t="s">
        <v>1574</v>
      </c>
      <c r="G838" t="s">
        <v>1574</v>
      </c>
      <c r="H838" s="10">
        <v>118002</v>
      </c>
      <c r="I838" t="str">
        <f>IFERROR(VLOOKUP(Final!F838,'LEAID Match'!$A$2:$B$374,2,FALSE),"")</f>
        <v/>
      </c>
      <c r="K838" s="10">
        <f t="shared" si="13"/>
        <v>118002</v>
      </c>
    </row>
    <row r="839" spans="1:11">
      <c r="A839" t="s">
        <v>2470</v>
      </c>
      <c r="B839" s="10">
        <v>2015</v>
      </c>
      <c r="C839" t="s">
        <v>1402</v>
      </c>
      <c r="D839" t="s">
        <v>2472</v>
      </c>
      <c r="E839" t="s">
        <v>2474</v>
      </c>
      <c r="F839" t="s">
        <v>237</v>
      </c>
      <c r="G839" t="s">
        <v>237</v>
      </c>
      <c r="H839" s="10">
        <v>100148</v>
      </c>
      <c r="I839" t="str">
        <f>IFERROR(VLOOKUP(Final!F839,'LEAID Match'!$A$2:$B$374,2,FALSE),"")</f>
        <v/>
      </c>
      <c r="K839" s="10">
        <f t="shared" si="13"/>
        <v>100148</v>
      </c>
    </row>
    <row r="840" spans="1:11">
      <c r="A840" t="s">
        <v>2470</v>
      </c>
      <c r="B840" s="10">
        <v>2016</v>
      </c>
      <c r="C840" t="s">
        <v>1402</v>
      </c>
      <c r="D840" t="s">
        <v>2472</v>
      </c>
      <c r="E840" t="s">
        <v>2474</v>
      </c>
      <c r="F840" t="s">
        <v>237</v>
      </c>
      <c r="G840" t="s">
        <v>237</v>
      </c>
      <c r="H840" s="10">
        <v>83757</v>
      </c>
      <c r="I840" t="str">
        <f>IFERROR(VLOOKUP(Final!F840,'LEAID Match'!$A$2:$B$374,2,FALSE),"")</f>
        <v/>
      </c>
      <c r="K840" s="10">
        <f t="shared" si="13"/>
        <v>83757</v>
      </c>
    </row>
    <row r="841" spans="1:11">
      <c r="A841" t="s">
        <v>2470</v>
      </c>
      <c r="B841" s="10">
        <v>2017</v>
      </c>
      <c r="C841" t="s">
        <v>1402</v>
      </c>
      <c r="D841" t="s">
        <v>2472</v>
      </c>
      <c r="E841" t="s">
        <v>2474</v>
      </c>
      <c r="F841" t="s">
        <v>237</v>
      </c>
      <c r="G841" t="s">
        <v>237</v>
      </c>
      <c r="H841" s="10">
        <v>81695</v>
      </c>
      <c r="I841" t="str">
        <f>IFERROR(VLOOKUP(Final!F841,'LEAID Match'!$A$2:$B$374,2,FALSE),"")</f>
        <v/>
      </c>
      <c r="K841" s="10">
        <f t="shared" si="13"/>
        <v>81695</v>
      </c>
    </row>
    <row r="842" spans="1:11">
      <c r="A842" t="s">
        <v>2470</v>
      </c>
      <c r="B842" s="10">
        <v>2018</v>
      </c>
      <c r="C842" t="s">
        <v>1402</v>
      </c>
      <c r="D842" t="s">
        <v>2472</v>
      </c>
      <c r="E842" t="s">
        <v>2474</v>
      </c>
      <c r="F842" t="s">
        <v>237</v>
      </c>
      <c r="G842" t="s">
        <v>237</v>
      </c>
      <c r="H842" s="10">
        <v>102053</v>
      </c>
      <c r="I842" t="str">
        <f>IFERROR(VLOOKUP(Final!F842,'LEAID Match'!$A$2:$B$374,2,FALSE),"")</f>
        <v/>
      </c>
      <c r="K842" s="10">
        <f t="shared" si="13"/>
        <v>102053</v>
      </c>
    </row>
    <row r="843" spans="1:11">
      <c r="A843" t="s">
        <v>2470</v>
      </c>
      <c r="B843" s="10">
        <v>2019</v>
      </c>
      <c r="C843" t="s">
        <v>1402</v>
      </c>
      <c r="D843" t="s">
        <v>2472</v>
      </c>
      <c r="E843" t="s">
        <v>2474</v>
      </c>
      <c r="F843" t="s">
        <v>237</v>
      </c>
      <c r="G843" t="s">
        <v>237</v>
      </c>
      <c r="H843" s="10">
        <v>102214</v>
      </c>
      <c r="I843" t="str">
        <f>IFERROR(VLOOKUP(Final!F843,'LEAID Match'!$A$2:$B$374,2,FALSE),"")</f>
        <v/>
      </c>
      <c r="K843" s="10">
        <f t="shared" si="13"/>
        <v>102214</v>
      </c>
    </row>
    <row r="844" spans="1:11">
      <c r="A844" t="s">
        <v>2470</v>
      </c>
      <c r="B844" s="10">
        <v>2020</v>
      </c>
      <c r="C844" t="s">
        <v>1402</v>
      </c>
      <c r="D844" t="s">
        <v>2472</v>
      </c>
      <c r="E844" t="s">
        <v>2474</v>
      </c>
      <c r="F844" t="s">
        <v>237</v>
      </c>
      <c r="G844" t="s">
        <v>237</v>
      </c>
      <c r="H844" s="10">
        <v>106534</v>
      </c>
      <c r="I844" t="str">
        <f>IFERROR(VLOOKUP(Final!F844,'LEAID Match'!$A$2:$B$374,2,FALSE),"")</f>
        <v/>
      </c>
      <c r="K844" s="10">
        <f t="shared" si="13"/>
        <v>106534</v>
      </c>
    </row>
    <row r="845" spans="1:11">
      <c r="A845" t="s">
        <v>2470</v>
      </c>
      <c r="B845" s="10">
        <v>2021</v>
      </c>
      <c r="C845" t="s">
        <v>1402</v>
      </c>
      <c r="D845" t="s">
        <v>2472</v>
      </c>
      <c r="E845" t="s">
        <v>2474</v>
      </c>
      <c r="F845" t="s">
        <v>237</v>
      </c>
      <c r="G845" t="s">
        <v>237</v>
      </c>
      <c r="H845" s="10">
        <v>87205</v>
      </c>
      <c r="I845" t="str">
        <f>IFERROR(VLOOKUP(Final!F845,'LEAID Match'!$A$2:$B$374,2,FALSE),"")</f>
        <v/>
      </c>
      <c r="K845" s="10">
        <f t="shared" si="13"/>
        <v>87205</v>
      </c>
    </row>
    <row r="846" spans="1:11">
      <c r="A846" t="s">
        <v>2470</v>
      </c>
      <c r="B846" s="10">
        <v>2022</v>
      </c>
      <c r="C846" t="s">
        <v>1402</v>
      </c>
      <c r="D846" t="s">
        <v>2472</v>
      </c>
      <c r="E846" t="s">
        <v>2474</v>
      </c>
      <c r="F846" t="s">
        <v>237</v>
      </c>
      <c r="G846" t="s">
        <v>237</v>
      </c>
      <c r="H846" s="10">
        <v>89582</v>
      </c>
      <c r="I846" t="str">
        <f>IFERROR(VLOOKUP(Final!F846,'LEAID Match'!$A$2:$B$374,2,FALSE),"")</f>
        <v/>
      </c>
      <c r="K846" s="10">
        <f t="shared" si="13"/>
        <v>89582</v>
      </c>
    </row>
    <row r="847" spans="1:11">
      <c r="A847" t="s">
        <v>2470</v>
      </c>
      <c r="B847" s="10">
        <v>2023</v>
      </c>
      <c r="C847" t="s">
        <v>1402</v>
      </c>
      <c r="D847" t="s">
        <v>2472</v>
      </c>
      <c r="E847" t="s">
        <v>2474</v>
      </c>
      <c r="F847" t="s">
        <v>237</v>
      </c>
      <c r="G847" t="s">
        <v>237</v>
      </c>
      <c r="H847" s="10"/>
      <c r="I847" t="str">
        <f>IFERROR(VLOOKUP(Final!F847,'LEAID Match'!$A$2:$B$374,2,FALSE),"")</f>
        <v/>
      </c>
      <c r="K847" s="10">
        <f t="shared" si="13"/>
        <v>0</v>
      </c>
    </row>
    <row r="848" spans="1:11">
      <c r="A848" t="s">
        <v>2470</v>
      </c>
      <c r="B848" s="10">
        <v>2015</v>
      </c>
      <c r="C848" t="s">
        <v>1418</v>
      </c>
      <c r="D848" t="s">
        <v>2472</v>
      </c>
      <c r="E848" t="s">
        <v>2474</v>
      </c>
      <c r="F848" t="s">
        <v>1611</v>
      </c>
      <c r="G848" t="s">
        <v>251</v>
      </c>
      <c r="H848" s="10">
        <v>125030</v>
      </c>
      <c r="I848" t="str">
        <f>IFERROR(VLOOKUP(Final!F848,'LEAID Match'!$A$2:$B$374,2,FALSE),"")</f>
        <v/>
      </c>
      <c r="K848" s="10">
        <f t="shared" si="13"/>
        <v>125030</v>
      </c>
    </row>
    <row r="849" spans="1:11">
      <c r="A849" t="s">
        <v>2470</v>
      </c>
      <c r="B849" s="10">
        <v>2016</v>
      </c>
      <c r="C849" t="s">
        <v>1418</v>
      </c>
      <c r="D849" t="s">
        <v>2472</v>
      </c>
      <c r="E849" t="s">
        <v>2474</v>
      </c>
      <c r="F849" t="s">
        <v>1611</v>
      </c>
      <c r="G849" t="s">
        <v>251</v>
      </c>
      <c r="H849" s="10">
        <v>117812</v>
      </c>
      <c r="I849" t="str">
        <f>IFERROR(VLOOKUP(Final!F849,'LEAID Match'!$A$2:$B$374,2,FALSE),"")</f>
        <v/>
      </c>
      <c r="K849" s="10">
        <f t="shared" si="13"/>
        <v>117812</v>
      </c>
    </row>
    <row r="850" spans="1:11">
      <c r="A850" t="s">
        <v>2470</v>
      </c>
      <c r="B850" s="10">
        <v>2017</v>
      </c>
      <c r="C850" t="s">
        <v>1418</v>
      </c>
      <c r="D850" t="s">
        <v>2472</v>
      </c>
      <c r="E850" t="s">
        <v>2474</v>
      </c>
      <c r="F850" t="s">
        <v>1611</v>
      </c>
      <c r="G850" t="s">
        <v>1611</v>
      </c>
      <c r="H850" s="10">
        <v>15257</v>
      </c>
      <c r="I850" t="str">
        <f>IFERROR(VLOOKUP(Final!F850,'LEAID Match'!$A$2:$B$374,2,FALSE),"")</f>
        <v/>
      </c>
      <c r="K850" s="10">
        <f t="shared" si="13"/>
        <v>15257</v>
      </c>
    </row>
    <row r="851" spans="1:11">
      <c r="A851" t="s">
        <v>2470</v>
      </c>
      <c r="B851" s="10">
        <v>2018</v>
      </c>
      <c r="C851" t="s">
        <v>1418</v>
      </c>
      <c r="D851" t="s">
        <v>2472</v>
      </c>
      <c r="E851" t="s">
        <v>2474</v>
      </c>
      <c r="F851" t="s">
        <v>1611</v>
      </c>
      <c r="G851" t="s">
        <v>2117</v>
      </c>
      <c r="H851" s="10"/>
      <c r="I851" t="str">
        <f>IFERROR(VLOOKUP(Final!F851,'LEAID Match'!$A$2:$B$374,2,FALSE),"")</f>
        <v/>
      </c>
      <c r="K851" s="10">
        <f t="shared" si="13"/>
        <v>0</v>
      </c>
    </row>
    <row r="852" spans="1:11">
      <c r="A852" t="s">
        <v>2470</v>
      </c>
      <c r="B852" s="10">
        <v>2019</v>
      </c>
      <c r="C852" t="s">
        <v>1418</v>
      </c>
      <c r="D852" t="s">
        <v>2472</v>
      </c>
      <c r="E852" t="s">
        <v>2474</v>
      </c>
      <c r="F852" t="s">
        <v>1611</v>
      </c>
      <c r="G852" t="s">
        <v>1611</v>
      </c>
      <c r="H852" s="10"/>
      <c r="I852" t="str">
        <f>IFERROR(VLOOKUP(Final!F852,'LEAID Match'!$A$2:$B$374,2,FALSE),"")</f>
        <v/>
      </c>
      <c r="K852" s="10">
        <f t="shared" si="13"/>
        <v>0</v>
      </c>
    </row>
    <row r="853" spans="1:11">
      <c r="A853" t="s">
        <v>2470</v>
      </c>
      <c r="B853" s="10">
        <v>2020</v>
      </c>
      <c r="C853" t="s">
        <v>1418</v>
      </c>
      <c r="D853" t="s">
        <v>2472</v>
      </c>
      <c r="E853" t="s">
        <v>2474</v>
      </c>
      <c r="F853" t="s">
        <v>1611</v>
      </c>
      <c r="G853" t="s">
        <v>1611</v>
      </c>
      <c r="H853" s="10"/>
      <c r="I853" t="str">
        <f>IFERROR(VLOOKUP(Final!F853,'LEAID Match'!$A$2:$B$374,2,FALSE),"")</f>
        <v/>
      </c>
      <c r="K853" s="10">
        <f t="shared" si="13"/>
        <v>0</v>
      </c>
    </row>
    <row r="854" spans="1:11">
      <c r="A854" t="s">
        <v>2470</v>
      </c>
      <c r="B854" s="10">
        <v>2021</v>
      </c>
      <c r="C854" t="s">
        <v>1418</v>
      </c>
      <c r="D854" t="s">
        <v>2472</v>
      </c>
      <c r="E854" t="s">
        <v>2474</v>
      </c>
      <c r="F854" t="s">
        <v>1611</v>
      </c>
      <c r="G854" t="s">
        <v>1611</v>
      </c>
      <c r="H854" s="10"/>
      <c r="I854" t="str">
        <f>IFERROR(VLOOKUP(Final!F854,'LEAID Match'!$A$2:$B$374,2,FALSE),"")</f>
        <v/>
      </c>
      <c r="K854" s="10">
        <f t="shared" si="13"/>
        <v>0</v>
      </c>
    </row>
    <row r="855" spans="1:11">
      <c r="A855" t="s">
        <v>2470</v>
      </c>
      <c r="B855" s="10">
        <v>2022</v>
      </c>
      <c r="C855" t="s">
        <v>1418</v>
      </c>
      <c r="D855" t="s">
        <v>2472</v>
      </c>
      <c r="E855" t="s">
        <v>2474</v>
      </c>
      <c r="F855" t="s">
        <v>1611</v>
      </c>
      <c r="G855" t="s">
        <v>1611</v>
      </c>
      <c r="H855" s="10"/>
      <c r="I855" t="str">
        <f>IFERROR(VLOOKUP(Final!F855,'LEAID Match'!$A$2:$B$374,2,FALSE),"")</f>
        <v/>
      </c>
      <c r="K855" s="10">
        <f t="shared" si="13"/>
        <v>0</v>
      </c>
    </row>
    <row r="856" spans="1:11">
      <c r="A856" t="s">
        <v>2470</v>
      </c>
      <c r="B856" s="10">
        <v>2023</v>
      </c>
      <c r="C856" t="s">
        <v>1418</v>
      </c>
      <c r="D856" t="s">
        <v>2472</v>
      </c>
      <c r="E856" t="s">
        <v>2474</v>
      </c>
      <c r="F856" t="s">
        <v>1611</v>
      </c>
      <c r="G856" t="s">
        <v>1611</v>
      </c>
      <c r="H856" s="10"/>
      <c r="I856" t="str">
        <f>IFERROR(VLOOKUP(Final!F856,'LEAID Match'!$A$2:$B$374,2,FALSE),"")</f>
        <v/>
      </c>
      <c r="K856" s="10">
        <f t="shared" si="13"/>
        <v>0</v>
      </c>
    </row>
    <row r="857" spans="1:11">
      <c r="A857" t="s">
        <v>2470</v>
      </c>
      <c r="B857" s="10">
        <v>2016</v>
      </c>
      <c r="C857" t="s">
        <v>1371</v>
      </c>
      <c r="D857" t="s">
        <v>2472</v>
      </c>
      <c r="E857" t="s">
        <v>2474</v>
      </c>
      <c r="F857" t="s">
        <v>1507</v>
      </c>
      <c r="G857" t="s">
        <v>1367</v>
      </c>
      <c r="H857" s="10">
        <v>7895</v>
      </c>
      <c r="I857" t="str">
        <f>IFERROR(VLOOKUP(Final!F857,'LEAID Match'!$A$2:$B$374,2,FALSE),"")</f>
        <v/>
      </c>
      <c r="K857" s="10">
        <f t="shared" si="13"/>
        <v>7895</v>
      </c>
    </row>
    <row r="858" spans="1:11">
      <c r="A858" t="s">
        <v>2470</v>
      </c>
      <c r="B858" s="10">
        <v>2017</v>
      </c>
      <c r="C858" t="s">
        <v>1371</v>
      </c>
      <c r="D858" t="s">
        <v>2472</v>
      </c>
      <c r="E858" t="s">
        <v>2474</v>
      </c>
      <c r="F858" t="s">
        <v>1507</v>
      </c>
      <c r="G858" t="s">
        <v>1507</v>
      </c>
      <c r="H858" s="10">
        <v>7592</v>
      </c>
      <c r="I858" t="str">
        <f>IFERROR(VLOOKUP(Final!F858,'LEAID Match'!$A$2:$B$374,2,FALSE),"")</f>
        <v/>
      </c>
      <c r="K858" s="10">
        <f t="shared" si="13"/>
        <v>7592</v>
      </c>
    </row>
    <row r="859" spans="1:11">
      <c r="A859" t="s">
        <v>2470</v>
      </c>
      <c r="B859" s="10">
        <v>2018</v>
      </c>
      <c r="C859" t="s">
        <v>1371</v>
      </c>
      <c r="D859" t="s">
        <v>2472</v>
      </c>
      <c r="E859" t="s">
        <v>2474</v>
      </c>
      <c r="F859" t="s">
        <v>1507</v>
      </c>
      <c r="G859" t="s">
        <v>2053</v>
      </c>
      <c r="H859" s="10">
        <v>3706</v>
      </c>
      <c r="I859" t="str">
        <f>IFERROR(VLOOKUP(Final!F859,'LEAID Match'!$A$2:$B$374,2,FALSE),"")</f>
        <v/>
      </c>
      <c r="K859" s="10">
        <f t="shared" si="13"/>
        <v>3706</v>
      </c>
    </row>
    <row r="860" spans="1:11">
      <c r="A860" t="s">
        <v>2470</v>
      </c>
      <c r="B860" s="10">
        <v>2019</v>
      </c>
      <c r="C860" t="s">
        <v>1371</v>
      </c>
      <c r="D860" t="s">
        <v>2472</v>
      </c>
      <c r="E860" t="s">
        <v>2474</v>
      </c>
      <c r="F860" t="s">
        <v>1507</v>
      </c>
      <c r="G860" t="s">
        <v>1507</v>
      </c>
      <c r="H860" s="10">
        <v>8679</v>
      </c>
      <c r="I860" t="str">
        <f>IFERROR(VLOOKUP(Final!F860,'LEAID Match'!$A$2:$B$374,2,FALSE),"")</f>
        <v/>
      </c>
      <c r="K860" s="10">
        <f t="shared" si="13"/>
        <v>8679</v>
      </c>
    </row>
    <row r="861" spans="1:11">
      <c r="A861" t="s">
        <v>2470</v>
      </c>
      <c r="B861" s="10">
        <v>2020</v>
      </c>
      <c r="C861" t="s">
        <v>1371</v>
      </c>
      <c r="D861" t="s">
        <v>2472</v>
      </c>
      <c r="E861" t="s">
        <v>2474</v>
      </c>
      <c r="F861" t="s">
        <v>1507</v>
      </c>
      <c r="G861" t="s">
        <v>1507</v>
      </c>
      <c r="H861" s="10">
        <v>13053</v>
      </c>
      <c r="I861" t="str">
        <f>IFERROR(VLOOKUP(Final!F861,'LEAID Match'!$A$2:$B$374,2,FALSE),"")</f>
        <v/>
      </c>
      <c r="K861" s="10">
        <f t="shared" si="13"/>
        <v>13053</v>
      </c>
    </row>
    <row r="862" spans="1:11">
      <c r="A862" t="s">
        <v>2470</v>
      </c>
      <c r="B862" s="10">
        <v>2021</v>
      </c>
      <c r="C862" t="s">
        <v>1371</v>
      </c>
      <c r="D862" t="s">
        <v>2472</v>
      </c>
      <c r="E862" t="s">
        <v>2474</v>
      </c>
      <c r="F862" t="s">
        <v>1507</v>
      </c>
      <c r="G862" t="s">
        <v>1507</v>
      </c>
      <c r="H862" s="10">
        <v>10967</v>
      </c>
      <c r="I862" t="str">
        <f>IFERROR(VLOOKUP(Final!F862,'LEAID Match'!$A$2:$B$374,2,FALSE),"")</f>
        <v/>
      </c>
      <c r="K862" s="10">
        <f t="shared" si="13"/>
        <v>10967</v>
      </c>
    </row>
    <row r="863" spans="1:11">
      <c r="A863" t="s">
        <v>2470</v>
      </c>
      <c r="B863" s="10">
        <v>2022</v>
      </c>
      <c r="C863" t="s">
        <v>1371</v>
      </c>
      <c r="D863" t="s">
        <v>2472</v>
      </c>
      <c r="E863" t="s">
        <v>2474</v>
      </c>
      <c r="F863" t="s">
        <v>1507</v>
      </c>
      <c r="G863" t="s">
        <v>1507</v>
      </c>
      <c r="H863" s="10">
        <v>14412</v>
      </c>
      <c r="I863" t="str">
        <f>IFERROR(VLOOKUP(Final!F863,'LEAID Match'!$A$2:$B$374,2,FALSE),"")</f>
        <v/>
      </c>
      <c r="K863" s="10">
        <f t="shared" si="13"/>
        <v>14412</v>
      </c>
    </row>
    <row r="864" spans="1:11">
      <c r="A864" t="s">
        <v>2470</v>
      </c>
      <c r="B864" s="10">
        <v>2023</v>
      </c>
      <c r="C864" t="s">
        <v>1371</v>
      </c>
      <c r="D864" t="s">
        <v>2472</v>
      </c>
      <c r="E864" t="s">
        <v>2474</v>
      </c>
      <c r="F864" t="s">
        <v>1507</v>
      </c>
      <c r="G864" t="s">
        <v>1507</v>
      </c>
      <c r="H864" s="10">
        <v>15639</v>
      </c>
      <c r="I864" t="str">
        <f>IFERROR(VLOOKUP(Final!F864,'LEAID Match'!$A$2:$B$374,2,FALSE),"")</f>
        <v/>
      </c>
      <c r="K864" s="10">
        <f t="shared" si="13"/>
        <v>15639</v>
      </c>
    </row>
    <row r="865" spans="1:11">
      <c r="A865" t="s">
        <v>2470</v>
      </c>
      <c r="B865" s="10">
        <v>2015</v>
      </c>
      <c r="C865" t="s">
        <v>367</v>
      </c>
      <c r="D865" t="s">
        <v>2472</v>
      </c>
      <c r="E865" t="s">
        <v>2474</v>
      </c>
      <c r="F865" t="s">
        <v>313</v>
      </c>
      <c r="G865" t="s">
        <v>313</v>
      </c>
      <c r="H865" s="10">
        <v>43412</v>
      </c>
      <c r="I865" t="str">
        <f>IFERROR(VLOOKUP(Final!F865,'LEAID Match'!$A$2:$B$374,2,FALSE),"")</f>
        <v/>
      </c>
      <c r="K865" s="10">
        <f t="shared" si="13"/>
        <v>43412</v>
      </c>
    </row>
    <row r="866" spans="1:11">
      <c r="A866" t="s">
        <v>2470</v>
      </c>
      <c r="B866" s="10">
        <v>2016</v>
      </c>
      <c r="C866" t="s">
        <v>367</v>
      </c>
      <c r="D866" t="s">
        <v>2472</v>
      </c>
      <c r="E866" t="s">
        <v>2474</v>
      </c>
      <c r="F866" t="s">
        <v>313</v>
      </c>
      <c r="G866" t="s">
        <v>313</v>
      </c>
      <c r="H866" s="10">
        <v>52313</v>
      </c>
      <c r="I866" t="str">
        <f>IFERROR(VLOOKUP(Final!F866,'LEAID Match'!$A$2:$B$374,2,FALSE),"")</f>
        <v/>
      </c>
      <c r="K866" s="10">
        <f t="shared" si="13"/>
        <v>52313</v>
      </c>
    </row>
    <row r="867" spans="1:11">
      <c r="A867" t="s">
        <v>2470</v>
      </c>
      <c r="B867" s="10">
        <v>2017</v>
      </c>
      <c r="C867" t="s">
        <v>367</v>
      </c>
      <c r="D867" t="s">
        <v>2472</v>
      </c>
      <c r="E867" t="s">
        <v>2474</v>
      </c>
      <c r="F867" t="s">
        <v>313</v>
      </c>
      <c r="G867" t="s">
        <v>313</v>
      </c>
      <c r="H867" s="10">
        <v>55932</v>
      </c>
      <c r="I867" t="str">
        <f>IFERROR(VLOOKUP(Final!F867,'LEAID Match'!$A$2:$B$374,2,FALSE),"")</f>
        <v/>
      </c>
      <c r="K867" s="10">
        <f t="shared" si="13"/>
        <v>55932</v>
      </c>
    </row>
    <row r="868" spans="1:11">
      <c r="A868" t="s">
        <v>2470</v>
      </c>
      <c r="B868" s="10">
        <v>2018</v>
      </c>
      <c r="C868" t="s">
        <v>367</v>
      </c>
      <c r="D868" t="s">
        <v>2472</v>
      </c>
      <c r="E868" t="s">
        <v>2474</v>
      </c>
      <c r="F868" t="s">
        <v>313</v>
      </c>
      <c r="G868" t="s">
        <v>313</v>
      </c>
      <c r="H868" s="10">
        <v>59732</v>
      </c>
      <c r="I868" t="str">
        <f>IFERROR(VLOOKUP(Final!F868,'LEAID Match'!$A$2:$B$374,2,FALSE),"")</f>
        <v/>
      </c>
      <c r="K868" s="10">
        <f t="shared" si="13"/>
        <v>59732</v>
      </c>
    </row>
    <row r="869" spans="1:11">
      <c r="A869" t="s">
        <v>2470</v>
      </c>
      <c r="B869" s="10">
        <v>2019</v>
      </c>
      <c r="C869" t="s">
        <v>367</v>
      </c>
      <c r="D869" t="s">
        <v>2472</v>
      </c>
      <c r="E869" t="s">
        <v>2474</v>
      </c>
      <c r="F869" t="s">
        <v>313</v>
      </c>
      <c r="G869" t="s">
        <v>313</v>
      </c>
      <c r="H869" s="10">
        <v>52314</v>
      </c>
      <c r="I869" t="str">
        <f>IFERROR(VLOOKUP(Final!F869,'LEAID Match'!$A$2:$B$374,2,FALSE),"")</f>
        <v/>
      </c>
      <c r="K869" s="10">
        <f t="shared" si="13"/>
        <v>52314</v>
      </c>
    </row>
    <row r="870" spans="1:11">
      <c r="A870" t="s">
        <v>2470</v>
      </c>
      <c r="B870" s="10">
        <v>2020</v>
      </c>
      <c r="C870" t="s">
        <v>367</v>
      </c>
      <c r="D870" t="s">
        <v>2472</v>
      </c>
      <c r="E870" t="s">
        <v>2474</v>
      </c>
      <c r="F870" t="s">
        <v>313</v>
      </c>
      <c r="G870" t="s">
        <v>313</v>
      </c>
      <c r="H870" s="10">
        <v>60319</v>
      </c>
      <c r="I870" t="str">
        <f>IFERROR(VLOOKUP(Final!F870,'LEAID Match'!$A$2:$B$374,2,FALSE),"")</f>
        <v/>
      </c>
      <c r="K870" s="10">
        <f t="shared" si="13"/>
        <v>60319</v>
      </c>
    </row>
    <row r="871" spans="1:11">
      <c r="A871" t="s">
        <v>2470</v>
      </c>
      <c r="B871" s="10">
        <v>2021</v>
      </c>
      <c r="C871" t="s">
        <v>367</v>
      </c>
      <c r="D871" t="s">
        <v>2472</v>
      </c>
      <c r="E871" t="s">
        <v>2474</v>
      </c>
      <c r="F871" t="s">
        <v>313</v>
      </c>
      <c r="G871" t="s">
        <v>313</v>
      </c>
      <c r="H871" s="10">
        <v>66150</v>
      </c>
      <c r="I871" t="str">
        <f>IFERROR(VLOOKUP(Final!F871,'LEAID Match'!$A$2:$B$374,2,FALSE),"")</f>
        <v/>
      </c>
      <c r="K871" s="10">
        <f t="shared" si="13"/>
        <v>66150</v>
      </c>
    </row>
    <row r="872" spans="1:11">
      <c r="A872" t="s">
        <v>2470</v>
      </c>
      <c r="B872" s="10">
        <v>2022</v>
      </c>
      <c r="C872" t="s">
        <v>367</v>
      </c>
      <c r="D872" t="s">
        <v>2472</v>
      </c>
      <c r="E872" t="s">
        <v>2474</v>
      </c>
      <c r="F872" t="s">
        <v>313</v>
      </c>
      <c r="G872" t="s">
        <v>313</v>
      </c>
      <c r="H872" s="10">
        <v>74389</v>
      </c>
      <c r="I872" t="str">
        <f>IFERROR(VLOOKUP(Final!F872,'LEAID Match'!$A$2:$B$374,2,FALSE),"")</f>
        <v/>
      </c>
      <c r="K872" s="10">
        <f t="shared" si="13"/>
        <v>74389</v>
      </c>
    </row>
    <row r="873" spans="1:11">
      <c r="A873" t="s">
        <v>2470</v>
      </c>
      <c r="B873" s="10">
        <v>2023</v>
      </c>
      <c r="C873" t="s">
        <v>367</v>
      </c>
      <c r="D873" t="s">
        <v>2472</v>
      </c>
      <c r="E873" t="s">
        <v>2474</v>
      </c>
      <c r="F873" t="s">
        <v>313</v>
      </c>
      <c r="G873" t="s">
        <v>313</v>
      </c>
      <c r="H873" s="10">
        <v>76753</v>
      </c>
      <c r="I873" t="str">
        <f>IFERROR(VLOOKUP(Final!F873,'LEAID Match'!$A$2:$B$374,2,FALSE),"")</f>
        <v/>
      </c>
      <c r="K873" s="10">
        <f t="shared" si="13"/>
        <v>76753</v>
      </c>
    </row>
    <row r="874" spans="1:11">
      <c r="A874" t="s">
        <v>2470</v>
      </c>
      <c r="B874" s="10">
        <v>2015</v>
      </c>
      <c r="C874" t="s">
        <v>98</v>
      </c>
      <c r="D874" t="s">
        <v>2472</v>
      </c>
      <c r="E874" t="s">
        <v>2474</v>
      </c>
      <c r="F874" t="s">
        <v>1513</v>
      </c>
      <c r="G874" t="s">
        <v>44</v>
      </c>
      <c r="H874" s="10">
        <v>31850</v>
      </c>
      <c r="I874" t="str">
        <f>IFERROR(VLOOKUP(Final!F874,'LEAID Match'!$A$2:$B$374,2,FALSE),"")</f>
        <v/>
      </c>
      <c r="K874" s="10">
        <f t="shared" si="13"/>
        <v>31850</v>
      </c>
    </row>
    <row r="875" spans="1:11">
      <c r="A875" t="s">
        <v>2470</v>
      </c>
      <c r="B875" s="10">
        <v>2016</v>
      </c>
      <c r="C875" t="s">
        <v>98</v>
      </c>
      <c r="D875" t="s">
        <v>2472</v>
      </c>
      <c r="E875" t="s">
        <v>2474</v>
      </c>
      <c r="F875" t="s">
        <v>1513</v>
      </c>
      <c r="G875" t="s">
        <v>44</v>
      </c>
      <c r="H875" s="10">
        <v>36505</v>
      </c>
      <c r="I875" t="str">
        <f>IFERROR(VLOOKUP(Final!F875,'LEAID Match'!$A$2:$B$374,2,FALSE),"")</f>
        <v/>
      </c>
      <c r="K875" s="10">
        <f t="shared" si="13"/>
        <v>36505</v>
      </c>
    </row>
    <row r="876" spans="1:11">
      <c r="A876" t="s">
        <v>2470</v>
      </c>
      <c r="B876" s="10">
        <v>2017</v>
      </c>
      <c r="C876" t="s">
        <v>98</v>
      </c>
      <c r="D876" t="s">
        <v>2472</v>
      </c>
      <c r="E876" t="s">
        <v>2474</v>
      </c>
      <c r="F876" t="s">
        <v>1513</v>
      </c>
      <c r="G876" t="s">
        <v>1513</v>
      </c>
      <c r="H876" s="10">
        <v>37679</v>
      </c>
      <c r="I876" t="str">
        <f>IFERROR(VLOOKUP(Final!F876,'LEAID Match'!$A$2:$B$374,2,FALSE),"")</f>
        <v/>
      </c>
      <c r="K876" s="10">
        <f t="shared" si="13"/>
        <v>37679</v>
      </c>
    </row>
    <row r="877" spans="1:11">
      <c r="A877" t="s">
        <v>2470</v>
      </c>
      <c r="B877" s="10">
        <v>2018</v>
      </c>
      <c r="C877" t="s">
        <v>98</v>
      </c>
      <c r="D877" t="s">
        <v>2472</v>
      </c>
      <c r="E877" t="s">
        <v>2474</v>
      </c>
      <c r="F877" t="s">
        <v>1513</v>
      </c>
      <c r="G877" t="s">
        <v>1513</v>
      </c>
      <c r="H877" s="10">
        <v>35633</v>
      </c>
      <c r="I877" t="str">
        <f>IFERROR(VLOOKUP(Final!F877,'LEAID Match'!$A$2:$B$374,2,FALSE),"")</f>
        <v/>
      </c>
      <c r="K877" s="10">
        <f t="shared" si="13"/>
        <v>35633</v>
      </c>
    </row>
    <row r="878" spans="1:11">
      <c r="A878" t="s">
        <v>2470</v>
      </c>
      <c r="B878" s="10">
        <v>2019</v>
      </c>
      <c r="C878" t="s">
        <v>98</v>
      </c>
      <c r="D878" t="s">
        <v>2472</v>
      </c>
      <c r="E878" t="s">
        <v>2474</v>
      </c>
      <c r="F878" t="s">
        <v>1513</v>
      </c>
      <c r="G878" t="s">
        <v>1513</v>
      </c>
      <c r="H878" s="10">
        <v>35462</v>
      </c>
      <c r="I878" t="str">
        <f>IFERROR(VLOOKUP(Final!F878,'LEAID Match'!$A$2:$B$374,2,FALSE),"")</f>
        <v/>
      </c>
      <c r="K878" s="10">
        <f t="shared" si="13"/>
        <v>35462</v>
      </c>
    </row>
    <row r="879" spans="1:11">
      <c r="A879" t="s">
        <v>2470</v>
      </c>
      <c r="B879" s="10">
        <v>2020</v>
      </c>
      <c r="C879" t="s">
        <v>98</v>
      </c>
      <c r="D879" t="s">
        <v>2472</v>
      </c>
      <c r="E879" t="s">
        <v>2474</v>
      </c>
      <c r="F879" t="s">
        <v>1513</v>
      </c>
      <c r="G879" t="s">
        <v>1513</v>
      </c>
      <c r="H879" s="10">
        <v>36953</v>
      </c>
      <c r="I879" t="str">
        <f>IFERROR(VLOOKUP(Final!F879,'LEAID Match'!$A$2:$B$374,2,FALSE),"")</f>
        <v/>
      </c>
      <c r="K879" s="10">
        <f t="shared" si="13"/>
        <v>36953</v>
      </c>
    </row>
    <row r="880" spans="1:11">
      <c r="A880" t="s">
        <v>2470</v>
      </c>
      <c r="B880" s="10">
        <v>2021</v>
      </c>
      <c r="C880" t="s">
        <v>98</v>
      </c>
      <c r="D880" t="s">
        <v>2472</v>
      </c>
      <c r="E880" t="s">
        <v>2474</v>
      </c>
      <c r="F880" t="s">
        <v>1513</v>
      </c>
      <c r="G880" t="s">
        <v>1513</v>
      </c>
      <c r="H880" s="10">
        <v>38977</v>
      </c>
      <c r="I880" t="str">
        <f>IFERROR(VLOOKUP(Final!F880,'LEAID Match'!$A$2:$B$374,2,FALSE),"")</f>
        <v/>
      </c>
      <c r="K880" s="10">
        <f t="shared" si="13"/>
        <v>38977</v>
      </c>
    </row>
    <row r="881" spans="1:11">
      <c r="A881" t="s">
        <v>2470</v>
      </c>
      <c r="B881" s="10">
        <v>2022</v>
      </c>
      <c r="C881" t="s">
        <v>98</v>
      </c>
      <c r="D881" t="s">
        <v>2472</v>
      </c>
      <c r="E881" t="s">
        <v>2474</v>
      </c>
      <c r="F881" t="s">
        <v>1513</v>
      </c>
      <c r="G881" t="s">
        <v>1513</v>
      </c>
      <c r="H881" s="10">
        <v>39778</v>
      </c>
      <c r="I881" t="str">
        <f>IFERROR(VLOOKUP(Final!F881,'LEAID Match'!$A$2:$B$374,2,FALSE),"")</f>
        <v/>
      </c>
      <c r="K881" s="10">
        <f t="shared" si="13"/>
        <v>39778</v>
      </c>
    </row>
    <row r="882" spans="1:11">
      <c r="A882" t="s">
        <v>2470</v>
      </c>
      <c r="B882" s="10">
        <v>2023</v>
      </c>
      <c r="C882" t="s">
        <v>98</v>
      </c>
      <c r="D882" t="s">
        <v>2472</v>
      </c>
      <c r="E882" t="s">
        <v>2474</v>
      </c>
      <c r="F882" t="s">
        <v>1513</v>
      </c>
      <c r="G882" t="s">
        <v>1513</v>
      </c>
      <c r="H882" s="10">
        <v>41468</v>
      </c>
      <c r="I882" t="str">
        <f>IFERROR(VLOOKUP(Final!F882,'LEAID Match'!$A$2:$B$374,2,FALSE),"")</f>
        <v/>
      </c>
      <c r="K882" s="10">
        <f t="shared" si="13"/>
        <v>41468</v>
      </c>
    </row>
    <row r="883" spans="1:11">
      <c r="A883" t="s">
        <v>2470</v>
      </c>
      <c r="B883" s="10">
        <v>2015</v>
      </c>
      <c r="C883" t="s">
        <v>212</v>
      </c>
      <c r="D883" t="s">
        <v>2472</v>
      </c>
      <c r="E883" t="s">
        <v>2474</v>
      </c>
      <c r="F883" t="s">
        <v>1566</v>
      </c>
      <c r="G883" t="s">
        <v>157</v>
      </c>
      <c r="H883" s="10">
        <v>27218</v>
      </c>
      <c r="I883" t="str">
        <f>IFERROR(VLOOKUP(Final!F883,'LEAID Match'!$A$2:$B$374,2,FALSE),"")</f>
        <v/>
      </c>
      <c r="K883" s="10">
        <f t="shared" si="13"/>
        <v>27218</v>
      </c>
    </row>
    <row r="884" spans="1:11">
      <c r="A884" t="s">
        <v>2470</v>
      </c>
      <c r="B884" s="10">
        <v>2016</v>
      </c>
      <c r="C884" t="s">
        <v>212</v>
      </c>
      <c r="D884" t="s">
        <v>2472</v>
      </c>
      <c r="E884" t="s">
        <v>2474</v>
      </c>
      <c r="F884" t="s">
        <v>1566</v>
      </c>
      <c r="G884" t="s">
        <v>157</v>
      </c>
      <c r="H884" s="10">
        <v>25819</v>
      </c>
      <c r="I884" t="str">
        <f>IFERROR(VLOOKUP(Final!F884,'LEAID Match'!$A$2:$B$374,2,FALSE),"")</f>
        <v/>
      </c>
      <c r="K884" s="10">
        <f t="shared" si="13"/>
        <v>25819</v>
      </c>
    </row>
    <row r="885" spans="1:11">
      <c r="A885" t="s">
        <v>2470</v>
      </c>
      <c r="B885" s="10">
        <v>2017</v>
      </c>
      <c r="C885" t="s">
        <v>212</v>
      </c>
      <c r="D885" t="s">
        <v>2472</v>
      </c>
      <c r="E885" t="s">
        <v>2474</v>
      </c>
      <c r="F885" t="s">
        <v>1566</v>
      </c>
      <c r="G885" t="s">
        <v>1566</v>
      </c>
      <c r="H885" s="10">
        <v>10068</v>
      </c>
      <c r="I885" t="str">
        <f>IFERROR(VLOOKUP(Final!F885,'LEAID Match'!$A$2:$B$374,2,FALSE),"")</f>
        <v/>
      </c>
      <c r="K885" s="10">
        <f t="shared" si="13"/>
        <v>10068</v>
      </c>
    </row>
    <row r="886" spans="1:11">
      <c r="A886" t="s">
        <v>2470</v>
      </c>
      <c r="B886" s="10">
        <v>2018</v>
      </c>
      <c r="C886" t="s">
        <v>212</v>
      </c>
      <c r="D886" t="s">
        <v>2472</v>
      </c>
      <c r="E886" t="s">
        <v>2474</v>
      </c>
      <c r="F886" t="s">
        <v>1566</v>
      </c>
      <c r="G886" t="s">
        <v>2091</v>
      </c>
      <c r="H886" s="10"/>
      <c r="I886" t="str">
        <f>IFERROR(VLOOKUP(Final!F886,'LEAID Match'!$A$2:$B$374,2,FALSE),"")</f>
        <v/>
      </c>
      <c r="K886" s="10">
        <f t="shared" si="13"/>
        <v>0</v>
      </c>
    </row>
    <row r="887" spans="1:11">
      <c r="A887" t="s">
        <v>2470</v>
      </c>
      <c r="B887" s="10">
        <v>2019</v>
      </c>
      <c r="C887" t="s">
        <v>212</v>
      </c>
      <c r="D887" t="s">
        <v>2472</v>
      </c>
      <c r="E887" t="s">
        <v>2474</v>
      </c>
      <c r="F887" t="s">
        <v>1566</v>
      </c>
      <c r="G887" t="s">
        <v>1566</v>
      </c>
      <c r="H887" s="10"/>
      <c r="I887" t="str">
        <f>IFERROR(VLOOKUP(Final!F887,'LEAID Match'!$A$2:$B$374,2,FALSE),"")</f>
        <v/>
      </c>
      <c r="K887" s="10">
        <f t="shared" si="13"/>
        <v>0</v>
      </c>
    </row>
    <row r="888" spans="1:11">
      <c r="A888" t="s">
        <v>2470</v>
      </c>
      <c r="B888" s="10">
        <v>2020</v>
      </c>
      <c r="C888" t="s">
        <v>212</v>
      </c>
      <c r="D888" t="s">
        <v>2472</v>
      </c>
      <c r="E888" t="s">
        <v>2474</v>
      </c>
      <c r="F888" t="s">
        <v>1566</v>
      </c>
      <c r="G888" t="s">
        <v>1566</v>
      </c>
      <c r="H888" s="10"/>
      <c r="I888" t="str">
        <f>IFERROR(VLOOKUP(Final!F888,'LEAID Match'!$A$2:$B$374,2,FALSE),"")</f>
        <v/>
      </c>
      <c r="K888" s="10">
        <f t="shared" si="13"/>
        <v>0</v>
      </c>
    </row>
    <row r="889" spans="1:11">
      <c r="A889" t="s">
        <v>2470</v>
      </c>
      <c r="B889" s="10">
        <v>2021</v>
      </c>
      <c r="C889" t="s">
        <v>212</v>
      </c>
      <c r="D889" t="s">
        <v>2472</v>
      </c>
      <c r="E889" t="s">
        <v>2474</v>
      </c>
      <c r="F889" t="s">
        <v>1566</v>
      </c>
      <c r="G889" t="s">
        <v>1566</v>
      </c>
      <c r="H889" s="10">
        <v>1832</v>
      </c>
      <c r="I889" t="str">
        <f>IFERROR(VLOOKUP(Final!F889,'LEAID Match'!$A$2:$B$374,2,FALSE),"")</f>
        <v/>
      </c>
      <c r="K889" s="10">
        <f t="shared" si="13"/>
        <v>1832</v>
      </c>
    </row>
    <row r="890" spans="1:11">
      <c r="A890" t="s">
        <v>2470</v>
      </c>
      <c r="B890" s="10">
        <v>2022</v>
      </c>
      <c r="C890" t="s">
        <v>212</v>
      </c>
      <c r="D890" t="s">
        <v>2472</v>
      </c>
      <c r="E890" t="s">
        <v>2474</v>
      </c>
      <c r="F890" t="s">
        <v>1566</v>
      </c>
      <c r="G890" t="s">
        <v>1566</v>
      </c>
      <c r="H890" s="10">
        <v>50145</v>
      </c>
      <c r="I890" t="str">
        <f>IFERROR(VLOOKUP(Final!F890,'LEAID Match'!$A$2:$B$374,2,FALSE),"")</f>
        <v/>
      </c>
      <c r="K890" s="10">
        <f t="shared" si="13"/>
        <v>50145</v>
      </c>
    </row>
    <row r="891" spans="1:11">
      <c r="A891" t="s">
        <v>2470</v>
      </c>
      <c r="B891" s="10">
        <v>2023</v>
      </c>
      <c r="C891" t="s">
        <v>212</v>
      </c>
      <c r="D891" t="s">
        <v>2472</v>
      </c>
      <c r="E891" t="s">
        <v>2474</v>
      </c>
      <c r="F891" t="s">
        <v>1566</v>
      </c>
      <c r="G891" t="s">
        <v>1566</v>
      </c>
      <c r="H891" s="10">
        <v>35187</v>
      </c>
      <c r="I891" t="str">
        <f>IFERROR(VLOOKUP(Final!F891,'LEAID Match'!$A$2:$B$374,2,FALSE),"")</f>
        <v/>
      </c>
      <c r="K891" s="10">
        <f t="shared" si="13"/>
        <v>35187</v>
      </c>
    </row>
    <row r="892" spans="1:11">
      <c r="A892" t="s">
        <v>2470</v>
      </c>
      <c r="B892" s="10">
        <v>2015</v>
      </c>
      <c r="C892" t="s">
        <v>192</v>
      </c>
      <c r="D892" t="s">
        <v>2472</v>
      </c>
      <c r="E892" t="s">
        <v>2474</v>
      </c>
      <c r="F892" t="s">
        <v>1548</v>
      </c>
      <c r="G892" t="s">
        <v>137</v>
      </c>
      <c r="H892" s="10">
        <v>367358</v>
      </c>
      <c r="I892" t="str">
        <f>IFERROR(VLOOKUP(Final!F892,'LEAID Match'!$A$2:$B$374,2,FALSE),"")</f>
        <v/>
      </c>
      <c r="K892" s="10">
        <f t="shared" si="13"/>
        <v>367358</v>
      </c>
    </row>
    <row r="893" spans="1:11">
      <c r="A893" t="s">
        <v>2470</v>
      </c>
      <c r="B893" s="10">
        <v>2016</v>
      </c>
      <c r="C893" t="s">
        <v>192</v>
      </c>
      <c r="D893" t="s">
        <v>2472</v>
      </c>
      <c r="E893" t="s">
        <v>2474</v>
      </c>
      <c r="F893" t="s">
        <v>1548</v>
      </c>
      <c r="G893" t="s">
        <v>137</v>
      </c>
      <c r="H893" s="10">
        <v>369513</v>
      </c>
      <c r="I893" t="str">
        <f>IFERROR(VLOOKUP(Final!F893,'LEAID Match'!$A$2:$B$374,2,FALSE),"")</f>
        <v/>
      </c>
      <c r="K893" s="10">
        <f t="shared" si="13"/>
        <v>369513</v>
      </c>
    </row>
    <row r="894" spans="1:11">
      <c r="A894" t="s">
        <v>2470</v>
      </c>
      <c r="B894" s="10">
        <v>2017</v>
      </c>
      <c r="C894" t="s">
        <v>192</v>
      </c>
      <c r="D894" t="s">
        <v>2472</v>
      </c>
      <c r="E894" t="s">
        <v>2474</v>
      </c>
      <c r="F894" t="s">
        <v>1548</v>
      </c>
      <c r="G894" t="s">
        <v>1548</v>
      </c>
      <c r="H894" s="10">
        <v>461811</v>
      </c>
      <c r="I894" t="str">
        <f>IFERROR(VLOOKUP(Final!F894,'LEAID Match'!$A$2:$B$374,2,FALSE),"")</f>
        <v/>
      </c>
      <c r="K894" s="10">
        <f t="shared" si="13"/>
        <v>461811</v>
      </c>
    </row>
    <row r="895" spans="1:11">
      <c r="A895" t="s">
        <v>2470</v>
      </c>
      <c r="B895" s="10">
        <v>2018</v>
      </c>
      <c r="C895" t="s">
        <v>192</v>
      </c>
      <c r="D895" t="s">
        <v>2472</v>
      </c>
      <c r="E895" t="s">
        <v>2474</v>
      </c>
      <c r="F895" t="s">
        <v>1548</v>
      </c>
      <c r="G895" t="s">
        <v>1548</v>
      </c>
      <c r="H895" s="10">
        <v>426149</v>
      </c>
      <c r="I895" t="str">
        <f>IFERROR(VLOOKUP(Final!F895,'LEAID Match'!$A$2:$B$374,2,FALSE),"")</f>
        <v/>
      </c>
      <c r="K895" s="10">
        <f t="shared" si="13"/>
        <v>426149</v>
      </c>
    </row>
    <row r="896" spans="1:11">
      <c r="A896" t="s">
        <v>2470</v>
      </c>
      <c r="B896" s="10">
        <v>2019</v>
      </c>
      <c r="C896" t="s">
        <v>192</v>
      </c>
      <c r="D896" t="s">
        <v>2472</v>
      </c>
      <c r="E896" t="s">
        <v>2474</v>
      </c>
      <c r="F896" t="s">
        <v>1548</v>
      </c>
      <c r="G896" t="s">
        <v>1548</v>
      </c>
      <c r="H896" s="10">
        <v>456447</v>
      </c>
      <c r="I896" t="str">
        <f>IFERROR(VLOOKUP(Final!F896,'LEAID Match'!$A$2:$B$374,2,FALSE),"")</f>
        <v/>
      </c>
      <c r="K896" s="10">
        <f t="shared" si="13"/>
        <v>456447</v>
      </c>
    </row>
    <row r="897" spans="1:11">
      <c r="A897" t="s">
        <v>2470</v>
      </c>
      <c r="B897" s="10">
        <v>2020</v>
      </c>
      <c r="C897" t="s">
        <v>192</v>
      </c>
      <c r="D897" t="s">
        <v>2472</v>
      </c>
      <c r="E897" t="s">
        <v>2474</v>
      </c>
      <c r="F897" t="s">
        <v>1548</v>
      </c>
      <c r="G897" t="s">
        <v>1548</v>
      </c>
      <c r="H897" s="10">
        <v>500743</v>
      </c>
      <c r="I897" t="str">
        <f>IFERROR(VLOOKUP(Final!F897,'LEAID Match'!$A$2:$B$374,2,FALSE),"")</f>
        <v/>
      </c>
      <c r="K897" s="10">
        <f t="shared" si="13"/>
        <v>500743</v>
      </c>
    </row>
    <row r="898" spans="1:11">
      <c r="A898" t="s">
        <v>2470</v>
      </c>
      <c r="B898" s="10">
        <v>2021</v>
      </c>
      <c r="C898" t="s">
        <v>192</v>
      </c>
      <c r="D898" t="s">
        <v>2472</v>
      </c>
      <c r="E898" t="s">
        <v>2474</v>
      </c>
      <c r="F898" t="s">
        <v>1548</v>
      </c>
      <c r="G898" t="s">
        <v>1548</v>
      </c>
      <c r="H898" s="10">
        <v>521476</v>
      </c>
      <c r="I898" t="str">
        <f>IFERROR(VLOOKUP(Final!F898,'LEAID Match'!$A$2:$B$374,2,FALSE),"")</f>
        <v/>
      </c>
      <c r="K898" s="10">
        <f t="shared" si="13"/>
        <v>521476</v>
      </c>
    </row>
    <row r="899" spans="1:11">
      <c r="A899" t="s">
        <v>2470</v>
      </c>
      <c r="B899" s="10">
        <v>2022</v>
      </c>
      <c r="C899" t="s">
        <v>192</v>
      </c>
      <c r="D899" t="s">
        <v>2472</v>
      </c>
      <c r="E899" t="s">
        <v>2474</v>
      </c>
      <c r="F899" t="s">
        <v>1548</v>
      </c>
      <c r="G899" t="s">
        <v>1548</v>
      </c>
      <c r="H899" s="10">
        <v>559309</v>
      </c>
      <c r="I899" t="str">
        <f>IFERROR(VLOOKUP(Final!F899,'LEAID Match'!$A$2:$B$374,2,FALSE),"")</f>
        <v/>
      </c>
      <c r="K899" s="10">
        <f t="shared" ref="K899:K962" si="14">SUM(H899,J899)</f>
        <v>559309</v>
      </c>
    </row>
    <row r="900" spans="1:11">
      <c r="A900" t="s">
        <v>2470</v>
      </c>
      <c r="B900" s="10">
        <v>2023</v>
      </c>
      <c r="C900" t="s">
        <v>192</v>
      </c>
      <c r="D900" t="s">
        <v>2472</v>
      </c>
      <c r="E900" t="s">
        <v>2474</v>
      </c>
      <c r="F900" t="s">
        <v>1548</v>
      </c>
      <c r="G900" t="s">
        <v>1548</v>
      </c>
      <c r="H900" s="10">
        <v>653330</v>
      </c>
      <c r="I900" t="str">
        <f>IFERROR(VLOOKUP(Final!F900,'LEAID Match'!$A$2:$B$374,2,FALSE),"")</f>
        <v/>
      </c>
      <c r="K900" s="10">
        <f t="shared" si="14"/>
        <v>653330</v>
      </c>
    </row>
    <row r="901" spans="1:11">
      <c r="A901" t="s">
        <v>2470</v>
      </c>
      <c r="B901" s="10">
        <v>2015</v>
      </c>
      <c r="C901" t="s">
        <v>669</v>
      </c>
      <c r="D901" t="s">
        <v>2472</v>
      </c>
      <c r="E901" t="s">
        <v>2474</v>
      </c>
      <c r="F901" t="s">
        <v>614</v>
      </c>
      <c r="G901" t="s">
        <v>614</v>
      </c>
      <c r="H901" s="10">
        <v>72508</v>
      </c>
      <c r="I901" t="str">
        <f>IFERROR(VLOOKUP(Final!F901,'LEAID Match'!$A$2:$B$374,2,FALSE),"")</f>
        <v/>
      </c>
      <c r="K901" s="10">
        <f t="shared" si="14"/>
        <v>72508</v>
      </c>
    </row>
    <row r="902" spans="1:11">
      <c r="A902" t="s">
        <v>2470</v>
      </c>
      <c r="B902" s="10">
        <v>2016</v>
      </c>
      <c r="C902" t="s">
        <v>669</v>
      </c>
      <c r="D902" t="s">
        <v>2472</v>
      </c>
      <c r="E902" t="s">
        <v>2474</v>
      </c>
      <c r="F902" t="s">
        <v>614</v>
      </c>
      <c r="G902" t="s">
        <v>614</v>
      </c>
      <c r="H902" s="10">
        <v>65072</v>
      </c>
      <c r="I902" t="str">
        <f>IFERROR(VLOOKUP(Final!F902,'LEAID Match'!$A$2:$B$374,2,FALSE),"")</f>
        <v/>
      </c>
      <c r="K902" s="10">
        <f t="shared" si="14"/>
        <v>65072</v>
      </c>
    </row>
    <row r="903" spans="1:11">
      <c r="A903" t="s">
        <v>2470</v>
      </c>
      <c r="B903" s="10">
        <v>2017</v>
      </c>
      <c r="C903" t="s">
        <v>669</v>
      </c>
      <c r="D903" t="s">
        <v>2472</v>
      </c>
      <c r="E903" t="s">
        <v>2474</v>
      </c>
      <c r="F903" t="s">
        <v>614</v>
      </c>
      <c r="G903" t="s">
        <v>614</v>
      </c>
      <c r="H903" s="10">
        <v>76267</v>
      </c>
      <c r="I903" t="str">
        <f>IFERROR(VLOOKUP(Final!F903,'LEAID Match'!$A$2:$B$374,2,FALSE),"")</f>
        <v/>
      </c>
      <c r="K903" s="10">
        <f t="shared" si="14"/>
        <v>76267</v>
      </c>
    </row>
    <row r="904" spans="1:11">
      <c r="A904" t="s">
        <v>2470</v>
      </c>
      <c r="B904" s="10">
        <v>2018</v>
      </c>
      <c r="C904" t="s">
        <v>669</v>
      </c>
      <c r="D904" t="s">
        <v>2472</v>
      </c>
      <c r="E904" t="s">
        <v>2474</v>
      </c>
      <c r="F904" t="s">
        <v>614</v>
      </c>
      <c r="G904" t="s">
        <v>614</v>
      </c>
      <c r="H904" s="10">
        <v>70711</v>
      </c>
      <c r="I904" t="str">
        <f>IFERROR(VLOOKUP(Final!F904,'LEAID Match'!$A$2:$B$374,2,FALSE),"")</f>
        <v/>
      </c>
      <c r="K904" s="10">
        <f t="shared" si="14"/>
        <v>70711</v>
      </c>
    </row>
    <row r="905" spans="1:11">
      <c r="A905" t="s">
        <v>2470</v>
      </c>
      <c r="B905" s="10">
        <v>2019</v>
      </c>
      <c r="C905" t="s">
        <v>669</v>
      </c>
      <c r="D905" t="s">
        <v>2472</v>
      </c>
      <c r="E905" t="s">
        <v>2474</v>
      </c>
      <c r="F905" t="s">
        <v>614</v>
      </c>
      <c r="G905" t="s">
        <v>614</v>
      </c>
      <c r="H905" s="10">
        <v>74632</v>
      </c>
      <c r="I905" t="str">
        <f>IFERROR(VLOOKUP(Final!F905,'LEAID Match'!$A$2:$B$374,2,FALSE),"")</f>
        <v/>
      </c>
      <c r="K905" s="10">
        <f t="shared" si="14"/>
        <v>74632</v>
      </c>
    </row>
    <row r="906" spans="1:11">
      <c r="A906" t="s">
        <v>2470</v>
      </c>
      <c r="B906" s="10">
        <v>2020</v>
      </c>
      <c r="C906" t="s">
        <v>669</v>
      </c>
      <c r="D906" t="s">
        <v>2472</v>
      </c>
      <c r="E906" t="s">
        <v>2474</v>
      </c>
      <c r="F906" t="s">
        <v>614</v>
      </c>
      <c r="G906" t="s">
        <v>614</v>
      </c>
      <c r="H906" s="10">
        <v>84142</v>
      </c>
      <c r="I906" t="str">
        <f>IFERROR(VLOOKUP(Final!F906,'LEAID Match'!$A$2:$B$374,2,FALSE),"")</f>
        <v/>
      </c>
      <c r="K906" s="10">
        <f t="shared" si="14"/>
        <v>84142</v>
      </c>
    </row>
    <row r="907" spans="1:11">
      <c r="A907" t="s">
        <v>2470</v>
      </c>
      <c r="B907" s="10">
        <v>2021</v>
      </c>
      <c r="C907" t="s">
        <v>669</v>
      </c>
      <c r="D907" t="s">
        <v>2472</v>
      </c>
      <c r="E907" t="s">
        <v>2474</v>
      </c>
      <c r="F907" t="s">
        <v>614</v>
      </c>
      <c r="G907" t="s">
        <v>614</v>
      </c>
      <c r="H907" s="10">
        <v>86090</v>
      </c>
      <c r="I907" t="str">
        <f>IFERROR(VLOOKUP(Final!F907,'LEAID Match'!$A$2:$B$374,2,FALSE),"")</f>
        <v/>
      </c>
      <c r="K907" s="10">
        <f t="shared" si="14"/>
        <v>86090</v>
      </c>
    </row>
    <row r="908" spans="1:11">
      <c r="A908" t="s">
        <v>2470</v>
      </c>
      <c r="B908" s="10">
        <v>2022</v>
      </c>
      <c r="C908" t="s">
        <v>669</v>
      </c>
      <c r="D908" t="s">
        <v>2472</v>
      </c>
      <c r="E908" t="s">
        <v>2474</v>
      </c>
      <c r="F908" t="s">
        <v>614</v>
      </c>
      <c r="G908" t="s">
        <v>614</v>
      </c>
      <c r="H908" s="10">
        <v>88351</v>
      </c>
      <c r="I908" t="str">
        <f>IFERROR(VLOOKUP(Final!F908,'LEAID Match'!$A$2:$B$374,2,FALSE),"")</f>
        <v/>
      </c>
      <c r="K908" s="10">
        <f t="shared" si="14"/>
        <v>88351</v>
      </c>
    </row>
    <row r="909" spans="1:11">
      <c r="A909" t="s">
        <v>2470</v>
      </c>
      <c r="B909" s="10">
        <v>2023</v>
      </c>
      <c r="C909" t="s">
        <v>669</v>
      </c>
      <c r="D909" t="s">
        <v>2472</v>
      </c>
      <c r="E909" t="s">
        <v>2474</v>
      </c>
      <c r="F909" t="s">
        <v>614</v>
      </c>
      <c r="G909" t="s">
        <v>614</v>
      </c>
      <c r="H909" s="10">
        <v>90206</v>
      </c>
      <c r="I909" t="str">
        <f>IFERROR(VLOOKUP(Final!F909,'LEAID Match'!$A$2:$B$374,2,FALSE),"")</f>
        <v/>
      </c>
      <c r="K909" s="10">
        <f t="shared" si="14"/>
        <v>90206</v>
      </c>
    </row>
    <row r="910" spans="1:11">
      <c r="A910" t="s">
        <v>2470</v>
      </c>
      <c r="B910" s="10">
        <v>2015</v>
      </c>
      <c r="C910" t="s">
        <v>1406</v>
      </c>
      <c r="D910" t="s">
        <v>2472</v>
      </c>
      <c r="E910" t="s">
        <v>2474</v>
      </c>
      <c r="F910" t="s">
        <v>1587</v>
      </c>
      <c r="G910" t="s">
        <v>241</v>
      </c>
      <c r="H910" s="10">
        <v>42061</v>
      </c>
      <c r="I910" t="str">
        <f>IFERROR(VLOOKUP(Final!F910,'LEAID Match'!$A$2:$B$374,2,FALSE),"")</f>
        <v/>
      </c>
      <c r="K910" s="10">
        <f t="shared" si="14"/>
        <v>42061</v>
      </c>
    </row>
    <row r="911" spans="1:11">
      <c r="A911" t="s">
        <v>2470</v>
      </c>
      <c r="B911" s="10">
        <v>2016</v>
      </c>
      <c r="C911" t="s">
        <v>1406</v>
      </c>
      <c r="D911" t="s">
        <v>2472</v>
      </c>
      <c r="E911" t="s">
        <v>2474</v>
      </c>
      <c r="F911" t="s">
        <v>1587</v>
      </c>
      <c r="G911" t="s">
        <v>241</v>
      </c>
      <c r="H911" s="10">
        <v>56209</v>
      </c>
      <c r="I911" t="str">
        <f>IFERROR(VLOOKUP(Final!F911,'LEAID Match'!$A$2:$B$374,2,FALSE),"")</f>
        <v/>
      </c>
      <c r="K911" s="10">
        <f t="shared" si="14"/>
        <v>56209</v>
      </c>
    </row>
    <row r="912" spans="1:11">
      <c r="A912" t="s">
        <v>2470</v>
      </c>
      <c r="B912" s="10">
        <v>2017</v>
      </c>
      <c r="C912" t="s">
        <v>1406</v>
      </c>
      <c r="D912" t="s">
        <v>2472</v>
      </c>
      <c r="E912" t="s">
        <v>2474</v>
      </c>
      <c r="F912" t="s">
        <v>1587</v>
      </c>
      <c r="G912" t="s">
        <v>1587</v>
      </c>
      <c r="H912" s="10">
        <v>63260</v>
      </c>
      <c r="I912" t="str">
        <f>IFERROR(VLOOKUP(Final!F912,'LEAID Match'!$A$2:$B$374,2,FALSE),"")</f>
        <v/>
      </c>
      <c r="K912" s="10">
        <f t="shared" si="14"/>
        <v>63260</v>
      </c>
    </row>
    <row r="913" spans="1:11">
      <c r="A913" t="s">
        <v>2470</v>
      </c>
      <c r="B913" s="10">
        <v>2018</v>
      </c>
      <c r="C913" t="s">
        <v>1406</v>
      </c>
      <c r="D913" t="s">
        <v>2472</v>
      </c>
      <c r="E913" t="s">
        <v>2474</v>
      </c>
      <c r="F913" t="s">
        <v>1587</v>
      </c>
      <c r="G913" t="s">
        <v>2106</v>
      </c>
      <c r="H913" s="10">
        <v>64368</v>
      </c>
      <c r="I913" t="str">
        <f>IFERROR(VLOOKUP(Final!F913,'LEAID Match'!$A$2:$B$374,2,FALSE),"")</f>
        <v/>
      </c>
      <c r="K913" s="10">
        <f t="shared" si="14"/>
        <v>64368</v>
      </c>
    </row>
    <row r="914" spans="1:11">
      <c r="A914" t="s">
        <v>2470</v>
      </c>
      <c r="B914" s="10">
        <v>2019</v>
      </c>
      <c r="C914" t="s">
        <v>1406</v>
      </c>
      <c r="D914" t="s">
        <v>2472</v>
      </c>
      <c r="E914" t="s">
        <v>2474</v>
      </c>
      <c r="F914" t="s">
        <v>1587</v>
      </c>
      <c r="G914" t="s">
        <v>1587</v>
      </c>
      <c r="H914" s="10">
        <v>66503</v>
      </c>
      <c r="I914" t="str">
        <f>IFERROR(VLOOKUP(Final!F914,'LEAID Match'!$A$2:$B$374,2,FALSE),"")</f>
        <v/>
      </c>
      <c r="K914" s="10">
        <f t="shared" si="14"/>
        <v>66503</v>
      </c>
    </row>
    <row r="915" spans="1:11">
      <c r="A915" t="s">
        <v>2470</v>
      </c>
      <c r="B915" s="10">
        <v>2020</v>
      </c>
      <c r="C915" t="s">
        <v>1406</v>
      </c>
      <c r="D915" t="s">
        <v>2472</v>
      </c>
      <c r="E915" t="s">
        <v>2474</v>
      </c>
      <c r="F915" t="s">
        <v>1587</v>
      </c>
      <c r="G915" t="s">
        <v>1587</v>
      </c>
      <c r="H915" s="10">
        <v>75799</v>
      </c>
      <c r="I915" t="str">
        <f>IFERROR(VLOOKUP(Final!F915,'LEAID Match'!$A$2:$B$374,2,FALSE),"")</f>
        <v/>
      </c>
      <c r="K915" s="10">
        <f t="shared" si="14"/>
        <v>75799</v>
      </c>
    </row>
    <row r="916" spans="1:11">
      <c r="A916" t="s">
        <v>2470</v>
      </c>
      <c r="B916" s="10">
        <v>2021</v>
      </c>
      <c r="C916" t="s">
        <v>1406</v>
      </c>
      <c r="D916" t="s">
        <v>2472</v>
      </c>
      <c r="E916" t="s">
        <v>2474</v>
      </c>
      <c r="F916" t="s">
        <v>1587</v>
      </c>
      <c r="G916" t="s">
        <v>1587</v>
      </c>
      <c r="H916" s="10">
        <v>102461</v>
      </c>
      <c r="I916" t="str">
        <f>IFERROR(VLOOKUP(Final!F916,'LEAID Match'!$A$2:$B$374,2,FALSE),"")</f>
        <v/>
      </c>
      <c r="K916" s="10">
        <f t="shared" si="14"/>
        <v>102461</v>
      </c>
    </row>
    <row r="917" spans="1:11">
      <c r="A917" t="s">
        <v>2470</v>
      </c>
      <c r="B917" s="10">
        <v>2022</v>
      </c>
      <c r="C917" t="s">
        <v>1406</v>
      </c>
      <c r="D917" t="s">
        <v>2472</v>
      </c>
      <c r="E917" t="s">
        <v>2474</v>
      </c>
      <c r="F917" t="s">
        <v>1587</v>
      </c>
      <c r="G917" t="s">
        <v>1587</v>
      </c>
      <c r="H917" s="10">
        <v>122570</v>
      </c>
      <c r="I917" t="str">
        <f>IFERROR(VLOOKUP(Final!F917,'LEAID Match'!$A$2:$B$374,2,FALSE),"")</f>
        <v/>
      </c>
      <c r="K917" s="10">
        <f t="shared" si="14"/>
        <v>122570</v>
      </c>
    </row>
    <row r="918" spans="1:11">
      <c r="A918" t="s">
        <v>2470</v>
      </c>
      <c r="B918" s="10">
        <v>2023</v>
      </c>
      <c r="C918" t="s">
        <v>1406</v>
      </c>
      <c r="D918" t="s">
        <v>2472</v>
      </c>
      <c r="E918" t="s">
        <v>2474</v>
      </c>
      <c r="F918" t="s">
        <v>1587</v>
      </c>
      <c r="G918" t="s">
        <v>1587</v>
      </c>
      <c r="H918" s="10">
        <v>142222</v>
      </c>
      <c r="I918" t="str">
        <f>IFERROR(VLOOKUP(Final!F918,'LEAID Match'!$A$2:$B$374,2,FALSE),"")</f>
        <v/>
      </c>
      <c r="K918" s="10">
        <f t="shared" si="14"/>
        <v>142222</v>
      </c>
    </row>
    <row r="919" spans="1:11">
      <c r="A919" t="s">
        <v>2470</v>
      </c>
      <c r="B919" s="10">
        <v>2015</v>
      </c>
      <c r="C919" t="s">
        <v>191</v>
      </c>
      <c r="D919" t="s">
        <v>2472</v>
      </c>
      <c r="E919" t="s">
        <v>2474</v>
      </c>
      <c r="F919" t="s">
        <v>1547</v>
      </c>
      <c r="G919" t="s">
        <v>136</v>
      </c>
      <c r="H919" s="10">
        <v>89189</v>
      </c>
      <c r="I919" t="str">
        <f>IFERROR(VLOOKUP(Final!F919,'LEAID Match'!$A$2:$B$374,2,FALSE),"")</f>
        <v/>
      </c>
      <c r="K919" s="10">
        <f t="shared" si="14"/>
        <v>89189</v>
      </c>
    </row>
    <row r="920" spans="1:11">
      <c r="A920" t="s">
        <v>2470</v>
      </c>
      <c r="B920" s="10">
        <v>2016</v>
      </c>
      <c r="C920" t="s">
        <v>191</v>
      </c>
      <c r="D920" t="s">
        <v>2472</v>
      </c>
      <c r="E920" t="s">
        <v>2474</v>
      </c>
      <c r="F920" t="s">
        <v>1547</v>
      </c>
      <c r="G920" t="s">
        <v>136</v>
      </c>
      <c r="H920" s="10">
        <v>101034</v>
      </c>
      <c r="I920" t="str">
        <f>IFERROR(VLOOKUP(Final!F920,'LEAID Match'!$A$2:$B$374,2,FALSE),"")</f>
        <v/>
      </c>
      <c r="K920" s="10">
        <f t="shared" si="14"/>
        <v>101034</v>
      </c>
    </row>
    <row r="921" spans="1:11">
      <c r="A921" t="s">
        <v>2470</v>
      </c>
      <c r="B921" s="10">
        <v>2017</v>
      </c>
      <c r="C921" t="s">
        <v>191</v>
      </c>
      <c r="D921" t="s">
        <v>2472</v>
      </c>
      <c r="E921" t="s">
        <v>2474</v>
      </c>
      <c r="F921" t="s">
        <v>1547</v>
      </c>
      <c r="G921" t="s">
        <v>1547</v>
      </c>
      <c r="H921" s="10">
        <v>97590</v>
      </c>
      <c r="I921" t="str">
        <f>IFERROR(VLOOKUP(Final!F921,'LEAID Match'!$A$2:$B$374,2,FALSE),"")</f>
        <v/>
      </c>
      <c r="K921" s="10">
        <f t="shared" si="14"/>
        <v>97590</v>
      </c>
    </row>
    <row r="922" spans="1:11">
      <c r="A922" t="s">
        <v>2470</v>
      </c>
      <c r="B922" s="10">
        <v>2018</v>
      </c>
      <c r="C922" t="s">
        <v>191</v>
      </c>
      <c r="D922" t="s">
        <v>2472</v>
      </c>
      <c r="E922" t="s">
        <v>2474</v>
      </c>
      <c r="F922" t="s">
        <v>1547</v>
      </c>
      <c r="G922" t="s">
        <v>2078</v>
      </c>
      <c r="H922" s="10">
        <v>94450</v>
      </c>
      <c r="I922" t="str">
        <f>IFERROR(VLOOKUP(Final!F922,'LEAID Match'!$A$2:$B$374,2,FALSE),"")</f>
        <v/>
      </c>
      <c r="K922" s="10">
        <f t="shared" si="14"/>
        <v>94450</v>
      </c>
    </row>
    <row r="923" spans="1:11">
      <c r="A923" t="s">
        <v>2470</v>
      </c>
      <c r="B923" s="10">
        <v>2019</v>
      </c>
      <c r="C923" t="s">
        <v>191</v>
      </c>
      <c r="D923" t="s">
        <v>2472</v>
      </c>
      <c r="E923" t="s">
        <v>2474</v>
      </c>
      <c r="F923" t="s">
        <v>1547</v>
      </c>
      <c r="G923" t="s">
        <v>1547</v>
      </c>
      <c r="H923" s="10">
        <v>90455</v>
      </c>
      <c r="I923" t="str">
        <f>IFERROR(VLOOKUP(Final!F923,'LEAID Match'!$A$2:$B$374,2,FALSE),"")</f>
        <v/>
      </c>
      <c r="K923" s="10">
        <f t="shared" si="14"/>
        <v>90455</v>
      </c>
    </row>
    <row r="924" spans="1:11">
      <c r="A924" t="s">
        <v>2470</v>
      </c>
      <c r="B924" s="10">
        <v>2020</v>
      </c>
      <c r="C924" t="s">
        <v>191</v>
      </c>
      <c r="D924" t="s">
        <v>2472</v>
      </c>
      <c r="E924" t="s">
        <v>2474</v>
      </c>
      <c r="F924" t="s">
        <v>1547</v>
      </c>
      <c r="G924" t="s">
        <v>1547</v>
      </c>
      <c r="H924" s="10">
        <v>89147</v>
      </c>
      <c r="I924" t="str">
        <f>IFERROR(VLOOKUP(Final!F924,'LEAID Match'!$A$2:$B$374,2,FALSE),"")</f>
        <v/>
      </c>
      <c r="K924" s="10">
        <f t="shared" si="14"/>
        <v>89147</v>
      </c>
    </row>
    <row r="925" spans="1:11">
      <c r="A925" t="s">
        <v>2470</v>
      </c>
      <c r="B925" s="10">
        <v>2021</v>
      </c>
      <c r="C925" t="s">
        <v>191</v>
      </c>
      <c r="D925" t="s">
        <v>2472</v>
      </c>
      <c r="E925" t="s">
        <v>2474</v>
      </c>
      <c r="F925" t="s">
        <v>1547</v>
      </c>
      <c r="G925" t="s">
        <v>1547</v>
      </c>
      <c r="H925" s="10">
        <v>77835</v>
      </c>
      <c r="I925" t="str">
        <f>IFERROR(VLOOKUP(Final!F925,'LEAID Match'!$A$2:$B$374,2,FALSE),"")</f>
        <v/>
      </c>
      <c r="K925" s="10">
        <f t="shared" si="14"/>
        <v>77835</v>
      </c>
    </row>
    <row r="926" spans="1:11">
      <c r="A926" t="s">
        <v>2470</v>
      </c>
      <c r="B926" s="10">
        <v>2022</v>
      </c>
      <c r="C926" t="s">
        <v>191</v>
      </c>
      <c r="D926" t="s">
        <v>2472</v>
      </c>
      <c r="E926" t="s">
        <v>2474</v>
      </c>
      <c r="F926" t="s">
        <v>1547</v>
      </c>
      <c r="G926" t="s">
        <v>1547</v>
      </c>
      <c r="H926" s="10">
        <v>204143</v>
      </c>
      <c r="I926" t="str">
        <f>IFERROR(VLOOKUP(Final!F926,'LEAID Match'!$A$2:$B$374,2,FALSE),"")</f>
        <v/>
      </c>
      <c r="K926" s="10">
        <f t="shared" si="14"/>
        <v>204143</v>
      </c>
    </row>
    <row r="927" spans="1:11">
      <c r="A927" t="s">
        <v>2470</v>
      </c>
      <c r="B927" s="10">
        <v>2023</v>
      </c>
      <c r="C927" t="s">
        <v>191</v>
      </c>
      <c r="D927" t="s">
        <v>2472</v>
      </c>
      <c r="E927" t="s">
        <v>2474</v>
      </c>
      <c r="F927" t="s">
        <v>1547</v>
      </c>
      <c r="G927" t="s">
        <v>1547</v>
      </c>
      <c r="H927" s="10">
        <v>244408</v>
      </c>
      <c r="I927" t="str">
        <f>IFERROR(VLOOKUP(Final!F927,'LEAID Match'!$A$2:$B$374,2,FALSE),"")</f>
        <v/>
      </c>
      <c r="K927" s="10">
        <f t="shared" si="14"/>
        <v>244408</v>
      </c>
    </row>
    <row r="928" spans="1:11">
      <c r="A928" t="s">
        <v>2470</v>
      </c>
      <c r="B928" s="10">
        <v>2015</v>
      </c>
      <c r="C928" t="s">
        <v>167</v>
      </c>
      <c r="D928" t="s">
        <v>2472</v>
      </c>
      <c r="E928" t="s">
        <v>2474</v>
      </c>
      <c r="F928" t="s">
        <v>2062</v>
      </c>
      <c r="G928" t="s">
        <v>112</v>
      </c>
      <c r="H928" s="10"/>
      <c r="I928" t="str">
        <f>IFERROR(VLOOKUP(Final!F928,'LEAID Match'!$A$2:$B$374,2,FALSE),"")</f>
        <v/>
      </c>
      <c r="K928" s="10">
        <f t="shared" si="14"/>
        <v>0</v>
      </c>
    </row>
    <row r="929" spans="1:11">
      <c r="A929" t="s">
        <v>2470</v>
      </c>
      <c r="B929" s="10">
        <v>2016</v>
      </c>
      <c r="C929" t="s">
        <v>167</v>
      </c>
      <c r="D929" t="s">
        <v>2472</v>
      </c>
      <c r="E929" t="s">
        <v>2474</v>
      </c>
      <c r="F929" t="s">
        <v>2062</v>
      </c>
      <c r="G929" t="s">
        <v>1373</v>
      </c>
      <c r="H929" s="10"/>
      <c r="I929" t="str">
        <f>IFERROR(VLOOKUP(Final!F929,'LEAID Match'!$A$2:$B$374,2,FALSE),"")</f>
        <v/>
      </c>
      <c r="K929" s="10">
        <f t="shared" si="14"/>
        <v>0</v>
      </c>
    </row>
    <row r="930" spans="1:11">
      <c r="A930" t="s">
        <v>2470</v>
      </c>
      <c r="B930" s="10">
        <v>2017</v>
      </c>
      <c r="C930" t="s">
        <v>167</v>
      </c>
      <c r="D930" t="s">
        <v>2472</v>
      </c>
      <c r="E930" t="s">
        <v>2474</v>
      </c>
      <c r="F930" t="s">
        <v>2062</v>
      </c>
      <c r="G930" t="s">
        <v>1523</v>
      </c>
      <c r="H930" s="10"/>
      <c r="I930" t="str">
        <f>IFERROR(VLOOKUP(Final!F930,'LEAID Match'!$A$2:$B$374,2,FALSE),"")</f>
        <v/>
      </c>
      <c r="K930" s="10">
        <f t="shared" si="14"/>
        <v>0</v>
      </c>
    </row>
    <row r="931" spans="1:11">
      <c r="A931" t="s">
        <v>2470</v>
      </c>
      <c r="B931" s="10">
        <v>2018</v>
      </c>
      <c r="C931" t="s">
        <v>167</v>
      </c>
      <c r="D931" t="s">
        <v>2472</v>
      </c>
      <c r="E931" t="s">
        <v>2474</v>
      </c>
      <c r="F931" t="s">
        <v>2062</v>
      </c>
      <c r="G931" t="s">
        <v>2062</v>
      </c>
      <c r="H931" s="10"/>
      <c r="I931" t="str">
        <f>IFERROR(VLOOKUP(Final!F931,'LEAID Match'!$A$2:$B$374,2,FALSE),"")</f>
        <v/>
      </c>
      <c r="K931" s="10">
        <f t="shared" si="14"/>
        <v>0</v>
      </c>
    </row>
    <row r="932" spans="1:11">
      <c r="A932" t="s">
        <v>2470</v>
      </c>
      <c r="B932" s="10">
        <v>2015</v>
      </c>
      <c r="C932" t="s">
        <v>204</v>
      </c>
      <c r="D932" t="s">
        <v>2472</v>
      </c>
      <c r="E932" t="s">
        <v>2474</v>
      </c>
      <c r="F932" t="s">
        <v>1559</v>
      </c>
      <c r="G932" t="s">
        <v>149</v>
      </c>
      <c r="H932" s="10">
        <v>951972</v>
      </c>
      <c r="I932" t="str">
        <f>IFERROR(VLOOKUP(Final!F932,'LEAID Match'!$A$2:$B$374,2,FALSE),"")</f>
        <v/>
      </c>
      <c r="K932" s="10">
        <f t="shared" si="14"/>
        <v>951972</v>
      </c>
    </row>
    <row r="933" spans="1:11">
      <c r="A933" t="s">
        <v>2470</v>
      </c>
      <c r="B933" s="10">
        <v>2016</v>
      </c>
      <c r="C933" t="s">
        <v>204</v>
      </c>
      <c r="D933" t="s">
        <v>2472</v>
      </c>
      <c r="E933" t="s">
        <v>2474</v>
      </c>
      <c r="F933" t="s">
        <v>1559</v>
      </c>
      <c r="G933" t="s">
        <v>149</v>
      </c>
      <c r="H933" s="10">
        <v>924785</v>
      </c>
      <c r="I933" t="str">
        <f>IFERROR(VLOOKUP(Final!F933,'LEAID Match'!$A$2:$B$374,2,FALSE),"")</f>
        <v/>
      </c>
      <c r="K933" s="10">
        <f t="shared" si="14"/>
        <v>924785</v>
      </c>
    </row>
    <row r="934" spans="1:11">
      <c r="A934" t="s">
        <v>2470</v>
      </c>
      <c r="B934" s="10">
        <v>2017</v>
      </c>
      <c r="C934" t="s">
        <v>204</v>
      </c>
      <c r="D934" t="s">
        <v>2472</v>
      </c>
      <c r="E934" t="s">
        <v>2474</v>
      </c>
      <c r="F934" t="s">
        <v>1559</v>
      </c>
      <c r="G934" t="s">
        <v>1559</v>
      </c>
      <c r="H934" s="10">
        <v>1007772</v>
      </c>
      <c r="I934" t="str">
        <f>IFERROR(VLOOKUP(Final!F934,'LEAID Match'!$A$2:$B$374,2,FALSE),"")</f>
        <v/>
      </c>
      <c r="K934" s="10">
        <f t="shared" si="14"/>
        <v>1007772</v>
      </c>
    </row>
    <row r="935" spans="1:11">
      <c r="A935" t="s">
        <v>2470</v>
      </c>
      <c r="B935" s="10">
        <v>2018</v>
      </c>
      <c r="C935" t="s">
        <v>204</v>
      </c>
      <c r="D935" t="s">
        <v>2472</v>
      </c>
      <c r="E935" t="s">
        <v>2474</v>
      </c>
      <c r="F935" t="s">
        <v>1559</v>
      </c>
      <c r="G935" t="s">
        <v>2085</v>
      </c>
      <c r="H935" s="10">
        <v>958607</v>
      </c>
      <c r="I935" t="str">
        <f>IFERROR(VLOOKUP(Final!F935,'LEAID Match'!$A$2:$B$374,2,FALSE),"")</f>
        <v/>
      </c>
      <c r="K935" s="10">
        <f t="shared" si="14"/>
        <v>958607</v>
      </c>
    </row>
    <row r="936" spans="1:11">
      <c r="A936" t="s">
        <v>2470</v>
      </c>
      <c r="B936" s="10">
        <v>2019</v>
      </c>
      <c r="C936" t="s">
        <v>204</v>
      </c>
      <c r="D936" t="s">
        <v>2472</v>
      </c>
      <c r="E936" t="s">
        <v>2474</v>
      </c>
      <c r="F936" t="s">
        <v>1559</v>
      </c>
      <c r="G936" t="s">
        <v>1559</v>
      </c>
      <c r="H936" s="10">
        <v>1001236</v>
      </c>
      <c r="I936" t="str">
        <f>IFERROR(VLOOKUP(Final!F936,'LEAID Match'!$A$2:$B$374,2,FALSE),"")</f>
        <v/>
      </c>
      <c r="K936" s="10">
        <f t="shared" si="14"/>
        <v>1001236</v>
      </c>
    </row>
    <row r="937" spans="1:11">
      <c r="A937" t="s">
        <v>2470</v>
      </c>
      <c r="B937" s="10">
        <v>2020</v>
      </c>
      <c r="C937" t="s">
        <v>204</v>
      </c>
      <c r="D937" t="s">
        <v>2472</v>
      </c>
      <c r="E937" t="s">
        <v>2474</v>
      </c>
      <c r="F937" t="s">
        <v>1559</v>
      </c>
      <c r="G937" t="s">
        <v>1559</v>
      </c>
      <c r="H937" s="10">
        <v>1060761</v>
      </c>
      <c r="I937" t="str">
        <f>IFERROR(VLOOKUP(Final!F937,'LEAID Match'!$A$2:$B$374,2,FALSE),"")</f>
        <v/>
      </c>
      <c r="K937" s="10">
        <f t="shared" si="14"/>
        <v>1060761</v>
      </c>
    </row>
    <row r="938" spans="1:11">
      <c r="A938" t="s">
        <v>2470</v>
      </c>
      <c r="B938" s="10">
        <v>2021</v>
      </c>
      <c r="C938" t="s">
        <v>204</v>
      </c>
      <c r="D938" t="s">
        <v>2472</v>
      </c>
      <c r="E938" t="s">
        <v>2474</v>
      </c>
      <c r="F938" t="s">
        <v>1559</v>
      </c>
      <c r="G938" t="s">
        <v>1559</v>
      </c>
      <c r="H938" s="10">
        <v>1101810</v>
      </c>
      <c r="I938" t="str">
        <f>IFERROR(VLOOKUP(Final!F938,'LEAID Match'!$A$2:$B$374,2,FALSE),"")</f>
        <v/>
      </c>
      <c r="K938" s="10">
        <f t="shared" si="14"/>
        <v>1101810</v>
      </c>
    </row>
    <row r="939" spans="1:11">
      <c r="A939" t="s">
        <v>2470</v>
      </c>
      <c r="B939" s="10">
        <v>2022</v>
      </c>
      <c r="C939" t="s">
        <v>204</v>
      </c>
      <c r="D939" t="s">
        <v>2472</v>
      </c>
      <c r="E939" t="s">
        <v>2474</v>
      </c>
      <c r="F939" t="s">
        <v>1559</v>
      </c>
      <c r="G939" t="s">
        <v>1559</v>
      </c>
      <c r="H939" s="10">
        <v>1111781</v>
      </c>
      <c r="I939" t="str">
        <f>IFERROR(VLOOKUP(Final!F939,'LEAID Match'!$A$2:$B$374,2,FALSE),"")</f>
        <v/>
      </c>
      <c r="K939" s="10">
        <f t="shared" si="14"/>
        <v>1111781</v>
      </c>
    </row>
    <row r="940" spans="1:11">
      <c r="A940" t="s">
        <v>2470</v>
      </c>
      <c r="B940" s="10">
        <v>2023</v>
      </c>
      <c r="C940" t="s">
        <v>204</v>
      </c>
      <c r="D940" t="s">
        <v>2472</v>
      </c>
      <c r="E940" t="s">
        <v>2474</v>
      </c>
      <c r="F940" t="s">
        <v>1559</v>
      </c>
      <c r="G940" t="s">
        <v>1559</v>
      </c>
      <c r="H940" s="10">
        <v>1185776</v>
      </c>
      <c r="I940" t="str">
        <f>IFERROR(VLOOKUP(Final!F940,'LEAID Match'!$A$2:$B$374,2,FALSE),"")</f>
        <v/>
      </c>
      <c r="K940" s="10">
        <f t="shared" si="14"/>
        <v>1185776</v>
      </c>
    </row>
    <row r="941" spans="1:11">
      <c r="A941" t="s">
        <v>2470</v>
      </c>
      <c r="B941" s="10">
        <v>2015</v>
      </c>
      <c r="C941" t="s">
        <v>1409</v>
      </c>
      <c r="D941" t="s">
        <v>2472</v>
      </c>
      <c r="E941" t="s">
        <v>2474</v>
      </c>
      <c r="F941" t="s">
        <v>1605</v>
      </c>
      <c r="G941" t="s">
        <v>242</v>
      </c>
      <c r="H941" s="10">
        <v>331595</v>
      </c>
      <c r="I941" t="str">
        <f>IFERROR(VLOOKUP(Final!F941,'LEAID Match'!$A$2:$B$374,2,FALSE),"")</f>
        <v/>
      </c>
      <c r="K941" s="10">
        <f t="shared" si="14"/>
        <v>331595</v>
      </c>
    </row>
    <row r="942" spans="1:11">
      <c r="A942" t="s">
        <v>2470</v>
      </c>
      <c r="B942" s="10">
        <v>2016</v>
      </c>
      <c r="C942" t="s">
        <v>1409</v>
      </c>
      <c r="D942" t="s">
        <v>2472</v>
      </c>
      <c r="E942" t="s">
        <v>2474</v>
      </c>
      <c r="F942" t="s">
        <v>1605</v>
      </c>
      <c r="G942" t="s">
        <v>242</v>
      </c>
      <c r="H942" s="10">
        <v>399474</v>
      </c>
      <c r="I942" t="str">
        <f>IFERROR(VLOOKUP(Final!F942,'LEAID Match'!$A$2:$B$374,2,FALSE),"")</f>
        <v/>
      </c>
      <c r="K942" s="10">
        <f t="shared" si="14"/>
        <v>399474</v>
      </c>
    </row>
    <row r="943" spans="1:11">
      <c r="A943" t="s">
        <v>2470</v>
      </c>
      <c r="B943" s="10">
        <v>2017</v>
      </c>
      <c r="C943" t="s">
        <v>1409</v>
      </c>
      <c r="D943" t="s">
        <v>2472</v>
      </c>
      <c r="E943" t="s">
        <v>2474</v>
      </c>
      <c r="F943" t="s">
        <v>1605</v>
      </c>
      <c r="G943" t="s">
        <v>1605</v>
      </c>
      <c r="H943" s="10">
        <v>561420</v>
      </c>
      <c r="I943" t="str">
        <f>IFERROR(VLOOKUP(Final!F943,'LEAID Match'!$A$2:$B$374,2,FALSE),"")</f>
        <v/>
      </c>
      <c r="K943" s="10">
        <f t="shared" si="14"/>
        <v>561420</v>
      </c>
    </row>
    <row r="944" spans="1:11">
      <c r="A944" t="s">
        <v>2470</v>
      </c>
      <c r="B944" s="10">
        <v>2018</v>
      </c>
      <c r="C944" t="s">
        <v>1409</v>
      </c>
      <c r="D944" t="s">
        <v>2472</v>
      </c>
      <c r="E944" t="s">
        <v>2474</v>
      </c>
      <c r="F944" t="s">
        <v>1605</v>
      </c>
      <c r="G944" t="s">
        <v>1605</v>
      </c>
      <c r="H944" s="10">
        <v>668942</v>
      </c>
      <c r="I944" t="str">
        <f>IFERROR(VLOOKUP(Final!F944,'LEAID Match'!$A$2:$B$374,2,FALSE),"")</f>
        <v/>
      </c>
      <c r="K944" s="10">
        <f t="shared" si="14"/>
        <v>668942</v>
      </c>
    </row>
    <row r="945" spans="1:11">
      <c r="A945" t="s">
        <v>2470</v>
      </c>
      <c r="B945" s="10">
        <v>2019</v>
      </c>
      <c r="C945" t="s">
        <v>1409</v>
      </c>
      <c r="D945" t="s">
        <v>2472</v>
      </c>
      <c r="E945" t="s">
        <v>2474</v>
      </c>
      <c r="F945" t="s">
        <v>1605</v>
      </c>
      <c r="G945" t="s">
        <v>1605</v>
      </c>
      <c r="H945" s="10">
        <v>777787</v>
      </c>
      <c r="I945" t="str">
        <f>IFERROR(VLOOKUP(Final!F945,'LEAID Match'!$A$2:$B$374,2,FALSE),"")</f>
        <v/>
      </c>
      <c r="K945" s="10">
        <f t="shared" si="14"/>
        <v>777787</v>
      </c>
    </row>
    <row r="946" spans="1:11">
      <c r="A946" t="s">
        <v>2470</v>
      </c>
      <c r="B946" s="10">
        <v>2020</v>
      </c>
      <c r="C946" t="s">
        <v>1409</v>
      </c>
      <c r="D946" t="s">
        <v>2472</v>
      </c>
      <c r="E946" t="s">
        <v>2474</v>
      </c>
      <c r="F946" t="s">
        <v>1605</v>
      </c>
      <c r="G946" t="s">
        <v>1605</v>
      </c>
      <c r="H946" s="10">
        <v>757495</v>
      </c>
      <c r="I946" t="str">
        <f>IFERROR(VLOOKUP(Final!F946,'LEAID Match'!$A$2:$B$374,2,FALSE),"")</f>
        <v/>
      </c>
      <c r="K946" s="10">
        <f t="shared" si="14"/>
        <v>757495</v>
      </c>
    </row>
    <row r="947" spans="1:11">
      <c r="A947" t="s">
        <v>2470</v>
      </c>
      <c r="B947" s="10">
        <v>2021</v>
      </c>
      <c r="C947" t="s">
        <v>1409</v>
      </c>
      <c r="D947" t="s">
        <v>2472</v>
      </c>
      <c r="E947" t="s">
        <v>2474</v>
      </c>
      <c r="F947" t="s">
        <v>1605</v>
      </c>
      <c r="G947" t="s">
        <v>1605</v>
      </c>
      <c r="H947" s="10">
        <v>870401</v>
      </c>
      <c r="I947" t="str">
        <f>IFERROR(VLOOKUP(Final!F947,'LEAID Match'!$A$2:$B$374,2,FALSE),"")</f>
        <v/>
      </c>
      <c r="K947" s="10">
        <f t="shared" si="14"/>
        <v>870401</v>
      </c>
    </row>
    <row r="948" spans="1:11">
      <c r="A948" t="s">
        <v>2470</v>
      </c>
      <c r="B948" s="10">
        <v>2022</v>
      </c>
      <c r="C948" t="s">
        <v>1409</v>
      </c>
      <c r="D948" t="s">
        <v>2472</v>
      </c>
      <c r="E948" t="s">
        <v>2474</v>
      </c>
      <c r="F948" t="s">
        <v>1605</v>
      </c>
      <c r="G948" t="s">
        <v>1605</v>
      </c>
      <c r="H948" s="10">
        <v>1014196</v>
      </c>
      <c r="I948" t="str">
        <f>IFERROR(VLOOKUP(Final!F948,'LEAID Match'!$A$2:$B$374,2,FALSE),"")</f>
        <v/>
      </c>
      <c r="K948" s="10">
        <f t="shared" si="14"/>
        <v>1014196</v>
      </c>
    </row>
    <row r="949" spans="1:11">
      <c r="A949" t="s">
        <v>2470</v>
      </c>
      <c r="B949" s="10">
        <v>2023</v>
      </c>
      <c r="C949" t="s">
        <v>1409</v>
      </c>
      <c r="D949" t="s">
        <v>2472</v>
      </c>
      <c r="E949" t="s">
        <v>2474</v>
      </c>
      <c r="F949" t="s">
        <v>1605</v>
      </c>
      <c r="G949" t="s">
        <v>1605</v>
      </c>
      <c r="H949" s="10">
        <v>1401763</v>
      </c>
      <c r="I949" t="str">
        <f>IFERROR(VLOOKUP(Final!F949,'LEAID Match'!$A$2:$B$374,2,FALSE),"")</f>
        <v/>
      </c>
      <c r="K949" s="10">
        <f t="shared" si="14"/>
        <v>1401763</v>
      </c>
    </row>
    <row r="950" spans="1:11">
      <c r="A950" t="s">
        <v>2470</v>
      </c>
      <c r="B950" s="10">
        <v>2016</v>
      </c>
      <c r="C950" t="s">
        <v>1381</v>
      </c>
      <c r="D950" t="s">
        <v>2472</v>
      </c>
      <c r="E950" t="s">
        <v>2474</v>
      </c>
      <c r="F950" t="s">
        <v>1528</v>
      </c>
      <c r="G950" t="s">
        <v>1375</v>
      </c>
      <c r="H950" s="10">
        <v>7120</v>
      </c>
      <c r="I950" t="str">
        <f>IFERROR(VLOOKUP(Final!F950,'LEAID Match'!$A$2:$B$374,2,FALSE),"")</f>
        <v/>
      </c>
      <c r="K950" s="10">
        <f t="shared" si="14"/>
        <v>7120</v>
      </c>
    </row>
    <row r="951" spans="1:11">
      <c r="A951" t="s">
        <v>2470</v>
      </c>
      <c r="B951" s="10">
        <v>2017</v>
      </c>
      <c r="C951" t="s">
        <v>1381</v>
      </c>
      <c r="D951" t="s">
        <v>2472</v>
      </c>
      <c r="E951" t="s">
        <v>2474</v>
      </c>
      <c r="F951" t="s">
        <v>1528</v>
      </c>
      <c r="G951" t="s">
        <v>1528</v>
      </c>
      <c r="H951" s="10">
        <v>7640</v>
      </c>
      <c r="I951" t="str">
        <f>IFERROR(VLOOKUP(Final!F951,'LEAID Match'!$A$2:$B$374,2,FALSE),"")</f>
        <v/>
      </c>
      <c r="K951" s="10">
        <f t="shared" si="14"/>
        <v>7640</v>
      </c>
    </row>
    <row r="952" spans="1:11">
      <c r="A952" t="s">
        <v>2470</v>
      </c>
      <c r="B952" s="10">
        <v>2018</v>
      </c>
      <c r="C952" t="s">
        <v>1381</v>
      </c>
      <c r="D952" t="s">
        <v>2472</v>
      </c>
      <c r="E952" t="s">
        <v>2474</v>
      </c>
      <c r="F952" t="s">
        <v>1528</v>
      </c>
      <c r="G952" t="s">
        <v>2065</v>
      </c>
      <c r="H952" s="10">
        <v>7439</v>
      </c>
      <c r="I952" t="str">
        <f>IFERROR(VLOOKUP(Final!F952,'LEAID Match'!$A$2:$B$374,2,FALSE),"")</f>
        <v/>
      </c>
      <c r="K952" s="10">
        <f t="shared" si="14"/>
        <v>7439</v>
      </c>
    </row>
    <row r="953" spans="1:11">
      <c r="A953" t="s">
        <v>2470</v>
      </c>
      <c r="B953" s="10">
        <v>2019</v>
      </c>
      <c r="C953" t="s">
        <v>1381</v>
      </c>
      <c r="D953" t="s">
        <v>2472</v>
      </c>
      <c r="E953" t="s">
        <v>2474</v>
      </c>
      <c r="F953" t="s">
        <v>1528</v>
      </c>
      <c r="G953" t="s">
        <v>1528</v>
      </c>
      <c r="H953" s="10">
        <v>7630</v>
      </c>
      <c r="I953" t="str">
        <f>IFERROR(VLOOKUP(Final!F953,'LEAID Match'!$A$2:$B$374,2,FALSE),"")</f>
        <v/>
      </c>
      <c r="K953" s="10">
        <f t="shared" si="14"/>
        <v>7630</v>
      </c>
    </row>
    <row r="954" spans="1:11">
      <c r="A954" t="s">
        <v>2470</v>
      </c>
      <c r="B954" s="10">
        <v>2020</v>
      </c>
      <c r="C954" t="s">
        <v>1381</v>
      </c>
      <c r="D954" t="s">
        <v>2472</v>
      </c>
      <c r="E954" t="s">
        <v>2474</v>
      </c>
      <c r="F954" t="s">
        <v>1528</v>
      </c>
      <c r="G954" t="s">
        <v>1528</v>
      </c>
      <c r="H954" s="10">
        <v>7815</v>
      </c>
      <c r="I954" t="str">
        <f>IFERROR(VLOOKUP(Final!F954,'LEAID Match'!$A$2:$B$374,2,FALSE),"")</f>
        <v/>
      </c>
      <c r="K954" s="10">
        <f t="shared" si="14"/>
        <v>7815</v>
      </c>
    </row>
    <row r="955" spans="1:11">
      <c r="A955" t="s">
        <v>2470</v>
      </c>
      <c r="B955" s="10">
        <v>2021</v>
      </c>
      <c r="C955" t="s">
        <v>1381</v>
      </c>
      <c r="D955" t="s">
        <v>2472</v>
      </c>
      <c r="E955" t="s">
        <v>2474</v>
      </c>
      <c r="F955" t="s">
        <v>1528</v>
      </c>
      <c r="G955" t="s">
        <v>1528</v>
      </c>
      <c r="H955" s="10">
        <v>7951</v>
      </c>
      <c r="I955" t="str">
        <f>IFERROR(VLOOKUP(Final!F955,'LEAID Match'!$A$2:$B$374,2,FALSE),"")</f>
        <v/>
      </c>
      <c r="K955" s="10">
        <f t="shared" si="14"/>
        <v>7951</v>
      </c>
    </row>
    <row r="956" spans="1:11">
      <c r="A956" t="s">
        <v>2470</v>
      </c>
      <c r="B956" s="10">
        <v>2022</v>
      </c>
      <c r="C956" t="s">
        <v>1381</v>
      </c>
      <c r="D956" t="s">
        <v>2472</v>
      </c>
      <c r="E956" t="s">
        <v>2474</v>
      </c>
      <c r="F956" t="s">
        <v>1528</v>
      </c>
      <c r="G956" t="s">
        <v>1528</v>
      </c>
      <c r="H956" s="10">
        <v>8197</v>
      </c>
      <c r="I956" t="str">
        <f>IFERROR(VLOOKUP(Final!F956,'LEAID Match'!$A$2:$B$374,2,FALSE),"")</f>
        <v/>
      </c>
      <c r="K956" s="10">
        <f t="shared" si="14"/>
        <v>8197</v>
      </c>
    </row>
    <row r="957" spans="1:11">
      <c r="A957" t="s">
        <v>2470</v>
      </c>
      <c r="B957" s="10">
        <v>2023</v>
      </c>
      <c r="C957" t="s">
        <v>1381</v>
      </c>
      <c r="D957" t="s">
        <v>2472</v>
      </c>
      <c r="E957" t="s">
        <v>2474</v>
      </c>
      <c r="F957" t="s">
        <v>1528</v>
      </c>
      <c r="G957" t="s">
        <v>1528</v>
      </c>
      <c r="H957" s="10">
        <v>8689</v>
      </c>
      <c r="I957" t="str">
        <f>IFERROR(VLOOKUP(Final!F957,'LEAID Match'!$A$2:$B$374,2,FALSE),"")</f>
        <v/>
      </c>
      <c r="K957" s="10">
        <f t="shared" si="14"/>
        <v>8689</v>
      </c>
    </row>
    <row r="958" spans="1:11">
      <c r="A958" t="s">
        <v>2470</v>
      </c>
      <c r="B958" s="10">
        <v>2015</v>
      </c>
      <c r="C958" t="s">
        <v>173</v>
      </c>
      <c r="D958" t="s">
        <v>2472</v>
      </c>
      <c r="E958" t="s">
        <v>2474</v>
      </c>
      <c r="F958" t="s">
        <v>1531</v>
      </c>
      <c r="G958" t="s">
        <v>118</v>
      </c>
      <c r="H958" s="10">
        <v>105805</v>
      </c>
      <c r="I958" t="str">
        <f>IFERROR(VLOOKUP(Final!F958,'LEAID Match'!$A$2:$B$374,2,FALSE),"")</f>
        <v/>
      </c>
      <c r="K958" s="10">
        <f t="shared" si="14"/>
        <v>105805</v>
      </c>
    </row>
    <row r="959" spans="1:11">
      <c r="A959" t="s">
        <v>2470</v>
      </c>
      <c r="B959" s="10">
        <v>2016</v>
      </c>
      <c r="C959" t="s">
        <v>173</v>
      </c>
      <c r="D959" t="s">
        <v>2472</v>
      </c>
      <c r="E959" t="s">
        <v>2474</v>
      </c>
      <c r="F959" t="s">
        <v>1531</v>
      </c>
      <c r="G959" t="s">
        <v>118</v>
      </c>
      <c r="H959" s="10">
        <v>91556</v>
      </c>
      <c r="I959" t="str">
        <f>IFERROR(VLOOKUP(Final!F959,'LEAID Match'!$A$2:$B$374,2,FALSE),"")</f>
        <v/>
      </c>
      <c r="K959" s="10">
        <f t="shared" si="14"/>
        <v>91556</v>
      </c>
    </row>
    <row r="960" spans="1:11">
      <c r="A960" t="s">
        <v>2470</v>
      </c>
      <c r="B960" s="10">
        <v>2017</v>
      </c>
      <c r="C960" t="s">
        <v>173</v>
      </c>
      <c r="D960" t="s">
        <v>2472</v>
      </c>
      <c r="E960" t="s">
        <v>2474</v>
      </c>
      <c r="F960" t="s">
        <v>1531</v>
      </c>
      <c r="G960" t="s">
        <v>1531</v>
      </c>
      <c r="H960" s="10">
        <v>101483</v>
      </c>
      <c r="I960" t="str">
        <f>IFERROR(VLOOKUP(Final!F960,'LEAID Match'!$A$2:$B$374,2,FALSE),"")</f>
        <v/>
      </c>
      <c r="K960" s="10">
        <f t="shared" si="14"/>
        <v>101483</v>
      </c>
    </row>
    <row r="961" spans="1:11">
      <c r="A961" t="s">
        <v>2470</v>
      </c>
      <c r="B961" s="10">
        <v>2018</v>
      </c>
      <c r="C961" t="s">
        <v>173</v>
      </c>
      <c r="D961" t="s">
        <v>2472</v>
      </c>
      <c r="E961" t="s">
        <v>2474</v>
      </c>
      <c r="F961" t="s">
        <v>1531</v>
      </c>
      <c r="G961" t="s">
        <v>2067</v>
      </c>
      <c r="H961" s="10">
        <v>129158</v>
      </c>
      <c r="I961" t="str">
        <f>IFERROR(VLOOKUP(Final!F961,'LEAID Match'!$A$2:$B$374,2,FALSE),"")</f>
        <v/>
      </c>
      <c r="K961" s="10">
        <f t="shared" si="14"/>
        <v>129158</v>
      </c>
    </row>
    <row r="962" spans="1:11">
      <c r="A962" t="s">
        <v>2470</v>
      </c>
      <c r="B962" s="10">
        <v>2019</v>
      </c>
      <c r="C962" t="s">
        <v>173</v>
      </c>
      <c r="D962" t="s">
        <v>2472</v>
      </c>
      <c r="E962" t="s">
        <v>2474</v>
      </c>
      <c r="F962" t="s">
        <v>1531</v>
      </c>
      <c r="G962" t="s">
        <v>1531</v>
      </c>
      <c r="H962" s="10">
        <v>162946</v>
      </c>
      <c r="I962" t="str">
        <f>IFERROR(VLOOKUP(Final!F962,'LEAID Match'!$A$2:$B$374,2,FALSE),"")</f>
        <v/>
      </c>
      <c r="K962" s="10">
        <f t="shared" si="14"/>
        <v>162946</v>
      </c>
    </row>
    <row r="963" spans="1:11">
      <c r="A963" t="s">
        <v>2470</v>
      </c>
      <c r="B963" s="10">
        <v>2020</v>
      </c>
      <c r="C963" t="s">
        <v>173</v>
      </c>
      <c r="D963" t="s">
        <v>2472</v>
      </c>
      <c r="E963" t="s">
        <v>2474</v>
      </c>
      <c r="F963" t="s">
        <v>1531</v>
      </c>
      <c r="G963" t="s">
        <v>1531</v>
      </c>
      <c r="H963" s="10">
        <v>172869</v>
      </c>
      <c r="I963" t="str">
        <f>IFERROR(VLOOKUP(Final!F963,'LEAID Match'!$A$2:$B$374,2,FALSE),"")</f>
        <v/>
      </c>
      <c r="K963" s="10">
        <f t="shared" ref="K963:K1026" si="15">SUM(H963,J963)</f>
        <v>172869</v>
      </c>
    </row>
    <row r="964" spans="1:11">
      <c r="A964" t="s">
        <v>2470</v>
      </c>
      <c r="B964" s="10">
        <v>2021</v>
      </c>
      <c r="C964" t="s">
        <v>173</v>
      </c>
      <c r="D964" t="s">
        <v>2472</v>
      </c>
      <c r="E964" t="s">
        <v>2474</v>
      </c>
      <c r="F964" t="s">
        <v>1531</v>
      </c>
      <c r="G964" t="s">
        <v>1531</v>
      </c>
      <c r="H964" s="10">
        <v>169822</v>
      </c>
      <c r="I964" t="str">
        <f>IFERROR(VLOOKUP(Final!F964,'LEAID Match'!$A$2:$B$374,2,FALSE),"")</f>
        <v/>
      </c>
      <c r="K964" s="10">
        <f t="shared" si="15"/>
        <v>169822</v>
      </c>
    </row>
    <row r="965" spans="1:11">
      <c r="A965" t="s">
        <v>2470</v>
      </c>
      <c r="B965" s="10">
        <v>2022</v>
      </c>
      <c r="C965" t="s">
        <v>173</v>
      </c>
      <c r="D965" t="s">
        <v>2472</v>
      </c>
      <c r="E965" t="s">
        <v>2474</v>
      </c>
      <c r="F965" t="s">
        <v>1531</v>
      </c>
      <c r="G965" t="s">
        <v>1531</v>
      </c>
      <c r="H965" s="10">
        <v>166140</v>
      </c>
      <c r="I965" t="str">
        <f>IFERROR(VLOOKUP(Final!F965,'LEAID Match'!$A$2:$B$374,2,FALSE),"")</f>
        <v/>
      </c>
      <c r="K965" s="10">
        <f t="shared" si="15"/>
        <v>166140</v>
      </c>
    </row>
    <row r="966" spans="1:11">
      <c r="A966" t="s">
        <v>2470</v>
      </c>
      <c r="B966" s="10">
        <v>2023</v>
      </c>
      <c r="C966" t="s">
        <v>173</v>
      </c>
      <c r="D966" t="s">
        <v>2472</v>
      </c>
      <c r="E966" t="s">
        <v>2474</v>
      </c>
      <c r="F966" t="s">
        <v>1531</v>
      </c>
      <c r="G966" t="s">
        <v>1531</v>
      </c>
      <c r="H966" s="10">
        <v>164447</v>
      </c>
      <c r="I966" t="str">
        <f>IFERROR(VLOOKUP(Final!F966,'LEAID Match'!$A$2:$B$374,2,FALSE),"")</f>
        <v/>
      </c>
      <c r="K966" s="10">
        <f t="shared" si="15"/>
        <v>164447</v>
      </c>
    </row>
    <row r="967" spans="1:11">
      <c r="A967" t="s">
        <v>2470</v>
      </c>
      <c r="B967" s="10">
        <v>2015</v>
      </c>
      <c r="C967" t="s">
        <v>1426</v>
      </c>
      <c r="D967" t="s">
        <v>2472</v>
      </c>
      <c r="E967" t="s">
        <v>2474</v>
      </c>
      <c r="F967" t="s">
        <v>1510</v>
      </c>
      <c r="G967" t="s">
        <v>259</v>
      </c>
      <c r="H967" s="10">
        <v>2195</v>
      </c>
      <c r="I967" t="str">
        <f>IFERROR(VLOOKUP(Final!F967,'LEAID Match'!$A$2:$B$374,2,FALSE),"")</f>
        <v/>
      </c>
      <c r="K967" s="10">
        <f t="shared" si="15"/>
        <v>2195</v>
      </c>
    </row>
    <row r="968" spans="1:11">
      <c r="A968" t="s">
        <v>2470</v>
      </c>
      <c r="B968" s="10">
        <v>2016</v>
      </c>
      <c r="C968" t="s">
        <v>1426</v>
      </c>
      <c r="D968" t="s">
        <v>2472</v>
      </c>
      <c r="E968" t="s">
        <v>2474</v>
      </c>
      <c r="F968" t="s">
        <v>1510</v>
      </c>
      <c r="G968" t="s">
        <v>259</v>
      </c>
      <c r="H968" s="10">
        <v>2491</v>
      </c>
      <c r="I968" t="str">
        <f>IFERROR(VLOOKUP(Final!F968,'LEAID Match'!$A$2:$B$374,2,FALSE),"")</f>
        <v/>
      </c>
      <c r="K968" s="10">
        <f t="shared" si="15"/>
        <v>2491</v>
      </c>
    </row>
    <row r="969" spans="1:11">
      <c r="A969" t="s">
        <v>2470</v>
      </c>
      <c r="B969" s="10">
        <v>2017</v>
      </c>
      <c r="C969" t="s">
        <v>1426</v>
      </c>
      <c r="D969" t="s">
        <v>2472</v>
      </c>
      <c r="E969" t="s">
        <v>2474</v>
      </c>
      <c r="F969" t="s">
        <v>1510</v>
      </c>
      <c r="G969" t="s">
        <v>1510</v>
      </c>
      <c r="H969" s="10">
        <v>2898</v>
      </c>
      <c r="I969" t="str">
        <f>IFERROR(VLOOKUP(Final!F969,'LEAID Match'!$A$2:$B$374,2,FALSE),"")</f>
        <v/>
      </c>
      <c r="K969" s="10">
        <f t="shared" si="15"/>
        <v>2898</v>
      </c>
    </row>
    <row r="970" spans="1:11">
      <c r="A970" t="s">
        <v>2470</v>
      </c>
      <c r="B970" s="10">
        <v>2018</v>
      </c>
      <c r="C970" t="s">
        <v>1426</v>
      </c>
      <c r="D970" t="s">
        <v>2472</v>
      </c>
      <c r="E970" t="s">
        <v>2474</v>
      </c>
      <c r="F970" t="s">
        <v>1510</v>
      </c>
      <c r="G970" t="s">
        <v>1510</v>
      </c>
      <c r="H970" s="10">
        <v>430</v>
      </c>
      <c r="I970" t="str">
        <f>IFERROR(VLOOKUP(Final!F970,'LEAID Match'!$A$2:$B$374,2,FALSE),"")</f>
        <v/>
      </c>
      <c r="K970" s="10">
        <f t="shared" si="15"/>
        <v>430</v>
      </c>
    </row>
    <row r="971" spans="1:11">
      <c r="A971" t="s">
        <v>2470</v>
      </c>
      <c r="B971" s="10">
        <v>2019</v>
      </c>
      <c r="C971" t="s">
        <v>1426</v>
      </c>
      <c r="D971" t="s">
        <v>2472</v>
      </c>
      <c r="E971" t="s">
        <v>2474</v>
      </c>
      <c r="F971" t="s">
        <v>1510</v>
      </c>
      <c r="G971" t="s">
        <v>1510</v>
      </c>
      <c r="H971" s="10">
        <v>1542</v>
      </c>
      <c r="I971" t="str">
        <f>IFERROR(VLOOKUP(Final!F971,'LEAID Match'!$A$2:$B$374,2,FALSE),"")</f>
        <v/>
      </c>
      <c r="K971" s="10">
        <f t="shared" si="15"/>
        <v>1542</v>
      </c>
    </row>
    <row r="972" spans="1:11">
      <c r="A972" t="s">
        <v>2470</v>
      </c>
      <c r="B972" s="10">
        <v>2020</v>
      </c>
      <c r="C972" t="s">
        <v>1426</v>
      </c>
      <c r="D972" t="s">
        <v>2472</v>
      </c>
      <c r="E972" t="s">
        <v>2474</v>
      </c>
      <c r="F972" t="s">
        <v>1510</v>
      </c>
      <c r="G972" t="s">
        <v>1510</v>
      </c>
      <c r="H972" s="10">
        <v>4011</v>
      </c>
      <c r="I972" t="str">
        <f>IFERROR(VLOOKUP(Final!F972,'LEAID Match'!$A$2:$B$374,2,FALSE),"")</f>
        <v/>
      </c>
      <c r="K972" s="10">
        <f t="shared" si="15"/>
        <v>4011</v>
      </c>
    </row>
    <row r="973" spans="1:11">
      <c r="A973" t="s">
        <v>2470</v>
      </c>
      <c r="B973" s="10">
        <v>2021</v>
      </c>
      <c r="C973" t="s">
        <v>1426</v>
      </c>
      <c r="D973" t="s">
        <v>2472</v>
      </c>
      <c r="E973" t="s">
        <v>2474</v>
      </c>
      <c r="F973" t="s">
        <v>1510</v>
      </c>
      <c r="G973" t="s">
        <v>1510</v>
      </c>
      <c r="H973" s="10">
        <v>4376</v>
      </c>
      <c r="I973" t="str">
        <f>IFERROR(VLOOKUP(Final!F973,'LEAID Match'!$A$2:$B$374,2,FALSE),"")</f>
        <v/>
      </c>
      <c r="K973" s="10">
        <f t="shared" si="15"/>
        <v>4376</v>
      </c>
    </row>
    <row r="974" spans="1:11">
      <c r="A974" t="s">
        <v>2470</v>
      </c>
      <c r="B974" s="10">
        <v>2022</v>
      </c>
      <c r="C974" t="s">
        <v>1426</v>
      </c>
      <c r="D974" t="s">
        <v>2472</v>
      </c>
      <c r="E974" t="s">
        <v>2474</v>
      </c>
      <c r="F974" t="s">
        <v>1510</v>
      </c>
      <c r="G974" t="s">
        <v>1510</v>
      </c>
      <c r="H974" s="10">
        <v>4854</v>
      </c>
      <c r="I974" t="str">
        <f>IFERROR(VLOOKUP(Final!F974,'LEAID Match'!$A$2:$B$374,2,FALSE),"")</f>
        <v/>
      </c>
      <c r="K974" s="10">
        <f t="shared" si="15"/>
        <v>4854</v>
      </c>
    </row>
    <row r="975" spans="1:11">
      <c r="A975" t="s">
        <v>2470</v>
      </c>
      <c r="B975" s="10">
        <v>2023</v>
      </c>
      <c r="C975" t="s">
        <v>1426</v>
      </c>
      <c r="D975" t="s">
        <v>2472</v>
      </c>
      <c r="E975" t="s">
        <v>2474</v>
      </c>
      <c r="F975" t="s">
        <v>1510</v>
      </c>
      <c r="G975" t="s">
        <v>1510</v>
      </c>
      <c r="H975" s="10">
        <v>5347</v>
      </c>
      <c r="I975" t="str">
        <f>IFERROR(VLOOKUP(Final!F975,'LEAID Match'!$A$2:$B$374,2,FALSE),"")</f>
        <v/>
      </c>
      <c r="K975" s="10">
        <f t="shared" si="15"/>
        <v>5347</v>
      </c>
    </row>
    <row r="976" spans="1:11">
      <c r="A976" t="s">
        <v>2470</v>
      </c>
      <c r="B976" s="10">
        <v>2015</v>
      </c>
      <c r="C976" t="s">
        <v>100</v>
      </c>
      <c r="D976" t="s">
        <v>2472</v>
      </c>
      <c r="E976" t="s">
        <v>2474</v>
      </c>
      <c r="F976" t="s">
        <v>1596</v>
      </c>
      <c r="G976" t="s">
        <v>46</v>
      </c>
      <c r="H976" s="10">
        <v>23409</v>
      </c>
      <c r="I976" t="str">
        <f>IFERROR(VLOOKUP(Final!F976,'LEAID Match'!$A$2:$B$374,2,FALSE),"")</f>
        <v/>
      </c>
      <c r="K976" s="10">
        <f t="shared" si="15"/>
        <v>23409</v>
      </c>
    </row>
    <row r="977" spans="1:11">
      <c r="A977" t="s">
        <v>2470</v>
      </c>
      <c r="B977" s="10">
        <v>2016</v>
      </c>
      <c r="C977" t="s">
        <v>100</v>
      </c>
      <c r="D977" t="s">
        <v>2472</v>
      </c>
      <c r="E977" t="s">
        <v>2474</v>
      </c>
      <c r="F977" t="s">
        <v>1596</v>
      </c>
      <c r="G977" t="s">
        <v>46</v>
      </c>
      <c r="H977" s="10">
        <v>19005</v>
      </c>
      <c r="I977" t="str">
        <f>IFERROR(VLOOKUP(Final!F977,'LEAID Match'!$A$2:$B$374,2,FALSE),"")</f>
        <v/>
      </c>
      <c r="K977" s="10">
        <f t="shared" si="15"/>
        <v>19005</v>
      </c>
    </row>
    <row r="978" spans="1:11">
      <c r="A978" t="s">
        <v>2470</v>
      </c>
      <c r="B978" s="10">
        <v>2017</v>
      </c>
      <c r="C978" t="s">
        <v>100</v>
      </c>
      <c r="D978" t="s">
        <v>2472</v>
      </c>
      <c r="E978" t="s">
        <v>2474</v>
      </c>
      <c r="F978" t="s">
        <v>1596</v>
      </c>
      <c r="G978" t="s">
        <v>1596</v>
      </c>
      <c r="H978" s="10">
        <v>19140</v>
      </c>
      <c r="I978" t="str">
        <f>IFERROR(VLOOKUP(Final!F978,'LEAID Match'!$A$2:$B$374,2,FALSE),"")</f>
        <v/>
      </c>
      <c r="K978" s="10">
        <f t="shared" si="15"/>
        <v>19140</v>
      </c>
    </row>
    <row r="979" spans="1:11">
      <c r="A979" t="s">
        <v>2470</v>
      </c>
      <c r="B979" s="10">
        <v>2018</v>
      </c>
      <c r="C979" t="s">
        <v>100</v>
      </c>
      <c r="D979" t="s">
        <v>2472</v>
      </c>
      <c r="E979" t="s">
        <v>2474</v>
      </c>
      <c r="F979" t="s">
        <v>1596</v>
      </c>
      <c r="G979" t="s">
        <v>2111</v>
      </c>
      <c r="H979" s="10">
        <v>20888</v>
      </c>
      <c r="I979" t="str">
        <f>IFERROR(VLOOKUP(Final!F979,'LEAID Match'!$A$2:$B$374,2,FALSE),"")</f>
        <v/>
      </c>
      <c r="K979" s="10">
        <f t="shared" si="15"/>
        <v>20888</v>
      </c>
    </row>
    <row r="980" spans="1:11">
      <c r="A980" t="s">
        <v>2470</v>
      </c>
      <c r="B980" s="10">
        <v>2019</v>
      </c>
      <c r="C980" t="s">
        <v>100</v>
      </c>
      <c r="D980" t="s">
        <v>2472</v>
      </c>
      <c r="E980" t="s">
        <v>2474</v>
      </c>
      <c r="F980" t="s">
        <v>1596</v>
      </c>
      <c r="G980" t="s">
        <v>1596</v>
      </c>
      <c r="H980" s="10">
        <v>25072</v>
      </c>
      <c r="I980" t="str">
        <f>IFERROR(VLOOKUP(Final!F980,'LEAID Match'!$A$2:$B$374,2,FALSE),"")</f>
        <v/>
      </c>
      <c r="K980" s="10">
        <f t="shared" si="15"/>
        <v>25072</v>
      </c>
    </row>
    <row r="981" spans="1:11">
      <c r="A981" t="s">
        <v>2470</v>
      </c>
      <c r="B981" s="10">
        <v>2020</v>
      </c>
      <c r="C981" t="s">
        <v>100</v>
      </c>
      <c r="D981" t="s">
        <v>2472</v>
      </c>
      <c r="E981" t="s">
        <v>2474</v>
      </c>
      <c r="F981" t="s">
        <v>1596</v>
      </c>
      <c r="G981" t="s">
        <v>1596</v>
      </c>
      <c r="H981" s="10">
        <v>24769</v>
      </c>
      <c r="I981" t="str">
        <f>IFERROR(VLOOKUP(Final!F981,'LEAID Match'!$A$2:$B$374,2,FALSE),"")</f>
        <v/>
      </c>
      <c r="K981" s="10">
        <f t="shared" si="15"/>
        <v>24769</v>
      </c>
    </row>
    <row r="982" spans="1:11">
      <c r="A982" t="s">
        <v>2470</v>
      </c>
      <c r="B982" s="10">
        <v>2021</v>
      </c>
      <c r="C982" t="s">
        <v>100</v>
      </c>
      <c r="D982" t="s">
        <v>2472</v>
      </c>
      <c r="E982" t="s">
        <v>2474</v>
      </c>
      <c r="F982" t="s">
        <v>1596</v>
      </c>
      <c r="G982" t="s">
        <v>1596</v>
      </c>
      <c r="H982" s="10">
        <v>24147</v>
      </c>
      <c r="I982" t="str">
        <f>IFERROR(VLOOKUP(Final!F982,'LEAID Match'!$A$2:$B$374,2,FALSE),"")</f>
        <v/>
      </c>
      <c r="K982" s="10">
        <f t="shared" si="15"/>
        <v>24147</v>
      </c>
    </row>
    <row r="983" spans="1:11">
      <c r="A983" t="s">
        <v>2470</v>
      </c>
      <c r="B983" s="10">
        <v>2022</v>
      </c>
      <c r="C983" t="s">
        <v>100</v>
      </c>
      <c r="D983" t="s">
        <v>2472</v>
      </c>
      <c r="E983" t="s">
        <v>2474</v>
      </c>
      <c r="F983" t="s">
        <v>1596</v>
      </c>
      <c r="G983" t="s">
        <v>1596</v>
      </c>
      <c r="H983" s="10">
        <v>25660</v>
      </c>
      <c r="I983" t="str">
        <f>IFERROR(VLOOKUP(Final!F983,'LEAID Match'!$A$2:$B$374,2,FALSE),"")</f>
        <v/>
      </c>
      <c r="K983" s="10">
        <f t="shared" si="15"/>
        <v>25660</v>
      </c>
    </row>
    <row r="984" spans="1:11">
      <c r="A984" t="s">
        <v>2470</v>
      </c>
      <c r="B984" s="10">
        <v>2023</v>
      </c>
      <c r="C984" t="s">
        <v>100</v>
      </c>
      <c r="D984" t="s">
        <v>2472</v>
      </c>
      <c r="E984" t="s">
        <v>2474</v>
      </c>
      <c r="F984" t="s">
        <v>1596</v>
      </c>
      <c r="G984" t="s">
        <v>1596</v>
      </c>
      <c r="H984" s="10">
        <v>30481</v>
      </c>
      <c r="I984" t="str">
        <f>IFERROR(VLOOKUP(Final!F984,'LEAID Match'!$A$2:$B$374,2,FALSE),"")</f>
        <v/>
      </c>
      <c r="K984" s="10">
        <f t="shared" si="15"/>
        <v>30481</v>
      </c>
    </row>
    <row r="985" spans="1:11">
      <c r="A985" t="s">
        <v>2470</v>
      </c>
      <c r="B985" s="10">
        <v>2016</v>
      </c>
      <c r="C985" t="s">
        <v>1382</v>
      </c>
      <c r="D985" t="s">
        <v>2472</v>
      </c>
      <c r="E985" t="s">
        <v>2474</v>
      </c>
      <c r="F985" t="s">
        <v>1536</v>
      </c>
      <c r="G985" t="s">
        <v>1376</v>
      </c>
      <c r="H985" s="10">
        <v>12156879</v>
      </c>
      <c r="I985" t="str">
        <f>IFERROR(VLOOKUP(Final!F985,'LEAID Match'!$A$2:$B$374,2,FALSE),"")</f>
        <v/>
      </c>
      <c r="K985" s="10">
        <f t="shared" si="15"/>
        <v>12156879</v>
      </c>
    </row>
    <row r="986" spans="1:11">
      <c r="A986" t="s">
        <v>2470</v>
      </c>
      <c r="B986" s="10">
        <v>2017</v>
      </c>
      <c r="C986" t="s">
        <v>1382</v>
      </c>
      <c r="D986" t="s">
        <v>2472</v>
      </c>
      <c r="E986" t="s">
        <v>2474</v>
      </c>
      <c r="F986" t="s">
        <v>1536</v>
      </c>
      <c r="G986" t="s">
        <v>1536</v>
      </c>
      <c r="H986" s="10">
        <v>12020209</v>
      </c>
      <c r="I986" t="str">
        <f>IFERROR(VLOOKUP(Final!F986,'LEAID Match'!$A$2:$B$374,2,FALSE),"")</f>
        <v/>
      </c>
      <c r="K986" s="10">
        <f t="shared" si="15"/>
        <v>12020209</v>
      </c>
    </row>
    <row r="987" spans="1:11">
      <c r="A987" t="s">
        <v>2470</v>
      </c>
      <c r="B987" s="10">
        <v>2018</v>
      </c>
      <c r="C987" t="s">
        <v>1382</v>
      </c>
      <c r="D987" t="s">
        <v>2472</v>
      </c>
      <c r="E987" t="s">
        <v>2474</v>
      </c>
      <c r="F987" t="s">
        <v>1536</v>
      </c>
      <c r="G987" t="s">
        <v>1536</v>
      </c>
      <c r="H987" s="10">
        <v>12107741</v>
      </c>
      <c r="I987" t="str">
        <f>IFERROR(VLOOKUP(Final!F987,'LEAID Match'!$A$2:$B$374,2,FALSE),"")</f>
        <v/>
      </c>
      <c r="K987" s="10">
        <f t="shared" si="15"/>
        <v>12107741</v>
      </c>
    </row>
    <row r="988" spans="1:11">
      <c r="A988" t="s">
        <v>2470</v>
      </c>
      <c r="B988" s="10">
        <v>2019</v>
      </c>
      <c r="C988" t="s">
        <v>1382</v>
      </c>
      <c r="D988" t="s">
        <v>2472</v>
      </c>
      <c r="E988" t="s">
        <v>2474</v>
      </c>
      <c r="F988" t="s">
        <v>1536</v>
      </c>
      <c r="G988" t="s">
        <v>1536</v>
      </c>
      <c r="H988" s="10">
        <v>12460338</v>
      </c>
      <c r="I988" t="str">
        <f>IFERROR(VLOOKUP(Final!F988,'LEAID Match'!$A$2:$B$374,2,FALSE),"")</f>
        <v/>
      </c>
      <c r="K988" s="10">
        <f t="shared" si="15"/>
        <v>12460338</v>
      </c>
    </row>
    <row r="989" spans="1:11">
      <c r="A989" t="s">
        <v>2470</v>
      </c>
      <c r="B989" s="10">
        <v>2020</v>
      </c>
      <c r="C989" t="s">
        <v>1382</v>
      </c>
      <c r="D989" t="s">
        <v>2472</v>
      </c>
      <c r="E989" t="s">
        <v>2474</v>
      </c>
      <c r="F989" t="s">
        <v>1536</v>
      </c>
      <c r="G989" t="s">
        <v>1536</v>
      </c>
      <c r="H989" s="10">
        <v>13247961</v>
      </c>
      <c r="I989" t="str">
        <f>IFERROR(VLOOKUP(Final!F989,'LEAID Match'!$A$2:$B$374,2,FALSE),"")</f>
        <v/>
      </c>
      <c r="K989" s="10">
        <f t="shared" si="15"/>
        <v>13247961</v>
      </c>
    </row>
    <row r="990" spans="1:11">
      <c r="A990" t="s">
        <v>2470</v>
      </c>
      <c r="B990" s="10">
        <v>2021</v>
      </c>
      <c r="C990" t="s">
        <v>1382</v>
      </c>
      <c r="D990" t="s">
        <v>2472</v>
      </c>
      <c r="E990" t="s">
        <v>2474</v>
      </c>
      <c r="F990" t="s">
        <v>1536</v>
      </c>
      <c r="G990" t="s">
        <v>1536</v>
      </c>
      <c r="H990" s="10">
        <v>13513697</v>
      </c>
      <c r="I990" t="str">
        <f>IFERROR(VLOOKUP(Final!F990,'LEAID Match'!$A$2:$B$374,2,FALSE),"")</f>
        <v/>
      </c>
      <c r="K990" s="10">
        <f t="shared" si="15"/>
        <v>13513697</v>
      </c>
    </row>
    <row r="991" spans="1:11">
      <c r="A991" t="s">
        <v>2470</v>
      </c>
      <c r="B991" s="10">
        <v>2022</v>
      </c>
      <c r="C991" t="s">
        <v>1382</v>
      </c>
      <c r="D991" t="s">
        <v>2472</v>
      </c>
      <c r="E991" t="s">
        <v>2474</v>
      </c>
      <c r="F991" t="s">
        <v>1536</v>
      </c>
      <c r="G991" t="s">
        <v>1536</v>
      </c>
      <c r="H991" s="10">
        <v>14350401</v>
      </c>
      <c r="I991" t="str">
        <f>IFERROR(VLOOKUP(Final!F991,'LEAID Match'!$A$2:$B$374,2,FALSE),"")</f>
        <v/>
      </c>
      <c r="K991" s="10">
        <f t="shared" si="15"/>
        <v>14350401</v>
      </c>
    </row>
    <row r="992" spans="1:11">
      <c r="A992" t="s">
        <v>2470</v>
      </c>
      <c r="B992" s="10">
        <v>2023</v>
      </c>
      <c r="C992" t="s">
        <v>1382</v>
      </c>
      <c r="D992" t="s">
        <v>2472</v>
      </c>
      <c r="E992" t="s">
        <v>2474</v>
      </c>
      <c r="F992" t="s">
        <v>1536</v>
      </c>
      <c r="G992" t="s">
        <v>1536</v>
      </c>
      <c r="H992" s="10">
        <v>16087711</v>
      </c>
      <c r="I992" t="str">
        <f>IFERROR(VLOOKUP(Final!F992,'LEAID Match'!$A$2:$B$374,2,FALSE),"")</f>
        <v/>
      </c>
      <c r="K992" s="10">
        <f t="shared" si="15"/>
        <v>16087711</v>
      </c>
    </row>
    <row r="993" spans="1:11">
      <c r="A993" t="s">
        <v>2470</v>
      </c>
      <c r="B993" s="10">
        <v>2015</v>
      </c>
      <c r="C993" t="s">
        <v>95</v>
      </c>
      <c r="D993" t="s">
        <v>2472</v>
      </c>
      <c r="E993" t="s">
        <v>2474</v>
      </c>
      <c r="F993" t="s">
        <v>1595</v>
      </c>
      <c r="G993" t="s">
        <v>42</v>
      </c>
      <c r="H993" s="10">
        <v>45831</v>
      </c>
      <c r="I993" t="str">
        <f>IFERROR(VLOOKUP(Final!F993,'LEAID Match'!$A$2:$B$374,2,FALSE),"")</f>
        <v/>
      </c>
      <c r="K993" s="10">
        <f t="shared" si="15"/>
        <v>45831</v>
      </c>
    </row>
    <row r="994" spans="1:11">
      <c r="A994" t="s">
        <v>2470</v>
      </c>
      <c r="B994" s="10">
        <v>2016</v>
      </c>
      <c r="C994" t="s">
        <v>95</v>
      </c>
      <c r="D994" t="s">
        <v>2472</v>
      </c>
      <c r="E994" t="s">
        <v>2474</v>
      </c>
      <c r="F994" t="s">
        <v>1595</v>
      </c>
      <c r="G994" t="s">
        <v>1369</v>
      </c>
      <c r="H994" s="10">
        <v>50927</v>
      </c>
      <c r="I994" t="str">
        <f>IFERROR(VLOOKUP(Final!F994,'LEAID Match'!$A$2:$B$374,2,FALSE),"")</f>
        <v/>
      </c>
      <c r="K994" s="10">
        <f t="shared" si="15"/>
        <v>50927</v>
      </c>
    </row>
    <row r="995" spans="1:11">
      <c r="A995" t="s">
        <v>2470</v>
      </c>
      <c r="B995" s="10">
        <v>2017</v>
      </c>
      <c r="C995" t="s">
        <v>95</v>
      </c>
      <c r="D995" t="s">
        <v>2472</v>
      </c>
      <c r="E995" t="s">
        <v>2474</v>
      </c>
      <c r="F995" t="s">
        <v>1595</v>
      </c>
      <c r="G995" t="s">
        <v>1595</v>
      </c>
      <c r="H995" s="10">
        <v>35860</v>
      </c>
      <c r="I995" t="str">
        <f>IFERROR(VLOOKUP(Final!F995,'LEAID Match'!$A$2:$B$374,2,FALSE),"")</f>
        <v/>
      </c>
      <c r="K995" s="10">
        <f t="shared" si="15"/>
        <v>35860</v>
      </c>
    </row>
    <row r="996" spans="1:11">
      <c r="A996" t="s">
        <v>2470</v>
      </c>
      <c r="B996" s="10">
        <v>2018</v>
      </c>
      <c r="C996" t="s">
        <v>95</v>
      </c>
      <c r="D996" t="s">
        <v>2472</v>
      </c>
      <c r="E996" t="s">
        <v>2474</v>
      </c>
      <c r="F996" t="s">
        <v>1595</v>
      </c>
      <c r="G996" t="s">
        <v>1595</v>
      </c>
      <c r="H996" s="10">
        <v>37125</v>
      </c>
      <c r="I996" t="str">
        <f>IFERROR(VLOOKUP(Final!F996,'LEAID Match'!$A$2:$B$374,2,FALSE),"")</f>
        <v/>
      </c>
      <c r="K996" s="10">
        <f t="shared" si="15"/>
        <v>37125</v>
      </c>
    </row>
    <row r="997" spans="1:11">
      <c r="A997" t="s">
        <v>2470</v>
      </c>
      <c r="B997" s="10">
        <v>2019</v>
      </c>
      <c r="C997" t="s">
        <v>95</v>
      </c>
      <c r="D997" t="s">
        <v>2472</v>
      </c>
      <c r="E997" t="s">
        <v>2474</v>
      </c>
      <c r="F997" t="s">
        <v>1595</v>
      </c>
      <c r="G997" t="s">
        <v>1595</v>
      </c>
      <c r="H997" s="10">
        <v>38868</v>
      </c>
      <c r="I997" t="str">
        <f>IFERROR(VLOOKUP(Final!F997,'LEAID Match'!$A$2:$B$374,2,FALSE),"")</f>
        <v/>
      </c>
      <c r="K997" s="10">
        <f t="shared" si="15"/>
        <v>38868</v>
      </c>
    </row>
    <row r="998" spans="1:11">
      <c r="A998" t="s">
        <v>2470</v>
      </c>
      <c r="B998" s="10">
        <v>2020</v>
      </c>
      <c r="C998" t="s">
        <v>95</v>
      </c>
      <c r="D998" t="s">
        <v>2472</v>
      </c>
      <c r="E998" t="s">
        <v>2474</v>
      </c>
      <c r="F998" t="s">
        <v>1595</v>
      </c>
      <c r="G998" t="s">
        <v>1595</v>
      </c>
      <c r="H998" s="10">
        <v>50708</v>
      </c>
      <c r="I998" t="str">
        <f>IFERROR(VLOOKUP(Final!F998,'LEAID Match'!$A$2:$B$374,2,FALSE),"")</f>
        <v/>
      </c>
      <c r="K998" s="10">
        <f t="shared" si="15"/>
        <v>50708</v>
      </c>
    </row>
    <row r="999" spans="1:11">
      <c r="A999" t="s">
        <v>2470</v>
      </c>
      <c r="B999" s="10">
        <v>2021</v>
      </c>
      <c r="C999" t="s">
        <v>95</v>
      </c>
      <c r="D999" t="s">
        <v>2472</v>
      </c>
      <c r="E999" t="s">
        <v>2474</v>
      </c>
      <c r="F999" t="s">
        <v>1595</v>
      </c>
      <c r="G999" t="s">
        <v>1595</v>
      </c>
      <c r="H999" s="10">
        <v>57901</v>
      </c>
      <c r="I999" t="str">
        <f>IFERROR(VLOOKUP(Final!F999,'LEAID Match'!$A$2:$B$374,2,FALSE),"")</f>
        <v/>
      </c>
      <c r="K999" s="10">
        <f t="shared" si="15"/>
        <v>57901</v>
      </c>
    </row>
    <row r="1000" spans="1:11">
      <c r="A1000" t="s">
        <v>2470</v>
      </c>
      <c r="B1000" s="10">
        <v>2022</v>
      </c>
      <c r="C1000" t="s">
        <v>95</v>
      </c>
      <c r="D1000" t="s">
        <v>2472</v>
      </c>
      <c r="E1000" t="s">
        <v>2474</v>
      </c>
      <c r="F1000" t="s">
        <v>1595</v>
      </c>
      <c r="G1000" t="s">
        <v>1595</v>
      </c>
      <c r="H1000" s="10">
        <v>113498</v>
      </c>
      <c r="I1000" t="str">
        <f>IFERROR(VLOOKUP(Final!F1000,'LEAID Match'!$A$2:$B$374,2,FALSE),"")</f>
        <v/>
      </c>
      <c r="K1000" s="10">
        <f t="shared" si="15"/>
        <v>113498</v>
      </c>
    </row>
    <row r="1001" spans="1:11">
      <c r="A1001" t="s">
        <v>2470</v>
      </c>
      <c r="B1001" s="10">
        <v>2023</v>
      </c>
      <c r="C1001" t="s">
        <v>95</v>
      </c>
      <c r="D1001" t="s">
        <v>2472</v>
      </c>
      <c r="E1001" t="s">
        <v>2474</v>
      </c>
      <c r="F1001" t="s">
        <v>1595</v>
      </c>
      <c r="G1001" t="s">
        <v>1595</v>
      </c>
      <c r="H1001" s="10">
        <v>166015</v>
      </c>
      <c r="I1001" t="str">
        <f>IFERROR(VLOOKUP(Final!F1001,'LEAID Match'!$A$2:$B$374,2,FALSE),"")</f>
        <v/>
      </c>
      <c r="K1001" s="10">
        <f t="shared" si="15"/>
        <v>166015</v>
      </c>
    </row>
    <row r="1002" spans="1:11">
      <c r="A1002" t="s">
        <v>2470</v>
      </c>
      <c r="B1002" s="10">
        <v>2017</v>
      </c>
      <c r="C1002" t="s">
        <v>1598</v>
      </c>
      <c r="D1002" t="s">
        <v>2472</v>
      </c>
      <c r="E1002" t="s">
        <v>2474</v>
      </c>
      <c r="F1002" t="s">
        <v>1575</v>
      </c>
      <c r="G1002" t="s">
        <v>1575</v>
      </c>
      <c r="H1002" s="10">
        <v>169840</v>
      </c>
      <c r="I1002" t="str">
        <f>IFERROR(VLOOKUP(Final!F1002,'LEAID Match'!$A$2:$B$374,2,FALSE),"")</f>
        <v/>
      </c>
      <c r="K1002" s="10">
        <f t="shared" si="15"/>
        <v>169840</v>
      </c>
    </row>
    <row r="1003" spans="1:11">
      <c r="A1003" t="s">
        <v>2470</v>
      </c>
      <c r="B1003" s="10">
        <v>2018</v>
      </c>
      <c r="C1003" t="s">
        <v>1598</v>
      </c>
      <c r="D1003" t="s">
        <v>2472</v>
      </c>
      <c r="E1003" t="s">
        <v>2474</v>
      </c>
      <c r="F1003" t="s">
        <v>1575</v>
      </c>
      <c r="G1003" t="s">
        <v>2100</v>
      </c>
      <c r="H1003" s="10">
        <v>182909</v>
      </c>
      <c r="I1003" t="str">
        <f>IFERROR(VLOOKUP(Final!F1003,'LEAID Match'!$A$2:$B$374,2,FALSE),"")</f>
        <v/>
      </c>
      <c r="K1003" s="10">
        <f t="shared" si="15"/>
        <v>182909</v>
      </c>
    </row>
    <row r="1004" spans="1:11">
      <c r="A1004" t="s">
        <v>2470</v>
      </c>
      <c r="B1004" s="10">
        <v>2019</v>
      </c>
      <c r="C1004" t="s">
        <v>1598</v>
      </c>
      <c r="D1004" t="s">
        <v>2472</v>
      </c>
      <c r="E1004" t="s">
        <v>2474</v>
      </c>
      <c r="F1004" t="s">
        <v>1575</v>
      </c>
      <c r="G1004" t="s">
        <v>1575</v>
      </c>
      <c r="H1004" s="10">
        <v>191075</v>
      </c>
      <c r="I1004" t="str">
        <f>IFERROR(VLOOKUP(Final!F1004,'LEAID Match'!$A$2:$B$374,2,FALSE),"")</f>
        <v/>
      </c>
      <c r="K1004" s="10">
        <f t="shared" si="15"/>
        <v>191075</v>
      </c>
    </row>
    <row r="1005" spans="1:11">
      <c r="A1005" t="s">
        <v>2470</v>
      </c>
      <c r="B1005" s="10">
        <v>2020</v>
      </c>
      <c r="C1005" t="s">
        <v>1598</v>
      </c>
      <c r="D1005" t="s">
        <v>2472</v>
      </c>
      <c r="E1005" t="s">
        <v>2474</v>
      </c>
      <c r="F1005" t="s">
        <v>1575</v>
      </c>
      <c r="G1005" t="s">
        <v>1575</v>
      </c>
      <c r="H1005" s="10">
        <v>187646</v>
      </c>
      <c r="I1005" t="str">
        <f>IFERROR(VLOOKUP(Final!F1005,'LEAID Match'!$A$2:$B$374,2,FALSE),"")</f>
        <v/>
      </c>
      <c r="K1005" s="10">
        <f t="shared" si="15"/>
        <v>187646</v>
      </c>
    </row>
    <row r="1006" spans="1:11">
      <c r="A1006" t="s">
        <v>2470</v>
      </c>
      <c r="B1006" s="10">
        <v>2021</v>
      </c>
      <c r="C1006" t="s">
        <v>1598</v>
      </c>
      <c r="D1006" t="s">
        <v>2472</v>
      </c>
      <c r="E1006" t="s">
        <v>2474</v>
      </c>
      <c r="F1006" t="s">
        <v>1575</v>
      </c>
      <c r="G1006" t="s">
        <v>1575</v>
      </c>
      <c r="H1006" s="10">
        <v>212020</v>
      </c>
      <c r="I1006" t="str">
        <f>IFERROR(VLOOKUP(Final!F1006,'LEAID Match'!$A$2:$B$374,2,FALSE),"")</f>
        <v/>
      </c>
      <c r="K1006" s="10">
        <f t="shared" si="15"/>
        <v>212020</v>
      </c>
    </row>
    <row r="1007" spans="1:11">
      <c r="A1007" t="s">
        <v>2470</v>
      </c>
      <c r="B1007" s="10">
        <v>2022</v>
      </c>
      <c r="C1007" t="s">
        <v>1598</v>
      </c>
      <c r="D1007" t="s">
        <v>2472</v>
      </c>
      <c r="E1007" t="s">
        <v>2474</v>
      </c>
      <c r="F1007" t="s">
        <v>1575</v>
      </c>
      <c r="G1007" t="s">
        <v>1575</v>
      </c>
      <c r="H1007" s="10">
        <v>212875</v>
      </c>
      <c r="I1007" t="str">
        <f>IFERROR(VLOOKUP(Final!F1007,'LEAID Match'!$A$2:$B$374,2,FALSE),"")</f>
        <v/>
      </c>
      <c r="K1007" s="10">
        <f t="shared" si="15"/>
        <v>212875</v>
      </c>
    </row>
    <row r="1008" spans="1:11">
      <c r="A1008" t="s">
        <v>2470</v>
      </c>
      <c r="B1008" s="10">
        <v>2023</v>
      </c>
      <c r="C1008" t="s">
        <v>1598</v>
      </c>
      <c r="D1008" t="s">
        <v>2472</v>
      </c>
      <c r="E1008" t="s">
        <v>2474</v>
      </c>
      <c r="F1008" t="s">
        <v>1575</v>
      </c>
      <c r="G1008" t="s">
        <v>1575</v>
      </c>
      <c r="H1008" s="10">
        <v>257457</v>
      </c>
      <c r="I1008" t="str">
        <f>IFERROR(VLOOKUP(Final!F1008,'LEAID Match'!$A$2:$B$374,2,FALSE),"")</f>
        <v/>
      </c>
      <c r="K1008" s="10">
        <f t="shared" si="15"/>
        <v>257457</v>
      </c>
    </row>
    <row r="1009" spans="1:11">
      <c r="A1009" t="s">
        <v>2470</v>
      </c>
      <c r="B1009" s="10">
        <v>2017</v>
      </c>
      <c r="C1009" t="s">
        <v>1563</v>
      </c>
      <c r="D1009" t="s">
        <v>2472</v>
      </c>
      <c r="E1009" t="s">
        <v>2474</v>
      </c>
      <c r="F1009" t="s">
        <v>1560</v>
      </c>
      <c r="G1009" t="s">
        <v>1560</v>
      </c>
      <c r="H1009" s="10">
        <v>94127</v>
      </c>
      <c r="I1009" t="str">
        <f>IFERROR(VLOOKUP(Final!F1009,'LEAID Match'!$A$2:$B$374,2,FALSE),"")</f>
        <v/>
      </c>
      <c r="K1009" s="10">
        <f t="shared" si="15"/>
        <v>94127</v>
      </c>
    </row>
    <row r="1010" spans="1:11">
      <c r="A1010" t="s">
        <v>2470</v>
      </c>
      <c r="B1010" s="10">
        <v>2018</v>
      </c>
      <c r="C1010" t="s">
        <v>1563</v>
      </c>
      <c r="D1010" t="s">
        <v>2472</v>
      </c>
      <c r="E1010" t="s">
        <v>2474</v>
      </c>
      <c r="F1010" t="s">
        <v>1560</v>
      </c>
      <c r="G1010" t="s">
        <v>1560</v>
      </c>
      <c r="H1010" s="10">
        <v>100417</v>
      </c>
      <c r="I1010" t="str">
        <f>IFERROR(VLOOKUP(Final!F1010,'LEAID Match'!$A$2:$B$374,2,FALSE),"")</f>
        <v/>
      </c>
      <c r="K1010" s="10">
        <f t="shared" si="15"/>
        <v>100417</v>
      </c>
    </row>
    <row r="1011" spans="1:11">
      <c r="A1011" t="s">
        <v>2470</v>
      </c>
      <c r="B1011" s="10">
        <v>2019</v>
      </c>
      <c r="C1011" t="s">
        <v>1563</v>
      </c>
      <c r="D1011" t="s">
        <v>2472</v>
      </c>
      <c r="E1011" t="s">
        <v>2474</v>
      </c>
      <c r="F1011" t="s">
        <v>1560</v>
      </c>
      <c r="G1011" t="s">
        <v>1560</v>
      </c>
      <c r="H1011" s="10">
        <v>94775</v>
      </c>
      <c r="I1011" t="str">
        <f>IFERROR(VLOOKUP(Final!F1011,'LEAID Match'!$A$2:$B$374,2,FALSE),"")</f>
        <v/>
      </c>
      <c r="K1011" s="10">
        <f t="shared" si="15"/>
        <v>94775</v>
      </c>
    </row>
    <row r="1012" spans="1:11">
      <c r="A1012" t="s">
        <v>2470</v>
      </c>
      <c r="B1012" s="10">
        <v>2020</v>
      </c>
      <c r="C1012" t="s">
        <v>1563</v>
      </c>
      <c r="D1012" t="s">
        <v>2472</v>
      </c>
      <c r="E1012" t="s">
        <v>2474</v>
      </c>
      <c r="F1012" t="s">
        <v>1560</v>
      </c>
      <c r="G1012" t="s">
        <v>1560</v>
      </c>
      <c r="H1012" s="10">
        <v>94287</v>
      </c>
      <c r="I1012" t="str">
        <f>IFERROR(VLOOKUP(Final!F1012,'LEAID Match'!$A$2:$B$374,2,FALSE),"")</f>
        <v/>
      </c>
      <c r="K1012" s="10">
        <f t="shared" si="15"/>
        <v>94287</v>
      </c>
    </row>
    <row r="1013" spans="1:11">
      <c r="A1013" t="s">
        <v>2470</v>
      </c>
      <c r="B1013" s="10">
        <v>2021</v>
      </c>
      <c r="C1013" t="s">
        <v>1563</v>
      </c>
      <c r="D1013" t="s">
        <v>2472</v>
      </c>
      <c r="E1013" t="s">
        <v>2474</v>
      </c>
      <c r="F1013" t="s">
        <v>1560</v>
      </c>
      <c r="G1013" t="s">
        <v>1560</v>
      </c>
      <c r="H1013" s="10">
        <v>119995</v>
      </c>
      <c r="I1013" t="str">
        <f>IFERROR(VLOOKUP(Final!F1013,'LEAID Match'!$A$2:$B$374,2,FALSE),"")</f>
        <v/>
      </c>
      <c r="K1013" s="10">
        <f t="shared" si="15"/>
        <v>119995</v>
      </c>
    </row>
    <row r="1014" spans="1:11">
      <c r="A1014" t="s">
        <v>2470</v>
      </c>
      <c r="B1014" s="10">
        <v>2022</v>
      </c>
      <c r="C1014" t="s">
        <v>1563</v>
      </c>
      <c r="D1014" t="s">
        <v>2472</v>
      </c>
      <c r="E1014" t="s">
        <v>2474</v>
      </c>
      <c r="F1014" t="s">
        <v>1560</v>
      </c>
      <c r="G1014" t="s">
        <v>1560</v>
      </c>
      <c r="H1014" s="10">
        <v>126453</v>
      </c>
      <c r="I1014" t="str">
        <f>IFERROR(VLOOKUP(Final!F1014,'LEAID Match'!$A$2:$B$374,2,FALSE),"")</f>
        <v/>
      </c>
      <c r="K1014" s="10">
        <f t="shared" si="15"/>
        <v>126453</v>
      </c>
    </row>
    <row r="1015" spans="1:11">
      <c r="A1015" t="s">
        <v>2470</v>
      </c>
      <c r="B1015" s="10">
        <v>2023</v>
      </c>
      <c r="C1015" t="s">
        <v>1563</v>
      </c>
      <c r="D1015" t="s">
        <v>2472</v>
      </c>
      <c r="E1015" t="s">
        <v>2474</v>
      </c>
      <c r="F1015" t="s">
        <v>1560</v>
      </c>
      <c r="G1015" t="s">
        <v>1560</v>
      </c>
      <c r="H1015" s="10">
        <v>177263</v>
      </c>
      <c r="I1015" t="str">
        <f>IFERROR(VLOOKUP(Final!F1015,'LEAID Match'!$A$2:$B$374,2,FALSE),"")</f>
        <v/>
      </c>
      <c r="K1015" s="10">
        <f t="shared" si="15"/>
        <v>177263</v>
      </c>
    </row>
    <row r="1016" spans="1:11">
      <c r="A1016" t="s">
        <v>2470</v>
      </c>
      <c r="B1016" s="10">
        <v>2015</v>
      </c>
      <c r="C1016" t="s">
        <v>1396</v>
      </c>
      <c r="D1016" t="s">
        <v>2472</v>
      </c>
      <c r="E1016" t="s">
        <v>2474</v>
      </c>
      <c r="F1016" t="s">
        <v>231</v>
      </c>
      <c r="G1016" t="s">
        <v>231</v>
      </c>
      <c r="H1016" s="10">
        <v>59443</v>
      </c>
      <c r="I1016" t="str">
        <f>IFERROR(VLOOKUP(Final!F1016,'LEAID Match'!$A$2:$B$374,2,FALSE),"")</f>
        <v/>
      </c>
      <c r="K1016" s="10">
        <f t="shared" si="15"/>
        <v>59443</v>
      </c>
    </row>
    <row r="1017" spans="1:11">
      <c r="A1017" t="s">
        <v>2470</v>
      </c>
      <c r="B1017" s="10">
        <v>2016</v>
      </c>
      <c r="C1017" t="s">
        <v>1396</v>
      </c>
      <c r="D1017" t="s">
        <v>2472</v>
      </c>
      <c r="E1017" t="s">
        <v>2474</v>
      </c>
      <c r="F1017" t="s">
        <v>231</v>
      </c>
      <c r="G1017" t="s">
        <v>231</v>
      </c>
      <c r="H1017" s="10">
        <v>46649</v>
      </c>
      <c r="I1017" t="str">
        <f>IFERROR(VLOOKUP(Final!F1017,'LEAID Match'!$A$2:$B$374,2,FALSE),"")</f>
        <v/>
      </c>
      <c r="K1017" s="10">
        <f t="shared" si="15"/>
        <v>46649</v>
      </c>
    </row>
    <row r="1018" spans="1:11">
      <c r="A1018" t="s">
        <v>2470</v>
      </c>
      <c r="B1018" s="10">
        <v>2017</v>
      </c>
      <c r="C1018" t="s">
        <v>1396</v>
      </c>
      <c r="D1018" t="s">
        <v>2472</v>
      </c>
      <c r="E1018" t="s">
        <v>2474</v>
      </c>
      <c r="F1018" t="s">
        <v>231</v>
      </c>
      <c r="G1018" t="s">
        <v>231</v>
      </c>
      <c r="H1018" s="10">
        <v>49638</v>
      </c>
      <c r="I1018" t="str">
        <f>IFERROR(VLOOKUP(Final!F1018,'LEAID Match'!$A$2:$B$374,2,FALSE),"")</f>
        <v/>
      </c>
      <c r="K1018" s="10">
        <f t="shared" si="15"/>
        <v>49638</v>
      </c>
    </row>
    <row r="1019" spans="1:11">
      <c r="A1019" t="s">
        <v>2470</v>
      </c>
      <c r="B1019" s="10">
        <v>2018</v>
      </c>
      <c r="C1019" t="s">
        <v>1396</v>
      </c>
      <c r="D1019" t="s">
        <v>2472</v>
      </c>
      <c r="E1019" t="s">
        <v>2474</v>
      </c>
      <c r="F1019" t="s">
        <v>231</v>
      </c>
      <c r="G1019" t="s">
        <v>231</v>
      </c>
      <c r="H1019" s="10">
        <v>70562</v>
      </c>
      <c r="I1019" t="str">
        <f>IFERROR(VLOOKUP(Final!F1019,'LEAID Match'!$A$2:$B$374,2,FALSE),"")</f>
        <v/>
      </c>
      <c r="K1019" s="10">
        <f t="shared" si="15"/>
        <v>70562</v>
      </c>
    </row>
    <row r="1020" spans="1:11">
      <c r="A1020" t="s">
        <v>2470</v>
      </c>
      <c r="B1020" s="10">
        <v>2019</v>
      </c>
      <c r="C1020" t="s">
        <v>1396</v>
      </c>
      <c r="D1020" t="s">
        <v>2472</v>
      </c>
      <c r="E1020" t="s">
        <v>2474</v>
      </c>
      <c r="F1020" t="s">
        <v>231</v>
      </c>
      <c r="G1020" t="s">
        <v>231</v>
      </c>
      <c r="H1020" s="10">
        <v>76306</v>
      </c>
      <c r="I1020" t="str">
        <f>IFERROR(VLOOKUP(Final!F1020,'LEAID Match'!$A$2:$B$374,2,FALSE),"")</f>
        <v/>
      </c>
      <c r="K1020" s="10">
        <f t="shared" si="15"/>
        <v>76306</v>
      </c>
    </row>
    <row r="1021" spans="1:11">
      <c r="A1021" t="s">
        <v>2470</v>
      </c>
      <c r="B1021" s="10">
        <v>2020</v>
      </c>
      <c r="C1021" t="s">
        <v>1396</v>
      </c>
      <c r="D1021" t="s">
        <v>2472</v>
      </c>
      <c r="E1021" t="s">
        <v>2474</v>
      </c>
      <c r="F1021" t="s">
        <v>231</v>
      </c>
      <c r="G1021" t="s">
        <v>231</v>
      </c>
      <c r="H1021" s="10">
        <v>73629</v>
      </c>
      <c r="I1021" t="str">
        <f>IFERROR(VLOOKUP(Final!F1021,'LEAID Match'!$A$2:$B$374,2,FALSE),"")</f>
        <v/>
      </c>
      <c r="K1021" s="10">
        <f t="shared" si="15"/>
        <v>73629</v>
      </c>
    </row>
    <row r="1022" spans="1:11">
      <c r="A1022" t="s">
        <v>2470</v>
      </c>
      <c r="B1022" s="10">
        <v>2021</v>
      </c>
      <c r="C1022" t="s">
        <v>1396</v>
      </c>
      <c r="D1022" t="s">
        <v>2472</v>
      </c>
      <c r="E1022" t="s">
        <v>2474</v>
      </c>
      <c r="F1022" t="s">
        <v>231</v>
      </c>
      <c r="G1022" t="s">
        <v>231</v>
      </c>
      <c r="H1022" s="10">
        <v>61308</v>
      </c>
      <c r="I1022" t="str">
        <f>IFERROR(VLOOKUP(Final!F1022,'LEAID Match'!$A$2:$B$374,2,FALSE),"")</f>
        <v/>
      </c>
      <c r="K1022" s="10">
        <f t="shared" si="15"/>
        <v>61308</v>
      </c>
    </row>
    <row r="1023" spans="1:11">
      <c r="A1023" t="s">
        <v>2470</v>
      </c>
      <c r="B1023" s="10">
        <v>2022</v>
      </c>
      <c r="C1023" t="s">
        <v>1396</v>
      </c>
      <c r="D1023" t="s">
        <v>2472</v>
      </c>
      <c r="E1023" t="s">
        <v>2474</v>
      </c>
      <c r="F1023" t="s">
        <v>231</v>
      </c>
      <c r="G1023" t="s">
        <v>231</v>
      </c>
      <c r="H1023" s="10">
        <v>46807</v>
      </c>
      <c r="I1023" t="str">
        <f>IFERROR(VLOOKUP(Final!F1023,'LEAID Match'!$A$2:$B$374,2,FALSE),"")</f>
        <v/>
      </c>
      <c r="K1023" s="10">
        <f t="shared" si="15"/>
        <v>46807</v>
      </c>
    </row>
    <row r="1024" spans="1:11">
      <c r="A1024" t="s">
        <v>2470</v>
      </c>
      <c r="B1024" s="10">
        <v>2023</v>
      </c>
      <c r="C1024" t="s">
        <v>1396</v>
      </c>
      <c r="D1024" t="s">
        <v>2472</v>
      </c>
      <c r="E1024" t="s">
        <v>2474</v>
      </c>
      <c r="F1024" t="s">
        <v>231</v>
      </c>
      <c r="G1024" t="s">
        <v>231</v>
      </c>
      <c r="H1024" s="10">
        <v>67628</v>
      </c>
      <c r="I1024" t="str">
        <f>IFERROR(VLOOKUP(Final!F1024,'LEAID Match'!$A$2:$B$374,2,FALSE),"")</f>
        <v/>
      </c>
      <c r="K1024" s="10">
        <f t="shared" si="15"/>
        <v>67628</v>
      </c>
    </row>
    <row r="1025" spans="1:11">
      <c r="A1025" t="s">
        <v>2470</v>
      </c>
      <c r="B1025" s="10">
        <v>2015</v>
      </c>
      <c r="C1025" t="s">
        <v>1004</v>
      </c>
      <c r="D1025" t="s">
        <v>2472</v>
      </c>
      <c r="E1025" t="s">
        <v>2474</v>
      </c>
      <c r="F1025" t="s">
        <v>949</v>
      </c>
      <c r="G1025" t="s">
        <v>949</v>
      </c>
      <c r="H1025" s="10"/>
      <c r="I1025" t="str">
        <f>IFERROR(VLOOKUP(Final!F1025,'LEAID Match'!$A$2:$B$374,2,FALSE),"")</f>
        <v/>
      </c>
      <c r="K1025" s="10">
        <f t="shared" si="15"/>
        <v>0</v>
      </c>
    </row>
    <row r="1026" spans="1:11">
      <c r="A1026" t="s">
        <v>2470</v>
      </c>
      <c r="B1026" s="10">
        <v>2016</v>
      </c>
      <c r="C1026" t="s">
        <v>1004</v>
      </c>
      <c r="D1026" t="s">
        <v>2472</v>
      </c>
      <c r="E1026" t="s">
        <v>2474</v>
      </c>
      <c r="F1026" t="s">
        <v>949</v>
      </c>
      <c r="G1026" t="s">
        <v>949</v>
      </c>
      <c r="H1026" s="10"/>
      <c r="I1026" t="str">
        <f>IFERROR(VLOOKUP(Final!F1026,'LEAID Match'!$A$2:$B$374,2,FALSE),"")</f>
        <v/>
      </c>
      <c r="K1026" s="10">
        <f t="shared" si="15"/>
        <v>0</v>
      </c>
    </row>
    <row r="1027" spans="1:11">
      <c r="A1027" t="s">
        <v>2470</v>
      </c>
      <c r="B1027" s="10">
        <v>2017</v>
      </c>
      <c r="C1027" t="s">
        <v>1004</v>
      </c>
      <c r="D1027" t="s">
        <v>2472</v>
      </c>
      <c r="E1027" t="s">
        <v>2474</v>
      </c>
      <c r="F1027" t="s">
        <v>949</v>
      </c>
      <c r="G1027" t="s">
        <v>949</v>
      </c>
      <c r="H1027" s="10"/>
      <c r="I1027" t="str">
        <f>IFERROR(VLOOKUP(Final!F1027,'LEAID Match'!$A$2:$B$374,2,FALSE),"")</f>
        <v/>
      </c>
      <c r="K1027" s="10">
        <f t="shared" ref="K1027:K1090" si="16">SUM(H1027,J1027)</f>
        <v>0</v>
      </c>
    </row>
    <row r="1028" spans="1:11">
      <c r="A1028" t="s">
        <v>2470</v>
      </c>
      <c r="B1028" s="10">
        <v>2018</v>
      </c>
      <c r="C1028" t="s">
        <v>1004</v>
      </c>
      <c r="D1028" t="s">
        <v>2472</v>
      </c>
      <c r="E1028" t="s">
        <v>2474</v>
      </c>
      <c r="F1028" t="s">
        <v>949</v>
      </c>
      <c r="G1028" t="s">
        <v>949</v>
      </c>
      <c r="H1028" s="10">
        <v>70303</v>
      </c>
      <c r="I1028" t="str">
        <f>IFERROR(VLOOKUP(Final!F1028,'LEAID Match'!$A$2:$B$374,2,FALSE),"")</f>
        <v/>
      </c>
      <c r="K1028" s="10">
        <f t="shared" si="16"/>
        <v>70303</v>
      </c>
    </row>
    <row r="1029" spans="1:11">
      <c r="A1029" t="s">
        <v>2470</v>
      </c>
      <c r="B1029" s="10">
        <v>2019</v>
      </c>
      <c r="C1029" t="s">
        <v>1004</v>
      </c>
      <c r="D1029" t="s">
        <v>2472</v>
      </c>
      <c r="E1029" t="s">
        <v>2474</v>
      </c>
      <c r="F1029" t="s">
        <v>949</v>
      </c>
      <c r="G1029" t="s">
        <v>949</v>
      </c>
      <c r="H1029" s="10">
        <v>338688</v>
      </c>
      <c r="I1029" t="str">
        <f>IFERROR(VLOOKUP(Final!F1029,'LEAID Match'!$A$2:$B$374,2,FALSE),"")</f>
        <v/>
      </c>
      <c r="K1029" s="10">
        <f t="shared" si="16"/>
        <v>338688</v>
      </c>
    </row>
    <row r="1030" spans="1:11">
      <c r="A1030" t="s">
        <v>2470</v>
      </c>
      <c r="B1030" s="10">
        <v>2020</v>
      </c>
      <c r="C1030" t="s">
        <v>1004</v>
      </c>
      <c r="D1030" t="s">
        <v>2472</v>
      </c>
      <c r="E1030" t="s">
        <v>2474</v>
      </c>
      <c r="F1030" t="s">
        <v>949</v>
      </c>
      <c r="G1030" t="s">
        <v>949</v>
      </c>
      <c r="H1030" s="10">
        <v>365166</v>
      </c>
      <c r="I1030" t="str">
        <f>IFERROR(VLOOKUP(Final!F1030,'LEAID Match'!$A$2:$B$374,2,FALSE),"")</f>
        <v/>
      </c>
      <c r="K1030" s="10">
        <f t="shared" si="16"/>
        <v>365166</v>
      </c>
    </row>
    <row r="1031" spans="1:11">
      <c r="A1031" t="s">
        <v>2470</v>
      </c>
      <c r="B1031" s="10">
        <v>2021</v>
      </c>
      <c r="C1031" t="s">
        <v>1004</v>
      </c>
      <c r="D1031" t="s">
        <v>2472</v>
      </c>
      <c r="E1031" t="s">
        <v>2474</v>
      </c>
      <c r="F1031" t="s">
        <v>949</v>
      </c>
      <c r="G1031" t="s">
        <v>949</v>
      </c>
      <c r="H1031" s="10">
        <v>387055</v>
      </c>
      <c r="I1031" t="str">
        <f>IFERROR(VLOOKUP(Final!F1031,'LEAID Match'!$A$2:$B$374,2,FALSE),"")</f>
        <v/>
      </c>
      <c r="K1031" s="10">
        <f t="shared" si="16"/>
        <v>387055</v>
      </c>
    </row>
    <row r="1032" spans="1:11">
      <c r="A1032" t="s">
        <v>2470</v>
      </c>
      <c r="B1032" s="10">
        <v>2022</v>
      </c>
      <c r="C1032" t="s">
        <v>1004</v>
      </c>
      <c r="D1032" t="s">
        <v>2472</v>
      </c>
      <c r="E1032" t="s">
        <v>2474</v>
      </c>
      <c r="F1032" t="s">
        <v>949</v>
      </c>
      <c r="G1032" t="s">
        <v>949</v>
      </c>
      <c r="H1032" s="10">
        <v>401758</v>
      </c>
      <c r="I1032" t="str">
        <f>IFERROR(VLOOKUP(Final!F1032,'LEAID Match'!$A$2:$B$374,2,FALSE),"")</f>
        <v/>
      </c>
      <c r="K1032" s="10">
        <f t="shared" si="16"/>
        <v>401758</v>
      </c>
    </row>
    <row r="1033" spans="1:11">
      <c r="A1033" t="s">
        <v>2470</v>
      </c>
      <c r="B1033" s="10">
        <v>2023</v>
      </c>
      <c r="C1033" t="s">
        <v>1004</v>
      </c>
      <c r="D1033" t="s">
        <v>2472</v>
      </c>
      <c r="E1033" t="s">
        <v>2474</v>
      </c>
      <c r="F1033" t="s">
        <v>949</v>
      </c>
      <c r="G1033" t="s">
        <v>949</v>
      </c>
      <c r="H1033" s="10">
        <v>394771</v>
      </c>
      <c r="I1033" t="str">
        <f>IFERROR(VLOOKUP(Final!F1033,'LEAID Match'!$A$2:$B$374,2,FALSE),"")</f>
        <v/>
      </c>
      <c r="K1033" s="10">
        <f t="shared" si="16"/>
        <v>394771</v>
      </c>
    </row>
    <row r="1034" spans="1:11">
      <c r="A1034">
        <v>402920</v>
      </c>
      <c r="B1034" s="10">
        <v>2015</v>
      </c>
      <c r="C1034" t="s">
        <v>590</v>
      </c>
      <c r="D1034" t="s">
        <v>2472</v>
      </c>
      <c r="E1034" t="s">
        <v>2474</v>
      </c>
      <c r="F1034" t="s">
        <v>1717</v>
      </c>
      <c r="G1034" t="s">
        <v>535</v>
      </c>
      <c r="H1034" s="10">
        <v>3594078</v>
      </c>
      <c r="I1034">
        <f>IFERROR(VLOOKUP(Final!F1034,'LEAID Match'!$A$2:$B$374,2,FALSE),"")</f>
        <v>402920</v>
      </c>
      <c r="K1034" s="10">
        <f t="shared" si="16"/>
        <v>3594078</v>
      </c>
    </row>
    <row r="1035" spans="1:11">
      <c r="A1035">
        <v>402920</v>
      </c>
      <c r="B1035" s="10">
        <v>2016</v>
      </c>
      <c r="C1035" t="s">
        <v>590</v>
      </c>
      <c r="D1035" t="s">
        <v>2472</v>
      </c>
      <c r="E1035" t="s">
        <v>2474</v>
      </c>
      <c r="F1035" t="s">
        <v>1717</v>
      </c>
      <c r="G1035" t="s">
        <v>535</v>
      </c>
      <c r="H1035" s="10">
        <v>3664250</v>
      </c>
      <c r="I1035">
        <f>IFERROR(VLOOKUP(Final!F1035,'LEAID Match'!$A$2:$B$374,2,FALSE),"")</f>
        <v>402920</v>
      </c>
      <c r="K1035" s="10">
        <f t="shared" si="16"/>
        <v>3664250</v>
      </c>
    </row>
    <row r="1036" spans="1:11">
      <c r="A1036">
        <v>402920</v>
      </c>
      <c r="B1036" s="10">
        <v>2017</v>
      </c>
      <c r="C1036" t="s">
        <v>590</v>
      </c>
      <c r="D1036" t="s">
        <v>2472</v>
      </c>
      <c r="E1036" t="s">
        <v>2474</v>
      </c>
      <c r="F1036" t="s">
        <v>1717</v>
      </c>
      <c r="G1036" t="s">
        <v>1717</v>
      </c>
      <c r="H1036" s="10">
        <v>4301567</v>
      </c>
      <c r="I1036">
        <f>IFERROR(VLOOKUP(Final!F1036,'LEAID Match'!$A$2:$B$374,2,FALSE),"")</f>
        <v>402920</v>
      </c>
      <c r="K1036" s="10">
        <f t="shared" si="16"/>
        <v>4301567</v>
      </c>
    </row>
    <row r="1037" spans="1:11">
      <c r="A1037">
        <v>402920</v>
      </c>
      <c r="B1037" s="10">
        <v>2018</v>
      </c>
      <c r="C1037" t="s">
        <v>590</v>
      </c>
      <c r="D1037" t="s">
        <v>2472</v>
      </c>
      <c r="E1037" t="s">
        <v>2474</v>
      </c>
      <c r="F1037" t="s">
        <v>1717</v>
      </c>
      <c r="G1037" t="s">
        <v>2187</v>
      </c>
      <c r="H1037" s="10">
        <v>4394381</v>
      </c>
      <c r="I1037">
        <f>IFERROR(VLOOKUP(Final!F1037,'LEAID Match'!$A$2:$B$374,2,FALSE),"")</f>
        <v>402920</v>
      </c>
      <c r="K1037" s="10">
        <f t="shared" si="16"/>
        <v>4394381</v>
      </c>
    </row>
    <row r="1038" spans="1:11">
      <c r="A1038">
        <v>402920</v>
      </c>
      <c r="B1038" s="10">
        <v>2019</v>
      </c>
      <c r="C1038" t="s">
        <v>590</v>
      </c>
      <c r="D1038" t="s">
        <v>2472</v>
      </c>
      <c r="E1038" t="s">
        <v>2474</v>
      </c>
      <c r="F1038" t="s">
        <v>1717</v>
      </c>
      <c r="G1038" t="s">
        <v>1717</v>
      </c>
      <c r="H1038" s="10">
        <v>4975152</v>
      </c>
      <c r="I1038">
        <f>IFERROR(VLOOKUP(Final!F1038,'LEAID Match'!$A$2:$B$374,2,FALSE),"")</f>
        <v>402920</v>
      </c>
      <c r="K1038" s="10">
        <f t="shared" si="16"/>
        <v>4975152</v>
      </c>
    </row>
    <row r="1039" spans="1:11">
      <c r="A1039">
        <v>402920</v>
      </c>
      <c r="B1039" s="10">
        <v>2020</v>
      </c>
      <c r="C1039" t="s">
        <v>590</v>
      </c>
      <c r="D1039" t="s">
        <v>2472</v>
      </c>
      <c r="E1039" t="s">
        <v>2474</v>
      </c>
      <c r="F1039" t="s">
        <v>1717</v>
      </c>
      <c r="G1039" t="s">
        <v>1717</v>
      </c>
      <c r="H1039" s="10">
        <v>5357617</v>
      </c>
      <c r="I1039">
        <f>IFERROR(VLOOKUP(Final!F1039,'LEAID Match'!$A$2:$B$374,2,FALSE),"")</f>
        <v>402920</v>
      </c>
      <c r="K1039" s="10">
        <f t="shared" si="16"/>
        <v>5357617</v>
      </c>
    </row>
    <row r="1040" spans="1:11">
      <c r="A1040">
        <v>402920</v>
      </c>
      <c r="B1040" s="10">
        <v>2021</v>
      </c>
      <c r="C1040" t="s">
        <v>590</v>
      </c>
      <c r="D1040" t="s">
        <v>2472</v>
      </c>
      <c r="E1040" t="s">
        <v>2474</v>
      </c>
      <c r="F1040" t="s">
        <v>1717</v>
      </c>
      <c r="G1040" t="s">
        <v>1717</v>
      </c>
      <c r="H1040" s="10">
        <v>5727734</v>
      </c>
      <c r="I1040">
        <f>IFERROR(VLOOKUP(Final!F1040,'LEAID Match'!$A$2:$B$374,2,FALSE),"")</f>
        <v>402920</v>
      </c>
      <c r="K1040" s="10">
        <f t="shared" si="16"/>
        <v>5727734</v>
      </c>
    </row>
    <row r="1041" spans="1:11">
      <c r="A1041">
        <v>402920</v>
      </c>
      <c r="B1041" s="10">
        <v>2022</v>
      </c>
      <c r="C1041" t="s">
        <v>590</v>
      </c>
      <c r="D1041" t="s">
        <v>2472</v>
      </c>
      <c r="E1041" t="s">
        <v>2474</v>
      </c>
      <c r="F1041" t="s">
        <v>1717</v>
      </c>
      <c r="G1041" t="s">
        <v>1717</v>
      </c>
      <c r="H1041" s="10">
        <v>6088811</v>
      </c>
      <c r="I1041">
        <f>IFERROR(VLOOKUP(Final!F1041,'LEAID Match'!$A$2:$B$374,2,FALSE),"")</f>
        <v>402920</v>
      </c>
      <c r="K1041" s="10">
        <f t="shared" si="16"/>
        <v>6088811</v>
      </c>
    </row>
    <row r="1042" spans="1:11">
      <c r="A1042">
        <v>402920</v>
      </c>
      <c r="B1042" s="10">
        <v>2023</v>
      </c>
      <c r="C1042" t="s">
        <v>590</v>
      </c>
      <c r="D1042" t="s">
        <v>2472</v>
      </c>
      <c r="E1042" t="s">
        <v>2474</v>
      </c>
      <c r="F1042" t="s">
        <v>1717</v>
      </c>
      <c r="G1042" t="s">
        <v>1717</v>
      </c>
      <c r="H1042" s="10">
        <v>6614104</v>
      </c>
      <c r="I1042">
        <f>IFERROR(VLOOKUP(Final!F1042,'LEAID Match'!$A$2:$B$374,2,FALSE),"")</f>
        <v>402920</v>
      </c>
      <c r="K1042" s="10">
        <f t="shared" si="16"/>
        <v>6614104</v>
      </c>
    </row>
    <row r="1043" spans="1:11">
      <c r="A1043">
        <v>405640</v>
      </c>
      <c r="B1043" s="10">
        <v>2015</v>
      </c>
      <c r="C1043" t="s">
        <v>902</v>
      </c>
      <c r="D1043" t="s">
        <v>2472</v>
      </c>
      <c r="E1043" t="s">
        <v>2474</v>
      </c>
      <c r="F1043" t="s">
        <v>1843</v>
      </c>
      <c r="G1043" t="s">
        <v>847</v>
      </c>
      <c r="H1043" s="10">
        <v>247465</v>
      </c>
      <c r="I1043">
        <f>IFERROR(VLOOKUP(Final!F1043,'LEAID Match'!$A$2:$B$374,2,FALSE),"")</f>
        <v>405640</v>
      </c>
      <c r="K1043" s="10">
        <f t="shared" si="16"/>
        <v>247465</v>
      </c>
    </row>
    <row r="1044" spans="1:11">
      <c r="A1044">
        <v>405640</v>
      </c>
      <c r="B1044" s="10">
        <v>2016</v>
      </c>
      <c r="C1044" t="s">
        <v>902</v>
      </c>
      <c r="D1044" t="s">
        <v>2472</v>
      </c>
      <c r="E1044" t="s">
        <v>2474</v>
      </c>
      <c r="F1044" t="s">
        <v>1843</v>
      </c>
      <c r="G1044" t="s">
        <v>847</v>
      </c>
      <c r="H1044" s="10">
        <v>266786</v>
      </c>
      <c r="I1044">
        <f>IFERROR(VLOOKUP(Final!F1044,'LEAID Match'!$A$2:$B$374,2,FALSE),"")</f>
        <v>405640</v>
      </c>
      <c r="K1044" s="10">
        <f t="shared" si="16"/>
        <v>266786</v>
      </c>
    </row>
    <row r="1045" spans="1:11">
      <c r="A1045">
        <v>405640</v>
      </c>
      <c r="B1045" s="10">
        <v>2017</v>
      </c>
      <c r="C1045" t="s">
        <v>902</v>
      </c>
      <c r="D1045" t="s">
        <v>2472</v>
      </c>
      <c r="E1045" t="s">
        <v>2474</v>
      </c>
      <c r="F1045" t="s">
        <v>1843</v>
      </c>
      <c r="G1045" t="s">
        <v>1843</v>
      </c>
      <c r="H1045" s="10">
        <v>288421</v>
      </c>
      <c r="I1045">
        <f>IFERROR(VLOOKUP(Final!F1045,'LEAID Match'!$A$2:$B$374,2,FALSE),"")</f>
        <v>405640</v>
      </c>
      <c r="K1045" s="10">
        <f t="shared" si="16"/>
        <v>288421</v>
      </c>
    </row>
    <row r="1046" spans="1:11">
      <c r="A1046">
        <v>405640</v>
      </c>
      <c r="B1046" s="10">
        <v>2018</v>
      </c>
      <c r="C1046" t="s">
        <v>902</v>
      </c>
      <c r="D1046" t="s">
        <v>2472</v>
      </c>
      <c r="E1046" t="s">
        <v>2474</v>
      </c>
      <c r="F1046" t="s">
        <v>1843</v>
      </c>
      <c r="G1046" t="s">
        <v>1843</v>
      </c>
      <c r="H1046" s="10">
        <v>267292</v>
      </c>
      <c r="I1046">
        <f>IFERROR(VLOOKUP(Final!F1046,'LEAID Match'!$A$2:$B$374,2,FALSE),"")</f>
        <v>405640</v>
      </c>
      <c r="K1046" s="10">
        <f t="shared" si="16"/>
        <v>267292</v>
      </c>
    </row>
    <row r="1047" spans="1:11">
      <c r="A1047">
        <v>405640</v>
      </c>
      <c r="B1047" s="10">
        <v>2019</v>
      </c>
      <c r="C1047" t="s">
        <v>902</v>
      </c>
      <c r="D1047" t="s">
        <v>2472</v>
      </c>
      <c r="E1047" t="s">
        <v>2474</v>
      </c>
      <c r="F1047" t="s">
        <v>1843</v>
      </c>
      <c r="G1047" t="s">
        <v>1843</v>
      </c>
      <c r="H1047" s="10">
        <v>287991</v>
      </c>
      <c r="I1047">
        <f>IFERROR(VLOOKUP(Final!F1047,'LEAID Match'!$A$2:$B$374,2,FALSE),"")</f>
        <v>405640</v>
      </c>
      <c r="K1047" s="10">
        <f t="shared" si="16"/>
        <v>287991</v>
      </c>
    </row>
    <row r="1048" spans="1:11">
      <c r="A1048">
        <v>405640</v>
      </c>
      <c r="B1048" s="10">
        <v>2020</v>
      </c>
      <c r="C1048" t="s">
        <v>902</v>
      </c>
      <c r="D1048" t="s">
        <v>2472</v>
      </c>
      <c r="E1048" t="s">
        <v>2474</v>
      </c>
      <c r="F1048" t="s">
        <v>1843</v>
      </c>
      <c r="G1048" t="s">
        <v>1843</v>
      </c>
      <c r="H1048" s="10">
        <v>310689</v>
      </c>
      <c r="I1048">
        <f>IFERROR(VLOOKUP(Final!F1048,'LEAID Match'!$A$2:$B$374,2,FALSE),"")</f>
        <v>405640</v>
      </c>
      <c r="K1048" s="10">
        <f t="shared" si="16"/>
        <v>310689</v>
      </c>
    </row>
    <row r="1049" spans="1:11">
      <c r="A1049">
        <v>405640</v>
      </c>
      <c r="B1049" s="10">
        <v>2021</v>
      </c>
      <c r="C1049" t="s">
        <v>902</v>
      </c>
      <c r="D1049" t="s">
        <v>2472</v>
      </c>
      <c r="E1049" t="s">
        <v>2474</v>
      </c>
      <c r="F1049" t="s">
        <v>1843</v>
      </c>
      <c r="G1049" t="s">
        <v>1843</v>
      </c>
      <c r="H1049" s="10">
        <v>305146</v>
      </c>
      <c r="I1049">
        <f>IFERROR(VLOOKUP(Final!F1049,'LEAID Match'!$A$2:$B$374,2,FALSE),"")</f>
        <v>405640</v>
      </c>
      <c r="K1049" s="10">
        <f t="shared" si="16"/>
        <v>305146</v>
      </c>
    </row>
    <row r="1050" spans="1:11">
      <c r="A1050">
        <v>405640</v>
      </c>
      <c r="B1050" s="10">
        <v>2022</v>
      </c>
      <c r="C1050" t="s">
        <v>902</v>
      </c>
      <c r="D1050" t="s">
        <v>2472</v>
      </c>
      <c r="E1050" t="s">
        <v>2474</v>
      </c>
      <c r="F1050" t="s">
        <v>1843</v>
      </c>
      <c r="G1050" t="s">
        <v>1843</v>
      </c>
      <c r="H1050" s="10">
        <v>360912</v>
      </c>
      <c r="I1050">
        <f>IFERROR(VLOOKUP(Final!F1050,'LEAID Match'!$A$2:$B$374,2,FALSE),"")</f>
        <v>405640</v>
      </c>
      <c r="K1050" s="10">
        <f t="shared" si="16"/>
        <v>360912</v>
      </c>
    </row>
    <row r="1051" spans="1:11">
      <c r="A1051">
        <v>405640</v>
      </c>
      <c r="B1051" s="10">
        <v>2023</v>
      </c>
      <c r="C1051" t="s">
        <v>902</v>
      </c>
      <c r="D1051" t="s">
        <v>2472</v>
      </c>
      <c r="E1051" t="s">
        <v>2474</v>
      </c>
      <c r="F1051" t="s">
        <v>1843</v>
      </c>
      <c r="G1051" t="s">
        <v>1843</v>
      </c>
      <c r="H1051" s="10">
        <v>338723</v>
      </c>
      <c r="I1051">
        <f>IFERROR(VLOOKUP(Final!F1051,'LEAID Match'!$A$2:$B$374,2,FALSE),"")</f>
        <v>405640</v>
      </c>
      <c r="K1051" s="10">
        <f t="shared" si="16"/>
        <v>338723</v>
      </c>
    </row>
    <row r="1052" spans="1:11">
      <c r="A1052">
        <v>406850</v>
      </c>
      <c r="B1052" s="10">
        <v>2015</v>
      </c>
      <c r="C1052" t="s">
        <v>1029</v>
      </c>
      <c r="D1052" t="s">
        <v>2472</v>
      </c>
      <c r="E1052" t="s">
        <v>2474</v>
      </c>
      <c r="F1052" t="s">
        <v>2409</v>
      </c>
      <c r="G1052" t="s">
        <v>974</v>
      </c>
      <c r="H1052" s="10">
        <v>280661</v>
      </c>
      <c r="I1052">
        <f>IFERROR(VLOOKUP(Final!F1052,'LEAID Match'!$A$2:$B$374,2,FALSE),"")</f>
        <v>406850</v>
      </c>
      <c r="K1052" s="10">
        <f t="shared" si="16"/>
        <v>280661</v>
      </c>
    </row>
    <row r="1053" spans="1:11">
      <c r="A1053">
        <v>406850</v>
      </c>
      <c r="B1053" s="10">
        <v>2016</v>
      </c>
      <c r="C1053" t="s">
        <v>1029</v>
      </c>
      <c r="D1053" t="s">
        <v>2472</v>
      </c>
      <c r="E1053" t="s">
        <v>2474</v>
      </c>
      <c r="F1053" t="s">
        <v>2409</v>
      </c>
      <c r="G1053" t="s">
        <v>974</v>
      </c>
      <c r="H1053" s="10">
        <v>268216</v>
      </c>
      <c r="I1053">
        <f>IFERROR(VLOOKUP(Final!F1053,'LEAID Match'!$A$2:$B$374,2,FALSE),"")</f>
        <v>406850</v>
      </c>
      <c r="K1053" s="10">
        <f t="shared" si="16"/>
        <v>268216</v>
      </c>
    </row>
    <row r="1054" spans="1:11">
      <c r="A1054">
        <v>406850</v>
      </c>
      <c r="B1054" s="10">
        <v>2017</v>
      </c>
      <c r="C1054" t="s">
        <v>1029</v>
      </c>
      <c r="D1054" t="s">
        <v>2472</v>
      </c>
      <c r="E1054" t="s">
        <v>2474</v>
      </c>
      <c r="F1054" t="s">
        <v>2409</v>
      </c>
      <c r="G1054" t="s">
        <v>1910</v>
      </c>
      <c r="H1054" s="10">
        <v>265037</v>
      </c>
      <c r="I1054">
        <f>IFERROR(VLOOKUP(Final!F1054,'LEAID Match'!$A$2:$B$374,2,FALSE),"")</f>
        <v>406850</v>
      </c>
      <c r="K1054" s="10">
        <f t="shared" si="16"/>
        <v>265037</v>
      </c>
    </row>
    <row r="1055" spans="1:11">
      <c r="A1055">
        <v>406850</v>
      </c>
      <c r="B1055" s="10">
        <v>2018</v>
      </c>
      <c r="C1055" t="s">
        <v>1029</v>
      </c>
      <c r="D1055" t="s">
        <v>2472</v>
      </c>
      <c r="E1055" t="s">
        <v>2474</v>
      </c>
      <c r="F1055" t="s">
        <v>2409</v>
      </c>
      <c r="G1055" t="s">
        <v>1910</v>
      </c>
      <c r="H1055" s="10">
        <v>269093</v>
      </c>
      <c r="I1055">
        <f>IFERROR(VLOOKUP(Final!F1055,'LEAID Match'!$A$2:$B$374,2,FALSE),"")</f>
        <v>406850</v>
      </c>
      <c r="K1055" s="10">
        <f t="shared" si="16"/>
        <v>269093</v>
      </c>
    </row>
    <row r="1056" spans="1:11">
      <c r="A1056">
        <v>406850</v>
      </c>
      <c r="B1056" s="10">
        <v>2019</v>
      </c>
      <c r="C1056" t="s">
        <v>1029</v>
      </c>
      <c r="D1056" t="s">
        <v>2472</v>
      </c>
      <c r="E1056" t="s">
        <v>2474</v>
      </c>
      <c r="F1056" t="s">
        <v>2409</v>
      </c>
      <c r="G1056" t="s">
        <v>1910</v>
      </c>
      <c r="H1056" s="10">
        <v>286513</v>
      </c>
      <c r="I1056">
        <f>IFERROR(VLOOKUP(Final!F1056,'LEAID Match'!$A$2:$B$374,2,FALSE),"")</f>
        <v>406850</v>
      </c>
      <c r="K1056" s="10">
        <f t="shared" si="16"/>
        <v>286513</v>
      </c>
    </row>
    <row r="1057" spans="1:11">
      <c r="A1057">
        <v>406850</v>
      </c>
      <c r="B1057" s="10">
        <v>2020</v>
      </c>
      <c r="C1057" t="s">
        <v>1029</v>
      </c>
      <c r="D1057" t="s">
        <v>2472</v>
      </c>
      <c r="E1057" t="s">
        <v>2474</v>
      </c>
      <c r="F1057" t="s">
        <v>2409</v>
      </c>
      <c r="G1057" t="s">
        <v>2409</v>
      </c>
      <c r="H1057" s="10">
        <v>271106</v>
      </c>
      <c r="I1057">
        <f>IFERROR(VLOOKUP(Final!F1057,'LEAID Match'!$A$2:$B$374,2,FALSE),"")</f>
        <v>406850</v>
      </c>
      <c r="K1057" s="10">
        <f t="shared" si="16"/>
        <v>271106</v>
      </c>
    </row>
    <row r="1058" spans="1:11">
      <c r="A1058">
        <v>406850</v>
      </c>
      <c r="B1058" s="10">
        <v>2021</v>
      </c>
      <c r="C1058" t="s">
        <v>1029</v>
      </c>
      <c r="D1058" t="s">
        <v>2472</v>
      </c>
      <c r="E1058" t="s">
        <v>2474</v>
      </c>
      <c r="F1058" t="s">
        <v>2409</v>
      </c>
      <c r="G1058" t="s">
        <v>2409</v>
      </c>
      <c r="H1058" s="10">
        <v>254046</v>
      </c>
      <c r="I1058">
        <f>IFERROR(VLOOKUP(Final!F1058,'LEAID Match'!$A$2:$B$374,2,FALSE),"")</f>
        <v>406850</v>
      </c>
      <c r="K1058" s="10">
        <f t="shared" si="16"/>
        <v>254046</v>
      </c>
    </row>
    <row r="1059" spans="1:11">
      <c r="A1059">
        <v>406850</v>
      </c>
      <c r="B1059" s="10">
        <v>2022</v>
      </c>
      <c r="C1059" t="s">
        <v>1029</v>
      </c>
      <c r="D1059" t="s">
        <v>2472</v>
      </c>
      <c r="E1059" t="s">
        <v>2474</v>
      </c>
      <c r="F1059" t="s">
        <v>2409</v>
      </c>
      <c r="G1059" t="s">
        <v>2409</v>
      </c>
      <c r="H1059" s="10">
        <v>290040</v>
      </c>
      <c r="I1059">
        <f>IFERROR(VLOOKUP(Final!F1059,'LEAID Match'!$A$2:$B$374,2,FALSE),"")</f>
        <v>406850</v>
      </c>
      <c r="K1059" s="10">
        <f t="shared" si="16"/>
        <v>290040</v>
      </c>
    </row>
    <row r="1060" spans="1:11">
      <c r="A1060">
        <v>406850</v>
      </c>
      <c r="B1060" s="10">
        <v>2023</v>
      </c>
      <c r="C1060" t="s">
        <v>1029</v>
      </c>
      <c r="D1060" t="s">
        <v>2472</v>
      </c>
      <c r="E1060" t="s">
        <v>2474</v>
      </c>
      <c r="F1060" t="s">
        <v>2409</v>
      </c>
      <c r="G1060" t="s">
        <v>2409</v>
      </c>
      <c r="H1060" s="10">
        <v>284962</v>
      </c>
      <c r="I1060">
        <f>IFERROR(VLOOKUP(Final!F1060,'LEAID Match'!$A$2:$B$374,2,FALSE),"")</f>
        <v>406850</v>
      </c>
      <c r="K1060" s="10">
        <f t="shared" si="16"/>
        <v>284962</v>
      </c>
    </row>
    <row r="1061" spans="1:11">
      <c r="A1061">
        <v>401710</v>
      </c>
      <c r="B1061" s="10">
        <v>2015</v>
      </c>
      <c r="C1061" t="s">
        <v>347</v>
      </c>
      <c r="D1061" t="s">
        <v>2472</v>
      </c>
      <c r="E1061" t="s">
        <v>2474</v>
      </c>
      <c r="F1061" t="s">
        <v>1644</v>
      </c>
      <c r="G1061" t="s">
        <v>293</v>
      </c>
      <c r="H1061" s="10">
        <v>3144173</v>
      </c>
      <c r="I1061">
        <f>IFERROR(VLOOKUP(Final!F1061,'LEAID Match'!$A$2:$B$374,2,FALSE),"")</f>
        <v>401710</v>
      </c>
      <c r="K1061" s="10">
        <f t="shared" si="16"/>
        <v>3144173</v>
      </c>
    </row>
    <row r="1062" spans="1:11">
      <c r="A1062">
        <v>401710</v>
      </c>
      <c r="B1062" s="10">
        <v>2016</v>
      </c>
      <c r="C1062" t="s">
        <v>347</v>
      </c>
      <c r="D1062" t="s">
        <v>2472</v>
      </c>
      <c r="E1062" t="s">
        <v>2474</v>
      </c>
      <c r="F1062" t="s">
        <v>1644</v>
      </c>
      <c r="G1062" t="s">
        <v>293</v>
      </c>
      <c r="H1062" s="10">
        <v>3299077</v>
      </c>
      <c r="I1062">
        <f>IFERROR(VLOOKUP(Final!F1062,'LEAID Match'!$A$2:$B$374,2,FALSE),"")</f>
        <v>401710</v>
      </c>
      <c r="K1062" s="10">
        <f t="shared" si="16"/>
        <v>3299077</v>
      </c>
    </row>
    <row r="1063" spans="1:11">
      <c r="A1063">
        <v>401710</v>
      </c>
      <c r="B1063" s="10">
        <v>2017</v>
      </c>
      <c r="C1063" t="s">
        <v>347</v>
      </c>
      <c r="D1063" t="s">
        <v>2472</v>
      </c>
      <c r="E1063" t="s">
        <v>2474</v>
      </c>
      <c r="F1063" t="s">
        <v>1644</v>
      </c>
      <c r="G1063" t="s">
        <v>1644</v>
      </c>
      <c r="H1063" s="10">
        <v>3193465</v>
      </c>
      <c r="I1063">
        <f>IFERROR(VLOOKUP(Final!F1063,'LEAID Match'!$A$2:$B$374,2,FALSE),"")</f>
        <v>401710</v>
      </c>
      <c r="K1063" s="10">
        <f t="shared" si="16"/>
        <v>3193465</v>
      </c>
    </row>
    <row r="1064" spans="1:11">
      <c r="A1064">
        <v>401710</v>
      </c>
      <c r="B1064" s="10">
        <v>2018</v>
      </c>
      <c r="C1064" t="s">
        <v>347</v>
      </c>
      <c r="D1064" t="s">
        <v>2472</v>
      </c>
      <c r="E1064" t="s">
        <v>2474</v>
      </c>
      <c r="F1064" t="s">
        <v>1644</v>
      </c>
      <c r="G1064" t="s">
        <v>2141</v>
      </c>
      <c r="H1064" s="10">
        <v>3377011</v>
      </c>
      <c r="I1064">
        <f>IFERROR(VLOOKUP(Final!F1064,'LEAID Match'!$A$2:$B$374,2,FALSE),"")</f>
        <v>401710</v>
      </c>
      <c r="K1064" s="10">
        <f t="shared" si="16"/>
        <v>3377011</v>
      </c>
    </row>
    <row r="1065" spans="1:11">
      <c r="A1065">
        <v>401710</v>
      </c>
      <c r="B1065" s="10">
        <v>2019</v>
      </c>
      <c r="C1065" t="s">
        <v>347</v>
      </c>
      <c r="D1065" t="s">
        <v>2472</v>
      </c>
      <c r="E1065" t="s">
        <v>2474</v>
      </c>
      <c r="F1065" t="s">
        <v>1644</v>
      </c>
      <c r="G1065" t="s">
        <v>1644</v>
      </c>
      <c r="H1065" s="10">
        <v>3578380</v>
      </c>
      <c r="I1065">
        <f>IFERROR(VLOOKUP(Final!F1065,'LEAID Match'!$A$2:$B$374,2,FALSE),"")</f>
        <v>401710</v>
      </c>
      <c r="K1065" s="10">
        <f t="shared" si="16"/>
        <v>3578380</v>
      </c>
    </row>
    <row r="1066" spans="1:11">
      <c r="A1066">
        <v>401710</v>
      </c>
      <c r="B1066" s="10">
        <v>2020</v>
      </c>
      <c r="C1066" t="s">
        <v>347</v>
      </c>
      <c r="D1066" t="s">
        <v>2472</v>
      </c>
      <c r="E1066" t="s">
        <v>2474</v>
      </c>
      <c r="F1066" t="s">
        <v>1644</v>
      </c>
      <c r="G1066" t="s">
        <v>1644</v>
      </c>
      <c r="H1066" s="10">
        <v>3655918</v>
      </c>
      <c r="I1066">
        <f>IFERROR(VLOOKUP(Final!F1066,'LEAID Match'!$A$2:$B$374,2,FALSE),"")</f>
        <v>401710</v>
      </c>
      <c r="K1066" s="10">
        <f t="shared" si="16"/>
        <v>3655918</v>
      </c>
    </row>
    <row r="1067" spans="1:11">
      <c r="A1067">
        <v>401710</v>
      </c>
      <c r="B1067" s="10">
        <v>2021</v>
      </c>
      <c r="C1067" t="s">
        <v>347</v>
      </c>
      <c r="D1067" t="s">
        <v>2472</v>
      </c>
      <c r="E1067" t="s">
        <v>2474</v>
      </c>
      <c r="F1067" t="s">
        <v>1644</v>
      </c>
      <c r="G1067" t="s">
        <v>1644</v>
      </c>
      <c r="H1067" s="10">
        <v>3888031</v>
      </c>
      <c r="I1067">
        <f>IFERROR(VLOOKUP(Final!F1067,'LEAID Match'!$A$2:$B$374,2,FALSE),"")</f>
        <v>401710</v>
      </c>
      <c r="K1067" s="10">
        <f t="shared" si="16"/>
        <v>3888031</v>
      </c>
    </row>
    <row r="1068" spans="1:11">
      <c r="A1068">
        <v>401710</v>
      </c>
      <c r="B1068" s="10">
        <v>2022</v>
      </c>
      <c r="C1068" t="s">
        <v>347</v>
      </c>
      <c r="D1068" t="s">
        <v>2472</v>
      </c>
      <c r="E1068" t="s">
        <v>2474</v>
      </c>
      <c r="F1068" t="s">
        <v>1644</v>
      </c>
      <c r="G1068" t="s">
        <v>1644</v>
      </c>
      <c r="H1068" s="10">
        <v>4409364</v>
      </c>
      <c r="I1068">
        <f>IFERROR(VLOOKUP(Final!F1068,'LEAID Match'!$A$2:$B$374,2,FALSE),"")</f>
        <v>401710</v>
      </c>
      <c r="K1068" s="10">
        <f t="shared" si="16"/>
        <v>4409364</v>
      </c>
    </row>
    <row r="1069" spans="1:11">
      <c r="A1069">
        <v>401710</v>
      </c>
      <c r="B1069" s="10">
        <v>2023</v>
      </c>
      <c r="C1069" t="s">
        <v>347</v>
      </c>
      <c r="D1069" t="s">
        <v>2472</v>
      </c>
      <c r="E1069" t="s">
        <v>2474</v>
      </c>
      <c r="F1069" t="s">
        <v>1644</v>
      </c>
      <c r="G1069" t="s">
        <v>1644</v>
      </c>
      <c r="H1069" s="10">
        <v>4551042</v>
      </c>
      <c r="I1069">
        <f>IFERROR(VLOOKUP(Final!F1069,'LEAID Match'!$A$2:$B$374,2,FALSE),"")</f>
        <v>401710</v>
      </c>
      <c r="K1069" s="10">
        <f t="shared" si="16"/>
        <v>4551042</v>
      </c>
    </row>
    <row r="1070" spans="1:11">
      <c r="A1070">
        <v>406900</v>
      </c>
      <c r="B1070" s="10">
        <v>2015</v>
      </c>
      <c r="C1070" t="s">
        <v>1032</v>
      </c>
      <c r="D1070" t="s">
        <v>2472</v>
      </c>
      <c r="E1070" t="s">
        <v>2474</v>
      </c>
      <c r="F1070" t="s">
        <v>1912</v>
      </c>
      <c r="G1070" t="s">
        <v>977</v>
      </c>
      <c r="H1070" s="10">
        <v>153212</v>
      </c>
      <c r="I1070">
        <f>IFERROR(VLOOKUP(Final!F1070,'LEAID Match'!$A$2:$B$374,2,FALSE),"")</f>
        <v>406900</v>
      </c>
      <c r="K1070" s="10">
        <f t="shared" si="16"/>
        <v>153212</v>
      </c>
    </row>
    <row r="1071" spans="1:11">
      <c r="A1071">
        <v>406900</v>
      </c>
      <c r="B1071" s="10">
        <v>2016</v>
      </c>
      <c r="C1071" t="s">
        <v>1032</v>
      </c>
      <c r="D1071" t="s">
        <v>2472</v>
      </c>
      <c r="E1071" t="s">
        <v>2474</v>
      </c>
      <c r="F1071" t="s">
        <v>1912</v>
      </c>
      <c r="G1071" t="s">
        <v>977</v>
      </c>
      <c r="H1071" s="10">
        <v>157571</v>
      </c>
      <c r="I1071">
        <f>IFERROR(VLOOKUP(Final!F1071,'LEAID Match'!$A$2:$B$374,2,FALSE),"")</f>
        <v>406900</v>
      </c>
      <c r="K1071" s="10">
        <f t="shared" si="16"/>
        <v>157571</v>
      </c>
    </row>
    <row r="1072" spans="1:11">
      <c r="A1072">
        <v>406900</v>
      </c>
      <c r="B1072" s="10">
        <v>2017</v>
      </c>
      <c r="C1072" t="s">
        <v>1032</v>
      </c>
      <c r="D1072" t="s">
        <v>2472</v>
      </c>
      <c r="E1072" t="s">
        <v>2474</v>
      </c>
      <c r="F1072" t="s">
        <v>1912</v>
      </c>
      <c r="G1072" t="s">
        <v>1912</v>
      </c>
      <c r="H1072" s="10">
        <v>151046</v>
      </c>
      <c r="I1072">
        <f>IFERROR(VLOOKUP(Final!F1072,'LEAID Match'!$A$2:$B$374,2,FALSE),"")</f>
        <v>406900</v>
      </c>
      <c r="K1072" s="10">
        <f t="shared" si="16"/>
        <v>151046</v>
      </c>
    </row>
    <row r="1073" spans="1:11">
      <c r="A1073">
        <v>406900</v>
      </c>
      <c r="B1073" s="10">
        <v>2018</v>
      </c>
      <c r="C1073" t="s">
        <v>1032</v>
      </c>
      <c r="D1073" t="s">
        <v>2472</v>
      </c>
      <c r="E1073" t="s">
        <v>2474</v>
      </c>
      <c r="F1073" t="s">
        <v>1912</v>
      </c>
      <c r="G1073" t="s">
        <v>1912</v>
      </c>
      <c r="H1073" s="10">
        <v>155349</v>
      </c>
      <c r="I1073">
        <f>IFERROR(VLOOKUP(Final!F1073,'LEAID Match'!$A$2:$B$374,2,FALSE),"")</f>
        <v>406900</v>
      </c>
      <c r="K1073" s="10">
        <f t="shared" si="16"/>
        <v>155349</v>
      </c>
    </row>
    <row r="1074" spans="1:11">
      <c r="A1074">
        <v>406900</v>
      </c>
      <c r="B1074" s="10">
        <v>2019</v>
      </c>
      <c r="C1074" t="s">
        <v>1032</v>
      </c>
      <c r="D1074" t="s">
        <v>2472</v>
      </c>
      <c r="E1074" t="s">
        <v>2474</v>
      </c>
      <c r="F1074" t="s">
        <v>1912</v>
      </c>
      <c r="G1074" t="s">
        <v>1912</v>
      </c>
      <c r="H1074" s="10">
        <v>196469</v>
      </c>
      <c r="I1074">
        <f>IFERROR(VLOOKUP(Final!F1074,'LEAID Match'!$A$2:$B$374,2,FALSE),"")</f>
        <v>406900</v>
      </c>
      <c r="K1074" s="10">
        <f t="shared" si="16"/>
        <v>196469</v>
      </c>
    </row>
    <row r="1075" spans="1:11">
      <c r="A1075">
        <v>406900</v>
      </c>
      <c r="B1075" s="10">
        <v>2020</v>
      </c>
      <c r="C1075" t="s">
        <v>1032</v>
      </c>
      <c r="D1075" t="s">
        <v>2472</v>
      </c>
      <c r="E1075" t="s">
        <v>2474</v>
      </c>
      <c r="F1075" t="s">
        <v>1912</v>
      </c>
      <c r="G1075" t="s">
        <v>1912</v>
      </c>
      <c r="H1075" s="10">
        <v>220582</v>
      </c>
      <c r="I1075">
        <f>IFERROR(VLOOKUP(Final!F1075,'LEAID Match'!$A$2:$B$374,2,FALSE),"")</f>
        <v>406900</v>
      </c>
      <c r="K1075" s="10">
        <f t="shared" si="16"/>
        <v>220582</v>
      </c>
    </row>
    <row r="1076" spans="1:11">
      <c r="A1076">
        <v>406900</v>
      </c>
      <c r="B1076" s="10">
        <v>2021</v>
      </c>
      <c r="C1076" t="s">
        <v>1032</v>
      </c>
      <c r="D1076" t="s">
        <v>2472</v>
      </c>
      <c r="E1076" t="s">
        <v>2474</v>
      </c>
      <c r="F1076" t="s">
        <v>1912</v>
      </c>
      <c r="G1076" t="s">
        <v>1912</v>
      </c>
      <c r="H1076" s="10">
        <v>226405</v>
      </c>
      <c r="I1076">
        <f>IFERROR(VLOOKUP(Final!F1076,'LEAID Match'!$A$2:$B$374,2,FALSE),"")</f>
        <v>406900</v>
      </c>
      <c r="K1076" s="10">
        <f t="shared" si="16"/>
        <v>226405</v>
      </c>
    </row>
    <row r="1077" spans="1:11">
      <c r="A1077">
        <v>406900</v>
      </c>
      <c r="B1077" s="10">
        <v>2022</v>
      </c>
      <c r="C1077" t="s">
        <v>1032</v>
      </c>
      <c r="D1077" t="s">
        <v>2472</v>
      </c>
      <c r="E1077" t="s">
        <v>2474</v>
      </c>
      <c r="F1077" t="s">
        <v>1912</v>
      </c>
      <c r="G1077" t="s">
        <v>1912</v>
      </c>
      <c r="H1077" s="10">
        <v>291257</v>
      </c>
      <c r="I1077">
        <f>IFERROR(VLOOKUP(Final!F1077,'LEAID Match'!$A$2:$B$374,2,FALSE),"")</f>
        <v>406900</v>
      </c>
      <c r="K1077" s="10">
        <f t="shared" si="16"/>
        <v>291257</v>
      </c>
    </row>
    <row r="1078" spans="1:11">
      <c r="A1078">
        <v>406900</v>
      </c>
      <c r="B1078" s="10">
        <v>2023</v>
      </c>
      <c r="C1078" t="s">
        <v>1032</v>
      </c>
      <c r="D1078" t="s">
        <v>2472</v>
      </c>
      <c r="E1078" t="s">
        <v>2474</v>
      </c>
      <c r="F1078" t="s">
        <v>1912</v>
      </c>
      <c r="G1078" t="s">
        <v>1912</v>
      </c>
      <c r="H1078" s="10">
        <v>347255</v>
      </c>
      <c r="I1078">
        <f>IFERROR(VLOOKUP(Final!F1078,'LEAID Match'!$A$2:$B$374,2,FALSE),"")</f>
        <v>406900</v>
      </c>
      <c r="K1078" s="10">
        <f t="shared" si="16"/>
        <v>347255</v>
      </c>
    </row>
    <row r="1079" spans="1:11">
      <c r="A1079">
        <v>404570</v>
      </c>
      <c r="B1079" s="10">
        <v>2015</v>
      </c>
      <c r="C1079" t="s">
        <v>780</v>
      </c>
      <c r="D1079" t="s">
        <v>2472</v>
      </c>
      <c r="E1079" t="s">
        <v>2474</v>
      </c>
      <c r="F1079" t="s">
        <v>1790</v>
      </c>
      <c r="G1079" t="s">
        <v>725</v>
      </c>
      <c r="H1079" s="10">
        <v>469321</v>
      </c>
      <c r="I1079">
        <f>IFERROR(VLOOKUP(Final!F1079,'LEAID Match'!$A$2:$B$374,2,FALSE),"")</f>
        <v>404570</v>
      </c>
      <c r="K1079" s="10">
        <f t="shared" si="16"/>
        <v>469321</v>
      </c>
    </row>
    <row r="1080" spans="1:11">
      <c r="A1080">
        <v>404570</v>
      </c>
      <c r="B1080" s="10">
        <v>2016</v>
      </c>
      <c r="C1080" t="s">
        <v>780</v>
      </c>
      <c r="D1080" t="s">
        <v>2472</v>
      </c>
      <c r="E1080" t="s">
        <v>2474</v>
      </c>
      <c r="F1080" t="s">
        <v>1790</v>
      </c>
      <c r="G1080" t="s">
        <v>725</v>
      </c>
      <c r="H1080" s="10">
        <v>464258</v>
      </c>
      <c r="I1080">
        <f>IFERROR(VLOOKUP(Final!F1080,'LEAID Match'!$A$2:$B$374,2,FALSE),"")</f>
        <v>404570</v>
      </c>
      <c r="K1080" s="10">
        <f t="shared" si="16"/>
        <v>464258</v>
      </c>
    </row>
    <row r="1081" spans="1:11">
      <c r="A1081">
        <v>404570</v>
      </c>
      <c r="B1081" s="10">
        <v>2017</v>
      </c>
      <c r="C1081" t="s">
        <v>780</v>
      </c>
      <c r="D1081" t="s">
        <v>2472</v>
      </c>
      <c r="E1081" t="s">
        <v>2474</v>
      </c>
      <c r="F1081" t="s">
        <v>1790</v>
      </c>
      <c r="G1081" t="s">
        <v>1790</v>
      </c>
      <c r="H1081" s="10">
        <v>424428</v>
      </c>
      <c r="I1081">
        <f>IFERROR(VLOOKUP(Final!F1081,'LEAID Match'!$A$2:$B$374,2,FALSE),"")</f>
        <v>404570</v>
      </c>
      <c r="K1081" s="10">
        <f t="shared" si="16"/>
        <v>424428</v>
      </c>
    </row>
    <row r="1082" spans="1:11">
      <c r="A1082">
        <v>404570</v>
      </c>
      <c r="B1082" s="10">
        <v>2018</v>
      </c>
      <c r="C1082" t="s">
        <v>780</v>
      </c>
      <c r="D1082" t="s">
        <v>2472</v>
      </c>
      <c r="E1082" t="s">
        <v>2474</v>
      </c>
      <c r="F1082" t="s">
        <v>1790</v>
      </c>
      <c r="G1082" t="s">
        <v>2227</v>
      </c>
      <c r="H1082" s="10">
        <v>421109</v>
      </c>
      <c r="I1082">
        <f>IFERROR(VLOOKUP(Final!F1082,'LEAID Match'!$A$2:$B$374,2,FALSE),"")</f>
        <v>404570</v>
      </c>
      <c r="K1082" s="10">
        <f t="shared" si="16"/>
        <v>421109</v>
      </c>
    </row>
    <row r="1083" spans="1:11">
      <c r="A1083">
        <v>404570</v>
      </c>
      <c r="B1083" s="10">
        <v>2019</v>
      </c>
      <c r="C1083" t="s">
        <v>780</v>
      </c>
      <c r="D1083" t="s">
        <v>2472</v>
      </c>
      <c r="E1083" t="s">
        <v>2474</v>
      </c>
      <c r="F1083" t="s">
        <v>1790</v>
      </c>
      <c r="G1083" t="s">
        <v>1790</v>
      </c>
      <c r="H1083" s="10">
        <v>442128</v>
      </c>
      <c r="I1083">
        <f>IFERROR(VLOOKUP(Final!F1083,'LEAID Match'!$A$2:$B$374,2,FALSE),"")</f>
        <v>404570</v>
      </c>
      <c r="K1083" s="10">
        <f t="shared" si="16"/>
        <v>442128</v>
      </c>
    </row>
    <row r="1084" spans="1:11">
      <c r="A1084">
        <v>404570</v>
      </c>
      <c r="B1084" s="10">
        <v>2020</v>
      </c>
      <c r="C1084" t="s">
        <v>780</v>
      </c>
      <c r="D1084" t="s">
        <v>2472</v>
      </c>
      <c r="E1084" t="s">
        <v>2474</v>
      </c>
      <c r="F1084" t="s">
        <v>1790</v>
      </c>
      <c r="G1084" t="s">
        <v>1790</v>
      </c>
      <c r="H1084" s="10">
        <v>426587</v>
      </c>
      <c r="I1084">
        <f>IFERROR(VLOOKUP(Final!F1084,'LEAID Match'!$A$2:$B$374,2,FALSE),"")</f>
        <v>404570</v>
      </c>
      <c r="K1084" s="10">
        <f t="shared" si="16"/>
        <v>426587</v>
      </c>
    </row>
    <row r="1085" spans="1:11">
      <c r="A1085">
        <v>404570</v>
      </c>
      <c r="B1085" s="10">
        <v>2021</v>
      </c>
      <c r="C1085" t="s">
        <v>780</v>
      </c>
      <c r="D1085" t="s">
        <v>2472</v>
      </c>
      <c r="E1085" t="s">
        <v>2474</v>
      </c>
      <c r="F1085" t="s">
        <v>1790</v>
      </c>
      <c r="G1085" t="s">
        <v>1790</v>
      </c>
      <c r="H1085" s="10">
        <v>419638</v>
      </c>
      <c r="I1085">
        <f>IFERROR(VLOOKUP(Final!F1085,'LEAID Match'!$A$2:$B$374,2,FALSE),"")</f>
        <v>404570</v>
      </c>
      <c r="K1085" s="10">
        <f t="shared" si="16"/>
        <v>419638</v>
      </c>
    </row>
    <row r="1086" spans="1:11">
      <c r="A1086">
        <v>404570</v>
      </c>
      <c r="B1086" s="10">
        <v>2022</v>
      </c>
      <c r="C1086" t="s">
        <v>780</v>
      </c>
      <c r="D1086" t="s">
        <v>2472</v>
      </c>
      <c r="E1086" t="s">
        <v>2474</v>
      </c>
      <c r="F1086" t="s">
        <v>1790</v>
      </c>
      <c r="G1086" t="s">
        <v>1790</v>
      </c>
      <c r="H1086" s="10">
        <v>385759</v>
      </c>
      <c r="I1086">
        <f>IFERROR(VLOOKUP(Final!F1086,'LEAID Match'!$A$2:$B$374,2,FALSE),"")</f>
        <v>404570</v>
      </c>
      <c r="K1086" s="10">
        <f t="shared" si="16"/>
        <v>385759</v>
      </c>
    </row>
    <row r="1087" spans="1:11">
      <c r="A1087">
        <v>404570</v>
      </c>
      <c r="B1087" s="10">
        <v>2023</v>
      </c>
      <c r="C1087" t="s">
        <v>780</v>
      </c>
      <c r="D1087" t="s">
        <v>2472</v>
      </c>
      <c r="E1087" t="s">
        <v>2474</v>
      </c>
      <c r="F1087" t="s">
        <v>1790</v>
      </c>
      <c r="G1087" t="s">
        <v>1790</v>
      </c>
      <c r="H1087" s="10">
        <v>406263</v>
      </c>
      <c r="I1087">
        <f>IFERROR(VLOOKUP(Final!F1087,'LEAID Match'!$A$2:$B$374,2,FALSE),"")</f>
        <v>404570</v>
      </c>
      <c r="K1087" s="10">
        <f t="shared" si="16"/>
        <v>406263</v>
      </c>
    </row>
    <row r="1088" spans="1:11">
      <c r="A1088">
        <v>402790</v>
      </c>
      <c r="B1088" s="10">
        <v>2015</v>
      </c>
      <c r="C1088" t="s">
        <v>582</v>
      </c>
      <c r="D1088" t="s">
        <v>2472</v>
      </c>
      <c r="E1088" t="s">
        <v>2474</v>
      </c>
      <c r="F1088" t="s">
        <v>1710</v>
      </c>
      <c r="G1088" t="s">
        <v>527</v>
      </c>
      <c r="H1088" s="10">
        <v>510477</v>
      </c>
      <c r="I1088">
        <f>IFERROR(VLOOKUP(Final!F1088,'LEAID Match'!$A$2:$B$374,2,FALSE),"")</f>
        <v>402790</v>
      </c>
      <c r="K1088" s="10">
        <f t="shared" si="16"/>
        <v>510477</v>
      </c>
    </row>
    <row r="1089" spans="1:11">
      <c r="A1089">
        <v>402790</v>
      </c>
      <c r="B1089" s="10">
        <v>2016</v>
      </c>
      <c r="C1089" t="s">
        <v>582</v>
      </c>
      <c r="D1089" t="s">
        <v>2472</v>
      </c>
      <c r="E1089" t="s">
        <v>2474</v>
      </c>
      <c r="F1089" t="s">
        <v>1710</v>
      </c>
      <c r="G1089" t="s">
        <v>527</v>
      </c>
      <c r="H1089" s="10">
        <v>468933</v>
      </c>
      <c r="I1089">
        <f>IFERROR(VLOOKUP(Final!F1089,'LEAID Match'!$A$2:$B$374,2,FALSE),"")</f>
        <v>402790</v>
      </c>
      <c r="K1089" s="10">
        <f t="shared" si="16"/>
        <v>468933</v>
      </c>
    </row>
    <row r="1090" spans="1:11">
      <c r="A1090">
        <v>402790</v>
      </c>
      <c r="B1090" s="10">
        <v>2017</v>
      </c>
      <c r="C1090" t="s">
        <v>582</v>
      </c>
      <c r="D1090" t="s">
        <v>2472</v>
      </c>
      <c r="E1090" t="s">
        <v>2474</v>
      </c>
      <c r="F1090" t="s">
        <v>1710</v>
      </c>
      <c r="G1090" t="s">
        <v>1710</v>
      </c>
      <c r="H1090" s="10">
        <v>445975</v>
      </c>
      <c r="I1090">
        <f>IFERROR(VLOOKUP(Final!F1090,'LEAID Match'!$A$2:$B$374,2,FALSE),"")</f>
        <v>402790</v>
      </c>
      <c r="K1090" s="10">
        <f t="shared" si="16"/>
        <v>445975</v>
      </c>
    </row>
    <row r="1091" spans="1:11">
      <c r="A1091">
        <v>402790</v>
      </c>
      <c r="B1091" s="10">
        <v>2018</v>
      </c>
      <c r="C1091" t="s">
        <v>582</v>
      </c>
      <c r="D1091" t="s">
        <v>2472</v>
      </c>
      <c r="E1091" t="s">
        <v>2474</v>
      </c>
      <c r="F1091" t="s">
        <v>1710</v>
      </c>
      <c r="G1091" t="s">
        <v>1710</v>
      </c>
      <c r="H1091" s="10">
        <v>436948</v>
      </c>
      <c r="I1091">
        <f>IFERROR(VLOOKUP(Final!F1091,'LEAID Match'!$A$2:$B$374,2,FALSE),"")</f>
        <v>402790</v>
      </c>
      <c r="K1091" s="10">
        <f t="shared" ref="K1091:K1154" si="17">SUM(H1091,J1091)</f>
        <v>436948</v>
      </c>
    </row>
    <row r="1092" spans="1:11">
      <c r="A1092">
        <v>402790</v>
      </c>
      <c r="B1092" s="10">
        <v>2019</v>
      </c>
      <c r="C1092" t="s">
        <v>582</v>
      </c>
      <c r="D1092" t="s">
        <v>2472</v>
      </c>
      <c r="E1092" t="s">
        <v>2474</v>
      </c>
      <c r="F1092" t="s">
        <v>1710</v>
      </c>
      <c r="G1092" t="s">
        <v>1710</v>
      </c>
      <c r="H1092" s="10">
        <v>446466</v>
      </c>
      <c r="I1092">
        <f>IFERROR(VLOOKUP(Final!F1092,'LEAID Match'!$A$2:$B$374,2,FALSE),"")</f>
        <v>402790</v>
      </c>
      <c r="K1092" s="10">
        <f t="shared" si="17"/>
        <v>446466</v>
      </c>
    </row>
    <row r="1093" spans="1:11">
      <c r="A1093">
        <v>402790</v>
      </c>
      <c r="B1093" s="10">
        <v>2020</v>
      </c>
      <c r="C1093" t="s">
        <v>582</v>
      </c>
      <c r="D1093" t="s">
        <v>2472</v>
      </c>
      <c r="E1093" t="s">
        <v>2474</v>
      </c>
      <c r="F1093" t="s">
        <v>1710</v>
      </c>
      <c r="G1093" t="s">
        <v>1710</v>
      </c>
      <c r="H1093" s="10">
        <v>440364</v>
      </c>
      <c r="I1093">
        <f>IFERROR(VLOOKUP(Final!F1093,'LEAID Match'!$A$2:$B$374,2,FALSE),"")</f>
        <v>402790</v>
      </c>
      <c r="K1093" s="10">
        <f t="shared" si="17"/>
        <v>440364</v>
      </c>
    </row>
    <row r="1094" spans="1:11">
      <c r="A1094">
        <v>402790</v>
      </c>
      <c r="B1094" s="10">
        <v>2021</v>
      </c>
      <c r="C1094" t="s">
        <v>582</v>
      </c>
      <c r="D1094" t="s">
        <v>2472</v>
      </c>
      <c r="E1094" t="s">
        <v>2474</v>
      </c>
      <c r="F1094" t="s">
        <v>1710</v>
      </c>
      <c r="G1094" t="s">
        <v>1710</v>
      </c>
      <c r="H1094" s="10">
        <v>510893</v>
      </c>
      <c r="I1094">
        <f>IFERROR(VLOOKUP(Final!F1094,'LEAID Match'!$A$2:$B$374,2,FALSE),"")</f>
        <v>402790</v>
      </c>
      <c r="K1094" s="10">
        <f t="shared" si="17"/>
        <v>510893</v>
      </c>
    </row>
    <row r="1095" spans="1:11">
      <c r="A1095">
        <v>402790</v>
      </c>
      <c r="B1095" s="10">
        <v>2022</v>
      </c>
      <c r="C1095" t="s">
        <v>582</v>
      </c>
      <c r="D1095" t="s">
        <v>2472</v>
      </c>
      <c r="E1095" t="s">
        <v>2474</v>
      </c>
      <c r="F1095" t="s">
        <v>1710</v>
      </c>
      <c r="G1095" t="s">
        <v>1710</v>
      </c>
      <c r="H1095" s="10">
        <v>552023</v>
      </c>
      <c r="I1095">
        <f>IFERROR(VLOOKUP(Final!F1095,'LEAID Match'!$A$2:$B$374,2,FALSE),"")</f>
        <v>402790</v>
      </c>
      <c r="K1095" s="10">
        <f t="shared" si="17"/>
        <v>552023</v>
      </c>
    </row>
    <row r="1096" spans="1:11">
      <c r="A1096">
        <v>402790</v>
      </c>
      <c r="B1096" s="10">
        <v>2023</v>
      </c>
      <c r="C1096" t="s">
        <v>582</v>
      </c>
      <c r="D1096" t="s">
        <v>2472</v>
      </c>
      <c r="E1096" t="s">
        <v>2474</v>
      </c>
      <c r="F1096" t="s">
        <v>1710</v>
      </c>
      <c r="G1096" t="s">
        <v>1710</v>
      </c>
      <c r="H1096" s="10">
        <v>628542</v>
      </c>
      <c r="I1096">
        <f>IFERROR(VLOOKUP(Final!F1096,'LEAID Match'!$A$2:$B$374,2,FALSE),"")</f>
        <v>402790</v>
      </c>
      <c r="K1096" s="10">
        <f t="shared" si="17"/>
        <v>628542</v>
      </c>
    </row>
    <row r="1097" spans="1:11">
      <c r="A1097">
        <v>408230</v>
      </c>
      <c r="B1097" s="10">
        <v>2015</v>
      </c>
      <c r="C1097" t="s">
        <v>1148</v>
      </c>
      <c r="D1097" t="s">
        <v>2472</v>
      </c>
      <c r="E1097" t="s">
        <v>2474</v>
      </c>
      <c r="F1097" t="s">
        <v>1974</v>
      </c>
      <c r="G1097" t="s">
        <v>1093</v>
      </c>
      <c r="H1097" s="10">
        <v>220043</v>
      </c>
      <c r="I1097">
        <f>IFERROR(VLOOKUP(Final!F1097,'LEAID Match'!$A$2:$B$374,2,FALSE),"")</f>
        <v>408230</v>
      </c>
      <c r="K1097" s="10">
        <f t="shared" si="17"/>
        <v>220043</v>
      </c>
    </row>
    <row r="1098" spans="1:11">
      <c r="A1098">
        <v>408230</v>
      </c>
      <c r="B1098" s="10">
        <v>2016</v>
      </c>
      <c r="C1098" t="s">
        <v>1148</v>
      </c>
      <c r="D1098" t="s">
        <v>2472</v>
      </c>
      <c r="E1098" t="s">
        <v>2474</v>
      </c>
      <c r="F1098" t="s">
        <v>1974</v>
      </c>
      <c r="G1098" t="s">
        <v>1093</v>
      </c>
      <c r="H1098" s="10">
        <v>220790</v>
      </c>
      <c r="I1098">
        <f>IFERROR(VLOOKUP(Final!F1098,'LEAID Match'!$A$2:$B$374,2,FALSE),"")</f>
        <v>408230</v>
      </c>
      <c r="K1098" s="10">
        <f t="shared" si="17"/>
        <v>220790</v>
      </c>
    </row>
    <row r="1099" spans="1:11">
      <c r="A1099">
        <v>408230</v>
      </c>
      <c r="B1099" s="10">
        <v>2017</v>
      </c>
      <c r="C1099" t="s">
        <v>1148</v>
      </c>
      <c r="D1099" t="s">
        <v>2472</v>
      </c>
      <c r="E1099" t="s">
        <v>2474</v>
      </c>
      <c r="F1099" t="s">
        <v>1974</v>
      </c>
      <c r="G1099" t="s">
        <v>1974</v>
      </c>
      <c r="H1099" s="10">
        <v>215073</v>
      </c>
      <c r="I1099">
        <f>IFERROR(VLOOKUP(Final!F1099,'LEAID Match'!$A$2:$B$374,2,FALSE),"")</f>
        <v>408230</v>
      </c>
      <c r="K1099" s="10">
        <f t="shared" si="17"/>
        <v>215073</v>
      </c>
    </row>
    <row r="1100" spans="1:11">
      <c r="A1100">
        <v>408230</v>
      </c>
      <c r="B1100" s="10">
        <v>2018</v>
      </c>
      <c r="C1100" t="s">
        <v>1148</v>
      </c>
      <c r="D1100" t="s">
        <v>2472</v>
      </c>
      <c r="E1100" t="s">
        <v>2474</v>
      </c>
      <c r="F1100" t="s">
        <v>1974</v>
      </c>
      <c r="G1100" t="s">
        <v>2320</v>
      </c>
      <c r="H1100" s="10">
        <v>218112</v>
      </c>
      <c r="I1100">
        <f>IFERROR(VLOOKUP(Final!F1100,'LEAID Match'!$A$2:$B$374,2,FALSE),"")</f>
        <v>408230</v>
      </c>
      <c r="K1100" s="10">
        <f t="shared" si="17"/>
        <v>218112</v>
      </c>
    </row>
    <row r="1101" spans="1:11">
      <c r="A1101">
        <v>408230</v>
      </c>
      <c r="B1101" s="10">
        <v>2019</v>
      </c>
      <c r="C1101" t="s">
        <v>1148</v>
      </c>
      <c r="D1101" t="s">
        <v>2472</v>
      </c>
      <c r="E1101" t="s">
        <v>2474</v>
      </c>
      <c r="F1101" t="s">
        <v>1974</v>
      </c>
      <c r="G1101" t="s">
        <v>1974</v>
      </c>
      <c r="H1101" s="10">
        <v>233760</v>
      </c>
      <c r="I1101">
        <f>IFERROR(VLOOKUP(Final!F1101,'LEAID Match'!$A$2:$B$374,2,FALSE),"")</f>
        <v>408230</v>
      </c>
      <c r="K1101" s="10">
        <f t="shared" si="17"/>
        <v>233760</v>
      </c>
    </row>
    <row r="1102" spans="1:11">
      <c r="A1102">
        <v>408230</v>
      </c>
      <c r="B1102" s="10">
        <v>2020</v>
      </c>
      <c r="C1102" t="s">
        <v>1148</v>
      </c>
      <c r="D1102" t="s">
        <v>2472</v>
      </c>
      <c r="E1102" t="s">
        <v>2474</v>
      </c>
      <c r="F1102" t="s">
        <v>1974</v>
      </c>
      <c r="G1102" t="s">
        <v>1974</v>
      </c>
      <c r="H1102" s="10">
        <v>238543</v>
      </c>
      <c r="I1102">
        <f>IFERROR(VLOOKUP(Final!F1102,'LEAID Match'!$A$2:$B$374,2,FALSE),"")</f>
        <v>408230</v>
      </c>
      <c r="K1102" s="10">
        <f t="shared" si="17"/>
        <v>238543</v>
      </c>
    </row>
    <row r="1103" spans="1:11">
      <c r="A1103">
        <v>408230</v>
      </c>
      <c r="B1103" s="10">
        <v>2021</v>
      </c>
      <c r="C1103" t="s">
        <v>1148</v>
      </c>
      <c r="D1103" t="s">
        <v>2472</v>
      </c>
      <c r="E1103" t="s">
        <v>2474</v>
      </c>
      <c r="F1103" t="s">
        <v>1974</v>
      </c>
      <c r="G1103" t="s">
        <v>1974</v>
      </c>
      <c r="H1103" s="10">
        <v>228957</v>
      </c>
      <c r="I1103">
        <f>IFERROR(VLOOKUP(Final!F1103,'LEAID Match'!$A$2:$B$374,2,FALSE),"")</f>
        <v>408230</v>
      </c>
      <c r="K1103" s="10">
        <f t="shared" si="17"/>
        <v>228957</v>
      </c>
    </row>
    <row r="1104" spans="1:11">
      <c r="A1104">
        <v>408230</v>
      </c>
      <c r="B1104" s="10">
        <v>2022</v>
      </c>
      <c r="C1104" t="s">
        <v>1148</v>
      </c>
      <c r="D1104" t="s">
        <v>2472</v>
      </c>
      <c r="E1104" t="s">
        <v>2474</v>
      </c>
      <c r="F1104" t="s">
        <v>1974</v>
      </c>
      <c r="G1104" t="s">
        <v>1974</v>
      </c>
      <c r="H1104" s="10">
        <v>257546</v>
      </c>
      <c r="I1104">
        <f>IFERROR(VLOOKUP(Final!F1104,'LEAID Match'!$A$2:$B$374,2,FALSE),"")</f>
        <v>408230</v>
      </c>
      <c r="K1104" s="10">
        <f t="shared" si="17"/>
        <v>257546</v>
      </c>
    </row>
    <row r="1105" spans="1:11">
      <c r="A1105">
        <v>408230</v>
      </c>
      <c r="B1105" s="10">
        <v>2023</v>
      </c>
      <c r="C1105" t="s">
        <v>1148</v>
      </c>
      <c r="D1105" t="s">
        <v>2472</v>
      </c>
      <c r="E1105" t="s">
        <v>2474</v>
      </c>
      <c r="F1105" t="s">
        <v>1974</v>
      </c>
      <c r="G1105" t="s">
        <v>1974</v>
      </c>
      <c r="H1105" s="10">
        <v>263030</v>
      </c>
      <c r="I1105">
        <f>IFERROR(VLOOKUP(Final!F1105,'LEAID Match'!$A$2:$B$374,2,FALSE),"")</f>
        <v>408230</v>
      </c>
      <c r="K1105" s="10">
        <f t="shared" si="17"/>
        <v>263030</v>
      </c>
    </row>
    <row r="1106" spans="1:11">
      <c r="A1106">
        <v>407200</v>
      </c>
      <c r="B1106" s="10">
        <v>2015</v>
      </c>
      <c r="C1106" t="s">
        <v>1043</v>
      </c>
      <c r="D1106" t="s">
        <v>2472</v>
      </c>
      <c r="E1106" t="s">
        <v>2474</v>
      </c>
      <c r="F1106" t="s">
        <v>1921</v>
      </c>
      <c r="G1106" t="s">
        <v>988</v>
      </c>
      <c r="H1106" s="10">
        <v>566278</v>
      </c>
      <c r="I1106">
        <f>IFERROR(VLOOKUP(Final!F1106,'LEAID Match'!$A$2:$B$374,2,FALSE),"")</f>
        <v>407200</v>
      </c>
      <c r="K1106" s="10">
        <f t="shared" si="17"/>
        <v>566278</v>
      </c>
    </row>
    <row r="1107" spans="1:11">
      <c r="A1107">
        <v>407200</v>
      </c>
      <c r="B1107" s="10">
        <v>2016</v>
      </c>
      <c r="C1107" t="s">
        <v>1043</v>
      </c>
      <c r="D1107" t="s">
        <v>2472</v>
      </c>
      <c r="E1107" t="s">
        <v>2474</v>
      </c>
      <c r="F1107" t="s">
        <v>1921</v>
      </c>
      <c r="G1107" t="s">
        <v>988</v>
      </c>
      <c r="H1107" s="10">
        <v>536624</v>
      </c>
      <c r="I1107">
        <f>IFERROR(VLOOKUP(Final!F1107,'LEAID Match'!$A$2:$B$374,2,FALSE),"")</f>
        <v>407200</v>
      </c>
      <c r="K1107" s="10">
        <f t="shared" si="17"/>
        <v>536624</v>
      </c>
    </row>
    <row r="1108" spans="1:11">
      <c r="A1108">
        <v>407200</v>
      </c>
      <c r="B1108" s="10">
        <v>2017</v>
      </c>
      <c r="C1108" t="s">
        <v>1043</v>
      </c>
      <c r="D1108" t="s">
        <v>2472</v>
      </c>
      <c r="E1108" t="s">
        <v>2474</v>
      </c>
      <c r="F1108" t="s">
        <v>1921</v>
      </c>
      <c r="G1108" t="s">
        <v>1921</v>
      </c>
      <c r="H1108" s="10">
        <v>611698</v>
      </c>
      <c r="I1108">
        <f>IFERROR(VLOOKUP(Final!F1108,'LEAID Match'!$A$2:$B$374,2,FALSE),"")</f>
        <v>407200</v>
      </c>
      <c r="K1108" s="10">
        <f t="shared" si="17"/>
        <v>611698</v>
      </c>
    </row>
    <row r="1109" spans="1:11">
      <c r="A1109">
        <v>407200</v>
      </c>
      <c r="B1109" s="10">
        <v>2018</v>
      </c>
      <c r="C1109" t="s">
        <v>1043</v>
      </c>
      <c r="D1109" t="s">
        <v>2472</v>
      </c>
      <c r="E1109" t="s">
        <v>2474</v>
      </c>
      <c r="F1109" t="s">
        <v>1921</v>
      </c>
      <c r="G1109" t="s">
        <v>2297</v>
      </c>
      <c r="H1109" s="10">
        <v>605759</v>
      </c>
      <c r="I1109">
        <f>IFERROR(VLOOKUP(Final!F1109,'LEAID Match'!$A$2:$B$374,2,FALSE),"")</f>
        <v>407200</v>
      </c>
      <c r="K1109" s="10">
        <f t="shared" si="17"/>
        <v>605759</v>
      </c>
    </row>
    <row r="1110" spans="1:11">
      <c r="A1110">
        <v>407200</v>
      </c>
      <c r="B1110" s="10">
        <v>2019</v>
      </c>
      <c r="C1110" t="s">
        <v>1043</v>
      </c>
      <c r="D1110" t="s">
        <v>2472</v>
      </c>
      <c r="E1110" t="s">
        <v>2474</v>
      </c>
      <c r="F1110" t="s">
        <v>1921</v>
      </c>
      <c r="G1110" t="s">
        <v>1921</v>
      </c>
      <c r="H1110" s="10">
        <v>644867</v>
      </c>
      <c r="I1110">
        <f>IFERROR(VLOOKUP(Final!F1110,'LEAID Match'!$A$2:$B$374,2,FALSE),"")</f>
        <v>407200</v>
      </c>
      <c r="K1110" s="10">
        <f t="shared" si="17"/>
        <v>644867</v>
      </c>
    </row>
    <row r="1111" spans="1:11">
      <c r="A1111">
        <v>407200</v>
      </c>
      <c r="B1111" s="10">
        <v>2020</v>
      </c>
      <c r="C1111" t="s">
        <v>1043</v>
      </c>
      <c r="D1111" t="s">
        <v>2472</v>
      </c>
      <c r="E1111" t="s">
        <v>2474</v>
      </c>
      <c r="F1111" t="s">
        <v>1921</v>
      </c>
      <c r="G1111" t="s">
        <v>1921</v>
      </c>
      <c r="H1111" s="10">
        <v>668747</v>
      </c>
      <c r="I1111">
        <f>IFERROR(VLOOKUP(Final!F1111,'LEAID Match'!$A$2:$B$374,2,FALSE),"")</f>
        <v>407200</v>
      </c>
      <c r="K1111" s="10">
        <f t="shared" si="17"/>
        <v>668747</v>
      </c>
    </row>
    <row r="1112" spans="1:11">
      <c r="A1112">
        <v>407200</v>
      </c>
      <c r="B1112" s="10">
        <v>2021</v>
      </c>
      <c r="C1112" t="s">
        <v>1043</v>
      </c>
      <c r="D1112" t="s">
        <v>2472</v>
      </c>
      <c r="E1112" t="s">
        <v>2474</v>
      </c>
      <c r="F1112" t="s">
        <v>1921</v>
      </c>
      <c r="G1112" t="s">
        <v>1921</v>
      </c>
      <c r="H1112" s="10">
        <v>573870</v>
      </c>
      <c r="I1112">
        <f>IFERROR(VLOOKUP(Final!F1112,'LEAID Match'!$A$2:$B$374,2,FALSE),"")</f>
        <v>407200</v>
      </c>
      <c r="K1112" s="10">
        <f t="shared" si="17"/>
        <v>573870</v>
      </c>
    </row>
    <row r="1113" spans="1:11">
      <c r="A1113">
        <v>407200</v>
      </c>
      <c r="B1113" s="10">
        <v>2022</v>
      </c>
      <c r="C1113" t="s">
        <v>1043</v>
      </c>
      <c r="D1113" t="s">
        <v>2472</v>
      </c>
      <c r="E1113" t="s">
        <v>2474</v>
      </c>
      <c r="F1113" t="s">
        <v>1921</v>
      </c>
      <c r="G1113" t="s">
        <v>1921</v>
      </c>
      <c r="H1113" s="10">
        <v>609402</v>
      </c>
      <c r="I1113">
        <f>IFERROR(VLOOKUP(Final!F1113,'LEAID Match'!$A$2:$B$374,2,FALSE),"")</f>
        <v>407200</v>
      </c>
      <c r="K1113" s="10">
        <f t="shared" si="17"/>
        <v>609402</v>
      </c>
    </row>
    <row r="1114" spans="1:11">
      <c r="A1114">
        <v>407200</v>
      </c>
      <c r="B1114" s="10">
        <v>2023</v>
      </c>
      <c r="C1114" t="s">
        <v>1043</v>
      </c>
      <c r="D1114" t="s">
        <v>2472</v>
      </c>
      <c r="E1114" t="s">
        <v>2474</v>
      </c>
      <c r="F1114" t="s">
        <v>1921</v>
      </c>
      <c r="G1114" t="s">
        <v>1921</v>
      </c>
      <c r="H1114" s="10">
        <v>794322</v>
      </c>
      <c r="I1114">
        <f>IFERROR(VLOOKUP(Final!F1114,'LEAID Match'!$A$2:$B$374,2,FALSE),"")</f>
        <v>407200</v>
      </c>
      <c r="K1114" s="10">
        <f t="shared" si="17"/>
        <v>794322</v>
      </c>
    </row>
    <row r="1115" spans="1:11">
      <c r="A1115">
        <v>404720</v>
      </c>
      <c r="B1115" s="10">
        <v>2015</v>
      </c>
      <c r="C1115" t="s">
        <v>789</v>
      </c>
      <c r="D1115" t="s">
        <v>2472</v>
      </c>
      <c r="E1115" t="s">
        <v>2474</v>
      </c>
      <c r="F1115" t="s">
        <v>1799</v>
      </c>
      <c r="G1115" t="s">
        <v>734</v>
      </c>
      <c r="H1115" s="10">
        <v>2641507</v>
      </c>
      <c r="I1115">
        <f>IFERROR(VLOOKUP(Final!F1115,'LEAID Match'!$A$2:$B$374,2,FALSE),"")</f>
        <v>404720</v>
      </c>
      <c r="K1115" s="10">
        <f t="shared" si="17"/>
        <v>2641507</v>
      </c>
    </row>
    <row r="1116" spans="1:11">
      <c r="A1116">
        <v>404720</v>
      </c>
      <c r="B1116" s="10">
        <v>2016</v>
      </c>
      <c r="C1116" t="s">
        <v>789</v>
      </c>
      <c r="D1116" t="s">
        <v>2472</v>
      </c>
      <c r="E1116" t="s">
        <v>2474</v>
      </c>
      <c r="F1116" t="s">
        <v>1799</v>
      </c>
      <c r="G1116" t="s">
        <v>734</v>
      </c>
      <c r="H1116" s="10">
        <v>2626516</v>
      </c>
      <c r="I1116">
        <f>IFERROR(VLOOKUP(Final!F1116,'LEAID Match'!$A$2:$B$374,2,FALSE),"")</f>
        <v>404720</v>
      </c>
      <c r="K1116" s="10">
        <f t="shared" si="17"/>
        <v>2626516</v>
      </c>
    </row>
    <row r="1117" spans="1:11">
      <c r="A1117">
        <v>404720</v>
      </c>
      <c r="B1117" s="10">
        <v>2017</v>
      </c>
      <c r="C1117" t="s">
        <v>789</v>
      </c>
      <c r="D1117" t="s">
        <v>2472</v>
      </c>
      <c r="E1117" t="s">
        <v>2474</v>
      </c>
      <c r="F1117" t="s">
        <v>1799</v>
      </c>
      <c r="G1117" t="s">
        <v>1799</v>
      </c>
      <c r="H1117" s="10">
        <v>2848522</v>
      </c>
      <c r="I1117">
        <f>IFERROR(VLOOKUP(Final!F1117,'LEAID Match'!$A$2:$B$374,2,FALSE),"")</f>
        <v>404720</v>
      </c>
      <c r="K1117" s="10">
        <f t="shared" si="17"/>
        <v>2848522</v>
      </c>
    </row>
    <row r="1118" spans="1:11">
      <c r="A1118">
        <v>404720</v>
      </c>
      <c r="B1118" s="10">
        <v>2018</v>
      </c>
      <c r="C1118" t="s">
        <v>789</v>
      </c>
      <c r="D1118" t="s">
        <v>2472</v>
      </c>
      <c r="E1118" t="s">
        <v>2474</v>
      </c>
      <c r="F1118" t="s">
        <v>1799</v>
      </c>
      <c r="G1118" t="s">
        <v>2233</v>
      </c>
      <c r="H1118" s="10">
        <v>3175368</v>
      </c>
      <c r="I1118">
        <f>IFERROR(VLOOKUP(Final!F1118,'LEAID Match'!$A$2:$B$374,2,FALSE),"")</f>
        <v>404720</v>
      </c>
      <c r="K1118" s="10">
        <f t="shared" si="17"/>
        <v>3175368</v>
      </c>
    </row>
    <row r="1119" spans="1:11">
      <c r="A1119">
        <v>404720</v>
      </c>
      <c r="B1119" s="10">
        <v>2019</v>
      </c>
      <c r="C1119" t="s">
        <v>789</v>
      </c>
      <c r="D1119" t="s">
        <v>2472</v>
      </c>
      <c r="E1119" t="s">
        <v>2474</v>
      </c>
      <c r="F1119" t="s">
        <v>1799</v>
      </c>
      <c r="G1119" t="s">
        <v>1799</v>
      </c>
      <c r="H1119" s="10">
        <v>3688661</v>
      </c>
      <c r="I1119">
        <f>IFERROR(VLOOKUP(Final!F1119,'LEAID Match'!$A$2:$B$374,2,FALSE),"")</f>
        <v>404720</v>
      </c>
      <c r="K1119" s="10">
        <f t="shared" si="17"/>
        <v>3688661</v>
      </c>
    </row>
    <row r="1120" spans="1:11">
      <c r="A1120">
        <v>404720</v>
      </c>
      <c r="B1120" s="10">
        <v>2020</v>
      </c>
      <c r="C1120" t="s">
        <v>789</v>
      </c>
      <c r="D1120" t="s">
        <v>2472</v>
      </c>
      <c r="E1120" t="s">
        <v>2474</v>
      </c>
      <c r="F1120" t="s">
        <v>1799</v>
      </c>
      <c r="G1120" t="s">
        <v>1799</v>
      </c>
      <c r="H1120" s="10">
        <v>3987881</v>
      </c>
      <c r="I1120">
        <f>IFERROR(VLOOKUP(Final!F1120,'LEAID Match'!$A$2:$B$374,2,FALSE),"")</f>
        <v>404720</v>
      </c>
      <c r="K1120" s="10">
        <f t="shared" si="17"/>
        <v>3987881</v>
      </c>
    </row>
    <row r="1121" spans="1:11">
      <c r="A1121">
        <v>404720</v>
      </c>
      <c r="B1121" s="10">
        <v>2021</v>
      </c>
      <c r="C1121" t="s">
        <v>789</v>
      </c>
      <c r="D1121" t="s">
        <v>2472</v>
      </c>
      <c r="E1121" t="s">
        <v>2474</v>
      </c>
      <c r="F1121" t="s">
        <v>1799</v>
      </c>
      <c r="G1121" t="s">
        <v>1799</v>
      </c>
      <c r="H1121" s="10">
        <v>4415106</v>
      </c>
      <c r="I1121">
        <f>IFERROR(VLOOKUP(Final!F1121,'LEAID Match'!$A$2:$B$374,2,FALSE),"")</f>
        <v>404720</v>
      </c>
      <c r="K1121" s="10">
        <f t="shared" si="17"/>
        <v>4415106</v>
      </c>
    </row>
    <row r="1122" spans="1:11">
      <c r="A1122">
        <v>404720</v>
      </c>
      <c r="B1122" s="10">
        <v>2022</v>
      </c>
      <c r="C1122" t="s">
        <v>789</v>
      </c>
      <c r="D1122" t="s">
        <v>2472</v>
      </c>
      <c r="E1122" t="s">
        <v>2474</v>
      </c>
      <c r="F1122" t="s">
        <v>1799</v>
      </c>
      <c r="G1122" t="s">
        <v>1799</v>
      </c>
      <c r="H1122" s="10">
        <v>5140391</v>
      </c>
      <c r="I1122">
        <f>IFERROR(VLOOKUP(Final!F1122,'LEAID Match'!$A$2:$B$374,2,FALSE),"")</f>
        <v>404720</v>
      </c>
      <c r="K1122" s="10">
        <f t="shared" si="17"/>
        <v>5140391</v>
      </c>
    </row>
    <row r="1123" spans="1:11">
      <c r="A1123">
        <v>404720</v>
      </c>
      <c r="B1123" s="10">
        <v>2023</v>
      </c>
      <c r="C1123" t="s">
        <v>789</v>
      </c>
      <c r="D1123" t="s">
        <v>2472</v>
      </c>
      <c r="E1123" t="s">
        <v>2474</v>
      </c>
      <c r="F1123" t="s">
        <v>1799</v>
      </c>
      <c r="G1123" t="s">
        <v>1799</v>
      </c>
      <c r="H1123" s="10">
        <v>5686077</v>
      </c>
      <c r="I1123">
        <f>IFERROR(VLOOKUP(Final!F1123,'LEAID Match'!$A$2:$B$374,2,FALSE),"")</f>
        <v>404720</v>
      </c>
      <c r="K1123" s="10">
        <f t="shared" si="17"/>
        <v>5686077</v>
      </c>
    </row>
    <row r="1124" spans="1:11">
      <c r="A1124">
        <v>402320</v>
      </c>
      <c r="B1124" s="10">
        <v>2015</v>
      </c>
      <c r="C1124" t="s">
        <v>485</v>
      </c>
      <c r="D1124" t="s">
        <v>2472</v>
      </c>
      <c r="E1124" t="s">
        <v>2474</v>
      </c>
      <c r="F1124" t="s">
        <v>1675</v>
      </c>
      <c r="G1124" t="s">
        <v>430</v>
      </c>
      <c r="H1124" s="10">
        <v>1559852</v>
      </c>
      <c r="I1124">
        <f>IFERROR(VLOOKUP(Final!F1124,'LEAID Match'!$A$2:$B$374,2,FALSE),"")</f>
        <v>402320</v>
      </c>
      <c r="K1124" s="10">
        <f t="shared" si="17"/>
        <v>1559852</v>
      </c>
    </row>
    <row r="1125" spans="1:11">
      <c r="A1125">
        <v>402320</v>
      </c>
      <c r="B1125" s="10">
        <v>2016</v>
      </c>
      <c r="C1125" t="s">
        <v>485</v>
      </c>
      <c r="D1125" t="s">
        <v>2472</v>
      </c>
      <c r="E1125" t="s">
        <v>2474</v>
      </c>
      <c r="F1125" t="s">
        <v>1675</v>
      </c>
      <c r="G1125" t="s">
        <v>430</v>
      </c>
      <c r="H1125" s="10">
        <v>1569571</v>
      </c>
      <c r="I1125">
        <f>IFERROR(VLOOKUP(Final!F1125,'LEAID Match'!$A$2:$B$374,2,FALSE),"")</f>
        <v>402320</v>
      </c>
      <c r="K1125" s="10">
        <f t="shared" si="17"/>
        <v>1569571</v>
      </c>
    </row>
    <row r="1126" spans="1:11">
      <c r="A1126">
        <v>402320</v>
      </c>
      <c r="B1126" s="10">
        <v>2017</v>
      </c>
      <c r="C1126" t="s">
        <v>485</v>
      </c>
      <c r="D1126" t="s">
        <v>2472</v>
      </c>
      <c r="E1126" t="s">
        <v>2474</v>
      </c>
      <c r="F1126" t="s">
        <v>1675</v>
      </c>
      <c r="G1126" t="s">
        <v>1675</v>
      </c>
      <c r="H1126" s="10">
        <v>1084085</v>
      </c>
      <c r="I1126">
        <f>IFERROR(VLOOKUP(Final!F1126,'LEAID Match'!$A$2:$B$374,2,FALSE),"")</f>
        <v>402320</v>
      </c>
      <c r="K1126" s="10">
        <f t="shared" si="17"/>
        <v>1084085</v>
      </c>
    </row>
    <row r="1127" spans="1:11">
      <c r="A1127">
        <v>402320</v>
      </c>
      <c r="B1127" s="10">
        <v>2018</v>
      </c>
      <c r="C1127" t="s">
        <v>485</v>
      </c>
      <c r="D1127" t="s">
        <v>2472</v>
      </c>
      <c r="E1127" t="s">
        <v>2474</v>
      </c>
      <c r="F1127" t="s">
        <v>1675</v>
      </c>
      <c r="G1127" t="s">
        <v>1675</v>
      </c>
      <c r="H1127" s="10">
        <v>1110945</v>
      </c>
      <c r="I1127">
        <f>IFERROR(VLOOKUP(Final!F1127,'LEAID Match'!$A$2:$B$374,2,FALSE),"")</f>
        <v>402320</v>
      </c>
      <c r="K1127" s="10">
        <f t="shared" si="17"/>
        <v>1110945</v>
      </c>
    </row>
    <row r="1128" spans="1:11">
      <c r="A1128">
        <v>402320</v>
      </c>
      <c r="B1128" s="10">
        <v>2019</v>
      </c>
      <c r="C1128" t="s">
        <v>485</v>
      </c>
      <c r="D1128" t="s">
        <v>2472</v>
      </c>
      <c r="E1128" t="s">
        <v>2474</v>
      </c>
      <c r="F1128" t="s">
        <v>1675</v>
      </c>
      <c r="G1128" t="s">
        <v>1675</v>
      </c>
      <c r="H1128" s="10">
        <v>1280439</v>
      </c>
      <c r="I1128">
        <f>IFERROR(VLOOKUP(Final!F1128,'LEAID Match'!$A$2:$B$374,2,FALSE),"")</f>
        <v>402320</v>
      </c>
      <c r="K1128" s="10">
        <f t="shared" si="17"/>
        <v>1280439</v>
      </c>
    </row>
    <row r="1129" spans="1:11">
      <c r="A1129">
        <v>402320</v>
      </c>
      <c r="B1129" s="10">
        <v>2020</v>
      </c>
      <c r="C1129" t="s">
        <v>485</v>
      </c>
      <c r="D1129" t="s">
        <v>2472</v>
      </c>
      <c r="E1129" t="s">
        <v>2474</v>
      </c>
      <c r="F1129" t="s">
        <v>1675</v>
      </c>
      <c r="G1129" t="s">
        <v>1675</v>
      </c>
      <c r="H1129" s="10">
        <v>1390291</v>
      </c>
      <c r="I1129">
        <f>IFERROR(VLOOKUP(Final!F1129,'LEAID Match'!$A$2:$B$374,2,FALSE),"")</f>
        <v>402320</v>
      </c>
      <c r="K1129" s="10">
        <f t="shared" si="17"/>
        <v>1390291</v>
      </c>
    </row>
    <row r="1130" spans="1:11">
      <c r="A1130">
        <v>402320</v>
      </c>
      <c r="B1130" s="10">
        <v>2021</v>
      </c>
      <c r="C1130" t="s">
        <v>485</v>
      </c>
      <c r="D1130" t="s">
        <v>2472</v>
      </c>
      <c r="E1130" t="s">
        <v>2474</v>
      </c>
      <c r="F1130" t="s">
        <v>1675</v>
      </c>
      <c r="G1130" t="s">
        <v>1675</v>
      </c>
      <c r="H1130" s="10">
        <v>1444001</v>
      </c>
      <c r="I1130">
        <f>IFERROR(VLOOKUP(Final!F1130,'LEAID Match'!$A$2:$B$374,2,FALSE),"")</f>
        <v>402320</v>
      </c>
      <c r="K1130" s="10">
        <f t="shared" si="17"/>
        <v>1444001</v>
      </c>
    </row>
    <row r="1131" spans="1:11">
      <c r="A1131">
        <v>402320</v>
      </c>
      <c r="B1131" s="10">
        <v>2022</v>
      </c>
      <c r="C1131" t="s">
        <v>485</v>
      </c>
      <c r="D1131" t="s">
        <v>2472</v>
      </c>
      <c r="E1131" t="s">
        <v>2474</v>
      </c>
      <c r="F1131" t="s">
        <v>1675</v>
      </c>
      <c r="G1131" t="s">
        <v>1675</v>
      </c>
      <c r="H1131" s="10">
        <v>1665315</v>
      </c>
      <c r="I1131">
        <f>IFERROR(VLOOKUP(Final!F1131,'LEAID Match'!$A$2:$B$374,2,FALSE),"")</f>
        <v>402320</v>
      </c>
      <c r="K1131" s="10">
        <f t="shared" si="17"/>
        <v>1665315</v>
      </c>
    </row>
    <row r="1132" spans="1:11">
      <c r="A1132">
        <v>402320</v>
      </c>
      <c r="B1132" s="10">
        <v>2023</v>
      </c>
      <c r="C1132" t="s">
        <v>485</v>
      </c>
      <c r="D1132" t="s">
        <v>2472</v>
      </c>
      <c r="E1132" t="s">
        <v>2474</v>
      </c>
      <c r="F1132" t="s">
        <v>1675</v>
      </c>
      <c r="G1132" t="s">
        <v>1675</v>
      </c>
      <c r="H1132" s="10">
        <v>1868373</v>
      </c>
      <c r="I1132">
        <f>IFERROR(VLOOKUP(Final!F1132,'LEAID Match'!$A$2:$B$374,2,FALSE),"")</f>
        <v>402320</v>
      </c>
      <c r="K1132" s="10">
        <f t="shared" si="17"/>
        <v>1868373</v>
      </c>
    </row>
    <row r="1133" spans="1:11">
      <c r="A1133">
        <v>408550</v>
      </c>
      <c r="B1133" s="10">
        <v>2015</v>
      </c>
      <c r="C1133" t="s">
        <v>1214</v>
      </c>
      <c r="D1133" t="s">
        <v>2472</v>
      </c>
      <c r="E1133" t="s">
        <v>2474</v>
      </c>
      <c r="F1133" t="s">
        <v>1990</v>
      </c>
      <c r="G1133" t="s">
        <v>1160</v>
      </c>
      <c r="H1133" s="10">
        <v>503402</v>
      </c>
      <c r="I1133">
        <f>IFERROR(VLOOKUP(Final!F1133,'LEAID Match'!$A$2:$B$374,2,FALSE),"")</f>
        <v>408550</v>
      </c>
      <c r="K1133" s="10">
        <f t="shared" si="17"/>
        <v>503402</v>
      </c>
    </row>
    <row r="1134" spans="1:11">
      <c r="A1134">
        <v>408550</v>
      </c>
      <c r="B1134" s="10">
        <v>2016</v>
      </c>
      <c r="C1134" t="s">
        <v>1214</v>
      </c>
      <c r="D1134" t="s">
        <v>2472</v>
      </c>
      <c r="E1134" t="s">
        <v>2474</v>
      </c>
      <c r="F1134" t="s">
        <v>1990</v>
      </c>
      <c r="G1134" t="s">
        <v>1160</v>
      </c>
      <c r="H1134" s="10">
        <v>471042</v>
      </c>
      <c r="I1134">
        <f>IFERROR(VLOOKUP(Final!F1134,'LEAID Match'!$A$2:$B$374,2,FALSE),"")</f>
        <v>408550</v>
      </c>
      <c r="K1134" s="10">
        <f t="shared" si="17"/>
        <v>471042</v>
      </c>
    </row>
    <row r="1135" spans="1:11">
      <c r="A1135">
        <v>408550</v>
      </c>
      <c r="B1135" s="10">
        <v>2017</v>
      </c>
      <c r="C1135" t="s">
        <v>1214</v>
      </c>
      <c r="D1135" t="s">
        <v>2472</v>
      </c>
      <c r="E1135" t="s">
        <v>2474</v>
      </c>
      <c r="F1135" t="s">
        <v>1990</v>
      </c>
      <c r="G1135" t="s">
        <v>1990</v>
      </c>
      <c r="H1135" s="10">
        <v>435094</v>
      </c>
      <c r="I1135">
        <f>IFERROR(VLOOKUP(Final!F1135,'LEAID Match'!$A$2:$B$374,2,FALSE),"")</f>
        <v>408550</v>
      </c>
      <c r="K1135" s="10">
        <f t="shared" si="17"/>
        <v>435094</v>
      </c>
    </row>
    <row r="1136" spans="1:11">
      <c r="A1136">
        <v>408550</v>
      </c>
      <c r="B1136" s="10">
        <v>2018</v>
      </c>
      <c r="C1136" t="s">
        <v>1214</v>
      </c>
      <c r="D1136" t="s">
        <v>2472</v>
      </c>
      <c r="E1136" t="s">
        <v>2474</v>
      </c>
      <c r="F1136" t="s">
        <v>1990</v>
      </c>
      <c r="G1136" t="s">
        <v>1990</v>
      </c>
      <c r="H1136" s="10">
        <v>396290</v>
      </c>
      <c r="I1136">
        <f>IFERROR(VLOOKUP(Final!F1136,'LEAID Match'!$A$2:$B$374,2,FALSE),"")</f>
        <v>408550</v>
      </c>
      <c r="K1136" s="10">
        <f t="shared" si="17"/>
        <v>396290</v>
      </c>
    </row>
    <row r="1137" spans="1:11">
      <c r="A1137">
        <v>408550</v>
      </c>
      <c r="B1137" s="10">
        <v>2019</v>
      </c>
      <c r="C1137" t="s">
        <v>1214</v>
      </c>
      <c r="D1137" t="s">
        <v>2472</v>
      </c>
      <c r="E1137" t="s">
        <v>2474</v>
      </c>
      <c r="F1137" t="s">
        <v>1990</v>
      </c>
      <c r="G1137" t="s">
        <v>1990</v>
      </c>
      <c r="H1137" s="10">
        <v>435024</v>
      </c>
      <c r="I1137">
        <f>IFERROR(VLOOKUP(Final!F1137,'LEAID Match'!$A$2:$B$374,2,FALSE),"")</f>
        <v>408550</v>
      </c>
      <c r="K1137" s="10">
        <f t="shared" si="17"/>
        <v>435024</v>
      </c>
    </row>
    <row r="1138" spans="1:11">
      <c r="A1138">
        <v>408550</v>
      </c>
      <c r="B1138" s="10">
        <v>2020</v>
      </c>
      <c r="C1138" t="s">
        <v>1214</v>
      </c>
      <c r="D1138" t="s">
        <v>2472</v>
      </c>
      <c r="E1138" t="s">
        <v>2474</v>
      </c>
      <c r="F1138" t="s">
        <v>1990</v>
      </c>
      <c r="G1138" t="s">
        <v>1990</v>
      </c>
      <c r="H1138" s="10">
        <v>544346</v>
      </c>
      <c r="I1138">
        <f>IFERROR(VLOOKUP(Final!F1138,'LEAID Match'!$A$2:$B$374,2,FALSE),"")</f>
        <v>408550</v>
      </c>
      <c r="K1138" s="10">
        <f t="shared" si="17"/>
        <v>544346</v>
      </c>
    </row>
    <row r="1139" spans="1:11">
      <c r="A1139">
        <v>408550</v>
      </c>
      <c r="B1139" s="10">
        <v>2021</v>
      </c>
      <c r="C1139" t="s">
        <v>1214</v>
      </c>
      <c r="D1139" t="s">
        <v>2472</v>
      </c>
      <c r="E1139" t="s">
        <v>2474</v>
      </c>
      <c r="F1139" t="s">
        <v>1990</v>
      </c>
      <c r="G1139" t="s">
        <v>1990</v>
      </c>
      <c r="H1139" s="10">
        <v>563088</v>
      </c>
      <c r="I1139">
        <f>IFERROR(VLOOKUP(Final!F1139,'LEAID Match'!$A$2:$B$374,2,FALSE),"")</f>
        <v>408550</v>
      </c>
      <c r="K1139" s="10">
        <f t="shared" si="17"/>
        <v>563088</v>
      </c>
    </row>
    <row r="1140" spans="1:11">
      <c r="A1140">
        <v>408550</v>
      </c>
      <c r="B1140" s="10">
        <v>2022</v>
      </c>
      <c r="C1140" t="s">
        <v>1214</v>
      </c>
      <c r="D1140" t="s">
        <v>2472</v>
      </c>
      <c r="E1140" t="s">
        <v>2474</v>
      </c>
      <c r="F1140" t="s">
        <v>1990</v>
      </c>
      <c r="G1140" t="s">
        <v>1990</v>
      </c>
      <c r="H1140" s="10">
        <v>661280</v>
      </c>
      <c r="I1140">
        <f>IFERROR(VLOOKUP(Final!F1140,'LEAID Match'!$A$2:$B$374,2,FALSE),"")</f>
        <v>408550</v>
      </c>
      <c r="K1140" s="10">
        <f t="shared" si="17"/>
        <v>661280</v>
      </c>
    </row>
    <row r="1141" spans="1:11">
      <c r="A1141">
        <v>408550</v>
      </c>
      <c r="B1141" s="10">
        <v>2023</v>
      </c>
      <c r="C1141" t="s">
        <v>1214</v>
      </c>
      <c r="D1141" t="s">
        <v>2472</v>
      </c>
      <c r="E1141" t="s">
        <v>2474</v>
      </c>
      <c r="F1141" t="s">
        <v>1990</v>
      </c>
      <c r="G1141" t="s">
        <v>1990</v>
      </c>
      <c r="H1141" s="10">
        <v>674940</v>
      </c>
      <c r="I1141">
        <f>IFERROR(VLOOKUP(Final!F1141,'LEAID Match'!$A$2:$B$374,2,FALSE),"")</f>
        <v>408550</v>
      </c>
      <c r="K1141" s="10">
        <f t="shared" si="17"/>
        <v>674940</v>
      </c>
    </row>
    <row r="1142" spans="1:11">
      <c r="A1142">
        <v>400768</v>
      </c>
      <c r="B1142" s="10">
        <v>2015</v>
      </c>
      <c r="C1142" t="s">
        <v>996</v>
      </c>
      <c r="D1142" t="s">
        <v>2472</v>
      </c>
      <c r="E1142" t="s">
        <v>2474</v>
      </c>
      <c r="F1142" t="s">
        <v>2435</v>
      </c>
      <c r="G1142" t="s">
        <v>941</v>
      </c>
      <c r="H1142" s="10">
        <v>34495</v>
      </c>
      <c r="I1142">
        <f>IFERROR(VLOOKUP(Final!F1142,'LEAID Match'!$A$2:$B$374,2,FALSE),"")</f>
        <v>400768</v>
      </c>
      <c r="K1142" s="10">
        <f t="shared" si="17"/>
        <v>34495</v>
      </c>
    </row>
    <row r="1143" spans="1:11">
      <c r="A1143">
        <v>400768</v>
      </c>
      <c r="B1143" s="10">
        <v>2016</v>
      </c>
      <c r="C1143" t="s">
        <v>996</v>
      </c>
      <c r="D1143" t="s">
        <v>2472</v>
      </c>
      <c r="E1143" t="s">
        <v>2474</v>
      </c>
      <c r="F1143" t="s">
        <v>2435</v>
      </c>
      <c r="G1143" t="s">
        <v>941</v>
      </c>
      <c r="H1143" s="10">
        <v>32131</v>
      </c>
      <c r="I1143">
        <f>IFERROR(VLOOKUP(Final!F1143,'LEAID Match'!$A$2:$B$374,2,FALSE),"")</f>
        <v>400768</v>
      </c>
      <c r="K1143" s="10">
        <f t="shared" si="17"/>
        <v>32131</v>
      </c>
    </row>
    <row r="1144" spans="1:11">
      <c r="A1144">
        <v>400768</v>
      </c>
      <c r="B1144" s="10">
        <v>2017</v>
      </c>
      <c r="C1144" t="s">
        <v>996</v>
      </c>
      <c r="D1144" t="s">
        <v>2472</v>
      </c>
      <c r="E1144" t="s">
        <v>2474</v>
      </c>
      <c r="F1144" t="s">
        <v>2435</v>
      </c>
      <c r="G1144" t="s">
        <v>941</v>
      </c>
      <c r="H1144" s="10">
        <v>39741</v>
      </c>
      <c r="I1144">
        <f>IFERROR(VLOOKUP(Final!F1144,'LEAID Match'!$A$2:$B$374,2,FALSE),"")</f>
        <v>400768</v>
      </c>
      <c r="K1144" s="10">
        <f t="shared" si="17"/>
        <v>39741</v>
      </c>
    </row>
    <row r="1145" spans="1:11">
      <c r="A1145">
        <v>400768</v>
      </c>
      <c r="B1145" s="10">
        <v>2018</v>
      </c>
      <c r="C1145" t="s">
        <v>996</v>
      </c>
      <c r="D1145" t="s">
        <v>2472</v>
      </c>
      <c r="E1145" t="s">
        <v>2474</v>
      </c>
      <c r="F1145" t="s">
        <v>2435</v>
      </c>
      <c r="G1145" t="s">
        <v>941</v>
      </c>
      <c r="H1145" s="10">
        <v>44611</v>
      </c>
      <c r="I1145">
        <f>IFERROR(VLOOKUP(Final!F1145,'LEAID Match'!$A$2:$B$374,2,FALSE),"")</f>
        <v>400768</v>
      </c>
      <c r="K1145" s="10">
        <f t="shared" si="17"/>
        <v>44611</v>
      </c>
    </row>
    <row r="1146" spans="1:11">
      <c r="A1146">
        <v>400768</v>
      </c>
      <c r="B1146" s="10">
        <v>2019</v>
      </c>
      <c r="C1146" t="s">
        <v>996</v>
      </c>
      <c r="D1146" t="s">
        <v>2472</v>
      </c>
      <c r="E1146" t="s">
        <v>2474</v>
      </c>
      <c r="F1146" t="s">
        <v>2435</v>
      </c>
      <c r="G1146" t="s">
        <v>941</v>
      </c>
      <c r="H1146" s="10">
        <v>63714</v>
      </c>
      <c r="I1146">
        <f>IFERROR(VLOOKUP(Final!F1146,'LEAID Match'!$A$2:$B$374,2,FALSE),"")</f>
        <v>400768</v>
      </c>
      <c r="K1146" s="10">
        <f t="shared" si="17"/>
        <v>63714</v>
      </c>
    </row>
    <row r="1147" spans="1:11">
      <c r="A1147">
        <v>400768</v>
      </c>
      <c r="B1147" s="10">
        <v>2020</v>
      </c>
      <c r="C1147" t="s">
        <v>996</v>
      </c>
      <c r="D1147" t="s">
        <v>2472</v>
      </c>
      <c r="E1147" t="s">
        <v>2474</v>
      </c>
      <c r="F1147" t="s">
        <v>2435</v>
      </c>
      <c r="G1147" t="s">
        <v>941</v>
      </c>
      <c r="H1147" s="10">
        <v>66041</v>
      </c>
      <c r="I1147">
        <f>IFERROR(VLOOKUP(Final!F1147,'LEAID Match'!$A$2:$B$374,2,FALSE),"")</f>
        <v>400768</v>
      </c>
      <c r="K1147" s="10">
        <f t="shared" si="17"/>
        <v>66041</v>
      </c>
    </row>
    <row r="1148" spans="1:11">
      <c r="A1148">
        <v>400768</v>
      </c>
      <c r="B1148" s="10">
        <v>2021</v>
      </c>
      <c r="C1148" t="s">
        <v>996</v>
      </c>
      <c r="D1148" t="s">
        <v>2472</v>
      </c>
      <c r="E1148" t="s">
        <v>2474</v>
      </c>
      <c r="F1148" t="s">
        <v>2435</v>
      </c>
      <c r="G1148" t="s">
        <v>2435</v>
      </c>
      <c r="H1148" s="10">
        <v>40267</v>
      </c>
      <c r="I1148">
        <f>IFERROR(VLOOKUP(Final!F1148,'LEAID Match'!$A$2:$B$374,2,FALSE),"")</f>
        <v>400768</v>
      </c>
      <c r="K1148" s="10">
        <f t="shared" si="17"/>
        <v>40267</v>
      </c>
    </row>
    <row r="1149" spans="1:11">
      <c r="A1149">
        <v>400768</v>
      </c>
      <c r="B1149" s="10">
        <v>2022</v>
      </c>
      <c r="C1149" t="s">
        <v>996</v>
      </c>
      <c r="D1149" t="s">
        <v>2472</v>
      </c>
      <c r="E1149" t="s">
        <v>2474</v>
      </c>
      <c r="F1149" t="s">
        <v>2435</v>
      </c>
      <c r="G1149" t="s">
        <v>2435</v>
      </c>
      <c r="H1149" s="10">
        <v>46711</v>
      </c>
      <c r="I1149">
        <f>IFERROR(VLOOKUP(Final!F1149,'LEAID Match'!$A$2:$B$374,2,FALSE),"")</f>
        <v>400768</v>
      </c>
      <c r="K1149" s="10">
        <f t="shared" si="17"/>
        <v>46711</v>
      </c>
    </row>
    <row r="1150" spans="1:11">
      <c r="A1150">
        <v>400768</v>
      </c>
      <c r="B1150" s="10">
        <v>2023</v>
      </c>
      <c r="C1150" t="s">
        <v>996</v>
      </c>
      <c r="D1150" t="s">
        <v>2472</v>
      </c>
      <c r="E1150" t="s">
        <v>2474</v>
      </c>
      <c r="F1150" t="s">
        <v>2435</v>
      </c>
      <c r="G1150" t="s">
        <v>2435</v>
      </c>
      <c r="H1150" s="10">
        <v>57428</v>
      </c>
      <c r="I1150">
        <f>IFERROR(VLOOKUP(Final!F1150,'LEAID Match'!$A$2:$B$374,2,FALSE),"")</f>
        <v>400768</v>
      </c>
      <c r="K1150" s="10">
        <f t="shared" si="17"/>
        <v>57428</v>
      </c>
    </row>
    <row r="1151" spans="1:11">
      <c r="A1151">
        <v>408130</v>
      </c>
      <c r="B1151" s="10">
        <v>2015</v>
      </c>
      <c r="C1151" t="s">
        <v>1137</v>
      </c>
      <c r="D1151" t="s">
        <v>2472</v>
      </c>
      <c r="E1151" t="s">
        <v>2474</v>
      </c>
      <c r="F1151" t="s">
        <v>1968</v>
      </c>
      <c r="G1151" t="s">
        <v>1082</v>
      </c>
      <c r="H1151" s="10">
        <v>258508</v>
      </c>
      <c r="I1151">
        <f>IFERROR(VLOOKUP(Final!F1151,'LEAID Match'!$A$2:$B$374,2,FALSE),"")</f>
        <v>408130</v>
      </c>
      <c r="K1151" s="10">
        <f t="shared" si="17"/>
        <v>258508</v>
      </c>
    </row>
    <row r="1152" spans="1:11">
      <c r="A1152">
        <v>408130</v>
      </c>
      <c r="B1152" s="10">
        <v>2016</v>
      </c>
      <c r="C1152" t="s">
        <v>1137</v>
      </c>
      <c r="D1152" t="s">
        <v>2472</v>
      </c>
      <c r="E1152" t="s">
        <v>2474</v>
      </c>
      <c r="F1152" t="s">
        <v>1968</v>
      </c>
      <c r="G1152" t="s">
        <v>1082</v>
      </c>
      <c r="H1152" s="10">
        <v>276500</v>
      </c>
      <c r="I1152">
        <f>IFERROR(VLOOKUP(Final!F1152,'LEAID Match'!$A$2:$B$374,2,FALSE),"")</f>
        <v>408130</v>
      </c>
      <c r="K1152" s="10">
        <f t="shared" si="17"/>
        <v>276500</v>
      </c>
    </row>
    <row r="1153" spans="1:11">
      <c r="A1153">
        <v>408130</v>
      </c>
      <c r="B1153" s="10">
        <v>2017</v>
      </c>
      <c r="C1153" t="s">
        <v>1137</v>
      </c>
      <c r="D1153" t="s">
        <v>2472</v>
      </c>
      <c r="E1153" t="s">
        <v>2474</v>
      </c>
      <c r="F1153" t="s">
        <v>1968</v>
      </c>
      <c r="G1153" t="s">
        <v>1968</v>
      </c>
      <c r="H1153" s="10">
        <v>273809</v>
      </c>
      <c r="I1153">
        <f>IFERROR(VLOOKUP(Final!F1153,'LEAID Match'!$A$2:$B$374,2,FALSE),"")</f>
        <v>408130</v>
      </c>
      <c r="K1153" s="10">
        <f t="shared" si="17"/>
        <v>273809</v>
      </c>
    </row>
    <row r="1154" spans="1:11">
      <c r="A1154">
        <v>408130</v>
      </c>
      <c r="B1154" s="10">
        <v>2018</v>
      </c>
      <c r="C1154" t="s">
        <v>1137</v>
      </c>
      <c r="D1154" t="s">
        <v>2472</v>
      </c>
      <c r="E1154" t="s">
        <v>2474</v>
      </c>
      <c r="F1154" t="s">
        <v>1968</v>
      </c>
      <c r="G1154" t="s">
        <v>2318</v>
      </c>
      <c r="H1154" s="10">
        <v>258967</v>
      </c>
      <c r="I1154">
        <f>IFERROR(VLOOKUP(Final!F1154,'LEAID Match'!$A$2:$B$374,2,FALSE),"")</f>
        <v>408130</v>
      </c>
      <c r="K1154" s="10">
        <f t="shared" si="17"/>
        <v>258967</v>
      </c>
    </row>
    <row r="1155" spans="1:11">
      <c r="A1155">
        <v>408130</v>
      </c>
      <c r="B1155" s="10">
        <v>2019</v>
      </c>
      <c r="C1155" t="s">
        <v>1137</v>
      </c>
      <c r="D1155" t="s">
        <v>2472</v>
      </c>
      <c r="E1155" t="s">
        <v>2474</v>
      </c>
      <c r="F1155" t="s">
        <v>1968</v>
      </c>
      <c r="G1155" t="s">
        <v>1968</v>
      </c>
      <c r="H1155" s="10">
        <v>256248</v>
      </c>
      <c r="I1155">
        <f>IFERROR(VLOOKUP(Final!F1155,'LEAID Match'!$A$2:$B$374,2,FALSE),"")</f>
        <v>408130</v>
      </c>
      <c r="K1155" s="10">
        <f t="shared" ref="K1155:K1218" si="18">SUM(H1155,J1155)</f>
        <v>256248</v>
      </c>
    </row>
    <row r="1156" spans="1:11">
      <c r="A1156">
        <v>408130</v>
      </c>
      <c r="B1156" s="10">
        <v>2020</v>
      </c>
      <c r="C1156" t="s">
        <v>1137</v>
      </c>
      <c r="D1156" t="s">
        <v>2472</v>
      </c>
      <c r="E1156" t="s">
        <v>2474</v>
      </c>
      <c r="F1156" t="s">
        <v>1968</v>
      </c>
      <c r="G1156" t="s">
        <v>1968</v>
      </c>
      <c r="H1156" s="10">
        <v>258972</v>
      </c>
      <c r="I1156">
        <f>IFERROR(VLOOKUP(Final!F1156,'LEAID Match'!$A$2:$B$374,2,FALSE),"")</f>
        <v>408130</v>
      </c>
      <c r="K1156" s="10">
        <f t="shared" si="18"/>
        <v>258972</v>
      </c>
    </row>
    <row r="1157" spans="1:11">
      <c r="A1157">
        <v>408130</v>
      </c>
      <c r="B1157" s="10">
        <v>2021</v>
      </c>
      <c r="C1157" t="s">
        <v>1137</v>
      </c>
      <c r="D1157" t="s">
        <v>2472</v>
      </c>
      <c r="E1157" t="s">
        <v>2474</v>
      </c>
      <c r="F1157" t="s">
        <v>1968</v>
      </c>
      <c r="G1157" t="s">
        <v>1968</v>
      </c>
      <c r="H1157" s="10">
        <v>260120</v>
      </c>
      <c r="I1157">
        <f>IFERROR(VLOOKUP(Final!F1157,'LEAID Match'!$A$2:$B$374,2,FALSE),"")</f>
        <v>408130</v>
      </c>
      <c r="K1157" s="10">
        <f t="shared" si="18"/>
        <v>260120</v>
      </c>
    </row>
    <row r="1158" spans="1:11">
      <c r="A1158">
        <v>408130</v>
      </c>
      <c r="B1158" s="10">
        <v>2022</v>
      </c>
      <c r="C1158" t="s">
        <v>1137</v>
      </c>
      <c r="D1158" t="s">
        <v>2472</v>
      </c>
      <c r="E1158" t="s">
        <v>2474</v>
      </c>
      <c r="F1158" t="s">
        <v>1968</v>
      </c>
      <c r="G1158" t="s">
        <v>1968</v>
      </c>
      <c r="H1158" s="10">
        <v>254758</v>
      </c>
      <c r="I1158">
        <f>IFERROR(VLOOKUP(Final!F1158,'LEAID Match'!$A$2:$B$374,2,FALSE),"")</f>
        <v>408130</v>
      </c>
      <c r="K1158" s="10">
        <f t="shared" si="18"/>
        <v>254758</v>
      </c>
    </row>
    <row r="1159" spans="1:11">
      <c r="A1159">
        <v>408130</v>
      </c>
      <c r="B1159" s="10">
        <v>2023</v>
      </c>
      <c r="C1159" t="s">
        <v>1137</v>
      </c>
      <c r="D1159" t="s">
        <v>2472</v>
      </c>
      <c r="E1159" t="s">
        <v>2474</v>
      </c>
      <c r="F1159" t="s">
        <v>1968</v>
      </c>
      <c r="G1159" t="s">
        <v>1968</v>
      </c>
      <c r="H1159" s="10">
        <v>291449</v>
      </c>
      <c r="I1159">
        <f>IFERROR(VLOOKUP(Final!F1159,'LEAID Match'!$A$2:$B$374,2,FALSE),"")</f>
        <v>408130</v>
      </c>
      <c r="K1159" s="10">
        <f t="shared" si="18"/>
        <v>291449</v>
      </c>
    </row>
    <row r="1160" spans="1:11">
      <c r="A1160">
        <v>400850</v>
      </c>
      <c r="B1160" s="10">
        <v>2015</v>
      </c>
      <c r="C1160" t="s">
        <v>1034</v>
      </c>
      <c r="D1160" t="s">
        <v>2472</v>
      </c>
      <c r="E1160" t="s">
        <v>2474</v>
      </c>
      <c r="F1160" t="s">
        <v>1850</v>
      </c>
      <c r="G1160" t="s">
        <v>979</v>
      </c>
      <c r="H1160" s="10">
        <v>182422</v>
      </c>
      <c r="I1160">
        <f>IFERROR(VLOOKUP(Final!F1160,'LEAID Match'!$A$2:$B$374,2,FALSE),"")</f>
        <v>400850</v>
      </c>
      <c r="K1160" s="10">
        <f t="shared" si="18"/>
        <v>182422</v>
      </c>
    </row>
    <row r="1161" spans="1:11">
      <c r="A1161">
        <v>400850</v>
      </c>
      <c r="B1161" s="10">
        <v>2016</v>
      </c>
      <c r="C1161" t="s">
        <v>1034</v>
      </c>
      <c r="D1161" t="s">
        <v>2472</v>
      </c>
      <c r="E1161" t="s">
        <v>2474</v>
      </c>
      <c r="F1161" t="s">
        <v>1850</v>
      </c>
      <c r="G1161" t="s">
        <v>979</v>
      </c>
      <c r="H1161" s="10">
        <v>184127</v>
      </c>
      <c r="I1161">
        <f>IFERROR(VLOOKUP(Final!F1161,'LEAID Match'!$A$2:$B$374,2,FALSE),"")</f>
        <v>400850</v>
      </c>
      <c r="K1161" s="10">
        <f t="shared" si="18"/>
        <v>184127</v>
      </c>
    </row>
    <row r="1162" spans="1:11">
      <c r="A1162">
        <v>400850</v>
      </c>
      <c r="B1162" s="10">
        <v>2017</v>
      </c>
      <c r="C1162" t="s">
        <v>1034</v>
      </c>
      <c r="D1162" t="s">
        <v>2472</v>
      </c>
      <c r="E1162" t="s">
        <v>2474</v>
      </c>
      <c r="F1162" t="s">
        <v>1850</v>
      </c>
      <c r="G1162" t="s">
        <v>1850</v>
      </c>
      <c r="H1162" s="10">
        <v>197546</v>
      </c>
      <c r="I1162">
        <f>IFERROR(VLOOKUP(Final!F1162,'LEAID Match'!$A$2:$B$374,2,FALSE),"")</f>
        <v>400850</v>
      </c>
      <c r="K1162" s="10">
        <f t="shared" si="18"/>
        <v>197546</v>
      </c>
    </row>
    <row r="1163" spans="1:11">
      <c r="A1163">
        <v>400850</v>
      </c>
      <c r="B1163" s="10">
        <v>2018</v>
      </c>
      <c r="C1163" t="s">
        <v>1034</v>
      </c>
      <c r="D1163" t="s">
        <v>2472</v>
      </c>
      <c r="E1163" t="s">
        <v>2474</v>
      </c>
      <c r="F1163" t="s">
        <v>1850</v>
      </c>
      <c r="G1163" t="s">
        <v>1850</v>
      </c>
      <c r="H1163" s="10">
        <v>218883</v>
      </c>
      <c r="I1163">
        <f>IFERROR(VLOOKUP(Final!F1163,'LEAID Match'!$A$2:$B$374,2,FALSE),"")</f>
        <v>400850</v>
      </c>
      <c r="K1163" s="10">
        <f t="shared" si="18"/>
        <v>218883</v>
      </c>
    </row>
    <row r="1164" spans="1:11">
      <c r="A1164">
        <v>400850</v>
      </c>
      <c r="B1164" s="10">
        <v>2019</v>
      </c>
      <c r="C1164" t="s">
        <v>1034</v>
      </c>
      <c r="D1164" t="s">
        <v>2472</v>
      </c>
      <c r="E1164" t="s">
        <v>2474</v>
      </c>
      <c r="F1164" t="s">
        <v>1850</v>
      </c>
      <c r="G1164" t="s">
        <v>1850</v>
      </c>
      <c r="H1164" s="10">
        <v>230534</v>
      </c>
      <c r="I1164">
        <f>IFERROR(VLOOKUP(Final!F1164,'LEAID Match'!$A$2:$B$374,2,FALSE),"")</f>
        <v>400850</v>
      </c>
      <c r="K1164" s="10">
        <f t="shared" si="18"/>
        <v>230534</v>
      </c>
    </row>
    <row r="1165" spans="1:11">
      <c r="A1165">
        <v>400850</v>
      </c>
      <c r="B1165" s="10">
        <v>2020</v>
      </c>
      <c r="C1165" t="s">
        <v>1034</v>
      </c>
      <c r="D1165" t="s">
        <v>2472</v>
      </c>
      <c r="E1165" t="s">
        <v>2474</v>
      </c>
      <c r="F1165" t="s">
        <v>1850</v>
      </c>
      <c r="G1165" t="s">
        <v>1850</v>
      </c>
      <c r="H1165" s="10">
        <v>267470</v>
      </c>
      <c r="I1165">
        <f>IFERROR(VLOOKUP(Final!F1165,'LEAID Match'!$A$2:$B$374,2,FALSE),"")</f>
        <v>400850</v>
      </c>
      <c r="K1165" s="10">
        <f t="shared" si="18"/>
        <v>267470</v>
      </c>
    </row>
    <row r="1166" spans="1:11">
      <c r="A1166">
        <v>400850</v>
      </c>
      <c r="B1166" s="10">
        <v>2021</v>
      </c>
      <c r="C1166" t="s">
        <v>1034</v>
      </c>
      <c r="D1166" t="s">
        <v>2472</v>
      </c>
      <c r="E1166" t="s">
        <v>2474</v>
      </c>
      <c r="F1166" t="s">
        <v>1850</v>
      </c>
      <c r="G1166" t="s">
        <v>1850</v>
      </c>
      <c r="H1166" s="10">
        <v>271763</v>
      </c>
      <c r="I1166">
        <f>IFERROR(VLOOKUP(Final!F1166,'LEAID Match'!$A$2:$B$374,2,FALSE),"")</f>
        <v>400850</v>
      </c>
      <c r="K1166" s="10">
        <f t="shared" si="18"/>
        <v>271763</v>
      </c>
    </row>
    <row r="1167" spans="1:11">
      <c r="A1167">
        <v>400850</v>
      </c>
      <c r="B1167" s="10">
        <v>2022</v>
      </c>
      <c r="C1167" t="s">
        <v>1034</v>
      </c>
      <c r="D1167" t="s">
        <v>2472</v>
      </c>
      <c r="E1167" t="s">
        <v>2474</v>
      </c>
      <c r="F1167" t="s">
        <v>1850</v>
      </c>
      <c r="G1167" t="s">
        <v>1850</v>
      </c>
      <c r="H1167" s="10">
        <v>262314</v>
      </c>
      <c r="I1167">
        <f>IFERROR(VLOOKUP(Final!F1167,'LEAID Match'!$A$2:$B$374,2,FALSE),"")</f>
        <v>400850</v>
      </c>
      <c r="K1167" s="10">
        <f t="shared" si="18"/>
        <v>262314</v>
      </c>
    </row>
    <row r="1168" spans="1:11">
      <c r="A1168">
        <v>400850</v>
      </c>
      <c r="B1168" s="10">
        <v>2023</v>
      </c>
      <c r="C1168" t="s">
        <v>1034</v>
      </c>
      <c r="D1168" t="s">
        <v>2472</v>
      </c>
      <c r="E1168" t="s">
        <v>2474</v>
      </c>
      <c r="F1168" t="s">
        <v>1850</v>
      </c>
      <c r="G1168" t="s">
        <v>1850</v>
      </c>
      <c r="H1168" s="10">
        <v>264819</v>
      </c>
      <c r="I1168">
        <f>IFERROR(VLOOKUP(Final!F1168,'LEAID Match'!$A$2:$B$374,2,FALSE),"")</f>
        <v>400850</v>
      </c>
      <c r="K1168" s="10">
        <f t="shared" si="18"/>
        <v>264819</v>
      </c>
    </row>
    <row r="1169" spans="1:11">
      <c r="A1169">
        <v>400367</v>
      </c>
      <c r="B1169" s="10">
        <v>2015</v>
      </c>
      <c r="C1169" t="s">
        <v>995</v>
      </c>
      <c r="D1169" t="s">
        <v>2472</v>
      </c>
      <c r="E1169" t="s">
        <v>2474</v>
      </c>
      <c r="F1169" t="s">
        <v>2434</v>
      </c>
      <c r="G1169" t="s">
        <v>940</v>
      </c>
      <c r="H1169" s="10">
        <v>67326</v>
      </c>
      <c r="I1169">
        <f>IFERROR(VLOOKUP(Final!F1169,'LEAID Match'!$A$2:$B$374,2,FALSE),"")</f>
        <v>400367</v>
      </c>
      <c r="K1169" s="10">
        <f t="shared" si="18"/>
        <v>67326</v>
      </c>
    </row>
    <row r="1170" spans="1:11">
      <c r="A1170">
        <v>400367</v>
      </c>
      <c r="B1170" s="10">
        <v>2016</v>
      </c>
      <c r="C1170" t="s">
        <v>995</v>
      </c>
      <c r="D1170" t="s">
        <v>2472</v>
      </c>
      <c r="E1170" t="s">
        <v>2474</v>
      </c>
      <c r="F1170" t="s">
        <v>2434</v>
      </c>
      <c r="G1170" t="s">
        <v>940</v>
      </c>
      <c r="H1170" s="10">
        <v>70406</v>
      </c>
      <c r="I1170">
        <f>IFERROR(VLOOKUP(Final!F1170,'LEAID Match'!$A$2:$B$374,2,FALSE),"")</f>
        <v>400367</v>
      </c>
      <c r="K1170" s="10">
        <f t="shared" si="18"/>
        <v>70406</v>
      </c>
    </row>
    <row r="1171" spans="1:11">
      <c r="A1171">
        <v>400367</v>
      </c>
      <c r="B1171" s="10">
        <v>2017</v>
      </c>
      <c r="C1171" t="s">
        <v>995</v>
      </c>
      <c r="D1171" t="s">
        <v>2472</v>
      </c>
      <c r="E1171" t="s">
        <v>2474</v>
      </c>
      <c r="F1171" t="s">
        <v>2434</v>
      </c>
      <c r="G1171" t="s">
        <v>940</v>
      </c>
      <c r="H1171" s="10">
        <v>69724</v>
      </c>
      <c r="I1171">
        <f>IFERROR(VLOOKUP(Final!F1171,'LEAID Match'!$A$2:$B$374,2,FALSE),"")</f>
        <v>400367</v>
      </c>
      <c r="K1171" s="10">
        <f t="shared" si="18"/>
        <v>69724</v>
      </c>
    </row>
    <row r="1172" spans="1:11">
      <c r="A1172">
        <v>400367</v>
      </c>
      <c r="B1172" s="10">
        <v>2018</v>
      </c>
      <c r="C1172" t="s">
        <v>995</v>
      </c>
      <c r="D1172" t="s">
        <v>2472</v>
      </c>
      <c r="E1172" t="s">
        <v>2474</v>
      </c>
      <c r="F1172" t="s">
        <v>2434</v>
      </c>
      <c r="G1172" t="s">
        <v>2281</v>
      </c>
      <c r="H1172" s="10">
        <v>60491</v>
      </c>
      <c r="I1172">
        <f>IFERROR(VLOOKUP(Final!F1172,'LEAID Match'!$A$2:$B$374,2,FALSE),"")</f>
        <v>400367</v>
      </c>
      <c r="K1172" s="10">
        <f t="shared" si="18"/>
        <v>60491</v>
      </c>
    </row>
    <row r="1173" spans="1:11">
      <c r="A1173">
        <v>400367</v>
      </c>
      <c r="B1173" s="10">
        <v>2019</v>
      </c>
      <c r="C1173" t="s">
        <v>995</v>
      </c>
      <c r="D1173" t="s">
        <v>2472</v>
      </c>
      <c r="E1173" t="s">
        <v>2474</v>
      </c>
      <c r="F1173" t="s">
        <v>2434</v>
      </c>
      <c r="G1173" t="s">
        <v>940</v>
      </c>
      <c r="H1173" s="10">
        <v>54841</v>
      </c>
      <c r="I1173">
        <f>IFERROR(VLOOKUP(Final!F1173,'LEAID Match'!$A$2:$B$374,2,FALSE),"")</f>
        <v>400367</v>
      </c>
      <c r="K1173" s="10">
        <f t="shared" si="18"/>
        <v>54841</v>
      </c>
    </row>
    <row r="1174" spans="1:11">
      <c r="A1174">
        <v>400367</v>
      </c>
      <c r="B1174" s="10">
        <v>2020</v>
      </c>
      <c r="C1174" t="s">
        <v>995</v>
      </c>
      <c r="D1174" t="s">
        <v>2472</v>
      </c>
      <c r="E1174" t="s">
        <v>2474</v>
      </c>
      <c r="F1174" t="s">
        <v>2434</v>
      </c>
      <c r="G1174" t="s">
        <v>940</v>
      </c>
      <c r="H1174" s="10">
        <v>56338</v>
      </c>
      <c r="I1174">
        <f>IFERROR(VLOOKUP(Final!F1174,'LEAID Match'!$A$2:$B$374,2,FALSE),"")</f>
        <v>400367</v>
      </c>
      <c r="K1174" s="10">
        <f t="shared" si="18"/>
        <v>56338</v>
      </c>
    </row>
    <row r="1175" spans="1:11">
      <c r="A1175">
        <v>400367</v>
      </c>
      <c r="B1175" s="10">
        <v>2021</v>
      </c>
      <c r="C1175" t="s">
        <v>995</v>
      </c>
      <c r="D1175" t="s">
        <v>2472</v>
      </c>
      <c r="E1175" t="s">
        <v>2474</v>
      </c>
      <c r="F1175" t="s">
        <v>2434</v>
      </c>
      <c r="G1175" t="s">
        <v>2434</v>
      </c>
      <c r="H1175" s="10">
        <v>65298</v>
      </c>
      <c r="I1175">
        <f>IFERROR(VLOOKUP(Final!F1175,'LEAID Match'!$A$2:$B$374,2,FALSE),"")</f>
        <v>400367</v>
      </c>
      <c r="K1175" s="10">
        <f t="shared" si="18"/>
        <v>65298</v>
      </c>
    </row>
    <row r="1176" spans="1:11">
      <c r="A1176">
        <v>400367</v>
      </c>
      <c r="B1176" s="10">
        <v>2022</v>
      </c>
      <c r="C1176" t="s">
        <v>995</v>
      </c>
      <c r="D1176" t="s">
        <v>2472</v>
      </c>
      <c r="E1176" t="s">
        <v>2474</v>
      </c>
      <c r="F1176" t="s">
        <v>2434</v>
      </c>
      <c r="G1176" t="s">
        <v>2434</v>
      </c>
      <c r="H1176" s="10">
        <v>82987</v>
      </c>
      <c r="I1176">
        <f>IFERROR(VLOOKUP(Final!F1176,'LEAID Match'!$A$2:$B$374,2,FALSE),"")</f>
        <v>400367</v>
      </c>
      <c r="K1176" s="10">
        <f t="shared" si="18"/>
        <v>82987</v>
      </c>
    </row>
    <row r="1177" spans="1:11">
      <c r="A1177">
        <v>400367</v>
      </c>
      <c r="B1177" s="10">
        <v>2023</v>
      </c>
      <c r="C1177" t="s">
        <v>995</v>
      </c>
      <c r="D1177" t="s">
        <v>2472</v>
      </c>
      <c r="E1177" t="s">
        <v>2474</v>
      </c>
      <c r="F1177" t="s">
        <v>2434</v>
      </c>
      <c r="G1177" t="s">
        <v>2434</v>
      </c>
      <c r="H1177" s="10">
        <v>83401</v>
      </c>
      <c r="I1177">
        <f>IFERROR(VLOOKUP(Final!F1177,'LEAID Match'!$A$2:$B$374,2,FALSE),"")</f>
        <v>400367</v>
      </c>
      <c r="K1177" s="10">
        <f t="shared" si="18"/>
        <v>83401</v>
      </c>
    </row>
    <row r="1178" spans="1:11">
      <c r="A1178">
        <v>400876</v>
      </c>
      <c r="B1178" s="10">
        <v>2015</v>
      </c>
      <c r="C1178" t="s">
        <v>603</v>
      </c>
      <c r="D1178" t="s">
        <v>2472</v>
      </c>
      <c r="E1178" t="s">
        <v>2474</v>
      </c>
      <c r="F1178" t="s">
        <v>548</v>
      </c>
      <c r="G1178" t="s">
        <v>548</v>
      </c>
      <c r="H1178" s="10">
        <v>70967</v>
      </c>
      <c r="I1178">
        <f>IFERROR(VLOOKUP(Final!F1178,'LEAID Match'!$A$2:$B$374,2,FALSE),"")</f>
        <v>400876</v>
      </c>
      <c r="K1178" s="10">
        <f t="shared" si="18"/>
        <v>70967</v>
      </c>
    </row>
    <row r="1179" spans="1:11">
      <c r="A1179">
        <v>400876</v>
      </c>
      <c r="B1179" s="10">
        <v>2016</v>
      </c>
      <c r="C1179" t="s">
        <v>603</v>
      </c>
      <c r="D1179" t="s">
        <v>2472</v>
      </c>
      <c r="E1179" t="s">
        <v>2474</v>
      </c>
      <c r="F1179" t="s">
        <v>548</v>
      </c>
      <c r="G1179" t="s">
        <v>548</v>
      </c>
      <c r="H1179" s="10">
        <v>92518</v>
      </c>
      <c r="I1179">
        <f>IFERROR(VLOOKUP(Final!F1179,'LEAID Match'!$A$2:$B$374,2,FALSE),"")</f>
        <v>400876</v>
      </c>
      <c r="K1179" s="10">
        <f t="shared" si="18"/>
        <v>92518</v>
      </c>
    </row>
    <row r="1180" spans="1:11">
      <c r="A1180">
        <v>400876</v>
      </c>
      <c r="B1180" s="10">
        <v>2017</v>
      </c>
      <c r="C1180" t="s">
        <v>603</v>
      </c>
      <c r="D1180" t="s">
        <v>2472</v>
      </c>
      <c r="E1180" t="s">
        <v>2474</v>
      </c>
      <c r="F1180" t="s">
        <v>548</v>
      </c>
      <c r="G1180" t="s">
        <v>548</v>
      </c>
      <c r="H1180" s="10">
        <v>103046</v>
      </c>
      <c r="I1180">
        <f>IFERROR(VLOOKUP(Final!F1180,'LEAID Match'!$A$2:$B$374,2,FALSE),"")</f>
        <v>400876</v>
      </c>
      <c r="K1180" s="10">
        <f t="shared" si="18"/>
        <v>103046</v>
      </c>
    </row>
    <row r="1181" spans="1:11">
      <c r="A1181">
        <v>400876</v>
      </c>
      <c r="B1181" s="10">
        <v>2018</v>
      </c>
      <c r="C1181" t="s">
        <v>603</v>
      </c>
      <c r="D1181" t="s">
        <v>2472</v>
      </c>
      <c r="E1181" t="s">
        <v>2474</v>
      </c>
      <c r="F1181" t="s">
        <v>548</v>
      </c>
      <c r="G1181" t="s">
        <v>548</v>
      </c>
      <c r="H1181" s="10">
        <v>98087</v>
      </c>
      <c r="I1181">
        <f>IFERROR(VLOOKUP(Final!F1181,'LEAID Match'!$A$2:$B$374,2,FALSE),"")</f>
        <v>400876</v>
      </c>
      <c r="K1181" s="10">
        <f t="shared" si="18"/>
        <v>98087</v>
      </c>
    </row>
    <row r="1182" spans="1:11">
      <c r="A1182">
        <v>400876</v>
      </c>
      <c r="B1182" s="10">
        <v>2019</v>
      </c>
      <c r="C1182" t="s">
        <v>603</v>
      </c>
      <c r="D1182" t="s">
        <v>2472</v>
      </c>
      <c r="E1182" t="s">
        <v>2474</v>
      </c>
      <c r="F1182" t="s">
        <v>548</v>
      </c>
      <c r="G1182" t="s">
        <v>548</v>
      </c>
      <c r="H1182" s="10">
        <v>82259</v>
      </c>
      <c r="I1182">
        <f>IFERROR(VLOOKUP(Final!F1182,'LEAID Match'!$A$2:$B$374,2,FALSE),"")</f>
        <v>400876</v>
      </c>
      <c r="K1182" s="10">
        <f t="shared" si="18"/>
        <v>82259</v>
      </c>
    </row>
    <row r="1183" spans="1:11">
      <c r="A1183">
        <v>400876</v>
      </c>
      <c r="B1183" s="10">
        <v>2020</v>
      </c>
      <c r="C1183" t="s">
        <v>603</v>
      </c>
      <c r="D1183" t="s">
        <v>2472</v>
      </c>
      <c r="E1183" t="s">
        <v>2474</v>
      </c>
      <c r="F1183" t="s">
        <v>548</v>
      </c>
      <c r="G1183" t="s">
        <v>548</v>
      </c>
      <c r="H1183" s="10">
        <v>89142</v>
      </c>
      <c r="I1183">
        <f>IFERROR(VLOOKUP(Final!F1183,'LEAID Match'!$A$2:$B$374,2,FALSE),"")</f>
        <v>400876</v>
      </c>
      <c r="K1183" s="10">
        <f t="shared" si="18"/>
        <v>89142</v>
      </c>
    </row>
    <row r="1184" spans="1:11">
      <c r="A1184">
        <v>400876</v>
      </c>
      <c r="B1184" s="10">
        <v>2021</v>
      </c>
      <c r="C1184" t="s">
        <v>603</v>
      </c>
      <c r="D1184" t="s">
        <v>2472</v>
      </c>
      <c r="E1184" t="s">
        <v>2474</v>
      </c>
      <c r="F1184" t="s">
        <v>548</v>
      </c>
      <c r="G1184" t="s">
        <v>548</v>
      </c>
      <c r="H1184" s="10">
        <v>72259</v>
      </c>
      <c r="I1184">
        <f>IFERROR(VLOOKUP(Final!F1184,'LEAID Match'!$A$2:$B$374,2,FALSE),"")</f>
        <v>400876</v>
      </c>
      <c r="K1184" s="10">
        <f t="shared" si="18"/>
        <v>72259</v>
      </c>
    </row>
    <row r="1185" spans="1:11">
      <c r="A1185">
        <v>400876</v>
      </c>
      <c r="B1185" s="10">
        <v>2022</v>
      </c>
      <c r="C1185" t="s">
        <v>603</v>
      </c>
      <c r="D1185" t="s">
        <v>2472</v>
      </c>
      <c r="E1185" t="s">
        <v>2474</v>
      </c>
      <c r="F1185" t="s">
        <v>548</v>
      </c>
      <c r="G1185" t="s">
        <v>548</v>
      </c>
      <c r="H1185" s="10">
        <v>87881</v>
      </c>
      <c r="I1185">
        <f>IFERROR(VLOOKUP(Final!F1185,'LEAID Match'!$A$2:$B$374,2,FALSE),"")</f>
        <v>400876</v>
      </c>
      <c r="K1185" s="10">
        <f t="shared" si="18"/>
        <v>87881</v>
      </c>
    </row>
    <row r="1186" spans="1:11">
      <c r="A1186">
        <v>400876</v>
      </c>
      <c r="B1186" s="10">
        <v>2023</v>
      </c>
      <c r="C1186" t="s">
        <v>603</v>
      </c>
      <c r="D1186" t="s">
        <v>2472</v>
      </c>
      <c r="E1186" t="s">
        <v>2474</v>
      </c>
      <c r="F1186" t="s">
        <v>548</v>
      </c>
      <c r="G1186" t="s">
        <v>548</v>
      </c>
      <c r="H1186" s="10">
        <v>98894</v>
      </c>
      <c r="I1186">
        <f>IFERROR(VLOOKUP(Final!F1186,'LEAID Match'!$A$2:$B$374,2,FALSE),"")</f>
        <v>400876</v>
      </c>
      <c r="K1186" s="10">
        <f t="shared" si="18"/>
        <v>98894</v>
      </c>
    </row>
    <row r="1187" spans="1:11">
      <c r="A1187">
        <v>400867</v>
      </c>
      <c r="B1187" s="10">
        <v>2015</v>
      </c>
      <c r="C1187" t="s">
        <v>1433</v>
      </c>
      <c r="D1187" t="s">
        <v>2472</v>
      </c>
      <c r="E1187" t="s">
        <v>2474</v>
      </c>
      <c r="F1187" t="s">
        <v>266</v>
      </c>
      <c r="G1187" t="s">
        <v>266</v>
      </c>
      <c r="H1187" s="10">
        <v>155883</v>
      </c>
      <c r="I1187">
        <f>IFERROR(VLOOKUP(Final!F1187,'LEAID Match'!$A$2:$B$374,2,FALSE),"")</f>
        <v>400867</v>
      </c>
      <c r="K1187" s="10">
        <f t="shared" si="18"/>
        <v>155883</v>
      </c>
    </row>
    <row r="1188" spans="1:11">
      <c r="A1188">
        <v>400867</v>
      </c>
      <c r="B1188" s="10">
        <v>2016</v>
      </c>
      <c r="C1188" t="s">
        <v>1433</v>
      </c>
      <c r="D1188" t="s">
        <v>2472</v>
      </c>
      <c r="E1188" t="s">
        <v>2474</v>
      </c>
      <c r="F1188" t="s">
        <v>266</v>
      </c>
      <c r="G1188" t="s">
        <v>266</v>
      </c>
      <c r="H1188" s="10">
        <v>152385</v>
      </c>
      <c r="I1188">
        <f>IFERROR(VLOOKUP(Final!F1188,'LEAID Match'!$A$2:$B$374,2,FALSE),"")</f>
        <v>400867</v>
      </c>
      <c r="K1188" s="10">
        <f t="shared" si="18"/>
        <v>152385</v>
      </c>
    </row>
    <row r="1189" spans="1:11">
      <c r="A1189">
        <v>400867</v>
      </c>
      <c r="B1189" s="10">
        <v>2017</v>
      </c>
      <c r="C1189" t="s">
        <v>1433</v>
      </c>
      <c r="D1189" t="s">
        <v>2472</v>
      </c>
      <c r="E1189" t="s">
        <v>2474</v>
      </c>
      <c r="F1189" t="s">
        <v>266</v>
      </c>
      <c r="G1189" t="s">
        <v>266</v>
      </c>
      <c r="H1189" s="10">
        <v>139937</v>
      </c>
      <c r="I1189">
        <f>IFERROR(VLOOKUP(Final!F1189,'LEAID Match'!$A$2:$B$374,2,FALSE),"")</f>
        <v>400867</v>
      </c>
      <c r="K1189" s="10">
        <f t="shared" si="18"/>
        <v>139937</v>
      </c>
    </row>
    <row r="1190" spans="1:11">
      <c r="A1190">
        <v>400867</v>
      </c>
      <c r="B1190" s="10">
        <v>2018</v>
      </c>
      <c r="C1190" t="s">
        <v>1433</v>
      </c>
      <c r="D1190" t="s">
        <v>2472</v>
      </c>
      <c r="E1190" t="s">
        <v>2474</v>
      </c>
      <c r="F1190" t="s">
        <v>266</v>
      </c>
      <c r="G1190" t="s">
        <v>2125</v>
      </c>
      <c r="H1190" s="10">
        <v>138431</v>
      </c>
      <c r="I1190">
        <f>IFERROR(VLOOKUP(Final!F1190,'LEAID Match'!$A$2:$B$374,2,FALSE),"")</f>
        <v>400867</v>
      </c>
      <c r="K1190" s="10">
        <f t="shared" si="18"/>
        <v>138431</v>
      </c>
    </row>
    <row r="1191" spans="1:11">
      <c r="A1191">
        <v>400867</v>
      </c>
      <c r="B1191" s="10">
        <v>2019</v>
      </c>
      <c r="C1191" t="s">
        <v>1433</v>
      </c>
      <c r="D1191" t="s">
        <v>2472</v>
      </c>
      <c r="E1191" t="s">
        <v>2474</v>
      </c>
      <c r="F1191" t="s">
        <v>266</v>
      </c>
      <c r="G1191" t="s">
        <v>266</v>
      </c>
      <c r="H1191" s="10">
        <v>145403</v>
      </c>
      <c r="I1191">
        <f>IFERROR(VLOOKUP(Final!F1191,'LEAID Match'!$A$2:$B$374,2,FALSE),"")</f>
        <v>400867</v>
      </c>
      <c r="K1191" s="10">
        <f t="shared" si="18"/>
        <v>145403</v>
      </c>
    </row>
    <row r="1192" spans="1:11">
      <c r="A1192">
        <v>400867</v>
      </c>
      <c r="B1192" s="10">
        <v>2020</v>
      </c>
      <c r="C1192" t="s">
        <v>1433</v>
      </c>
      <c r="D1192" t="s">
        <v>2472</v>
      </c>
      <c r="E1192" t="s">
        <v>2474</v>
      </c>
      <c r="F1192" t="s">
        <v>266</v>
      </c>
      <c r="G1192" t="s">
        <v>266</v>
      </c>
      <c r="H1192" s="10">
        <v>165293</v>
      </c>
      <c r="I1192">
        <f>IFERROR(VLOOKUP(Final!F1192,'LEAID Match'!$A$2:$B$374,2,FALSE),"")</f>
        <v>400867</v>
      </c>
      <c r="K1192" s="10">
        <f t="shared" si="18"/>
        <v>165293</v>
      </c>
    </row>
    <row r="1193" spans="1:11">
      <c r="A1193">
        <v>400867</v>
      </c>
      <c r="B1193" s="10">
        <v>2021</v>
      </c>
      <c r="C1193" t="s">
        <v>1433</v>
      </c>
      <c r="D1193" t="s">
        <v>2472</v>
      </c>
      <c r="E1193" t="s">
        <v>2474</v>
      </c>
      <c r="F1193" t="s">
        <v>266</v>
      </c>
      <c r="G1193" t="s">
        <v>266</v>
      </c>
      <c r="H1193" s="10">
        <v>202016</v>
      </c>
      <c r="I1193">
        <f>IFERROR(VLOOKUP(Final!F1193,'LEAID Match'!$A$2:$B$374,2,FALSE),"")</f>
        <v>400867</v>
      </c>
      <c r="K1193" s="10">
        <f t="shared" si="18"/>
        <v>202016</v>
      </c>
    </row>
    <row r="1194" spans="1:11">
      <c r="A1194">
        <v>400867</v>
      </c>
      <c r="B1194" s="10">
        <v>2022</v>
      </c>
      <c r="C1194" t="s">
        <v>1433</v>
      </c>
      <c r="D1194" t="s">
        <v>2472</v>
      </c>
      <c r="E1194" t="s">
        <v>2474</v>
      </c>
      <c r="F1194" t="s">
        <v>266</v>
      </c>
      <c r="G1194" t="s">
        <v>266</v>
      </c>
      <c r="H1194" s="10">
        <v>242734</v>
      </c>
      <c r="I1194">
        <f>IFERROR(VLOOKUP(Final!F1194,'LEAID Match'!$A$2:$B$374,2,FALSE),"")</f>
        <v>400867</v>
      </c>
      <c r="K1194" s="10">
        <f t="shared" si="18"/>
        <v>242734</v>
      </c>
    </row>
    <row r="1195" spans="1:11">
      <c r="A1195">
        <v>400867</v>
      </c>
      <c r="B1195" s="10">
        <v>2023</v>
      </c>
      <c r="C1195" t="s">
        <v>1433</v>
      </c>
      <c r="D1195" t="s">
        <v>2472</v>
      </c>
      <c r="E1195" t="s">
        <v>2474</v>
      </c>
      <c r="F1195" t="s">
        <v>266</v>
      </c>
      <c r="G1195" t="s">
        <v>266</v>
      </c>
      <c r="H1195" s="10">
        <v>258144</v>
      </c>
      <c r="I1195">
        <f>IFERROR(VLOOKUP(Final!F1195,'LEAID Match'!$A$2:$B$374,2,FALSE),"")</f>
        <v>400867</v>
      </c>
      <c r="K1195" s="10">
        <f t="shared" si="18"/>
        <v>258144</v>
      </c>
    </row>
    <row r="1196" spans="1:11">
      <c r="A1196">
        <v>400904</v>
      </c>
      <c r="B1196" s="10">
        <v>2015</v>
      </c>
      <c r="C1196" t="s">
        <v>573</v>
      </c>
      <c r="D1196" t="s">
        <v>2472</v>
      </c>
      <c r="E1196" t="s">
        <v>2474</v>
      </c>
      <c r="F1196" t="s">
        <v>518</v>
      </c>
      <c r="G1196" t="s">
        <v>518</v>
      </c>
      <c r="H1196" s="10">
        <v>281557</v>
      </c>
      <c r="I1196">
        <f>IFERROR(VLOOKUP(Final!F1196,'LEAID Match'!$A$2:$B$374,2,FALSE),"")</f>
        <v>400904</v>
      </c>
      <c r="K1196" s="10">
        <f t="shared" si="18"/>
        <v>281557</v>
      </c>
    </row>
    <row r="1197" spans="1:11">
      <c r="A1197">
        <v>400904</v>
      </c>
      <c r="B1197" s="10">
        <v>2016</v>
      </c>
      <c r="C1197" t="s">
        <v>573</v>
      </c>
      <c r="D1197" t="s">
        <v>2472</v>
      </c>
      <c r="E1197" t="s">
        <v>2474</v>
      </c>
      <c r="F1197" t="s">
        <v>518</v>
      </c>
      <c r="G1197" t="s">
        <v>518</v>
      </c>
      <c r="H1197" s="10">
        <v>291083</v>
      </c>
      <c r="I1197">
        <f>IFERROR(VLOOKUP(Final!F1197,'LEAID Match'!$A$2:$B$374,2,FALSE),"")</f>
        <v>400904</v>
      </c>
      <c r="K1197" s="10">
        <f t="shared" si="18"/>
        <v>291083</v>
      </c>
    </row>
    <row r="1198" spans="1:11">
      <c r="A1198">
        <v>400904</v>
      </c>
      <c r="B1198" s="10">
        <v>2017</v>
      </c>
      <c r="C1198" t="s">
        <v>573</v>
      </c>
      <c r="D1198" t="s">
        <v>2472</v>
      </c>
      <c r="E1198" t="s">
        <v>2474</v>
      </c>
      <c r="F1198" t="s">
        <v>518</v>
      </c>
      <c r="G1198" t="s">
        <v>518</v>
      </c>
      <c r="H1198" s="10">
        <v>328113</v>
      </c>
      <c r="I1198">
        <f>IFERROR(VLOOKUP(Final!F1198,'LEAID Match'!$A$2:$B$374,2,FALSE),"")</f>
        <v>400904</v>
      </c>
      <c r="K1198" s="10">
        <f t="shared" si="18"/>
        <v>328113</v>
      </c>
    </row>
    <row r="1199" spans="1:11">
      <c r="A1199">
        <v>400904</v>
      </c>
      <c r="B1199" s="10">
        <v>2018</v>
      </c>
      <c r="C1199" t="s">
        <v>573</v>
      </c>
      <c r="D1199" t="s">
        <v>2472</v>
      </c>
      <c r="E1199" t="s">
        <v>2474</v>
      </c>
      <c r="F1199" t="s">
        <v>518</v>
      </c>
      <c r="G1199" t="s">
        <v>518</v>
      </c>
      <c r="H1199" s="10">
        <v>338872</v>
      </c>
      <c r="I1199">
        <f>IFERROR(VLOOKUP(Final!F1199,'LEAID Match'!$A$2:$B$374,2,FALSE),"")</f>
        <v>400904</v>
      </c>
      <c r="K1199" s="10">
        <f t="shared" si="18"/>
        <v>338872</v>
      </c>
    </row>
    <row r="1200" spans="1:11">
      <c r="A1200">
        <v>400904</v>
      </c>
      <c r="B1200" s="10">
        <v>2019</v>
      </c>
      <c r="C1200" t="s">
        <v>573</v>
      </c>
      <c r="D1200" t="s">
        <v>2472</v>
      </c>
      <c r="E1200" t="s">
        <v>2474</v>
      </c>
      <c r="F1200" t="s">
        <v>518</v>
      </c>
      <c r="G1200" t="s">
        <v>518</v>
      </c>
      <c r="H1200" s="10">
        <v>391582</v>
      </c>
      <c r="I1200">
        <f>IFERROR(VLOOKUP(Final!F1200,'LEAID Match'!$A$2:$B$374,2,FALSE),"")</f>
        <v>400904</v>
      </c>
      <c r="K1200" s="10">
        <f t="shared" si="18"/>
        <v>391582</v>
      </c>
    </row>
    <row r="1201" spans="1:11">
      <c r="A1201">
        <v>400904</v>
      </c>
      <c r="B1201" s="10">
        <v>2020</v>
      </c>
      <c r="C1201" t="s">
        <v>573</v>
      </c>
      <c r="D1201" t="s">
        <v>2472</v>
      </c>
      <c r="E1201" t="s">
        <v>2474</v>
      </c>
      <c r="F1201" t="s">
        <v>518</v>
      </c>
      <c r="G1201" t="s">
        <v>518</v>
      </c>
      <c r="H1201" s="10">
        <v>395834</v>
      </c>
      <c r="I1201">
        <f>IFERROR(VLOOKUP(Final!F1201,'LEAID Match'!$A$2:$B$374,2,FALSE),"")</f>
        <v>400904</v>
      </c>
      <c r="K1201" s="10">
        <f t="shared" si="18"/>
        <v>395834</v>
      </c>
    </row>
    <row r="1202" spans="1:11">
      <c r="A1202">
        <v>400904</v>
      </c>
      <c r="B1202" s="10">
        <v>2021</v>
      </c>
      <c r="C1202" t="s">
        <v>573</v>
      </c>
      <c r="D1202" t="s">
        <v>2472</v>
      </c>
      <c r="E1202" t="s">
        <v>2474</v>
      </c>
      <c r="F1202" t="s">
        <v>518</v>
      </c>
      <c r="G1202" t="s">
        <v>518</v>
      </c>
      <c r="H1202" s="10">
        <v>350357</v>
      </c>
      <c r="I1202">
        <f>IFERROR(VLOOKUP(Final!F1202,'LEAID Match'!$A$2:$B$374,2,FALSE),"")</f>
        <v>400904</v>
      </c>
      <c r="K1202" s="10">
        <f t="shared" si="18"/>
        <v>350357</v>
      </c>
    </row>
    <row r="1203" spans="1:11">
      <c r="A1203">
        <v>400904</v>
      </c>
      <c r="B1203" s="10">
        <v>2022</v>
      </c>
      <c r="C1203" t="s">
        <v>573</v>
      </c>
      <c r="D1203" t="s">
        <v>2472</v>
      </c>
      <c r="E1203" t="s">
        <v>2474</v>
      </c>
      <c r="F1203" t="s">
        <v>518</v>
      </c>
      <c r="G1203" t="s">
        <v>518</v>
      </c>
      <c r="H1203" s="10">
        <v>349438</v>
      </c>
      <c r="I1203">
        <f>IFERROR(VLOOKUP(Final!F1203,'LEAID Match'!$A$2:$B$374,2,FALSE),"")</f>
        <v>400904</v>
      </c>
      <c r="K1203" s="10">
        <f t="shared" si="18"/>
        <v>349438</v>
      </c>
    </row>
    <row r="1204" spans="1:11">
      <c r="A1204">
        <v>400904</v>
      </c>
      <c r="B1204" s="10">
        <v>2023</v>
      </c>
      <c r="C1204" t="s">
        <v>573</v>
      </c>
      <c r="D1204" t="s">
        <v>2472</v>
      </c>
      <c r="E1204" t="s">
        <v>2474</v>
      </c>
      <c r="F1204" t="s">
        <v>518</v>
      </c>
      <c r="G1204" t="s">
        <v>518</v>
      </c>
      <c r="H1204" s="10">
        <v>398069</v>
      </c>
      <c r="I1204">
        <f>IFERROR(VLOOKUP(Final!F1204,'LEAID Match'!$A$2:$B$374,2,FALSE),"")</f>
        <v>400904</v>
      </c>
      <c r="K1204" s="10">
        <f t="shared" si="18"/>
        <v>398069</v>
      </c>
    </row>
    <row r="1205" spans="1:11">
      <c r="A1205">
        <v>406360</v>
      </c>
      <c r="B1205" s="10">
        <v>2015</v>
      </c>
      <c r="C1205" t="s">
        <v>931</v>
      </c>
      <c r="D1205" t="s">
        <v>2472</v>
      </c>
      <c r="E1205" t="s">
        <v>2474</v>
      </c>
      <c r="F1205" t="s">
        <v>1876</v>
      </c>
      <c r="G1205" t="s">
        <v>876</v>
      </c>
      <c r="H1205" s="10">
        <v>96273</v>
      </c>
      <c r="I1205">
        <f>IFERROR(VLOOKUP(Final!F1205,'LEAID Match'!$A$2:$B$374,2,FALSE),"")</f>
        <v>406360</v>
      </c>
      <c r="K1205" s="10">
        <f t="shared" si="18"/>
        <v>96273</v>
      </c>
    </row>
    <row r="1206" spans="1:11">
      <c r="A1206">
        <v>406360</v>
      </c>
      <c r="B1206" s="10">
        <v>2016</v>
      </c>
      <c r="C1206" t="s">
        <v>931</v>
      </c>
      <c r="D1206" t="s">
        <v>2472</v>
      </c>
      <c r="E1206" t="s">
        <v>2474</v>
      </c>
      <c r="F1206" t="s">
        <v>1876</v>
      </c>
      <c r="G1206" t="s">
        <v>876</v>
      </c>
      <c r="H1206" s="10">
        <v>100840</v>
      </c>
      <c r="I1206">
        <f>IFERROR(VLOOKUP(Final!F1206,'LEAID Match'!$A$2:$B$374,2,FALSE),"")</f>
        <v>406360</v>
      </c>
      <c r="K1206" s="10">
        <f t="shared" si="18"/>
        <v>100840</v>
      </c>
    </row>
    <row r="1207" spans="1:11">
      <c r="A1207">
        <v>406360</v>
      </c>
      <c r="B1207" s="10">
        <v>2017</v>
      </c>
      <c r="C1207" t="s">
        <v>931</v>
      </c>
      <c r="D1207" t="s">
        <v>2472</v>
      </c>
      <c r="E1207" t="s">
        <v>2474</v>
      </c>
      <c r="F1207" t="s">
        <v>1876</v>
      </c>
      <c r="G1207" t="s">
        <v>1876</v>
      </c>
      <c r="H1207" s="10">
        <v>97332</v>
      </c>
      <c r="I1207">
        <f>IFERROR(VLOOKUP(Final!F1207,'LEAID Match'!$A$2:$B$374,2,FALSE),"")</f>
        <v>406360</v>
      </c>
      <c r="K1207" s="10">
        <f t="shared" si="18"/>
        <v>97332</v>
      </c>
    </row>
    <row r="1208" spans="1:11">
      <c r="A1208">
        <v>406360</v>
      </c>
      <c r="B1208" s="10">
        <v>2018</v>
      </c>
      <c r="C1208" t="s">
        <v>931</v>
      </c>
      <c r="D1208" t="s">
        <v>2472</v>
      </c>
      <c r="E1208" t="s">
        <v>2474</v>
      </c>
      <c r="F1208" t="s">
        <v>1876</v>
      </c>
      <c r="G1208" t="s">
        <v>2277</v>
      </c>
      <c r="H1208" s="10">
        <v>104609</v>
      </c>
      <c r="I1208">
        <f>IFERROR(VLOOKUP(Final!F1208,'LEAID Match'!$A$2:$B$374,2,FALSE),"")</f>
        <v>406360</v>
      </c>
      <c r="K1208" s="10">
        <f t="shared" si="18"/>
        <v>104609</v>
      </c>
    </row>
    <row r="1209" spans="1:11">
      <c r="A1209">
        <v>406360</v>
      </c>
      <c r="B1209" s="10">
        <v>2019</v>
      </c>
      <c r="C1209" t="s">
        <v>931</v>
      </c>
      <c r="D1209" t="s">
        <v>2472</v>
      </c>
      <c r="E1209" t="s">
        <v>2474</v>
      </c>
      <c r="F1209" t="s">
        <v>1876</v>
      </c>
      <c r="G1209" t="s">
        <v>1876</v>
      </c>
      <c r="H1209" s="10">
        <v>113517</v>
      </c>
      <c r="I1209">
        <f>IFERROR(VLOOKUP(Final!F1209,'LEAID Match'!$A$2:$B$374,2,FALSE),"")</f>
        <v>406360</v>
      </c>
      <c r="K1209" s="10">
        <f t="shared" si="18"/>
        <v>113517</v>
      </c>
    </row>
    <row r="1210" spans="1:11">
      <c r="A1210">
        <v>406360</v>
      </c>
      <c r="B1210" s="10">
        <v>2020</v>
      </c>
      <c r="C1210" t="s">
        <v>931</v>
      </c>
      <c r="D1210" t="s">
        <v>2472</v>
      </c>
      <c r="E1210" t="s">
        <v>2474</v>
      </c>
      <c r="F1210" t="s">
        <v>1876</v>
      </c>
      <c r="G1210" t="s">
        <v>1876</v>
      </c>
      <c r="H1210" s="10">
        <v>108896</v>
      </c>
      <c r="I1210">
        <f>IFERROR(VLOOKUP(Final!F1210,'LEAID Match'!$A$2:$B$374,2,FALSE),"")</f>
        <v>406360</v>
      </c>
      <c r="K1210" s="10">
        <f t="shared" si="18"/>
        <v>108896</v>
      </c>
    </row>
    <row r="1211" spans="1:11">
      <c r="A1211">
        <v>406360</v>
      </c>
      <c r="B1211" s="10">
        <v>2021</v>
      </c>
      <c r="C1211" t="s">
        <v>931</v>
      </c>
      <c r="D1211" t="s">
        <v>2472</v>
      </c>
      <c r="E1211" t="s">
        <v>2474</v>
      </c>
      <c r="F1211" t="s">
        <v>1876</v>
      </c>
      <c r="G1211" t="s">
        <v>1876</v>
      </c>
      <c r="H1211" s="10">
        <v>111081</v>
      </c>
      <c r="I1211">
        <f>IFERROR(VLOOKUP(Final!F1211,'LEAID Match'!$A$2:$B$374,2,FALSE),"")</f>
        <v>406360</v>
      </c>
      <c r="K1211" s="10">
        <f t="shared" si="18"/>
        <v>111081</v>
      </c>
    </row>
    <row r="1212" spans="1:11">
      <c r="A1212">
        <v>406360</v>
      </c>
      <c r="B1212" s="10">
        <v>2022</v>
      </c>
      <c r="C1212" t="s">
        <v>931</v>
      </c>
      <c r="D1212" t="s">
        <v>2472</v>
      </c>
      <c r="E1212" t="s">
        <v>2474</v>
      </c>
      <c r="F1212" t="s">
        <v>1876</v>
      </c>
      <c r="G1212" t="s">
        <v>1876</v>
      </c>
      <c r="H1212" s="10">
        <v>114413</v>
      </c>
      <c r="I1212">
        <f>IFERROR(VLOOKUP(Final!F1212,'LEAID Match'!$A$2:$B$374,2,FALSE),"")</f>
        <v>406360</v>
      </c>
      <c r="K1212" s="10">
        <f t="shared" si="18"/>
        <v>114413</v>
      </c>
    </row>
    <row r="1213" spans="1:11">
      <c r="A1213">
        <v>406360</v>
      </c>
      <c r="B1213" s="10">
        <v>2023</v>
      </c>
      <c r="C1213" t="s">
        <v>931</v>
      </c>
      <c r="D1213" t="s">
        <v>2472</v>
      </c>
      <c r="E1213" t="s">
        <v>2474</v>
      </c>
      <c r="F1213" t="s">
        <v>1876</v>
      </c>
      <c r="G1213" t="s">
        <v>1876</v>
      </c>
      <c r="H1213" s="10">
        <v>117166</v>
      </c>
      <c r="I1213">
        <f>IFERROR(VLOOKUP(Final!F1213,'LEAID Match'!$A$2:$B$374,2,FALSE),"")</f>
        <v>406360</v>
      </c>
      <c r="K1213" s="10">
        <f t="shared" si="18"/>
        <v>117166</v>
      </c>
    </row>
    <row r="1214" spans="1:11">
      <c r="A1214">
        <v>400434</v>
      </c>
      <c r="B1214" s="10">
        <v>2015</v>
      </c>
      <c r="C1214" t="s">
        <v>1109</v>
      </c>
      <c r="D1214" t="s">
        <v>2472</v>
      </c>
      <c r="E1214" t="s">
        <v>2474</v>
      </c>
      <c r="F1214" t="s">
        <v>1936</v>
      </c>
      <c r="G1214" t="s">
        <v>1054</v>
      </c>
      <c r="H1214" s="10">
        <v>214046</v>
      </c>
      <c r="I1214">
        <f>IFERROR(VLOOKUP(Final!F1214,'LEAID Match'!$A$2:$B$374,2,FALSE),"")</f>
        <v>400434</v>
      </c>
      <c r="K1214" s="10">
        <f t="shared" si="18"/>
        <v>214046</v>
      </c>
    </row>
    <row r="1215" spans="1:11">
      <c r="A1215">
        <v>400434</v>
      </c>
      <c r="B1215" s="10">
        <v>2016</v>
      </c>
      <c r="C1215" t="s">
        <v>1109</v>
      </c>
      <c r="D1215" t="s">
        <v>2472</v>
      </c>
      <c r="E1215" t="s">
        <v>2474</v>
      </c>
      <c r="F1215" t="s">
        <v>1936</v>
      </c>
      <c r="G1215" t="s">
        <v>1054</v>
      </c>
      <c r="H1215" s="10">
        <v>223142</v>
      </c>
      <c r="I1215">
        <f>IFERROR(VLOOKUP(Final!F1215,'LEAID Match'!$A$2:$B$374,2,FALSE),"")</f>
        <v>400434</v>
      </c>
      <c r="K1215" s="10">
        <f t="shared" si="18"/>
        <v>223142</v>
      </c>
    </row>
    <row r="1216" spans="1:11">
      <c r="A1216">
        <v>400434</v>
      </c>
      <c r="B1216" s="10">
        <v>2017</v>
      </c>
      <c r="C1216" t="s">
        <v>1109</v>
      </c>
      <c r="D1216" t="s">
        <v>2472</v>
      </c>
      <c r="E1216" t="s">
        <v>2474</v>
      </c>
      <c r="F1216" t="s">
        <v>1936</v>
      </c>
      <c r="G1216" t="s">
        <v>1936</v>
      </c>
      <c r="H1216" s="10">
        <v>234110</v>
      </c>
      <c r="I1216">
        <f>IFERROR(VLOOKUP(Final!F1216,'LEAID Match'!$A$2:$B$374,2,FALSE),"")</f>
        <v>400434</v>
      </c>
      <c r="K1216" s="10">
        <f t="shared" si="18"/>
        <v>234110</v>
      </c>
    </row>
    <row r="1217" spans="1:11">
      <c r="A1217">
        <v>400434</v>
      </c>
      <c r="B1217" s="10">
        <v>2018</v>
      </c>
      <c r="C1217" t="s">
        <v>1109</v>
      </c>
      <c r="D1217" t="s">
        <v>2472</v>
      </c>
      <c r="E1217" t="s">
        <v>2474</v>
      </c>
      <c r="F1217" t="s">
        <v>1936</v>
      </c>
      <c r="G1217" t="s">
        <v>2305</v>
      </c>
      <c r="H1217" s="10">
        <v>233149</v>
      </c>
      <c r="I1217">
        <f>IFERROR(VLOOKUP(Final!F1217,'LEAID Match'!$A$2:$B$374,2,FALSE),"")</f>
        <v>400434</v>
      </c>
      <c r="K1217" s="10">
        <f t="shared" si="18"/>
        <v>233149</v>
      </c>
    </row>
    <row r="1218" spans="1:11">
      <c r="A1218">
        <v>400434</v>
      </c>
      <c r="B1218" s="10">
        <v>2019</v>
      </c>
      <c r="C1218" t="s">
        <v>1109</v>
      </c>
      <c r="D1218" t="s">
        <v>2472</v>
      </c>
      <c r="E1218" t="s">
        <v>2474</v>
      </c>
      <c r="F1218" t="s">
        <v>1936</v>
      </c>
      <c r="G1218" t="s">
        <v>1936</v>
      </c>
      <c r="H1218" s="10">
        <v>261579</v>
      </c>
      <c r="I1218">
        <f>IFERROR(VLOOKUP(Final!F1218,'LEAID Match'!$A$2:$B$374,2,FALSE),"")</f>
        <v>400434</v>
      </c>
      <c r="K1218" s="10">
        <f t="shared" si="18"/>
        <v>261579</v>
      </c>
    </row>
    <row r="1219" spans="1:11">
      <c r="A1219">
        <v>400434</v>
      </c>
      <c r="B1219" s="10">
        <v>2020</v>
      </c>
      <c r="C1219" t="s">
        <v>1109</v>
      </c>
      <c r="D1219" t="s">
        <v>2472</v>
      </c>
      <c r="E1219" t="s">
        <v>2474</v>
      </c>
      <c r="F1219" t="s">
        <v>1936</v>
      </c>
      <c r="G1219" t="s">
        <v>1936</v>
      </c>
      <c r="H1219" s="10">
        <v>270786</v>
      </c>
      <c r="I1219">
        <f>IFERROR(VLOOKUP(Final!F1219,'LEAID Match'!$A$2:$B$374,2,FALSE),"")</f>
        <v>400434</v>
      </c>
      <c r="K1219" s="10">
        <f t="shared" ref="K1219:K1282" si="19">SUM(H1219,J1219)</f>
        <v>270786</v>
      </c>
    </row>
    <row r="1220" spans="1:11">
      <c r="A1220">
        <v>400434</v>
      </c>
      <c r="B1220" s="10">
        <v>2021</v>
      </c>
      <c r="C1220" t="s">
        <v>1109</v>
      </c>
      <c r="D1220" t="s">
        <v>2472</v>
      </c>
      <c r="E1220" t="s">
        <v>2474</v>
      </c>
      <c r="F1220" t="s">
        <v>1936</v>
      </c>
      <c r="G1220" t="s">
        <v>1936</v>
      </c>
      <c r="H1220" s="10">
        <v>253689</v>
      </c>
      <c r="I1220">
        <f>IFERROR(VLOOKUP(Final!F1220,'LEAID Match'!$A$2:$B$374,2,FALSE),"")</f>
        <v>400434</v>
      </c>
      <c r="K1220" s="10">
        <f t="shared" si="19"/>
        <v>253689</v>
      </c>
    </row>
    <row r="1221" spans="1:11">
      <c r="A1221">
        <v>400434</v>
      </c>
      <c r="B1221" s="10">
        <v>2022</v>
      </c>
      <c r="C1221" t="s">
        <v>1109</v>
      </c>
      <c r="D1221" t="s">
        <v>2472</v>
      </c>
      <c r="E1221" t="s">
        <v>2474</v>
      </c>
      <c r="F1221" t="s">
        <v>1936</v>
      </c>
      <c r="G1221" t="s">
        <v>1936</v>
      </c>
      <c r="H1221" s="10">
        <v>268769</v>
      </c>
      <c r="I1221">
        <f>IFERROR(VLOOKUP(Final!F1221,'LEAID Match'!$A$2:$B$374,2,FALSE),"")</f>
        <v>400434</v>
      </c>
      <c r="K1221" s="10">
        <f t="shared" si="19"/>
        <v>268769</v>
      </c>
    </row>
    <row r="1222" spans="1:11">
      <c r="A1222">
        <v>400434</v>
      </c>
      <c r="B1222" s="10">
        <v>2023</v>
      </c>
      <c r="C1222" t="s">
        <v>1109</v>
      </c>
      <c r="D1222" t="s">
        <v>2472</v>
      </c>
      <c r="E1222" t="s">
        <v>2474</v>
      </c>
      <c r="F1222" t="s">
        <v>1936</v>
      </c>
      <c r="G1222" t="s">
        <v>1936</v>
      </c>
      <c r="H1222" s="10">
        <v>246597</v>
      </c>
      <c r="I1222">
        <f>IFERROR(VLOOKUP(Final!F1222,'LEAID Match'!$A$2:$B$374,2,FALSE),"")</f>
        <v>400434</v>
      </c>
      <c r="K1222" s="10">
        <f t="shared" si="19"/>
        <v>246597</v>
      </c>
    </row>
    <row r="1223" spans="1:11">
      <c r="A1223">
        <v>400790</v>
      </c>
      <c r="B1223" s="10">
        <v>2015</v>
      </c>
      <c r="C1223" t="s">
        <v>80</v>
      </c>
      <c r="D1223" t="s">
        <v>2472</v>
      </c>
      <c r="E1223" t="s">
        <v>2474</v>
      </c>
      <c r="F1223" t="s">
        <v>1503</v>
      </c>
      <c r="G1223" t="s">
        <v>27</v>
      </c>
      <c r="H1223" s="10">
        <v>2048087</v>
      </c>
      <c r="I1223">
        <f>IFERROR(VLOOKUP(Final!F1223,'LEAID Match'!$A$2:$B$374,2,FALSE),"")</f>
        <v>400790</v>
      </c>
      <c r="K1223" s="10">
        <f t="shared" si="19"/>
        <v>2048087</v>
      </c>
    </row>
    <row r="1224" spans="1:11">
      <c r="A1224">
        <v>400790</v>
      </c>
      <c r="B1224" s="10">
        <v>2016</v>
      </c>
      <c r="C1224" t="s">
        <v>80</v>
      </c>
      <c r="D1224" t="s">
        <v>2472</v>
      </c>
      <c r="E1224" t="s">
        <v>2474</v>
      </c>
      <c r="F1224" t="s">
        <v>1503</v>
      </c>
      <c r="G1224" t="s">
        <v>27</v>
      </c>
      <c r="H1224" s="10">
        <v>1806912</v>
      </c>
      <c r="I1224">
        <f>IFERROR(VLOOKUP(Final!F1224,'LEAID Match'!$A$2:$B$374,2,FALSE),"")</f>
        <v>400790</v>
      </c>
      <c r="K1224" s="10">
        <f t="shared" si="19"/>
        <v>1806912</v>
      </c>
    </row>
    <row r="1225" spans="1:11">
      <c r="A1225">
        <v>400790</v>
      </c>
      <c r="B1225" s="10">
        <v>2017</v>
      </c>
      <c r="C1225" t="s">
        <v>80</v>
      </c>
      <c r="D1225" t="s">
        <v>2472</v>
      </c>
      <c r="E1225" t="s">
        <v>2474</v>
      </c>
      <c r="F1225" t="s">
        <v>1503</v>
      </c>
      <c r="G1225" t="s">
        <v>1503</v>
      </c>
      <c r="H1225" s="10">
        <v>1674478</v>
      </c>
      <c r="I1225">
        <f>IFERROR(VLOOKUP(Final!F1225,'LEAID Match'!$A$2:$B$374,2,FALSE),"")</f>
        <v>400790</v>
      </c>
      <c r="K1225" s="10">
        <f t="shared" si="19"/>
        <v>1674478</v>
      </c>
    </row>
    <row r="1226" spans="1:11">
      <c r="A1226">
        <v>400790</v>
      </c>
      <c r="B1226" s="10">
        <v>2018</v>
      </c>
      <c r="C1226" t="s">
        <v>80</v>
      </c>
      <c r="D1226" t="s">
        <v>2472</v>
      </c>
      <c r="E1226" t="s">
        <v>2474</v>
      </c>
      <c r="F1226" t="s">
        <v>1503</v>
      </c>
      <c r="G1226" t="s">
        <v>2052</v>
      </c>
      <c r="H1226" s="10">
        <v>1686684</v>
      </c>
      <c r="I1226">
        <f>IFERROR(VLOOKUP(Final!F1226,'LEAID Match'!$A$2:$B$374,2,FALSE),"")</f>
        <v>400790</v>
      </c>
      <c r="K1226" s="10">
        <f t="shared" si="19"/>
        <v>1686684</v>
      </c>
    </row>
    <row r="1227" spans="1:11">
      <c r="A1227">
        <v>400790</v>
      </c>
      <c r="B1227" s="10">
        <v>2019</v>
      </c>
      <c r="C1227" t="s">
        <v>80</v>
      </c>
      <c r="D1227" t="s">
        <v>2472</v>
      </c>
      <c r="E1227" t="s">
        <v>2474</v>
      </c>
      <c r="F1227" t="s">
        <v>1503</v>
      </c>
      <c r="G1227" t="s">
        <v>1503</v>
      </c>
      <c r="H1227" s="10">
        <v>1789391</v>
      </c>
      <c r="I1227">
        <f>IFERROR(VLOOKUP(Final!F1227,'LEAID Match'!$A$2:$B$374,2,FALSE),"")</f>
        <v>400790</v>
      </c>
      <c r="K1227" s="10">
        <f t="shared" si="19"/>
        <v>1789391</v>
      </c>
    </row>
    <row r="1228" spans="1:11">
      <c r="A1228">
        <v>400790</v>
      </c>
      <c r="B1228" s="10">
        <v>2020</v>
      </c>
      <c r="C1228" t="s">
        <v>80</v>
      </c>
      <c r="D1228" t="s">
        <v>2472</v>
      </c>
      <c r="E1228" t="s">
        <v>2474</v>
      </c>
      <c r="F1228" t="s">
        <v>1503</v>
      </c>
      <c r="G1228" t="s">
        <v>1503</v>
      </c>
      <c r="H1228" s="10">
        <v>1957054</v>
      </c>
      <c r="I1228">
        <f>IFERROR(VLOOKUP(Final!F1228,'LEAID Match'!$A$2:$B$374,2,FALSE),"")</f>
        <v>400790</v>
      </c>
      <c r="K1228" s="10">
        <f t="shared" si="19"/>
        <v>1957054</v>
      </c>
    </row>
    <row r="1229" spans="1:11">
      <c r="A1229">
        <v>400790</v>
      </c>
      <c r="B1229" s="10">
        <v>2021</v>
      </c>
      <c r="C1229" t="s">
        <v>80</v>
      </c>
      <c r="D1229" t="s">
        <v>2472</v>
      </c>
      <c r="E1229" t="s">
        <v>2474</v>
      </c>
      <c r="F1229" t="s">
        <v>1503</v>
      </c>
      <c r="G1229" t="s">
        <v>1503</v>
      </c>
      <c r="H1229" s="10">
        <v>1935510</v>
      </c>
      <c r="I1229">
        <f>IFERROR(VLOOKUP(Final!F1229,'LEAID Match'!$A$2:$B$374,2,FALSE),"")</f>
        <v>400790</v>
      </c>
      <c r="K1229" s="10">
        <f t="shared" si="19"/>
        <v>1935510</v>
      </c>
    </row>
    <row r="1230" spans="1:11">
      <c r="A1230">
        <v>400790</v>
      </c>
      <c r="B1230" s="10">
        <v>2022</v>
      </c>
      <c r="C1230" t="s">
        <v>80</v>
      </c>
      <c r="D1230" t="s">
        <v>2472</v>
      </c>
      <c r="E1230" t="s">
        <v>2474</v>
      </c>
      <c r="F1230" t="s">
        <v>1503</v>
      </c>
      <c r="G1230" t="s">
        <v>1503</v>
      </c>
      <c r="H1230" s="10">
        <v>2038294</v>
      </c>
      <c r="I1230">
        <f>IFERROR(VLOOKUP(Final!F1230,'LEAID Match'!$A$2:$B$374,2,FALSE),"")</f>
        <v>400790</v>
      </c>
      <c r="K1230" s="10">
        <f t="shared" si="19"/>
        <v>2038294</v>
      </c>
    </row>
    <row r="1231" spans="1:11">
      <c r="A1231">
        <v>400790</v>
      </c>
      <c r="B1231" s="10">
        <v>2023</v>
      </c>
      <c r="C1231" t="s">
        <v>80</v>
      </c>
      <c r="D1231" t="s">
        <v>2472</v>
      </c>
      <c r="E1231" t="s">
        <v>2474</v>
      </c>
      <c r="F1231" t="s">
        <v>1503</v>
      </c>
      <c r="G1231" t="s">
        <v>1503</v>
      </c>
      <c r="H1231" s="10">
        <v>2234438</v>
      </c>
      <c r="I1231">
        <f>IFERROR(VLOOKUP(Final!F1231,'LEAID Match'!$A$2:$B$374,2,FALSE),"")</f>
        <v>400790</v>
      </c>
      <c r="K1231" s="10">
        <f t="shared" si="19"/>
        <v>2234438</v>
      </c>
    </row>
    <row r="1232" spans="1:11">
      <c r="A1232">
        <v>403990</v>
      </c>
      <c r="B1232" s="10">
        <v>2015</v>
      </c>
      <c r="C1232" t="s">
        <v>699</v>
      </c>
      <c r="D1232" t="s">
        <v>2472</v>
      </c>
      <c r="E1232" t="s">
        <v>2474</v>
      </c>
      <c r="F1232" t="s">
        <v>1763</v>
      </c>
      <c r="G1232" t="s">
        <v>644</v>
      </c>
      <c r="H1232" s="10">
        <v>1784160</v>
      </c>
      <c r="I1232">
        <f>IFERROR(VLOOKUP(Final!F1232,'LEAID Match'!$A$2:$B$374,2,FALSE),"")</f>
        <v>403990</v>
      </c>
      <c r="K1232" s="10">
        <f t="shared" si="19"/>
        <v>1784160</v>
      </c>
    </row>
    <row r="1233" spans="1:11">
      <c r="A1233">
        <v>403990</v>
      </c>
      <c r="B1233" s="10">
        <v>2016</v>
      </c>
      <c r="C1233" t="s">
        <v>699</v>
      </c>
      <c r="D1233" t="s">
        <v>2472</v>
      </c>
      <c r="E1233" t="s">
        <v>2474</v>
      </c>
      <c r="F1233" t="s">
        <v>1763</v>
      </c>
      <c r="G1233" t="s">
        <v>644</v>
      </c>
      <c r="H1233" s="10">
        <v>1867203</v>
      </c>
      <c r="I1233">
        <f>IFERROR(VLOOKUP(Final!F1233,'LEAID Match'!$A$2:$B$374,2,FALSE),"")</f>
        <v>403990</v>
      </c>
      <c r="K1233" s="10">
        <f t="shared" si="19"/>
        <v>1867203</v>
      </c>
    </row>
    <row r="1234" spans="1:11">
      <c r="A1234">
        <v>403990</v>
      </c>
      <c r="B1234" s="10">
        <v>2017</v>
      </c>
      <c r="C1234" t="s">
        <v>699</v>
      </c>
      <c r="D1234" t="s">
        <v>2472</v>
      </c>
      <c r="E1234" t="s">
        <v>2474</v>
      </c>
      <c r="F1234" t="s">
        <v>1763</v>
      </c>
      <c r="G1234" t="s">
        <v>1763</v>
      </c>
      <c r="H1234" s="10">
        <v>1975257</v>
      </c>
      <c r="I1234">
        <f>IFERROR(VLOOKUP(Final!F1234,'LEAID Match'!$A$2:$B$374,2,FALSE),"")</f>
        <v>403990</v>
      </c>
      <c r="K1234" s="10">
        <f t="shared" si="19"/>
        <v>1975257</v>
      </c>
    </row>
    <row r="1235" spans="1:11">
      <c r="A1235">
        <v>403990</v>
      </c>
      <c r="B1235" s="10">
        <v>2018</v>
      </c>
      <c r="C1235" t="s">
        <v>699</v>
      </c>
      <c r="D1235" t="s">
        <v>2472</v>
      </c>
      <c r="E1235" t="s">
        <v>2474</v>
      </c>
      <c r="F1235" t="s">
        <v>1763</v>
      </c>
      <c r="G1235" t="s">
        <v>1763</v>
      </c>
      <c r="H1235" s="10">
        <v>2052525</v>
      </c>
      <c r="I1235">
        <f>IFERROR(VLOOKUP(Final!F1235,'LEAID Match'!$A$2:$B$374,2,FALSE),"")</f>
        <v>403990</v>
      </c>
      <c r="K1235" s="10">
        <f t="shared" si="19"/>
        <v>2052525</v>
      </c>
    </row>
    <row r="1236" spans="1:11">
      <c r="A1236">
        <v>403990</v>
      </c>
      <c r="B1236" s="10">
        <v>2019</v>
      </c>
      <c r="C1236" t="s">
        <v>699</v>
      </c>
      <c r="D1236" t="s">
        <v>2472</v>
      </c>
      <c r="E1236" t="s">
        <v>2474</v>
      </c>
      <c r="F1236" t="s">
        <v>1763</v>
      </c>
      <c r="G1236" t="s">
        <v>1763</v>
      </c>
      <c r="H1236" s="10">
        <v>2287603</v>
      </c>
      <c r="I1236">
        <f>IFERROR(VLOOKUP(Final!F1236,'LEAID Match'!$A$2:$B$374,2,FALSE),"")</f>
        <v>403990</v>
      </c>
      <c r="K1236" s="10">
        <f t="shared" si="19"/>
        <v>2287603</v>
      </c>
    </row>
    <row r="1237" spans="1:11">
      <c r="A1237">
        <v>403990</v>
      </c>
      <c r="B1237" s="10">
        <v>2020</v>
      </c>
      <c r="C1237" t="s">
        <v>699</v>
      </c>
      <c r="D1237" t="s">
        <v>2472</v>
      </c>
      <c r="E1237" t="s">
        <v>2474</v>
      </c>
      <c r="F1237" t="s">
        <v>1763</v>
      </c>
      <c r="G1237" t="s">
        <v>1763</v>
      </c>
      <c r="H1237" s="10">
        <v>2357897</v>
      </c>
      <c r="I1237">
        <f>IFERROR(VLOOKUP(Final!F1237,'LEAID Match'!$A$2:$B$374,2,FALSE),"")</f>
        <v>403990</v>
      </c>
      <c r="K1237" s="10">
        <f t="shared" si="19"/>
        <v>2357897</v>
      </c>
    </row>
    <row r="1238" spans="1:11">
      <c r="A1238">
        <v>403990</v>
      </c>
      <c r="B1238" s="10">
        <v>2021</v>
      </c>
      <c r="C1238" t="s">
        <v>699</v>
      </c>
      <c r="D1238" t="s">
        <v>2472</v>
      </c>
      <c r="E1238" t="s">
        <v>2474</v>
      </c>
      <c r="F1238" t="s">
        <v>1763</v>
      </c>
      <c r="G1238" t="s">
        <v>1763</v>
      </c>
      <c r="H1238" s="10">
        <v>2589162</v>
      </c>
      <c r="I1238">
        <f>IFERROR(VLOOKUP(Final!F1238,'LEAID Match'!$A$2:$B$374,2,FALSE),"")</f>
        <v>403990</v>
      </c>
      <c r="K1238" s="10">
        <f t="shared" si="19"/>
        <v>2589162</v>
      </c>
    </row>
    <row r="1239" spans="1:11">
      <c r="A1239">
        <v>403990</v>
      </c>
      <c r="B1239" s="10">
        <v>2022</v>
      </c>
      <c r="C1239" t="s">
        <v>699</v>
      </c>
      <c r="D1239" t="s">
        <v>2472</v>
      </c>
      <c r="E1239" t="s">
        <v>2474</v>
      </c>
      <c r="F1239" t="s">
        <v>1763</v>
      </c>
      <c r="G1239" t="s">
        <v>1763</v>
      </c>
      <c r="H1239" s="10">
        <v>2871166</v>
      </c>
      <c r="I1239">
        <f>IFERROR(VLOOKUP(Final!F1239,'LEAID Match'!$A$2:$B$374,2,FALSE),"")</f>
        <v>403990</v>
      </c>
      <c r="K1239" s="10">
        <f t="shared" si="19"/>
        <v>2871166</v>
      </c>
    </row>
    <row r="1240" spans="1:11">
      <c r="A1240">
        <v>403990</v>
      </c>
      <c r="B1240" s="10">
        <v>2023</v>
      </c>
      <c r="C1240" t="s">
        <v>699</v>
      </c>
      <c r="D1240" t="s">
        <v>2472</v>
      </c>
      <c r="E1240" t="s">
        <v>2474</v>
      </c>
      <c r="F1240" t="s">
        <v>1763</v>
      </c>
      <c r="G1240" t="s">
        <v>1763</v>
      </c>
      <c r="H1240" s="10">
        <v>2921642</v>
      </c>
      <c r="I1240">
        <f>IFERROR(VLOOKUP(Final!F1240,'LEAID Match'!$A$2:$B$374,2,FALSE),"")</f>
        <v>403990</v>
      </c>
      <c r="K1240" s="10">
        <f t="shared" si="19"/>
        <v>2921642</v>
      </c>
    </row>
    <row r="1241" spans="1:11">
      <c r="A1241">
        <v>401740</v>
      </c>
      <c r="B1241" s="10">
        <v>2015</v>
      </c>
      <c r="C1241" t="s">
        <v>348</v>
      </c>
      <c r="D1241" t="s">
        <v>2472</v>
      </c>
      <c r="E1241" t="s">
        <v>2474</v>
      </c>
      <c r="F1241" t="s">
        <v>1645</v>
      </c>
      <c r="G1241" t="s">
        <v>294</v>
      </c>
      <c r="H1241" s="10">
        <v>1423363</v>
      </c>
      <c r="I1241">
        <f>IFERROR(VLOOKUP(Final!F1241,'LEAID Match'!$A$2:$B$374,2,FALSE),"")</f>
        <v>401740</v>
      </c>
      <c r="K1241" s="10">
        <f t="shared" si="19"/>
        <v>1423363</v>
      </c>
    </row>
    <row r="1242" spans="1:11">
      <c r="A1242">
        <v>401740</v>
      </c>
      <c r="B1242" s="10">
        <v>2016</v>
      </c>
      <c r="C1242" t="s">
        <v>348</v>
      </c>
      <c r="D1242" t="s">
        <v>2472</v>
      </c>
      <c r="E1242" t="s">
        <v>2474</v>
      </c>
      <c r="F1242" t="s">
        <v>1645</v>
      </c>
      <c r="G1242" t="s">
        <v>294</v>
      </c>
      <c r="H1242" s="10">
        <v>1369622</v>
      </c>
      <c r="I1242">
        <f>IFERROR(VLOOKUP(Final!F1242,'LEAID Match'!$A$2:$B$374,2,FALSE),"")</f>
        <v>401740</v>
      </c>
      <c r="K1242" s="10">
        <f t="shared" si="19"/>
        <v>1369622</v>
      </c>
    </row>
    <row r="1243" spans="1:11">
      <c r="A1243">
        <v>401740</v>
      </c>
      <c r="B1243" s="10">
        <v>2017</v>
      </c>
      <c r="C1243" t="s">
        <v>348</v>
      </c>
      <c r="D1243" t="s">
        <v>2472</v>
      </c>
      <c r="E1243" t="s">
        <v>2474</v>
      </c>
      <c r="F1243" t="s">
        <v>1645</v>
      </c>
      <c r="G1243" t="s">
        <v>1645</v>
      </c>
      <c r="H1243" s="10">
        <v>1347894</v>
      </c>
      <c r="I1243">
        <f>IFERROR(VLOOKUP(Final!F1243,'LEAID Match'!$A$2:$B$374,2,FALSE),"")</f>
        <v>401740</v>
      </c>
      <c r="K1243" s="10">
        <f t="shared" si="19"/>
        <v>1347894</v>
      </c>
    </row>
    <row r="1244" spans="1:11">
      <c r="A1244">
        <v>401740</v>
      </c>
      <c r="B1244" s="10">
        <v>2018</v>
      </c>
      <c r="C1244" t="s">
        <v>348</v>
      </c>
      <c r="D1244" t="s">
        <v>2472</v>
      </c>
      <c r="E1244" t="s">
        <v>2474</v>
      </c>
      <c r="F1244" t="s">
        <v>1645</v>
      </c>
      <c r="G1244" t="s">
        <v>2142</v>
      </c>
      <c r="H1244" s="10">
        <v>1519369</v>
      </c>
      <c r="I1244">
        <f>IFERROR(VLOOKUP(Final!F1244,'LEAID Match'!$A$2:$B$374,2,FALSE),"")</f>
        <v>401740</v>
      </c>
      <c r="K1244" s="10">
        <f t="shared" si="19"/>
        <v>1519369</v>
      </c>
    </row>
    <row r="1245" spans="1:11">
      <c r="A1245">
        <v>401740</v>
      </c>
      <c r="B1245" s="10">
        <v>2019</v>
      </c>
      <c r="C1245" t="s">
        <v>348</v>
      </c>
      <c r="D1245" t="s">
        <v>2472</v>
      </c>
      <c r="E1245" t="s">
        <v>2474</v>
      </c>
      <c r="F1245" t="s">
        <v>1645</v>
      </c>
      <c r="G1245" t="s">
        <v>1645</v>
      </c>
      <c r="H1245" s="10">
        <v>1847315</v>
      </c>
      <c r="I1245">
        <f>IFERROR(VLOOKUP(Final!F1245,'LEAID Match'!$A$2:$B$374,2,FALSE),"")</f>
        <v>401740</v>
      </c>
      <c r="K1245" s="10">
        <f t="shared" si="19"/>
        <v>1847315</v>
      </c>
    </row>
    <row r="1246" spans="1:11">
      <c r="A1246">
        <v>401740</v>
      </c>
      <c r="B1246" s="10">
        <v>2020</v>
      </c>
      <c r="C1246" t="s">
        <v>348</v>
      </c>
      <c r="D1246" t="s">
        <v>2472</v>
      </c>
      <c r="E1246" t="s">
        <v>2474</v>
      </c>
      <c r="F1246" t="s">
        <v>1645</v>
      </c>
      <c r="G1246" t="s">
        <v>1645</v>
      </c>
      <c r="H1246" s="10">
        <v>1955000</v>
      </c>
      <c r="I1246">
        <f>IFERROR(VLOOKUP(Final!F1246,'LEAID Match'!$A$2:$B$374,2,FALSE),"")</f>
        <v>401740</v>
      </c>
      <c r="K1246" s="10">
        <f t="shared" si="19"/>
        <v>1955000</v>
      </c>
    </row>
    <row r="1247" spans="1:11">
      <c r="A1247">
        <v>401740</v>
      </c>
      <c r="B1247" s="10">
        <v>2021</v>
      </c>
      <c r="C1247" t="s">
        <v>348</v>
      </c>
      <c r="D1247" t="s">
        <v>2472</v>
      </c>
      <c r="E1247" t="s">
        <v>2474</v>
      </c>
      <c r="F1247" t="s">
        <v>1645</v>
      </c>
      <c r="G1247" t="s">
        <v>1645</v>
      </c>
      <c r="H1247" s="10">
        <v>1998352</v>
      </c>
      <c r="I1247">
        <f>IFERROR(VLOOKUP(Final!F1247,'LEAID Match'!$A$2:$B$374,2,FALSE),"")</f>
        <v>401740</v>
      </c>
      <c r="K1247" s="10">
        <f t="shared" si="19"/>
        <v>1998352</v>
      </c>
    </row>
    <row r="1248" spans="1:11">
      <c r="A1248">
        <v>401740</v>
      </c>
      <c r="B1248" s="10">
        <v>2022</v>
      </c>
      <c r="C1248" t="s">
        <v>348</v>
      </c>
      <c r="D1248" t="s">
        <v>2472</v>
      </c>
      <c r="E1248" t="s">
        <v>2474</v>
      </c>
      <c r="F1248" t="s">
        <v>1645</v>
      </c>
      <c r="G1248" t="s">
        <v>1645</v>
      </c>
      <c r="H1248" s="10">
        <v>2193550</v>
      </c>
      <c r="I1248">
        <f>IFERROR(VLOOKUP(Final!F1248,'LEAID Match'!$A$2:$B$374,2,FALSE),"")</f>
        <v>401740</v>
      </c>
      <c r="K1248" s="10">
        <f t="shared" si="19"/>
        <v>2193550</v>
      </c>
    </row>
    <row r="1249" spans="1:11">
      <c r="A1249">
        <v>401740</v>
      </c>
      <c r="B1249" s="10">
        <v>2023</v>
      </c>
      <c r="C1249" t="s">
        <v>348</v>
      </c>
      <c r="D1249" t="s">
        <v>2472</v>
      </c>
      <c r="E1249" t="s">
        <v>2474</v>
      </c>
      <c r="F1249" t="s">
        <v>1645</v>
      </c>
      <c r="G1249" t="s">
        <v>1645</v>
      </c>
      <c r="H1249" s="10">
        <v>2595610</v>
      </c>
      <c r="I1249">
        <f>IFERROR(VLOOKUP(Final!F1249,'LEAID Match'!$A$2:$B$374,2,FALSE),"")</f>
        <v>401740</v>
      </c>
      <c r="K1249" s="10">
        <f t="shared" si="19"/>
        <v>2595610</v>
      </c>
    </row>
    <row r="1250" spans="1:11">
      <c r="A1250">
        <v>400453</v>
      </c>
      <c r="B1250" s="10">
        <v>2015</v>
      </c>
      <c r="C1250" t="s">
        <v>1001</v>
      </c>
      <c r="D1250" t="s">
        <v>2472</v>
      </c>
      <c r="E1250" t="s">
        <v>2474</v>
      </c>
      <c r="F1250" t="s">
        <v>2433</v>
      </c>
      <c r="G1250" t="s">
        <v>946</v>
      </c>
      <c r="H1250" s="10">
        <v>26684</v>
      </c>
      <c r="I1250">
        <f>IFERROR(VLOOKUP(Final!F1250,'LEAID Match'!$A$2:$B$374,2,FALSE),"")</f>
        <v>400453</v>
      </c>
      <c r="K1250" s="10">
        <f t="shared" si="19"/>
        <v>26684</v>
      </c>
    </row>
    <row r="1251" spans="1:11">
      <c r="A1251">
        <v>400453</v>
      </c>
      <c r="B1251" s="10">
        <v>2016</v>
      </c>
      <c r="C1251" t="s">
        <v>1001</v>
      </c>
      <c r="D1251" t="s">
        <v>2472</v>
      </c>
      <c r="E1251" t="s">
        <v>2474</v>
      </c>
      <c r="F1251" t="s">
        <v>2433</v>
      </c>
      <c r="G1251" t="s">
        <v>946</v>
      </c>
      <c r="H1251" s="10">
        <v>25425</v>
      </c>
      <c r="I1251">
        <f>IFERROR(VLOOKUP(Final!F1251,'LEAID Match'!$A$2:$B$374,2,FALSE),"")</f>
        <v>400453</v>
      </c>
      <c r="K1251" s="10">
        <f t="shared" si="19"/>
        <v>25425</v>
      </c>
    </row>
    <row r="1252" spans="1:11">
      <c r="A1252">
        <v>400453</v>
      </c>
      <c r="B1252" s="10">
        <v>2017</v>
      </c>
      <c r="C1252" t="s">
        <v>1001</v>
      </c>
      <c r="D1252" t="s">
        <v>2472</v>
      </c>
      <c r="E1252" t="s">
        <v>2474</v>
      </c>
      <c r="F1252" t="s">
        <v>2433</v>
      </c>
      <c r="G1252" t="s">
        <v>946</v>
      </c>
      <c r="H1252" s="10">
        <v>19898</v>
      </c>
      <c r="I1252">
        <f>IFERROR(VLOOKUP(Final!F1252,'LEAID Match'!$A$2:$B$374,2,FALSE),"")</f>
        <v>400453</v>
      </c>
      <c r="K1252" s="10">
        <f t="shared" si="19"/>
        <v>19898</v>
      </c>
    </row>
    <row r="1253" spans="1:11">
      <c r="A1253">
        <v>400453</v>
      </c>
      <c r="B1253" s="10">
        <v>2018</v>
      </c>
      <c r="C1253" t="s">
        <v>1001</v>
      </c>
      <c r="D1253" t="s">
        <v>2472</v>
      </c>
      <c r="E1253" t="s">
        <v>2474</v>
      </c>
      <c r="F1253" t="s">
        <v>2433</v>
      </c>
      <c r="G1253" t="s">
        <v>2283</v>
      </c>
      <c r="H1253" s="10">
        <v>19510</v>
      </c>
      <c r="I1253">
        <f>IFERROR(VLOOKUP(Final!F1253,'LEAID Match'!$A$2:$B$374,2,FALSE),"")</f>
        <v>400453</v>
      </c>
      <c r="K1253" s="10">
        <f t="shared" si="19"/>
        <v>19510</v>
      </c>
    </row>
    <row r="1254" spans="1:11">
      <c r="A1254">
        <v>400453</v>
      </c>
      <c r="B1254" s="10">
        <v>2019</v>
      </c>
      <c r="C1254" t="s">
        <v>1001</v>
      </c>
      <c r="D1254" t="s">
        <v>2472</v>
      </c>
      <c r="E1254" t="s">
        <v>2474</v>
      </c>
      <c r="F1254" t="s">
        <v>2433</v>
      </c>
      <c r="G1254" t="s">
        <v>2383</v>
      </c>
      <c r="H1254" s="10">
        <v>33879</v>
      </c>
      <c r="I1254">
        <f>IFERROR(VLOOKUP(Final!F1254,'LEAID Match'!$A$2:$B$374,2,FALSE),"")</f>
        <v>400453</v>
      </c>
      <c r="K1254" s="10">
        <f t="shared" si="19"/>
        <v>33879</v>
      </c>
    </row>
    <row r="1255" spans="1:11">
      <c r="A1255">
        <v>400453</v>
      </c>
      <c r="B1255" s="10">
        <v>2020</v>
      </c>
      <c r="C1255" t="s">
        <v>1001</v>
      </c>
      <c r="D1255" t="s">
        <v>2472</v>
      </c>
      <c r="E1255" t="s">
        <v>2474</v>
      </c>
      <c r="F1255" t="s">
        <v>2433</v>
      </c>
      <c r="G1255" t="s">
        <v>2383</v>
      </c>
      <c r="H1255" s="10">
        <v>39587</v>
      </c>
      <c r="I1255">
        <f>IFERROR(VLOOKUP(Final!F1255,'LEAID Match'!$A$2:$B$374,2,FALSE),"")</f>
        <v>400453</v>
      </c>
      <c r="K1255" s="10">
        <f t="shared" si="19"/>
        <v>39587</v>
      </c>
    </row>
    <row r="1256" spans="1:11">
      <c r="A1256">
        <v>400453</v>
      </c>
      <c r="B1256" s="10">
        <v>2021</v>
      </c>
      <c r="C1256" t="s">
        <v>1001</v>
      </c>
      <c r="D1256" t="s">
        <v>2472</v>
      </c>
      <c r="E1256" t="s">
        <v>2474</v>
      </c>
      <c r="F1256" t="s">
        <v>2433</v>
      </c>
      <c r="G1256" t="s">
        <v>2433</v>
      </c>
      <c r="H1256" s="10">
        <v>32035</v>
      </c>
      <c r="I1256">
        <f>IFERROR(VLOOKUP(Final!F1256,'LEAID Match'!$A$2:$B$374,2,FALSE),"")</f>
        <v>400453</v>
      </c>
      <c r="K1256" s="10">
        <f t="shared" si="19"/>
        <v>32035</v>
      </c>
    </row>
    <row r="1257" spans="1:11">
      <c r="A1257">
        <v>400453</v>
      </c>
      <c r="B1257" s="10">
        <v>2022</v>
      </c>
      <c r="C1257" t="s">
        <v>1001</v>
      </c>
      <c r="D1257" t="s">
        <v>2472</v>
      </c>
      <c r="E1257" t="s">
        <v>2474</v>
      </c>
      <c r="F1257" t="s">
        <v>2433</v>
      </c>
      <c r="G1257" t="s">
        <v>2433</v>
      </c>
      <c r="H1257" s="10">
        <v>29790</v>
      </c>
      <c r="I1257">
        <f>IFERROR(VLOOKUP(Final!F1257,'LEAID Match'!$A$2:$B$374,2,FALSE),"")</f>
        <v>400453</v>
      </c>
      <c r="K1257" s="10">
        <f t="shared" si="19"/>
        <v>29790</v>
      </c>
    </row>
    <row r="1258" spans="1:11">
      <c r="A1258">
        <v>400453</v>
      </c>
      <c r="B1258" s="10">
        <v>2023</v>
      </c>
      <c r="C1258" t="s">
        <v>1001</v>
      </c>
      <c r="D1258" t="s">
        <v>2472</v>
      </c>
      <c r="E1258" t="s">
        <v>2474</v>
      </c>
      <c r="F1258" t="s">
        <v>2433</v>
      </c>
      <c r="G1258" t="s">
        <v>2433</v>
      </c>
      <c r="H1258" s="10">
        <v>28759</v>
      </c>
      <c r="I1258">
        <f>IFERROR(VLOOKUP(Final!F1258,'LEAID Match'!$A$2:$B$374,2,FALSE),"")</f>
        <v>400453</v>
      </c>
      <c r="K1258" s="10">
        <f t="shared" si="19"/>
        <v>28759</v>
      </c>
    </row>
    <row r="1259" spans="1:11">
      <c r="A1259" t="s">
        <v>2470</v>
      </c>
      <c r="B1259" s="10">
        <v>2015</v>
      </c>
      <c r="C1259" t="s">
        <v>1003</v>
      </c>
      <c r="D1259" t="s">
        <v>2472</v>
      </c>
      <c r="E1259" t="s">
        <v>2474</v>
      </c>
      <c r="F1259" t="s">
        <v>1478</v>
      </c>
      <c r="G1259" t="s">
        <v>948</v>
      </c>
      <c r="H1259" s="10">
        <v>51476</v>
      </c>
      <c r="I1259" t="str">
        <f>IFERROR(VLOOKUP(Final!F1259,'LEAID Match'!$A$2:$B$374,2,FALSE),"")</f>
        <v/>
      </c>
      <c r="K1259" s="10">
        <f t="shared" si="19"/>
        <v>51476</v>
      </c>
    </row>
    <row r="1260" spans="1:11">
      <c r="A1260" t="s">
        <v>2470</v>
      </c>
      <c r="B1260" s="10">
        <v>2016</v>
      </c>
      <c r="C1260" t="s">
        <v>1003</v>
      </c>
      <c r="D1260" t="s">
        <v>2472</v>
      </c>
      <c r="E1260" t="s">
        <v>2474</v>
      </c>
      <c r="F1260" t="s">
        <v>1478</v>
      </c>
      <c r="G1260" t="s">
        <v>1478</v>
      </c>
      <c r="H1260" s="10">
        <v>38385</v>
      </c>
      <c r="I1260" t="str">
        <f>IFERROR(VLOOKUP(Final!F1260,'LEAID Match'!$A$2:$B$374,2,FALSE),"")</f>
        <v/>
      </c>
      <c r="K1260" s="10">
        <f t="shared" si="19"/>
        <v>38385</v>
      </c>
    </row>
    <row r="1261" spans="1:11">
      <c r="A1261" t="s">
        <v>2470</v>
      </c>
      <c r="B1261" s="10">
        <v>2017</v>
      </c>
      <c r="C1261" t="s">
        <v>1003</v>
      </c>
      <c r="D1261" t="s">
        <v>2472</v>
      </c>
      <c r="E1261" t="s">
        <v>2474</v>
      </c>
      <c r="F1261" t="s">
        <v>1478</v>
      </c>
      <c r="G1261" t="s">
        <v>1478</v>
      </c>
      <c r="H1261" s="10">
        <v>24952</v>
      </c>
      <c r="I1261" t="str">
        <f>IFERROR(VLOOKUP(Final!F1261,'LEAID Match'!$A$2:$B$374,2,FALSE),"")</f>
        <v/>
      </c>
      <c r="K1261" s="10">
        <f t="shared" si="19"/>
        <v>24952</v>
      </c>
    </row>
    <row r="1262" spans="1:11">
      <c r="A1262" t="s">
        <v>2470</v>
      </c>
      <c r="B1262" s="10">
        <v>2018</v>
      </c>
      <c r="C1262" t="s">
        <v>1003</v>
      </c>
      <c r="D1262" t="s">
        <v>2472</v>
      </c>
      <c r="E1262" t="s">
        <v>2474</v>
      </c>
      <c r="F1262" t="s">
        <v>1478</v>
      </c>
      <c r="G1262" t="s">
        <v>2285</v>
      </c>
      <c r="H1262" s="10">
        <v>26413</v>
      </c>
      <c r="I1262" t="str">
        <f>IFERROR(VLOOKUP(Final!F1262,'LEAID Match'!$A$2:$B$374,2,FALSE),"")</f>
        <v/>
      </c>
      <c r="K1262" s="10">
        <f t="shared" si="19"/>
        <v>26413</v>
      </c>
    </row>
    <row r="1263" spans="1:11">
      <c r="A1263" t="s">
        <v>2470</v>
      </c>
      <c r="B1263" s="10">
        <v>2019</v>
      </c>
      <c r="C1263" t="s">
        <v>1003</v>
      </c>
      <c r="D1263" t="s">
        <v>2472</v>
      </c>
      <c r="E1263" t="s">
        <v>2474</v>
      </c>
      <c r="F1263" t="s">
        <v>1478</v>
      </c>
      <c r="G1263" t="s">
        <v>1478</v>
      </c>
      <c r="H1263" s="10">
        <v>31662</v>
      </c>
      <c r="I1263" t="str">
        <f>IFERROR(VLOOKUP(Final!F1263,'LEAID Match'!$A$2:$B$374,2,FALSE),"")</f>
        <v/>
      </c>
      <c r="K1263" s="10">
        <f t="shared" si="19"/>
        <v>31662</v>
      </c>
    </row>
    <row r="1264" spans="1:11">
      <c r="A1264" t="s">
        <v>2470</v>
      </c>
      <c r="B1264" s="10">
        <v>2020</v>
      </c>
      <c r="C1264" t="s">
        <v>1003</v>
      </c>
      <c r="D1264" t="s">
        <v>2472</v>
      </c>
      <c r="E1264" t="s">
        <v>2474</v>
      </c>
      <c r="F1264" t="s">
        <v>1478</v>
      </c>
      <c r="G1264" t="s">
        <v>1478</v>
      </c>
      <c r="H1264" s="10">
        <v>30305</v>
      </c>
      <c r="I1264" t="str">
        <f>IFERROR(VLOOKUP(Final!F1264,'LEAID Match'!$A$2:$B$374,2,FALSE),"")</f>
        <v/>
      </c>
      <c r="K1264" s="10">
        <f t="shared" si="19"/>
        <v>30305</v>
      </c>
    </row>
    <row r="1265" spans="1:11">
      <c r="A1265" t="s">
        <v>2470</v>
      </c>
      <c r="B1265" s="10">
        <v>2021</v>
      </c>
      <c r="C1265" t="s">
        <v>1003</v>
      </c>
      <c r="D1265" t="s">
        <v>2472</v>
      </c>
      <c r="E1265" t="s">
        <v>2474</v>
      </c>
      <c r="F1265" t="s">
        <v>1478</v>
      </c>
      <c r="G1265" t="s">
        <v>1478</v>
      </c>
      <c r="H1265" s="10">
        <v>34078</v>
      </c>
      <c r="I1265" t="str">
        <f>IFERROR(VLOOKUP(Final!F1265,'LEAID Match'!$A$2:$B$374,2,FALSE),"")</f>
        <v/>
      </c>
      <c r="K1265" s="10">
        <f t="shared" si="19"/>
        <v>34078</v>
      </c>
    </row>
    <row r="1266" spans="1:11">
      <c r="A1266" t="s">
        <v>2470</v>
      </c>
      <c r="B1266" s="10">
        <v>2022</v>
      </c>
      <c r="C1266" t="s">
        <v>1003</v>
      </c>
      <c r="D1266" t="s">
        <v>2472</v>
      </c>
      <c r="E1266" t="s">
        <v>2474</v>
      </c>
      <c r="F1266" t="s">
        <v>1478</v>
      </c>
      <c r="G1266" t="s">
        <v>1478</v>
      </c>
      <c r="H1266" s="10">
        <v>37229</v>
      </c>
      <c r="I1266" t="str">
        <f>IFERROR(VLOOKUP(Final!F1266,'LEAID Match'!$A$2:$B$374,2,FALSE),"")</f>
        <v/>
      </c>
      <c r="K1266" s="10">
        <f t="shared" si="19"/>
        <v>37229</v>
      </c>
    </row>
    <row r="1267" spans="1:11">
      <c r="A1267" t="s">
        <v>2470</v>
      </c>
      <c r="B1267" s="10">
        <v>2023</v>
      </c>
      <c r="C1267" t="s">
        <v>1003</v>
      </c>
      <c r="D1267" t="s">
        <v>2472</v>
      </c>
      <c r="E1267" t="s">
        <v>2474</v>
      </c>
      <c r="F1267" t="s">
        <v>1478</v>
      </c>
      <c r="G1267" t="s">
        <v>1478</v>
      </c>
      <c r="H1267" s="10">
        <v>38709</v>
      </c>
      <c r="I1267" t="str">
        <f>IFERROR(VLOOKUP(Final!F1267,'LEAID Match'!$A$2:$B$374,2,FALSE),"")</f>
        <v/>
      </c>
      <c r="K1267" s="10">
        <f t="shared" si="19"/>
        <v>38709</v>
      </c>
    </row>
    <row r="1268" spans="1:11">
      <c r="A1268" t="s">
        <v>2470</v>
      </c>
      <c r="B1268" s="10">
        <v>2015</v>
      </c>
      <c r="C1268" t="s">
        <v>1000</v>
      </c>
      <c r="D1268" t="s">
        <v>2472</v>
      </c>
      <c r="E1268" t="s">
        <v>2474</v>
      </c>
      <c r="F1268" t="s">
        <v>2384</v>
      </c>
      <c r="G1268" t="s">
        <v>945</v>
      </c>
      <c r="H1268" s="10">
        <v>17449</v>
      </c>
      <c r="I1268" t="str">
        <f>IFERROR(VLOOKUP(Final!F1268,'LEAID Match'!$A$2:$B$374,2,FALSE),"")</f>
        <v/>
      </c>
      <c r="K1268" s="10">
        <f t="shared" si="19"/>
        <v>17449</v>
      </c>
    </row>
    <row r="1269" spans="1:11">
      <c r="A1269" t="s">
        <v>2470</v>
      </c>
      <c r="B1269" s="10">
        <v>2016</v>
      </c>
      <c r="C1269" t="s">
        <v>1000</v>
      </c>
      <c r="D1269" t="s">
        <v>2472</v>
      </c>
      <c r="E1269" t="s">
        <v>2474</v>
      </c>
      <c r="F1269" t="s">
        <v>2384</v>
      </c>
      <c r="G1269" t="s">
        <v>945</v>
      </c>
      <c r="H1269" s="10">
        <v>17954</v>
      </c>
      <c r="I1269" t="str">
        <f>IFERROR(VLOOKUP(Final!F1269,'LEAID Match'!$A$2:$B$374,2,FALSE),"")</f>
        <v/>
      </c>
      <c r="K1269" s="10">
        <f t="shared" si="19"/>
        <v>17954</v>
      </c>
    </row>
    <row r="1270" spans="1:11">
      <c r="A1270" t="s">
        <v>2470</v>
      </c>
      <c r="B1270" s="10">
        <v>2017</v>
      </c>
      <c r="C1270" t="s">
        <v>1000</v>
      </c>
      <c r="D1270" t="s">
        <v>2472</v>
      </c>
      <c r="E1270" t="s">
        <v>2474</v>
      </c>
      <c r="F1270" t="s">
        <v>2384</v>
      </c>
      <c r="G1270" t="s">
        <v>1887</v>
      </c>
      <c r="H1270" s="10">
        <v>19192</v>
      </c>
      <c r="I1270" t="str">
        <f>IFERROR(VLOOKUP(Final!F1270,'LEAID Match'!$A$2:$B$374,2,FALSE),"")</f>
        <v/>
      </c>
      <c r="K1270" s="10">
        <f t="shared" si="19"/>
        <v>19192</v>
      </c>
    </row>
    <row r="1271" spans="1:11">
      <c r="A1271" t="s">
        <v>2470</v>
      </c>
      <c r="B1271" s="10">
        <v>2018</v>
      </c>
      <c r="C1271" t="s">
        <v>1000</v>
      </c>
      <c r="D1271" t="s">
        <v>2472</v>
      </c>
      <c r="E1271" t="s">
        <v>2474</v>
      </c>
      <c r="F1271" t="s">
        <v>2384</v>
      </c>
      <c r="G1271" t="s">
        <v>2284</v>
      </c>
      <c r="H1271" s="10">
        <v>19988</v>
      </c>
      <c r="I1271" t="str">
        <f>IFERROR(VLOOKUP(Final!F1271,'LEAID Match'!$A$2:$B$374,2,FALSE),"")</f>
        <v/>
      </c>
      <c r="K1271" s="10">
        <f t="shared" si="19"/>
        <v>19988</v>
      </c>
    </row>
    <row r="1272" spans="1:11">
      <c r="A1272" t="s">
        <v>2470</v>
      </c>
      <c r="B1272" s="10">
        <v>2019</v>
      </c>
      <c r="C1272" t="s">
        <v>1000</v>
      </c>
      <c r="D1272" t="s">
        <v>2472</v>
      </c>
      <c r="E1272" t="s">
        <v>2474</v>
      </c>
      <c r="F1272" t="s">
        <v>2384</v>
      </c>
      <c r="G1272" t="s">
        <v>2384</v>
      </c>
      <c r="H1272" s="10">
        <v>21116</v>
      </c>
      <c r="I1272" t="str">
        <f>IFERROR(VLOOKUP(Final!F1272,'LEAID Match'!$A$2:$B$374,2,FALSE),"")</f>
        <v/>
      </c>
      <c r="K1272" s="10">
        <f t="shared" si="19"/>
        <v>21116</v>
      </c>
    </row>
    <row r="1273" spans="1:11">
      <c r="A1273" t="s">
        <v>2470</v>
      </c>
      <c r="B1273" s="10">
        <v>2020</v>
      </c>
      <c r="C1273" t="s">
        <v>1000</v>
      </c>
      <c r="D1273" t="s">
        <v>2472</v>
      </c>
      <c r="E1273" t="s">
        <v>2474</v>
      </c>
      <c r="F1273" t="s">
        <v>2384</v>
      </c>
      <c r="G1273" t="s">
        <v>2417</v>
      </c>
      <c r="H1273" s="10">
        <v>23948</v>
      </c>
      <c r="I1273" t="str">
        <f>IFERROR(VLOOKUP(Final!F1273,'LEAID Match'!$A$2:$B$374,2,FALSE),"")</f>
        <v/>
      </c>
      <c r="K1273" s="10">
        <f t="shared" si="19"/>
        <v>23948</v>
      </c>
    </row>
    <row r="1274" spans="1:11">
      <c r="A1274" t="s">
        <v>2470</v>
      </c>
      <c r="B1274" s="10">
        <v>2021</v>
      </c>
      <c r="C1274" t="s">
        <v>1000</v>
      </c>
      <c r="D1274" t="s">
        <v>2472</v>
      </c>
      <c r="E1274" t="s">
        <v>2474</v>
      </c>
      <c r="F1274" t="s">
        <v>2384</v>
      </c>
      <c r="G1274" t="s">
        <v>2384</v>
      </c>
      <c r="H1274" s="10">
        <v>15228</v>
      </c>
      <c r="I1274" t="str">
        <f>IFERROR(VLOOKUP(Final!F1274,'LEAID Match'!$A$2:$B$374,2,FALSE),"")</f>
        <v/>
      </c>
      <c r="K1274" s="10">
        <f t="shared" si="19"/>
        <v>15228</v>
      </c>
    </row>
    <row r="1275" spans="1:11">
      <c r="A1275" t="s">
        <v>2470</v>
      </c>
      <c r="B1275" s="10">
        <v>2022</v>
      </c>
      <c r="C1275" t="s">
        <v>1000</v>
      </c>
      <c r="D1275" t="s">
        <v>2472</v>
      </c>
      <c r="E1275" t="s">
        <v>2474</v>
      </c>
      <c r="F1275" t="s">
        <v>2384</v>
      </c>
      <c r="G1275" t="s">
        <v>2384</v>
      </c>
      <c r="H1275" s="10">
        <v>21269</v>
      </c>
      <c r="I1275" t="str">
        <f>IFERROR(VLOOKUP(Final!F1275,'LEAID Match'!$A$2:$B$374,2,FALSE),"")</f>
        <v/>
      </c>
      <c r="K1275" s="10">
        <f t="shared" si="19"/>
        <v>21269</v>
      </c>
    </row>
    <row r="1276" spans="1:11">
      <c r="A1276" t="s">
        <v>2470</v>
      </c>
      <c r="B1276" s="10">
        <v>2023</v>
      </c>
      <c r="C1276" t="s">
        <v>1000</v>
      </c>
      <c r="D1276" t="s">
        <v>2472</v>
      </c>
      <c r="E1276" t="s">
        <v>2474</v>
      </c>
      <c r="F1276" t="s">
        <v>2384</v>
      </c>
      <c r="G1276" t="s">
        <v>2384</v>
      </c>
      <c r="H1276" s="10">
        <v>20343</v>
      </c>
      <c r="I1276" t="str">
        <f>IFERROR(VLOOKUP(Final!F1276,'LEAID Match'!$A$2:$B$374,2,FALSE),"")</f>
        <v/>
      </c>
      <c r="K1276" s="10">
        <f t="shared" si="19"/>
        <v>20343</v>
      </c>
    </row>
    <row r="1277" spans="1:11">
      <c r="A1277">
        <v>402740</v>
      </c>
      <c r="B1277" s="10">
        <v>2015</v>
      </c>
      <c r="C1277" t="s">
        <v>790</v>
      </c>
      <c r="D1277" t="s">
        <v>2472</v>
      </c>
      <c r="E1277" t="s">
        <v>2474</v>
      </c>
      <c r="F1277" t="s">
        <v>1801</v>
      </c>
      <c r="G1277" t="s">
        <v>735</v>
      </c>
      <c r="H1277" s="10">
        <v>292695</v>
      </c>
      <c r="I1277">
        <f>IFERROR(VLOOKUP(Final!F1277,'LEAID Match'!$A$2:$B$374,2,FALSE),"")</f>
        <v>402740</v>
      </c>
      <c r="K1277" s="10">
        <f t="shared" si="19"/>
        <v>292695</v>
      </c>
    </row>
    <row r="1278" spans="1:11">
      <c r="A1278">
        <v>402740</v>
      </c>
      <c r="B1278" s="10">
        <v>2016</v>
      </c>
      <c r="C1278" t="s">
        <v>790</v>
      </c>
      <c r="D1278" t="s">
        <v>2472</v>
      </c>
      <c r="E1278" t="s">
        <v>2474</v>
      </c>
      <c r="F1278" t="s">
        <v>1801</v>
      </c>
      <c r="G1278" t="s">
        <v>735</v>
      </c>
      <c r="H1278" s="10">
        <v>272585</v>
      </c>
      <c r="I1278">
        <f>IFERROR(VLOOKUP(Final!F1278,'LEAID Match'!$A$2:$B$374,2,FALSE),"")</f>
        <v>402740</v>
      </c>
      <c r="K1278" s="10">
        <f t="shared" si="19"/>
        <v>272585</v>
      </c>
    </row>
    <row r="1279" spans="1:11">
      <c r="A1279">
        <v>402740</v>
      </c>
      <c r="B1279" s="10">
        <v>2017</v>
      </c>
      <c r="C1279" t="s">
        <v>790</v>
      </c>
      <c r="D1279" t="s">
        <v>2472</v>
      </c>
      <c r="E1279" t="s">
        <v>2474</v>
      </c>
      <c r="F1279" t="s">
        <v>1801</v>
      </c>
      <c r="G1279" t="s">
        <v>1801</v>
      </c>
      <c r="H1279" s="10">
        <v>288820</v>
      </c>
      <c r="I1279">
        <f>IFERROR(VLOOKUP(Final!F1279,'LEAID Match'!$A$2:$B$374,2,FALSE),"")</f>
        <v>402740</v>
      </c>
      <c r="K1279" s="10">
        <f t="shared" si="19"/>
        <v>288820</v>
      </c>
    </row>
    <row r="1280" spans="1:11">
      <c r="A1280">
        <v>402740</v>
      </c>
      <c r="B1280" s="10">
        <v>2018</v>
      </c>
      <c r="C1280" t="s">
        <v>790</v>
      </c>
      <c r="D1280" t="s">
        <v>2472</v>
      </c>
      <c r="E1280" t="s">
        <v>2474</v>
      </c>
      <c r="F1280" t="s">
        <v>1801</v>
      </c>
      <c r="G1280" t="s">
        <v>2234</v>
      </c>
      <c r="H1280" s="10">
        <v>237689</v>
      </c>
      <c r="I1280">
        <f>IFERROR(VLOOKUP(Final!F1280,'LEAID Match'!$A$2:$B$374,2,FALSE),"")</f>
        <v>402740</v>
      </c>
      <c r="K1280" s="10">
        <f t="shared" si="19"/>
        <v>237689</v>
      </c>
    </row>
    <row r="1281" spans="1:11">
      <c r="A1281">
        <v>402740</v>
      </c>
      <c r="B1281" s="10">
        <v>2019</v>
      </c>
      <c r="C1281" t="s">
        <v>790</v>
      </c>
      <c r="D1281" t="s">
        <v>2472</v>
      </c>
      <c r="E1281" t="s">
        <v>2474</v>
      </c>
      <c r="F1281" t="s">
        <v>1801</v>
      </c>
      <c r="G1281" t="s">
        <v>1801</v>
      </c>
      <c r="H1281" s="10"/>
      <c r="I1281">
        <f>IFERROR(VLOOKUP(Final!F1281,'LEAID Match'!$A$2:$B$374,2,FALSE),"")</f>
        <v>402740</v>
      </c>
      <c r="K1281" s="10">
        <f t="shared" si="19"/>
        <v>0</v>
      </c>
    </row>
    <row r="1282" spans="1:11">
      <c r="A1282">
        <v>402740</v>
      </c>
      <c r="B1282" s="10">
        <v>2020</v>
      </c>
      <c r="C1282" t="s">
        <v>790</v>
      </c>
      <c r="D1282" t="s">
        <v>2472</v>
      </c>
      <c r="E1282" t="s">
        <v>2474</v>
      </c>
      <c r="F1282" t="s">
        <v>1801</v>
      </c>
      <c r="G1282" t="s">
        <v>1801</v>
      </c>
      <c r="H1282" s="10"/>
      <c r="I1282">
        <f>IFERROR(VLOOKUP(Final!F1282,'LEAID Match'!$A$2:$B$374,2,FALSE),"")</f>
        <v>402740</v>
      </c>
      <c r="K1282" s="10">
        <f t="shared" si="19"/>
        <v>0</v>
      </c>
    </row>
    <row r="1283" spans="1:11">
      <c r="A1283">
        <v>402740</v>
      </c>
      <c r="B1283" s="10">
        <v>2021</v>
      </c>
      <c r="C1283" t="s">
        <v>790</v>
      </c>
      <c r="D1283" t="s">
        <v>2472</v>
      </c>
      <c r="E1283" t="s">
        <v>2474</v>
      </c>
      <c r="F1283" t="s">
        <v>1801</v>
      </c>
      <c r="G1283" t="s">
        <v>1801</v>
      </c>
      <c r="H1283" s="10"/>
      <c r="I1283">
        <f>IFERROR(VLOOKUP(Final!F1283,'LEAID Match'!$A$2:$B$374,2,FALSE),"")</f>
        <v>402740</v>
      </c>
      <c r="K1283" s="10">
        <f t="shared" ref="K1283:K1346" si="20">SUM(H1283,J1283)</f>
        <v>0</v>
      </c>
    </row>
    <row r="1284" spans="1:11">
      <c r="A1284">
        <v>402740</v>
      </c>
      <c r="B1284" s="10">
        <v>2022</v>
      </c>
      <c r="C1284" t="s">
        <v>790</v>
      </c>
      <c r="D1284" t="s">
        <v>2472</v>
      </c>
      <c r="E1284" t="s">
        <v>2474</v>
      </c>
      <c r="F1284" t="s">
        <v>1801</v>
      </c>
      <c r="G1284" t="s">
        <v>1801</v>
      </c>
      <c r="H1284" s="10"/>
      <c r="I1284">
        <f>IFERROR(VLOOKUP(Final!F1284,'LEAID Match'!$A$2:$B$374,2,FALSE),"")</f>
        <v>402740</v>
      </c>
      <c r="K1284" s="10">
        <f t="shared" si="20"/>
        <v>0</v>
      </c>
    </row>
    <row r="1285" spans="1:11">
      <c r="A1285">
        <v>402740</v>
      </c>
      <c r="B1285" s="10">
        <v>2023</v>
      </c>
      <c r="C1285" t="s">
        <v>790</v>
      </c>
      <c r="D1285" t="s">
        <v>2472</v>
      </c>
      <c r="E1285" t="s">
        <v>2474</v>
      </c>
      <c r="F1285" t="s">
        <v>1801</v>
      </c>
      <c r="G1285" t="s">
        <v>1801</v>
      </c>
      <c r="H1285" s="10"/>
      <c r="I1285">
        <f>IFERROR(VLOOKUP(Final!F1285,'LEAID Match'!$A$2:$B$374,2,FALSE),"")</f>
        <v>402740</v>
      </c>
      <c r="K1285" s="10">
        <f t="shared" si="20"/>
        <v>0</v>
      </c>
    </row>
    <row r="1286" spans="1:11">
      <c r="A1286" t="s">
        <v>2470</v>
      </c>
      <c r="B1286" s="10">
        <v>2015</v>
      </c>
      <c r="C1286" t="s">
        <v>787</v>
      </c>
      <c r="D1286" t="s">
        <v>2472</v>
      </c>
      <c r="E1286" t="s">
        <v>2474</v>
      </c>
      <c r="F1286" t="s">
        <v>732</v>
      </c>
      <c r="G1286" t="s">
        <v>732</v>
      </c>
      <c r="H1286" s="10">
        <v>51582281</v>
      </c>
      <c r="I1286" t="str">
        <f>IFERROR(VLOOKUP(Final!F1286,'LEAID Match'!$A$2:$B$374,2,FALSE),"")</f>
        <v/>
      </c>
      <c r="K1286" s="10">
        <f t="shared" si="20"/>
        <v>51582281</v>
      </c>
    </row>
    <row r="1287" spans="1:11">
      <c r="A1287" t="s">
        <v>2470</v>
      </c>
      <c r="B1287" s="10">
        <v>2016</v>
      </c>
      <c r="C1287" t="s">
        <v>787</v>
      </c>
      <c r="D1287" t="s">
        <v>2472</v>
      </c>
      <c r="E1287" t="s">
        <v>2474</v>
      </c>
      <c r="F1287" t="s">
        <v>732</v>
      </c>
      <c r="G1287" t="s">
        <v>732</v>
      </c>
      <c r="H1287" s="10">
        <v>51488515</v>
      </c>
      <c r="I1287" t="str">
        <f>IFERROR(VLOOKUP(Final!F1287,'LEAID Match'!$A$2:$B$374,2,FALSE),"")</f>
        <v/>
      </c>
      <c r="K1287" s="10">
        <f t="shared" si="20"/>
        <v>51488515</v>
      </c>
    </row>
    <row r="1288" spans="1:11">
      <c r="A1288" t="s">
        <v>2470</v>
      </c>
      <c r="B1288" s="10">
        <v>2017</v>
      </c>
      <c r="C1288" t="s">
        <v>787</v>
      </c>
      <c r="D1288" t="s">
        <v>2472</v>
      </c>
      <c r="E1288" t="s">
        <v>2474</v>
      </c>
      <c r="F1288" t="s">
        <v>732</v>
      </c>
      <c r="G1288" t="s">
        <v>732</v>
      </c>
      <c r="H1288" s="10">
        <v>51581009</v>
      </c>
      <c r="I1288" t="str">
        <f>IFERROR(VLOOKUP(Final!F1288,'LEAID Match'!$A$2:$B$374,2,FALSE),"")</f>
        <v/>
      </c>
      <c r="K1288" s="10">
        <f t="shared" si="20"/>
        <v>51581009</v>
      </c>
    </row>
    <row r="1289" spans="1:11">
      <c r="A1289" t="s">
        <v>2470</v>
      </c>
      <c r="B1289" s="10">
        <v>2018</v>
      </c>
      <c r="C1289" t="s">
        <v>787</v>
      </c>
      <c r="D1289" t="s">
        <v>2472</v>
      </c>
      <c r="E1289" t="s">
        <v>2474</v>
      </c>
      <c r="F1289" t="s">
        <v>732</v>
      </c>
      <c r="G1289" t="s">
        <v>732</v>
      </c>
      <c r="H1289" s="10">
        <v>52816124</v>
      </c>
      <c r="I1289" t="str">
        <f>IFERROR(VLOOKUP(Final!F1289,'LEAID Match'!$A$2:$B$374,2,FALSE),"")</f>
        <v/>
      </c>
      <c r="K1289" s="10">
        <f t="shared" si="20"/>
        <v>52816124</v>
      </c>
    </row>
    <row r="1290" spans="1:11">
      <c r="A1290" t="s">
        <v>2470</v>
      </c>
      <c r="B1290" s="10">
        <v>2019</v>
      </c>
      <c r="C1290" t="s">
        <v>787</v>
      </c>
      <c r="D1290" t="s">
        <v>2472</v>
      </c>
      <c r="E1290" t="s">
        <v>2474</v>
      </c>
      <c r="F1290" t="s">
        <v>732</v>
      </c>
      <c r="G1290" t="s">
        <v>732</v>
      </c>
      <c r="H1290" s="10">
        <v>59505050</v>
      </c>
      <c r="I1290" t="str">
        <f>IFERROR(VLOOKUP(Final!F1290,'LEAID Match'!$A$2:$B$374,2,FALSE),"")</f>
        <v/>
      </c>
      <c r="K1290" s="10">
        <f t="shared" si="20"/>
        <v>59505050</v>
      </c>
    </row>
    <row r="1291" spans="1:11">
      <c r="A1291" t="s">
        <v>2470</v>
      </c>
      <c r="B1291" s="10">
        <v>2020</v>
      </c>
      <c r="C1291" t="s">
        <v>787</v>
      </c>
      <c r="D1291" t="s">
        <v>2472</v>
      </c>
      <c r="E1291" t="s">
        <v>2474</v>
      </c>
      <c r="F1291" t="s">
        <v>732</v>
      </c>
      <c r="G1291" t="s">
        <v>732</v>
      </c>
      <c r="H1291" s="10">
        <v>61737122</v>
      </c>
      <c r="I1291" t="str">
        <f>IFERROR(VLOOKUP(Final!F1291,'LEAID Match'!$A$2:$B$374,2,FALSE),"")</f>
        <v/>
      </c>
      <c r="K1291" s="10">
        <f t="shared" si="20"/>
        <v>61737122</v>
      </c>
    </row>
    <row r="1292" spans="1:11">
      <c r="A1292" t="s">
        <v>2470</v>
      </c>
      <c r="B1292" s="10">
        <v>2021</v>
      </c>
      <c r="C1292" t="s">
        <v>787</v>
      </c>
      <c r="D1292" t="s">
        <v>2472</v>
      </c>
      <c r="E1292" t="s">
        <v>2474</v>
      </c>
      <c r="F1292" t="s">
        <v>732</v>
      </c>
      <c r="G1292" t="s">
        <v>732</v>
      </c>
      <c r="H1292" s="10">
        <v>65592096</v>
      </c>
      <c r="I1292" t="str">
        <f>IFERROR(VLOOKUP(Final!F1292,'LEAID Match'!$A$2:$B$374,2,FALSE),"")</f>
        <v/>
      </c>
      <c r="K1292" s="10">
        <f t="shared" si="20"/>
        <v>65592096</v>
      </c>
    </row>
    <row r="1293" spans="1:11">
      <c r="A1293" t="s">
        <v>2470</v>
      </c>
      <c r="B1293" s="10">
        <v>2022</v>
      </c>
      <c r="C1293" t="s">
        <v>787</v>
      </c>
      <c r="D1293" t="s">
        <v>2472</v>
      </c>
      <c r="E1293" t="s">
        <v>2474</v>
      </c>
      <c r="F1293" t="s">
        <v>732</v>
      </c>
      <c r="G1293" t="s">
        <v>732</v>
      </c>
      <c r="H1293" s="10">
        <v>69045858</v>
      </c>
      <c r="I1293" t="str">
        <f>IFERROR(VLOOKUP(Final!F1293,'LEAID Match'!$A$2:$B$374,2,FALSE),"")</f>
        <v/>
      </c>
      <c r="K1293" s="10">
        <f t="shared" si="20"/>
        <v>69045858</v>
      </c>
    </row>
    <row r="1294" spans="1:11">
      <c r="A1294" t="s">
        <v>2470</v>
      </c>
      <c r="B1294" s="10">
        <v>2023</v>
      </c>
      <c r="C1294" t="s">
        <v>787</v>
      </c>
      <c r="D1294" t="s">
        <v>2472</v>
      </c>
      <c r="E1294" t="s">
        <v>2474</v>
      </c>
      <c r="F1294" t="s">
        <v>732</v>
      </c>
      <c r="G1294" t="s">
        <v>732</v>
      </c>
      <c r="H1294" s="10">
        <v>78066770</v>
      </c>
      <c r="I1294" t="str">
        <f>IFERROR(VLOOKUP(Final!F1294,'LEAID Match'!$A$2:$B$374,2,FALSE),"")</f>
        <v/>
      </c>
      <c r="K1294" s="10">
        <f t="shared" si="20"/>
        <v>78066770</v>
      </c>
    </row>
    <row r="1295" spans="1:11">
      <c r="A1295">
        <v>400201</v>
      </c>
      <c r="B1295" s="10">
        <v>2015</v>
      </c>
      <c r="C1295" t="s">
        <v>991</v>
      </c>
      <c r="D1295" t="s">
        <v>2472</v>
      </c>
      <c r="E1295" t="s">
        <v>2474</v>
      </c>
      <c r="F1295" t="s">
        <v>936</v>
      </c>
      <c r="G1295" t="s">
        <v>936</v>
      </c>
      <c r="H1295" s="10">
        <v>25097541</v>
      </c>
      <c r="I1295">
        <f>IFERROR(VLOOKUP(Final!F1295,'LEAID Match'!$A$2:$B$374,2,FALSE),"")</f>
        <v>400201</v>
      </c>
      <c r="K1295" s="10">
        <f t="shared" si="20"/>
        <v>25097541</v>
      </c>
    </row>
    <row r="1296" spans="1:11">
      <c r="A1296">
        <v>400201</v>
      </c>
      <c r="B1296" s="10">
        <v>2016</v>
      </c>
      <c r="C1296" t="s">
        <v>991</v>
      </c>
      <c r="D1296" t="s">
        <v>2472</v>
      </c>
      <c r="E1296" t="s">
        <v>2474</v>
      </c>
      <c r="F1296" t="s">
        <v>936</v>
      </c>
      <c r="G1296" t="s">
        <v>936</v>
      </c>
      <c r="H1296" s="10">
        <v>24633689</v>
      </c>
      <c r="I1296">
        <f>IFERROR(VLOOKUP(Final!F1296,'LEAID Match'!$A$2:$B$374,2,FALSE),"")</f>
        <v>400201</v>
      </c>
      <c r="K1296" s="10">
        <f t="shared" si="20"/>
        <v>24633689</v>
      </c>
    </row>
    <row r="1297" spans="1:11">
      <c r="A1297">
        <v>400201</v>
      </c>
      <c r="B1297" s="10">
        <v>2017</v>
      </c>
      <c r="C1297" t="s">
        <v>991</v>
      </c>
      <c r="D1297" t="s">
        <v>2472</v>
      </c>
      <c r="E1297" t="s">
        <v>2474</v>
      </c>
      <c r="F1297" t="s">
        <v>936</v>
      </c>
      <c r="G1297" t="s">
        <v>936</v>
      </c>
      <c r="H1297" s="10">
        <v>25209381</v>
      </c>
      <c r="I1297">
        <f>IFERROR(VLOOKUP(Final!F1297,'LEAID Match'!$A$2:$B$374,2,FALSE),"")</f>
        <v>400201</v>
      </c>
      <c r="K1297" s="10">
        <f t="shared" si="20"/>
        <v>25209381</v>
      </c>
    </row>
    <row r="1298" spans="1:11">
      <c r="A1298">
        <v>400201</v>
      </c>
      <c r="B1298" s="10">
        <v>2018</v>
      </c>
      <c r="C1298" t="s">
        <v>991</v>
      </c>
      <c r="D1298" t="s">
        <v>2472</v>
      </c>
      <c r="E1298" t="s">
        <v>2474</v>
      </c>
      <c r="F1298" t="s">
        <v>936</v>
      </c>
      <c r="G1298" t="s">
        <v>936</v>
      </c>
      <c r="H1298" s="10">
        <v>25446620</v>
      </c>
      <c r="I1298">
        <f>IFERROR(VLOOKUP(Final!F1298,'LEAID Match'!$A$2:$B$374,2,FALSE),"")</f>
        <v>400201</v>
      </c>
      <c r="K1298" s="10">
        <f t="shared" si="20"/>
        <v>25446620</v>
      </c>
    </row>
    <row r="1299" spans="1:11">
      <c r="A1299">
        <v>400201</v>
      </c>
      <c r="B1299" s="10">
        <v>2019</v>
      </c>
      <c r="C1299" t="s">
        <v>991</v>
      </c>
      <c r="D1299" t="s">
        <v>2472</v>
      </c>
      <c r="E1299" t="s">
        <v>2474</v>
      </c>
      <c r="F1299" t="s">
        <v>936</v>
      </c>
      <c r="G1299" t="s">
        <v>936</v>
      </c>
      <c r="H1299" s="10">
        <v>26817519</v>
      </c>
      <c r="I1299">
        <f>IFERROR(VLOOKUP(Final!F1299,'LEAID Match'!$A$2:$B$374,2,FALSE),"")</f>
        <v>400201</v>
      </c>
      <c r="K1299" s="10">
        <f t="shared" si="20"/>
        <v>26817519</v>
      </c>
    </row>
    <row r="1300" spans="1:11">
      <c r="A1300">
        <v>400201</v>
      </c>
      <c r="B1300" s="10">
        <v>2020</v>
      </c>
      <c r="C1300" t="s">
        <v>991</v>
      </c>
      <c r="D1300" t="s">
        <v>2472</v>
      </c>
      <c r="E1300" t="s">
        <v>2474</v>
      </c>
      <c r="F1300" t="s">
        <v>936</v>
      </c>
      <c r="G1300" t="s">
        <v>936</v>
      </c>
      <c r="H1300" s="10">
        <v>28146675</v>
      </c>
      <c r="I1300">
        <f>IFERROR(VLOOKUP(Final!F1300,'LEAID Match'!$A$2:$B$374,2,FALSE),"")</f>
        <v>400201</v>
      </c>
      <c r="K1300" s="10">
        <f t="shared" si="20"/>
        <v>28146675</v>
      </c>
    </row>
    <row r="1301" spans="1:11">
      <c r="A1301">
        <v>400201</v>
      </c>
      <c r="B1301" s="10">
        <v>2021</v>
      </c>
      <c r="C1301" t="s">
        <v>991</v>
      </c>
      <c r="D1301" t="s">
        <v>2472</v>
      </c>
      <c r="E1301" t="s">
        <v>2474</v>
      </c>
      <c r="F1301" t="s">
        <v>936</v>
      </c>
      <c r="G1301" t="s">
        <v>936</v>
      </c>
      <c r="H1301" s="10">
        <v>28183595</v>
      </c>
      <c r="I1301">
        <f>IFERROR(VLOOKUP(Final!F1301,'LEAID Match'!$A$2:$B$374,2,FALSE),"")</f>
        <v>400201</v>
      </c>
      <c r="K1301" s="10">
        <f t="shared" si="20"/>
        <v>28183595</v>
      </c>
    </row>
    <row r="1302" spans="1:11">
      <c r="A1302">
        <v>400201</v>
      </c>
      <c r="B1302" s="10">
        <v>2022</v>
      </c>
      <c r="C1302" t="s">
        <v>991</v>
      </c>
      <c r="D1302" t="s">
        <v>2472</v>
      </c>
      <c r="E1302" t="s">
        <v>2474</v>
      </c>
      <c r="F1302" t="s">
        <v>936</v>
      </c>
      <c r="G1302" t="s">
        <v>936</v>
      </c>
      <c r="H1302" s="10">
        <v>30167635</v>
      </c>
      <c r="I1302">
        <f>IFERROR(VLOOKUP(Final!F1302,'LEAID Match'!$A$2:$B$374,2,FALSE),"")</f>
        <v>400201</v>
      </c>
      <c r="K1302" s="10">
        <f t="shared" si="20"/>
        <v>30167635</v>
      </c>
    </row>
    <row r="1303" spans="1:11">
      <c r="A1303">
        <v>400201</v>
      </c>
      <c r="B1303" s="10">
        <v>2023</v>
      </c>
      <c r="C1303" t="s">
        <v>991</v>
      </c>
      <c r="D1303" t="s">
        <v>2472</v>
      </c>
      <c r="E1303" t="s">
        <v>2474</v>
      </c>
      <c r="F1303" t="s">
        <v>936</v>
      </c>
      <c r="G1303" t="s">
        <v>936</v>
      </c>
      <c r="H1303" s="10">
        <v>32533825</v>
      </c>
      <c r="I1303">
        <f>IFERROR(VLOOKUP(Final!F1303,'LEAID Match'!$A$2:$B$374,2,FALSE),"")</f>
        <v>400201</v>
      </c>
      <c r="K1303" s="10">
        <f t="shared" si="20"/>
        <v>32533825</v>
      </c>
    </row>
    <row r="1304" spans="1:11">
      <c r="A1304" t="s">
        <v>2470</v>
      </c>
      <c r="B1304" s="10">
        <v>2015</v>
      </c>
      <c r="C1304" t="s">
        <v>1002</v>
      </c>
      <c r="D1304" t="s">
        <v>2472</v>
      </c>
      <c r="E1304" t="s">
        <v>2474</v>
      </c>
      <c r="F1304" t="s">
        <v>947</v>
      </c>
      <c r="G1304" t="s">
        <v>947</v>
      </c>
      <c r="H1304" s="10">
        <v>6924153</v>
      </c>
      <c r="I1304" t="str">
        <f>IFERROR(VLOOKUP(Final!F1304,'LEAID Match'!$A$2:$B$374,2,FALSE),"")</f>
        <v/>
      </c>
      <c r="K1304" s="10">
        <f t="shared" si="20"/>
        <v>6924153</v>
      </c>
    </row>
    <row r="1305" spans="1:11">
      <c r="A1305" t="s">
        <v>2470</v>
      </c>
      <c r="B1305" s="10">
        <v>2016</v>
      </c>
      <c r="C1305" t="s">
        <v>1002</v>
      </c>
      <c r="D1305" t="s">
        <v>2472</v>
      </c>
      <c r="E1305" t="s">
        <v>2474</v>
      </c>
      <c r="F1305" t="s">
        <v>947</v>
      </c>
      <c r="G1305" t="s">
        <v>947</v>
      </c>
      <c r="H1305" s="10">
        <v>6872500</v>
      </c>
      <c r="I1305" t="str">
        <f>IFERROR(VLOOKUP(Final!F1305,'LEAID Match'!$A$2:$B$374,2,FALSE),"")</f>
        <v/>
      </c>
      <c r="K1305" s="10">
        <f t="shared" si="20"/>
        <v>6872500</v>
      </c>
    </row>
    <row r="1306" spans="1:11">
      <c r="A1306" t="s">
        <v>2470</v>
      </c>
      <c r="B1306" s="10">
        <v>2017</v>
      </c>
      <c r="C1306" t="s">
        <v>1002</v>
      </c>
      <c r="D1306" t="s">
        <v>2472</v>
      </c>
      <c r="E1306" t="s">
        <v>2474</v>
      </c>
      <c r="F1306" t="s">
        <v>947</v>
      </c>
      <c r="G1306" t="s">
        <v>947</v>
      </c>
      <c r="H1306" s="10">
        <v>6962419</v>
      </c>
      <c r="I1306" t="str">
        <f>IFERROR(VLOOKUP(Final!F1306,'LEAID Match'!$A$2:$B$374,2,FALSE),"")</f>
        <v/>
      </c>
      <c r="K1306" s="10">
        <f t="shared" si="20"/>
        <v>6962419</v>
      </c>
    </row>
    <row r="1307" spans="1:11">
      <c r="A1307" t="s">
        <v>2470</v>
      </c>
      <c r="B1307" s="10">
        <v>2018</v>
      </c>
      <c r="C1307" t="s">
        <v>1002</v>
      </c>
      <c r="D1307" t="s">
        <v>2472</v>
      </c>
      <c r="E1307" t="s">
        <v>2474</v>
      </c>
      <c r="F1307" t="s">
        <v>947</v>
      </c>
      <c r="G1307" t="s">
        <v>947</v>
      </c>
      <c r="H1307" s="10">
        <v>7605677</v>
      </c>
      <c r="I1307" t="str">
        <f>IFERROR(VLOOKUP(Final!F1307,'LEAID Match'!$A$2:$B$374,2,FALSE),"")</f>
        <v/>
      </c>
      <c r="K1307" s="10">
        <f t="shared" si="20"/>
        <v>7605677</v>
      </c>
    </row>
    <row r="1308" spans="1:11">
      <c r="A1308" t="s">
        <v>2470</v>
      </c>
      <c r="B1308" s="10">
        <v>2019</v>
      </c>
      <c r="C1308" t="s">
        <v>1002</v>
      </c>
      <c r="D1308" t="s">
        <v>2472</v>
      </c>
      <c r="E1308" t="s">
        <v>2474</v>
      </c>
      <c r="F1308" t="s">
        <v>947</v>
      </c>
      <c r="G1308" t="s">
        <v>947</v>
      </c>
      <c r="H1308" s="10">
        <v>7679394</v>
      </c>
      <c r="I1308" t="str">
        <f>IFERROR(VLOOKUP(Final!F1308,'LEAID Match'!$A$2:$B$374,2,FALSE),"")</f>
        <v/>
      </c>
      <c r="K1308" s="10">
        <f t="shared" si="20"/>
        <v>7679394</v>
      </c>
    </row>
    <row r="1309" spans="1:11">
      <c r="A1309" t="s">
        <v>2470</v>
      </c>
      <c r="B1309" s="10">
        <v>2020</v>
      </c>
      <c r="C1309" t="s">
        <v>1002</v>
      </c>
      <c r="D1309" t="s">
        <v>2472</v>
      </c>
      <c r="E1309" t="s">
        <v>2474</v>
      </c>
      <c r="F1309" t="s">
        <v>947</v>
      </c>
      <c r="G1309" t="s">
        <v>947</v>
      </c>
      <c r="H1309" s="10">
        <v>8114767</v>
      </c>
      <c r="I1309" t="str">
        <f>IFERROR(VLOOKUP(Final!F1309,'LEAID Match'!$A$2:$B$374,2,FALSE),"")</f>
        <v/>
      </c>
      <c r="K1309" s="10">
        <f t="shared" si="20"/>
        <v>8114767</v>
      </c>
    </row>
    <row r="1310" spans="1:11">
      <c r="A1310" t="s">
        <v>2470</v>
      </c>
      <c r="B1310" s="10">
        <v>2021</v>
      </c>
      <c r="C1310" t="s">
        <v>1002</v>
      </c>
      <c r="D1310" t="s">
        <v>2472</v>
      </c>
      <c r="E1310" t="s">
        <v>2474</v>
      </c>
      <c r="F1310" t="s">
        <v>947</v>
      </c>
      <c r="G1310" t="s">
        <v>947</v>
      </c>
      <c r="H1310" s="10">
        <v>8690140</v>
      </c>
      <c r="I1310" t="str">
        <f>IFERROR(VLOOKUP(Final!F1310,'LEAID Match'!$A$2:$B$374,2,FALSE),"")</f>
        <v/>
      </c>
      <c r="K1310" s="10">
        <f t="shared" si="20"/>
        <v>8690140</v>
      </c>
    </row>
    <row r="1311" spans="1:11">
      <c r="A1311" t="s">
        <v>2470</v>
      </c>
      <c r="B1311" s="10">
        <v>2022</v>
      </c>
      <c r="C1311" t="s">
        <v>1002</v>
      </c>
      <c r="D1311" t="s">
        <v>2472</v>
      </c>
      <c r="E1311" t="s">
        <v>2474</v>
      </c>
      <c r="F1311" t="s">
        <v>947</v>
      </c>
      <c r="G1311" t="s">
        <v>947</v>
      </c>
      <c r="H1311" s="10">
        <v>9606071</v>
      </c>
      <c r="I1311" t="str">
        <f>IFERROR(VLOOKUP(Final!F1311,'LEAID Match'!$A$2:$B$374,2,FALSE),"")</f>
        <v/>
      </c>
      <c r="K1311" s="10">
        <f t="shared" si="20"/>
        <v>9606071</v>
      </c>
    </row>
    <row r="1312" spans="1:11">
      <c r="A1312" t="s">
        <v>2470</v>
      </c>
      <c r="B1312" s="10">
        <v>2023</v>
      </c>
      <c r="C1312" t="s">
        <v>1002</v>
      </c>
      <c r="D1312" t="s">
        <v>2472</v>
      </c>
      <c r="E1312" t="s">
        <v>2474</v>
      </c>
      <c r="F1312" t="s">
        <v>947</v>
      </c>
      <c r="G1312" t="s">
        <v>947</v>
      </c>
      <c r="H1312" s="10">
        <v>10285019</v>
      </c>
      <c r="I1312" t="str">
        <f>IFERROR(VLOOKUP(Final!F1312,'LEAID Match'!$A$2:$B$374,2,FALSE),"")</f>
        <v/>
      </c>
      <c r="K1312" s="10">
        <f t="shared" si="20"/>
        <v>10285019</v>
      </c>
    </row>
    <row r="1313" spans="1:11">
      <c r="A1313" t="s">
        <v>2470</v>
      </c>
      <c r="B1313" s="10">
        <v>2015</v>
      </c>
      <c r="C1313" t="s">
        <v>786</v>
      </c>
      <c r="D1313" t="s">
        <v>2472</v>
      </c>
      <c r="E1313" t="s">
        <v>2474</v>
      </c>
      <c r="F1313" t="s">
        <v>2460</v>
      </c>
      <c r="G1313" t="s">
        <v>731</v>
      </c>
      <c r="H1313" s="10">
        <v>21548963</v>
      </c>
      <c r="I1313" t="str">
        <f>IFERROR(VLOOKUP(Final!F1313,'LEAID Match'!$A$2:$B$374,2,FALSE),"")</f>
        <v/>
      </c>
      <c r="K1313" s="10">
        <f t="shared" si="20"/>
        <v>21548963</v>
      </c>
    </row>
    <row r="1314" spans="1:11">
      <c r="A1314" t="s">
        <v>2470</v>
      </c>
      <c r="B1314" s="10">
        <v>2016</v>
      </c>
      <c r="C1314" t="s">
        <v>786</v>
      </c>
      <c r="D1314" t="s">
        <v>2472</v>
      </c>
      <c r="E1314" t="s">
        <v>2474</v>
      </c>
      <c r="F1314" t="s">
        <v>2460</v>
      </c>
      <c r="G1314" t="s">
        <v>731</v>
      </c>
      <c r="H1314" s="10">
        <v>21395807</v>
      </c>
      <c r="I1314" t="str">
        <f>IFERROR(VLOOKUP(Final!F1314,'LEAID Match'!$A$2:$B$374,2,FALSE),"")</f>
        <v/>
      </c>
      <c r="K1314" s="10">
        <f t="shared" si="20"/>
        <v>21395807</v>
      </c>
    </row>
    <row r="1315" spans="1:11">
      <c r="A1315" t="s">
        <v>2470</v>
      </c>
      <c r="B1315" s="10">
        <v>2017</v>
      </c>
      <c r="C1315" t="s">
        <v>786</v>
      </c>
      <c r="D1315" t="s">
        <v>2472</v>
      </c>
      <c r="E1315" t="s">
        <v>2474</v>
      </c>
      <c r="F1315" t="s">
        <v>2460</v>
      </c>
      <c r="G1315" t="s">
        <v>1798</v>
      </c>
      <c r="H1315" s="10">
        <v>20560829</v>
      </c>
      <c r="I1315" t="str">
        <f>IFERROR(VLOOKUP(Final!F1315,'LEAID Match'!$A$2:$B$374,2,FALSE),"")</f>
        <v/>
      </c>
      <c r="K1315" s="10">
        <f t="shared" si="20"/>
        <v>20560829</v>
      </c>
    </row>
    <row r="1316" spans="1:11">
      <c r="A1316" t="s">
        <v>2470</v>
      </c>
      <c r="B1316" s="10">
        <v>2018</v>
      </c>
      <c r="C1316" t="s">
        <v>786</v>
      </c>
      <c r="D1316" t="s">
        <v>2472</v>
      </c>
      <c r="E1316" t="s">
        <v>2474</v>
      </c>
      <c r="F1316" t="s">
        <v>2460</v>
      </c>
      <c r="G1316" t="s">
        <v>2232</v>
      </c>
      <c r="H1316" s="10">
        <v>23324022</v>
      </c>
      <c r="I1316" t="str">
        <f>IFERROR(VLOOKUP(Final!F1316,'LEAID Match'!$A$2:$B$374,2,FALSE),"")</f>
        <v/>
      </c>
      <c r="K1316" s="10">
        <f t="shared" si="20"/>
        <v>23324022</v>
      </c>
    </row>
    <row r="1317" spans="1:11">
      <c r="A1317" t="s">
        <v>2470</v>
      </c>
      <c r="B1317" s="10">
        <v>2019</v>
      </c>
      <c r="C1317" t="s">
        <v>786</v>
      </c>
      <c r="D1317" t="s">
        <v>2472</v>
      </c>
      <c r="E1317" t="s">
        <v>2474</v>
      </c>
      <c r="F1317" t="s">
        <v>2460</v>
      </c>
      <c r="G1317" t="s">
        <v>1798</v>
      </c>
      <c r="H1317" s="10">
        <v>25211355</v>
      </c>
      <c r="I1317" t="str">
        <f>IFERROR(VLOOKUP(Final!F1317,'LEAID Match'!$A$2:$B$374,2,FALSE),"")</f>
        <v/>
      </c>
      <c r="K1317" s="10">
        <f t="shared" si="20"/>
        <v>25211355</v>
      </c>
    </row>
    <row r="1318" spans="1:11">
      <c r="A1318" t="s">
        <v>2470</v>
      </c>
      <c r="B1318" s="10">
        <v>2020</v>
      </c>
      <c r="C1318" t="s">
        <v>786</v>
      </c>
      <c r="D1318" t="s">
        <v>2472</v>
      </c>
      <c r="E1318" t="s">
        <v>2474</v>
      </c>
      <c r="F1318" t="s">
        <v>2460</v>
      </c>
      <c r="G1318" t="s">
        <v>1798</v>
      </c>
      <c r="H1318" s="10">
        <v>28462823</v>
      </c>
      <c r="I1318" t="str">
        <f>IFERROR(VLOOKUP(Final!F1318,'LEAID Match'!$A$2:$B$374,2,FALSE),"")</f>
        <v/>
      </c>
      <c r="K1318" s="10">
        <f t="shared" si="20"/>
        <v>28462823</v>
      </c>
    </row>
    <row r="1319" spans="1:11">
      <c r="A1319" t="s">
        <v>2470</v>
      </c>
      <c r="B1319" s="10">
        <v>2021</v>
      </c>
      <c r="C1319" t="s">
        <v>786</v>
      </c>
      <c r="D1319" t="s">
        <v>2472</v>
      </c>
      <c r="E1319" t="s">
        <v>2474</v>
      </c>
      <c r="F1319" t="s">
        <v>2460</v>
      </c>
      <c r="G1319" t="s">
        <v>1798</v>
      </c>
      <c r="H1319" s="10">
        <v>29688539</v>
      </c>
      <c r="I1319" t="str">
        <f>IFERROR(VLOOKUP(Final!F1319,'LEAID Match'!$A$2:$B$374,2,FALSE),"")</f>
        <v/>
      </c>
      <c r="K1319" s="10">
        <f t="shared" si="20"/>
        <v>29688539</v>
      </c>
    </row>
    <row r="1320" spans="1:11">
      <c r="A1320" t="s">
        <v>2470</v>
      </c>
      <c r="B1320" s="10">
        <v>2022</v>
      </c>
      <c r="C1320" t="s">
        <v>786</v>
      </c>
      <c r="D1320" t="s">
        <v>2472</v>
      </c>
      <c r="E1320" t="s">
        <v>2474</v>
      </c>
      <c r="F1320" t="s">
        <v>2460</v>
      </c>
      <c r="G1320" t="s">
        <v>1798</v>
      </c>
      <c r="H1320" s="10">
        <v>32327927</v>
      </c>
      <c r="I1320" t="str">
        <f>IFERROR(VLOOKUP(Final!F1320,'LEAID Match'!$A$2:$B$374,2,FALSE),"")</f>
        <v/>
      </c>
      <c r="K1320" s="10">
        <f t="shared" si="20"/>
        <v>32327927</v>
      </c>
    </row>
    <row r="1321" spans="1:11">
      <c r="A1321" t="s">
        <v>2470</v>
      </c>
      <c r="B1321" s="10">
        <v>2023</v>
      </c>
      <c r="C1321" t="s">
        <v>786</v>
      </c>
      <c r="D1321" t="s">
        <v>2472</v>
      </c>
      <c r="E1321" t="s">
        <v>2474</v>
      </c>
      <c r="F1321" t="s">
        <v>2460</v>
      </c>
      <c r="G1321" t="s">
        <v>2460</v>
      </c>
      <c r="H1321" s="10">
        <v>34441696</v>
      </c>
      <c r="I1321" t="str">
        <f>IFERROR(VLOOKUP(Final!F1321,'LEAID Match'!$A$2:$B$374,2,FALSE),"")</f>
        <v/>
      </c>
      <c r="K1321" s="10">
        <f t="shared" si="20"/>
        <v>34441696</v>
      </c>
    </row>
    <row r="1322" spans="1:11">
      <c r="A1322" t="s">
        <v>2470</v>
      </c>
      <c r="B1322" s="10">
        <v>2015</v>
      </c>
      <c r="C1322" t="s">
        <v>382</v>
      </c>
      <c r="D1322" t="s">
        <v>2472</v>
      </c>
      <c r="E1322" t="s">
        <v>2474</v>
      </c>
      <c r="F1322" t="s">
        <v>1734</v>
      </c>
      <c r="G1322" t="s">
        <v>328</v>
      </c>
      <c r="H1322" s="10">
        <v>6070948</v>
      </c>
      <c r="I1322" t="str">
        <f>IFERROR(VLOOKUP(Final!F1322,'LEAID Match'!$A$2:$B$374,2,FALSE),"")</f>
        <v/>
      </c>
      <c r="K1322" s="10">
        <f t="shared" si="20"/>
        <v>6070948</v>
      </c>
    </row>
    <row r="1323" spans="1:11">
      <c r="A1323" t="s">
        <v>2470</v>
      </c>
      <c r="B1323" s="10">
        <v>2016</v>
      </c>
      <c r="C1323" t="s">
        <v>382</v>
      </c>
      <c r="D1323" t="s">
        <v>2472</v>
      </c>
      <c r="E1323" t="s">
        <v>2474</v>
      </c>
      <c r="F1323" t="s">
        <v>1734</v>
      </c>
      <c r="G1323" t="s">
        <v>328</v>
      </c>
      <c r="H1323" s="10">
        <v>6472067</v>
      </c>
      <c r="I1323" t="str">
        <f>IFERROR(VLOOKUP(Final!F1323,'LEAID Match'!$A$2:$B$374,2,FALSE),"")</f>
        <v/>
      </c>
      <c r="K1323" s="10">
        <f t="shared" si="20"/>
        <v>6472067</v>
      </c>
    </row>
    <row r="1324" spans="1:11">
      <c r="A1324" t="s">
        <v>2470</v>
      </c>
      <c r="B1324" s="10">
        <v>2017</v>
      </c>
      <c r="C1324" t="s">
        <v>382</v>
      </c>
      <c r="D1324" t="s">
        <v>2472</v>
      </c>
      <c r="E1324" t="s">
        <v>2474</v>
      </c>
      <c r="F1324" t="s">
        <v>1734</v>
      </c>
      <c r="G1324" t="s">
        <v>1734</v>
      </c>
      <c r="H1324" s="10">
        <v>7007003</v>
      </c>
      <c r="I1324" t="str">
        <f>IFERROR(VLOOKUP(Final!F1324,'LEAID Match'!$A$2:$B$374,2,FALSE),"")</f>
        <v/>
      </c>
      <c r="K1324" s="10">
        <f t="shared" si="20"/>
        <v>7007003</v>
      </c>
    </row>
    <row r="1325" spans="1:11">
      <c r="A1325" t="s">
        <v>2470</v>
      </c>
      <c r="B1325" s="10">
        <v>2018</v>
      </c>
      <c r="C1325" t="s">
        <v>382</v>
      </c>
      <c r="D1325" t="s">
        <v>2472</v>
      </c>
      <c r="E1325" t="s">
        <v>2474</v>
      </c>
      <c r="F1325" t="s">
        <v>1734</v>
      </c>
      <c r="G1325" t="s">
        <v>1734</v>
      </c>
      <c r="H1325" s="10">
        <v>7489055</v>
      </c>
      <c r="I1325" t="str">
        <f>IFERROR(VLOOKUP(Final!F1325,'LEAID Match'!$A$2:$B$374,2,FALSE),"")</f>
        <v/>
      </c>
      <c r="K1325" s="10">
        <f t="shared" si="20"/>
        <v>7489055</v>
      </c>
    </row>
    <row r="1326" spans="1:11">
      <c r="A1326" t="s">
        <v>2470</v>
      </c>
      <c r="B1326" s="10">
        <v>2019</v>
      </c>
      <c r="C1326" t="s">
        <v>382</v>
      </c>
      <c r="D1326" t="s">
        <v>2472</v>
      </c>
      <c r="E1326" t="s">
        <v>2474</v>
      </c>
      <c r="F1326" t="s">
        <v>1734</v>
      </c>
      <c r="G1326" t="s">
        <v>1734</v>
      </c>
      <c r="H1326" s="10">
        <v>7904238</v>
      </c>
      <c r="I1326" t="str">
        <f>IFERROR(VLOOKUP(Final!F1326,'LEAID Match'!$A$2:$B$374,2,FALSE),"")</f>
        <v/>
      </c>
      <c r="K1326" s="10">
        <f t="shared" si="20"/>
        <v>7904238</v>
      </c>
    </row>
    <row r="1327" spans="1:11">
      <c r="A1327" t="s">
        <v>2470</v>
      </c>
      <c r="B1327" s="10">
        <v>2020</v>
      </c>
      <c r="C1327" t="s">
        <v>382</v>
      </c>
      <c r="D1327" t="s">
        <v>2472</v>
      </c>
      <c r="E1327" t="s">
        <v>2474</v>
      </c>
      <c r="F1327" t="s">
        <v>1734</v>
      </c>
      <c r="G1327" t="s">
        <v>1734</v>
      </c>
      <c r="H1327" s="10">
        <v>8324861</v>
      </c>
      <c r="I1327" t="str">
        <f>IFERROR(VLOOKUP(Final!F1327,'LEAID Match'!$A$2:$B$374,2,FALSE),"")</f>
        <v/>
      </c>
      <c r="K1327" s="10">
        <f t="shared" si="20"/>
        <v>8324861</v>
      </c>
    </row>
    <row r="1328" spans="1:11">
      <c r="A1328" t="s">
        <v>2470</v>
      </c>
      <c r="B1328" s="10">
        <v>2021</v>
      </c>
      <c r="C1328" t="s">
        <v>382</v>
      </c>
      <c r="D1328" t="s">
        <v>2472</v>
      </c>
      <c r="E1328" t="s">
        <v>2474</v>
      </c>
      <c r="F1328" t="s">
        <v>1734</v>
      </c>
      <c r="G1328" t="s">
        <v>1734</v>
      </c>
      <c r="H1328" s="10">
        <v>8946418</v>
      </c>
      <c r="I1328" t="str">
        <f>IFERROR(VLOOKUP(Final!F1328,'LEAID Match'!$A$2:$B$374,2,FALSE),"")</f>
        <v/>
      </c>
      <c r="K1328" s="10">
        <f t="shared" si="20"/>
        <v>8946418</v>
      </c>
    </row>
    <row r="1329" spans="1:11">
      <c r="A1329" t="s">
        <v>2470</v>
      </c>
      <c r="B1329" s="10">
        <v>2022</v>
      </c>
      <c r="C1329" t="s">
        <v>382</v>
      </c>
      <c r="D1329" t="s">
        <v>2472</v>
      </c>
      <c r="E1329" t="s">
        <v>2474</v>
      </c>
      <c r="F1329" t="s">
        <v>1734</v>
      </c>
      <c r="G1329" t="s">
        <v>1734</v>
      </c>
      <c r="H1329" s="10">
        <v>9750555</v>
      </c>
      <c r="I1329" t="str">
        <f>IFERROR(VLOOKUP(Final!F1329,'LEAID Match'!$A$2:$B$374,2,FALSE),"")</f>
        <v/>
      </c>
      <c r="K1329" s="10">
        <f t="shared" si="20"/>
        <v>9750555</v>
      </c>
    </row>
    <row r="1330" spans="1:11">
      <c r="A1330" t="s">
        <v>2470</v>
      </c>
      <c r="B1330" s="10">
        <v>2023</v>
      </c>
      <c r="C1330" t="s">
        <v>382</v>
      </c>
      <c r="D1330" t="s">
        <v>2472</v>
      </c>
      <c r="E1330" t="s">
        <v>2474</v>
      </c>
      <c r="F1330" t="s">
        <v>1734</v>
      </c>
      <c r="G1330" t="s">
        <v>1734</v>
      </c>
      <c r="H1330" s="10">
        <v>10776634</v>
      </c>
      <c r="I1330" t="str">
        <f>IFERROR(VLOOKUP(Final!F1330,'LEAID Match'!$A$2:$B$374,2,FALSE),"")</f>
        <v/>
      </c>
      <c r="K1330" s="10">
        <f t="shared" si="20"/>
        <v>10776634</v>
      </c>
    </row>
    <row r="1331" spans="1:11">
      <c r="A1331" t="s">
        <v>2470</v>
      </c>
      <c r="B1331" s="10">
        <v>2015</v>
      </c>
      <c r="C1331" t="s">
        <v>1240</v>
      </c>
      <c r="D1331" t="s">
        <v>2472</v>
      </c>
      <c r="E1331" t="s">
        <v>2474</v>
      </c>
      <c r="F1331" t="s">
        <v>1866</v>
      </c>
      <c r="G1331" t="s">
        <v>1186</v>
      </c>
      <c r="H1331" s="10">
        <v>517556</v>
      </c>
      <c r="I1331" t="str">
        <f>IFERROR(VLOOKUP(Final!F1331,'LEAID Match'!$A$2:$B$374,2,FALSE),"")</f>
        <v/>
      </c>
      <c r="K1331" s="10">
        <f t="shared" si="20"/>
        <v>517556</v>
      </c>
    </row>
    <row r="1332" spans="1:11">
      <c r="A1332" t="s">
        <v>2470</v>
      </c>
      <c r="B1332" s="10">
        <v>2016</v>
      </c>
      <c r="C1332" t="s">
        <v>1240</v>
      </c>
      <c r="D1332" t="s">
        <v>2472</v>
      </c>
      <c r="E1332" t="s">
        <v>2474</v>
      </c>
      <c r="F1332" t="s">
        <v>1866</v>
      </c>
      <c r="G1332" t="s">
        <v>1186</v>
      </c>
      <c r="H1332" s="10">
        <v>530866</v>
      </c>
      <c r="I1332" t="str">
        <f>IFERROR(VLOOKUP(Final!F1332,'LEAID Match'!$A$2:$B$374,2,FALSE),"")</f>
        <v/>
      </c>
      <c r="K1332" s="10">
        <f t="shared" si="20"/>
        <v>530866</v>
      </c>
    </row>
    <row r="1333" spans="1:11">
      <c r="A1333" t="s">
        <v>2470</v>
      </c>
      <c r="B1333" s="10">
        <v>2017</v>
      </c>
      <c r="C1333" t="s">
        <v>1240</v>
      </c>
      <c r="D1333" t="s">
        <v>2472</v>
      </c>
      <c r="E1333" t="s">
        <v>2474</v>
      </c>
      <c r="F1333" t="s">
        <v>1866</v>
      </c>
      <c r="G1333" t="s">
        <v>1866</v>
      </c>
      <c r="H1333" s="10">
        <v>578065</v>
      </c>
      <c r="I1333" t="str">
        <f>IFERROR(VLOOKUP(Final!F1333,'LEAID Match'!$A$2:$B$374,2,FALSE),"")</f>
        <v/>
      </c>
      <c r="K1333" s="10">
        <f t="shared" si="20"/>
        <v>578065</v>
      </c>
    </row>
    <row r="1334" spans="1:11">
      <c r="A1334" t="s">
        <v>2470</v>
      </c>
      <c r="B1334" s="10">
        <v>2018</v>
      </c>
      <c r="C1334" t="s">
        <v>1240</v>
      </c>
      <c r="D1334" t="s">
        <v>2472</v>
      </c>
      <c r="E1334" t="s">
        <v>2474</v>
      </c>
      <c r="F1334" t="s">
        <v>1866</v>
      </c>
      <c r="G1334" t="s">
        <v>1866</v>
      </c>
      <c r="H1334" s="10">
        <v>579767</v>
      </c>
      <c r="I1334" t="str">
        <f>IFERROR(VLOOKUP(Final!F1334,'LEAID Match'!$A$2:$B$374,2,FALSE),"")</f>
        <v/>
      </c>
      <c r="K1334" s="10">
        <f t="shared" si="20"/>
        <v>579767</v>
      </c>
    </row>
    <row r="1335" spans="1:11">
      <c r="A1335" t="s">
        <v>2470</v>
      </c>
      <c r="B1335" s="10">
        <v>2019</v>
      </c>
      <c r="C1335" t="s">
        <v>1240</v>
      </c>
      <c r="D1335" t="s">
        <v>2472</v>
      </c>
      <c r="E1335" t="s">
        <v>2474</v>
      </c>
      <c r="F1335" t="s">
        <v>1866</v>
      </c>
      <c r="G1335" t="s">
        <v>1866</v>
      </c>
      <c r="H1335" s="10">
        <v>621672</v>
      </c>
      <c r="I1335" t="str">
        <f>IFERROR(VLOOKUP(Final!F1335,'LEAID Match'!$A$2:$B$374,2,FALSE),"")</f>
        <v/>
      </c>
      <c r="K1335" s="10">
        <f t="shared" si="20"/>
        <v>621672</v>
      </c>
    </row>
    <row r="1336" spans="1:11">
      <c r="A1336" t="s">
        <v>2470</v>
      </c>
      <c r="B1336" s="10">
        <v>2020</v>
      </c>
      <c r="C1336" t="s">
        <v>1240</v>
      </c>
      <c r="D1336" t="s">
        <v>2472</v>
      </c>
      <c r="E1336" t="s">
        <v>2474</v>
      </c>
      <c r="F1336" t="s">
        <v>1866</v>
      </c>
      <c r="G1336" t="s">
        <v>1866</v>
      </c>
      <c r="H1336" s="10">
        <v>650709</v>
      </c>
      <c r="I1336" t="str">
        <f>IFERROR(VLOOKUP(Final!F1336,'LEAID Match'!$A$2:$B$374,2,FALSE),"")</f>
        <v/>
      </c>
      <c r="K1336" s="10">
        <f t="shared" si="20"/>
        <v>650709</v>
      </c>
    </row>
    <row r="1337" spans="1:11">
      <c r="A1337" t="s">
        <v>2470</v>
      </c>
      <c r="B1337" s="10">
        <v>2021</v>
      </c>
      <c r="C1337" t="s">
        <v>1240</v>
      </c>
      <c r="D1337" t="s">
        <v>2472</v>
      </c>
      <c r="E1337" t="s">
        <v>2474</v>
      </c>
      <c r="F1337" t="s">
        <v>1866</v>
      </c>
      <c r="G1337" t="s">
        <v>1866</v>
      </c>
      <c r="H1337" s="10">
        <v>690471</v>
      </c>
      <c r="I1337" t="str">
        <f>IFERROR(VLOOKUP(Final!F1337,'LEAID Match'!$A$2:$B$374,2,FALSE),"")</f>
        <v/>
      </c>
      <c r="K1337" s="10">
        <f t="shared" si="20"/>
        <v>690471</v>
      </c>
    </row>
    <row r="1338" spans="1:11">
      <c r="A1338" t="s">
        <v>2470</v>
      </c>
      <c r="B1338" s="10">
        <v>2022</v>
      </c>
      <c r="C1338" t="s">
        <v>1240</v>
      </c>
      <c r="D1338" t="s">
        <v>2472</v>
      </c>
      <c r="E1338" t="s">
        <v>2474</v>
      </c>
      <c r="F1338" t="s">
        <v>1866</v>
      </c>
      <c r="G1338" t="s">
        <v>1866</v>
      </c>
      <c r="H1338" s="10">
        <v>771054</v>
      </c>
      <c r="I1338" t="str">
        <f>IFERROR(VLOOKUP(Final!F1338,'LEAID Match'!$A$2:$B$374,2,FALSE),"")</f>
        <v/>
      </c>
      <c r="K1338" s="10">
        <f t="shared" si="20"/>
        <v>771054</v>
      </c>
    </row>
    <row r="1339" spans="1:11">
      <c r="A1339" t="s">
        <v>2470</v>
      </c>
      <c r="B1339" s="10">
        <v>2023</v>
      </c>
      <c r="C1339" t="s">
        <v>1240</v>
      </c>
      <c r="D1339" t="s">
        <v>2472</v>
      </c>
      <c r="E1339" t="s">
        <v>2474</v>
      </c>
      <c r="F1339" t="s">
        <v>1866</v>
      </c>
      <c r="G1339" t="s">
        <v>1866</v>
      </c>
      <c r="H1339" s="10">
        <v>873319</v>
      </c>
      <c r="I1339" t="str">
        <f>IFERROR(VLOOKUP(Final!F1339,'LEAID Match'!$A$2:$B$374,2,FALSE),"")</f>
        <v/>
      </c>
      <c r="K1339" s="10">
        <f t="shared" si="20"/>
        <v>873319</v>
      </c>
    </row>
    <row r="1340" spans="1:11">
      <c r="A1340">
        <v>408800</v>
      </c>
      <c r="B1340" s="10">
        <v>2015</v>
      </c>
      <c r="C1340" t="s">
        <v>1261</v>
      </c>
      <c r="D1340" t="s">
        <v>2472</v>
      </c>
      <c r="E1340" t="s">
        <v>2474</v>
      </c>
      <c r="F1340" t="s">
        <v>1997</v>
      </c>
      <c r="G1340" t="s">
        <v>1207</v>
      </c>
      <c r="H1340" s="10">
        <v>25821534</v>
      </c>
      <c r="I1340">
        <f>IFERROR(VLOOKUP(Final!F1340,'LEAID Match'!$A$2:$B$374,2,FALSE),"")</f>
        <v>408800</v>
      </c>
      <c r="K1340" s="10">
        <f t="shared" si="20"/>
        <v>25821534</v>
      </c>
    </row>
    <row r="1341" spans="1:11">
      <c r="A1341">
        <v>408800</v>
      </c>
      <c r="B1341" s="10">
        <v>2016</v>
      </c>
      <c r="C1341" t="s">
        <v>1261</v>
      </c>
      <c r="D1341" t="s">
        <v>2472</v>
      </c>
      <c r="E1341" t="s">
        <v>2474</v>
      </c>
      <c r="F1341" t="s">
        <v>1997</v>
      </c>
      <c r="G1341" t="s">
        <v>1207</v>
      </c>
      <c r="H1341" s="10">
        <v>25963519</v>
      </c>
      <c r="I1341">
        <f>IFERROR(VLOOKUP(Final!F1341,'LEAID Match'!$A$2:$B$374,2,FALSE),"")</f>
        <v>408800</v>
      </c>
      <c r="K1341" s="10">
        <f t="shared" si="20"/>
        <v>25963519</v>
      </c>
    </row>
    <row r="1342" spans="1:11">
      <c r="A1342">
        <v>408800</v>
      </c>
      <c r="B1342" s="10">
        <v>2017</v>
      </c>
      <c r="C1342" t="s">
        <v>1261</v>
      </c>
      <c r="D1342" t="s">
        <v>2472</v>
      </c>
      <c r="E1342" t="s">
        <v>2474</v>
      </c>
      <c r="F1342" t="s">
        <v>1997</v>
      </c>
      <c r="G1342" t="s">
        <v>1997</v>
      </c>
      <c r="H1342" s="10">
        <v>27661624</v>
      </c>
      <c r="I1342">
        <f>IFERROR(VLOOKUP(Final!F1342,'LEAID Match'!$A$2:$B$374,2,FALSE),"")</f>
        <v>408800</v>
      </c>
      <c r="K1342" s="10">
        <f t="shared" si="20"/>
        <v>27661624</v>
      </c>
    </row>
    <row r="1343" spans="1:11">
      <c r="A1343">
        <v>408800</v>
      </c>
      <c r="B1343" s="10">
        <v>2018</v>
      </c>
      <c r="C1343" t="s">
        <v>1261</v>
      </c>
      <c r="D1343" t="s">
        <v>2472</v>
      </c>
      <c r="E1343" t="s">
        <v>2474</v>
      </c>
      <c r="F1343" t="s">
        <v>1997</v>
      </c>
      <c r="G1343" t="s">
        <v>1997</v>
      </c>
      <c r="H1343" s="10">
        <v>28266002</v>
      </c>
      <c r="I1343">
        <f>IFERROR(VLOOKUP(Final!F1343,'LEAID Match'!$A$2:$B$374,2,FALSE),"")</f>
        <v>408800</v>
      </c>
      <c r="K1343" s="10">
        <f t="shared" si="20"/>
        <v>28266002</v>
      </c>
    </row>
    <row r="1344" spans="1:11">
      <c r="A1344">
        <v>408800</v>
      </c>
      <c r="B1344" s="10">
        <v>2019</v>
      </c>
      <c r="C1344" t="s">
        <v>1261</v>
      </c>
      <c r="D1344" t="s">
        <v>2472</v>
      </c>
      <c r="E1344" t="s">
        <v>2474</v>
      </c>
      <c r="F1344" t="s">
        <v>1997</v>
      </c>
      <c r="G1344" t="s">
        <v>1997</v>
      </c>
      <c r="H1344" s="10">
        <v>30147603</v>
      </c>
      <c r="I1344">
        <f>IFERROR(VLOOKUP(Final!F1344,'LEAID Match'!$A$2:$B$374,2,FALSE),"")</f>
        <v>408800</v>
      </c>
      <c r="K1344" s="10">
        <f t="shared" si="20"/>
        <v>30147603</v>
      </c>
    </row>
    <row r="1345" spans="1:11">
      <c r="A1345">
        <v>408800</v>
      </c>
      <c r="B1345" s="10">
        <v>2020</v>
      </c>
      <c r="C1345" t="s">
        <v>1261</v>
      </c>
      <c r="D1345" t="s">
        <v>2472</v>
      </c>
      <c r="E1345" t="s">
        <v>2474</v>
      </c>
      <c r="F1345" t="s">
        <v>1997</v>
      </c>
      <c r="G1345" t="s">
        <v>1997</v>
      </c>
      <c r="H1345" s="10">
        <v>30614303</v>
      </c>
      <c r="I1345">
        <f>IFERROR(VLOOKUP(Final!F1345,'LEAID Match'!$A$2:$B$374,2,FALSE),"")</f>
        <v>408800</v>
      </c>
      <c r="K1345" s="10">
        <f t="shared" si="20"/>
        <v>30614303</v>
      </c>
    </row>
    <row r="1346" spans="1:11">
      <c r="A1346">
        <v>408800</v>
      </c>
      <c r="B1346" s="10">
        <v>2021</v>
      </c>
      <c r="C1346" t="s">
        <v>1261</v>
      </c>
      <c r="D1346" t="s">
        <v>2472</v>
      </c>
      <c r="E1346" t="s">
        <v>2474</v>
      </c>
      <c r="F1346" t="s">
        <v>1997</v>
      </c>
      <c r="G1346" t="s">
        <v>1997</v>
      </c>
      <c r="H1346" s="10">
        <v>31058289</v>
      </c>
      <c r="I1346">
        <f>IFERROR(VLOOKUP(Final!F1346,'LEAID Match'!$A$2:$B$374,2,FALSE),"")</f>
        <v>408800</v>
      </c>
      <c r="K1346" s="10">
        <f t="shared" si="20"/>
        <v>31058289</v>
      </c>
    </row>
    <row r="1347" spans="1:11">
      <c r="A1347">
        <v>408800</v>
      </c>
      <c r="B1347" s="10">
        <v>2022</v>
      </c>
      <c r="C1347" t="s">
        <v>1261</v>
      </c>
      <c r="D1347" t="s">
        <v>2472</v>
      </c>
      <c r="E1347" t="s">
        <v>2474</v>
      </c>
      <c r="F1347" t="s">
        <v>1997</v>
      </c>
      <c r="G1347" t="s">
        <v>1997</v>
      </c>
      <c r="H1347" s="10">
        <v>35281996</v>
      </c>
      <c r="I1347">
        <f>IFERROR(VLOOKUP(Final!F1347,'LEAID Match'!$A$2:$B$374,2,FALSE),"")</f>
        <v>408800</v>
      </c>
      <c r="K1347" s="10">
        <f t="shared" ref="K1347:K1410" si="21">SUM(H1347,J1347)</f>
        <v>35281996</v>
      </c>
    </row>
    <row r="1348" spans="1:11">
      <c r="A1348">
        <v>408800</v>
      </c>
      <c r="B1348" s="10">
        <v>2023</v>
      </c>
      <c r="C1348" t="s">
        <v>1261</v>
      </c>
      <c r="D1348" t="s">
        <v>2472</v>
      </c>
      <c r="E1348" t="s">
        <v>2474</v>
      </c>
      <c r="F1348" t="s">
        <v>1997</v>
      </c>
      <c r="G1348" t="s">
        <v>1997</v>
      </c>
      <c r="H1348" s="10">
        <v>41323938</v>
      </c>
      <c r="I1348">
        <f>IFERROR(VLOOKUP(Final!F1348,'LEAID Match'!$A$2:$B$374,2,FALSE),"")</f>
        <v>408800</v>
      </c>
      <c r="K1348" s="10">
        <f t="shared" si="21"/>
        <v>41323938</v>
      </c>
    </row>
    <row r="1349" spans="1:11">
      <c r="A1349" t="s">
        <v>2470</v>
      </c>
      <c r="B1349" s="10">
        <v>2015</v>
      </c>
      <c r="C1349" t="s">
        <v>1030</v>
      </c>
      <c r="D1349" t="s">
        <v>2472</v>
      </c>
      <c r="E1349" t="s">
        <v>2474</v>
      </c>
      <c r="F1349" t="s">
        <v>1864</v>
      </c>
      <c r="G1349" t="s">
        <v>975</v>
      </c>
      <c r="H1349" s="10">
        <v>64754</v>
      </c>
      <c r="I1349" t="str">
        <f>IFERROR(VLOOKUP(Final!F1349,'LEAID Match'!$A$2:$B$374,2,FALSE),"")</f>
        <v/>
      </c>
      <c r="K1349" s="10">
        <f t="shared" si="21"/>
        <v>64754</v>
      </c>
    </row>
    <row r="1350" spans="1:11">
      <c r="A1350" t="s">
        <v>2470</v>
      </c>
      <c r="B1350" s="10">
        <v>2016</v>
      </c>
      <c r="C1350" t="s">
        <v>1030</v>
      </c>
      <c r="D1350" t="s">
        <v>2472</v>
      </c>
      <c r="E1350" t="s">
        <v>2474</v>
      </c>
      <c r="F1350" t="s">
        <v>1864</v>
      </c>
      <c r="G1350" t="s">
        <v>975</v>
      </c>
      <c r="H1350" s="10">
        <v>54217</v>
      </c>
      <c r="I1350" t="str">
        <f>IFERROR(VLOOKUP(Final!F1350,'LEAID Match'!$A$2:$B$374,2,FALSE),"")</f>
        <v/>
      </c>
      <c r="K1350" s="10">
        <f t="shared" si="21"/>
        <v>54217</v>
      </c>
    </row>
    <row r="1351" spans="1:11">
      <c r="A1351" t="s">
        <v>2470</v>
      </c>
      <c r="B1351" s="10">
        <v>2017</v>
      </c>
      <c r="C1351" t="s">
        <v>1030</v>
      </c>
      <c r="D1351" t="s">
        <v>2472</v>
      </c>
      <c r="E1351" t="s">
        <v>2474</v>
      </c>
      <c r="F1351" t="s">
        <v>1864</v>
      </c>
      <c r="G1351" t="s">
        <v>1864</v>
      </c>
      <c r="H1351" s="10">
        <v>53846</v>
      </c>
      <c r="I1351" t="str">
        <f>IFERROR(VLOOKUP(Final!F1351,'LEAID Match'!$A$2:$B$374,2,FALSE),"")</f>
        <v/>
      </c>
      <c r="K1351" s="10">
        <f t="shared" si="21"/>
        <v>53846</v>
      </c>
    </row>
    <row r="1352" spans="1:11">
      <c r="A1352" t="s">
        <v>2470</v>
      </c>
      <c r="B1352" s="10">
        <v>2018</v>
      </c>
      <c r="C1352" t="s">
        <v>1030</v>
      </c>
      <c r="D1352" t="s">
        <v>2472</v>
      </c>
      <c r="E1352" t="s">
        <v>2474</v>
      </c>
      <c r="F1352" t="s">
        <v>1864</v>
      </c>
      <c r="G1352" t="s">
        <v>1864</v>
      </c>
      <c r="H1352" s="10">
        <v>55577</v>
      </c>
      <c r="I1352" t="str">
        <f>IFERROR(VLOOKUP(Final!F1352,'LEAID Match'!$A$2:$B$374,2,FALSE),"")</f>
        <v/>
      </c>
      <c r="K1352" s="10">
        <f t="shared" si="21"/>
        <v>55577</v>
      </c>
    </row>
    <row r="1353" spans="1:11">
      <c r="A1353" t="s">
        <v>2470</v>
      </c>
      <c r="B1353" s="10">
        <v>2019</v>
      </c>
      <c r="C1353" t="s">
        <v>1030</v>
      </c>
      <c r="D1353" t="s">
        <v>2472</v>
      </c>
      <c r="E1353" t="s">
        <v>2474</v>
      </c>
      <c r="F1353" t="s">
        <v>1864</v>
      </c>
      <c r="G1353" t="s">
        <v>1864</v>
      </c>
      <c r="H1353" s="10">
        <v>48435</v>
      </c>
      <c r="I1353" t="str">
        <f>IFERROR(VLOOKUP(Final!F1353,'LEAID Match'!$A$2:$B$374,2,FALSE),"")</f>
        <v/>
      </c>
      <c r="K1353" s="10">
        <f t="shared" si="21"/>
        <v>48435</v>
      </c>
    </row>
    <row r="1354" spans="1:11">
      <c r="A1354" t="s">
        <v>2470</v>
      </c>
      <c r="B1354" s="10">
        <v>2020</v>
      </c>
      <c r="C1354" t="s">
        <v>1030</v>
      </c>
      <c r="D1354" t="s">
        <v>2472</v>
      </c>
      <c r="E1354" t="s">
        <v>2474</v>
      </c>
      <c r="F1354" t="s">
        <v>1864</v>
      </c>
      <c r="G1354" t="s">
        <v>1864</v>
      </c>
      <c r="H1354" s="10">
        <v>47391</v>
      </c>
      <c r="I1354" t="str">
        <f>IFERROR(VLOOKUP(Final!F1354,'LEAID Match'!$A$2:$B$374,2,FALSE),"")</f>
        <v/>
      </c>
      <c r="K1354" s="10">
        <f t="shared" si="21"/>
        <v>47391</v>
      </c>
    </row>
    <row r="1355" spans="1:11">
      <c r="A1355" t="s">
        <v>2470</v>
      </c>
      <c r="B1355" s="10">
        <v>2021</v>
      </c>
      <c r="C1355" t="s">
        <v>1030</v>
      </c>
      <c r="D1355" t="s">
        <v>2472</v>
      </c>
      <c r="E1355" t="s">
        <v>2474</v>
      </c>
      <c r="F1355" t="s">
        <v>1864</v>
      </c>
      <c r="G1355" t="s">
        <v>1864</v>
      </c>
      <c r="H1355" s="10">
        <v>52167</v>
      </c>
      <c r="I1355" t="str">
        <f>IFERROR(VLOOKUP(Final!F1355,'LEAID Match'!$A$2:$B$374,2,FALSE),"")</f>
        <v/>
      </c>
      <c r="K1355" s="10">
        <f t="shared" si="21"/>
        <v>52167</v>
      </c>
    </row>
    <row r="1356" spans="1:11">
      <c r="A1356" t="s">
        <v>2470</v>
      </c>
      <c r="B1356" s="10">
        <v>2022</v>
      </c>
      <c r="C1356" t="s">
        <v>1030</v>
      </c>
      <c r="D1356" t="s">
        <v>2472</v>
      </c>
      <c r="E1356" t="s">
        <v>2474</v>
      </c>
      <c r="F1356" t="s">
        <v>1864</v>
      </c>
      <c r="G1356" t="s">
        <v>1864</v>
      </c>
      <c r="H1356" s="10">
        <v>53029</v>
      </c>
      <c r="I1356" t="str">
        <f>IFERROR(VLOOKUP(Final!F1356,'LEAID Match'!$A$2:$B$374,2,FALSE),"")</f>
        <v/>
      </c>
      <c r="K1356" s="10">
        <f t="shared" si="21"/>
        <v>53029</v>
      </c>
    </row>
    <row r="1357" spans="1:11">
      <c r="A1357" t="s">
        <v>2470</v>
      </c>
      <c r="B1357" s="10">
        <v>2023</v>
      </c>
      <c r="C1357" t="s">
        <v>1030</v>
      </c>
      <c r="D1357" t="s">
        <v>2472</v>
      </c>
      <c r="E1357" t="s">
        <v>2474</v>
      </c>
      <c r="F1357" t="s">
        <v>1864</v>
      </c>
      <c r="G1357" t="s">
        <v>1864</v>
      </c>
      <c r="H1357" s="10">
        <v>56205</v>
      </c>
      <c r="I1357" t="str">
        <f>IFERROR(VLOOKUP(Final!F1357,'LEAID Match'!$A$2:$B$374,2,FALSE),"")</f>
        <v/>
      </c>
      <c r="K1357" s="10">
        <f t="shared" si="21"/>
        <v>56205</v>
      </c>
    </row>
    <row r="1358" spans="1:11">
      <c r="A1358">
        <v>400334</v>
      </c>
      <c r="B1358" s="10">
        <v>2015</v>
      </c>
      <c r="C1358" t="s">
        <v>1331</v>
      </c>
      <c r="D1358" t="s">
        <v>2472</v>
      </c>
      <c r="E1358" t="s">
        <v>2474</v>
      </c>
      <c r="F1358" t="s">
        <v>1283</v>
      </c>
      <c r="G1358" t="s">
        <v>1283</v>
      </c>
      <c r="H1358" s="10"/>
      <c r="I1358">
        <f>IFERROR(VLOOKUP(Final!F1358,'LEAID Match'!$A$2:$B$374,2,FALSE),"")</f>
        <v>400334</v>
      </c>
      <c r="K1358" s="10">
        <f t="shared" si="21"/>
        <v>0</v>
      </c>
    </row>
    <row r="1359" spans="1:11">
      <c r="A1359">
        <v>400334</v>
      </c>
      <c r="B1359" s="10">
        <v>2016</v>
      </c>
      <c r="C1359" t="s">
        <v>1331</v>
      </c>
      <c r="D1359" t="s">
        <v>2472</v>
      </c>
      <c r="E1359" t="s">
        <v>2474</v>
      </c>
      <c r="F1359" t="s">
        <v>1283</v>
      </c>
      <c r="G1359" t="s">
        <v>1283</v>
      </c>
      <c r="H1359" s="10"/>
      <c r="I1359">
        <f>IFERROR(VLOOKUP(Final!F1359,'LEAID Match'!$A$2:$B$374,2,FALSE),"")</f>
        <v>400334</v>
      </c>
      <c r="K1359" s="10">
        <f t="shared" si="21"/>
        <v>0</v>
      </c>
    </row>
    <row r="1360" spans="1:11">
      <c r="A1360">
        <v>400334</v>
      </c>
      <c r="B1360" s="10">
        <v>2017</v>
      </c>
      <c r="C1360" t="s">
        <v>1331</v>
      </c>
      <c r="D1360" t="s">
        <v>2472</v>
      </c>
      <c r="E1360" t="s">
        <v>2474</v>
      </c>
      <c r="F1360" t="s">
        <v>1283</v>
      </c>
      <c r="G1360" t="s">
        <v>1283</v>
      </c>
      <c r="H1360" s="10"/>
      <c r="I1360">
        <f>IFERROR(VLOOKUP(Final!F1360,'LEAID Match'!$A$2:$B$374,2,FALSE),"")</f>
        <v>400334</v>
      </c>
      <c r="K1360" s="10">
        <f t="shared" si="21"/>
        <v>0</v>
      </c>
    </row>
    <row r="1361" spans="1:11">
      <c r="A1361">
        <v>400334</v>
      </c>
      <c r="B1361" s="10">
        <v>2018</v>
      </c>
      <c r="C1361" t="s">
        <v>1331</v>
      </c>
      <c r="D1361" t="s">
        <v>2472</v>
      </c>
      <c r="E1361" t="s">
        <v>2474</v>
      </c>
      <c r="F1361" t="s">
        <v>1283</v>
      </c>
      <c r="G1361" t="s">
        <v>1283</v>
      </c>
      <c r="H1361" s="10"/>
      <c r="I1361">
        <f>IFERROR(VLOOKUP(Final!F1361,'LEAID Match'!$A$2:$B$374,2,FALSE),"")</f>
        <v>400334</v>
      </c>
      <c r="K1361" s="10">
        <f t="shared" si="21"/>
        <v>0</v>
      </c>
    </row>
    <row r="1362" spans="1:11">
      <c r="A1362">
        <v>400794</v>
      </c>
      <c r="B1362" s="10">
        <v>2015</v>
      </c>
      <c r="C1362" t="s">
        <v>1328</v>
      </c>
      <c r="D1362" t="s">
        <v>2472</v>
      </c>
      <c r="E1362" t="s">
        <v>2474</v>
      </c>
      <c r="F1362" t="s">
        <v>1484</v>
      </c>
      <c r="G1362" t="s">
        <v>1280</v>
      </c>
      <c r="H1362" s="10">
        <v>14032</v>
      </c>
      <c r="I1362">
        <f>IFERROR(VLOOKUP(Final!F1362,'LEAID Match'!$A$2:$B$374,2,FALSE),"")</f>
        <v>400794</v>
      </c>
      <c r="K1362" s="10">
        <f t="shared" si="21"/>
        <v>14032</v>
      </c>
    </row>
    <row r="1363" spans="1:11">
      <c r="A1363">
        <v>400794</v>
      </c>
      <c r="B1363" s="10">
        <v>2016</v>
      </c>
      <c r="C1363" t="s">
        <v>1328</v>
      </c>
      <c r="D1363" t="s">
        <v>2472</v>
      </c>
      <c r="E1363" t="s">
        <v>2474</v>
      </c>
      <c r="F1363" t="s">
        <v>1484</v>
      </c>
      <c r="G1363" t="s">
        <v>1484</v>
      </c>
      <c r="H1363" s="10">
        <v>26150</v>
      </c>
      <c r="I1363">
        <f>IFERROR(VLOOKUP(Final!F1363,'LEAID Match'!$A$2:$B$374,2,FALSE),"")</f>
        <v>400794</v>
      </c>
      <c r="K1363" s="10">
        <f t="shared" si="21"/>
        <v>26150</v>
      </c>
    </row>
    <row r="1364" spans="1:11">
      <c r="A1364">
        <v>400794</v>
      </c>
      <c r="B1364" s="10">
        <v>2017</v>
      </c>
      <c r="C1364" t="s">
        <v>1328</v>
      </c>
      <c r="D1364" t="s">
        <v>2472</v>
      </c>
      <c r="E1364" t="s">
        <v>2474</v>
      </c>
      <c r="F1364" t="s">
        <v>1484</v>
      </c>
      <c r="G1364" t="s">
        <v>1484</v>
      </c>
      <c r="H1364" s="10">
        <v>25704</v>
      </c>
      <c r="I1364">
        <f>IFERROR(VLOOKUP(Final!F1364,'LEAID Match'!$A$2:$B$374,2,FALSE),"")</f>
        <v>400794</v>
      </c>
      <c r="K1364" s="10">
        <f t="shared" si="21"/>
        <v>25704</v>
      </c>
    </row>
    <row r="1365" spans="1:11">
      <c r="A1365">
        <v>400794</v>
      </c>
      <c r="B1365" s="10">
        <v>2018</v>
      </c>
      <c r="C1365" t="s">
        <v>1328</v>
      </c>
      <c r="D1365" t="s">
        <v>2472</v>
      </c>
      <c r="E1365" t="s">
        <v>2474</v>
      </c>
      <c r="F1365" t="s">
        <v>1484</v>
      </c>
      <c r="G1365" t="s">
        <v>2337</v>
      </c>
      <c r="H1365" s="10">
        <v>31774</v>
      </c>
      <c r="I1365">
        <f>IFERROR(VLOOKUP(Final!F1365,'LEAID Match'!$A$2:$B$374,2,FALSE),"")</f>
        <v>400794</v>
      </c>
      <c r="K1365" s="10">
        <f t="shared" si="21"/>
        <v>31774</v>
      </c>
    </row>
    <row r="1366" spans="1:11">
      <c r="A1366">
        <v>400794</v>
      </c>
      <c r="B1366" s="10">
        <v>2019</v>
      </c>
      <c r="C1366" t="s">
        <v>1328</v>
      </c>
      <c r="D1366" t="s">
        <v>2472</v>
      </c>
      <c r="E1366" t="s">
        <v>2474</v>
      </c>
      <c r="F1366" t="s">
        <v>1484</v>
      </c>
      <c r="G1366" t="s">
        <v>1484</v>
      </c>
      <c r="H1366" s="10">
        <v>36362</v>
      </c>
      <c r="I1366">
        <f>IFERROR(VLOOKUP(Final!F1366,'LEAID Match'!$A$2:$B$374,2,FALSE),"")</f>
        <v>400794</v>
      </c>
      <c r="K1366" s="10">
        <f t="shared" si="21"/>
        <v>36362</v>
      </c>
    </row>
    <row r="1367" spans="1:11">
      <c r="A1367">
        <v>400794</v>
      </c>
      <c r="B1367" s="10">
        <v>2020</v>
      </c>
      <c r="C1367" t="s">
        <v>1328</v>
      </c>
      <c r="D1367" t="s">
        <v>2472</v>
      </c>
      <c r="E1367" t="s">
        <v>2474</v>
      </c>
      <c r="F1367" t="s">
        <v>1484</v>
      </c>
      <c r="G1367" t="s">
        <v>1484</v>
      </c>
      <c r="H1367" s="10">
        <v>37853</v>
      </c>
      <c r="I1367">
        <f>IFERROR(VLOOKUP(Final!F1367,'LEAID Match'!$A$2:$B$374,2,FALSE),"")</f>
        <v>400794</v>
      </c>
      <c r="K1367" s="10">
        <f t="shared" si="21"/>
        <v>37853</v>
      </c>
    </row>
    <row r="1368" spans="1:11">
      <c r="A1368">
        <v>400794</v>
      </c>
      <c r="B1368" s="10">
        <v>2021</v>
      </c>
      <c r="C1368" t="s">
        <v>1328</v>
      </c>
      <c r="D1368" t="s">
        <v>2472</v>
      </c>
      <c r="E1368" t="s">
        <v>2474</v>
      </c>
      <c r="F1368" t="s">
        <v>1484</v>
      </c>
      <c r="G1368" t="s">
        <v>1484</v>
      </c>
      <c r="H1368" s="10">
        <v>43664</v>
      </c>
      <c r="I1368">
        <f>IFERROR(VLOOKUP(Final!F1368,'LEAID Match'!$A$2:$B$374,2,FALSE),"")</f>
        <v>400794</v>
      </c>
      <c r="K1368" s="10">
        <f t="shared" si="21"/>
        <v>43664</v>
      </c>
    </row>
    <row r="1369" spans="1:11">
      <c r="A1369">
        <v>400794</v>
      </c>
      <c r="B1369" s="10">
        <v>2022</v>
      </c>
      <c r="C1369" t="s">
        <v>1328</v>
      </c>
      <c r="D1369" t="s">
        <v>2472</v>
      </c>
      <c r="E1369" t="s">
        <v>2474</v>
      </c>
      <c r="F1369" t="s">
        <v>1484</v>
      </c>
      <c r="G1369" t="s">
        <v>1484</v>
      </c>
      <c r="H1369" s="10">
        <v>49615</v>
      </c>
      <c r="I1369">
        <f>IFERROR(VLOOKUP(Final!F1369,'LEAID Match'!$A$2:$B$374,2,FALSE),"")</f>
        <v>400794</v>
      </c>
      <c r="K1369" s="10">
        <f t="shared" si="21"/>
        <v>49615</v>
      </c>
    </row>
    <row r="1370" spans="1:11">
      <c r="A1370">
        <v>400794</v>
      </c>
      <c r="B1370" s="10">
        <v>2023</v>
      </c>
      <c r="C1370" t="s">
        <v>1328</v>
      </c>
      <c r="D1370" t="s">
        <v>2472</v>
      </c>
      <c r="E1370" t="s">
        <v>2474</v>
      </c>
      <c r="F1370" t="s">
        <v>1484</v>
      </c>
      <c r="G1370" t="s">
        <v>1484</v>
      </c>
      <c r="H1370" s="10">
        <v>58640</v>
      </c>
      <c r="I1370">
        <f>IFERROR(VLOOKUP(Final!F1370,'LEAID Match'!$A$2:$B$374,2,FALSE),"")</f>
        <v>400794</v>
      </c>
      <c r="K1370" s="10">
        <f t="shared" si="21"/>
        <v>58640</v>
      </c>
    </row>
    <row r="1371" spans="1:11">
      <c r="A1371">
        <v>400415</v>
      </c>
      <c r="B1371" s="10">
        <v>2015</v>
      </c>
      <c r="C1371" t="s">
        <v>73</v>
      </c>
      <c r="D1371" t="s">
        <v>2472</v>
      </c>
      <c r="E1371" t="s">
        <v>2474</v>
      </c>
      <c r="F1371" t="s">
        <v>2354</v>
      </c>
      <c r="G1371" t="s">
        <v>20</v>
      </c>
      <c r="H1371" s="10">
        <v>51434</v>
      </c>
      <c r="I1371">
        <f>IFERROR(VLOOKUP(Final!F1371,'LEAID Match'!$A$2:$B$374,2,FALSE),"")</f>
        <v>400415</v>
      </c>
      <c r="K1371" s="10">
        <f t="shared" si="21"/>
        <v>51434</v>
      </c>
    </row>
    <row r="1372" spans="1:11">
      <c r="A1372">
        <v>400415</v>
      </c>
      <c r="B1372" s="10">
        <v>2016</v>
      </c>
      <c r="C1372" t="s">
        <v>73</v>
      </c>
      <c r="D1372" t="s">
        <v>2472</v>
      </c>
      <c r="E1372" t="s">
        <v>2474</v>
      </c>
      <c r="F1372" t="s">
        <v>2354</v>
      </c>
      <c r="G1372" t="s">
        <v>20</v>
      </c>
      <c r="H1372" s="10">
        <v>79745</v>
      </c>
      <c r="I1372">
        <f>IFERROR(VLOOKUP(Final!F1372,'LEAID Match'!$A$2:$B$374,2,FALSE),"")</f>
        <v>400415</v>
      </c>
      <c r="K1372" s="10">
        <f t="shared" si="21"/>
        <v>79745</v>
      </c>
    </row>
    <row r="1373" spans="1:11">
      <c r="A1373">
        <v>400415</v>
      </c>
      <c r="B1373" s="10">
        <v>2017</v>
      </c>
      <c r="C1373" t="s">
        <v>73</v>
      </c>
      <c r="D1373" t="s">
        <v>2472</v>
      </c>
      <c r="E1373" t="s">
        <v>2474</v>
      </c>
      <c r="F1373" t="s">
        <v>2354</v>
      </c>
      <c r="G1373" t="s">
        <v>1570</v>
      </c>
      <c r="H1373" s="10">
        <v>108402</v>
      </c>
      <c r="I1373">
        <f>IFERROR(VLOOKUP(Final!F1373,'LEAID Match'!$A$2:$B$374,2,FALSE),"")</f>
        <v>400415</v>
      </c>
      <c r="K1373" s="10">
        <f t="shared" si="21"/>
        <v>108402</v>
      </c>
    </row>
    <row r="1374" spans="1:11">
      <c r="A1374">
        <v>400415</v>
      </c>
      <c r="B1374" s="10">
        <v>2018</v>
      </c>
      <c r="C1374" t="s">
        <v>73</v>
      </c>
      <c r="D1374" t="s">
        <v>2472</v>
      </c>
      <c r="E1374" t="s">
        <v>2474</v>
      </c>
      <c r="F1374" t="s">
        <v>2354</v>
      </c>
      <c r="G1374" t="s">
        <v>2095</v>
      </c>
      <c r="H1374" s="10">
        <v>155991</v>
      </c>
      <c r="I1374">
        <f>IFERROR(VLOOKUP(Final!F1374,'LEAID Match'!$A$2:$B$374,2,FALSE),"")</f>
        <v>400415</v>
      </c>
      <c r="K1374" s="10">
        <f t="shared" si="21"/>
        <v>155991</v>
      </c>
    </row>
    <row r="1375" spans="1:11">
      <c r="A1375">
        <v>400415</v>
      </c>
      <c r="B1375" s="10">
        <v>2019</v>
      </c>
      <c r="C1375" t="s">
        <v>73</v>
      </c>
      <c r="D1375" t="s">
        <v>2472</v>
      </c>
      <c r="E1375" t="s">
        <v>2474</v>
      </c>
      <c r="F1375" t="s">
        <v>2354</v>
      </c>
      <c r="G1375" t="s">
        <v>2354</v>
      </c>
      <c r="H1375" s="10">
        <v>219254</v>
      </c>
      <c r="I1375">
        <f>IFERROR(VLOOKUP(Final!F1375,'LEAID Match'!$A$2:$B$374,2,FALSE),"")</f>
        <v>400415</v>
      </c>
      <c r="K1375" s="10">
        <f t="shared" si="21"/>
        <v>219254</v>
      </c>
    </row>
    <row r="1376" spans="1:11">
      <c r="A1376">
        <v>400415</v>
      </c>
      <c r="B1376" s="10">
        <v>2020</v>
      </c>
      <c r="C1376" t="s">
        <v>73</v>
      </c>
      <c r="D1376" t="s">
        <v>2472</v>
      </c>
      <c r="E1376" t="s">
        <v>2474</v>
      </c>
      <c r="F1376" t="s">
        <v>2354</v>
      </c>
      <c r="G1376" t="s">
        <v>2354</v>
      </c>
      <c r="H1376" s="10">
        <v>270369</v>
      </c>
      <c r="I1376">
        <f>IFERROR(VLOOKUP(Final!F1376,'LEAID Match'!$A$2:$B$374,2,FALSE),"")</f>
        <v>400415</v>
      </c>
      <c r="K1376" s="10">
        <f t="shared" si="21"/>
        <v>270369</v>
      </c>
    </row>
    <row r="1377" spans="1:11">
      <c r="A1377">
        <v>400415</v>
      </c>
      <c r="B1377" s="10">
        <v>2021</v>
      </c>
      <c r="C1377" t="s">
        <v>73</v>
      </c>
      <c r="D1377" t="s">
        <v>2472</v>
      </c>
      <c r="E1377" t="s">
        <v>2474</v>
      </c>
      <c r="F1377" t="s">
        <v>2354</v>
      </c>
      <c r="G1377" t="s">
        <v>2354</v>
      </c>
      <c r="H1377" s="10">
        <v>258061</v>
      </c>
      <c r="I1377">
        <f>IFERROR(VLOOKUP(Final!F1377,'LEAID Match'!$A$2:$B$374,2,FALSE),"")</f>
        <v>400415</v>
      </c>
      <c r="K1377" s="10">
        <f t="shared" si="21"/>
        <v>258061</v>
      </c>
    </row>
    <row r="1378" spans="1:11">
      <c r="A1378">
        <v>400415</v>
      </c>
      <c r="B1378" s="10">
        <v>2022</v>
      </c>
      <c r="C1378" t="s">
        <v>73</v>
      </c>
      <c r="D1378" t="s">
        <v>2472</v>
      </c>
      <c r="E1378" t="s">
        <v>2474</v>
      </c>
      <c r="F1378" t="s">
        <v>2354</v>
      </c>
      <c r="G1378" t="s">
        <v>2354</v>
      </c>
      <c r="H1378" s="10">
        <v>283580</v>
      </c>
      <c r="I1378">
        <f>IFERROR(VLOOKUP(Final!F1378,'LEAID Match'!$A$2:$B$374,2,FALSE),"")</f>
        <v>400415</v>
      </c>
      <c r="K1378" s="10">
        <f t="shared" si="21"/>
        <v>283580</v>
      </c>
    </row>
    <row r="1379" spans="1:11">
      <c r="A1379">
        <v>400415</v>
      </c>
      <c r="B1379" s="10">
        <v>2023</v>
      </c>
      <c r="C1379" t="s">
        <v>73</v>
      </c>
      <c r="D1379" t="s">
        <v>2472</v>
      </c>
      <c r="E1379" t="s">
        <v>2474</v>
      </c>
      <c r="F1379" t="s">
        <v>2354</v>
      </c>
      <c r="G1379" t="s">
        <v>2354</v>
      </c>
      <c r="H1379" s="10">
        <v>208512</v>
      </c>
      <c r="I1379">
        <f>IFERROR(VLOOKUP(Final!F1379,'LEAID Match'!$A$2:$B$374,2,FALSE),"")</f>
        <v>400415</v>
      </c>
      <c r="K1379" s="10">
        <f t="shared" si="21"/>
        <v>208512</v>
      </c>
    </row>
    <row r="1380" spans="1:11">
      <c r="A1380">
        <v>400848</v>
      </c>
      <c r="B1380" s="10">
        <v>2015</v>
      </c>
      <c r="C1380" t="s">
        <v>1014</v>
      </c>
      <c r="D1380" t="s">
        <v>2472</v>
      </c>
      <c r="E1380" t="s">
        <v>2474</v>
      </c>
      <c r="F1380" t="s">
        <v>1614</v>
      </c>
      <c r="G1380" t="s">
        <v>959</v>
      </c>
      <c r="H1380" s="10">
        <v>46359</v>
      </c>
      <c r="I1380">
        <f>IFERROR(VLOOKUP(Final!F1380,'LEAID Match'!$A$2:$B$374,2,FALSE),"")</f>
        <v>400848</v>
      </c>
      <c r="K1380" s="10">
        <f t="shared" si="21"/>
        <v>46359</v>
      </c>
    </row>
    <row r="1381" spans="1:11">
      <c r="A1381">
        <v>400848</v>
      </c>
      <c r="B1381" s="10">
        <v>2016</v>
      </c>
      <c r="C1381" t="s">
        <v>1014</v>
      </c>
      <c r="D1381" t="s">
        <v>2472</v>
      </c>
      <c r="E1381" t="s">
        <v>2474</v>
      </c>
      <c r="F1381" t="s">
        <v>1614</v>
      </c>
      <c r="G1381" t="s">
        <v>959</v>
      </c>
      <c r="H1381" s="10">
        <v>53249</v>
      </c>
      <c r="I1381">
        <f>IFERROR(VLOOKUP(Final!F1381,'LEAID Match'!$A$2:$B$374,2,FALSE),"")</f>
        <v>400848</v>
      </c>
      <c r="K1381" s="10">
        <f t="shared" si="21"/>
        <v>53249</v>
      </c>
    </row>
    <row r="1382" spans="1:11">
      <c r="A1382">
        <v>400848</v>
      </c>
      <c r="B1382" s="10">
        <v>2017</v>
      </c>
      <c r="C1382" t="s">
        <v>1014</v>
      </c>
      <c r="D1382" t="s">
        <v>2472</v>
      </c>
      <c r="E1382" t="s">
        <v>2474</v>
      </c>
      <c r="F1382" t="s">
        <v>1614</v>
      </c>
      <c r="G1382" t="s">
        <v>1614</v>
      </c>
      <c r="H1382" s="10">
        <v>51893</v>
      </c>
      <c r="I1382">
        <f>IFERROR(VLOOKUP(Final!F1382,'LEAID Match'!$A$2:$B$374,2,FALSE),"")</f>
        <v>400848</v>
      </c>
      <c r="K1382" s="10">
        <f t="shared" si="21"/>
        <v>51893</v>
      </c>
    </row>
    <row r="1383" spans="1:11">
      <c r="A1383">
        <v>400848</v>
      </c>
      <c r="B1383" s="10">
        <v>2018</v>
      </c>
      <c r="C1383" t="s">
        <v>1014</v>
      </c>
      <c r="D1383" t="s">
        <v>2472</v>
      </c>
      <c r="E1383" t="s">
        <v>2474</v>
      </c>
      <c r="F1383" t="s">
        <v>1614</v>
      </c>
      <c r="G1383" t="s">
        <v>1614</v>
      </c>
      <c r="H1383" s="10">
        <v>63358</v>
      </c>
      <c r="I1383">
        <f>IFERROR(VLOOKUP(Final!F1383,'LEAID Match'!$A$2:$B$374,2,FALSE),"")</f>
        <v>400848</v>
      </c>
      <c r="K1383" s="10">
        <f t="shared" si="21"/>
        <v>63358</v>
      </c>
    </row>
    <row r="1384" spans="1:11">
      <c r="A1384">
        <v>400848</v>
      </c>
      <c r="B1384" s="10">
        <v>2019</v>
      </c>
      <c r="C1384" t="s">
        <v>1014</v>
      </c>
      <c r="D1384" t="s">
        <v>2472</v>
      </c>
      <c r="E1384" t="s">
        <v>2474</v>
      </c>
      <c r="F1384" t="s">
        <v>1614</v>
      </c>
      <c r="G1384" t="s">
        <v>1614</v>
      </c>
      <c r="H1384" s="10">
        <v>39629</v>
      </c>
      <c r="I1384">
        <f>IFERROR(VLOOKUP(Final!F1384,'LEAID Match'!$A$2:$B$374,2,FALSE),"")</f>
        <v>400848</v>
      </c>
      <c r="K1384" s="10">
        <f t="shared" si="21"/>
        <v>39629</v>
      </c>
    </row>
    <row r="1385" spans="1:11">
      <c r="A1385">
        <v>400848</v>
      </c>
      <c r="B1385" s="10">
        <v>2020</v>
      </c>
      <c r="C1385" t="s">
        <v>1014</v>
      </c>
      <c r="D1385" t="s">
        <v>2472</v>
      </c>
      <c r="E1385" t="s">
        <v>2474</v>
      </c>
      <c r="F1385" t="s">
        <v>1614</v>
      </c>
      <c r="G1385" t="s">
        <v>1614</v>
      </c>
      <c r="H1385" s="10"/>
      <c r="I1385">
        <f>IFERROR(VLOOKUP(Final!F1385,'LEAID Match'!$A$2:$B$374,2,FALSE),"")</f>
        <v>400848</v>
      </c>
      <c r="K1385" s="10">
        <f t="shared" si="21"/>
        <v>0</v>
      </c>
    </row>
    <row r="1386" spans="1:11">
      <c r="A1386">
        <v>400848</v>
      </c>
      <c r="B1386" s="10">
        <v>2021</v>
      </c>
      <c r="C1386" t="s">
        <v>1014</v>
      </c>
      <c r="D1386" t="s">
        <v>2472</v>
      </c>
      <c r="E1386" t="s">
        <v>2474</v>
      </c>
      <c r="F1386" t="s">
        <v>1614</v>
      </c>
      <c r="G1386" t="s">
        <v>1614</v>
      </c>
      <c r="H1386" s="10"/>
      <c r="I1386">
        <f>IFERROR(VLOOKUP(Final!F1386,'LEAID Match'!$A$2:$B$374,2,FALSE),"")</f>
        <v>400848</v>
      </c>
      <c r="K1386" s="10">
        <f t="shared" si="21"/>
        <v>0</v>
      </c>
    </row>
    <row r="1387" spans="1:11">
      <c r="A1387">
        <v>400848</v>
      </c>
      <c r="B1387" s="10">
        <v>2022</v>
      </c>
      <c r="C1387" t="s">
        <v>1014</v>
      </c>
      <c r="D1387" t="s">
        <v>2472</v>
      </c>
      <c r="E1387" t="s">
        <v>2474</v>
      </c>
      <c r="F1387" t="s">
        <v>1614</v>
      </c>
      <c r="G1387" t="s">
        <v>1614</v>
      </c>
      <c r="H1387" s="10"/>
      <c r="I1387">
        <f>IFERROR(VLOOKUP(Final!F1387,'LEAID Match'!$A$2:$B$374,2,FALSE),"")</f>
        <v>400848</v>
      </c>
      <c r="K1387" s="10">
        <f t="shared" si="21"/>
        <v>0</v>
      </c>
    </row>
    <row r="1388" spans="1:11">
      <c r="A1388">
        <v>400848</v>
      </c>
      <c r="B1388" s="10">
        <v>2023</v>
      </c>
      <c r="C1388" t="s">
        <v>1014</v>
      </c>
      <c r="D1388" t="s">
        <v>2472</v>
      </c>
      <c r="E1388" t="s">
        <v>2474</v>
      </c>
      <c r="F1388" t="s">
        <v>1614</v>
      </c>
      <c r="G1388" t="s">
        <v>1614</v>
      </c>
      <c r="H1388" s="10"/>
      <c r="I1388">
        <f>IFERROR(VLOOKUP(Final!F1388,'LEAID Match'!$A$2:$B$374,2,FALSE),"")</f>
        <v>400848</v>
      </c>
      <c r="K1388" s="10">
        <f t="shared" si="21"/>
        <v>0</v>
      </c>
    </row>
    <row r="1389" spans="1:11">
      <c r="A1389" t="s">
        <v>2470</v>
      </c>
      <c r="B1389" s="10">
        <v>2015</v>
      </c>
      <c r="C1389" t="s">
        <v>998</v>
      </c>
      <c r="D1389" t="s">
        <v>2472</v>
      </c>
      <c r="E1389" t="s">
        <v>2474</v>
      </c>
      <c r="F1389" t="s">
        <v>1918</v>
      </c>
      <c r="G1389" t="s">
        <v>943</v>
      </c>
      <c r="H1389" s="10">
        <v>47583</v>
      </c>
      <c r="I1389" t="str">
        <f>IFERROR(VLOOKUP(Final!F1389,'LEAID Match'!$A$2:$B$374,2,FALSE),"")</f>
        <v/>
      </c>
      <c r="K1389" s="10">
        <f t="shared" si="21"/>
        <v>47583</v>
      </c>
    </row>
    <row r="1390" spans="1:11">
      <c r="A1390" t="s">
        <v>2470</v>
      </c>
      <c r="B1390" s="10">
        <v>2016</v>
      </c>
      <c r="C1390" t="s">
        <v>998</v>
      </c>
      <c r="D1390" t="s">
        <v>2472</v>
      </c>
      <c r="E1390" t="s">
        <v>2474</v>
      </c>
      <c r="F1390" t="s">
        <v>1918</v>
      </c>
      <c r="G1390" t="s">
        <v>943</v>
      </c>
      <c r="H1390" s="10">
        <v>60451</v>
      </c>
      <c r="I1390" t="str">
        <f>IFERROR(VLOOKUP(Final!F1390,'LEAID Match'!$A$2:$B$374,2,FALSE),"")</f>
        <v/>
      </c>
      <c r="K1390" s="10">
        <f t="shared" si="21"/>
        <v>60451</v>
      </c>
    </row>
    <row r="1391" spans="1:11">
      <c r="A1391" t="s">
        <v>2470</v>
      </c>
      <c r="B1391" s="10">
        <v>2017</v>
      </c>
      <c r="C1391" t="s">
        <v>998</v>
      </c>
      <c r="D1391" t="s">
        <v>2472</v>
      </c>
      <c r="E1391" t="s">
        <v>2474</v>
      </c>
      <c r="F1391" t="s">
        <v>1918</v>
      </c>
      <c r="G1391" t="s">
        <v>1918</v>
      </c>
      <c r="H1391" s="10">
        <v>67668</v>
      </c>
      <c r="I1391" t="str">
        <f>IFERROR(VLOOKUP(Final!F1391,'LEAID Match'!$A$2:$B$374,2,FALSE),"")</f>
        <v/>
      </c>
      <c r="K1391" s="10">
        <f t="shared" si="21"/>
        <v>67668</v>
      </c>
    </row>
    <row r="1392" spans="1:11">
      <c r="A1392" t="s">
        <v>2470</v>
      </c>
      <c r="B1392" s="10">
        <v>2018</v>
      </c>
      <c r="C1392" t="s">
        <v>998</v>
      </c>
      <c r="D1392" t="s">
        <v>2472</v>
      </c>
      <c r="E1392" t="s">
        <v>2474</v>
      </c>
      <c r="F1392" t="s">
        <v>1918</v>
      </c>
      <c r="G1392" t="s">
        <v>1918</v>
      </c>
      <c r="H1392" s="10">
        <v>69847</v>
      </c>
      <c r="I1392" t="str">
        <f>IFERROR(VLOOKUP(Final!F1392,'LEAID Match'!$A$2:$B$374,2,FALSE),"")</f>
        <v/>
      </c>
      <c r="K1392" s="10">
        <f t="shared" si="21"/>
        <v>69847</v>
      </c>
    </row>
    <row r="1393" spans="1:11">
      <c r="A1393" t="s">
        <v>2470</v>
      </c>
      <c r="B1393" s="10">
        <v>2019</v>
      </c>
      <c r="C1393" t="s">
        <v>998</v>
      </c>
      <c r="D1393" t="s">
        <v>2472</v>
      </c>
      <c r="E1393" t="s">
        <v>2474</v>
      </c>
      <c r="F1393" t="s">
        <v>1918</v>
      </c>
      <c r="G1393" t="s">
        <v>1918</v>
      </c>
      <c r="H1393" s="10">
        <v>61304</v>
      </c>
      <c r="I1393" t="str">
        <f>IFERROR(VLOOKUP(Final!F1393,'LEAID Match'!$A$2:$B$374,2,FALSE),"")</f>
        <v/>
      </c>
      <c r="K1393" s="10">
        <f t="shared" si="21"/>
        <v>61304</v>
      </c>
    </row>
    <row r="1394" spans="1:11">
      <c r="A1394" t="s">
        <v>2470</v>
      </c>
      <c r="B1394" s="10">
        <v>2020</v>
      </c>
      <c r="C1394" t="s">
        <v>998</v>
      </c>
      <c r="D1394" t="s">
        <v>2472</v>
      </c>
      <c r="E1394" t="s">
        <v>2474</v>
      </c>
      <c r="F1394" t="s">
        <v>1918</v>
      </c>
      <c r="G1394" t="s">
        <v>1918</v>
      </c>
      <c r="H1394" s="10">
        <v>58951</v>
      </c>
      <c r="I1394" t="str">
        <f>IFERROR(VLOOKUP(Final!F1394,'LEAID Match'!$A$2:$B$374,2,FALSE),"")</f>
        <v/>
      </c>
      <c r="K1394" s="10">
        <f t="shared" si="21"/>
        <v>58951</v>
      </c>
    </row>
    <row r="1395" spans="1:11">
      <c r="A1395" t="s">
        <v>2470</v>
      </c>
      <c r="B1395" s="10">
        <v>2021</v>
      </c>
      <c r="C1395" t="s">
        <v>998</v>
      </c>
      <c r="D1395" t="s">
        <v>2472</v>
      </c>
      <c r="E1395" t="s">
        <v>2474</v>
      </c>
      <c r="F1395" t="s">
        <v>1918</v>
      </c>
      <c r="G1395" t="s">
        <v>1918</v>
      </c>
      <c r="H1395" s="10">
        <v>49352</v>
      </c>
      <c r="I1395" t="str">
        <f>IFERROR(VLOOKUP(Final!F1395,'LEAID Match'!$A$2:$B$374,2,FALSE),"")</f>
        <v/>
      </c>
      <c r="K1395" s="10">
        <f t="shared" si="21"/>
        <v>49352</v>
      </c>
    </row>
    <row r="1396" spans="1:11">
      <c r="A1396" t="s">
        <v>2470</v>
      </c>
      <c r="B1396" s="10">
        <v>2022</v>
      </c>
      <c r="C1396" t="s">
        <v>998</v>
      </c>
      <c r="D1396" t="s">
        <v>2472</v>
      </c>
      <c r="E1396" t="s">
        <v>2474</v>
      </c>
      <c r="F1396" t="s">
        <v>1918</v>
      </c>
      <c r="G1396" t="s">
        <v>1918</v>
      </c>
      <c r="H1396" s="10">
        <v>42232</v>
      </c>
      <c r="I1396" t="str">
        <f>IFERROR(VLOOKUP(Final!F1396,'LEAID Match'!$A$2:$B$374,2,FALSE),"")</f>
        <v/>
      </c>
      <c r="K1396" s="10">
        <f t="shared" si="21"/>
        <v>42232</v>
      </c>
    </row>
    <row r="1397" spans="1:11">
      <c r="A1397" t="s">
        <v>2470</v>
      </c>
      <c r="B1397" s="10">
        <v>2023</v>
      </c>
      <c r="C1397" t="s">
        <v>998</v>
      </c>
      <c r="D1397" t="s">
        <v>2472</v>
      </c>
      <c r="E1397" t="s">
        <v>2474</v>
      </c>
      <c r="F1397" t="s">
        <v>1918</v>
      </c>
      <c r="G1397" t="s">
        <v>1918</v>
      </c>
      <c r="H1397" s="10">
        <v>52680</v>
      </c>
      <c r="I1397" t="str">
        <f>IFERROR(VLOOKUP(Final!F1397,'LEAID Match'!$A$2:$B$374,2,FALSE),"")</f>
        <v/>
      </c>
      <c r="K1397" s="10">
        <f t="shared" si="21"/>
        <v>52680</v>
      </c>
    </row>
    <row r="1398" spans="1:11">
      <c r="A1398">
        <v>406300</v>
      </c>
      <c r="B1398" s="10">
        <v>2015</v>
      </c>
      <c r="C1398" t="s">
        <v>927</v>
      </c>
      <c r="D1398" t="s">
        <v>2472</v>
      </c>
      <c r="E1398" t="s">
        <v>2474</v>
      </c>
      <c r="F1398" t="s">
        <v>1872</v>
      </c>
      <c r="G1398" t="s">
        <v>872</v>
      </c>
      <c r="H1398" s="10">
        <v>4460159</v>
      </c>
      <c r="I1398">
        <f>IFERROR(VLOOKUP(Final!F1398,'LEAID Match'!$A$2:$B$374,2,FALSE),"")</f>
        <v>406300</v>
      </c>
      <c r="K1398" s="10">
        <f t="shared" si="21"/>
        <v>4460159</v>
      </c>
    </row>
    <row r="1399" spans="1:11">
      <c r="A1399">
        <v>406300</v>
      </c>
      <c r="B1399" s="10">
        <v>2016</v>
      </c>
      <c r="C1399" t="s">
        <v>927</v>
      </c>
      <c r="D1399" t="s">
        <v>2472</v>
      </c>
      <c r="E1399" t="s">
        <v>2474</v>
      </c>
      <c r="F1399" t="s">
        <v>1872</v>
      </c>
      <c r="G1399" t="s">
        <v>872</v>
      </c>
      <c r="H1399" s="10">
        <v>4432682</v>
      </c>
      <c r="I1399">
        <f>IFERROR(VLOOKUP(Final!F1399,'LEAID Match'!$A$2:$B$374,2,FALSE),"")</f>
        <v>406300</v>
      </c>
      <c r="K1399" s="10">
        <f t="shared" si="21"/>
        <v>4432682</v>
      </c>
    </row>
    <row r="1400" spans="1:11">
      <c r="A1400">
        <v>406300</v>
      </c>
      <c r="B1400" s="10">
        <v>2017</v>
      </c>
      <c r="C1400" t="s">
        <v>927</v>
      </c>
      <c r="D1400" t="s">
        <v>2472</v>
      </c>
      <c r="E1400" t="s">
        <v>2474</v>
      </c>
      <c r="F1400" t="s">
        <v>1872</v>
      </c>
      <c r="G1400" t="s">
        <v>1872</v>
      </c>
      <c r="H1400" s="10">
        <v>4477256</v>
      </c>
      <c r="I1400">
        <f>IFERROR(VLOOKUP(Final!F1400,'LEAID Match'!$A$2:$B$374,2,FALSE),"")</f>
        <v>406300</v>
      </c>
      <c r="K1400" s="10">
        <f t="shared" si="21"/>
        <v>4477256</v>
      </c>
    </row>
    <row r="1401" spans="1:11">
      <c r="A1401">
        <v>406300</v>
      </c>
      <c r="B1401" s="10">
        <v>2018</v>
      </c>
      <c r="C1401" t="s">
        <v>927</v>
      </c>
      <c r="D1401" t="s">
        <v>2472</v>
      </c>
      <c r="E1401" t="s">
        <v>2474</v>
      </c>
      <c r="F1401" t="s">
        <v>1872</v>
      </c>
      <c r="G1401" t="s">
        <v>2274</v>
      </c>
      <c r="H1401" s="10">
        <v>4765856</v>
      </c>
      <c r="I1401">
        <f>IFERROR(VLOOKUP(Final!F1401,'LEAID Match'!$A$2:$B$374,2,FALSE),"")</f>
        <v>406300</v>
      </c>
      <c r="K1401" s="10">
        <f t="shared" si="21"/>
        <v>4765856</v>
      </c>
    </row>
    <row r="1402" spans="1:11">
      <c r="A1402">
        <v>406300</v>
      </c>
      <c r="B1402" s="10">
        <v>2019</v>
      </c>
      <c r="C1402" t="s">
        <v>927</v>
      </c>
      <c r="D1402" t="s">
        <v>2472</v>
      </c>
      <c r="E1402" t="s">
        <v>2474</v>
      </c>
      <c r="F1402" t="s">
        <v>1872</v>
      </c>
      <c r="G1402" t="s">
        <v>1872</v>
      </c>
      <c r="H1402" s="10">
        <v>4936605</v>
      </c>
      <c r="I1402">
        <f>IFERROR(VLOOKUP(Final!F1402,'LEAID Match'!$A$2:$B$374,2,FALSE),"")</f>
        <v>406300</v>
      </c>
      <c r="K1402" s="10">
        <f t="shared" si="21"/>
        <v>4936605</v>
      </c>
    </row>
    <row r="1403" spans="1:11">
      <c r="A1403">
        <v>406300</v>
      </c>
      <c r="B1403" s="10">
        <v>2020</v>
      </c>
      <c r="C1403" t="s">
        <v>927</v>
      </c>
      <c r="D1403" t="s">
        <v>2472</v>
      </c>
      <c r="E1403" t="s">
        <v>2474</v>
      </c>
      <c r="F1403" t="s">
        <v>1872</v>
      </c>
      <c r="G1403" t="s">
        <v>1872</v>
      </c>
      <c r="H1403" s="10">
        <v>5260511</v>
      </c>
      <c r="I1403">
        <f>IFERROR(VLOOKUP(Final!F1403,'LEAID Match'!$A$2:$B$374,2,FALSE),"")</f>
        <v>406300</v>
      </c>
      <c r="K1403" s="10">
        <f t="shared" si="21"/>
        <v>5260511</v>
      </c>
    </row>
    <row r="1404" spans="1:11">
      <c r="A1404">
        <v>406300</v>
      </c>
      <c r="B1404" s="10">
        <v>2021</v>
      </c>
      <c r="C1404" t="s">
        <v>927</v>
      </c>
      <c r="D1404" t="s">
        <v>2472</v>
      </c>
      <c r="E1404" t="s">
        <v>2474</v>
      </c>
      <c r="F1404" t="s">
        <v>1872</v>
      </c>
      <c r="G1404" t="s">
        <v>1872</v>
      </c>
      <c r="H1404" s="10">
        <v>5258799</v>
      </c>
      <c r="I1404">
        <f>IFERROR(VLOOKUP(Final!F1404,'LEAID Match'!$A$2:$B$374,2,FALSE),"")</f>
        <v>406300</v>
      </c>
      <c r="K1404" s="10">
        <f t="shared" si="21"/>
        <v>5258799</v>
      </c>
    </row>
    <row r="1405" spans="1:11">
      <c r="A1405">
        <v>406300</v>
      </c>
      <c r="B1405" s="10">
        <v>2022</v>
      </c>
      <c r="C1405" t="s">
        <v>927</v>
      </c>
      <c r="D1405" t="s">
        <v>2472</v>
      </c>
      <c r="E1405" t="s">
        <v>2474</v>
      </c>
      <c r="F1405" t="s">
        <v>1872</v>
      </c>
      <c r="G1405" t="s">
        <v>1872</v>
      </c>
      <c r="H1405" s="10">
        <v>5639253</v>
      </c>
      <c r="I1405">
        <f>IFERROR(VLOOKUP(Final!F1405,'LEAID Match'!$A$2:$B$374,2,FALSE),"")</f>
        <v>406300</v>
      </c>
      <c r="K1405" s="10">
        <f t="shared" si="21"/>
        <v>5639253</v>
      </c>
    </row>
    <row r="1406" spans="1:11">
      <c r="A1406">
        <v>406300</v>
      </c>
      <c r="B1406" s="10">
        <v>2023</v>
      </c>
      <c r="C1406" t="s">
        <v>927</v>
      </c>
      <c r="D1406" t="s">
        <v>2472</v>
      </c>
      <c r="E1406" t="s">
        <v>2474</v>
      </c>
      <c r="F1406" t="s">
        <v>1872</v>
      </c>
      <c r="G1406" t="s">
        <v>1872</v>
      </c>
      <c r="H1406" s="10">
        <v>5634893</v>
      </c>
      <c r="I1406">
        <f>IFERROR(VLOOKUP(Final!F1406,'LEAID Match'!$A$2:$B$374,2,FALSE),"")</f>
        <v>406300</v>
      </c>
      <c r="K1406" s="10">
        <f t="shared" si="21"/>
        <v>5634893</v>
      </c>
    </row>
    <row r="1407" spans="1:11">
      <c r="A1407">
        <v>407020</v>
      </c>
      <c r="B1407" s="10">
        <v>2015</v>
      </c>
      <c r="C1407" t="s">
        <v>1038</v>
      </c>
      <c r="D1407" t="s">
        <v>2472</v>
      </c>
      <c r="E1407" t="s">
        <v>2474</v>
      </c>
      <c r="F1407" t="s">
        <v>1916</v>
      </c>
      <c r="G1407" t="s">
        <v>983</v>
      </c>
      <c r="H1407" s="10">
        <v>443874</v>
      </c>
      <c r="I1407">
        <f>IFERROR(VLOOKUP(Final!F1407,'LEAID Match'!$A$2:$B$374,2,FALSE),"")</f>
        <v>407020</v>
      </c>
      <c r="K1407" s="10">
        <f t="shared" si="21"/>
        <v>443874</v>
      </c>
    </row>
    <row r="1408" spans="1:11">
      <c r="A1408">
        <v>407020</v>
      </c>
      <c r="B1408" s="10">
        <v>2016</v>
      </c>
      <c r="C1408" t="s">
        <v>1038</v>
      </c>
      <c r="D1408" t="s">
        <v>2472</v>
      </c>
      <c r="E1408" t="s">
        <v>2474</v>
      </c>
      <c r="F1408" t="s">
        <v>1916</v>
      </c>
      <c r="G1408" t="s">
        <v>983</v>
      </c>
      <c r="H1408" s="10">
        <v>480895</v>
      </c>
      <c r="I1408">
        <f>IFERROR(VLOOKUP(Final!F1408,'LEAID Match'!$A$2:$B$374,2,FALSE),"")</f>
        <v>407020</v>
      </c>
      <c r="K1408" s="10">
        <f t="shared" si="21"/>
        <v>480895</v>
      </c>
    </row>
    <row r="1409" spans="1:11">
      <c r="A1409">
        <v>407020</v>
      </c>
      <c r="B1409" s="10">
        <v>2017</v>
      </c>
      <c r="C1409" t="s">
        <v>1038</v>
      </c>
      <c r="D1409" t="s">
        <v>2472</v>
      </c>
      <c r="E1409" t="s">
        <v>2474</v>
      </c>
      <c r="F1409" t="s">
        <v>1916</v>
      </c>
      <c r="G1409" t="s">
        <v>1916</v>
      </c>
      <c r="H1409" s="10">
        <v>488674</v>
      </c>
      <c r="I1409">
        <f>IFERROR(VLOOKUP(Final!F1409,'LEAID Match'!$A$2:$B$374,2,FALSE),"")</f>
        <v>407020</v>
      </c>
      <c r="K1409" s="10">
        <f t="shared" si="21"/>
        <v>488674</v>
      </c>
    </row>
    <row r="1410" spans="1:11">
      <c r="A1410">
        <v>407020</v>
      </c>
      <c r="B1410" s="10">
        <v>2018</v>
      </c>
      <c r="C1410" t="s">
        <v>1038</v>
      </c>
      <c r="D1410" t="s">
        <v>2472</v>
      </c>
      <c r="E1410" t="s">
        <v>2474</v>
      </c>
      <c r="F1410" t="s">
        <v>1916</v>
      </c>
      <c r="G1410" t="s">
        <v>2294</v>
      </c>
      <c r="H1410" s="10">
        <v>486720</v>
      </c>
      <c r="I1410">
        <f>IFERROR(VLOOKUP(Final!F1410,'LEAID Match'!$A$2:$B$374,2,FALSE),"")</f>
        <v>407020</v>
      </c>
      <c r="K1410" s="10">
        <f t="shared" si="21"/>
        <v>486720</v>
      </c>
    </row>
    <row r="1411" spans="1:11">
      <c r="A1411">
        <v>407020</v>
      </c>
      <c r="B1411" s="10">
        <v>2019</v>
      </c>
      <c r="C1411" t="s">
        <v>1038</v>
      </c>
      <c r="D1411" t="s">
        <v>2472</v>
      </c>
      <c r="E1411" t="s">
        <v>2474</v>
      </c>
      <c r="F1411" t="s">
        <v>1916</v>
      </c>
      <c r="G1411" t="s">
        <v>1916</v>
      </c>
      <c r="H1411" s="10">
        <v>498608</v>
      </c>
      <c r="I1411">
        <f>IFERROR(VLOOKUP(Final!F1411,'LEAID Match'!$A$2:$B$374,2,FALSE),"")</f>
        <v>407020</v>
      </c>
      <c r="K1411" s="10">
        <f t="shared" ref="K1411:K1474" si="22">SUM(H1411,J1411)</f>
        <v>498608</v>
      </c>
    </row>
    <row r="1412" spans="1:11">
      <c r="A1412">
        <v>407020</v>
      </c>
      <c r="B1412" s="10">
        <v>2020</v>
      </c>
      <c r="C1412" t="s">
        <v>1038</v>
      </c>
      <c r="D1412" t="s">
        <v>2472</v>
      </c>
      <c r="E1412" t="s">
        <v>2474</v>
      </c>
      <c r="F1412" t="s">
        <v>1916</v>
      </c>
      <c r="G1412" t="s">
        <v>1916</v>
      </c>
      <c r="H1412" s="10">
        <v>596974</v>
      </c>
      <c r="I1412">
        <f>IFERROR(VLOOKUP(Final!F1412,'LEAID Match'!$A$2:$B$374,2,FALSE),"")</f>
        <v>407020</v>
      </c>
      <c r="K1412" s="10">
        <f t="shared" si="22"/>
        <v>596974</v>
      </c>
    </row>
    <row r="1413" spans="1:11">
      <c r="A1413">
        <v>407020</v>
      </c>
      <c r="B1413" s="10">
        <v>2021</v>
      </c>
      <c r="C1413" t="s">
        <v>1038</v>
      </c>
      <c r="D1413" t="s">
        <v>2472</v>
      </c>
      <c r="E1413" t="s">
        <v>2474</v>
      </c>
      <c r="F1413" t="s">
        <v>1916</v>
      </c>
      <c r="G1413" t="s">
        <v>1916</v>
      </c>
      <c r="H1413" s="10">
        <v>694654</v>
      </c>
      <c r="I1413">
        <f>IFERROR(VLOOKUP(Final!F1413,'LEAID Match'!$A$2:$B$374,2,FALSE),"")</f>
        <v>407020</v>
      </c>
      <c r="K1413" s="10">
        <f t="shared" si="22"/>
        <v>694654</v>
      </c>
    </row>
    <row r="1414" spans="1:11">
      <c r="A1414">
        <v>407020</v>
      </c>
      <c r="B1414" s="10">
        <v>2022</v>
      </c>
      <c r="C1414" t="s">
        <v>1038</v>
      </c>
      <c r="D1414" t="s">
        <v>2472</v>
      </c>
      <c r="E1414" t="s">
        <v>2474</v>
      </c>
      <c r="F1414" t="s">
        <v>1916</v>
      </c>
      <c r="G1414" t="s">
        <v>1916</v>
      </c>
      <c r="H1414" s="10">
        <v>617413</v>
      </c>
      <c r="I1414">
        <f>IFERROR(VLOOKUP(Final!F1414,'LEAID Match'!$A$2:$B$374,2,FALSE),"")</f>
        <v>407020</v>
      </c>
      <c r="K1414" s="10">
        <f t="shared" si="22"/>
        <v>617413</v>
      </c>
    </row>
    <row r="1415" spans="1:11">
      <c r="A1415">
        <v>407020</v>
      </c>
      <c r="B1415" s="10">
        <v>2023</v>
      </c>
      <c r="C1415" t="s">
        <v>1038</v>
      </c>
      <c r="D1415" t="s">
        <v>2472</v>
      </c>
      <c r="E1415" t="s">
        <v>2474</v>
      </c>
      <c r="F1415" t="s">
        <v>1916</v>
      </c>
      <c r="G1415" t="s">
        <v>1916</v>
      </c>
      <c r="H1415" s="10">
        <v>663890</v>
      </c>
      <c r="I1415">
        <f>IFERROR(VLOOKUP(Final!F1415,'LEAID Match'!$A$2:$B$374,2,FALSE),"")</f>
        <v>407020</v>
      </c>
      <c r="K1415" s="10">
        <f t="shared" si="22"/>
        <v>663890</v>
      </c>
    </row>
    <row r="1416" spans="1:11">
      <c r="A1416">
        <v>408310</v>
      </c>
      <c r="B1416" s="10">
        <v>2015</v>
      </c>
      <c r="C1416" t="s">
        <v>1154</v>
      </c>
      <c r="D1416" t="s">
        <v>2472</v>
      </c>
      <c r="E1416" t="s">
        <v>2474</v>
      </c>
      <c r="F1416" t="s">
        <v>1982</v>
      </c>
      <c r="G1416" t="s">
        <v>1099</v>
      </c>
      <c r="H1416" s="10">
        <v>6627060</v>
      </c>
      <c r="I1416">
        <f>IFERROR(VLOOKUP(Final!F1416,'LEAID Match'!$A$2:$B$374,2,FALSE),"")</f>
        <v>408310</v>
      </c>
      <c r="K1416" s="10">
        <f t="shared" si="22"/>
        <v>6627060</v>
      </c>
    </row>
    <row r="1417" spans="1:11">
      <c r="A1417">
        <v>408310</v>
      </c>
      <c r="B1417" s="10">
        <v>2016</v>
      </c>
      <c r="C1417" t="s">
        <v>1154</v>
      </c>
      <c r="D1417" t="s">
        <v>2472</v>
      </c>
      <c r="E1417" t="s">
        <v>2474</v>
      </c>
      <c r="F1417" t="s">
        <v>1982</v>
      </c>
      <c r="G1417" t="s">
        <v>1099</v>
      </c>
      <c r="H1417" s="10">
        <v>6660014</v>
      </c>
      <c r="I1417">
        <f>IFERROR(VLOOKUP(Final!F1417,'LEAID Match'!$A$2:$B$374,2,FALSE),"")</f>
        <v>408310</v>
      </c>
      <c r="K1417" s="10">
        <f t="shared" si="22"/>
        <v>6660014</v>
      </c>
    </row>
    <row r="1418" spans="1:11">
      <c r="A1418">
        <v>408310</v>
      </c>
      <c r="B1418" s="10">
        <v>2017</v>
      </c>
      <c r="C1418" t="s">
        <v>1154</v>
      </c>
      <c r="D1418" t="s">
        <v>2472</v>
      </c>
      <c r="E1418" t="s">
        <v>2474</v>
      </c>
      <c r="F1418" t="s">
        <v>1982</v>
      </c>
      <c r="G1418" t="s">
        <v>1982</v>
      </c>
      <c r="H1418" s="10">
        <v>6872338</v>
      </c>
      <c r="I1418">
        <f>IFERROR(VLOOKUP(Final!F1418,'LEAID Match'!$A$2:$B$374,2,FALSE),"")</f>
        <v>408310</v>
      </c>
      <c r="K1418" s="10">
        <f t="shared" si="22"/>
        <v>6872338</v>
      </c>
    </row>
    <row r="1419" spans="1:11">
      <c r="A1419">
        <v>408310</v>
      </c>
      <c r="B1419" s="10">
        <v>2018</v>
      </c>
      <c r="C1419" t="s">
        <v>1154</v>
      </c>
      <c r="D1419" t="s">
        <v>2472</v>
      </c>
      <c r="E1419" t="s">
        <v>2474</v>
      </c>
      <c r="F1419" t="s">
        <v>1982</v>
      </c>
      <c r="G1419" t="s">
        <v>1982</v>
      </c>
      <c r="H1419" s="10">
        <v>7112066</v>
      </c>
      <c r="I1419">
        <f>IFERROR(VLOOKUP(Final!F1419,'LEAID Match'!$A$2:$B$374,2,FALSE),"")</f>
        <v>408310</v>
      </c>
      <c r="K1419" s="10">
        <f t="shared" si="22"/>
        <v>7112066</v>
      </c>
    </row>
    <row r="1420" spans="1:11">
      <c r="A1420">
        <v>408310</v>
      </c>
      <c r="B1420" s="10">
        <v>2019</v>
      </c>
      <c r="C1420" t="s">
        <v>1154</v>
      </c>
      <c r="D1420" t="s">
        <v>2472</v>
      </c>
      <c r="E1420" t="s">
        <v>2474</v>
      </c>
      <c r="F1420" t="s">
        <v>1982</v>
      </c>
      <c r="G1420" t="s">
        <v>1982</v>
      </c>
      <c r="H1420" s="10">
        <v>7994616</v>
      </c>
      <c r="I1420">
        <f>IFERROR(VLOOKUP(Final!F1420,'LEAID Match'!$A$2:$B$374,2,FALSE),"")</f>
        <v>408310</v>
      </c>
      <c r="K1420" s="10">
        <f t="shared" si="22"/>
        <v>7994616</v>
      </c>
    </row>
    <row r="1421" spans="1:11">
      <c r="A1421">
        <v>408310</v>
      </c>
      <c r="B1421" s="10">
        <v>2020</v>
      </c>
      <c r="C1421" t="s">
        <v>1154</v>
      </c>
      <c r="D1421" t="s">
        <v>2472</v>
      </c>
      <c r="E1421" t="s">
        <v>2474</v>
      </c>
      <c r="F1421" t="s">
        <v>1982</v>
      </c>
      <c r="G1421" t="s">
        <v>1982</v>
      </c>
      <c r="H1421" s="10">
        <v>8563027</v>
      </c>
      <c r="I1421">
        <f>IFERROR(VLOOKUP(Final!F1421,'LEAID Match'!$A$2:$B$374,2,FALSE),"")</f>
        <v>408310</v>
      </c>
      <c r="K1421" s="10">
        <f t="shared" si="22"/>
        <v>8563027</v>
      </c>
    </row>
    <row r="1422" spans="1:11">
      <c r="A1422">
        <v>408310</v>
      </c>
      <c r="B1422" s="10">
        <v>2021</v>
      </c>
      <c r="C1422" t="s">
        <v>1154</v>
      </c>
      <c r="D1422" t="s">
        <v>2472</v>
      </c>
      <c r="E1422" t="s">
        <v>2474</v>
      </c>
      <c r="F1422" t="s">
        <v>1982</v>
      </c>
      <c r="G1422" t="s">
        <v>1982</v>
      </c>
      <c r="H1422" s="10">
        <v>8832593</v>
      </c>
      <c r="I1422">
        <f>IFERROR(VLOOKUP(Final!F1422,'LEAID Match'!$A$2:$B$374,2,FALSE),"")</f>
        <v>408310</v>
      </c>
      <c r="K1422" s="10">
        <f t="shared" si="22"/>
        <v>8832593</v>
      </c>
    </row>
    <row r="1423" spans="1:11">
      <c r="A1423">
        <v>408310</v>
      </c>
      <c r="B1423" s="10">
        <v>2022</v>
      </c>
      <c r="C1423" t="s">
        <v>1154</v>
      </c>
      <c r="D1423" t="s">
        <v>2472</v>
      </c>
      <c r="E1423" t="s">
        <v>2474</v>
      </c>
      <c r="F1423" t="s">
        <v>1982</v>
      </c>
      <c r="G1423" t="s">
        <v>1982</v>
      </c>
      <c r="H1423" s="10">
        <v>9979282</v>
      </c>
      <c r="I1423">
        <f>IFERROR(VLOOKUP(Final!F1423,'LEAID Match'!$A$2:$B$374,2,FALSE),"")</f>
        <v>408310</v>
      </c>
      <c r="K1423" s="10">
        <f t="shared" si="22"/>
        <v>9979282</v>
      </c>
    </row>
    <row r="1424" spans="1:11">
      <c r="A1424">
        <v>408310</v>
      </c>
      <c r="B1424" s="10">
        <v>2023</v>
      </c>
      <c r="C1424" t="s">
        <v>1154</v>
      </c>
      <c r="D1424" t="s">
        <v>2472</v>
      </c>
      <c r="E1424" t="s">
        <v>2474</v>
      </c>
      <c r="F1424" t="s">
        <v>1982</v>
      </c>
      <c r="G1424" t="s">
        <v>1982</v>
      </c>
      <c r="H1424" s="10">
        <v>9755973</v>
      </c>
      <c r="I1424">
        <f>IFERROR(VLOOKUP(Final!F1424,'LEAID Match'!$A$2:$B$374,2,FALSE),"")</f>
        <v>408310</v>
      </c>
      <c r="K1424" s="10">
        <f t="shared" si="22"/>
        <v>9755973</v>
      </c>
    </row>
    <row r="1425" spans="1:11">
      <c r="A1425">
        <v>404970</v>
      </c>
      <c r="B1425" s="10">
        <v>2015</v>
      </c>
      <c r="C1425" t="s">
        <v>795</v>
      </c>
      <c r="D1425" t="s">
        <v>2472</v>
      </c>
      <c r="E1425" t="s">
        <v>2474</v>
      </c>
      <c r="F1425" t="s">
        <v>1806</v>
      </c>
      <c r="G1425" t="s">
        <v>740</v>
      </c>
      <c r="H1425" s="10">
        <v>33584554</v>
      </c>
      <c r="I1425">
        <f>IFERROR(VLOOKUP(Final!F1425,'LEAID Match'!$A$2:$B$374,2,FALSE),"")</f>
        <v>404970</v>
      </c>
      <c r="K1425" s="10">
        <f t="shared" si="22"/>
        <v>33584554</v>
      </c>
    </row>
    <row r="1426" spans="1:11">
      <c r="A1426">
        <v>404970</v>
      </c>
      <c r="B1426" s="10">
        <v>2016</v>
      </c>
      <c r="C1426" t="s">
        <v>795</v>
      </c>
      <c r="D1426" t="s">
        <v>2472</v>
      </c>
      <c r="E1426" t="s">
        <v>2474</v>
      </c>
      <c r="F1426" t="s">
        <v>1806</v>
      </c>
      <c r="G1426" t="s">
        <v>740</v>
      </c>
      <c r="H1426" s="10">
        <v>34511064</v>
      </c>
      <c r="I1426">
        <f>IFERROR(VLOOKUP(Final!F1426,'LEAID Match'!$A$2:$B$374,2,FALSE),"")</f>
        <v>404970</v>
      </c>
      <c r="K1426" s="10">
        <f t="shared" si="22"/>
        <v>34511064</v>
      </c>
    </row>
    <row r="1427" spans="1:11">
      <c r="A1427">
        <v>404970</v>
      </c>
      <c r="B1427" s="10">
        <v>2017</v>
      </c>
      <c r="C1427" t="s">
        <v>795</v>
      </c>
      <c r="D1427" t="s">
        <v>2472</v>
      </c>
      <c r="E1427" t="s">
        <v>2474</v>
      </c>
      <c r="F1427" t="s">
        <v>1806</v>
      </c>
      <c r="G1427" t="s">
        <v>1806</v>
      </c>
      <c r="H1427" s="10">
        <v>33897298</v>
      </c>
      <c r="I1427">
        <f>IFERROR(VLOOKUP(Final!F1427,'LEAID Match'!$A$2:$B$374,2,FALSE),"")</f>
        <v>404970</v>
      </c>
      <c r="K1427" s="10">
        <f t="shared" si="22"/>
        <v>33897298</v>
      </c>
    </row>
    <row r="1428" spans="1:11">
      <c r="A1428">
        <v>404970</v>
      </c>
      <c r="B1428" s="10">
        <v>2018</v>
      </c>
      <c r="C1428" t="s">
        <v>795</v>
      </c>
      <c r="D1428" t="s">
        <v>2472</v>
      </c>
      <c r="E1428" t="s">
        <v>2474</v>
      </c>
      <c r="F1428" t="s">
        <v>1806</v>
      </c>
      <c r="G1428" t="s">
        <v>1806</v>
      </c>
      <c r="H1428" s="10">
        <v>33996825</v>
      </c>
      <c r="I1428">
        <f>IFERROR(VLOOKUP(Final!F1428,'LEAID Match'!$A$2:$B$374,2,FALSE),"")</f>
        <v>404970</v>
      </c>
      <c r="K1428" s="10">
        <f t="shared" si="22"/>
        <v>33996825</v>
      </c>
    </row>
    <row r="1429" spans="1:11">
      <c r="A1429">
        <v>404970</v>
      </c>
      <c r="B1429" s="10">
        <v>2019</v>
      </c>
      <c r="C1429" t="s">
        <v>795</v>
      </c>
      <c r="D1429" t="s">
        <v>2472</v>
      </c>
      <c r="E1429" t="s">
        <v>2474</v>
      </c>
      <c r="F1429" t="s">
        <v>1806</v>
      </c>
      <c r="G1429" t="s">
        <v>1806</v>
      </c>
      <c r="H1429" s="10">
        <v>37965531</v>
      </c>
      <c r="I1429">
        <f>IFERROR(VLOOKUP(Final!F1429,'LEAID Match'!$A$2:$B$374,2,FALSE),"")</f>
        <v>404970</v>
      </c>
      <c r="K1429" s="10">
        <f t="shared" si="22"/>
        <v>37965531</v>
      </c>
    </row>
    <row r="1430" spans="1:11">
      <c r="A1430">
        <v>404970</v>
      </c>
      <c r="B1430" s="10">
        <v>2020</v>
      </c>
      <c r="C1430" t="s">
        <v>795</v>
      </c>
      <c r="D1430" t="s">
        <v>2472</v>
      </c>
      <c r="E1430" t="s">
        <v>2474</v>
      </c>
      <c r="F1430" t="s">
        <v>1806</v>
      </c>
      <c r="G1430" t="s">
        <v>1806</v>
      </c>
      <c r="H1430" s="10">
        <v>40964127</v>
      </c>
      <c r="I1430">
        <f>IFERROR(VLOOKUP(Final!F1430,'LEAID Match'!$A$2:$B$374,2,FALSE),"")</f>
        <v>404970</v>
      </c>
      <c r="K1430" s="10">
        <f t="shared" si="22"/>
        <v>40964127</v>
      </c>
    </row>
    <row r="1431" spans="1:11">
      <c r="A1431">
        <v>404970</v>
      </c>
      <c r="B1431" s="10">
        <v>2021</v>
      </c>
      <c r="C1431" t="s">
        <v>795</v>
      </c>
      <c r="D1431" t="s">
        <v>2472</v>
      </c>
      <c r="E1431" t="s">
        <v>2474</v>
      </c>
      <c r="F1431" t="s">
        <v>1806</v>
      </c>
      <c r="G1431" t="s">
        <v>1806</v>
      </c>
      <c r="H1431" s="10">
        <v>43659193</v>
      </c>
      <c r="I1431">
        <f>IFERROR(VLOOKUP(Final!F1431,'LEAID Match'!$A$2:$B$374,2,FALSE),"")</f>
        <v>404970</v>
      </c>
      <c r="K1431" s="10">
        <f t="shared" si="22"/>
        <v>43659193</v>
      </c>
    </row>
    <row r="1432" spans="1:11">
      <c r="A1432">
        <v>404970</v>
      </c>
      <c r="B1432" s="10">
        <v>2022</v>
      </c>
      <c r="C1432" t="s">
        <v>795</v>
      </c>
      <c r="D1432" t="s">
        <v>2472</v>
      </c>
      <c r="E1432" t="s">
        <v>2474</v>
      </c>
      <c r="F1432" t="s">
        <v>1806</v>
      </c>
      <c r="G1432" t="s">
        <v>1806</v>
      </c>
      <c r="H1432" s="10">
        <v>48535717</v>
      </c>
      <c r="I1432">
        <f>IFERROR(VLOOKUP(Final!F1432,'LEAID Match'!$A$2:$B$374,2,FALSE),"")</f>
        <v>404970</v>
      </c>
      <c r="K1432" s="10">
        <f t="shared" si="22"/>
        <v>48535717</v>
      </c>
    </row>
    <row r="1433" spans="1:11">
      <c r="A1433">
        <v>404970</v>
      </c>
      <c r="B1433" s="10">
        <v>2023</v>
      </c>
      <c r="C1433" t="s">
        <v>795</v>
      </c>
      <c r="D1433" t="s">
        <v>2472</v>
      </c>
      <c r="E1433" t="s">
        <v>2474</v>
      </c>
      <c r="F1433" t="s">
        <v>1806</v>
      </c>
      <c r="G1433" t="s">
        <v>1806</v>
      </c>
      <c r="H1433" s="10">
        <v>53704555</v>
      </c>
      <c r="I1433">
        <f>IFERROR(VLOOKUP(Final!F1433,'LEAID Match'!$A$2:$B$374,2,FALSE),"")</f>
        <v>404970</v>
      </c>
      <c r="K1433" s="10">
        <f t="shared" si="22"/>
        <v>53704555</v>
      </c>
    </row>
    <row r="1434" spans="1:11">
      <c r="A1434">
        <v>403960</v>
      </c>
      <c r="B1434" s="10">
        <v>2015</v>
      </c>
      <c r="C1434" t="s">
        <v>698</v>
      </c>
      <c r="D1434" t="s">
        <v>2472</v>
      </c>
      <c r="E1434" t="s">
        <v>2474</v>
      </c>
      <c r="F1434" t="s">
        <v>1762</v>
      </c>
      <c r="G1434" t="s">
        <v>643</v>
      </c>
      <c r="H1434" s="10">
        <v>3894099</v>
      </c>
      <c r="I1434">
        <f>IFERROR(VLOOKUP(Final!F1434,'LEAID Match'!$A$2:$B$374,2,FALSE),"")</f>
        <v>403960</v>
      </c>
      <c r="K1434" s="10">
        <f t="shared" si="22"/>
        <v>3894099</v>
      </c>
    </row>
    <row r="1435" spans="1:11">
      <c r="A1435">
        <v>403960</v>
      </c>
      <c r="B1435" s="10">
        <v>2016</v>
      </c>
      <c r="C1435" t="s">
        <v>698</v>
      </c>
      <c r="D1435" t="s">
        <v>2472</v>
      </c>
      <c r="E1435" t="s">
        <v>2474</v>
      </c>
      <c r="F1435" t="s">
        <v>1762</v>
      </c>
      <c r="G1435" t="s">
        <v>643</v>
      </c>
      <c r="H1435" s="10">
        <v>3789021</v>
      </c>
      <c r="I1435">
        <f>IFERROR(VLOOKUP(Final!F1435,'LEAID Match'!$A$2:$B$374,2,FALSE),"")</f>
        <v>403960</v>
      </c>
      <c r="K1435" s="10">
        <f t="shared" si="22"/>
        <v>3789021</v>
      </c>
    </row>
    <row r="1436" spans="1:11">
      <c r="A1436">
        <v>403960</v>
      </c>
      <c r="B1436" s="10">
        <v>2017</v>
      </c>
      <c r="C1436" t="s">
        <v>698</v>
      </c>
      <c r="D1436" t="s">
        <v>2472</v>
      </c>
      <c r="E1436" t="s">
        <v>2474</v>
      </c>
      <c r="F1436" t="s">
        <v>1762</v>
      </c>
      <c r="G1436" t="s">
        <v>1762</v>
      </c>
      <c r="H1436" s="10">
        <v>4027814</v>
      </c>
      <c r="I1436">
        <f>IFERROR(VLOOKUP(Final!F1436,'LEAID Match'!$A$2:$B$374,2,FALSE),"")</f>
        <v>403960</v>
      </c>
      <c r="K1436" s="10">
        <f t="shared" si="22"/>
        <v>4027814</v>
      </c>
    </row>
    <row r="1437" spans="1:11">
      <c r="A1437">
        <v>403960</v>
      </c>
      <c r="B1437" s="10">
        <v>2018</v>
      </c>
      <c r="C1437" t="s">
        <v>698</v>
      </c>
      <c r="D1437" t="s">
        <v>2472</v>
      </c>
      <c r="E1437" t="s">
        <v>2474</v>
      </c>
      <c r="F1437" t="s">
        <v>1762</v>
      </c>
      <c r="G1437" t="s">
        <v>1762</v>
      </c>
      <c r="H1437" s="10">
        <v>4086886</v>
      </c>
      <c r="I1437">
        <f>IFERROR(VLOOKUP(Final!F1437,'LEAID Match'!$A$2:$B$374,2,FALSE),"")</f>
        <v>403960</v>
      </c>
      <c r="K1437" s="10">
        <f t="shared" si="22"/>
        <v>4086886</v>
      </c>
    </row>
    <row r="1438" spans="1:11">
      <c r="A1438">
        <v>403960</v>
      </c>
      <c r="B1438" s="10">
        <v>2019</v>
      </c>
      <c r="C1438" t="s">
        <v>698</v>
      </c>
      <c r="D1438" t="s">
        <v>2472</v>
      </c>
      <c r="E1438" t="s">
        <v>2474</v>
      </c>
      <c r="F1438" t="s">
        <v>1762</v>
      </c>
      <c r="G1438" t="s">
        <v>1762</v>
      </c>
      <c r="H1438" s="10">
        <v>3901159</v>
      </c>
      <c r="I1438">
        <f>IFERROR(VLOOKUP(Final!F1438,'LEAID Match'!$A$2:$B$374,2,FALSE),"")</f>
        <v>403960</v>
      </c>
      <c r="K1438" s="10">
        <f t="shared" si="22"/>
        <v>3901159</v>
      </c>
    </row>
    <row r="1439" spans="1:11">
      <c r="A1439">
        <v>403960</v>
      </c>
      <c r="B1439" s="10">
        <v>2020</v>
      </c>
      <c r="C1439" t="s">
        <v>698</v>
      </c>
      <c r="D1439" t="s">
        <v>2472</v>
      </c>
      <c r="E1439" t="s">
        <v>2474</v>
      </c>
      <c r="F1439" t="s">
        <v>1762</v>
      </c>
      <c r="G1439" t="s">
        <v>1762</v>
      </c>
      <c r="H1439" s="10">
        <v>3971695</v>
      </c>
      <c r="I1439">
        <f>IFERROR(VLOOKUP(Final!F1439,'LEAID Match'!$A$2:$B$374,2,FALSE),"")</f>
        <v>403960</v>
      </c>
      <c r="K1439" s="10">
        <f t="shared" si="22"/>
        <v>3971695</v>
      </c>
    </row>
    <row r="1440" spans="1:11">
      <c r="A1440">
        <v>403960</v>
      </c>
      <c r="B1440" s="10">
        <v>2021</v>
      </c>
      <c r="C1440" t="s">
        <v>698</v>
      </c>
      <c r="D1440" t="s">
        <v>2472</v>
      </c>
      <c r="E1440" t="s">
        <v>2474</v>
      </c>
      <c r="F1440" t="s">
        <v>1762</v>
      </c>
      <c r="G1440" t="s">
        <v>1762</v>
      </c>
      <c r="H1440" s="10">
        <v>4053845</v>
      </c>
      <c r="I1440">
        <f>IFERROR(VLOOKUP(Final!F1440,'LEAID Match'!$A$2:$B$374,2,FALSE),"")</f>
        <v>403960</v>
      </c>
      <c r="K1440" s="10">
        <f t="shared" si="22"/>
        <v>4053845</v>
      </c>
    </row>
    <row r="1441" spans="1:11">
      <c r="A1441">
        <v>403960</v>
      </c>
      <c r="B1441" s="10">
        <v>2022</v>
      </c>
      <c r="C1441" t="s">
        <v>698</v>
      </c>
      <c r="D1441" t="s">
        <v>2472</v>
      </c>
      <c r="E1441" t="s">
        <v>2474</v>
      </c>
      <c r="F1441" t="s">
        <v>1762</v>
      </c>
      <c r="G1441" t="s">
        <v>1762</v>
      </c>
      <c r="H1441" s="10">
        <v>4447804</v>
      </c>
      <c r="I1441">
        <f>IFERROR(VLOOKUP(Final!F1441,'LEAID Match'!$A$2:$B$374,2,FALSE),"")</f>
        <v>403960</v>
      </c>
      <c r="K1441" s="10">
        <f t="shared" si="22"/>
        <v>4447804</v>
      </c>
    </row>
    <row r="1442" spans="1:11">
      <c r="A1442">
        <v>403960</v>
      </c>
      <c r="B1442" s="10">
        <v>2023</v>
      </c>
      <c r="C1442" t="s">
        <v>698</v>
      </c>
      <c r="D1442" t="s">
        <v>2472</v>
      </c>
      <c r="E1442" t="s">
        <v>2474</v>
      </c>
      <c r="F1442" t="s">
        <v>1762</v>
      </c>
      <c r="G1442" t="s">
        <v>1762</v>
      </c>
      <c r="H1442" s="10">
        <v>4644457</v>
      </c>
      <c r="I1442">
        <f>IFERROR(VLOOKUP(Final!F1442,'LEAID Match'!$A$2:$B$374,2,FALSE),"")</f>
        <v>403960</v>
      </c>
      <c r="K1442" s="10">
        <f t="shared" si="22"/>
        <v>4644457</v>
      </c>
    </row>
    <row r="1443" spans="1:11">
      <c r="A1443">
        <v>409060</v>
      </c>
      <c r="B1443" s="10">
        <v>2015</v>
      </c>
      <c r="C1443" t="s">
        <v>1323</v>
      </c>
      <c r="D1443" t="s">
        <v>2472</v>
      </c>
      <c r="E1443" t="s">
        <v>2474</v>
      </c>
      <c r="F1443" t="s">
        <v>2011</v>
      </c>
      <c r="G1443" t="s">
        <v>1275</v>
      </c>
      <c r="H1443" s="10">
        <v>11834958</v>
      </c>
      <c r="I1443">
        <f>IFERROR(VLOOKUP(Final!F1443,'LEAID Match'!$A$2:$B$374,2,FALSE),"")</f>
        <v>409060</v>
      </c>
      <c r="K1443" s="10">
        <f t="shared" si="22"/>
        <v>11834958</v>
      </c>
    </row>
    <row r="1444" spans="1:11">
      <c r="A1444">
        <v>409060</v>
      </c>
      <c r="B1444" s="10">
        <v>2016</v>
      </c>
      <c r="C1444" t="s">
        <v>1323</v>
      </c>
      <c r="D1444" t="s">
        <v>2472</v>
      </c>
      <c r="E1444" t="s">
        <v>2474</v>
      </c>
      <c r="F1444" t="s">
        <v>2011</v>
      </c>
      <c r="G1444" t="s">
        <v>1275</v>
      </c>
      <c r="H1444" s="10">
        <v>11787803</v>
      </c>
      <c r="I1444">
        <f>IFERROR(VLOOKUP(Final!F1444,'LEAID Match'!$A$2:$B$374,2,FALSE),"")</f>
        <v>409060</v>
      </c>
      <c r="K1444" s="10">
        <f t="shared" si="22"/>
        <v>11787803</v>
      </c>
    </row>
    <row r="1445" spans="1:11">
      <c r="A1445">
        <v>409060</v>
      </c>
      <c r="B1445" s="10">
        <v>2017</v>
      </c>
      <c r="C1445" t="s">
        <v>1323</v>
      </c>
      <c r="D1445" t="s">
        <v>2472</v>
      </c>
      <c r="E1445" t="s">
        <v>2474</v>
      </c>
      <c r="F1445" t="s">
        <v>2011</v>
      </c>
      <c r="G1445" t="s">
        <v>2011</v>
      </c>
      <c r="H1445" s="10">
        <v>12395346</v>
      </c>
      <c r="I1445">
        <f>IFERROR(VLOOKUP(Final!F1445,'LEAID Match'!$A$2:$B$374,2,FALSE),"")</f>
        <v>409060</v>
      </c>
      <c r="K1445" s="10">
        <f t="shared" si="22"/>
        <v>12395346</v>
      </c>
    </row>
    <row r="1446" spans="1:11">
      <c r="A1446">
        <v>409060</v>
      </c>
      <c r="B1446" s="10">
        <v>2018</v>
      </c>
      <c r="C1446" t="s">
        <v>1323</v>
      </c>
      <c r="D1446" t="s">
        <v>2472</v>
      </c>
      <c r="E1446" t="s">
        <v>2474</v>
      </c>
      <c r="F1446" t="s">
        <v>2011</v>
      </c>
      <c r="G1446" t="s">
        <v>2334</v>
      </c>
      <c r="H1446" s="10">
        <v>12530614</v>
      </c>
      <c r="I1446">
        <f>IFERROR(VLOOKUP(Final!F1446,'LEAID Match'!$A$2:$B$374,2,FALSE),"")</f>
        <v>409060</v>
      </c>
      <c r="K1446" s="10">
        <f t="shared" si="22"/>
        <v>12530614</v>
      </c>
    </row>
    <row r="1447" spans="1:11">
      <c r="A1447">
        <v>409060</v>
      </c>
      <c r="B1447" s="10">
        <v>2019</v>
      </c>
      <c r="C1447" t="s">
        <v>1323</v>
      </c>
      <c r="D1447" t="s">
        <v>2472</v>
      </c>
      <c r="E1447" t="s">
        <v>2474</v>
      </c>
      <c r="F1447" t="s">
        <v>2011</v>
      </c>
      <c r="G1447" t="s">
        <v>2011</v>
      </c>
      <c r="H1447" s="10">
        <v>13939804</v>
      </c>
      <c r="I1447">
        <f>IFERROR(VLOOKUP(Final!F1447,'LEAID Match'!$A$2:$B$374,2,FALSE),"")</f>
        <v>409060</v>
      </c>
      <c r="K1447" s="10">
        <f t="shared" si="22"/>
        <v>13939804</v>
      </c>
    </row>
    <row r="1448" spans="1:11">
      <c r="A1448">
        <v>409060</v>
      </c>
      <c r="B1448" s="10">
        <v>2020</v>
      </c>
      <c r="C1448" t="s">
        <v>1323</v>
      </c>
      <c r="D1448" t="s">
        <v>2472</v>
      </c>
      <c r="E1448" t="s">
        <v>2474</v>
      </c>
      <c r="F1448" t="s">
        <v>2011</v>
      </c>
      <c r="G1448" t="s">
        <v>2011</v>
      </c>
      <c r="H1448" s="10">
        <v>14482206</v>
      </c>
      <c r="I1448">
        <f>IFERROR(VLOOKUP(Final!F1448,'LEAID Match'!$A$2:$B$374,2,FALSE),"")</f>
        <v>409060</v>
      </c>
      <c r="K1448" s="10">
        <f t="shared" si="22"/>
        <v>14482206</v>
      </c>
    </row>
    <row r="1449" spans="1:11">
      <c r="A1449">
        <v>409060</v>
      </c>
      <c r="B1449" s="10">
        <v>2021</v>
      </c>
      <c r="C1449" t="s">
        <v>1323</v>
      </c>
      <c r="D1449" t="s">
        <v>2472</v>
      </c>
      <c r="E1449" t="s">
        <v>2474</v>
      </c>
      <c r="F1449" t="s">
        <v>2011</v>
      </c>
      <c r="G1449" t="s">
        <v>2011</v>
      </c>
      <c r="H1449" s="10">
        <v>14995884</v>
      </c>
      <c r="I1449">
        <f>IFERROR(VLOOKUP(Final!F1449,'LEAID Match'!$A$2:$B$374,2,FALSE),"")</f>
        <v>409060</v>
      </c>
      <c r="K1449" s="10">
        <f t="shared" si="22"/>
        <v>14995884</v>
      </c>
    </row>
    <row r="1450" spans="1:11">
      <c r="A1450">
        <v>409060</v>
      </c>
      <c r="B1450" s="10">
        <v>2022</v>
      </c>
      <c r="C1450" t="s">
        <v>1323</v>
      </c>
      <c r="D1450" t="s">
        <v>2472</v>
      </c>
      <c r="E1450" t="s">
        <v>2474</v>
      </c>
      <c r="F1450" t="s">
        <v>2011</v>
      </c>
      <c r="G1450" t="s">
        <v>2011</v>
      </c>
      <c r="H1450" s="10">
        <v>15614309</v>
      </c>
      <c r="I1450">
        <f>IFERROR(VLOOKUP(Final!F1450,'LEAID Match'!$A$2:$B$374,2,FALSE),"")</f>
        <v>409060</v>
      </c>
      <c r="K1450" s="10">
        <f t="shared" si="22"/>
        <v>15614309</v>
      </c>
    </row>
    <row r="1451" spans="1:11">
      <c r="A1451">
        <v>409060</v>
      </c>
      <c r="B1451" s="10">
        <v>2023</v>
      </c>
      <c r="C1451" t="s">
        <v>1323</v>
      </c>
      <c r="D1451" t="s">
        <v>2472</v>
      </c>
      <c r="E1451" t="s">
        <v>2474</v>
      </c>
      <c r="F1451" t="s">
        <v>2011</v>
      </c>
      <c r="G1451" t="s">
        <v>2011</v>
      </c>
      <c r="H1451" s="10">
        <v>16073263</v>
      </c>
      <c r="I1451">
        <f>IFERROR(VLOOKUP(Final!F1451,'LEAID Match'!$A$2:$B$374,2,FALSE),"")</f>
        <v>409060</v>
      </c>
      <c r="K1451" s="10">
        <f t="shared" si="22"/>
        <v>16073263</v>
      </c>
    </row>
    <row r="1452" spans="1:11">
      <c r="A1452">
        <v>409390</v>
      </c>
      <c r="B1452" s="10">
        <v>2015</v>
      </c>
      <c r="C1452" t="s">
        <v>1339</v>
      </c>
      <c r="D1452" t="s">
        <v>2472</v>
      </c>
      <c r="E1452" t="s">
        <v>2474</v>
      </c>
      <c r="F1452" t="s">
        <v>2025</v>
      </c>
      <c r="G1452" t="s">
        <v>1291</v>
      </c>
      <c r="H1452" s="10">
        <v>782046</v>
      </c>
      <c r="I1452">
        <f>IFERROR(VLOOKUP(Final!F1452,'LEAID Match'!$A$2:$B$374,2,FALSE),"")</f>
        <v>409390</v>
      </c>
      <c r="K1452" s="10">
        <f t="shared" si="22"/>
        <v>782046</v>
      </c>
    </row>
    <row r="1453" spans="1:11">
      <c r="A1453">
        <v>409390</v>
      </c>
      <c r="B1453" s="10">
        <v>2016</v>
      </c>
      <c r="C1453" t="s">
        <v>1339</v>
      </c>
      <c r="D1453" t="s">
        <v>2472</v>
      </c>
      <c r="E1453" t="s">
        <v>2474</v>
      </c>
      <c r="F1453" t="s">
        <v>2025</v>
      </c>
      <c r="G1453" t="s">
        <v>1291</v>
      </c>
      <c r="H1453" s="10">
        <v>771192</v>
      </c>
      <c r="I1453">
        <f>IFERROR(VLOOKUP(Final!F1453,'LEAID Match'!$A$2:$B$374,2,FALSE),"")</f>
        <v>409390</v>
      </c>
      <c r="K1453" s="10">
        <f t="shared" si="22"/>
        <v>771192</v>
      </c>
    </row>
    <row r="1454" spans="1:11">
      <c r="A1454">
        <v>409390</v>
      </c>
      <c r="B1454" s="10">
        <v>2017</v>
      </c>
      <c r="C1454" t="s">
        <v>1339</v>
      </c>
      <c r="D1454" t="s">
        <v>2472</v>
      </c>
      <c r="E1454" t="s">
        <v>2474</v>
      </c>
      <c r="F1454" t="s">
        <v>2025</v>
      </c>
      <c r="G1454" t="s">
        <v>2025</v>
      </c>
      <c r="H1454" s="10">
        <v>844375</v>
      </c>
      <c r="I1454">
        <f>IFERROR(VLOOKUP(Final!F1454,'LEAID Match'!$A$2:$B$374,2,FALSE),"")</f>
        <v>409390</v>
      </c>
      <c r="K1454" s="10">
        <f t="shared" si="22"/>
        <v>844375</v>
      </c>
    </row>
    <row r="1455" spans="1:11">
      <c r="A1455">
        <v>409390</v>
      </c>
      <c r="B1455" s="10">
        <v>2018</v>
      </c>
      <c r="C1455" t="s">
        <v>1339</v>
      </c>
      <c r="D1455" t="s">
        <v>2472</v>
      </c>
      <c r="E1455" t="s">
        <v>2474</v>
      </c>
      <c r="F1455" t="s">
        <v>2025</v>
      </c>
      <c r="G1455" t="s">
        <v>2025</v>
      </c>
      <c r="H1455" s="10">
        <v>834908</v>
      </c>
      <c r="I1455">
        <f>IFERROR(VLOOKUP(Final!F1455,'LEAID Match'!$A$2:$B$374,2,FALSE),"")</f>
        <v>409390</v>
      </c>
      <c r="K1455" s="10">
        <f t="shared" si="22"/>
        <v>834908</v>
      </c>
    </row>
    <row r="1456" spans="1:11">
      <c r="A1456">
        <v>409390</v>
      </c>
      <c r="B1456" s="10">
        <v>2019</v>
      </c>
      <c r="C1456" t="s">
        <v>1339</v>
      </c>
      <c r="D1456" t="s">
        <v>2472</v>
      </c>
      <c r="E1456" t="s">
        <v>2474</v>
      </c>
      <c r="F1456" t="s">
        <v>2025</v>
      </c>
      <c r="G1456" t="s">
        <v>2025</v>
      </c>
      <c r="H1456" s="10">
        <v>862691</v>
      </c>
      <c r="I1456">
        <f>IFERROR(VLOOKUP(Final!F1456,'LEAID Match'!$A$2:$B$374,2,FALSE),"")</f>
        <v>409390</v>
      </c>
      <c r="K1456" s="10">
        <f t="shared" si="22"/>
        <v>862691</v>
      </c>
    </row>
    <row r="1457" spans="1:11">
      <c r="A1457">
        <v>409390</v>
      </c>
      <c r="B1457" s="10">
        <v>2020</v>
      </c>
      <c r="C1457" t="s">
        <v>1339</v>
      </c>
      <c r="D1457" t="s">
        <v>2472</v>
      </c>
      <c r="E1457" t="s">
        <v>2474</v>
      </c>
      <c r="F1457" t="s">
        <v>2025</v>
      </c>
      <c r="G1457" t="s">
        <v>2025</v>
      </c>
      <c r="H1457" s="10">
        <v>869479</v>
      </c>
      <c r="I1457">
        <f>IFERROR(VLOOKUP(Final!F1457,'LEAID Match'!$A$2:$B$374,2,FALSE),"")</f>
        <v>409390</v>
      </c>
      <c r="K1457" s="10">
        <f t="shared" si="22"/>
        <v>869479</v>
      </c>
    </row>
    <row r="1458" spans="1:11">
      <c r="A1458">
        <v>409390</v>
      </c>
      <c r="B1458" s="10">
        <v>2021</v>
      </c>
      <c r="C1458" t="s">
        <v>1339</v>
      </c>
      <c r="D1458" t="s">
        <v>2472</v>
      </c>
      <c r="E1458" t="s">
        <v>2474</v>
      </c>
      <c r="F1458" t="s">
        <v>2025</v>
      </c>
      <c r="G1458" t="s">
        <v>2025</v>
      </c>
      <c r="H1458" s="10">
        <v>856646</v>
      </c>
      <c r="I1458">
        <f>IFERROR(VLOOKUP(Final!F1458,'LEAID Match'!$A$2:$B$374,2,FALSE),"")</f>
        <v>409390</v>
      </c>
      <c r="K1458" s="10">
        <f t="shared" si="22"/>
        <v>856646</v>
      </c>
    </row>
    <row r="1459" spans="1:11">
      <c r="A1459">
        <v>409390</v>
      </c>
      <c r="B1459" s="10">
        <v>2022</v>
      </c>
      <c r="C1459" t="s">
        <v>1339</v>
      </c>
      <c r="D1459" t="s">
        <v>2472</v>
      </c>
      <c r="E1459" t="s">
        <v>2474</v>
      </c>
      <c r="F1459" t="s">
        <v>2025</v>
      </c>
      <c r="G1459" t="s">
        <v>2025</v>
      </c>
      <c r="H1459" s="10">
        <v>930778</v>
      </c>
      <c r="I1459">
        <f>IFERROR(VLOOKUP(Final!F1459,'LEAID Match'!$A$2:$B$374,2,FALSE),"")</f>
        <v>409390</v>
      </c>
      <c r="K1459" s="10">
        <f t="shared" si="22"/>
        <v>930778</v>
      </c>
    </row>
    <row r="1460" spans="1:11">
      <c r="A1460">
        <v>409390</v>
      </c>
      <c r="B1460" s="10">
        <v>2023</v>
      </c>
      <c r="C1460" t="s">
        <v>1339</v>
      </c>
      <c r="D1460" t="s">
        <v>2472</v>
      </c>
      <c r="E1460" t="s">
        <v>2474</v>
      </c>
      <c r="F1460" t="s">
        <v>2025</v>
      </c>
      <c r="G1460" t="s">
        <v>2025</v>
      </c>
      <c r="H1460" s="10">
        <v>836485</v>
      </c>
      <c r="I1460">
        <f>IFERROR(VLOOKUP(Final!F1460,'LEAID Match'!$A$2:$B$374,2,FALSE),"")</f>
        <v>409390</v>
      </c>
      <c r="K1460" s="10">
        <f t="shared" si="22"/>
        <v>836485</v>
      </c>
    </row>
    <row r="1461" spans="1:11">
      <c r="A1461">
        <v>405670</v>
      </c>
      <c r="B1461" s="10">
        <v>2015</v>
      </c>
      <c r="C1461" t="s">
        <v>903</v>
      </c>
      <c r="D1461" t="s">
        <v>2472</v>
      </c>
      <c r="E1461" t="s">
        <v>2474</v>
      </c>
      <c r="F1461" t="s">
        <v>1845</v>
      </c>
      <c r="G1461" t="s">
        <v>848</v>
      </c>
      <c r="H1461" s="10">
        <v>1444633</v>
      </c>
      <c r="I1461">
        <f>IFERROR(VLOOKUP(Final!F1461,'LEAID Match'!$A$2:$B$374,2,FALSE),"")</f>
        <v>405670</v>
      </c>
      <c r="K1461" s="10">
        <f t="shared" si="22"/>
        <v>1444633</v>
      </c>
    </row>
    <row r="1462" spans="1:11">
      <c r="A1462">
        <v>405670</v>
      </c>
      <c r="B1462" s="10">
        <v>2016</v>
      </c>
      <c r="C1462" t="s">
        <v>903</v>
      </c>
      <c r="D1462" t="s">
        <v>2472</v>
      </c>
      <c r="E1462" t="s">
        <v>2474</v>
      </c>
      <c r="F1462" t="s">
        <v>1845</v>
      </c>
      <c r="G1462" t="s">
        <v>848</v>
      </c>
      <c r="H1462" s="10">
        <v>1514241</v>
      </c>
      <c r="I1462">
        <f>IFERROR(VLOOKUP(Final!F1462,'LEAID Match'!$A$2:$B$374,2,FALSE),"")</f>
        <v>405670</v>
      </c>
      <c r="K1462" s="10">
        <f t="shared" si="22"/>
        <v>1514241</v>
      </c>
    </row>
    <row r="1463" spans="1:11">
      <c r="A1463">
        <v>405670</v>
      </c>
      <c r="B1463" s="10">
        <v>2017</v>
      </c>
      <c r="C1463" t="s">
        <v>903</v>
      </c>
      <c r="D1463" t="s">
        <v>2472</v>
      </c>
      <c r="E1463" t="s">
        <v>2474</v>
      </c>
      <c r="F1463" t="s">
        <v>1845</v>
      </c>
      <c r="G1463" t="s">
        <v>1845</v>
      </c>
      <c r="H1463" s="10">
        <v>1610516</v>
      </c>
      <c r="I1463">
        <f>IFERROR(VLOOKUP(Final!F1463,'LEAID Match'!$A$2:$B$374,2,FALSE),"")</f>
        <v>405670</v>
      </c>
      <c r="K1463" s="10">
        <f t="shared" si="22"/>
        <v>1610516</v>
      </c>
    </row>
    <row r="1464" spans="1:11">
      <c r="A1464">
        <v>405670</v>
      </c>
      <c r="B1464" s="10">
        <v>2018</v>
      </c>
      <c r="C1464" t="s">
        <v>903</v>
      </c>
      <c r="D1464" t="s">
        <v>2472</v>
      </c>
      <c r="E1464" t="s">
        <v>2474</v>
      </c>
      <c r="F1464" t="s">
        <v>1845</v>
      </c>
      <c r="G1464" t="s">
        <v>1845</v>
      </c>
      <c r="H1464" s="10">
        <v>1555773</v>
      </c>
      <c r="I1464">
        <f>IFERROR(VLOOKUP(Final!F1464,'LEAID Match'!$A$2:$B$374,2,FALSE),"")</f>
        <v>405670</v>
      </c>
      <c r="K1464" s="10">
        <f t="shared" si="22"/>
        <v>1555773</v>
      </c>
    </row>
    <row r="1465" spans="1:11">
      <c r="A1465">
        <v>405670</v>
      </c>
      <c r="B1465" s="10">
        <v>2019</v>
      </c>
      <c r="C1465" t="s">
        <v>903</v>
      </c>
      <c r="D1465" t="s">
        <v>2472</v>
      </c>
      <c r="E1465" t="s">
        <v>2474</v>
      </c>
      <c r="F1465" t="s">
        <v>1845</v>
      </c>
      <c r="G1465" t="s">
        <v>1845</v>
      </c>
      <c r="H1465" s="10">
        <v>1697008</v>
      </c>
      <c r="I1465">
        <f>IFERROR(VLOOKUP(Final!F1465,'LEAID Match'!$A$2:$B$374,2,FALSE),"")</f>
        <v>405670</v>
      </c>
      <c r="K1465" s="10">
        <f t="shared" si="22"/>
        <v>1697008</v>
      </c>
    </row>
    <row r="1466" spans="1:11">
      <c r="A1466">
        <v>405670</v>
      </c>
      <c r="B1466" s="10">
        <v>2020</v>
      </c>
      <c r="C1466" t="s">
        <v>903</v>
      </c>
      <c r="D1466" t="s">
        <v>2472</v>
      </c>
      <c r="E1466" t="s">
        <v>2474</v>
      </c>
      <c r="F1466" t="s">
        <v>1845</v>
      </c>
      <c r="G1466" t="s">
        <v>1845</v>
      </c>
      <c r="H1466" s="10">
        <v>1915179</v>
      </c>
      <c r="I1466">
        <f>IFERROR(VLOOKUP(Final!F1466,'LEAID Match'!$A$2:$B$374,2,FALSE),"")</f>
        <v>405670</v>
      </c>
      <c r="K1466" s="10">
        <f t="shared" si="22"/>
        <v>1915179</v>
      </c>
    </row>
    <row r="1467" spans="1:11">
      <c r="A1467">
        <v>405670</v>
      </c>
      <c r="B1467" s="10">
        <v>2021</v>
      </c>
      <c r="C1467" t="s">
        <v>903</v>
      </c>
      <c r="D1467" t="s">
        <v>2472</v>
      </c>
      <c r="E1467" t="s">
        <v>2474</v>
      </c>
      <c r="F1467" t="s">
        <v>1845</v>
      </c>
      <c r="G1467" t="s">
        <v>1845</v>
      </c>
      <c r="H1467" s="10">
        <v>2081694</v>
      </c>
      <c r="I1467">
        <f>IFERROR(VLOOKUP(Final!F1467,'LEAID Match'!$A$2:$B$374,2,FALSE),"")</f>
        <v>405670</v>
      </c>
      <c r="K1467" s="10">
        <f t="shared" si="22"/>
        <v>2081694</v>
      </c>
    </row>
    <row r="1468" spans="1:11">
      <c r="A1468">
        <v>405670</v>
      </c>
      <c r="B1468" s="10">
        <v>2022</v>
      </c>
      <c r="C1468" t="s">
        <v>903</v>
      </c>
      <c r="D1468" t="s">
        <v>2472</v>
      </c>
      <c r="E1468" t="s">
        <v>2474</v>
      </c>
      <c r="F1468" t="s">
        <v>1845</v>
      </c>
      <c r="G1468" t="s">
        <v>1845</v>
      </c>
      <c r="H1468" s="10">
        <v>2373877</v>
      </c>
      <c r="I1468">
        <f>IFERROR(VLOOKUP(Final!F1468,'LEAID Match'!$A$2:$B$374,2,FALSE),"")</f>
        <v>405670</v>
      </c>
      <c r="K1468" s="10">
        <f t="shared" si="22"/>
        <v>2373877</v>
      </c>
    </row>
    <row r="1469" spans="1:11">
      <c r="A1469">
        <v>405670</v>
      </c>
      <c r="B1469" s="10">
        <v>2023</v>
      </c>
      <c r="C1469" t="s">
        <v>903</v>
      </c>
      <c r="D1469" t="s">
        <v>2472</v>
      </c>
      <c r="E1469" t="s">
        <v>2474</v>
      </c>
      <c r="F1469" t="s">
        <v>1845</v>
      </c>
      <c r="G1469" t="s">
        <v>1845</v>
      </c>
      <c r="H1469" s="10">
        <v>2397694</v>
      </c>
      <c r="I1469">
        <f>IFERROR(VLOOKUP(Final!F1469,'LEAID Match'!$A$2:$B$374,2,FALSE),"")</f>
        <v>405670</v>
      </c>
      <c r="K1469" s="10">
        <f t="shared" si="22"/>
        <v>2397694</v>
      </c>
    </row>
    <row r="1470" spans="1:11">
      <c r="A1470">
        <v>409190</v>
      </c>
      <c r="B1470" s="10">
        <v>2015</v>
      </c>
      <c r="C1470" t="s">
        <v>1335</v>
      </c>
      <c r="D1470" t="s">
        <v>2472</v>
      </c>
      <c r="E1470" t="s">
        <v>2474</v>
      </c>
      <c r="F1470" t="s">
        <v>2017</v>
      </c>
      <c r="G1470" t="s">
        <v>1287</v>
      </c>
      <c r="H1470" s="10">
        <v>687656</v>
      </c>
      <c r="I1470">
        <f>IFERROR(VLOOKUP(Final!F1470,'LEAID Match'!$A$2:$B$374,2,FALSE),"")</f>
        <v>409190</v>
      </c>
      <c r="K1470" s="10">
        <f t="shared" si="22"/>
        <v>687656</v>
      </c>
    </row>
    <row r="1471" spans="1:11">
      <c r="A1471">
        <v>409190</v>
      </c>
      <c r="B1471" s="10">
        <v>2016</v>
      </c>
      <c r="C1471" t="s">
        <v>1335</v>
      </c>
      <c r="D1471" t="s">
        <v>2472</v>
      </c>
      <c r="E1471" t="s">
        <v>2474</v>
      </c>
      <c r="F1471" t="s">
        <v>2017</v>
      </c>
      <c r="G1471" t="s">
        <v>1287</v>
      </c>
      <c r="H1471" s="10">
        <v>693270</v>
      </c>
      <c r="I1471">
        <f>IFERROR(VLOOKUP(Final!F1471,'LEAID Match'!$A$2:$B$374,2,FALSE),"")</f>
        <v>409190</v>
      </c>
      <c r="K1471" s="10">
        <f t="shared" si="22"/>
        <v>693270</v>
      </c>
    </row>
    <row r="1472" spans="1:11">
      <c r="A1472">
        <v>409190</v>
      </c>
      <c r="B1472" s="10">
        <v>2017</v>
      </c>
      <c r="C1472" t="s">
        <v>1335</v>
      </c>
      <c r="D1472" t="s">
        <v>2472</v>
      </c>
      <c r="E1472" t="s">
        <v>2474</v>
      </c>
      <c r="F1472" t="s">
        <v>2017</v>
      </c>
      <c r="G1472" t="s">
        <v>2017</v>
      </c>
      <c r="H1472" s="10">
        <v>713080</v>
      </c>
      <c r="I1472">
        <f>IFERROR(VLOOKUP(Final!F1472,'LEAID Match'!$A$2:$B$374,2,FALSE),"")</f>
        <v>409190</v>
      </c>
      <c r="K1472" s="10">
        <f t="shared" si="22"/>
        <v>713080</v>
      </c>
    </row>
    <row r="1473" spans="1:11">
      <c r="A1473">
        <v>409190</v>
      </c>
      <c r="B1473" s="10">
        <v>2018</v>
      </c>
      <c r="C1473" t="s">
        <v>1335</v>
      </c>
      <c r="D1473" t="s">
        <v>2472</v>
      </c>
      <c r="E1473" t="s">
        <v>2474</v>
      </c>
      <c r="F1473" t="s">
        <v>2017</v>
      </c>
      <c r="G1473" t="s">
        <v>2340</v>
      </c>
      <c r="H1473" s="10">
        <v>737564</v>
      </c>
      <c r="I1473">
        <f>IFERROR(VLOOKUP(Final!F1473,'LEAID Match'!$A$2:$B$374,2,FALSE),"")</f>
        <v>409190</v>
      </c>
      <c r="K1473" s="10">
        <f t="shared" si="22"/>
        <v>737564</v>
      </c>
    </row>
    <row r="1474" spans="1:11">
      <c r="A1474">
        <v>409190</v>
      </c>
      <c r="B1474" s="10">
        <v>2019</v>
      </c>
      <c r="C1474" t="s">
        <v>1335</v>
      </c>
      <c r="D1474" t="s">
        <v>2472</v>
      </c>
      <c r="E1474" t="s">
        <v>2474</v>
      </c>
      <c r="F1474" t="s">
        <v>2017</v>
      </c>
      <c r="G1474" t="s">
        <v>2017</v>
      </c>
      <c r="H1474" s="10">
        <v>781865</v>
      </c>
      <c r="I1474">
        <f>IFERROR(VLOOKUP(Final!F1474,'LEAID Match'!$A$2:$B$374,2,FALSE),"")</f>
        <v>409190</v>
      </c>
      <c r="K1474" s="10">
        <f t="shared" si="22"/>
        <v>781865</v>
      </c>
    </row>
    <row r="1475" spans="1:11">
      <c r="A1475">
        <v>409190</v>
      </c>
      <c r="B1475" s="10">
        <v>2020</v>
      </c>
      <c r="C1475" t="s">
        <v>1335</v>
      </c>
      <c r="D1475" t="s">
        <v>2472</v>
      </c>
      <c r="E1475" t="s">
        <v>2474</v>
      </c>
      <c r="F1475" t="s">
        <v>2017</v>
      </c>
      <c r="G1475" t="s">
        <v>2017</v>
      </c>
      <c r="H1475" s="10">
        <v>793862</v>
      </c>
      <c r="I1475">
        <f>IFERROR(VLOOKUP(Final!F1475,'LEAID Match'!$A$2:$B$374,2,FALSE),"")</f>
        <v>409190</v>
      </c>
      <c r="K1475" s="10">
        <f t="shared" ref="K1475:K1538" si="23">SUM(H1475,J1475)</f>
        <v>793862</v>
      </c>
    </row>
    <row r="1476" spans="1:11">
      <c r="A1476">
        <v>409190</v>
      </c>
      <c r="B1476" s="10">
        <v>2021</v>
      </c>
      <c r="C1476" t="s">
        <v>1335</v>
      </c>
      <c r="D1476" t="s">
        <v>2472</v>
      </c>
      <c r="E1476" t="s">
        <v>2474</v>
      </c>
      <c r="F1476" t="s">
        <v>2017</v>
      </c>
      <c r="G1476" t="s">
        <v>2017</v>
      </c>
      <c r="H1476" s="10">
        <v>825046</v>
      </c>
      <c r="I1476">
        <f>IFERROR(VLOOKUP(Final!F1476,'LEAID Match'!$A$2:$B$374,2,FALSE),"")</f>
        <v>409190</v>
      </c>
      <c r="K1476" s="10">
        <f t="shared" si="23"/>
        <v>825046</v>
      </c>
    </row>
    <row r="1477" spans="1:11">
      <c r="A1477">
        <v>409190</v>
      </c>
      <c r="B1477" s="10">
        <v>2022</v>
      </c>
      <c r="C1477" t="s">
        <v>1335</v>
      </c>
      <c r="D1477" t="s">
        <v>2472</v>
      </c>
      <c r="E1477" t="s">
        <v>2474</v>
      </c>
      <c r="F1477" t="s">
        <v>2017</v>
      </c>
      <c r="G1477" t="s">
        <v>2017</v>
      </c>
      <c r="H1477" s="10">
        <v>836811</v>
      </c>
      <c r="I1477">
        <f>IFERROR(VLOOKUP(Final!F1477,'LEAID Match'!$A$2:$B$374,2,FALSE),"")</f>
        <v>409190</v>
      </c>
      <c r="K1477" s="10">
        <f t="shared" si="23"/>
        <v>836811</v>
      </c>
    </row>
    <row r="1478" spans="1:11">
      <c r="A1478">
        <v>409190</v>
      </c>
      <c r="B1478" s="10">
        <v>2023</v>
      </c>
      <c r="C1478" t="s">
        <v>1335</v>
      </c>
      <c r="D1478" t="s">
        <v>2472</v>
      </c>
      <c r="E1478" t="s">
        <v>2474</v>
      </c>
      <c r="F1478" t="s">
        <v>2017</v>
      </c>
      <c r="G1478" t="s">
        <v>2017</v>
      </c>
      <c r="H1478" s="10">
        <v>905362</v>
      </c>
      <c r="I1478">
        <f>IFERROR(VLOOKUP(Final!F1478,'LEAID Match'!$A$2:$B$374,2,FALSE),"")</f>
        <v>409190</v>
      </c>
      <c r="K1478" s="10">
        <f t="shared" si="23"/>
        <v>905362</v>
      </c>
    </row>
    <row r="1479" spans="1:11">
      <c r="A1479">
        <v>406250</v>
      </c>
      <c r="B1479" s="10">
        <v>2015</v>
      </c>
      <c r="C1479" t="s">
        <v>926</v>
      </c>
      <c r="D1479" t="s">
        <v>2472</v>
      </c>
      <c r="E1479" t="s">
        <v>2474</v>
      </c>
      <c r="F1479" t="s">
        <v>1870</v>
      </c>
      <c r="G1479" t="s">
        <v>871</v>
      </c>
      <c r="H1479" s="10">
        <v>14927348</v>
      </c>
      <c r="I1479">
        <f>IFERROR(VLOOKUP(Final!F1479,'LEAID Match'!$A$2:$B$374,2,FALSE),"")</f>
        <v>406250</v>
      </c>
      <c r="K1479" s="10">
        <f t="shared" si="23"/>
        <v>14927348</v>
      </c>
    </row>
    <row r="1480" spans="1:11">
      <c r="A1480">
        <v>406250</v>
      </c>
      <c r="B1480" s="10">
        <v>2016</v>
      </c>
      <c r="C1480" t="s">
        <v>926</v>
      </c>
      <c r="D1480" t="s">
        <v>2472</v>
      </c>
      <c r="E1480" t="s">
        <v>2474</v>
      </c>
      <c r="F1480" t="s">
        <v>1870</v>
      </c>
      <c r="G1480" t="s">
        <v>871</v>
      </c>
      <c r="H1480" s="10">
        <v>15705723</v>
      </c>
      <c r="I1480">
        <f>IFERROR(VLOOKUP(Final!F1480,'LEAID Match'!$A$2:$B$374,2,FALSE),"")</f>
        <v>406250</v>
      </c>
      <c r="K1480" s="10">
        <f t="shared" si="23"/>
        <v>15705723</v>
      </c>
    </row>
    <row r="1481" spans="1:11">
      <c r="A1481">
        <v>406250</v>
      </c>
      <c r="B1481" s="10">
        <v>2017</v>
      </c>
      <c r="C1481" t="s">
        <v>926</v>
      </c>
      <c r="D1481" t="s">
        <v>2472</v>
      </c>
      <c r="E1481" t="s">
        <v>2474</v>
      </c>
      <c r="F1481" t="s">
        <v>1870</v>
      </c>
      <c r="G1481" t="s">
        <v>1870</v>
      </c>
      <c r="H1481" s="10">
        <v>17148629</v>
      </c>
      <c r="I1481">
        <f>IFERROR(VLOOKUP(Final!F1481,'LEAID Match'!$A$2:$B$374,2,FALSE),"")</f>
        <v>406250</v>
      </c>
      <c r="K1481" s="10">
        <f t="shared" si="23"/>
        <v>17148629</v>
      </c>
    </row>
    <row r="1482" spans="1:11">
      <c r="A1482">
        <v>406250</v>
      </c>
      <c r="B1482" s="10">
        <v>2018</v>
      </c>
      <c r="C1482" t="s">
        <v>926</v>
      </c>
      <c r="D1482" t="s">
        <v>2472</v>
      </c>
      <c r="E1482" t="s">
        <v>2474</v>
      </c>
      <c r="F1482" t="s">
        <v>1870</v>
      </c>
      <c r="G1482" t="s">
        <v>1870</v>
      </c>
      <c r="H1482" s="10">
        <v>17171370</v>
      </c>
      <c r="I1482">
        <f>IFERROR(VLOOKUP(Final!F1482,'LEAID Match'!$A$2:$B$374,2,FALSE),"")</f>
        <v>406250</v>
      </c>
      <c r="K1482" s="10">
        <f t="shared" si="23"/>
        <v>17171370</v>
      </c>
    </row>
    <row r="1483" spans="1:11">
      <c r="A1483">
        <v>406250</v>
      </c>
      <c r="B1483" s="10">
        <v>2019</v>
      </c>
      <c r="C1483" t="s">
        <v>926</v>
      </c>
      <c r="D1483" t="s">
        <v>2472</v>
      </c>
      <c r="E1483" t="s">
        <v>2474</v>
      </c>
      <c r="F1483" t="s">
        <v>1870</v>
      </c>
      <c r="G1483" t="s">
        <v>1870</v>
      </c>
      <c r="H1483" s="10">
        <v>18740378</v>
      </c>
      <c r="I1483">
        <f>IFERROR(VLOOKUP(Final!F1483,'LEAID Match'!$A$2:$B$374,2,FALSE),"")</f>
        <v>406250</v>
      </c>
      <c r="K1483" s="10">
        <f t="shared" si="23"/>
        <v>18740378</v>
      </c>
    </row>
    <row r="1484" spans="1:11">
      <c r="A1484">
        <v>406250</v>
      </c>
      <c r="B1484" s="10">
        <v>2020</v>
      </c>
      <c r="C1484" t="s">
        <v>926</v>
      </c>
      <c r="D1484" t="s">
        <v>2472</v>
      </c>
      <c r="E1484" t="s">
        <v>2474</v>
      </c>
      <c r="F1484" t="s">
        <v>1870</v>
      </c>
      <c r="G1484" t="s">
        <v>1870</v>
      </c>
      <c r="H1484" s="10">
        <v>19926279</v>
      </c>
      <c r="I1484">
        <f>IFERROR(VLOOKUP(Final!F1484,'LEAID Match'!$A$2:$B$374,2,FALSE),"")</f>
        <v>406250</v>
      </c>
      <c r="K1484" s="10">
        <f t="shared" si="23"/>
        <v>19926279</v>
      </c>
    </row>
    <row r="1485" spans="1:11">
      <c r="A1485">
        <v>406250</v>
      </c>
      <c r="B1485" s="10">
        <v>2021</v>
      </c>
      <c r="C1485" t="s">
        <v>926</v>
      </c>
      <c r="D1485" t="s">
        <v>2472</v>
      </c>
      <c r="E1485" t="s">
        <v>2474</v>
      </c>
      <c r="F1485" t="s">
        <v>1870</v>
      </c>
      <c r="G1485" t="s">
        <v>1870</v>
      </c>
      <c r="H1485" s="10">
        <v>20762080</v>
      </c>
      <c r="I1485">
        <f>IFERROR(VLOOKUP(Final!F1485,'LEAID Match'!$A$2:$B$374,2,FALSE),"")</f>
        <v>406250</v>
      </c>
      <c r="K1485" s="10">
        <f t="shared" si="23"/>
        <v>20762080</v>
      </c>
    </row>
    <row r="1486" spans="1:11">
      <c r="A1486">
        <v>406250</v>
      </c>
      <c r="B1486" s="10">
        <v>2022</v>
      </c>
      <c r="C1486" t="s">
        <v>926</v>
      </c>
      <c r="D1486" t="s">
        <v>2472</v>
      </c>
      <c r="E1486" t="s">
        <v>2474</v>
      </c>
      <c r="F1486" t="s">
        <v>1870</v>
      </c>
      <c r="G1486" t="s">
        <v>1870</v>
      </c>
      <c r="H1486" s="10">
        <v>22464490</v>
      </c>
      <c r="I1486">
        <f>IFERROR(VLOOKUP(Final!F1486,'LEAID Match'!$A$2:$B$374,2,FALSE),"")</f>
        <v>406250</v>
      </c>
      <c r="K1486" s="10">
        <f t="shared" si="23"/>
        <v>22464490</v>
      </c>
    </row>
    <row r="1487" spans="1:11">
      <c r="A1487">
        <v>406250</v>
      </c>
      <c r="B1487" s="10">
        <v>2023</v>
      </c>
      <c r="C1487" t="s">
        <v>926</v>
      </c>
      <c r="D1487" t="s">
        <v>2472</v>
      </c>
      <c r="E1487" t="s">
        <v>2474</v>
      </c>
      <c r="F1487" t="s">
        <v>1870</v>
      </c>
      <c r="G1487" t="s">
        <v>1870</v>
      </c>
      <c r="H1487" s="10">
        <v>24273902</v>
      </c>
      <c r="I1487">
        <f>IFERROR(VLOOKUP(Final!F1487,'LEAID Match'!$A$2:$B$374,2,FALSE),"")</f>
        <v>406250</v>
      </c>
      <c r="K1487" s="10">
        <f t="shared" si="23"/>
        <v>24273902</v>
      </c>
    </row>
    <row r="1488" spans="1:11">
      <c r="A1488">
        <v>402430</v>
      </c>
      <c r="B1488" s="10">
        <v>2015</v>
      </c>
      <c r="C1488" t="s">
        <v>491</v>
      </c>
      <c r="D1488" t="s">
        <v>2472</v>
      </c>
      <c r="E1488" t="s">
        <v>2474</v>
      </c>
      <c r="F1488" t="s">
        <v>1682</v>
      </c>
      <c r="G1488" t="s">
        <v>436</v>
      </c>
      <c r="H1488" s="10">
        <v>3317239</v>
      </c>
      <c r="I1488">
        <f>IFERROR(VLOOKUP(Final!F1488,'LEAID Match'!$A$2:$B$374,2,FALSE),"")</f>
        <v>402430</v>
      </c>
      <c r="K1488" s="10">
        <f t="shared" si="23"/>
        <v>3317239</v>
      </c>
    </row>
    <row r="1489" spans="1:11">
      <c r="A1489">
        <v>402430</v>
      </c>
      <c r="B1489" s="10">
        <v>2016</v>
      </c>
      <c r="C1489" t="s">
        <v>491</v>
      </c>
      <c r="D1489" t="s">
        <v>2472</v>
      </c>
      <c r="E1489" t="s">
        <v>2474</v>
      </c>
      <c r="F1489" t="s">
        <v>1682</v>
      </c>
      <c r="G1489" t="s">
        <v>436</v>
      </c>
      <c r="H1489" s="10">
        <v>3368665</v>
      </c>
      <c r="I1489">
        <f>IFERROR(VLOOKUP(Final!F1489,'LEAID Match'!$A$2:$B$374,2,FALSE),"")</f>
        <v>402430</v>
      </c>
      <c r="K1489" s="10">
        <f t="shared" si="23"/>
        <v>3368665</v>
      </c>
    </row>
    <row r="1490" spans="1:11">
      <c r="A1490">
        <v>402430</v>
      </c>
      <c r="B1490" s="10">
        <v>2017</v>
      </c>
      <c r="C1490" t="s">
        <v>491</v>
      </c>
      <c r="D1490" t="s">
        <v>2472</v>
      </c>
      <c r="E1490" t="s">
        <v>2474</v>
      </c>
      <c r="F1490" t="s">
        <v>1682</v>
      </c>
      <c r="G1490" t="s">
        <v>1682</v>
      </c>
      <c r="H1490" s="10">
        <v>3375279</v>
      </c>
      <c r="I1490">
        <f>IFERROR(VLOOKUP(Final!F1490,'LEAID Match'!$A$2:$B$374,2,FALSE),"")</f>
        <v>402430</v>
      </c>
      <c r="K1490" s="10">
        <f t="shared" si="23"/>
        <v>3375279</v>
      </c>
    </row>
    <row r="1491" spans="1:11">
      <c r="A1491">
        <v>402430</v>
      </c>
      <c r="B1491" s="10">
        <v>2018</v>
      </c>
      <c r="C1491" t="s">
        <v>491</v>
      </c>
      <c r="D1491" t="s">
        <v>2472</v>
      </c>
      <c r="E1491" t="s">
        <v>2474</v>
      </c>
      <c r="F1491" t="s">
        <v>1682</v>
      </c>
      <c r="G1491" t="s">
        <v>2167</v>
      </c>
      <c r="H1491" s="10">
        <v>3294135</v>
      </c>
      <c r="I1491">
        <f>IFERROR(VLOOKUP(Final!F1491,'LEAID Match'!$A$2:$B$374,2,FALSE),"")</f>
        <v>402430</v>
      </c>
      <c r="K1491" s="10">
        <f t="shared" si="23"/>
        <v>3294135</v>
      </c>
    </row>
    <row r="1492" spans="1:11">
      <c r="A1492">
        <v>402430</v>
      </c>
      <c r="B1492" s="10">
        <v>2019</v>
      </c>
      <c r="C1492" t="s">
        <v>491</v>
      </c>
      <c r="D1492" t="s">
        <v>2472</v>
      </c>
      <c r="E1492" t="s">
        <v>2474</v>
      </c>
      <c r="F1492" t="s">
        <v>1682</v>
      </c>
      <c r="G1492" t="s">
        <v>1682</v>
      </c>
      <c r="H1492" s="10">
        <v>3545417</v>
      </c>
      <c r="I1492">
        <f>IFERROR(VLOOKUP(Final!F1492,'LEAID Match'!$A$2:$B$374,2,FALSE),"")</f>
        <v>402430</v>
      </c>
      <c r="K1492" s="10">
        <f t="shared" si="23"/>
        <v>3545417</v>
      </c>
    </row>
    <row r="1493" spans="1:11">
      <c r="A1493">
        <v>402430</v>
      </c>
      <c r="B1493" s="10">
        <v>2020</v>
      </c>
      <c r="C1493" t="s">
        <v>491</v>
      </c>
      <c r="D1493" t="s">
        <v>2472</v>
      </c>
      <c r="E1493" t="s">
        <v>2474</v>
      </c>
      <c r="F1493" t="s">
        <v>1682</v>
      </c>
      <c r="G1493" t="s">
        <v>1682</v>
      </c>
      <c r="H1493" s="10">
        <v>3748103</v>
      </c>
      <c r="I1493">
        <f>IFERROR(VLOOKUP(Final!F1493,'LEAID Match'!$A$2:$B$374,2,FALSE),"")</f>
        <v>402430</v>
      </c>
      <c r="K1493" s="10">
        <f t="shared" si="23"/>
        <v>3748103</v>
      </c>
    </row>
    <row r="1494" spans="1:11">
      <c r="A1494">
        <v>402430</v>
      </c>
      <c r="B1494" s="10">
        <v>2021</v>
      </c>
      <c r="C1494" t="s">
        <v>491</v>
      </c>
      <c r="D1494" t="s">
        <v>2472</v>
      </c>
      <c r="E1494" t="s">
        <v>2474</v>
      </c>
      <c r="F1494" t="s">
        <v>1682</v>
      </c>
      <c r="G1494" t="s">
        <v>1682</v>
      </c>
      <c r="H1494" s="10">
        <v>3649321</v>
      </c>
      <c r="I1494">
        <f>IFERROR(VLOOKUP(Final!F1494,'LEAID Match'!$A$2:$B$374,2,FALSE),"")</f>
        <v>402430</v>
      </c>
      <c r="K1494" s="10">
        <f t="shared" si="23"/>
        <v>3649321</v>
      </c>
    </row>
    <row r="1495" spans="1:11">
      <c r="A1495">
        <v>402430</v>
      </c>
      <c r="B1495" s="10">
        <v>2022</v>
      </c>
      <c r="C1495" t="s">
        <v>491</v>
      </c>
      <c r="D1495" t="s">
        <v>2472</v>
      </c>
      <c r="E1495" t="s">
        <v>2474</v>
      </c>
      <c r="F1495" t="s">
        <v>1682</v>
      </c>
      <c r="G1495" t="s">
        <v>1682</v>
      </c>
      <c r="H1495" s="10">
        <v>4178067</v>
      </c>
      <c r="I1495">
        <f>IFERROR(VLOOKUP(Final!F1495,'LEAID Match'!$A$2:$B$374,2,FALSE),"")</f>
        <v>402430</v>
      </c>
      <c r="K1495" s="10">
        <f t="shared" si="23"/>
        <v>4178067</v>
      </c>
    </row>
    <row r="1496" spans="1:11">
      <c r="A1496">
        <v>402430</v>
      </c>
      <c r="B1496" s="10">
        <v>2023</v>
      </c>
      <c r="C1496" t="s">
        <v>491</v>
      </c>
      <c r="D1496" t="s">
        <v>2472</v>
      </c>
      <c r="E1496" t="s">
        <v>2474</v>
      </c>
      <c r="F1496" t="s">
        <v>1682</v>
      </c>
      <c r="G1496" t="s">
        <v>1682</v>
      </c>
      <c r="H1496" s="10">
        <v>4795668</v>
      </c>
      <c r="I1496">
        <f>IFERROR(VLOOKUP(Final!F1496,'LEAID Match'!$A$2:$B$374,2,FALSE),"")</f>
        <v>402430</v>
      </c>
      <c r="K1496" s="10">
        <f t="shared" si="23"/>
        <v>4795668</v>
      </c>
    </row>
    <row r="1497" spans="1:11">
      <c r="A1497">
        <v>408490</v>
      </c>
      <c r="B1497" s="10">
        <v>2015</v>
      </c>
      <c r="C1497" t="s">
        <v>1212</v>
      </c>
      <c r="D1497" t="s">
        <v>2472</v>
      </c>
      <c r="E1497" t="s">
        <v>2474</v>
      </c>
      <c r="F1497" t="s">
        <v>1987</v>
      </c>
      <c r="G1497" t="s">
        <v>1158</v>
      </c>
      <c r="H1497" s="10">
        <v>1320690</v>
      </c>
      <c r="I1497">
        <f>IFERROR(VLOOKUP(Final!F1497,'LEAID Match'!$A$2:$B$374,2,FALSE),"")</f>
        <v>408490</v>
      </c>
      <c r="K1497" s="10">
        <f t="shared" si="23"/>
        <v>1320690</v>
      </c>
    </row>
    <row r="1498" spans="1:11">
      <c r="A1498">
        <v>408490</v>
      </c>
      <c r="B1498" s="10">
        <v>2016</v>
      </c>
      <c r="C1498" t="s">
        <v>1212</v>
      </c>
      <c r="D1498" t="s">
        <v>2472</v>
      </c>
      <c r="E1498" t="s">
        <v>2474</v>
      </c>
      <c r="F1498" t="s">
        <v>1987</v>
      </c>
      <c r="G1498" t="s">
        <v>1158</v>
      </c>
      <c r="H1498" s="10">
        <v>1371346</v>
      </c>
      <c r="I1498">
        <f>IFERROR(VLOOKUP(Final!F1498,'LEAID Match'!$A$2:$B$374,2,FALSE),"")</f>
        <v>408490</v>
      </c>
      <c r="K1498" s="10">
        <f t="shared" si="23"/>
        <v>1371346</v>
      </c>
    </row>
    <row r="1499" spans="1:11">
      <c r="A1499">
        <v>408490</v>
      </c>
      <c r="B1499" s="10">
        <v>2017</v>
      </c>
      <c r="C1499" t="s">
        <v>1212</v>
      </c>
      <c r="D1499" t="s">
        <v>2472</v>
      </c>
      <c r="E1499" t="s">
        <v>2474</v>
      </c>
      <c r="F1499" t="s">
        <v>1987</v>
      </c>
      <c r="G1499" t="s">
        <v>1987</v>
      </c>
      <c r="H1499" s="10">
        <v>1548330</v>
      </c>
      <c r="I1499">
        <f>IFERROR(VLOOKUP(Final!F1499,'LEAID Match'!$A$2:$B$374,2,FALSE),"")</f>
        <v>408490</v>
      </c>
      <c r="K1499" s="10">
        <f t="shared" si="23"/>
        <v>1548330</v>
      </c>
    </row>
    <row r="1500" spans="1:11">
      <c r="A1500">
        <v>408490</v>
      </c>
      <c r="B1500" s="10">
        <v>2018</v>
      </c>
      <c r="C1500" t="s">
        <v>1212</v>
      </c>
      <c r="D1500" t="s">
        <v>2472</v>
      </c>
      <c r="E1500" t="s">
        <v>2474</v>
      </c>
      <c r="F1500" t="s">
        <v>1987</v>
      </c>
      <c r="G1500" t="s">
        <v>2325</v>
      </c>
      <c r="H1500" s="10">
        <v>1646333</v>
      </c>
      <c r="I1500">
        <f>IFERROR(VLOOKUP(Final!F1500,'LEAID Match'!$A$2:$B$374,2,FALSE),"")</f>
        <v>408490</v>
      </c>
      <c r="K1500" s="10">
        <f t="shared" si="23"/>
        <v>1646333</v>
      </c>
    </row>
    <row r="1501" spans="1:11">
      <c r="A1501">
        <v>408490</v>
      </c>
      <c r="B1501" s="10">
        <v>2019</v>
      </c>
      <c r="C1501" t="s">
        <v>1212</v>
      </c>
      <c r="D1501" t="s">
        <v>2472</v>
      </c>
      <c r="E1501" t="s">
        <v>2474</v>
      </c>
      <c r="F1501" t="s">
        <v>1987</v>
      </c>
      <c r="G1501" t="s">
        <v>1987</v>
      </c>
      <c r="H1501" s="10">
        <v>1804222</v>
      </c>
      <c r="I1501">
        <f>IFERROR(VLOOKUP(Final!F1501,'LEAID Match'!$A$2:$B$374,2,FALSE),"")</f>
        <v>408490</v>
      </c>
      <c r="K1501" s="10">
        <f t="shared" si="23"/>
        <v>1804222</v>
      </c>
    </row>
    <row r="1502" spans="1:11">
      <c r="A1502">
        <v>408490</v>
      </c>
      <c r="B1502" s="10">
        <v>2020</v>
      </c>
      <c r="C1502" t="s">
        <v>1212</v>
      </c>
      <c r="D1502" t="s">
        <v>2472</v>
      </c>
      <c r="E1502" t="s">
        <v>2474</v>
      </c>
      <c r="F1502" t="s">
        <v>1987</v>
      </c>
      <c r="G1502" t="s">
        <v>1987</v>
      </c>
      <c r="H1502" s="10">
        <v>1914474</v>
      </c>
      <c r="I1502">
        <f>IFERROR(VLOOKUP(Final!F1502,'LEAID Match'!$A$2:$B$374,2,FALSE),"")</f>
        <v>408490</v>
      </c>
      <c r="K1502" s="10">
        <f t="shared" si="23"/>
        <v>1914474</v>
      </c>
    </row>
    <row r="1503" spans="1:11">
      <c r="A1503">
        <v>408490</v>
      </c>
      <c r="B1503" s="10">
        <v>2021</v>
      </c>
      <c r="C1503" t="s">
        <v>1212</v>
      </c>
      <c r="D1503" t="s">
        <v>2472</v>
      </c>
      <c r="E1503" t="s">
        <v>2474</v>
      </c>
      <c r="F1503" t="s">
        <v>1987</v>
      </c>
      <c r="G1503" t="s">
        <v>1987</v>
      </c>
      <c r="H1503" s="10">
        <v>1851833</v>
      </c>
      <c r="I1503">
        <f>IFERROR(VLOOKUP(Final!F1503,'LEAID Match'!$A$2:$B$374,2,FALSE),"")</f>
        <v>408490</v>
      </c>
      <c r="K1503" s="10">
        <f t="shared" si="23"/>
        <v>1851833</v>
      </c>
    </row>
    <row r="1504" spans="1:11">
      <c r="A1504">
        <v>408490</v>
      </c>
      <c r="B1504" s="10">
        <v>2022</v>
      </c>
      <c r="C1504" t="s">
        <v>1212</v>
      </c>
      <c r="D1504" t="s">
        <v>2472</v>
      </c>
      <c r="E1504" t="s">
        <v>2474</v>
      </c>
      <c r="F1504" t="s">
        <v>1987</v>
      </c>
      <c r="G1504" t="s">
        <v>1987</v>
      </c>
      <c r="H1504" s="10">
        <v>1907209</v>
      </c>
      <c r="I1504">
        <f>IFERROR(VLOOKUP(Final!F1504,'LEAID Match'!$A$2:$B$374,2,FALSE),"")</f>
        <v>408490</v>
      </c>
      <c r="K1504" s="10">
        <f t="shared" si="23"/>
        <v>1907209</v>
      </c>
    </row>
    <row r="1505" spans="1:11">
      <c r="A1505">
        <v>408490</v>
      </c>
      <c r="B1505" s="10">
        <v>2023</v>
      </c>
      <c r="C1505" t="s">
        <v>1212</v>
      </c>
      <c r="D1505" t="s">
        <v>2472</v>
      </c>
      <c r="E1505" t="s">
        <v>2474</v>
      </c>
      <c r="F1505" t="s">
        <v>1987</v>
      </c>
      <c r="G1505" t="s">
        <v>1987</v>
      </c>
      <c r="H1505" s="10">
        <v>2045782</v>
      </c>
      <c r="I1505">
        <f>IFERROR(VLOOKUP(Final!F1505,'LEAID Match'!$A$2:$B$374,2,FALSE),"")</f>
        <v>408490</v>
      </c>
      <c r="K1505" s="10">
        <f t="shared" si="23"/>
        <v>2045782</v>
      </c>
    </row>
    <row r="1506" spans="1:11">
      <c r="A1506">
        <v>405400</v>
      </c>
      <c r="B1506" s="10">
        <v>2015</v>
      </c>
      <c r="C1506" t="s">
        <v>820</v>
      </c>
      <c r="D1506" t="s">
        <v>2472</v>
      </c>
      <c r="E1506" t="s">
        <v>2474</v>
      </c>
      <c r="F1506" t="s">
        <v>1822</v>
      </c>
      <c r="G1506" t="s">
        <v>765</v>
      </c>
      <c r="H1506" s="10">
        <v>1080093</v>
      </c>
      <c r="I1506">
        <f>IFERROR(VLOOKUP(Final!F1506,'LEAID Match'!$A$2:$B$374,2,FALSE),"")</f>
        <v>405400</v>
      </c>
      <c r="K1506" s="10">
        <f t="shared" si="23"/>
        <v>1080093</v>
      </c>
    </row>
    <row r="1507" spans="1:11">
      <c r="A1507">
        <v>405400</v>
      </c>
      <c r="B1507" s="10">
        <v>2016</v>
      </c>
      <c r="C1507" t="s">
        <v>820</v>
      </c>
      <c r="D1507" t="s">
        <v>2472</v>
      </c>
      <c r="E1507" t="s">
        <v>2474</v>
      </c>
      <c r="F1507" t="s">
        <v>1822</v>
      </c>
      <c r="G1507" t="s">
        <v>765</v>
      </c>
      <c r="H1507" s="10">
        <v>1021264</v>
      </c>
      <c r="I1507">
        <f>IFERROR(VLOOKUP(Final!F1507,'LEAID Match'!$A$2:$B$374,2,FALSE),"")</f>
        <v>405400</v>
      </c>
      <c r="K1507" s="10">
        <f t="shared" si="23"/>
        <v>1021264</v>
      </c>
    </row>
    <row r="1508" spans="1:11">
      <c r="A1508">
        <v>405400</v>
      </c>
      <c r="B1508" s="10">
        <v>2017</v>
      </c>
      <c r="C1508" t="s">
        <v>820</v>
      </c>
      <c r="D1508" t="s">
        <v>2472</v>
      </c>
      <c r="E1508" t="s">
        <v>2474</v>
      </c>
      <c r="F1508" t="s">
        <v>1822</v>
      </c>
      <c r="G1508" t="s">
        <v>1822</v>
      </c>
      <c r="H1508" s="10">
        <v>975428</v>
      </c>
      <c r="I1508">
        <f>IFERROR(VLOOKUP(Final!F1508,'LEAID Match'!$A$2:$B$374,2,FALSE),"")</f>
        <v>405400</v>
      </c>
      <c r="K1508" s="10">
        <f t="shared" si="23"/>
        <v>975428</v>
      </c>
    </row>
    <row r="1509" spans="1:11">
      <c r="A1509">
        <v>405400</v>
      </c>
      <c r="B1509" s="10">
        <v>2018</v>
      </c>
      <c r="C1509" t="s">
        <v>820</v>
      </c>
      <c r="D1509" t="s">
        <v>2472</v>
      </c>
      <c r="E1509" t="s">
        <v>2474</v>
      </c>
      <c r="F1509" t="s">
        <v>1822</v>
      </c>
      <c r="G1509" t="s">
        <v>2247</v>
      </c>
      <c r="H1509" s="10">
        <v>937427</v>
      </c>
      <c r="I1509">
        <f>IFERROR(VLOOKUP(Final!F1509,'LEAID Match'!$A$2:$B$374,2,FALSE),"")</f>
        <v>405400</v>
      </c>
      <c r="K1509" s="10">
        <f t="shared" si="23"/>
        <v>937427</v>
      </c>
    </row>
    <row r="1510" spans="1:11">
      <c r="A1510">
        <v>405400</v>
      </c>
      <c r="B1510" s="10">
        <v>2019</v>
      </c>
      <c r="C1510" t="s">
        <v>820</v>
      </c>
      <c r="D1510" t="s">
        <v>2472</v>
      </c>
      <c r="E1510" t="s">
        <v>2474</v>
      </c>
      <c r="F1510" t="s">
        <v>1822</v>
      </c>
      <c r="G1510" t="s">
        <v>1822</v>
      </c>
      <c r="H1510" s="10">
        <v>885383</v>
      </c>
      <c r="I1510">
        <f>IFERROR(VLOOKUP(Final!F1510,'LEAID Match'!$A$2:$B$374,2,FALSE),"")</f>
        <v>405400</v>
      </c>
      <c r="K1510" s="10">
        <f t="shared" si="23"/>
        <v>885383</v>
      </c>
    </row>
    <row r="1511" spans="1:11">
      <c r="A1511">
        <v>405400</v>
      </c>
      <c r="B1511" s="10">
        <v>2020</v>
      </c>
      <c r="C1511" t="s">
        <v>820</v>
      </c>
      <c r="D1511" t="s">
        <v>2472</v>
      </c>
      <c r="E1511" t="s">
        <v>2474</v>
      </c>
      <c r="F1511" t="s">
        <v>1822</v>
      </c>
      <c r="G1511" t="s">
        <v>1822</v>
      </c>
      <c r="H1511" s="10">
        <v>833293</v>
      </c>
      <c r="I1511">
        <f>IFERROR(VLOOKUP(Final!F1511,'LEAID Match'!$A$2:$B$374,2,FALSE),"")</f>
        <v>405400</v>
      </c>
      <c r="K1511" s="10">
        <f t="shared" si="23"/>
        <v>833293</v>
      </c>
    </row>
    <row r="1512" spans="1:11">
      <c r="A1512">
        <v>405400</v>
      </c>
      <c r="B1512" s="10">
        <v>2021</v>
      </c>
      <c r="C1512" t="s">
        <v>820</v>
      </c>
      <c r="D1512" t="s">
        <v>2472</v>
      </c>
      <c r="E1512" t="s">
        <v>2474</v>
      </c>
      <c r="F1512" t="s">
        <v>1822</v>
      </c>
      <c r="G1512" t="s">
        <v>1822</v>
      </c>
      <c r="H1512" s="10">
        <v>827634</v>
      </c>
      <c r="I1512">
        <f>IFERROR(VLOOKUP(Final!F1512,'LEAID Match'!$A$2:$B$374,2,FALSE),"")</f>
        <v>405400</v>
      </c>
      <c r="K1512" s="10">
        <f t="shared" si="23"/>
        <v>827634</v>
      </c>
    </row>
    <row r="1513" spans="1:11">
      <c r="A1513">
        <v>405400</v>
      </c>
      <c r="B1513" s="10">
        <v>2022</v>
      </c>
      <c r="C1513" t="s">
        <v>820</v>
      </c>
      <c r="D1513" t="s">
        <v>2472</v>
      </c>
      <c r="E1513" t="s">
        <v>2474</v>
      </c>
      <c r="F1513" t="s">
        <v>1822</v>
      </c>
      <c r="G1513" t="s">
        <v>1822</v>
      </c>
      <c r="H1513" s="10">
        <v>889818</v>
      </c>
      <c r="I1513">
        <f>IFERROR(VLOOKUP(Final!F1513,'LEAID Match'!$A$2:$B$374,2,FALSE),"")</f>
        <v>405400</v>
      </c>
      <c r="K1513" s="10">
        <f t="shared" si="23"/>
        <v>889818</v>
      </c>
    </row>
    <row r="1514" spans="1:11">
      <c r="A1514">
        <v>405400</v>
      </c>
      <c r="B1514" s="10">
        <v>2023</v>
      </c>
      <c r="C1514" t="s">
        <v>820</v>
      </c>
      <c r="D1514" t="s">
        <v>2472</v>
      </c>
      <c r="E1514" t="s">
        <v>2474</v>
      </c>
      <c r="F1514" t="s">
        <v>1822</v>
      </c>
      <c r="G1514" t="s">
        <v>1822</v>
      </c>
      <c r="H1514" s="10">
        <v>841534</v>
      </c>
      <c r="I1514">
        <f>IFERROR(VLOOKUP(Final!F1514,'LEAID Match'!$A$2:$B$374,2,FALSE),"")</f>
        <v>405400</v>
      </c>
      <c r="K1514" s="10">
        <f t="shared" si="23"/>
        <v>841534</v>
      </c>
    </row>
    <row r="1515" spans="1:11">
      <c r="A1515">
        <v>403310</v>
      </c>
      <c r="B1515" s="10">
        <v>2015</v>
      </c>
      <c r="C1515" t="s">
        <v>604</v>
      </c>
      <c r="D1515" t="s">
        <v>2472</v>
      </c>
      <c r="E1515" t="s">
        <v>2474</v>
      </c>
      <c r="F1515" t="s">
        <v>1729</v>
      </c>
      <c r="G1515" t="s">
        <v>549</v>
      </c>
      <c r="H1515" s="10">
        <v>248538</v>
      </c>
      <c r="I1515">
        <f>IFERROR(VLOOKUP(Final!F1515,'LEAID Match'!$A$2:$B$374,2,FALSE),"")</f>
        <v>403310</v>
      </c>
      <c r="K1515" s="10">
        <f t="shared" si="23"/>
        <v>248538</v>
      </c>
    </row>
    <row r="1516" spans="1:11">
      <c r="A1516">
        <v>403310</v>
      </c>
      <c r="B1516" s="10">
        <v>2016</v>
      </c>
      <c r="C1516" t="s">
        <v>604</v>
      </c>
      <c r="D1516" t="s">
        <v>2472</v>
      </c>
      <c r="E1516" t="s">
        <v>2474</v>
      </c>
      <c r="F1516" t="s">
        <v>1729</v>
      </c>
      <c r="G1516" t="s">
        <v>549</v>
      </c>
      <c r="H1516" s="10">
        <v>231557</v>
      </c>
      <c r="I1516">
        <f>IFERROR(VLOOKUP(Final!F1516,'LEAID Match'!$A$2:$B$374,2,FALSE),"")</f>
        <v>403310</v>
      </c>
      <c r="K1516" s="10">
        <f t="shared" si="23"/>
        <v>231557</v>
      </c>
    </row>
    <row r="1517" spans="1:11">
      <c r="A1517">
        <v>403310</v>
      </c>
      <c r="B1517" s="10">
        <v>2017</v>
      </c>
      <c r="C1517" t="s">
        <v>604</v>
      </c>
      <c r="D1517" t="s">
        <v>2472</v>
      </c>
      <c r="E1517" t="s">
        <v>2474</v>
      </c>
      <c r="F1517" t="s">
        <v>1729</v>
      </c>
      <c r="G1517" t="s">
        <v>1729</v>
      </c>
      <c r="H1517" s="10">
        <v>229621</v>
      </c>
      <c r="I1517">
        <f>IFERROR(VLOOKUP(Final!F1517,'LEAID Match'!$A$2:$B$374,2,FALSE),"")</f>
        <v>403310</v>
      </c>
      <c r="K1517" s="10">
        <f t="shared" si="23"/>
        <v>229621</v>
      </c>
    </row>
    <row r="1518" spans="1:11">
      <c r="A1518">
        <v>403310</v>
      </c>
      <c r="B1518" s="10">
        <v>2018</v>
      </c>
      <c r="C1518" t="s">
        <v>604</v>
      </c>
      <c r="D1518" t="s">
        <v>2472</v>
      </c>
      <c r="E1518" t="s">
        <v>2474</v>
      </c>
      <c r="F1518" t="s">
        <v>1729</v>
      </c>
      <c r="G1518" t="s">
        <v>2196</v>
      </c>
      <c r="H1518" s="10">
        <v>216504</v>
      </c>
      <c r="I1518">
        <f>IFERROR(VLOOKUP(Final!F1518,'LEAID Match'!$A$2:$B$374,2,FALSE),"")</f>
        <v>403310</v>
      </c>
      <c r="K1518" s="10">
        <f t="shared" si="23"/>
        <v>216504</v>
      </c>
    </row>
    <row r="1519" spans="1:11">
      <c r="A1519">
        <v>403310</v>
      </c>
      <c r="B1519" s="10">
        <v>2019</v>
      </c>
      <c r="C1519" t="s">
        <v>604</v>
      </c>
      <c r="D1519" t="s">
        <v>2472</v>
      </c>
      <c r="E1519" t="s">
        <v>2474</v>
      </c>
      <c r="F1519" t="s">
        <v>1729</v>
      </c>
      <c r="G1519" t="s">
        <v>1729</v>
      </c>
      <c r="H1519" s="10">
        <v>183518</v>
      </c>
      <c r="I1519">
        <f>IFERROR(VLOOKUP(Final!F1519,'LEAID Match'!$A$2:$B$374,2,FALSE),"")</f>
        <v>403310</v>
      </c>
      <c r="K1519" s="10">
        <f t="shared" si="23"/>
        <v>183518</v>
      </c>
    </row>
    <row r="1520" spans="1:11">
      <c r="A1520">
        <v>403310</v>
      </c>
      <c r="B1520" s="10">
        <v>2020</v>
      </c>
      <c r="C1520" t="s">
        <v>604</v>
      </c>
      <c r="D1520" t="s">
        <v>2472</v>
      </c>
      <c r="E1520" t="s">
        <v>2474</v>
      </c>
      <c r="F1520" t="s">
        <v>1729</v>
      </c>
      <c r="G1520" t="s">
        <v>1729</v>
      </c>
      <c r="H1520" s="10">
        <v>178939</v>
      </c>
      <c r="I1520">
        <f>IFERROR(VLOOKUP(Final!F1520,'LEAID Match'!$A$2:$B$374,2,FALSE),"")</f>
        <v>403310</v>
      </c>
      <c r="K1520" s="10">
        <f t="shared" si="23"/>
        <v>178939</v>
      </c>
    </row>
    <row r="1521" spans="1:11">
      <c r="A1521">
        <v>403310</v>
      </c>
      <c r="B1521" s="10">
        <v>2021</v>
      </c>
      <c r="C1521" t="s">
        <v>604</v>
      </c>
      <c r="D1521" t="s">
        <v>2472</v>
      </c>
      <c r="E1521" t="s">
        <v>2474</v>
      </c>
      <c r="F1521" t="s">
        <v>1729</v>
      </c>
      <c r="G1521" t="s">
        <v>1729</v>
      </c>
      <c r="H1521" s="10">
        <v>221121</v>
      </c>
      <c r="I1521">
        <f>IFERROR(VLOOKUP(Final!F1521,'LEAID Match'!$A$2:$B$374,2,FALSE),"")</f>
        <v>403310</v>
      </c>
      <c r="K1521" s="10">
        <f t="shared" si="23"/>
        <v>221121</v>
      </c>
    </row>
    <row r="1522" spans="1:11">
      <c r="A1522">
        <v>403310</v>
      </c>
      <c r="B1522" s="10">
        <v>2022</v>
      </c>
      <c r="C1522" t="s">
        <v>604</v>
      </c>
      <c r="D1522" t="s">
        <v>2472</v>
      </c>
      <c r="E1522" t="s">
        <v>2474</v>
      </c>
      <c r="F1522" t="s">
        <v>1729</v>
      </c>
      <c r="G1522" t="s">
        <v>1729</v>
      </c>
      <c r="H1522" s="10">
        <v>227467</v>
      </c>
      <c r="I1522">
        <f>IFERROR(VLOOKUP(Final!F1522,'LEAID Match'!$A$2:$B$374,2,FALSE),"")</f>
        <v>403310</v>
      </c>
      <c r="K1522" s="10">
        <f t="shared" si="23"/>
        <v>227467</v>
      </c>
    </row>
    <row r="1523" spans="1:11">
      <c r="A1523">
        <v>403310</v>
      </c>
      <c r="B1523" s="10">
        <v>2023</v>
      </c>
      <c r="C1523" t="s">
        <v>604</v>
      </c>
      <c r="D1523" t="s">
        <v>2472</v>
      </c>
      <c r="E1523" t="s">
        <v>2474</v>
      </c>
      <c r="F1523" t="s">
        <v>1729</v>
      </c>
      <c r="G1523" t="s">
        <v>1729</v>
      </c>
      <c r="H1523" s="10">
        <v>229384</v>
      </c>
      <c r="I1523">
        <f>IFERROR(VLOOKUP(Final!F1523,'LEAID Match'!$A$2:$B$374,2,FALSE),"")</f>
        <v>403310</v>
      </c>
      <c r="K1523" s="10">
        <f t="shared" si="23"/>
        <v>229384</v>
      </c>
    </row>
    <row r="1524" spans="1:11">
      <c r="A1524">
        <v>404320</v>
      </c>
      <c r="B1524" s="10">
        <v>2015</v>
      </c>
      <c r="C1524" t="s">
        <v>714</v>
      </c>
      <c r="D1524" t="s">
        <v>2472</v>
      </c>
      <c r="E1524" t="s">
        <v>2474</v>
      </c>
      <c r="F1524" t="s">
        <v>1780</v>
      </c>
      <c r="G1524" t="s">
        <v>659</v>
      </c>
      <c r="H1524" s="10">
        <v>1438541</v>
      </c>
      <c r="I1524">
        <f>IFERROR(VLOOKUP(Final!F1524,'LEAID Match'!$A$2:$B$374,2,FALSE),"")</f>
        <v>404320</v>
      </c>
      <c r="K1524" s="10">
        <f t="shared" si="23"/>
        <v>1438541</v>
      </c>
    </row>
    <row r="1525" spans="1:11">
      <c r="A1525">
        <v>404320</v>
      </c>
      <c r="B1525" s="10">
        <v>2016</v>
      </c>
      <c r="C1525" t="s">
        <v>714</v>
      </c>
      <c r="D1525" t="s">
        <v>2472</v>
      </c>
      <c r="E1525" t="s">
        <v>2474</v>
      </c>
      <c r="F1525" t="s">
        <v>1780</v>
      </c>
      <c r="G1525" t="s">
        <v>659</v>
      </c>
      <c r="H1525" s="10">
        <v>1370397</v>
      </c>
      <c r="I1525">
        <f>IFERROR(VLOOKUP(Final!F1525,'LEAID Match'!$A$2:$B$374,2,FALSE),"")</f>
        <v>404320</v>
      </c>
      <c r="K1525" s="10">
        <f t="shared" si="23"/>
        <v>1370397</v>
      </c>
    </row>
    <row r="1526" spans="1:11">
      <c r="A1526">
        <v>404320</v>
      </c>
      <c r="B1526" s="10">
        <v>2017</v>
      </c>
      <c r="C1526" t="s">
        <v>714</v>
      </c>
      <c r="D1526" t="s">
        <v>2472</v>
      </c>
      <c r="E1526" t="s">
        <v>2474</v>
      </c>
      <c r="F1526" t="s">
        <v>1780</v>
      </c>
      <c r="G1526" t="s">
        <v>1780</v>
      </c>
      <c r="H1526" s="10">
        <v>1368483</v>
      </c>
      <c r="I1526">
        <f>IFERROR(VLOOKUP(Final!F1526,'LEAID Match'!$A$2:$B$374,2,FALSE),"")</f>
        <v>404320</v>
      </c>
      <c r="K1526" s="10">
        <f t="shared" si="23"/>
        <v>1368483</v>
      </c>
    </row>
    <row r="1527" spans="1:11">
      <c r="A1527">
        <v>404320</v>
      </c>
      <c r="B1527" s="10">
        <v>2018</v>
      </c>
      <c r="C1527" t="s">
        <v>714</v>
      </c>
      <c r="D1527" t="s">
        <v>2472</v>
      </c>
      <c r="E1527" t="s">
        <v>2474</v>
      </c>
      <c r="F1527" t="s">
        <v>1780</v>
      </c>
      <c r="G1527" t="s">
        <v>2222</v>
      </c>
      <c r="H1527" s="10">
        <v>1547887</v>
      </c>
      <c r="I1527">
        <f>IFERROR(VLOOKUP(Final!F1527,'LEAID Match'!$A$2:$B$374,2,FALSE),"")</f>
        <v>404320</v>
      </c>
      <c r="K1527" s="10">
        <f t="shared" si="23"/>
        <v>1547887</v>
      </c>
    </row>
    <row r="1528" spans="1:11">
      <c r="A1528">
        <v>404320</v>
      </c>
      <c r="B1528" s="10">
        <v>2019</v>
      </c>
      <c r="C1528" t="s">
        <v>714</v>
      </c>
      <c r="D1528" t="s">
        <v>2472</v>
      </c>
      <c r="E1528" t="s">
        <v>2474</v>
      </c>
      <c r="F1528" t="s">
        <v>1780</v>
      </c>
      <c r="G1528" t="s">
        <v>1780</v>
      </c>
      <c r="H1528" s="10">
        <v>1666216</v>
      </c>
      <c r="I1528">
        <f>IFERROR(VLOOKUP(Final!F1528,'LEAID Match'!$A$2:$B$374,2,FALSE),"")</f>
        <v>404320</v>
      </c>
      <c r="K1528" s="10">
        <f t="shared" si="23"/>
        <v>1666216</v>
      </c>
    </row>
    <row r="1529" spans="1:11">
      <c r="A1529">
        <v>404320</v>
      </c>
      <c r="B1529" s="10">
        <v>2020</v>
      </c>
      <c r="C1529" t="s">
        <v>714</v>
      </c>
      <c r="D1529" t="s">
        <v>2472</v>
      </c>
      <c r="E1529" t="s">
        <v>2474</v>
      </c>
      <c r="F1529" t="s">
        <v>1780</v>
      </c>
      <c r="G1529" t="s">
        <v>1780</v>
      </c>
      <c r="H1529" s="10">
        <v>1926899</v>
      </c>
      <c r="I1529">
        <f>IFERROR(VLOOKUP(Final!F1529,'LEAID Match'!$A$2:$B$374,2,FALSE),"")</f>
        <v>404320</v>
      </c>
      <c r="K1529" s="10">
        <f t="shared" si="23"/>
        <v>1926899</v>
      </c>
    </row>
    <row r="1530" spans="1:11">
      <c r="A1530">
        <v>404320</v>
      </c>
      <c r="B1530" s="10">
        <v>2021</v>
      </c>
      <c r="C1530" t="s">
        <v>714</v>
      </c>
      <c r="D1530" t="s">
        <v>2472</v>
      </c>
      <c r="E1530" t="s">
        <v>2474</v>
      </c>
      <c r="F1530" t="s">
        <v>1780</v>
      </c>
      <c r="G1530" t="s">
        <v>1780</v>
      </c>
      <c r="H1530" s="10">
        <v>2033278</v>
      </c>
      <c r="I1530">
        <f>IFERROR(VLOOKUP(Final!F1530,'LEAID Match'!$A$2:$B$374,2,FALSE),"")</f>
        <v>404320</v>
      </c>
      <c r="K1530" s="10">
        <f t="shared" si="23"/>
        <v>2033278</v>
      </c>
    </row>
    <row r="1531" spans="1:11">
      <c r="A1531">
        <v>404320</v>
      </c>
      <c r="B1531" s="10">
        <v>2022</v>
      </c>
      <c r="C1531" t="s">
        <v>714</v>
      </c>
      <c r="D1531" t="s">
        <v>2472</v>
      </c>
      <c r="E1531" t="s">
        <v>2474</v>
      </c>
      <c r="F1531" t="s">
        <v>1780</v>
      </c>
      <c r="G1531" t="s">
        <v>1780</v>
      </c>
      <c r="H1531" s="10">
        <v>2349863</v>
      </c>
      <c r="I1531">
        <f>IFERROR(VLOOKUP(Final!F1531,'LEAID Match'!$A$2:$B$374,2,FALSE),"")</f>
        <v>404320</v>
      </c>
      <c r="K1531" s="10">
        <f t="shared" si="23"/>
        <v>2349863</v>
      </c>
    </row>
    <row r="1532" spans="1:11">
      <c r="A1532">
        <v>404320</v>
      </c>
      <c r="B1532" s="10">
        <v>2023</v>
      </c>
      <c r="C1532" t="s">
        <v>714</v>
      </c>
      <c r="D1532" t="s">
        <v>2472</v>
      </c>
      <c r="E1532" t="s">
        <v>2474</v>
      </c>
      <c r="F1532" t="s">
        <v>1780</v>
      </c>
      <c r="G1532" t="s">
        <v>1780</v>
      </c>
      <c r="H1532" s="10">
        <v>2832309</v>
      </c>
      <c r="I1532">
        <f>IFERROR(VLOOKUP(Final!F1532,'LEAID Match'!$A$2:$B$374,2,FALSE),"")</f>
        <v>404320</v>
      </c>
      <c r="K1532" s="10">
        <f t="shared" si="23"/>
        <v>2832309</v>
      </c>
    </row>
    <row r="1533" spans="1:11">
      <c r="A1533">
        <v>404230</v>
      </c>
      <c r="B1533" s="10">
        <v>2015</v>
      </c>
      <c r="C1533" t="s">
        <v>708</v>
      </c>
      <c r="D1533" t="s">
        <v>2472</v>
      </c>
      <c r="E1533" t="s">
        <v>2474</v>
      </c>
      <c r="F1533" t="s">
        <v>1774</v>
      </c>
      <c r="G1533" t="s">
        <v>653</v>
      </c>
      <c r="H1533" s="10">
        <v>8530815</v>
      </c>
      <c r="I1533">
        <f>IFERROR(VLOOKUP(Final!F1533,'LEAID Match'!$A$2:$B$374,2,FALSE),"")</f>
        <v>404230</v>
      </c>
      <c r="K1533" s="10">
        <f t="shared" si="23"/>
        <v>8530815</v>
      </c>
    </row>
    <row r="1534" spans="1:11">
      <c r="A1534">
        <v>404230</v>
      </c>
      <c r="B1534" s="10">
        <v>2016</v>
      </c>
      <c r="C1534" t="s">
        <v>708</v>
      </c>
      <c r="D1534" t="s">
        <v>2472</v>
      </c>
      <c r="E1534" t="s">
        <v>2474</v>
      </c>
      <c r="F1534" t="s">
        <v>1774</v>
      </c>
      <c r="G1534" t="s">
        <v>653</v>
      </c>
      <c r="H1534" s="10">
        <v>8192217</v>
      </c>
      <c r="I1534">
        <f>IFERROR(VLOOKUP(Final!F1534,'LEAID Match'!$A$2:$B$374,2,FALSE),"")</f>
        <v>404230</v>
      </c>
      <c r="K1534" s="10">
        <f t="shared" si="23"/>
        <v>8192217</v>
      </c>
    </row>
    <row r="1535" spans="1:11">
      <c r="A1535">
        <v>404230</v>
      </c>
      <c r="B1535" s="10">
        <v>2017</v>
      </c>
      <c r="C1535" t="s">
        <v>708</v>
      </c>
      <c r="D1535" t="s">
        <v>2472</v>
      </c>
      <c r="E1535" t="s">
        <v>2474</v>
      </c>
      <c r="F1535" t="s">
        <v>1774</v>
      </c>
      <c r="G1535" t="s">
        <v>1774</v>
      </c>
      <c r="H1535" s="10">
        <v>8634031</v>
      </c>
      <c r="I1535">
        <f>IFERROR(VLOOKUP(Final!F1535,'LEAID Match'!$A$2:$B$374,2,FALSE),"")</f>
        <v>404230</v>
      </c>
      <c r="K1535" s="10">
        <f t="shared" si="23"/>
        <v>8634031</v>
      </c>
    </row>
    <row r="1536" spans="1:11">
      <c r="A1536">
        <v>404230</v>
      </c>
      <c r="B1536" s="10">
        <v>2018</v>
      </c>
      <c r="C1536" t="s">
        <v>708</v>
      </c>
      <c r="D1536" t="s">
        <v>2472</v>
      </c>
      <c r="E1536" t="s">
        <v>2474</v>
      </c>
      <c r="F1536" t="s">
        <v>1774</v>
      </c>
      <c r="G1536" t="s">
        <v>1774</v>
      </c>
      <c r="H1536" s="10">
        <v>8980173</v>
      </c>
      <c r="I1536">
        <f>IFERROR(VLOOKUP(Final!F1536,'LEAID Match'!$A$2:$B$374,2,FALSE),"")</f>
        <v>404230</v>
      </c>
      <c r="K1536" s="10">
        <f t="shared" si="23"/>
        <v>8980173</v>
      </c>
    </row>
    <row r="1537" spans="1:11">
      <c r="A1537">
        <v>404230</v>
      </c>
      <c r="B1537" s="10">
        <v>2019</v>
      </c>
      <c r="C1537" t="s">
        <v>708</v>
      </c>
      <c r="D1537" t="s">
        <v>2472</v>
      </c>
      <c r="E1537" t="s">
        <v>2474</v>
      </c>
      <c r="F1537" t="s">
        <v>1774</v>
      </c>
      <c r="G1537" t="s">
        <v>1774</v>
      </c>
      <c r="H1537" s="10">
        <v>9889186</v>
      </c>
      <c r="I1537">
        <f>IFERROR(VLOOKUP(Final!F1537,'LEAID Match'!$A$2:$B$374,2,FALSE),"")</f>
        <v>404230</v>
      </c>
      <c r="K1537" s="10">
        <f t="shared" si="23"/>
        <v>9889186</v>
      </c>
    </row>
    <row r="1538" spans="1:11">
      <c r="A1538">
        <v>404230</v>
      </c>
      <c r="B1538" s="10">
        <v>2020</v>
      </c>
      <c r="C1538" t="s">
        <v>708</v>
      </c>
      <c r="D1538" t="s">
        <v>2472</v>
      </c>
      <c r="E1538" t="s">
        <v>2474</v>
      </c>
      <c r="F1538" t="s">
        <v>1774</v>
      </c>
      <c r="G1538" t="s">
        <v>1774</v>
      </c>
      <c r="H1538" s="10">
        <v>10578757</v>
      </c>
      <c r="I1538">
        <f>IFERROR(VLOOKUP(Final!F1538,'LEAID Match'!$A$2:$B$374,2,FALSE),"")</f>
        <v>404230</v>
      </c>
      <c r="K1538" s="10">
        <f t="shared" si="23"/>
        <v>10578757</v>
      </c>
    </row>
    <row r="1539" spans="1:11">
      <c r="A1539">
        <v>404230</v>
      </c>
      <c r="B1539" s="10">
        <v>2021</v>
      </c>
      <c r="C1539" t="s">
        <v>708</v>
      </c>
      <c r="D1539" t="s">
        <v>2472</v>
      </c>
      <c r="E1539" t="s">
        <v>2474</v>
      </c>
      <c r="F1539" t="s">
        <v>1774</v>
      </c>
      <c r="G1539" t="s">
        <v>1774</v>
      </c>
      <c r="H1539" s="10">
        <v>10612234</v>
      </c>
      <c r="I1539">
        <f>IFERROR(VLOOKUP(Final!F1539,'LEAID Match'!$A$2:$B$374,2,FALSE),"")</f>
        <v>404230</v>
      </c>
      <c r="K1539" s="10">
        <f t="shared" ref="K1539:K1602" si="24">SUM(H1539,J1539)</f>
        <v>10612234</v>
      </c>
    </row>
    <row r="1540" spans="1:11">
      <c r="A1540">
        <v>404230</v>
      </c>
      <c r="B1540" s="10">
        <v>2022</v>
      </c>
      <c r="C1540" t="s">
        <v>708</v>
      </c>
      <c r="D1540" t="s">
        <v>2472</v>
      </c>
      <c r="E1540" t="s">
        <v>2474</v>
      </c>
      <c r="F1540" t="s">
        <v>1774</v>
      </c>
      <c r="G1540" t="s">
        <v>1774</v>
      </c>
      <c r="H1540" s="10">
        <v>10890142</v>
      </c>
      <c r="I1540">
        <f>IFERROR(VLOOKUP(Final!F1540,'LEAID Match'!$A$2:$B$374,2,FALSE),"")</f>
        <v>404230</v>
      </c>
      <c r="K1540" s="10">
        <f t="shared" si="24"/>
        <v>10890142</v>
      </c>
    </row>
    <row r="1541" spans="1:11">
      <c r="A1541">
        <v>404230</v>
      </c>
      <c r="B1541" s="10">
        <v>2023</v>
      </c>
      <c r="C1541" t="s">
        <v>708</v>
      </c>
      <c r="D1541" t="s">
        <v>2472</v>
      </c>
      <c r="E1541" t="s">
        <v>2474</v>
      </c>
      <c r="F1541" t="s">
        <v>1774</v>
      </c>
      <c r="G1541" t="s">
        <v>1774</v>
      </c>
      <c r="H1541" s="10">
        <v>11186506</v>
      </c>
      <c r="I1541">
        <f>IFERROR(VLOOKUP(Final!F1541,'LEAID Match'!$A$2:$B$374,2,FALSE),"")</f>
        <v>404230</v>
      </c>
      <c r="K1541" s="10">
        <f t="shared" si="24"/>
        <v>11186506</v>
      </c>
    </row>
    <row r="1542" spans="1:11">
      <c r="A1542">
        <v>401050</v>
      </c>
      <c r="B1542" s="10">
        <v>2015</v>
      </c>
      <c r="C1542" t="s">
        <v>1434</v>
      </c>
      <c r="D1542" t="s">
        <v>2472</v>
      </c>
      <c r="E1542" t="s">
        <v>2474</v>
      </c>
      <c r="F1542" t="s">
        <v>1620</v>
      </c>
      <c r="G1542" t="s">
        <v>267</v>
      </c>
      <c r="H1542" s="10">
        <v>1288350</v>
      </c>
      <c r="I1542">
        <f>IFERROR(VLOOKUP(Final!F1542,'LEAID Match'!$A$2:$B$374,2,FALSE),"")</f>
        <v>401050</v>
      </c>
      <c r="K1542" s="10">
        <f t="shared" si="24"/>
        <v>1288350</v>
      </c>
    </row>
    <row r="1543" spans="1:11">
      <c r="A1543">
        <v>401050</v>
      </c>
      <c r="B1543" s="10">
        <v>2016</v>
      </c>
      <c r="C1543" t="s">
        <v>1434</v>
      </c>
      <c r="D1543" t="s">
        <v>2472</v>
      </c>
      <c r="E1543" t="s">
        <v>2474</v>
      </c>
      <c r="F1543" t="s">
        <v>1620</v>
      </c>
      <c r="G1543" t="s">
        <v>267</v>
      </c>
      <c r="H1543" s="10">
        <v>1287815</v>
      </c>
      <c r="I1543">
        <f>IFERROR(VLOOKUP(Final!F1543,'LEAID Match'!$A$2:$B$374,2,FALSE),"")</f>
        <v>401050</v>
      </c>
      <c r="K1543" s="10">
        <f t="shared" si="24"/>
        <v>1287815</v>
      </c>
    </row>
    <row r="1544" spans="1:11">
      <c r="A1544">
        <v>401050</v>
      </c>
      <c r="B1544" s="10">
        <v>2017</v>
      </c>
      <c r="C1544" t="s">
        <v>1434</v>
      </c>
      <c r="D1544" t="s">
        <v>2472</v>
      </c>
      <c r="E1544" t="s">
        <v>2474</v>
      </c>
      <c r="F1544" t="s">
        <v>1620</v>
      </c>
      <c r="G1544" t="s">
        <v>1620</v>
      </c>
      <c r="H1544" s="10">
        <v>1256012</v>
      </c>
      <c r="I1544">
        <f>IFERROR(VLOOKUP(Final!F1544,'LEAID Match'!$A$2:$B$374,2,FALSE),"")</f>
        <v>401050</v>
      </c>
      <c r="K1544" s="10">
        <f t="shared" si="24"/>
        <v>1256012</v>
      </c>
    </row>
    <row r="1545" spans="1:11">
      <c r="A1545">
        <v>401050</v>
      </c>
      <c r="B1545" s="10">
        <v>2018</v>
      </c>
      <c r="C1545" t="s">
        <v>1434</v>
      </c>
      <c r="D1545" t="s">
        <v>2472</v>
      </c>
      <c r="E1545" t="s">
        <v>2474</v>
      </c>
      <c r="F1545" t="s">
        <v>1620</v>
      </c>
      <c r="G1545" t="s">
        <v>2126</v>
      </c>
      <c r="H1545" s="10">
        <v>1344679</v>
      </c>
      <c r="I1545">
        <f>IFERROR(VLOOKUP(Final!F1545,'LEAID Match'!$A$2:$B$374,2,FALSE),"")</f>
        <v>401050</v>
      </c>
      <c r="K1545" s="10">
        <f t="shared" si="24"/>
        <v>1344679</v>
      </c>
    </row>
    <row r="1546" spans="1:11">
      <c r="A1546">
        <v>401050</v>
      </c>
      <c r="B1546" s="10">
        <v>2019</v>
      </c>
      <c r="C1546" t="s">
        <v>1434</v>
      </c>
      <c r="D1546" t="s">
        <v>2472</v>
      </c>
      <c r="E1546" t="s">
        <v>2474</v>
      </c>
      <c r="F1546" t="s">
        <v>1620</v>
      </c>
      <c r="G1546" t="s">
        <v>1620</v>
      </c>
      <c r="H1546" s="10">
        <v>1351549</v>
      </c>
      <c r="I1546">
        <f>IFERROR(VLOOKUP(Final!F1546,'LEAID Match'!$A$2:$B$374,2,FALSE),"")</f>
        <v>401050</v>
      </c>
      <c r="K1546" s="10">
        <f t="shared" si="24"/>
        <v>1351549</v>
      </c>
    </row>
    <row r="1547" spans="1:11">
      <c r="A1547">
        <v>401050</v>
      </c>
      <c r="B1547" s="10">
        <v>2020</v>
      </c>
      <c r="C1547" t="s">
        <v>1434</v>
      </c>
      <c r="D1547" t="s">
        <v>2472</v>
      </c>
      <c r="E1547" t="s">
        <v>2474</v>
      </c>
      <c r="F1547" t="s">
        <v>1620</v>
      </c>
      <c r="G1547" t="s">
        <v>1620</v>
      </c>
      <c r="H1547" s="10">
        <v>1444143</v>
      </c>
      <c r="I1547">
        <f>IFERROR(VLOOKUP(Final!F1547,'LEAID Match'!$A$2:$B$374,2,FALSE),"")</f>
        <v>401050</v>
      </c>
      <c r="K1547" s="10">
        <f t="shared" si="24"/>
        <v>1444143</v>
      </c>
    </row>
    <row r="1548" spans="1:11">
      <c r="A1548">
        <v>401050</v>
      </c>
      <c r="B1548" s="10">
        <v>2021</v>
      </c>
      <c r="C1548" t="s">
        <v>1434</v>
      </c>
      <c r="D1548" t="s">
        <v>2472</v>
      </c>
      <c r="E1548" t="s">
        <v>2474</v>
      </c>
      <c r="F1548" t="s">
        <v>1620</v>
      </c>
      <c r="G1548" t="s">
        <v>1620</v>
      </c>
      <c r="H1548" s="10">
        <v>1531460</v>
      </c>
      <c r="I1548">
        <f>IFERROR(VLOOKUP(Final!F1548,'LEAID Match'!$A$2:$B$374,2,FALSE),"")</f>
        <v>401050</v>
      </c>
      <c r="K1548" s="10">
        <f t="shared" si="24"/>
        <v>1531460</v>
      </c>
    </row>
    <row r="1549" spans="1:11">
      <c r="A1549">
        <v>401050</v>
      </c>
      <c r="B1549" s="10">
        <v>2022</v>
      </c>
      <c r="C1549" t="s">
        <v>1434</v>
      </c>
      <c r="D1549" t="s">
        <v>2472</v>
      </c>
      <c r="E1549" t="s">
        <v>2474</v>
      </c>
      <c r="F1549" t="s">
        <v>1620</v>
      </c>
      <c r="G1549" t="s">
        <v>1620</v>
      </c>
      <c r="H1549" s="10">
        <v>1730652</v>
      </c>
      <c r="I1549">
        <f>IFERROR(VLOOKUP(Final!F1549,'LEAID Match'!$A$2:$B$374,2,FALSE),"")</f>
        <v>401050</v>
      </c>
      <c r="K1549" s="10">
        <f t="shared" si="24"/>
        <v>1730652</v>
      </c>
    </row>
    <row r="1550" spans="1:11">
      <c r="A1550">
        <v>401050</v>
      </c>
      <c r="B1550" s="10">
        <v>2023</v>
      </c>
      <c r="C1550" t="s">
        <v>1434</v>
      </c>
      <c r="D1550" t="s">
        <v>2472</v>
      </c>
      <c r="E1550" t="s">
        <v>2474</v>
      </c>
      <c r="F1550" t="s">
        <v>1620</v>
      </c>
      <c r="G1550" t="s">
        <v>1620</v>
      </c>
      <c r="H1550" s="10">
        <v>2051789</v>
      </c>
      <c r="I1550">
        <f>IFERROR(VLOOKUP(Final!F1550,'LEAID Match'!$A$2:$B$374,2,FALSE),"")</f>
        <v>401050</v>
      </c>
      <c r="K1550" s="10">
        <f t="shared" si="24"/>
        <v>2051789</v>
      </c>
    </row>
    <row r="1551" spans="1:11">
      <c r="A1551">
        <v>401380</v>
      </c>
      <c r="B1551" s="10">
        <v>2015</v>
      </c>
      <c r="C1551" t="s">
        <v>335</v>
      </c>
      <c r="D1551" t="s">
        <v>2472</v>
      </c>
      <c r="E1551" t="s">
        <v>2474</v>
      </c>
      <c r="F1551" t="s">
        <v>1633</v>
      </c>
      <c r="G1551" t="s">
        <v>281</v>
      </c>
      <c r="H1551" s="10">
        <v>1940952</v>
      </c>
      <c r="I1551">
        <f>IFERROR(VLOOKUP(Final!F1551,'LEAID Match'!$A$2:$B$374,2,FALSE),"")</f>
        <v>401380</v>
      </c>
      <c r="K1551" s="10">
        <f t="shared" si="24"/>
        <v>1940952</v>
      </c>
    </row>
    <row r="1552" spans="1:11">
      <c r="A1552">
        <v>401380</v>
      </c>
      <c r="B1552" s="10">
        <v>2016</v>
      </c>
      <c r="C1552" t="s">
        <v>335</v>
      </c>
      <c r="D1552" t="s">
        <v>2472</v>
      </c>
      <c r="E1552" t="s">
        <v>2474</v>
      </c>
      <c r="F1552" t="s">
        <v>1633</v>
      </c>
      <c r="G1552" t="s">
        <v>281</v>
      </c>
      <c r="H1552" s="10">
        <v>2124783</v>
      </c>
      <c r="I1552">
        <f>IFERROR(VLOOKUP(Final!F1552,'LEAID Match'!$A$2:$B$374,2,FALSE),"")</f>
        <v>401380</v>
      </c>
      <c r="K1552" s="10">
        <f t="shared" si="24"/>
        <v>2124783</v>
      </c>
    </row>
    <row r="1553" spans="1:11">
      <c r="A1553">
        <v>401380</v>
      </c>
      <c r="B1553" s="10">
        <v>2017</v>
      </c>
      <c r="C1553" t="s">
        <v>335</v>
      </c>
      <c r="D1553" t="s">
        <v>2472</v>
      </c>
      <c r="E1553" t="s">
        <v>2474</v>
      </c>
      <c r="F1553" t="s">
        <v>1633</v>
      </c>
      <c r="G1553" t="s">
        <v>1633</v>
      </c>
      <c r="H1553" s="10">
        <v>2171060</v>
      </c>
      <c r="I1553">
        <f>IFERROR(VLOOKUP(Final!F1553,'LEAID Match'!$A$2:$B$374,2,FALSE),"")</f>
        <v>401380</v>
      </c>
      <c r="K1553" s="10">
        <f t="shared" si="24"/>
        <v>2171060</v>
      </c>
    </row>
    <row r="1554" spans="1:11">
      <c r="A1554">
        <v>401380</v>
      </c>
      <c r="B1554" s="10">
        <v>2018</v>
      </c>
      <c r="C1554" t="s">
        <v>335</v>
      </c>
      <c r="D1554" t="s">
        <v>2472</v>
      </c>
      <c r="E1554" t="s">
        <v>2474</v>
      </c>
      <c r="F1554" t="s">
        <v>1633</v>
      </c>
      <c r="G1554" t="s">
        <v>2133</v>
      </c>
      <c r="H1554" s="10">
        <v>2283953</v>
      </c>
      <c r="I1554">
        <f>IFERROR(VLOOKUP(Final!F1554,'LEAID Match'!$A$2:$B$374,2,FALSE),"")</f>
        <v>401380</v>
      </c>
      <c r="K1554" s="10">
        <f t="shared" si="24"/>
        <v>2283953</v>
      </c>
    </row>
    <row r="1555" spans="1:11">
      <c r="A1555">
        <v>401380</v>
      </c>
      <c r="B1555" s="10">
        <v>2019</v>
      </c>
      <c r="C1555" t="s">
        <v>335</v>
      </c>
      <c r="D1555" t="s">
        <v>2472</v>
      </c>
      <c r="E1555" t="s">
        <v>2474</v>
      </c>
      <c r="F1555" t="s">
        <v>1633</v>
      </c>
      <c r="G1555" t="s">
        <v>1633</v>
      </c>
      <c r="H1555" s="10">
        <v>2824657</v>
      </c>
      <c r="I1555">
        <f>IFERROR(VLOOKUP(Final!F1555,'LEAID Match'!$A$2:$B$374,2,FALSE),"")</f>
        <v>401380</v>
      </c>
      <c r="K1555" s="10">
        <f t="shared" si="24"/>
        <v>2824657</v>
      </c>
    </row>
    <row r="1556" spans="1:11">
      <c r="A1556">
        <v>401380</v>
      </c>
      <c r="B1556" s="10">
        <v>2020</v>
      </c>
      <c r="C1556" t="s">
        <v>335</v>
      </c>
      <c r="D1556" t="s">
        <v>2472</v>
      </c>
      <c r="E1556" t="s">
        <v>2474</v>
      </c>
      <c r="F1556" t="s">
        <v>1633</v>
      </c>
      <c r="G1556" t="s">
        <v>1633</v>
      </c>
      <c r="H1556" s="10">
        <v>3140633</v>
      </c>
      <c r="I1556">
        <f>IFERROR(VLOOKUP(Final!F1556,'LEAID Match'!$A$2:$B$374,2,FALSE),"")</f>
        <v>401380</v>
      </c>
      <c r="K1556" s="10">
        <f t="shared" si="24"/>
        <v>3140633</v>
      </c>
    </row>
    <row r="1557" spans="1:11">
      <c r="A1557">
        <v>401380</v>
      </c>
      <c r="B1557" s="10">
        <v>2021</v>
      </c>
      <c r="C1557" t="s">
        <v>335</v>
      </c>
      <c r="D1557" t="s">
        <v>2472</v>
      </c>
      <c r="E1557" t="s">
        <v>2474</v>
      </c>
      <c r="F1557" t="s">
        <v>1633</v>
      </c>
      <c r="G1557" t="s">
        <v>1633</v>
      </c>
      <c r="H1557" s="10">
        <v>3225914</v>
      </c>
      <c r="I1557">
        <f>IFERROR(VLOOKUP(Final!F1557,'LEAID Match'!$A$2:$B$374,2,FALSE),"")</f>
        <v>401380</v>
      </c>
      <c r="K1557" s="10">
        <f t="shared" si="24"/>
        <v>3225914</v>
      </c>
    </row>
    <row r="1558" spans="1:11">
      <c r="A1558">
        <v>401380</v>
      </c>
      <c r="B1558" s="10">
        <v>2022</v>
      </c>
      <c r="C1558" t="s">
        <v>335</v>
      </c>
      <c r="D1558" t="s">
        <v>2472</v>
      </c>
      <c r="E1558" t="s">
        <v>2474</v>
      </c>
      <c r="F1558" t="s">
        <v>1633</v>
      </c>
      <c r="G1558" t="s">
        <v>1633</v>
      </c>
      <c r="H1558" s="10">
        <v>3696849</v>
      </c>
      <c r="I1558">
        <f>IFERROR(VLOOKUP(Final!F1558,'LEAID Match'!$A$2:$B$374,2,FALSE),"")</f>
        <v>401380</v>
      </c>
      <c r="K1558" s="10">
        <f t="shared" si="24"/>
        <v>3696849</v>
      </c>
    </row>
    <row r="1559" spans="1:11">
      <c r="A1559">
        <v>401380</v>
      </c>
      <c r="B1559" s="10">
        <v>2023</v>
      </c>
      <c r="C1559" t="s">
        <v>335</v>
      </c>
      <c r="D1559" t="s">
        <v>2472</v>
      </c>
      <c r="E1559" t="s">
        <v>2474</v>
      </c>
      <c r="F1559" t="s">
        <v>1633</v>
      </c>
      <c r="G1559" t="s">
        <v>1633</v>
      </c>
      <c r="H1559" s="10">
        <v>3767371</v>
      </c>
      <c r="I1559">
        <f>IFERROR(VLOOKUP(Final!F1559,'LEAID Match'!$A$2:$B$374,2,FALSE),"")</f>
        <v>401380</v>
      </c>
      <c r="K1559" s="10">
        <f t="shared" si="24"/>
        <v>3767371</v>
      </c>
    </row>
    <row r="1560" spans="1:11">
      <c r="A1560">
        <v>404500</v>
      </c>
      <c r="B1560" s="10">
        <v>2015</v>
      </c>
      <c r="C1560" t="s">
        <v>778</v>
      </c>
      <c r="D1560" t="s">
        <v>2472</v>
      </c>
      <c r="E1560" t="s">
        <v>2474</v>
      </c>
      <c r="F1560" t="s">
        <v>1788</v>
      </c>
      <c r="G1560" t="s">
        <v>723</v>
      </c>
      <c r="H1560" s="10">
        <v>2828501</v>
      </c>
      <c r="I1560">
        <f>IFERROR(VLOOKUP(Final!F1560,'LEAID Match'!$A$2:$B$374,2,FALSE),"")</f>
        <v>404500</v>
      </c>
      <c r="K1560" s="10">
        <f t="shared" si="24"/>
        <v>2828501</v>
      </c>
    </row>
    <row r="1561" spans="1:11">
      <c r="A1561">
        <v>404500</v>
      </c>
      <c r="B1561" s="10">
        <v>2016</v>
      </c>
      <c r="C1561" t="s">
        <v>778</v>
      </c>
      <c r="D1561" t="s">
        <v>2472</v>
      </c>
      <c r="E1561" t="s">
        <v>2474</v>
      </c>
      <c r="F1561" t="s">
        <v>1788</v>
      </c>
      <c r="G1561" t="s">
        <v>723</v>
      </c>
      <c r="H1561" s="10">
        <v>2832402</v>
      </c>
      <c r="I1561">
        <f>IFERROR(VLOOKUP(Final!F1561,'LEAID Match'!$A$2:$B$374,2,FALSE),"")</f>
        <v>404500</v>
      </c>
      <c r="K1561" s="10">
        <f t="shared" si="24"/>
        <v>2832402</v>
      </c>
    </row>
    <row r="1562" spans="1:11">
      <c r="A1562">
        <v>404500</v>
      </c>
      <c r="B1562" s="10">
        <v>2017</v>
      </c>
      <c r="C1562" t="s">
        <v>778</v>
      </c>
      <c r="D1562" t="s">
        <v>2472</v>
      </c>
      <c r="E1562" t="s">
        <v>2474</v>
      </c>
      <c r="F1562" t="s">
        <v>1788</v>
      </c>
      <c r="G1562" t="s">
        <v>1788</v>
      </c>
      <c r="H1562" s="10">
        <v>2819238</v>
      </c>
      <c r="I1562">
        <f>IFERROR(VLOOKUP(Final!F1562,'LEAID Match'!$A$2:$B$374,2,FALSE),"")</f>
        <v>404500</v>
      </c>
      <c r="K1562" s="10">
        <f t="shared" si="24"/>
        <v>2819238</v>
      </c>
    </row>
    <row r="1563" spans="1:11">
      <c r="A1563">
        <v>404500</v>
      </c>
      <c r="B1563" s="10">
        <v>2018</v>
      </c>
      <c r="C1563" t="s">
        <v>778</v>
      </c>
      <c r="D1563" t="s">
        <v>2472</v>
      </c>
      <c r="E1563" t="s">
        <v>2474</v>
      </c>
      <c r="F1563" t="s">
        <v>1788</v>
      </c>
      <c r="G1563" t="s">
        <v>1788</v>
      </c>
      <c r="H1563" s="10">
        <v>2856714</v>
      </c>
      <c r="I1563">
        <f>IFERROR(VLOOKUP(Final!F1563,'LEAID Match'!$A$2:$B$374,2,FALSE),"")</f>
        <v>404500</v>
      </c>
      <c r="K1563" s="10">
        <f t="shared" si="24"/>
        <v>2856714</v>
      </c>
    </row>
    <row r="1564" spans="1:11">
      <c r="A1564">
        <v>404500</v>
      </c>
      <c r="B1564" s="10">
        <v>2019</v>
      </c>
      <c r="C1564" t="s">
        <v>778</v>
      </c>
      <c r="D1564" t="s">
        <v>2472</v>
      </c>
      <c r="E1564" t="s">
        <v>2474</v>
      </c>
      <c r="F1564" t="s">
        <v>1788</v>
      </c>
      <c r="G1564" t="s">
        <v>1788</v>
      </c>
      <c r="H1564" s="10">
        <v>3424231</v>
      </c>
      <c r="I1564">
        <f>IFERROR(VLOOKUP(Final!F1564,'LEAID Match'!$A$2:$B$374,2,FALSE),"")</f>
        <v>404500</v>
      </c>
      <c r="K1564" s="10">
        <f t="shared" si="24"/>
        <v>3424231</v>
      </c>
    </row>
    <row r="1565" spans="1:11">
      <c r="A1565">
        <v>404500</v>
      </c>
      <c r="B1565" s="10">
        <v>2020</v>
      </c>
      <c r="C1565" t="s">
        <v>778</v>
      </c>
      <c r="D1565" t="s">
        <v>2472</v>
      </c>
      <c r="E1565" t="s">
        <v>2474</v>
      </c>
      <c r="F1565" t="s">
        <v>1788</v>
      </c>
      <c r="G1565" t="s">
        <v>1788</v>
      </c>
      <c r="H1565" s="10">
        <v>3720138</v>
      </c>
      <c r="I1565">
        <f>IFERROR(VLOOKUP(Final!F1565,'LEAID Match'!$A$2:$B$374,2,FALSE),"")</f>
        <v>404500</v>
      </c>
      <c r="K1565" s="10">
        <f t="shared" si="24"/>
        <v>3720138</v>
      </c>
    </row>
    <row r="1566" spans="1:11">
      <c r="A1566">
        <v>404500</v>
      </c>
      <c r="B1566" s="10">
        <v>2021</v>
      </c>
      <c r="C1566" t="s">
        <v>778</v>
      </c>
      <c r="D1566" t="s">
        <v>2472</v>
      </c>
      <c r="E1566" t="s">
        <v>2474</v>
      </c>
      <c r="F1566" t="s">
        <v>1788</v>
      </c>
      <c r="G1566" t="s">
        <v>1788</v>
      </c>
      <c r="H1566" s="10">
        <v>3783912</v>
      </c>
      <c r="I1566">
        <f>IFERROR(VLOOKUP(Final!F1566,'LEAID Match'!$A$2:$B$374,2,FALSE),"")</f>
        <v>404500</v>
      </c>
      <c r="K1566" s="10">
        <f t="shared" si="24"/>
        <v>3783912</v>
      </c>
    </row>
    <row r="1567" spans="1:11">
      <c r="A1567">
        <v>404500</v>
      </c>
      <c r="B1567" s="10">
        <v>2022</v>
      </c>
      <c r="C1567" t="s">
        <v>778</v>
      </c>
      <c r="D1567" t="s">
        <v>2472</v>
      </c>
      <c r="E1567" t="s">
        <v>2474</v>
      </c>
      <c r="F1567" t="s">
        <v>1788</v>
      </c>
      <c r="G1567" t="s">
        <v>1788</v>
      </c>
      <c r="H1567" s="10">
        <v>4139946</v>
      </c>
      <c r="I1567">
        <f>IFERROR(VLOOKUP(Final!F1567,'LEAID Match'!$A$2:$B$374,2,FALSE),"")</f>
        <v>404500</v>
      </c>
      <c r="K1567" s="10">
        <f t="shared" si="24"/>
        <v>4139946</v>
      </c>
    </row>
    <row r="1568" spans="1:11">
      <c r="A1568">
        <v>404500</v>
      </c>
      <c r="B1568" s="10">
        <v>2023</v>
      </c>
      <c r="C1568" t="s">
        <v>778</v>
      </c>
      <c r="D1568" t="s">
        <v>2472</v>
      </c>
      <c r="E1568" t="s">
        <v>2474</v>
      </c>
      <c r="F1568" t="s">
        <v>1788</v>
      </c>
      <c r="G1568" t="s">
        <v>1788</v>
      </c>
      <c r="H1568" s="10">
        <v>4135161</v>
      </c>
      <c r="I1568">
        <f>IFERROR(VLOOKUP(Final!F1568,'LEAID Match'!$A$2:$B$374,2,FALSE),"")</f>
        <v>404500</v>
      </c>
      <c r="K1568" s="10">
        <f t="shared" si="24"/>
        <v>4135161</v>
      </c>
    </row>
    <row r="1569" spans="1:11">
      <c r="A1569">
        <v>403420</v>
      </c>
      <c r="B1569" s="10">
        <v>2015</v>
      </c>
      <c r="C1569" t="s">
        <v>665</v>
      </c>
      <c r="D1569" t="s">
        <v>2472</v>
      </c>
      <c r="E1569" t="s">
        <v>2474</v>
      </c>
      <c r="F1569" t="s">
        <v>1732</v>
      </c>
      <c r="G1569" t="s">
        <v>610</v>
      </c>
      <c r="H1569" s="10">
        <v>5954406</v>
      </c>
      <c r="I1569">
        <f>IFERROR(VLOOKUP(Final!F1569,'LEAID Match'!$A$2:$B$374,2,FALSE),"")</f>
        <v>403420</v>
      </c>
      <c r="K1569" s="10">
        <f t="shared" si="24"/>
        <v>5954406</v>
      </c>
    </row>
    <row r="1570" spans="1:11">
      <c r="A1570">
        <v>403420</v>
      </c>
      <c r="B1570" s="10">
        <v>2016</v>
      </c>
      <c r="C1570" t="s">
        <v>665</v>
      </c>
      <c r="D1570" t="s">
        <v>2472</v>
      </c>
      <c r="E1570" t="s">
        <v>2474</v>
      </c>
      <c r="F1570" t="s">
        <v>1732</v>
      </c>
      <c r="G1570" t="s">
        <v>610</v>
      </c>
      <c r="H1570" s="10">
        <v>6087848</v>
      </c>
      <c r="I1570">
        <f>IFERROR(VLOOKUP(Final!F1570,'LEAID Match'!$A$2:$B$374,2,FALSE),"")</f>
        <v>403420</v>
      </c>
      <c r="K1570" s="10">
        <f t="shared" si="24"/>
        <v>6087848</v>
      </c>
    </row>
    <row r="1571" spans="1:11">
      <c r="A1571">
        <v>403420</v>
      </c>
      <c r="B1571" s="10">
        <v>2017</v>
      </c>
      <c r="C1571" t="s">
        <v>665</v>
      </c>
      <c r="D1571" t="s">
        <v>2472</v>
      </c>
      <c r="E1571" t="s">
        <v>2474</v>
      </c>
      <c r="F1571" t="s">
        <v>1732</v>
      </c>
      <c r="G1571" t="s">
        <v>1732</v>
      </c>
      <c r="H1571" s="10">
        <v>5831853</v>
      </c>
      <c r="I1571">
        <f>IFERROR(VLOOKUP(Final!F1571,'LEAID Match'!$A$2:$B$374,2,FALSE),"")</f>
        <v>403420</v>
      </c>
      <c r="K1571" s="10">
        <f t="shared" si="24"/>
        <v>5831853</v>
      </c>
    </row>
    <row r="1572" spans="1:11">
      <c r="A1572">
        <v>403420</v>
      </c>
      <c r="B1572" s="10">
        <v>2018</v>
      </c>
      <c r="C1572" t="s">
        <v>665</v>
      </c>
      <c r="D1572" t="s">
        <v>2472</v>
      </c>
      <c r="E1572" t="s">
        <v>2474</v>
      </c>
      <c r="F1572" t="s">
        <v>1732</v>
      </c>
      <c r="G1572" t="s">
        <v>1732</v>
      </c>
      <c r="H1572" s="10">
        <v>5768106</v>
      </c>
      <c r="I1572">
        <f>IFERROR(VLOOKUP(Final!F1572,'LEAID Match'!$A$2:$B$374,2,FALSE),"")</f>
        <v>403420</v>
      </c>
      <c r="K1572" s="10">
        <f t="shared" si="24"/>
        <v>5768106</v>
      </c>
    </row>
    <row r="1573" spans="1:11">
      <c r="A1573">
        <v>403420</v>
      </c>
      <c r="B1573" s="10">
        <v>2019</v>
      </c>
      <c r="C1573" t="s">
        <v>665</v>
      </c>
      <c r="D1573" t="s">
        <v>2472</v>
      </c>
      <c r="E1573" t="s">
        <v>2474</v>
      </c>
      <c r="F1573" t="s">
        <v>1732</v>
      </c>
      <c r="G1573" t="s">
        <v>1732</v>
      </c>
      <c r="H1573" s="10">
        <v>6258008</v>
      </c>
      <c r="I1573">
        <f>IFERROR(VLOOKUP(Final!F1573,'LEAID Match'!$A$2:$B$374,2,FALSE),"")</f>
        <v>403420</v>
      </c>
      <c r="K1573" s="10">
        <f t="shared" si="24"/>
        <v>6258008</v>
      </c>
    </row>
    <row r="1574" spans="1:11">
      <c r="A1574">
        <v>403420</v>
      </c>
      <c r="B1574" s="10">
        <v>2020</v>
      </c>
      <c r="C1574" t="s">
        <v>665</v>
      </c>
      <c r="D1574" t="s">
        <v>2472</v>
      </c>
      <c r="E1574" t="s">
        <v>2474</v>
      </c>
      <c r="F1574" t="s">
        <v>1732</v>
      </c>
      <c r="G1574" t="s">
        <v>1732</v>
      </c>
      <c r="H1574" s="10">
        <v>6509935</v>
      </c>
      <c r="I1574">
        <f>IFERROR(VLOOKUP(Final!F1574,'LEAID Match'!$A$2:$B$374,2,FALSE),"")</f>
        <v>403420</v>
      </c>
      <c r="K1574" s="10">
        <f t="shared" si="24"/>
        <v>6509935</v>
      </c>
    </row>
    <row r="1575" spans="1:11">
      <c r="A1575">
        <v>403420</v>
      </c>
      <c r="B1575" s="10">
        <v>2021</v>
      </c>
      <c r="C1575" t="s">
        <v>665</v>
      </c>
      <c r="D1575" t="s">
        <v>2472</v>
      </c>
      <c r="E1575" t="s">
        <v>2474</v>
      </c>
      <c r="F1575" t="s">
        <v>1732</v>
      </c>
      <c r="G1575" t="s">
        <v>1732</v>
      </c>
      <c r="H1575" s="10">
        <v>6752464</v>
      </c>
      <c r="I1575">
        <f>IFERROR(VLOOKUP(Final!F1575,'LEAID Match'!$A$2:$B$374,2,FALSE),"")</f>
        <v>403420</v>
      </c>
      <c r="K1575" s="10">
        <f t="shared" si="24"/>
        <v>6752464</v>
      </c>
    </row>
    <row r="1576" spans="1:11">
      <c r="A1576">
        <v>403420</v>
      </c>
      <c r="B1576" s="10">
        <v>2022</v>
      </c>
      <c r="C1576" t="s">
        <v>665</v>
      </c>
      <c r="D1576" t="s">
        <v>2472</v>
      </c>
      <c r="E1576" t="s">
        <v>2474</v>
      </c>
      <c r="F1576" t="s">
        <v>1732</v>
      </c>
      <c r="G1576" t="s">
        <v>1732</v>
      </c>
      <c r="H1576" s="10">
        <v>6521800</v>
      </c>
      <c r="I1576">
        <f>IFERROR(VLOOKUP(Final!F1576,'LEAID Match'!$A$2:$B$374,2,FALSE),"")</f>
        <v>403420</v>
      </c>
      <c r="K1576" s="10">
        <f t="shared" si="24"/>
        <v>6521800</v>
      </c>
    </row>
    <row r="1577" spans="1:11">
      <c r="A1577">
        <v>403420</v>
      </c>
      <c r="B1577" s="10">
        <v>2023</v>
      </c>
      <c r="C1577" t="s">
        <v>665</v>
      </c>
      <c r="D1577" t="s">
        <v>2472</v>
      </c>
      <c r="E1577" t="s">
        <v>2474</v>
      </c>
      <c r="F1577" t="s">
        <v>1732</v>
      </c>
      <c r="G1577" t="s">
        <v>1732</v>
      </c>
      <c r="H1577" s="10">
        <v>5639858</v>
      </c>
      <c r="I1577">
        <f>IFERROR(VLOOKUP(Final!F1577,'LEAID Match'!$A$2:$B$374,2,FALSE),"")</f>
        <v>403420</v>
      </c>
      <c r="K1577" s="10">
        <f t="shared" si="24"/>
        <v>5639858</v>
      </c>
    </row>
    <row r="1578" spans="1:11">
      <c r="A1578">
        <v>403400</v>
      </c>
      <c r="B1578" s="10">
        <v>2015</v>
      </c>
      <c r="C1578" t="s">
        <v>664</v>
      </c>
      <c r="D1578" t="s">
        <v>2472</v>
      </c>
      <c r="E1578" t="s">
        <v>2474</v>
      </c>
      <c r="F1578" t="s">
        <v>609</v>
      </c>
      <c r="G1578" t="s">
        <v>609</v>
      </c>
      <c r="H1578" s="10">
        <v>17204911</v>
      </c>
      <c r="I1578">
        <f>IFERROR(VLOOKUP(Final!F1578,'LEAID Match'!$A$2:$B$374,2,FALSE),"")</f>
        <v>403400</v>
      </c>
      <c r="K1578" s="10">
        <f t="shared" si="24"/>
        <v>17204911</v>
      </c>
    </row>
    <row r="1579" spans="1:11">
      <c r="A1579">
        <v>403400</v>
      </c>
      <c r="B1579" s="10">
        <v>2016</v>
      </c>
      <c r="C1579" t="s">
        <v>664</v>
      </c>
      <c r="D1579" t="s">
        <v>2472</v>
      </c>
      <c r="E1579" t="s">
        <v>2474</v>
      </c>
      <c r="F1579" t="s">
        <v>609</v>
      </c>
      <c r="G1579" t="s">
        <v>609</v>
      </c>
      <c r="H1579" s="10">
        <v>16484556</v>
      </c>
      <c r="I1579">
        <f>IFERROR(VLOOKUP(Final!F1579,'LEAID Match'!$A$2:$B$374,2,FALSE),"")</f>
        <v>403400</v>
      </c>
      <c r="K1579" s="10">
        <f t="shared" si="24"/>
        <v>16484556</v>
      </c>
    </row>
    <row r="1580" spans="1:11">
      <c r="A1580">
        <v>403400</v>
      </c>
      <c r="B1580" s="10">
        <v>2017</v>
      </c>
      <c r="C1580" t="s">
        <v>664</v>
      </c>
      <c r="D1580" t="s">
        <v>2472</v>
      </c>
      <c r="E1580" t="s">
        <v>2474</v>
      </c>
      <c r="F1580" t="s">
        <v>609</v>
      </c>
      <c r="G1580" t="s">
        <v>609</v>
      </c>
      <c r="H1580" s="10">
        <v>17879453</v>
      </c>
      <c r="I1580">
        <f>IFERROR(VLOOKUP(Final!F1580,'LEAID Match'!$A$2:$B$374,2,FALSE),"")</f>
        <v>403400</v>
      </c>
      <c r="K1580" s="10">
        <f t="shared" si="24"/>
        <v>17879453</v>
      </c>
    </row>
    <row r="1581" spans="1:11">
      <c r="A1581">
        <v>403400</v>
      </c>
      <c r="B1581" s="10">
        <v>2018</v>
      </c>
      <c r="C1581" t="s">
        <v>664</v>
      </c>
      <c r="D1581" t="s">
        <v>2472</v>
      </c>
      <c r="E1581" t="s">
        <v>2474</v>
      </c>
      <c r="F1581" t="s">
        <v>609</v>
      </c>
      <c r="G1581" t="s">
        <v>609</v>
      </c>
      <c r="H1581" s="10">
        <v>18021817</v>
      </c>
      <c r="I1581">
        <f>IFERROR(VLOOKUP(Final!F1581,'LEAID Match'!$A$2:$B$374,2,FALSE),"")</f>
        <v>403400</v>
      </c>
      <c r="K1581" s="10">
        <f t="shared" si="24"/>
        <v>18021817</v>
      </c>
    </row>
    <row r="1582" spans="1:11">
      <c r="A1582">
        <v>403400</v>
      </c>
      <c r="B1582" s="10">
        <v>2019</v>
      </c>
      <c r="C1582" t="s">
        <v>664</v>
      </c>
      <c r="D1582" t="s">
        <v>2472</v>
      </c>
      <c r="E1582" t="s">
        <v>2474</v>
      </c>
      <c r="F1582" t="s">
        <v>609</v>
      </c>
      <c r="G1582" t="s">
        <v>609</v>
      </c>
      <c r="H1582" s="10">
        <v>19548640</v>
      </c>
      <c r="I1582">
        <f>IFERROR(VLOOKUP(Final!F1582,'LEAID Match'!$A$2:$B$374,2,FALSE),"")</f>
        <v>403400</v>
      </c>
      <c r="K1582" s="10">
        <f t="shared" si="24"/>
        <v>19548640</v>
      </c>
    </row>
    <row r="1583" spans="1:11">
      <c r="A1583">
        <v>403400</v>
      </c>
      <c r="B1583" s="10">
        <v>2020</v>
      </c>
      <c r="C1583" t="s">
        <v>664</v>
      </c>
      <c r="D1583" t="s">
        <v>2472</v>
      </c>
      <c r="E1583" t="s">
        <v>2474</v>
      </c>
      <c r="F1583" t="s">
        <v>609</v>
      </c>
      <c r="G1583" t="s">
        <v>609</v>
      </c>
      <c r="H1583" s="10">
        <v>20882766</v>
      </c>
      <c r="I1583">
        <f>IFERROR(VLOOKUP(Final!F1583,'LEAID Match'!$A$2:$B$374,2,FALSE),"")</f>
        <v>403400</v>
      </c>
      <c r="K1583" s="10">
        <f t="shared" si="24"/>
        <v>20882766</v>
      </c>
    </row>
    <row r="1584" spans="1:11">
      <c r="A1584">
        <v>403400</v>
      </c>
      <c r="B1584" s="10">
        <v>2021</v>
      </c>
      <c r="C1584" t="s">
        <v>664</v>
      </c>
      <c r="D1584" t="s">
        <v>2472</v>
      </c>
      <c r="E1584" t="s">
        <v>2474</v>
      </c>
      <c r="F1584" t="s">
        <v>609</v>
      </c>
      <c r="G1584" t="s">
        <v>609</v>
      </c>
      <c r="H1584" s="10">
        <v>22461956</v>
      </c>
      <c r="I1584">
        <f>IFERROR(VLOOKUP(Final!F1584,'LEAID Match'!$A$2:$B$374,2,FALSE),"")</f>
        <v>403400</v>
      </c>
      <c r="K1584" s="10">
        <f t="shared" si="24"/>
        <v>22461956</v>
      </c>
    </row>
    <row r="1585" spans="1:11">
      <c r="A1585">
        <v>403400</v>
      </c>
      <c r="B1585" s="10">
        <v>2022</v>
      </c>
      <c r="C1585" t="s">
        <v>664</v>
      </c>
      <c r="D1585" t="s">
        <v>2472</v>
      </c>
      <c r="E1585" t="s">
        <v>2474</v>
      </c>
      <c r="F1585" t="s">
        <v>609</v>
      </c>
      <c r="G1585" t="s">
        <v>609</v>
      </c>
      <c r="H1585" s="10">
        <v>24207655</v>
      </c>
      <c r="I1585">
        <f>IFERROR(VLOOKUP(Final!F1585,'LEAID Match'!$A$2:$B$374,2,FALSE),"")</f>
        <v>403400</v>
      </c>
      <c r="K1585" s="10">
        <f t="shared" si="24"/>
        <v>24207655</v>
      </c>
    </row>
    <row r="1586" spans="1:11">
      <c r="A1586">
        <v>403400</v>
      </c>
      <c r="B1586" s="10">
        <v>2023</v>
      </c>
      <c r="C1586" t="s">
        <v>664</v>
      </c>
      <c r="D1586" t="s">
        <v>2472</v>
      </c>
      <c r="E1586" t="s">
        <v>2474</v>
      </c>
      <c r="F1586" t="s">
        <v>609</v>
      </c>
      <c r="G1586" t="s">
        <v>609</v>
      </c>
      <c r="H1586" s="10">
        <v>26797881</v>
      </c>
      <c r="I1586">
        <f>IFERROR(VLOOKUP(Final!F1586,'LEAID Match'!$A$2:$B$374,2,FALSE),"")</f>
        <v>403400</v>
      </c>
      <c r="K1586" s="10">
        <f t="shared" si="24"/>
        <v>26797881</v>
      </c>
    </row>
    <row r="1587" spans="1:11">
      <c r="A1587">
        <v>400960</v>
      </c>
      <c r="B1587" s="10">
        <v>2015</v>
      </c>
      <c r="C1587" t="s">
        <v>1424</v>
      </c>
      <c r="D1587" t="s">
        <v>2472</v>
      </c>
      <c r="E1587" t="s">
        <v>2474</v>
      </c>
      <c r="F1587" t="s">
        <v>257</v>
      </c>
      <c r="G1587" t="s">
        <v>257</v>
      </c>
      <c r="H1587" s="10">
        <v>2435173</v>
      </c>
      <c r="I1587">
        <f>IFERROR(VLOOKUP(Final!F1587,'LEAID Match'!$A$2:$B$374,2,FALSE),"")</f>
        <v>400960</v>
      </c>
      <c r="K1587" s="10">
        <f t="shared" si="24"/>
        <v>2435173</v>
      </c>
    </row>
    <row r="1588" spans="1:11">
      <c r="A1588">
        <v>400960</v>
      </c>
      <c r="B1588" s="10">
        <v>2016</v>
      </c>
      <c r="C1588" t="s">
        <v>1424</v>
      </c>
      <c r="D1588" t="s">
        <v>2472</v>
      </c>
      <c r="E1588" t="s">
        <v>2474</v>
      </c>
      <c r="F1588" t="s">
        <v>257</v>
      </c>
      <c r="G1588" t="s">
        <v>257</v>
      </c>
      <c r="H1588" s="10">
        <v>2640164</v>
      </c>
      <c r="I1588">
        <f>IFERROR(VLOOKUP(Final!F1588,'LEAID Match'!$A$2:$B$374,2,FALSE),"")</f>
        <v>400960</v>
      </c>
      <c r="K1588" s="10">
        <f t="shared" si="24"/>
        <v>2640164</v>
      </c>
    </row>
    <row r="1589" spans="1:11">
      <c r="A1589">
        <v>400960</v>
      </c>
      <c r="B1589" s="10">
        <v>2017</v>
      </c>
      <c r="C1589" t="s">
        <v>1424</v>
      </c>
      <c r="D1589" t="s">
        <v>2472</v>
      </c>
      <c r="E1589" t="s">
        <v>2474</v>
      </c>
      <c r="F1589" t="s">
        <v>257</v>
      </c>
      <c r="G1589" t="s">
        <v>257</v>
      </c>
      <c r="H1589" s="10">
        <v>2613906</v>
      </c>
      <c r="I1589">
        <f>IFERROR(VLOOKUP(Final!F1589,'LEAID Match'!$A$2:$B$374,2,FALSE),"")</f>
        <v>400960</v>
      </c>
      <c r="K1589" s="10">
        <f t="shared" si="24"/>
        <v>2613906</v>
      </c>
    </row>
    <row r="1590" spans="1:11">
      <c r="A1590">
        <v>400960</v>
      </c>
      <c r="B1590" s="10">
        <v>2018</v>
      </c>
      <c r="C1590" t="s">
        <v>1424</v>
      </c>
      <c r="D1590" t="s">
        <v>2472</v>
      </c>
      <c r="E1590" t="s">
        <v>2474</v>
      </c>
      <c r="F1590" t="s">
        <v>257</v>
      </c>
      <c r="G1590" t="s">
        <v>2121</v>
      </c>
      <c r="H1590" s="10">
        <v>2786083</v>
      </c>
      <c r="I1590">
        <f>IFERROR(VLOOKUP(Final!F1590,'LEAID Match'!$A$2:$B$374,2,FALSE),"")</f>
        <v>400960</v>
      </c>
      <c r="K1590" s="10">
        <f t="shared" si="24"/>
        <v>2786083</v>
      </c>
    </row>
    <row r="1591" spans="1:11">
      <c r="A1591">
        <v>400960</v>
      </c>
      <c r="B1591" s="10">
        <v>2019</v>
      </c>
      <c r="C1591" t="s">
        <v>1424</v>
      </c>
      <c r="D1591" t="s">
        <v>2472</v>
      </c>
      <c r="E1591" t="s">
        <v>2474</v>
      </c>
      <c r="F1591" t="s">
        <v>257</v>
      </c>
      <c r="G1591" t="s">
        <v>257</v>
      </c>
      <c r="H1591" s="10">
        <v>3166189</v>
      </c>
      <c r="I1591">
        <f>IFERROR(VLOOKUP(Final!F1591,'LEAID Match'!$A$2:$B$374,2,FALSE),"")</f>
        <v>400960</v>
      </c>
      <c r="K1591" s="10">
        <f t="shared" si="24"/>
        <v>3166189</v>
      </c>
    </row>
    <row r="1592" spans="1:11">
      <c r="A1592">
        <v>400960</v>
      </c>
      <c r="B1592" s="10">
        <v>2020</v>
      </c>
      <c r="C1592" t="s">
        <v>1424</v>
      </c>
      <c r="D1592" t="s">
        <v>2472</v>
      </c>
      <c r="E1592" t="s">
        <v>2474</v>
      </c>
      <c r="F1592" t="s">
        <v>257</v>
      </c>
      <c r="G1592" t="s">
        <v>257</v>
      </c>
      <c r="H1592" s="10">
        <v>3371629</v>
      </c>
      <c r="I1592">
        <f>IFERROR(VLOOKUP(Final!F1592,'LEAID Match'!$A$2:$B$374,2,FALSE),"")</f>
        <v>400960</v>
      </c>
      <c r="K1592" s="10">
        <f t="shared" si="24"/>
        <v>3371629</v>
      </c>
    </row>
    <row r="1593" spans="1:11">
      <c r="A1593">
        <v>400960</v>
      </c>
      <c r="B1593" s="10">
        <v>2021</v>
      </c>
      <c r="C1593" t="s">
        <v>1424</v>
      </c>
      <c r="D1593" t="s">
        <v>2472</v>
      </c>
      <c r="E1593" t="s">
        <v>2474</v>
      </c>
      <c r="F1593" t="s">
        <v>257</v>
      </c>
      <c r="G1593" t="s">
        <v>257</v>
      </c>
      <c r="H1593" s="10">
        <v>3579215</v>
      </c>
      <c r="I1593">
        <f>IFERROR(VLOOKUP(Final!F1593,'LEAID Match'!$A$2:$B$374,2,FALSE),"")</f>
        <v>400960</v>
      </c>
      <c r="K1593" s="10">
        <f t="shared" si="24"/>
        <v>3579215</v>
      </c>
    </row>
    <row r="1594" spans="1:11">
      <c r="A1594">
        <v>400960</v>
      </c>
      <c r="B1594" s="10">
        <v>2022</v>
      </c>
      <c r="C1594" t="s">
        <v>1424</v>
      </c>
      <c r="D1594" t="s">
        <v>2472</v>
      </c>
      <c r="E1594" t="s">
        <v>2474</v>
      </c>
      <c r="F1594" t="s">
        <v>257</v>
      </c>
      <c r="G1594" t="s">
        <v>257</v>
      </c>
      <c r="H1594" s="10">
        <v>3882315</v>
      </c>
      <c r="I1594">
        <f>IFERROR(VLOOKUP(Final!F1594,'LEAID Match'!$A$2:$B$374,2,FALSE),"")</f>
        <v>400960</v>
      </c>
      <c r="K1594" s="10">
        <f t="shared" si="24"/>
        <v>3882315</v>
      </c>
    </row>
    <row r="1595" spans="1:11">
      <c r="A1595">
        <v>400960</v>
      </c>
      <c r="B1595" s="10">
        <v>2023</v>
      </c>
      <c r="C1595" t="s">
        <v>1424</v>
      </c>
      <c r="D1595" t="s">
        <v>2472</v>
      </c>
      <c r="E1595" t="s">
        <v>2474</v>
      </c>
      <c r="F1595" t="s">
        <v>257</v>
      </c>
      <c r="G1595" t="s">
        <v>257</v>
      </c>
      <c r="H1595" s="10">
        <v>4147687</v>
      </c>
      <c r="I1595">
        <f>IFERROR(VLOOKUP(Final!F1595,'LEAID Match'!$A$2:$B$374,2,FALSE),"")</f>
        <v>400960</v>
      </c>
      <c r="K1595" s="10">
        <f t="shared" si="24"/>
        <v>4147687</v>
      </c>
    </row>
    <row r="1596" spans="1:11">
      <c r="A1596">
        <v>403060</v>
      </c>
      <c r="B1596" s="10">
        <v>2015</v>
      </c>
      <c r="C1596" t="s">
        <v>597</v>
      </c>
      <c r="D1596" t="s">
        <v>2472</v>
      </c>
      <c r="E1596" t="s">
        <v>2474</v>
      </c>
      <c r="F1596" t="s">
        <v>1724</v>
      </c>
      <c r="G1596" t="s">
        <v>542</v>
      </c>
      <c r="H1596" s="10">
        <v>2033431</v>
      </c>
      <c r="I1596">
        <f>IFERROR(VLOOKUP(Final!F1596,'LEAID Match'!$A$2:$B$374,2,FALSE),"")</f>
        <v>403060</v>
      </c>
      <c r="K1596" s="10">
        <f t="shared" si="24"/>
        <v>2033431</v>
      </c>
    </row>
    <row r="1597" spans="1:11">
      <c r="A1597">
        <v>403060</v>
      </c>
      <c r="B1597" s="10">
        <v>2016</v>
      </c>
      <c r="C1597" t="s">
        <v>597</v>
      </c>
      <c r="D1597" t="s">
        <v>2472</v>
      </c>
      <c r="E1597" t="s">
        <v>2474</v>
      </c>
      <c r="F1597" t="s">
        <v>1724</v>
      </c>
      <c r="G1597" t="s">
        <v>542</v>
      </c>
      <c r="H1597" s="10">
        <v>2115835</v>
      </c>
      <c r="I1597">
        <f>IFERROR(VLOOKUP(Final!F1597,'LEAID Match'!$A$2:$B$374,2,FALSE),"")</f>
        <v>403060</v>
      </c>
      <c r="K1597" s="10">
        <f t="shared" si="24"/>
        <v>2115835</v>
      </c>
    </row>
    <row r="1598" spans="1:11">
      <c r="A1598">
        <v>403060</v>
      </c>
      <c r="B1598" s="10">
        <v>2017</v>
      </c>
      <c r="C1598" t="s">
        <v>597</v>
      </c>
      <c r="D1598" t="s">
        <v>2472</v>
      </c>
      <c r="E1598" t="s">
        <v>2474</v>
      </c>
      <c r="F1598" t="s">
        <v>1724</v>
      </c>
      <c r="G1598" t="s">
        <v>1724</v>
      </c>
      <c r="H1598" s="10">
        <v>2155905</v>
      </c>
      <c r="I1598">
        <f>IFERROR(VLOOKUP(Final!F1598,'LEAID Match'!$A$2:$B$374,2,FALSE),"")</f>
        <v>403060</v>
      </c>
      <c r="K1598" s="10">
        <f t="shared" si="24"/>
        <v>2155905</v>
      </c>
    </row>
    <row r="1599" spans="1:11">
      <c r="A1599">
        <v>403060</v>
      </c>
      <c r="B1599" s="10">
        <v>2018</v>
      </c>
      <c r="C1599" t="s">
        <v>597</v>
      </c>
      <c r="D1599" t="s">
        <v>2472</v>
      </c>
      <c r="E1599" t="s">
        <v>2474</v>
      </c>
      <c r="F1599" t="s">
        <v>1724</v>
      </c>
      <c r="G1599" t="s">
        <v>2193</v>
      </c>
      <c r="H1599" s="10">
        <v>2194444</v>
      </c>
      <c r="I1599">
        <f>IFERROR(VLOOKUP(Final!F1599,'LEAID Match'!$A$2:$B$374,2,FALSE),"")</f>
        <v>403060</v>
      </c>
      <c r="K1599" s="10">
        <f t="shared" si="24"/>
        <v>2194444</v>
      </c>
    </row>
    <row r="1600" spans="1:11">
      <c r="A1600">
        <v>403060</v>
      </c>
      <c r="B1600" s="10">
        <v>2019</v>
      </c>
      <c r="C1600" t="s">
        <v>597</v>
      </c>
      <c r="D1600" t="s">
        <v>2472</v>
      </c>
      <c r="E1600" t="s">
        <v>2474</v>
      </c>
      <c r="F1600" t="s">
        <v>1724</v>
      </c>
      <c r="G1600" t="s">
        <v>1724</v>
      </c>
      <c r="H1600" s="10">
        <v>2388134</v>
      </c>
      <c r="I1600">
        <f>IFERROR(VLOOKUP(Final!F1600,'LEAID Match'!$A$2:$B$374,2,FALSE),"")</f>
        <v>403060</v>
      </c>
      <c r="K1600" s="10">
        <f t="shared" si="24"/>
        <v>2388134</v>
      </c>
    </row>
    <row r="1601" spans="1:11">
      <c r="A1601">
        <v>403060</v>
      </c>
      <c r="B1601" s="10">
        <v>2020</v>
      </c>
      <c r="C1601" t="s">
        <v>597</v>
      </c>
      <c r="D1601" t="s">
        <v>2472</v>
      </c>
      <c r="E1601" t="s">
        <v>2474</v>
      </c>
      <c r="F1601" t="s">
        <v>1724</v>
      </c>
      <c r="G1601" t="s">
        <v>1724</v>
      </c>
      <c r="H1601" s="10">
        <v>2415483</v>
      </c>
      <c r="I1601">
        <f>IFERROR(VLOOKUP(Final!F1601,'LEAID Match'!$A$2:$B$374,2,FALSE),"")</f>
        <v>403060</v>
      </c>
      <c r="K1601" s="10">
        <f t="shared" si="24"/>
        <v>2415483</v>
      </c>
    </row>
    <row r="1602" spans="1:11">
      <c r="A1602">
        <v>403060</v>
      </c>
      <c r="B1602" s="10">
        <v>2021</v>
      </c>
      <c r="C1602" t="s">
        <v>597</v>
      </c>
      <c r="D1602" t="s">
        <v>2472</v>
      </c>
      <c r="E1602" t="s">
        <v>2474</v>
      </c>
      <c r="F1602" t="s">
        <v>1724</v>
      </c>
      <c r="G1602" t="s">
        <v>1724</v>
      </c>
      <c r="H1602" s="10">
        <v>2375208</v>
      </c>
      <c r="I1602">
        <f>IFERROR(VLOOKUP(Final!F1602,'LEAID Match'!$A$2:$B$374,2,FALSE),"")</f>
        <v>403060</v>
      </c>
      <c r="K1602" s="10">
        <f t="shared" si="24"/>
        <v>2375208</v>
      </c>
    </row>
    <row r="1603" spans="1:11">
      <c r="A1603">
        <v>403060</v>
      </c>
      <c r="B1603" s="10">
        <v>2022</v>
      </c>
      <c r="C1603" t="s">
        <v>597</v>
      </c>
      <c r="D1603" t="s">
        <v>2472</v>
      </c>
      <c r="E1603" t="s">
        <v>2474</v>
      </c>
      <c r="F1603" t="s">
        <v>1724</v>
      </c>
      <c r="G1603" t="s">
        <v>1724</v>
      </c>
      <c r="H1603" s="10">
        <v>2542097</v>
      </c>
      <c r="I1603">
        <f>IFERROR(VLOOKUP(Final!F1603,'LEAID Match'!$A$2:$B$374,2,FALSE),"")</f>
        <v>403060</v>
      </c>
      <c r="K1603" s="10">
        <f t="shared" ref="K1603:K1666" si="25">SUM(H1603,J1603)</f>
        <v>2542097</v>
      </c>
    </row>
    <row r="1604" spans="1:11">
      <c r="A1604">
        <v>403060</v>
      </c>
      <c r="B1604" s="10">
        <v>2023</v>
      </c>
      <c r="C1604" t="s">
        <v>597</v>
      </c>
      <c r="D1604" t="s">
        <v>2472</v>
      </c>
      <c r="E1604" t="s">
        <v>2474</v>
      </c>
      <c r="F1604" t="s">
        <v>1724</v>
      </c>
      <c r="G1604" t="s">
        <v>1724</v>
      </c>
      <c r="H1604" s="10">
        <v>2608497</v>
      </c>
      <c r="I1604">
        <f>IFERROR(VLOOKUP(Final!F1604,'LEAID Match'!$A$2:$B$374,2,FALSE),"")</f>
        <v>403060</v>
      </c>
      <c r="K1604" s="10">
        <f t="shared" si="25"/>
        <v>2608497</v>
      </c>
    </row>
    <row r="1605" spans="1:11">
      <c r="A1605">
        <v>400840</v>
      </c>
      <c r="B1605" s="10">
        <v>2015</v>
      </c>
      <c r="C1605" t="s">
        <v>1420</v>
      </c>
      <c r="D1605" t="s">
        <v>2472</v>
      </c>
      <c r="E1605" t="s">
        <v>2474</v>
      </c>
      <c r="F1605" t="s">
        <v>1612</v>
      </c>
      <c r="G1605" t="s">
        <v>253</v>
      </c>
      <c r="H1605" s="10">
        <v>158707</v>
      </c>
      <c r="I1605">
        <f>IFERROR(VLOOKUP(Final!F1605,'LEAID Match'!$A$2:$B$374,2,FALSE),"")</f>
        <v>400840</v>
      </c>
      <c r="K1605" s="10">
        <f t="shared" si="25"/>
        <v>158707</v>
      </c>
    </row>
    <row r="1606" spans="1:11">
      <c r="A1606">
        <v>400840</v>
      </c>
      <c r="B1606" s="10">
        <v>2016</v>
      </c>
      <c r="C1606" t="s">
        <v>1420</v>
      </c>
      <c r="D1606" t="s">
        <v>2472</v>
      </c>
      <c r="E1606" t="s">
        <v>2474</v>
      </c>
      <c r="F1606" t="s">
        <v>1612</v>
      </c>
      <c r="G1606" t="s">
        <v>253</v>
      </c>
      <c r="H1606" s="10">
        <v>165318</v>
      </c>
      <c r="I1606">
        <f>IFERROR(VLOOKUP(Final!F1606,'LEAID Match'!$A$2:$B$374,2,FALSE),"")</f>
        <v>400840</v>
      </c>
      <c r="K1606" s="10">
        <f t="shared" si="25"/>
        <v>165318</v>
      </c>
    </row>
    <row r="1607" spans="1:11">
      <c r="A1607">
        <v>400840</v>
      </c>
      <c r="B1607" s="10">
        <v>2017</v>
      </c>
      <c r="C1607" t="s">
        <v>1420</v>
      </c>
      <c r="D1607" t="s">
        <v>2472</v>
      </c>
      <c r="E1607" t="s">
        <v>2474</v>
      </c>
      <c r="F1607" t="s">
        <v>1612</v>
      </c>
      <c r="G1607" t="s">
        <v>1612</v>
      </c>
      <c r="H1607" s="10">
        <v>159293</v>
      </c>
      <c r="I1607">
        <f>IFERROR(VLOOKUP(Final!F1607,'LEAID Match'!$A$2:$B$374,2,FALSE),"")</f>
        <v>400840</v>
      </c>
      <c r="K1607" s="10">
        <f t="shared" si="25"/>
        <v>159293</v>
      </c>
    </row>
    <row r="1608" spans="1:11">
      <c r="A1608">
        <v>400840</v>
      </c>
      <c r="B1608" s="10">
        <v>2018</v>
      </c>
      <c r="C1608" t="s">
        <v>1420</v>
      </c>
      <c r="D1608" t="s">
        <v>2472</v>
      </c>
      <c r="E1608" t="s">
        <v>2474</v>
      </c>
      <c r="F1608" t="s">
        <v>1612</v>
      </c>
      <c r="G1608" t="s">
        <v>2118</v>
      </c>
      <c r="H1608" s="10">
        <v>177367</v>
      </c>
      <c r="I1608">
        <f>IFERROR(VLOOKUP(Final!F1608,'LEAID Match'!$A$2:$B$374,2,FALSE),"")</f>
        <v>400840</v>
      </c>
      <c r="K1608" s="10">
        <f t="shared" si="25"/>
        <v>177367</v>
      </c>
    </row>
    <row r="1609" spans="1:11">
      <c r="A1609">
        <v>400840</v>
      </c>
      <c r="B1609" s="10">
        <v>2019</v>
      </c>
      <c r="C1609" t="s">
        <v>1420</v>
      </c>
      <c r="D1609" t="s">
        <v>2472</v>
      </c>
      <c r="E1609" t="s">
        <v>2474</v>
      </c>
      <c r="F1609" t="s">
        <v>1612</v>
      </c>
      <c r="G1609" t="s">
        <v>1612</v>
      </c>
      <c r="H1609" s="10">
        <v>161385</v>
      </c>
      <c r="I1609">
        <f>IFERROR(VLOOKUP(Final!F1609,'LEAID Match'!$A$2:$B$374,2,FALSE),"")</f>
        <v>400840</v>
      </c>
      <c r="K1609" s="10">
        <f t="shared" si="25"/>
        <v>161385</v>
      </c>
    </row>
    <row r="1610" spans="1:11">
      <c r="A1610">
        <v>400840</v>
      </c>
      <c r="B1610" s="10">
        <v>2020</v>
      </c>
      <c r="C1610" t="s">
        <v>1420</v>
      </c>
      <c r="D1610" t="s">
        <v>2472</v>
      </c>
      <c r="E1610" t="s">
        <v>2474</v>
      </c>
      <c r="F1610" t="s">
        <v>1612</v>
      </c>
      <c r="G1610" t="s">
        <v>1612</v>
      </c>
      <c r="H1610" s="10">
        <v>177143</v>
      </c>
      <c r="I1610">
        <f>IFERROR(VLOOKUP(Final!F1610,'LEAID Match'!$A$2:$B$374,2,FALSE),"")</f>
        <v>400840</v>
      </c>
      <c r="K1610" s="10">
        <f t="shared" si="25"/>
        <v>177143</v>
      </c>
    </row>
    <row r="1611" spans="1:11">
      <c r="A1611">
        <v>400840</v>
      </c>
      <c r="B1611" s="10">
        <v>2021</v>
      </c>
      <c r="C1611" t="s">
        <v>1420</v>
      </c>
      <c r="D1611" t="s">
        <v>2472</v>
      </c>
      <c r="E1611" t="s">
        <v>2474</v>
      </c>
      <c r="F1611" t="s">
        <v>1612</v>
      </c>
      <c r="G1611" t="s">
        <v>1612</v>
      </c>
      <c r="H1611" s="10">
        <v>204886</v>
      </c>
      <c r="I1611">
        <f>IFERROR(VLOOKUP(Final!F1611,'LEAID Match'!$A$2:$B$374,2,FALSE),"")</f>
        <v>400840</v>
      </c>
      <c r="K1611" s="10">
        <f t="shared" si="25"/>
        <v>204886</v>
      </c>
    </row>
    <row r="1612" spans="1:11">
      <c r="A1612">
        <v>400840</v>
      </c>
      <c r="B1612" s="10">
        <v>2022</v>
      </c>
      <c r="C1612" t="s">
        <v>1420</v>
      </c>
      <c r="D1612" t="s">
        <v>2472</v>
      </c>
      <c r="E1612" t="s">
        <v>2474</v>
      </c>
      <c r="F1612" t="s">
        <v>1612</v>
      </c>
      <c r="G1612" t="s">
        <v>1612</v>
      </c>
      <c r="H1612" s="10">
        <v>236583</v>
      </c>
      <c r="I1612">
        <f>IFERROR(VLOOKUP(Final!F1612,'LEAID Match'!$A$2:$B$374,2,FALSE),"")</f>
        <v>400840</v>
      </c>
      <c r="K1612" s="10">
        <f t="shared" si="25"/>
        <v>236583</v>
      </c>
    </row>
    <row r="1613" spans="1:11">
      <c r="A1613">
        <v>400840</v>
      </c>
      <c r="B1613" s="10">
        <v>2023</v>
      </c>
      <c r="C1613" t="s">
        <v>1420</v>
      </c>
      <c r="D1613" t="s">
        <v>2472</v>
      </c>
      <c r="E1613" t="s">
        <v>2474</v>
      </c>
      <c r="F1613" t="s">
        <v>1612</v>
      </c>
      <c r="G1613" t="s">
        <v>1612</v>
      </c>
      <c r="H1613" s="10">
        <v>244740</v>
      </c>
      <c r="I1613">
        <f>IFERROR(VLOOKUP(Final!F1613,'LEAID Match'!$A$2:$B$374,2,FALSE),"")</f>
        <v>400840</v>
      </c>
      <c r="K1613" s="10">
        <f t="shared" si="25"/>
        <v>244740</v>
      </c>
    </row>
    <row r="1614" spans="1:11">
      <c r="A1614">
        <v>407570</v>
      </c>
      <c r="B1614" s="10">
        <v>2015</v>
      </c>
      <c r="C1614" t="s">
        <v>1112</v>
      </c>
      <c r="D1614" t="s">
        <v>2472</v>
      </c>
      <c r="E1614" t="s">
        <v>2474</v>
      </c>
      <c r="F1614" t="s">
        <v>1938</v>
      </c>
      <c r="G1614" t="s">
        <v>1057</v>
      </c>
      <c r="H1614" s="10">
        <v>11718248</v>
      </c>
      <c r="I1614">
        <f>IFERROR(VLOOKUP(Final!F1614,'LEAID Match'!$A$2:$B$374,2,FALSE),"")</f>
        <v>407570</v>
      </c>
      <c r="K1614" s="10">
        <f t="shared" si="25"/>
        <v>11718248</v>
      </c>
    </row>
    <row r="1615" spans="1:11">
      <c r="A1615">
        <v>407570</v>
      </c>
      <c r="B1615" s="10">
        <v>2016</v>
      </c>
      <c r="C1615" t="s">
        <v>1112</v>
      </c>
      <c r="D1615" t="s">
        <v>2472</v>
      </c>
      <c r="E1615" t="s">
        <v>2474</v>
      </c>
      <c r="F1615" t="s">
        <v>1938</v>
      </c>
      <c r="G1615" t="s">
        <v>1057</v>
      </c>
      <c r="H1615" s="10">
        <v>12358425</v>
      </c>
      <c r="I1615">
        <f>IFERROR(VLOOKUP(Final!F1615,'LEAID Match'!$A$2:$B$374,2,FALSE),"")</f>
        <v>407570</v>
      </c>
      <c r="K1615" s="10">
        <f t="shared" si="25"/>
        <v>12358425</v>
      </c>
    </row>
    <row r="1616" spans="1:11">
      <c r="A1616">
        <v>407570</v>
      </c>
      <c r="B1616" s="10">
        <v>2017</v>
      </c>
      <c r="C1616" t="s">
        <v>1112</v>
      </c>
      <c r="D1616" t="s">
        <v>2472</v>
      </c>
      <c r="E1616" t="s">
        <v>2474</v>
      </c>
      <c r="F1616" t="s">
        <v>1938</v>
      </c>
      <c r="G1616" t="s">
        <v>1938</v>
      </c>
      <c r="H1616" s="10">
        <v>12273248</v>
      </c>
      <c r="I1616">
        <f>IFERROR(VLOOKUP(Final!F1616,'LEAID Match'!$A$2:$B$374,2,FALSE),"")</f>
        <v>407570</v>
      </c>
      <c r="K1616" s="10">
        <f t="shared" si="25"/>
        <v>12273248</v>
      </c>
    </row>
    <row r="1617" spans="1:11">
      <c r="A1617">
        <v>407570</v>
      </c>
      <c r="B1617" s="10">
        <v>2018</v>
      </c>
      <c r="C1617" t="s">
        <v>1112</v>
      </c>
      <c r="D1617" t="s">
        <v>2472</v>
      </c>
      <c r="E1617" t="s">
        <v>2474</v>
      </c>
      <c r="F1617" t="s">
        <v>1938</v>
      </c>
      <c r="G1617" t="s">
        <v>2307</v>
      </c>
      <c r="H1617" s="10">
        <v>12207895</v>
      </c>
      <c r="I1617">
        <f>IFERROR(VLOOKUP(Final!F1617,'LEAID Match'!$A$2:$B$374,2,FALSE),"")</f>
        <v>407570</v>
      </c>
      <c r="K1617" s="10">
        <f t="shared" si="25"/>
        <v>12207895</v>
      </c>
    </row>
    <row r="1618" spans="1:11">
      <c r="A1618">
        <v>407570</v>
      </c>
      <c r="B1618" s="10">
        <v>2019</v>
      </c>
      <c r="C1618" t="s">
        <v>1112</v>
      </c>
      <c r="D1618" t="s">
        <v>2472</v>
      </c>
      <c r="E1618" t="s">
        <v>2474</v>
      </c>
      <c r="F1618" t="s">
        <v>1938</v>
      </c>
      <c r="G1618" t="s">
        <v>1938</v>
      </c>
      <c r="H1618" s="10">
        <v>13422981</v>
      </c>
      <c r="I1618">
        <f>IFERROR(VLOOKUP(Final!F1618,'LEAID Match'!$A$2:$B$374,2,FALSE),"")</f>
        <v>407570</v>
      </c>
      <c r="K1618" s="10">
        <f t="shared" si="25"/>
        <v>13422981</v>
      </c>
    </row>
    <row r="1619" spans="1:11">
      <c r="A1619">
        <v>407570</v>
      </c>
      <c r="B1619" s="10">
        <v>2020</v>
      </c>
      <c r="C1619" t="s">
        <v>1112</v>
      </c>
      <c r="D1619" t="s">
        <v>2472</v>
      </c>
      <c r="E1619" t="s">
        <v>2474</v>
      </c>
      <c r="F1619" t="s">
        <v>1938</v>
      </c>
      <c r="G1619" t="s">
        <v>1938</v>
      </c>
      <c r="H1619" s="10">
        <v>14746080</v>
      </c>
      <c r="I1619">
        <f>IFERROR(VLOOKUP(Final!F1619,'LEAID Match'!$A$2:$B$374,2,FALSE),"")</f>
        <v>407570</v>
      </c>
      <c r="K1619" s="10">
        <f t="shared" si="25"/>
        <v>14746080</v>
      </c>
    </row>
    <row r="1620" spans="1:11">
      <c r="A1620">
        <v>407570</v>
      </c>
      <c r="B1620" s="10">
        <v>2021</v>
      </c>
      <c r="C1620" t="s">
        <v>1112</v>
      </c>
      <c r="D1620" t="s">
        <v>2472</v>
      </c>
      <c r="E1620" t="s">
        <v>2474</v>
      </c>
      <c r="F1620" t="s">
        <v>1938</v>
      </c>
      <c r="G1620" t="s">
        <v>1938</v>
      </c>
      <c r="H1620" s="10">
        <v>15292543</v>
      </c>
      <c r="I1620">
        <f>IFERROR(VLOOKUP(Final!F1620,'LEAID Match'!$A$2:$B$374,2,FALSE),"")</f>
        <v>407570</v>
      </c>
      <c r="K1620" s="10">
        <f t="shared" si="25"/>
        <v>15292543</v>
      </c>
    </row>
    <row r="1621" spans="1:11">
      <c r="A1621">
        <v>407570</v>
      </c>
      <c r="B1621" s="10">
        <v>2022</v>
      </c>
      <c r="C1621" t="s">
        <v>1112</v>
      </c>
      <c r="D1621" t="s">
        <v>2472</v>
      </c>
      <c r="E1621" t="s">
        <v>2474</v>
      </c>
      <c r="F1621" t="s">
        <v>1938</v>
      </c>
      <c r="G1621" t="s">
        <v>1938</v>
      </c>
      <c r="H1621" s="10">
        <v>15966730</v>
      </c>
      <c r="I1621">
        <f>IFERROR(VLOOKUP(Final!F1621,'LEAID Match'!$A$2:$B$374,2,FALSE),"")</f>
        <v>407570</v>
      </c>
      <c r="K1621" s="10">
        <f t="shared" si="25"/>
        <v>15966730</v>
      </c>
    </row>
    <row r="1622" spans="1:11">
      <c r="A1622">
        <v>407570</v>
      </c>
      <c r="B1622" s="10">
        <v>2023</v>
      </c>
      <c r="C1622" t="s">
        <v>1112</v>
      </c>
      <c r="D1622" t="s">
        <v>2472</v>
      </c>
      <c r="E1622" t="s">
        <v>2474</v>
      </c>
      <c r="F1622" t="s">
        <v>1938</v>
      </c>
      <c r="G1622" t="s">
        <v>1938</v>
      </c>
      <c r="H1622" s="10">
        <v>17518781</v>
      </c>
      <c r="I1622">
        <f>IFERROR(VLOOKUP(Final!F1622,'LEAID Match'!$A$2:$B$374,2,FALSE),"")</f>
        <v>407570</v>
      </c>
      <c r="K1622" s="10">
        <f t="shared" si="25"/>
        <v>17518781</v>
      </c>
    </row>
    <row r="1623" spans="1:11">
      <c r="A1623">
        <v>405850</v>
      </c>
      <c r="B1623" s="10">
        <v>2015</v>
      </c>
      <c r="C1623" t="s">
        <v>908</v>
      </c>
      <c r="D1623" t="s">
        <v>2472</v>
      </c>
      <c r="E1623" t="s">
        <v>2474</v>
      </c>
      <c r="F1623" t="s">
        <v>1851</v>
      </c>
      <c r="G1623" t="s">
        <v>853</v>
      </c>
      <c r="H1623" s="10">
        <v>234968</v>
      </c>
      <c r="I1623">
        <f>IFERROR(VLOOKUP(Final!F1623,'LEAID Match'!$A$2:$B$374,2,FALSE),"")</f>
        <v>405850</v>
      </c>
      <c r="K1623" s="10">
        <f t="shared" si="25"/>
        <v>234968</v>
      </c>
    </row>
    <row r="1624" spans="1:11">
      <c r="A1624">
        <v>405850</v>
      </c>
      <c r="B1624" s="10">
        <v>2016</v>
      </c>
      <c r="C1624" t="s">
        <v>908</v>
      </c>
      <c r="D1624" t="s">
        <v>2472</v>
      </c>
      <c r="E1624" t="s">
        <v>2474</v>
      </c>
      <c r="F1624" t="s">
        <v>1851</v>
      </c>
      <c r="G1624" t="s">
        <v>853</v>
      </c>
      <c r="H1624" s="10">
        <v>233704</v>
      </c>
      <c r="I1624">
        <f>IFERROR(VLOOKUP(Final!F1624,'LEAID Match'!$A$2:$B$374,2,FALSE),"")</f>
        <v>405850</v>
      </c>
      <c r="K1624" s="10">
        <f t="shared" si="25"/>
        <v>233704</v>
      </c>
    </row>
    <row r="1625" spans="1:11">
      <c r="A1625">
        <v>405850</v>
      </c>
      <c r="B1625" s="10">
        <v>2017</v>
      </c>
      <c r="C1625" t="s">
        <v>908</v>
      </c>
      <c r="D1625" t="s">
        <v>2472</v>
      </c>
      <c r="E1625" t="s">
        <v>2474</v>
      </c>
      <c r="F1625" t="s">
        <v>1851</v>
      </c>
      <c r="G1625" t="s">
        <v>1851</v>
      </c>
      <c r="H1625" s="10">
        <v>249485</v>
      </c>
      <c r="I1625">
        <f>IFERROR(VLOOKUP(Final!F1625,'LEAID Match'!$A$2:$B$374,2,FALSE),"")</f>
        <v>405850</v>
      </c>
      <c r="K1625" s="10">
        <f t="shared" si="25"/>
        <v>249485</v>
      </c>
    </row>
    <row r="1626" spans="1:11">
      <c r="A1626">
        <v>405850</v>
      </c>
      <c r="B1626" s="10">
        <v>2018</v>
      </c>
      <c r="C1626" t="s">
        <v>908</v>
      </c>
      <c r="D1626" t="s">
        <v>2472</v>
      </c>
      <c r="E1626" t="s">
        <v>2474</v>
      </c>
      <c r="F1626" t="s">
        <v>1851</v>
      </c>
      <c r="G1626" t="s">
        <v>1851</v>
      </c>
      <c r="H1626" s="10">
        <v>254807</v>
      </c>
      <c r="I1626">
        <f>IFERROR(VLOOKUP(Final!F1626,'LEAID Match'!$A$2:$B$374,2,FALSE),"")</f>
        <v>405850</v>
      </c>
      <c r="K1626" s="10">
        <f t="shared" si="25"/>
        <v>254807</v>
      </c>
    </row>
    <row r="1627" spans="1:11">
      <c r="A1627">
        <v>405850</v>
      </c>
      <c r="B1627" s="10">
        <v>2019</v>
      </c>
      <c r="C1627" t="s">
        <v>908</v>
      </c>
      <c r="D1627" t="s">
        <v>2472</v>
      </c>
      <c r="E1627" t="s">
        <v>2474</v>
      </c>
      <c r="F1627" t="s">
        <v>1851</v>
      </c>
      <c r="G1627" t="s">
        <v>1851</v>
      </c>
      <c r="H1627" s="10">
        <v>288518</v>
      </c>
      <c r="I1627">
        <f>IFERROR(VLOOKUP(Final!F1627,'LEAID Match'!$A$2:$B$374,2,FALSE),"")</f>
        <v>405850</v>
      </c>
      <c r="K1627" s="10">
        <f t="shared" si="25"/>
        <v>288518</v>
      </c>
    </row>
    <row r="1628" spans="1:11">
      <c r="A1628">
        <v>405850</v>
      </c>
      <c r="B1628" s="10">
        <v>2020</v>
      </c>
      <c r="C1628" t="s">
        <v>908</v>
      </c>
      <c r="D1628" t="s">
        <v>2472</v>
      </c>
      <c r="E1628" t="s">
        <v>2474</v>
      </c>
      <c r="F1628" t="s">
        <v>1851</v>
      </c>
      <c r="G1628" t="s">
        <v>1851</v>
      </c>
      <c r="H1628" s="10">
        <v>306846</v>
      </c>
      <c r="I1628">
        <f>IFERROR(VLOOKUP(Final!F1628,'LEAID Match'!$A$2:$B$374,2,FALSE),"")</f>
        <v>405850</v>
      </c>
      <c r="K1628" s="10">
        <f t="shared" si="25"/>
        <v>306846</v>
      </c>
    </row>
    <row r="1629" spans="1:11">
      <c r="A1629">
        <v>405850</v>
      </c>
      <c r="B1629" s="10">
        <v>2021</v>
      </c>
      <c r="C1629" t="s">
        <v>908</v>
      </c>
      <c r="D1629" t="s">
        <v>2472</v>
      </c>
      <c r="E1629" t="s">
        <v>2474</v>
      </c>
      <c r="F1629" t="s">
        <v>1851</v>
      </c>
      <c r="G1629" t="s">
        <v>1851</v>
      </c>
      <c r="H1629" s="10">
        <v>309860</v>
      </c>
      <c r="I1629">
        <f>IFERROR(VLOOKUP(Final!F1629,'LEAID Match'!$A$2:$B$374,2,FALSE),"")</f>
        <v>405850</v>
      </c>
      <c r="K1629" s="10">
        <f t="shared" si="25"/>
        <v>309860</v>
      </c>
    </row>
    <row r="1630" spans="1:11">
      <c r="A1630">
        <v>405850</v>
      </c>
      <c r="B1630" s="10">
        <v>2022</v>
      </c>
      <c r="C1630" t="s">
        <v>908</v>
      </c>
      <c r="D1630" t="s">
        <v>2472</v>
      </c>
      <c r="E1630" t="s">
        <v>2474</v>
      </c>
      <c r="F1630" t="s">
        <v>1851</v>
      </c>
      <c r="G1630" t="s">
        <v>1851</v>
      </c>
      <c r="H1630" s="10">
        <v>352079</v>
      </c>
      <c r="I1630">
        <f>IFERROR(VLOOKUP(Final!F1630,'LEAID Match'!$A$2:$B$374,2,FALSE),"")</f>
        <v>405850</v>
      </c>
      <c r="K1630" s="10">
        <f t="shared" si="25"/>
        <v>352079</v>
      </c>
    </row>
    <row r="1631" spans="1:11">
      <c r="A1631">
        <v>405850</v>
      </c>
      <c r="B1631" s="10">
        <v>2023</v>
      </c>
      <c r="C1631" t="s">
        <v>908</v>
      </c>
      <c r="D1631" t="s">
        <v>2472</v>
      </c>
      <c r="E1631" t="s">
        <v>2474</v>
      </c>
      <c r="F1631" t="s">
        <v>1851</v>
      </c>
      <c r="G1631" t="s">
        <v>1851</v>
      </c>
      <c r="H1631" s="10">
        <v>365065</v>
      </c>
      <c r="I1631">
        <f>IFERROR(VLOOKUP(Final!F1631,'LEAID Match'!$A$2:$B$374,2,FALSE),"")</f>
        <v>405850</v>
      </c>
      <c r="K1631" s="10">
        <f t="shared" si="25"/>
        <v>365065</v>
      </c>
    </row>
    <row r="1632" spans="1:11">
      <c r="A1632">
        <v>404290</v>
      </c>
      <c r="B1632" s="10">
        <v>2015</v>
      </c>
      <c r="C1632" t="s">
        <v>712</v>
      </c>
      <c r="D1632" t="s">
        <v>2472</v>
      </c>
      <c r="E1632" t="s">
        <v>2474</v>
      </c>
      <c r="F1632" t="s">
        <v>1778</v>
      </c>
      <c r="G1632" t="s">
        <v>657</v>
      </c>
      <c r="H1632" s="10">
        <v>2652362</v>
      </c>
      <c r="I1632">
        <f>IFERROR(VLOOKUP(Final!F1632,'LEAID Match'!$A$2:$B$374,2,FALSE),"")</f>
        <v>404290</v>
      </c>
      <c r="K1632" s="10">
        <f t="shared" si="25"/>
        <v>2652362</v>
      </c>
    </row>
    <row r="1633" spans="1:11">
      <c r="A1633">
        <v>404290</v>
      </c>
      <c r="B1633" s="10">
        <v>2016</v>
      </c>
      <c r="C1633" t="s">
        <v>712</v>
      </c>
      <c r="D1633" t="s">
        <v>2472</v>
      </c>
      <c r="E1633" t="s">
        <v>2474</v>
      </c>
      <c r="F1633" t="s">
        <v>1778</v>
      </c>
      <c r="G1633" t="s">
        <v>657</v>
      </c>
      <c r="H1633" s="10">
        <v>2833868</v>
      </c>
      <c r="I1633">
        <f>IFERROR(VLOOKUP(Final!F1633,'LEAID Match'!$A$2:$B$374,2,FALSE),"")</f>
        <v>404290</v>
      </c>
      <c r="K1633" s="10">
        <f t="shared" si="25"/>
        <v>2833868</v>
      </c>
    </row>
    <row r="1634" spans="1:11">
      <c r="A1634">
        <v>404290</v>
      </c>
      <c r="B1634" s="10">
        <v>2017</v>
      </c>
      <c r="C1634" t="s">
        <v>712</v>
      </c>
      <c r="D1634" t="s">
        <v>2472</v>
      </c>
      <c r="E1634" t="s">
        <v>2474</v>
      </c>
      <c r="F1634" t="s">
        <v>1778</v>
      </c>
      <c r="G1634" t="s">
        <v>1778</v>
      </c>
      <c r="H1634" s="10">
        <v>3272522</v>
      </c>
      <c r="I1634">
        <f>IFERROR(VLOOKUP(Final!F1634,'LEAID Match'!$A$2:$B$374,2,FALSE),"")</f>
        <v>404290</v>
      </c>
      <c r="K1634" s="10">
        <f t="shared" si="25"/>
        <v>3272522</v>
      </c>
    </row>
    <row r="1635" spans="1:11">
      <c r="A1635">
        <v>404290</v>
      </c>
      <c r="B1635" s="10">
        <v>2018</v>
      </c>
      <c r="C1635" t="s">
        <v>712</v>
      </c>
      <c r="D1635" t="s">
        <v>2472</v>
      </c>
      <c r="E1635" t="s">
        <v>2474</v>
      </c>
      <c r="F1635" t="s">
        <v>1778</v>
      </c>
      <c r="G1635" t="s">
        <v>2221</v>
      </c>
      <c r="H1635" s="10">
        <v>3360829</v>
      </c>
      <c r="I1635">
        <f>IFERROR(VLOOKUP(Final!F1635,'LEAID Match'!$A$2:$B$374,2,FALSE),"")</f>
        <v>404290</v>
      </c>
      <c r="K1635" s="10">
        <f t="shared" si="25"/>
        <v>3360829</v>
      </c>
    </row>
    <row r="1636" spans="1:11">
      <c r="A1636">
        <v>404290</v>
      </c>
      <c r="B1636" s="10">
        <v>2019</v>
      </c>
      <c r="C1636" t="s">
        <v>712</v>
      </c>
      <c r="D1636" t="s">
        <v>2472</v>
      </c>
      <c r="E1636" t="s">
        <v>2474</v>
      </c>
      <c r="F1636" t="s">
        <v>1778</v>
      </c>
      <c r="G1636" t="s">
        <v>1778</v>
      </c>
      <c r="H1636" s="10">
        <v>3836585</v>
      </c>
      <c r="I1636">
        <f>IFERROR(VLOOKUP(Final!F1636,'LEAID Match'!$A$2:$B$374,2,FALSE),"")</f>
        <v>404290</v>
      </c>
      <c r="K1636" s="10">
        <f t="shared" si="25"/>
        <v>3836585</v>
      </c>
    </row>
    <row r="1637" spans="1:11">
      <c r="A1637">
        <v>404290</v>
      </c>
      <c r="B1637" s="10">
        <v>2020</v>
      </c>
      <c r="C1637" t="s">
        <v>712</v>
      </c>
      <c r="D1637" t="s">
        <v>2472</v>
      </c>
      <c r="E1637" t="s">
        <v>2474</v>
      </c>
      <c r="F1637" t="s">
        <v>1778</v>
      </c>
      <c r="G1637" t="s">
        <v>1778</v>
      </c>
      <c r="H1637" s="10">
        <v>4221703</v>
      </c>
      <c r="I1637">
        <f>IFERROR(VLOOKUP(Final!F1637,'LEAID Match'!$A$2:$B$374,2,FALSE),"")</f>
        <v>404290</v>
      </c>
      <c r="K1637" s="10">
        <f t="shared" si="25"/>
        <v>4221703</v>
      </c>
    </row>
    <row r="1638" spans="1:11">
      <c r="A1638">
        <v>404290</v>
      </c>
      <c r="B1638" s="10">
        <v>2021</v>
      </c>
      <c r="C1638" t="s">
        <v>712</v>
      </c>
      <c r="D1638" t="s">
        <v>2472</v>
      </c>
      <c r="E1638" t="s">
        <v>2474</v>
      </c>
      <c r="F1638" t="s">
        <v>1778</v>
      </c>
      <c r="G1638" t="s">
        <v>1778</v>
      </c>
      <c r="H1638" s="10">
        <v>4652231</v>
      </c>
      <c r="I1638">
        <f>IFERROR(VLOOKUP(Final!F1638,'LEAID Match'!$A$2:$B$374,2,FALSE),"")</f>
        <v>404290</v>
      </c>
      <c r="K1638" s="10">
        <f t="shared" si="25"/>
        <v>4652231</v>
      </c>
    </row>
    <row r="1639" spans="1:11">
      <c r="A1639">
        <v>404290</v>
      </c>
      <c r="B1639" s="10">
        <v>2022</v>
      </c>
      <c r="C1639" t="s">
        <v>712</v>
      </c>
      <c r="D1639" t="s">
        <v>2472</v>
      </c>
      <c r="E1639" t="s">
        <v>2474</v>
      </c>
      <c r="F1639" t="s">
        <v>1778</v>
      </c>
      <c r="G1639" t="s">
        <v>1778</v>
      </c>
      <c r="H1639" s="10">
        <v>5141488</v>
      </c>
      <c r="I1639">
        <f>IFERROR(VLOOKUP(Final!F1639,'LEAID Match'!$A$2:$B$374,2,FALSE),"")</f>
        <v>404290</v>
      </c>
      <c r="K1639" s="10">
        <f t="shared" si="25"/>
        <v>5141488</v>
      </c>
    </row>
    <row r="1640" spans="1:11">
      <c r="A1640">
        <v>404290</v>
      </c>
      <c r="B1640" s="10">
        <v>2023</v>
      </c>
      <c r="C1640" t="s">
        <v>712</v>
      </c>
      <c r="D1640" t="s">
        <v>2472</v>
      </c>
      <c r="E1640" t="s">
        <v>2474</v>
      </c>
      <c r="F1640" t="s">
        <v>1778</v>
      </c>
      <c r="G1640" t="s">
        <v>1778</v>
      </c>
      <c r="H1640" s="10">
        <v>5634444</v>
      </c>
      <c r="I1640">
        <f>IFERROR(VLOOKUP(Final!F1640,'LEAID Match'!$A$2:$B$374,2,FALSE),"")</f>
        <v>404290</v>
      </c>
      <c r="K1640" s="10">
        <f t="shared" si="25"/>
        <v>5634444</v>
      </c>
    </row>
    <row r="1641" spans="1:11">
      <c r="A1641">
        <v>403780</v>
      </c>
      <c r="B1641" s="10">
        <v>2015</v>
      </c>
      <c r="C1641" t="s">
        <v>689</v>
      </c>
      <c r="D1641" t="s">
        <v>2472</v>
      </c>
      <c r="E1641" t="s">
        <v>2474</v>
      </c>
      <c r="F1641" t="s">
        <v>1749</v>
      </c>
      <c r="G1641" t="s">
        <v>634</v>
      </c>
      <c r="H1641" s="10">
        <v>4437026</v>
      </c>
      <c r="I1641">
        <f>IFERROR(VLOOKUP(Final!F1641,'LEAID Match'!$A$2:$B$374,2,FALSE),"")</f>
        <v>403780</v>
      </c>
      <c r="K1641" s="10">
        <f t="shared" si="25"/>
        <v>4437026</v>
      </c>
    </row>
    <row r="1642" spans="1:11">
      <c r="A1642">
        <v>403780</v>
      </c>
      <c r="B1642" s="10">
        <v>2016</v>
      </c>
      <c r="C1642" t="s">
        <v>689</v>
      </c>
      <c r="D1642" t="s">
        <v>2472</v>
      </c>
      <c r="E1642" t="s">
        <v>2474</v>
      </c>
      <c r="F1642" t="s">
        <v>1749</v>
      </c>
      <c r="G1642" t="s">
        <v>634</v>
      </c>
      <c r="H1642" s="10">
        <v>4223129</v>
      </c>
      <c r="I1642">
        <f>IFERROR(VLOOKUP(Final!F1642,'LEAID Match'!$A$2:$B$374,2,FALSE),"")</f>
        <v>403780</v>
      </c>
      <c r="K1642" s="10">
        <f t="shared" si="25"/>
        <v>4223129</v>
      </c>
    </row>
    <row r="1643" spans="1:11">
      <c r="A1643">
        <v>403780</v>
      </c>
      <c r="B1643" s="10">
        <v>2017</v>
      </c>
      <c r="C1643" t="s">
        <v>689</v>
      </c>
      <c r="D1643" t="s">
        <v>2472</v>
      </c>
      <c r="E1643" t="s">
        <v>2474</v>
      </c>
      <c r="F1643" t="s">
        <v>1749</v>
      </c>
      <c r="G1643" t="s">
        <v>1749</v>
      </c>
      <c r="H1643" s="10">
        <v>5141043</v>
      </c>
      <c r="I1643">
        <f>IFERROR(VLOOKUP(Final!F1643,'LEAID Match'!$A$2:$B$374,2,FALSE),"")</f>
        <v>403780</v>
      </c>
      <c r="K1643" s="10">
        <f t="shared" si="25"/>
        <v>5141043</v>
      </c>
    </row>
    <row r="1644" spans="1:11">
      <c r="A1644">
        <v>403780</v>
      </c>
      <c r="B1644" s="10">
        <v>2018</v>
      </c>
      <c r="C1644" t="s">
        <v>689</v>
      </c>
      <c r="D1644" t="s">
        <v>2472</v>
      </c>
      <c r="E1644" t="s">
        <v>2474</v>
      </c>
      <c r="F1644" t="s">
        <v>1749</v>
      </c>
      <c r="G1644" t="s">
        <v>1749</v>
      </c>
      <c r="H1644" s="10">
        <v>5444951</v>
      </c>
      <c r="I1644">
        <f>IFERROR(VLOOKUP(Final!F1644,'LEAID Match'!$A$2:$B$374,2,FALSE),"")</f>
        <v>403780</v>
      </c>
      <c r="K1644" s="10">
        <f t="shared" si="25"/>
        <v>5444951</v>
      </c>
    </row>
    <row r="1645" spans="1:11">
      <c r="A1645">
        <v>403780</v>
      </c>
      <c r="B1645" s="10">
        <v>2019</v>
      </c>
      <c r="C1645" t="s">
        <v>689</v>
      </c>
      <c r="D1645" t="s">
        <v>2472</v>
      </c>
      <c r="E1645" t="s">
        <v>2474</v>
      </c>
      <c r="F1645" t="s">
        <v>1749</v>
      </c>
      <c r="G1645" t="s">
        <v>1749</v>
      </c>
      <c r="H1645" s="10">
        <v>6512757</v>
      </c>
      <c r="I1645">
        <f>IFERROR(VLOOKUP(Final!F1645,'LEAID Match'!$A$2:$B$374,2,FALSE),"")</f>
        <v>403780</v>
      </c>
      <c r="K1645" s="10">
        <f t="shared" si="25"/>
        <v>6512757</v>
      </c>
    </row>
    <row r="1646" spans="1:11">
      <c r="A1646">
        <v>403780</v>
      </c>
      <c r="B1646" s="10">
        <v>2020</v>
      </c>
      <c r="C1646" t="s">
        <v>689</v>
      </c>
      <c r="D1646" t="s">
        <v>2472</v>
      </c>
      <c r="E1646" t="s">
        <v>2474</v>
      </c>
      <c r="F1646" t="s">
        <v>1749</v>
      </c>
      <c r="G1646" t="s">
        <v>1749</v>
      </c>
      <c r="H1646" s="10">
        <v>7136643</v>
      </c>
      <c r="I1646">
        <f>IFERROR(VLOOKUP(Final!F1646,'LEAID Match'!$A$2:$B$374,2,FALSE),"")</f>
        <v>403780</v>
      </c>
      <c r="K1646" s="10">
        <f t="shared" si="25"/>
        <v>7136643</v>
      </c>
    </row>
    <row r="1647" spans="1:11">
      <c r="A1647">
        <v>403780</v>
      </c>
      <c r="B1647" s="10">
        <v>2021</v>
      </c>
      <c r="C1647" t="s">
        <v>689</v>
      </c>
      <c r="D1647" t="s">
        <v>2472</v>
      </c>
      <c r="E1647" t="s">
        <v>2474</v>
      </c>
      <c r="F1647" t="s">
        <v>1749</v>
      </c>
      <c r="G1647" t="s">
        <v>1749</v>
      </c>
      <c r="H1647" s="10">
        <v>7976018</v>
      </c>
      <c r="I1647">
        <f>IFERROR(VLOOKUP(Final!F1647,'LEAID Match'!$A$2:$B$374,2,FALSE),"")</f>
        <v>403780</v>
      </c>
      <c r="K1647" s="10">
        <f t="shared" si="25"/>
        <v>7976018</v>
      </c>
    </row>
    <row r="1648" spans="1:11">
      <c r="A1648">
        <v>403780</v>
      </c>
      <c r="B1648" s="10">
        <v>2022</v>
      </c>
      <c r="C1648" t="s">
        <v>689</v>
      </c>
      <c r="D1648" t="s">
        <v>2472</v>
      </c>
      <c r="E1648" t="s">
        <v>2474</v>
      </c>
      <c r="F1648" t="s">
        <v>1749</v>
      </c>
      <c r="G1648" t="s">
        <v>1749</v>
      </c>
      <c r="H1648" s="10">
        <v>8581683</v>
      </c>
      <c r="I1648">
        <f>IFERROR(VLOOKUP(Final!F1648,'LEAID Match'!$A$2:$B$374,2,FALSE),"")</f>
        <v>403780</v>
      </c>
      <c r="K1648" s="10">
        <f t="shared" si="25"/>
        <v>8581683</v>
      </c>
    </row>
    <row r="1649" spans="1:11">
      <c r="A1649">
        <v>403780</v>
      </c>
      <c r="B1649" s="10">
        <v>2023</v>
      </c>
      <c r="C1649" t="s">
        <v>689</v>
      </c>
      <c r="D1649" t="s">
        <v>2472</v>
      </c>
      <c r="E1649" t="s">
        <v>2474</v>
      </c>
      <c r="F1649" t="s">
        <v>1749</v>
      </c>
      <c r="G1649" t="s">
        <v>1749</v>
      </c>
      <c r="H1649" s="10">
        <v>9534044</v>
      </c>
      <c r="I1649">
        <f>IFERROR(VLOOKUP(Final!F1649,'LEAID Match'!$A$2:$B$374,2,FALSE),"")</f>
        <v>403780</v>
      </c>
      <c r="K1649" s="10">
        <f t="shared" si="25"/>
        <v>9534044</v>
      </c>
    </row>
    <row r="1650" spans="1:11">
      <c r="A1650">
        <v>408820</v>
      </c>
      <c r="B1650" s="10">
        <v>2015</v>
      </c>
      <c r="C1650" t="s">
        <v>1311</v>
      </c>
      <c r="D1650" t="s">
        <v>2472</v>
      </c>
      <c r="E1650" t="s">
        <v>2474</v>
      </c>
      <c r="F1650" t="s">
        <v>2414</v>
      </c>
      <c r="G1650" t="s">
        <v>1263</v>
      </c>
      <c r="H1650" s="10">
        <v>686618</v>
      </c>
      <c r="I1650">
        <f>IFERROR(VLOOKUP(Final!F1650,'LEAID Match'!$A$2:$B$374,2,FALSE),"")</f>
        <v>408820</v>
      </c>
      <c r="K1650" s="10">
        <f t="shared" si="25"/>
        <v>686618</v>
      </c>
    </row>
    <row r="1651" spans="1:11">
      <c r="A1651">
        <v>408820</v>
      </c>
      <c r="B1651" s="10">
        <v>2016</v>
      </c>
      <c r="C1651" t="s">
        <v>1311</v>
      </c>
      <c r="D1651" t="s">
        <v>2472</v>
      </c>
      <c r="E1651" t="s">
        <v>2474</v>
      </c>
      <c r="F1651" t="s">
        <v>2414</v>
      </c>
      <c r="G1651" t="s">
        <v>1263</v>
      </c>
      <c r="H1651" s="10">
        <v>726772</v>
      </c>
      <c r="I1651">
        <f>IFERROR(VLOOKUP(Final!F1651,'LEAID Match'!$A$2:$B$374,2,FALSE),"")</f>
        <v>408820</v>
      </c>
      <c r="K1651" s="10">
        <f t="shared" si="25"/>
        <v>726772</v>
      </c>
    </row>
    <row r="1652" spans="1:11">
      <c r="A1652">
        <v>408820</v>
      </c>
      <c r="B1652" s="10">
        <v>2017</v>
      </c>
      <c r="C1652" t="s">
        <v>1311</v>
      </c>
      <c r="D1652" t="s">
        <v>2472</v>
      </c>
      <c r="E1652" t="s">
        <v>2474</v>
      </c>
      <c r="F1652" t="s">
        <v>2414</v>
      </c>
      <c r="G1652" t="s">
        <v>1999</v>
      </c>
      <c r="H1652" s="10">
        <v>799364</v>
      </c>
      <c r="I1652">
        <f>IFERROR(VLOOKUP(Final!F1652,'LEAID Match'!$A$2:$B$374,2,FALSE),"")</f>
        <v>408820</v>
      </c>
      <c r="K1652" s="10">
        <f t="shared" si="25"/>
        <v>799364</v>
      </c>
    </row>
    <row r="1653" spans="1:11">
      <c r="A1653">
        <v>408820</v>
      </c>
      <c r="B1653" s="10">
        <v>2018</v>
      </c>
      <c r="C1653" t="s">
        <v>1311</v>
      </c>
      <c r="D1653" t="s">
        <v>2472</v>
      </c>
      <c r="E1653" t="s">
        <v>2474</v>
      </c>
      <c r="F1653" t="s">
        <v>2414</v>
      </c>
      <c r="G1653" t="s">
        <v>2329</v>
      </c>
      <c r="H1653" s="10">
        <v>785347</v>
      </c>
      <c r="I1653">
        <f>IFERROR(VLOOKUP(Final!F1653,'LEAID Match'!$A$2:$B$374,2,FALSE),"")</f>
        <v>408820</v>
      </c>
      <c r="K1653" s="10">
        <f t="shared" si="25"/>
        <v>785347</v>
      </c>
    </row>
    <row r="1654" spans="1:11">
      <c r="A1654">
        <v>408820</v>
      </c>
      <c r="B1654" s="10">
        <v>2019</v>
      </c>
      <c r="C1654" t="s">
        <v>1311</v>
      </c>
      <c r="D1654" t="s">
        <v>2472</v>
      </c>
      <c r="E1654" t="s">
        <v>2474</v>
      </c>
      <c r="F1654" t="s">
        <v>2414</v>
      </c>
      <c r="G1654" t="s">
        <v>1999</v>
      </c>
      <c r="H1654" s="10">
        <v>845666</v>
      </c>
      <c r="I1654">
        <f>IFERROR(VLOOKUP(Final!F1654,'LEAID Match'!$A$2:$B$374,2,FALSE),"")</f>
        <v>408820</v>
      </c>
      <c r="K1654" s="10">
        <f t="shared" si="25"/>
        <v>845666</v>
      </c>
    </row>
    <row r="1655" spans="1:11">
      <c r="A1655">
        <v>408820</v>
      </c>
      <c r="B1655" s="10">
        <v>2020</v>
      </c>
      <c r="C1655" t="s">
        <v>1311</v>
      </c>
      <c r="D1655" t="s">
        <v>2472</v>
      </c>
      <c r="E1655" t="s">
        <v>2474</v>
      </c>
      <c r="F1655" t="s">
        <v>2414</v>
      </c>
      <c r="G1655" t="s">
        <v>2414</v>
      </c>
      <c r="H1655" s="10">
        <v>934260</v>
      </c>
      <c r="I1655">
        <f>IFERROR(VLOOKUP(Final!F1655,'LEAID Match'!$A$2:$B$374,2,FALSE),"")</f>
        <v>408820</v>
      </c>
      <c r="K1655" s="10">
        <f t="shared" si="25"/>
        <v>934260</v>
      </c>
    </row>
    <row r="1656" spans="1:11">
      <c r="A1656">
        <v>408820</v>
      </c>
      <c r="B1656" s="10">
        <v>2021</v>
      </c>
      <c r="C1656" t="s">
        <v>1311</v>
      </c>
      <c r="D1656" t="s">
        <v>2472</v>
      </c>
      <c r="E1656" t="s">
        <v>2474</v>
      </c>
      <c r="F1656" t="s">
        <v>2414</v>
      </c>
      <c r="G1656" t="s">
        <v>2414</v>
      </c>
      <c r="H1656" s="10">
        <v>957351</v>
      </c>
      <c r="I1656">
        <f>IFERROR(VLOOKUP(Final!F1656,'LEAID Match'!$A$2:$B$374,2,FALSE),"")</f>
        <v>408820</v>
      </c>
      <c r="K1656" s="10">
        <f t="shared" si="25"/>
        <v>957351</v>
      </c>
    </row>
    <row r="1657" spans="1:11">
      <c r="A1657">
        <v>408820</v>
      </c>
      <c r="B1657" s="10">
        <v>2022</v>
      </c>
      <c r="C1657" t="s">
        <v>1311</v>
      </c>
      <c r="D1657" t="s">
        <v>2472</v>
      </c>
      <c r="E1657" t="s">
        <v>2474</v>
      </c>
      <c r="F1657" t="s">
        <v>2414</v>
      </c>
      <c r="G1657" t="s">
        <v>2414</v>
      </c>
      <c r="H1657" s="10">
        <v>1082370</v>
      </c>
      <c r="I1657">
        <f>IFERROR(VLOOKUP(Final!F1657,'LEAID Match'!$A$2:$B$374,2,FALSE),"")</f>
        <v>408820</v>
      </c>
      <c r="K1657" s="10">
        <f t="shared" si="25"/>
        <v>1082370</v>
      </c>
    </row>
    <row r="1658" spans="1:11">
      <c r="A1658">
        <v>408820</v>
      </c>
      <c r="B1658" s="10">
        <v>2023</v>
      </c>
      <c r="C1658" t="s">
        <v>1311</v>
      </c>
      <c r="D1658" t="s">
        <v>2472</v>
      </c>
      <c r="E1658" t="s">
        <v>2474</v>
      </c>
      <c r="F1658" t="s">
        <v>2414</v>
      </c>
      <c r="G1658" t="s">
        <v>2414</v>
      </c>
      <c r="H1658" s="10">
        <v>1138714</v>
      </c>
      <c r="I1658">
        <f>IFERROR(VLOOKUP(Final!F1658,'LEAID Match'!$A$2:$B$374,2,FALSE),"")</f>
        <v>408820</v>
      </c>
      <c r="K1658" s="10">
        <f t="shared" si="25"/>
        <v>1138714</v>
      </c>
    </row>
    <row r="1659" spans="1:11">
      <c r="A1659">
        <v>400480</v>
      </c>
      <c r="B1659" s="10">
        <v>2015</v>
      </c>
      <c r="C1659" t="s">
        <v>65</v>
      </c>
      <c r="D1659" t="s">
        <v>2472</v>
      </c>
      <c r="E1659" t="s">
        <v>2474</v>
      </c>
      <c r="F1659" t="s">
        <v>1490</v>
      </c>
      <c r="G1659" t="s">
        <v>12</v>
      </c>
      <c r="H1659" s="10">
        <v>98855</v>
      </c>
      <c r="I1659">
        <f>IFERROR(VLOOKUP(Final!F1659,'LEAID Match'!$A$2:$B$374,2,FALSE),"")</f>
        <v>400480</v>
      </c>
      <c r="K1659" s="10">
        <f t="shared" si="25"/>
        <v>98855</v>
      </c>
    </row>
    <row r="1660" spans="1:11">
      <c r="A1660">
        <v>400480</v>
      </c>
      <c r="B1660" s="10">
        <v>2016</v>
      </c>
      <c r="C1660" t="s">
        <v>65</v>
      </c>
      <c r="D1660" t="s">
        <v>2472</v>
      </c>
      <c r="E1660" t="s">
        <v>2474</v>
      </c>
      <c r="F1660" t="s">
        <v>1490</v>
      </c>
      <c r="G1660" t="s">
        <v>12</v>
      </c>
      <c r="H1660" s="10">
        <v>101433</v>
      </c>
      <c r="I1660">
        <f>IFERROR(VLOOKUP(Final!F1660,'LEAID Match'!$A$2:$B$374,2,FALSE),"")</f>
        <v>400480</v>
      </c>
      <c r="K1660" s="10">
        <f t="shared" si="25"/>
        <v>101433</v>
      </c>
    </row>
    <row r="1661" spans="1:11">
      <c r="A1661">
        <v>400480</v>
      </c>
      <c r="B1661" s="10">
        <v>2017</v>
      </c>
      <c r="C1661" t="s">
        <v>65</v>
      </c>
      <c r="D1661" t="s">
        <v>2472</v>
      </c>
      <c r="E1661" t="s">
        <v>2474</v>
      </c>
      <c r="F1661" t="s">
        <v>1490</v>
      </c>
      <c r="G1661" t="s">
        <v>1490</v>
      </c>
      <c r="H1661" s="10">
        <v>84595</v>
      </c>
      <c r="I1661">
        <f>IFERROR(VLOOKUP(Final!F1661,'LEAID Match'!$A$2:$B$374,2,FALSE),"")</f>
        <v>400480</v>
      </c>
      <c r="K1661" s="10">
        <f t="shared" si="25"/>
        <v>84595</v>
      </c>
    </row>
    <row r="1662" spans="1:11">
      <c r="A1662">
        <v>400480</v>
      </c>
      <c r="B1662" s="10">
        <v>2018</v>
      </c>
      <c r="C1662" t="s">
        <v>65</v>
      </c>
      <c r="D1662" t="s">
        <v>2472</v>
      </c>
      <c r="E1662" t="s">
        <v>2474</v>
      </c>
      <c r="F1662" t="s">
        <v>1490</v>
      </c>
      <c r="G1662" t="s">
        <v>2046</v>
      </c>
      <c r="H1662" s="10">
        <v>81272</v>
      </c>
      <c r="I1662">
        <f>IFERROR(VLOOKUP(Final!F1662,'LEAID Match'!$A$2:$B$374,2,FALSE),"")</f>
        <v>400480</v>
      </c>
      <c r="K1662" s="10">
        <f t="shared" si="25"/>
        <v>81272</v>
      </c>
    </row>
    <row r="1663" spans="1:11">
      <c r="A1663">
        <v>400480</v>
      </c>
      <c r="B1663" s="10">
        <v>2019</v>
      </c>
      <c r="C1663" t="s">
        <v>65</v>
      </c>
      <c r="D1663" t="s">
        <v>2472</v>
      </c>
      <c r="E1663" t="s">
        <v>2474</v>
      </c>
      <c r="F1663" t="s">
        <v>1490</v>
      </c>
      <c r="G1663" t="s">
        <v>1490</v>
      </c>
      <c r="H1663" s="10">
        <v>81487</v>
      </c>
      <c r="I1663">
        <f>IFERROR(VLOOKUP(Final!F1663,'LEAID Match'!$A$2:$B$374,2,FALSE),"")</f>
        <v>400480</v>
      </c>
      <c r="K1663" s="10">
        <f t="shared" si="25"/>
        <v>81487</v>
      </c>
    </row>
    <row r="1664" spans="1:11">
      <c r="A1664">
        <v>400480</v>
      </c>
      <c r="B1664" s="10">
        <v>2020</v>
      </c>
      <c r="C1664" t="s">
        <v>65</v>
      </c>
      <c r="D1664" t="s">
        <v>2472</v>
      </c>
      <c r="E1664" t="s">
        <v>2474</v>
      </c>
      <c r="F1664" t="s">
        <v>1490</v>
      </c>
      <c r="G1664" t="s">
        <v>1490</v>
      </c>
      <c r="H1664" s="10">
        <v>78821</v>
      </c>
      <c r="I1664">
        <f>IFERROR(VLOOKUP(Final!F1664,'LEAID Match'!$A$2:$B$374,2,FALSE),"")</f>
        <v>400480</v>
      </c>
      <c r="K1664" s="10">
        <f t="shared" si="25"/>
        <v>78821</v>
      </c>
    </row>
    <row r="1665" spans="1:11">
      <c r="A1665">
        <v>400480</v>
      </c>
      <c r="B1665" s="10">
        <v>2021</v>
      </c>
      <c r="C1665" t="s">
        <v>65</v>
      </c>
      <c r="D1665" t="s">
        <v>2472</v>
      </c>
      <c r="E1665" t="s">
        <v>2474</v>
      </c>
      <c r="F1665" t="s">
        <v>1490</v>
      </c>
      <c r="G1665" t="s">
        <v>1490</v>
      </c>
      <c r="H1665" s="10">
        <v>94877</v>
      </c>
      <c r="I1665">
        <f>IFERROR(VLOOKUP(Final!F1665,'LEAID Match'!$A$2:$B$374,2,FALSE),"")</f>
        <v>400480</v>
      </c>
      <c r="K1665" s="10">
        <f t="shared" si="25"/>
        <v>94877</v>
      </c>
    </row>
    <row r="1666" spans="1:11">
      <c r="A1666">
        <v>400480</v>
      </c>
      <c r="B1666" s="10">
        <v>2022</v>
      </c>
      <c r="C1666" t="s">
        <v>65</v>
      </c>
      <c r="D1666" t="s">
        <v>2472</v>
      </c>
      <c r="E1666" t="s">
        <v>2474</v>
      </c>
      <c r="F1666" t="s">
        <v>1490</v>
      </c>
      <c r="G1666" t="s">
        <v>1490</v>
      </c>
      <c r="H1666" s="10">
        <v>116401</v>
      </c>
      <c r="I1666">
        <f>IFERROR(VLOOKUP(Final!F1666,'LEAID Match'!$A$2:$B$374,2,FALSE),"")</f>
        <v>400480</v>
      </c>
      <c r="K1666" s="10">
        <f t="shared" si="25"/>
        <v>116401</v>
      </c>
    </row>
    <row r="1667" spans="1:11">
      <c r="A1667">
        <v>400480</v>
      </c>
      <c r="B1667" s="10">
        <v>2023</v>
      </c>
      <c r="C1667" t="s">
        <v>65</v>
      </c>
      <c r="D1667" t="s">
        <v>2472</v>
      </c>
      <c r="E1667" t="s">
        <v>2474</v>
      </c>
      <c r="F1667" t="s">
        <v>1490</v>
      </c>
      <c r="G1667" t="s">
        <v>1490</v>
      </c>
      <c r="H1667" s="10">
        <v>132764</v>
      </c>
      <c r="I1667">
        <f>IFERROR(VLOOKUP(Final!F1667,'LEAID Match'!$A$2:$B$374,2,FALSE),"")</f>
        <v>400480</v>
      </c>
      <c r="K1667" s="10">
        <f t="shared" ref="K1667:K1730" si="26">SUM(H1667,J1667)</f>
        <v>132764</v>
      </c>
    </row>
    <row r="1668" spans="1:11">
      <c r="A1668">
        <v>404440</v>
      </c>
      <c r="B1668" s="10">
        <v>2015</v>
      </c>
      <c r="C1668" t="s">
        <v>775</v>
      </c>
      <c r="D1668" t="s">
        <v>2472</v>
      </c>
      <c r="E1668" t="s">
        <v>2474</v>
      </c>
      <c r="F1668" t="s">
        <v>1787</v>
      </c>
      <c r="G1668" t="s">
        <v>720</v>
      </c>
      <c r="H1668" s="10">
        <v>2501706</v>
      </c>
      <c r="I1668">
        <f>IFERROR(VLOOKUP(Final!F1668,'LEAID Match'!$A$2:$B$374,2,FALSE),"")</f>
        <v>404440</v>
      </c>
      <c r="K1668" s="10">
        <f t="shared" si="26"/>
        <v>2501706</v>
      </c>
    </row>
    <row r="1669" spans="1:11">
      <c r="A1669">
        <v>404440</v>
      </c>
      <c r="B1669" s="10">
        <v>2016</v>
      </c>
      <c r="C1669" t="s">
        <v>775</v>
      </c>
      <c r="D1669" t="s">
        <v>2472</v>
      </c>
      <c r="E1669" t="s">
        <v>2474</v>
      </c>
      <c r="F1669" t="s">
        <v>1787</v>
      </c>
      <c r="G1669" t="s">
        <v>720</v>
      </c>
      <c r="H1669" s="10">
        <v>2412163</v>
      </c>
      <c r="I1669">
        <f>IFERROR(VLOOKUP(Final!F1669,'LEAID Match'!$A$2:$B$374,2,FALSE),"")</f>
        <v>404440</v>
      </c>
      <c r="K1669" s="10">
        <f t="shared" si="26"/>
        <v>2412163</v>
      </c>
    </row>
    <row r="1670" spans="1:11">
      <c r="A1670">
        <v>404440</v>
      </c>
      <c r="B1670" s="10">
        <v>2017</v>
      </c>
      <c r="C1670" t="s">
        <v>775</v>
      </c>
      <c r="D1670" t="s">
        <v>2472</v>
      </c>
      <c r="E1670" t="s">
        <v>2474</v>
      </c>
      <c r="F1670" t="s">
        <v>1787</v>
      </c>
      <c r="G1670" t="s">
        <v>1787</v>
      </c>
      <c r="H1670" s="10">
        <v>2532596</v>
      </c>
      <c r="I1670">
        <f>IFERROR(VLOOKUP(Final!F1670,'LEAID Match'!$A$2:$B$374,2,FALSE),"")</f>
        <v>404440</v>
      </c>
      <c r="K1670" s="10">
        <f t="shared" si="26"/>
        <v>2532596</v>
      </c>
    </row>
    <row r="1671" spans="1:11">
      <c r="A1671">
        <v>404440</v>
      </c>
      <c r="B1671" s="10">
        <v>2018</v>
      </c>
      <c r="C1671" t="s">
        <v>775</v>
      </c>
      <c r="D1671" t="s">
        <v>2472</v>
      </c>
      <c r="E1671" t="s">
        <v>2474</v>
      </c>
      <c r="F1671" t="s">
        <v>1787</v>
      </c>
      <c r="G1671" t="s">
        <v>2225</v>
      </c>
      <c r="H1671" s="10">
        <v>2609832</v>
      </c>
      <c r="I1671">
        <f>IFERROR(VLOOKUP(Final!F1671,'LEAID Match'!$A$2:$B$374,2,FALSE),"")</f>
        <v>404440</v>
      </c>
      <c r="K1671" s="10">
        <f t="shared" si="26"/>
        <v>2609832</v>
      </c>
    </row>
    <row r="1672" spans="1:11">
      <c r="A1672">
        <v>404440</v>
      </c>
      <c r="B1672" s="10">
        <v>2019</v>
      </c>
      <c r="C1672" t="s">
        <v>775</v>
      </c>
      <c r="D1672" t="s">
        <v>2472</v>
      </c>
      <c r="E1672" t="s">
        <v>2474</v>
      </c>
      <c r="F1672" t="s">
        <v>1787</v>
      </c>
      <c r="G1672" t="s">
        <v>1787</v>
      </c>
      <c r="H1672" s="10">
        <v>3031421</v>
      </c>
      <c r="I1672">
        <f>IFERROR(VLOOKUP(Final!F1672,'LEAID Match'!$A$2:$B$374,2,FALSE),"")</f>
        <v>404440</v>
      </c>
      <c r="K1672" s="10">
        <f t="shared" si="26"/>
        <v>3031421</v>
      </c>
    </row>
    <row r="1673" spans="1:11">
      <c r="A1673">
        <v>404440</v>
      </c>
      <c r="B1673" s="10">
        <v>2020</v>
      </c>
      <c r="C1673" t="s">
        <v>775</v>
      </c>
      <c r="D1673" t="s">
        <v>2472</v>
      </c>
      <c r="E1673" t="s">
        <v>2474</v>
      </c>
      <c r="F1673" t="s">
        <v>1787</v>
      </c>
      <c r="G1673" t="s">
        <v>1787</v>
      </c>
      <c r="H1673" s="10">
        <v>3348642</v>
      </c>
      <c r="I1673">
        <f>IFERROR(VLOOKUP(Final!F1673,'LEAID Match'!$A$2:$B$374,2,FALSE),"")</f>
        <v>404440</v>
      </c>
      <c r="K1673" s="10">
        <f t="shared" si="26"/>
        <v>3348642</v>
      </c>
    </row>
    <row r="1674" spans="1:11">
      <c r="A1674">
        <v>404440</v>
      </c>
      <c r="B1674" s="10">
        <v>2021</v>
      </c>
      <c r="C1674" t="s">
        <v>775</v>
      </c>
      <c r="D1674" t="s">
        <v>2472</v>
      </c>
      <c r="E1674" t="s">
        <v>2474</v>
      </c>
      <c r="F1674" t="s">
        <v>1787</v>
      </c>
      <c r="G1674" t="s">
        <v>1787</v>
      </c>
      <c r="H1674" s="10">
        <v>3490205</v>
      </c>
      <c r="I1674">
        <f>IFERROR(VLOOKUP(Final!F1674,'LEAID Match'!$A$2:$B$374,2,FALSE),"")</f>
        <v>404440</v>
      </c>
      <c r="K1674" s="10">
        <f t="shared" si="26"/>
        <v>3490205</v>
      </c>
    </row>
    <row r="1675" spans="1:11">
      <c r="A1675">
        <v>404440</v>
      </c>
      <c r="B1675" s="10">
        <v>2022</v>
      </c>
      <c r="C1675" t="s">
        <v>775</v>
      </c>
      <c r="D1675" t="s">
        <v>2472</v>
      </c>
      <c r="E1675" t="s">
        <v>2474</v>
      </c>
      <c r="F1675" t="s">
        <v>1787</v>
      </c>
      <c r="G1675" t="s">
        <v>1787</v>
      </c>
      <c r="H1675" s="10">
        <v>3768987</v>
      </c>
      <c r="I1675">
        <f>IFERROR(VLOOKUP(Final!F1675,'LEAID Match'!$A$2:$B$374,2,FALSE),"")</f>
        <v>404440</v>
      </c>
      <c r="K1675" s="10">
        <f t="shared" si="26"/>
        <v>3768987</v>
      </c>
    </row>
    <row r="1676" spans="1:11">
      <c r="A1676">
        <v>404440</v>
      </c>
      <c r="B1676" s="10">
        <v>2023</v>
      </c>
      <c r="C1676" t="s">
        <v>775</v>
      </c>
      <c r="D1676" t="s">
        <v>2472</v>
      </c>
      <c r="E1676" t="s">
        <v>2474</v>
      </c>
      <c r="F1676" t="s">
        <v>1787</v>
      </c>
      <c r="G1676" t="s">
        <v>1787</v>
      </c>
      <c r="H1676" s="10">
        <v>3799249</v>
      </c>
      <c r="I1676">
        <f>IFERROR(VLOOKUP(Final!F1676,'LEAID Match'!$A$2:$B$374,2,FALSE),"")</f>
        <v>404440</v>
      </c>
      <c r="K1676" s="10">
        <f t="shared" si="26"/>
        <v>3799249</v>
      </c>
    </row>
    <row r="1677" spans="1:11">
      <c r="A1677">
        <v>407080</v>
      </c>
      <c r="B1677" s="10">
        <v>2015</v>
      </c>
      <c r="C1677" t="s">
        <v>1039</v>
      </c>
      <c r="D1677" t="s">
        <v>2472</v>
      </c>
      <c r="E1677" t="s">
        <v>2474</v>
      </c>
      <c r="F1677" t="s">
        <v>1917</v>
      </c>
      <c r="G1677" t="s">
        <v>984</v>
      </c>
      <c r="H1677" s="10">
        <v>5900647</v>
      </c>
      <c r="I1677">
        <f>IFERROR(VLOOKUP(Final!F1677,'LEAID Match'!$A$2:$B$374,2,FALSE),"")</f>
        <v>407080</v>
      </c>
      <c r="K1677" s="10">
        <f t="shared" si="26"/>
        <v>5900647</v>
      </c>
    </row>
    <row r="1678" spans="1:11">
      <c r="A1678">
        <v>407080</v>
      </c>
      <c r="B1678" s="10">
        <v>2016</v>
      </c>
      <c r="C1678" t="s">
        <v>1039</v>
      </c>
      <c r="D1678" t="s">
        <v>2472</v>
      </c>
      <c r="E1678" t="s">
        <v>2474</v>
      </c>
      <c r="F1678" t="s">
        <v>1917</v>
      </c>
      <c r="G1678" t="s">
        <v>984</v>
      </c>
      <c r="H1678" s="10">
        <v>5748195</v>
      </c>
      <c r="I1678">
        <f>IFERROR(VLOOKUP(Final!F1678,'LEAID Match'!$A$2:$B$374,2,FALSE),"")</f>
        <v>407080</v>
      </c>
      <c r="K1678" s="10">
        <f t="shared" si="26"/>
        <v>5748195</v>
      </c>
    </row>
    <row r="1679" spans="1:11">
      <c r="A1679">
        <v>407080</v>
      </c>
      <c r="B1679" s="10">
        <v>2017</v>
      </c>
      <c r="C1679" t="s">
        <v>1039</v>
      </c>
      <c r="D1679" t="s">
        <v>2472</v>
      </c>
      <c r="E1679" t="s">
        <v>2474</v>
      </c>
      <c r="F1679" t="s">
        <v>1917</v>
      </c>
      <c r="G1679" t="s">
        <v>1917</v>
      </c>
      <c r="H1679" s="10">
        <v>5244836</v>
      </c>
      <c r="I1679">
        <f>IFERROR(VLOOKUP(Final!F1679,'LEAID Match'!$A$2:$B$374,2,FALSE),"")</f>
        <v>407080</v>
      </c>
      <c r="K1679" s="10">
        <f t="shared" si="26"/>
        <v>5244836</v>
      </c>
    </row>
    <row r="1680" spans="1:11">
      <c r="A1680">
        <v>407080</v>
      </c>
      <c r="B1680" s="10">
        <v>2018</v>
      </c>
      <c r="C1680" t="s">
        <v>1039</v>
      </c>
      <c r="D1680" t="s">
        <v>2472</v>
      </c>
      <c r="E1680" t="s">
        <v>2474</v>
      </c>
      <c r="F1680" t="s">
        <v>1917</v>
      </c>
      <c r="G1680" t="s">
        <v>2295</v>
      </c>
      <c r="H1680" s="10">
        <v>5252693</v>
      </c>
      <c r="I1680">
        <f>IFERROR(VLOOKUP(Final!F1680,'LEAID Match'!$A$2:$B$374,2,FALSE),"")</f>
        <v>407080</v>
      </c>
      <c r="K1680" s="10">
        <f t="shared" si="26"/>
        <v>5252693</v>
      </c>
    </row>
    <row r="1681" spans="1:11">
      <c r="A1681">
        <v>407080</v>
      </c>
      <c r="B1681" s="10">
        <v>2019</v>
      </c>
      <c r="C1681" t="s">
        <v>1039</v>
      </c>
      <c r="D1681" t="s">
        <v>2472</v>
      </c>
      <c r="E1681" t="s">
        <v>2474</v>
      </c>
      <c r="F1681" t="s">
        <v>1917</v>
      </c>
      <c r="G1681" t="s">
        <v>1917</v>
      </c>
      <c r="H1681" s="10">
        <v>5636643</v>
      </c>
      <c r="I1681">
        <f>IFERROR(VLOOKUP(Final!F1681,'LEAID Match'!$A$2:$B$374,2,FALSE),"")</f>
        <v>407080</v>
      </c>
      <c r="K1681" s="10">
        <f t="shared" si="26"/>
        <v>5636643</v>
      </c>
    </row>
    <row r="1682" spans="1:11">
      <c r="A1682">
        <v>407080</v>
      </c>
      <c r="B1682" s="10">
        <v>2020</v>
      </c>
      <c r="C1682" t="s">
        <v>1039</v>
      </c>
      <c r="D1682" t="s">
        <v>2472</v>
      </c>
      <c r="E1682" t="s">
        <v>2474</v>
      </c>
      <c r="F1682" t="s">
        <v>1917</v>
      </c>
      <c r="G1682" t="s">
        <v>1917</v>
      </c>
      <c r="H1682" s="10">
        <v>6267401</v>
      </c>
      <c r="I1682">
        <f>IFERROR(VLOOKUP(Final!F1682,'LEAID Match'!$A$2:$B$374,2,FALSE),"")</f>
        <v>407080</v>
      </c>
      <c r="K1682" s="10">
        <f t="shared" si="26"/>
        <v>6267401</v>
      </c>
    </row>
    <row r="1683" spans="1:11">
      <c r="A1683">
        <v>407080</v>
      </c>
      <c r="B1683" s="10">
        <v>2021</v>
      </c>
      <c r="C1683" t="s">
        <v>1039</v>
      </c>
      <c r="D1683" t="s">
        <v>2472</v>
      </c>
      <c r="E1683" t="s">
        <v>2474</v>
      </c>
      <c r="F1683" t="s">
        <v>1917</v>
      </c>
      <c r="G1683" t="s">
        <v>1917</v>
      </c>
      <c r="H1683" s="10">
        <v>6517451</v>
      </c>
      <c r="I1683">
        <f>IFERROR(VLOOKUP(Final!F1683,'LEAID Match'!$A$2:$B$374,2,FALSE),"")</f>
        <v>407080</v>
      </c>
      <c r="K1683" s="10">
        <f t="shared" si="26"/>
        <v>6517451</v>
      </c>
    </row>
    <row r="1684" spans="1:11">
      <c r="A1684">
        <v>407080</v>
      </c>
      <c r="B1684" s="10">
        <v>2022</v>
      </c>
      <c r="C1684" t="s">
        <v>1039</v>
      </c>
      <c r="D1684" t="s">
        <v>2472</v>
      </c>
      <c r="E1684" t="s">
        <v>2474</v>
      </c>
      <c r="F1684" t="s">
        <v>1917</v>
      </c>
      <c r="G1684" t="s">
        <v>1917</v>
      </c>
      <c r="H1684" s="10">
        <v>6826701</v>
      </c>
      <c r="I1684">
        <f>IFERROR(VLOOKUP(Final!F1684,'LEAID Match'!$A$2:$B$374,2,FALSE),"")</f>
        <v>407080</v>
      </c>
      <c r="K1684" s="10">
        <f t="shared" si="26"/>
        <v>6826701</v>
      </c>
    </row>
    <row r="1685" spans="1:11">
      <c r="A1685">
        <v>407080</v>
      </c>
      <c r="B1685" s="10">
        <v>2023</v>
      </c>
      <c r="C1685" t="s">
        <v>1039</v>
      </c>
      <c r="D1685" t="s">
        <v>2472</v>
      </c>
      <c r="E1685" t="s">
        <v>2474</v>
      </c>
      <c r="F1685" t="s">
        <v>1917</v>
      </c>
      <c r="G1685" t="s">
        <v>1917</v>
      </c>
      <c r="H1685" s="10">
        <v>6854988</v>
      </c>
      <c r="I1685">
        <f>IFERROR(VLOOKUP(Final!F1685,'LEAID Match'!$A$2:$B$374,2,FALSE),"")</f>
        <v>407080</v>
      </c>
      <c r="K1685" s="10">
        <f t="shared" si="26"/>
        <v>6854988</v>
      </c>
    </row>
    <row r="1686" spans="1:11">
      <c r="A1686">
        <v>400600</v>
      </c>
      <c r="B1686" s="10">
        <v>2015</v>
      </c>
      <c r="C1686" t="s">
        <v>70</v>
      </c>
      <c r="D1686" t="s">
        <v>2472</v>
      </c>
      <c r="E1686" t="s">
        <v>2474</v>
      </c>
      <c r="F1686" t="s">
        <v>1495</v>
      </c>
      <c r="G1686" t="s">
        <v>17</v>
      </c>
      <c r="H1686" s="10">
        <v>6539212</v>
      </c>
      <c r="I1686">
        <f>IFERROR(VLOOKUP(Final!F1686,'LEAID Match'!$A$2:$B$374,2,FALSE),"")</f>
        <v>400600</v>
      </c>
      <c r="K1686" s="10">
        <f t="shared" si="26"/>
        <v>6539212</v>
      </c>
    </row>
    <row r="1687" spans="1:11">
      <c r="A1687">
        <v>400600</v>
      </c>
      <c r="B1687" s="10">
        <v>2016</v>
      </c>
      <c r="C1687" t="s">
        <v>70</v>
      </c>
      <c r="D1687" t="s">
        <v>2472</v>
      </c>
      <c r="E1687" t="s">
        <v>2474</v>
      </c>
      <c r="F1687" t="s">
        <v>1495</v>
      </c>
      <c r="G1687" t="s">
        <v>17</v>
      </c>
      <c r="H1687" s="10">
        <v>6800523</v>
      </c>
      <c r="I1687">
        <f>IFERROR(VLOOKUP(Final!F1687,'LEAID Match'!$A$2:$B$374,2,FALSE),"")</f>
        <v>400600</v>
      </c>
      <c r="K1687" s="10">
        <f t="shared" si="26"/>
        <v>6800523</v>
      </c>
    </row>
    <row r="1688" spans="1:11">
      <c r="A1688">
        <v>400600</v>
      </c>
      <c r="B1688" s="10">
        <v>2017</v>
      </c>
      <c r="C1688" t="s">
        <v>70</v>
      </c>
      <c r="D1688" t="s">
        <v>2472</v>
      </c>
      <c r="E1688" t="s">
        <v>2474</v>
      </c>
      <c r="F1688" t="s">
        <v>1495</v>
      </c>
      <c r="G1688" t="s">
        <v>1495</v>
      </c>
      <c r="H1688" s="10">
        <v>7055809</v>
      </c>
      <c r="I1688">
        <f>IFERROR(VLOOKUP(Final!F1688,'LEAID Match'!$A$2:$B$374,2,FALSE),"")</f>
        <v>400600</v>
      </c>
      <c r="K1688" s="10">
        <f t="shared" si="26"/>
        <v>7055809</v>
      </c>
    </row>
    <row r="1689" spans="1:11">
      <c r="A1689">
        <v>400600</v>
      </c>
      <c r="B1689" s="10">
        <v>2018</v>
      </c>
      <c r="C1689" t="s">
        <v>70</v>
      </c>
      <c r="D1689" t="s">
        <v>2472</v>
      </c>
      <c r="E1689" t="s">
        <v>2474</v>
      </c>
      <c r="F1689" t="s">
        <v>1495</v>
      </c>
      <c r="G1689" t="s">
        <v>1495</v>
      </c>
      <c r="H1689" s="10">
        <v>7057014</v>
      </c>
      <c r="I1689">
        <f>IFERROR(VLOOKUP(Final!F1689,'LEAID Match'!$A$2:$B$374,2,FALSE),"")</f>
        <v>400600</v>
      </c>
      <c r="K1689" s="10">
        <f t="shared" si="26"/>
        <v>7057014</v>
      </c>
    </row>
    <row r="1690" spans="1:11">
      <c r="A1690">
        <v>400600</v>
      </c>
      <c r="B1690" s="10">
        <v>2019</v>
      </c>
      <c r="C1690" t="s">
        <v>70</v>
      </c>
      <c r="D1690" t="s">
        <v>2472</v>
      </c>
      <c r="E1690" t="s">
        <v>2474</v>
      </c>
      <c r="F1690" t="s">
        <v>1495</v>
      </c>
      <c r="G1690" t="s">
        <v>1495</v>
      </c>
      <c r="H1690" s="10">
        <v>7580376</v>
      </c>
      <c r="I1690">
        <f>IFERROR(VLOOKUP(Final!F1690,'LEAID Match'!$A$2:$B$374,2,FALSE),"")</f>
        <v>400600</v>
      </c>
      <c r="K1690" s="10">
        <f t="shared" si="26"/>
        <v>7580376</v>
      </c>
    </row>
    <row r="1691" spans="1:11">
      <c r="A1691">
        <v>400600</v>
      </c>
      <c r="B1691" s="10">
        <v>2020</v>
      </c>
      <c r="C1691" t="s">
        <v>70</v>
      </c>
      <c r="D1691" t="s">
        <v>2472</v>
      </c>
      <c r="E1691" t="s">
        <v>2474</v>
      </c>
      <c r="F1691" t="s">
        <v>1495</v>
      </c>
      <c r="G1691" t="s">
        <v>1495</v>
      </c>
      <c r="H1691" s="10">
        <v>7582478</v>
      </c>
      <c r="I1691">
        <f>IFERROR(VLOOKUP(Final!F1691,'LEAID Match'!$A$2:$B$374,2,FALSE),"")</f>
        <v>400600</v>
      </c>
      <c r="K1691" s="10">
        <f t="shared" si="26"/>
        <v>7582478</v>
      </c>
    </row>
    <row r="1692" spans="1:11">
      <c r="A1692">
        <v>400600</v>
      </c>
      <c r="B1692" s="10">
        <v>2021</v>
      </c>
      <c r="C1692" t="s">
        <v>70</v>
      </c>
      <c r="D1692" t="s">
        <v>2472</v>
      </c>
      <c r="E1692" t="s">
        <v>2474</v>
      </c>
      <c r="F1692" t="s">
        <v>1495</v>
      </c>
      <c r="G1692" t="s">
        <v>1495</v>
      </c>
      <c r="H1692" s="10">
        <v>7902760</v>
      </c>
      <c r="I1692">
        <f>IFERROR(VLOOKUP(Final!F1692,'LEAID Match'!$A$2:$B$374,2,FALSE),"")</f>
        <v>400600</v>
      </c>
      <c r="K1692" s="10">
        <f t="shared" si="26"/>
        <v>7902760</v>
      </c>
    </row>
    <row r="1693" spans="1:11">
      <c r="A1693">
        <v>400600</v>
      </c>
      <c r="B1693" s="10">
        <v>2022</v>
      </c>
      <c r="C1693" t="s">
        <v>70</v>
      </c>
      <c r="D1693" t="s">
        <v>2472</v>
      </c>
      <c r="E1693" t="s">
        <v>2474</v>
      </c>
      <c r="F1693" t="s">
        <v>1495</v>
      </c>
      <c r="G1693" t="s">
        <v>1495</v>
      </c>
      <c r="H1693" s="10">
        <v>8716981</v>
      </c>
      <c r="I1693">
        <f>IFERROR(VLOOKUP(Final!F1693,'LEAID Match'!$A$2:$B$374,2,FALSE),"")</f>
        <v>400600</v>
      </c>
      <c r="K1693" s="10">
        <f t="shared" si="26"/>
        <v>8716981</v>
      </c>
    </row>
    <row r="1694" spans="1:11">
      <c r="A1694">
        <v>400600</v>
      </c>
      <c r="B1694" s="10">
        <v>2023</v>
      </c>
      <c r="C1694" t="s">
        <v>70</v>
      </c>
      <c r="D1694" t="s">
        <v>2472</v>
      </c>
      <c r="E1694" t="s">
        <v>2474</v>
      </c>
      <c r="F1694" t="s">
        <v>1495</v>
      </c>
      <c r="G1694" t="s">
        <v>1495</v>
      </c>
      <c r="H1694" s="10">
        <v>9382965</v>
      </c>
      <c r="I1694">
        <f>IFERROR(VLOOKUP(Final!F1694,'LEAID Match'!$A$2:$B$374,2,FALSE),"")</f>
        <v>400600</v>
      </c>
      <c r="K1694" s="10">
        <f t="shared" si="26"/>
        <v>9382965</v>
      </c>
    </row>
    <row r="1695" spans="1:11">
      <c r="A1695">
        <v>405930</v>
      </c>
      <c r="B1695" s="10">
        <v>2015</v>
      </c>
      <c r="C1695" t="s">
        <v>911</v>
      </c>
      <c r="D1695" t="s">
        <v>2472</v>
      </c>
      <c r="E1695" t="s">
        <v>2474</v>
      </c>
      <c r="F1695" t="s">
        <v>1855</v>
      </c>
      <c r="G1695" t="s">
        <v>856</v>
      </c>
      <c r="H1695" s="10">
        <v>15235739</v>
      </c>
      <c r="I1695">
        <f>IFERROR(VLOOKUP(Final!F1695,'LEAID Match'!$A$2:$B$374,2,FALSE),"")</f>
        <v>405930</v>
      </c>
      <c r="K1695" s="10">
        <f t="shared" si="26"/>
        <v>15235739</v>
      </c>
    </row>
    <row r="1696" spans="1:11">
      <c r="A1696">
        <v>405930</v>
      </c>
      <c r="B1696" s="10">
        <v>2016</v>
      </c>
      <c r="C1696" t="s">
        <v>911</v>
      </c>
      <c r="D1696" t="s">
        <v>2472</v>
      </c>
      <c r="E1696" t="s">
        <v>2474</v>
      </c>
      <c r="F1696" t="s">
        <v>1855</v>
      </c>
      <c r="G1696" t="s">
        <v>856</v>
      </c>
      <c r="H1696" s="10">
        <v>15272294</v>
      </c>
      <c r="I1696">
        <f>IFERROR(VLOOKUP(Final!F1696,'LEAID Match'!$A$2:$B$374,2,FALSE),"")</f>
        <v>405930</v>
      </c>
      <c r="K1696" s="10">
        <f t="shared" si="26"/>
        <v>15272294</v>
      </c>
    </row>
    <row r="1697" spans="1:11">
      <c r="A1697">
        <v>405930</v>
      </c>
      <c r="B1697" s="10">
        <v>2017</v>
      </c>
      <c r="C1697" t="s">
        <v>911</v>
      </c>
      <c r="D1697" t="s">
        <v>2472</v>
      </c>
      <c r="E1697" t="s">
        <v>2474</v>
      </c>
      <c r="F1697" t="s">
        <v>1855</v>
      </c>
      <c r="G1697" t="s">
        <v>1855</v>
      </c>
      <c r="H1697" s="10">
        <v>16220132</v>
      </c>
      <c r="I1697">
        <f>IFERROR(VLOOKUP(Final!F1697,'LEAID Match'!$A$2:$B$374,2,FALSE),"")</f>
        <v>405930</v>
      </c>
      <c r="K1697" s="10">
        <f t="shared" si="26"/>
        <v>16220132</v>
      </c>
    </row>
    <row r="1698" spans="1:11">
      <c r="A1698">
        <v>405930</v>
      </c>
      <c r="B1698" s="10">
        <v>2018</v>
      </c>
      <c r="C1698" t="s">
        <v>911</v>
      </c>
      <c r="D1698" t="s">
        <v>2472</v>
      </c>
      <c r="E1698" t="s">
        <v>2474</v>
      </c>
      <c r="F1698" t="s">
        <v>1855</v>
      </c>
      <c r="G1698" t="s">
        <v>2266</v>
      </c>
      <c r="H1698" s="10">
        <v>15394863</v>
      </c>
      <c r="I1698">
        <f>IFERROR(VLOOKUP(Final!F1698,'LEAID Match'!$A$2:$B$374,2,FALSE),"")</f>
        <v>405930</v>
      </c>
      <c r="K1698" s="10">
        <f t="shared" si="26"/>
        <v>15394863</v>
      </c>
    </row>
    <row r="1699" spans="1:11">
      <c r="A1699">
        <v>405930</v>
      </c>
      <c r="B1699" s="10">
        <v>2019</v>
      </c>
      <c r="C1699" t="s">
        <v>911</v>
      </c>
      <c r="D1699" t="s">
        <v>2472</v>
      </c>
      <c r="E1699" t="s">
        <v>2474</v>
      </c>
      <c r="F1699" t="s">
        <v>1855</v>
      </c>
      <c r="G1699" t="s">
        <v>1855</v>
      </c>
      <c r="H1699" s="10">
        <v>17868322</v>
      </c>
      <c r="I1699">
        <f>IFERROR(VLOOKUP(Final!F1699,'LEAID Match'!$A$2:$B$374,2,FALSE),"")</f>
        <v>405930</v>
      </c>
      <c r="K1699" s="10">
        <f t="shared" si="26"/>
        <v>17868322</v>
      </c>
    </row>
    <row r="1700" spans="1:11">
      <c r="A1700">
        <v>405930</v>
      </c>
      <c r="B1700" s="10">
        <v>2020</v>
      </c>
      <c r="C1700" t="s">
        <v>911</v>
      </c>
      <c r="D1700" t="s">
        <v>2472</v>
      </c>
      <c r="E1700" t="s">
        <v>2474</v>
      </c>
      <c r="F1700" t="s">
        <v>1855</v>
      </c>
      <c r="G1700" t="s">
        <v>1855</v>
      </c>
      <c r="H1700" s="10">
        <v>19107676</v>
      </c>
      <c r="I1700">
        <f>IFERROR(VLOOKUP(Final!F1700,'LEAID Match'!$A$2:$B$374,2,FALSE),"")</f>
        <v>405930</v>
      </c>
      <c r="K1700" s="10">
        <f t="shared" si="26"/>
        <v>19107676</v>
      </c>
    </row>
    <row r="1701" spans="1:11">
      <c r="A1701">
        <v>405930</v>
      </c>
      <c r="B1701" s="10">
        <v>2021</v>
      </c>
      <c r="C1701" t="s">
        <v>911</v>
      </c>
      <c r="D1701" t="s">
        <v>2472</v>
      </c>
      <c r="E1701" t="s">
        <v>2474</v>
      </c>
      <c r="F1701" t="s">
        <v>1855</v>
      </c>
      <c r="G1701" t="s">
        <v>1855</v>
      </c>
      <c r="H1701" s="10">
        <v>20146129</v>
      </c>
      <c r="I1701">
        <f>IFERROR(VLOOKUP(Final!F1701,'LEAID Match'!$A$2:$B$374,2,FALSE),"")</f>
        <v>405930</v>
      </c>
      <c r="K1701" s="10">
        <f t="shared" si="26"/>
        <v>20146129</v>
      </c>
    </row>
    <row r="1702" spans="1:11">
      <c r="A1702">
        <v>405930</v>
      </c>
      <c r="B1702" s="10">
        <v>2022</v>
      </c>
      <c r="C1702" t="s">
        <v>911</v>
      </c>
      <c r="D1702" t="s">
        <v>2472</v>
      </c>
      <c r="E1702" t="s">
        <v>2474</v>
      </c>
      <c r="F1702" t="s">
        <v>1855</v>
      </c>
      <c r="G1702" t="s">
        <v>1855</v>
      </c>
      <c r="H1702" s="10">
        <v>22256385</v>
      </c>
      <c r="I1702">
        <f>IFERROR(VLOOKUP(Final!F1702,'LEAID Match'!$A$2:$B$374,2,FALSE),"")</f>
        <v>405930</v>
      </c>
      <c r="K1702" s="10">
        <f t="shared" si="26"/>
        <v>22256385</v>
      </c>
    </row>
    <row r="1703" spans="1:11">
      <c r="A1703">
        <v>405930</v>
      </c>
      <c r="B1703" s="10">
        <v>2023</v>
      </c>
      <c r="C1703" t="s">
        <v>911</v>
      </c>
      <c r="D1703" t="s">
        <v>2472</v>
      </c>
      <c r="E1703" t="s">
        <v>2474</v>
      </c>
      <c r="F1703" t="s">
        <v>1855</v>
      </c>
      <c r="G1703" t="s">
        <v>1855</v>
      </c>
      <c r="H1703" s="10">
        <v>23011988</v>
      </c>
      <c r="I1703">
        <f>IFERROR(VLOOKUP(Final!F1703,'LEAID Match'!$A$2:$B$374,2,FALSE),"")</f>
        <v>405930</v>
      </c>
      <c r="K1703" s="10">
        <f t="shared" si="26"/>
        <v>23011988</v>
      </c>
    </row>
    <row r="1704" spans="1:11">
      <c r="A1704">
        <v>407680</v>
      </c>
      <c r="B1704" s="10">
        <v>2015</v>
      </c>
      <c r="C1704" t="s">
        <v>1118</v>
      </c>
      <c r="D1704" t="s">
        <v>2472</v>
      </c>
      <c r="E1704" t="s">
        <v>2474</v>
      </c>
      <c r="F1704" t="s">
        <v>2411</v>
      </c>
      <c r="G1704" t="s">
        <v>1063</v>
      </c>
      <c r="H1704" s="10">
        <v>45026</v>
      </c>
      <c r="I1704">
        <f>IFERROR(VLOOKUP(Final!F1704,'LEAID Match'!$A$2:$B$374,2,FALSE),"")</f>
        <v>407680</v>
      </c>
      <c r="K1704" s="10">
        <f t="shared" si="26"/>
        <v>45026</v>
      </c>
    </row>
    <row r="1705" spans="1:11">
      <c r="A1705">
        <v>407680</v>
      </c>
      <c r="B1705" s="10">
        <v>2016</v>
      </c>
      <c r="C1705" t="s">
        <v>1118</v>
      </c>
      <c r="D1705" t="s">
        <v>2472</v>
      </c>
      <c r="E1705" t="s">
        <v>2474</v>
      </c>
      <c r="F1705" t="s">
        <v>2411</v>
      </c>
      <c r="G1705" t="s">
        <v>1063</v>
      </c>
      <c r="H1705" s="10">
        <v>40777</v>
      </c>
      <c r="I1705">
        <f>IFERROR(VLOOKUP(Final!F1705,'LEAID Match'!$A$2:$B$374,2,FALSE),"")</f>
        <v>407680</v>
      </c>
      <c r="K1705" s="10">
        <f t="shared" si="26"/>
        <v>40777</v>
      </c>
    </row>
    <row r="1706" spans="1:11">
      <c r="A1706">
        <v>407680</v>
      </c>
      <c r="B1706" s="10">
        <v>2017</v>
      </c>
      <c r="C1706" t="s">
        <v>1118</v>
      </c>
      <c r="D1706" t="s">
        <v>2472</v>
      </c>
      <c r="E1706" t="s">
        <v>2474</v>
      </c>
      <c r="F1706" t="s">
        <v>2411</v>
      </c>
      <c r="G1706" t="s">
        <v>1945</v>
      </c>
      <c r="H1706" s="10">
        <v>46942</v>
      </c>
      <c r="I1706">
        <f>IFERROR(VLOOKUP(Final!F1706,'LEAID Match'!$A$2:$B$374,2,FALSE),"")</f>
        <v>407680</v>
      </c>
      <c r="K1706" s="10">
        <f t="shared" si="26"/>
        <v>46942</v>
      </c>
    </row>
    <row r="1707" spans="1:11">
      <c r="A1707">
        <v>407680</v>
      </c>
      <c r="B1707" s="10">
        <v>2018</v>
      </c>
      <c r="C1707" t="s">
        <v>1118</v>
      </c>
      <c r="D1707" t="s">
        <v>2472</v>
      </c>
      <c r="E1707" t="s">
        <v>2474</v>
      </c>
      <c r="F1707" t="s">
        <v>2411</v>
      </c>
      <c r="G1707" t="s">
        <v>1945</v>
      </c>
      <c r="H1707" s="10">
        <v>45408</v>
      </c>
      <c r="I1707">
        <f>IFERROR(VLOOKUP(Final!F1707,'LEAID Match'!$A$2:$B$374,2,FALSE),"")</f>
        <v>407680</v>
      </c>
      <c r="K1707" s="10">
        <f t="shared" si="26"/>
        <v>45408</v>
      </c>
    </row>
    <row r="1708" spans="1:11">
      <c r="A1708">
        <v>407680</v>
      </c>
      <c r="B1708" s="10">
        <v>2019</v>
      </c>
      <c r="C1708" t="s">
        <v>1118</v>
      </c>
      <c r="D1708" t="s">
        <v>2472</v>
      </c>
      <c r="E1708" t="s">
        <v>2474</v>
      </c>
      <c r="F1708" t="s">
        <v>2411</v>
      </c>
      <c r="G1708" t="s">
        <v>1945</v>
      </c>
      <c r="H1708" s="10">
        <v>47999</v>
      </c>
      <c r="I1708">
        <f>IFERROR(VLOOKUP(Final!F1708,'LEAID Match'!$A$2:$B$374,2,FALSE),"")</f>
        <v>407680</v>
      </c>
      <c r="K1708" s="10">
        <f t="shared" si="26"/>
        <v>47999</v>
      </c>
    </row>
    <row r="1709" spans="1:11">
      <c r="A1709">
        <v>407680</v>
      </c>
      <c r="B1709" s="10">
        <v>2020</v>
      </c>
      <c r="C1709" t="s">
        <v>1118</v>
      </c>
      <c r="D1709" t="s">
        <v>2472</v>
      </c>
      <c r="E1709" t="s">
        <v>2474</v>
      </c>
      <c r="F1709" t="s">
        <v>2411</v>
      </c>
      <c r="G1709" t="s">
        <v>2411</v>
      </c>
      <c r="H1709" s="10">
        <v>56662</v>
      </c>
      <c r="I1709">
        <f>IFERROR(VLOOKUP(Final!F1709,'LEAID Match'!$A$2:$B$374,2,FALSE),"")</f>
        <v>407680</v>
      </c>
      <c r="K1709" s="10">
        <f t="shared" si="26"/>
        <v>56662</v>
      </c>
    </row>
    <row r="1710" spans="1:11">
      <c r="A1710">
        <v>407680</v>
      </c>
      <c r="B1710" s="10">
        <v>2021</v>
      </c>
      <c r="C1710" t="s">
        <v>1118</v>
      </c>
      <c r="D1710" t="s">
        <v>2472</v>
      </c>
      <c r="E1710" t="s">
        <v>2474</v>
      </c>
      <c r="F1710" t="s">
        <v>2411</v>
      </c>
      <c r="G1710" t="s">
        <v>2411</v>
      </c>
      <c r="H1710" s="10">
        <v>52176</v>
      </c>
      <c r="I1710">
        <f>IFERROR(VLOOKUP(Final!F1710,'LEAID Match'!$A$2:$B$374,2,FALSE),"")</f>
        <v>407680</v>
      </c>
      <c r="K1710" s="10">
        <f t="shared" si="26"/>
        <v>52176</v>
      </c>
    </row>
    <row r="1711" spans="1:11">
      <c r="A1711">
        <v>407680</v>
      </c>
      <c r="B1711" s="10">
        <v>2022</v>
      </c>
      <c r="C1711" t="s">
        <v>1118</v>
      </c>
      <c r="D1711" t="s">
        <v>2472</v>
      </c>
      <c r="E1711" t="s">
        <v>2474</v>
      </c>
      <c r="F1711" t="s">
        <v>2411</v>
      </c>
      <c r="G1711" t="s">
        <v>2411</v>
      </c>
      <c r="H1711" s="10">
        <v>70620</v>
      </c>
      <c r="I1711">
        <f>IFERROR(VLOOKUP(Final!F1711,'LEAID Match'!$A$2:$B$374,2,FALSE),"")</f>
        <v>407680</v>
      </c>
      <c r="K1711" s="10">
        <f t="shared" si="26"/>
        <v>70620</v>
      </c>
    </row>
    <row r="1712" spans="1:11">
      <c r="A1712">
        <v>407680</v>
      </c>
      <c r="B1712" s="10">
        <v>2023</v>
      </c>
      <c r="C1712" t="s">
        <v>1118</v>
      </c>
      <c r="D1712" t="s">
        <v>2472</v>
      </c>
      <c r="E1712" t="s">
        <v>2474</v>
      </c>
      <c r="F1712" t="s">
        <v>2411</v>
      </c>
      <c r="G1712" t="s">
        <v>2411</v>
      </c>
      <c r="H1712" s="10">
        <v>68426</v>
      </c>
      <c r="I1712">
        <f>IFERROR(VLOOKUP(Final!F1712,'LEAID Match'!$A$2:$B$374,2,FALSE),"")</f>
        <v>407680</v>
      </c>
      <c r="K1712" s="10">
        <f t="shared" si="26"/>
        <v>68426</v>
      </c>
    </row>
    <row r="1713" spans="1:11">
      <c r="A1713">
        <v>405340</v>
      </c>
      <c r="B1713" s="10">
        <v>2015</v>
      </c>
      <c r="C1713" t="s">
        <v>813</v>
      </c>
      <c r="D1713" t="s">
        <v>2472</v>
      </c>
      <c r="E1713" t="s">
        <v>2474</v>
      </c>
      <c r="F1713" t="s">
        <v>1819</v>
      </c>
      <c r="G1713" t="s">
        <v>758</v>
      </c>
      <c r="H1713" s="10">
        <v>77266</v>
      </c>
      <c r="I1713">
        <f>IFERROR(VLOOKUP(Final!F1713,'LEAID Match'!$A$2:$B$374,2,FALSE),"")</f>
        <v>405340</v>
      </c>
      <c r="K1713" s="10">
        <f t="shared" si="26"/>
        <v>77266</v>
      </c>
    </row>
    <row r="1714" spans="1:11">
      <c r="A1714">
        <v>405340</v>
      </c>
      <c r="B1714" s="10">
        <v>2016</v>
      </c>
      <c r="C1714" t="s">
        <v>813</v>
      </c>
      <c r="D1714" t="s">
        <v>2472</v>
      </c>
      <c r="E1714" t="s">
        <v>2474</v>
      </c>
      <c r="F1714" t="s">
        <v>1819</v>
      </c>
      <c r="G1714" t="s">
        <v>758</v>
      </c>
      <c r="H1714" s="10">
        <v>82961</v>
      </c>
      <c r="I1714">
        <f>IFERROR(VLOOKUP(Final!F1714,'LEAID Match'!$A$2:$B$374,2,FALSE),"")</f>
        <v>405340</v>
      </c>
      <c r="K1714" s="10">
        <f t="shared" si="26"/>
        <v>82961</v>
      </c>
    </row>
    <row r="1715" spans="1:11">
      <c r="A1715">
        <v>405340</v>
      </c>
      <c r="B1715" s="10">
        <v>2017</v>
      </c>
      <c r="C1715" t="s">
        <v>813</v>
      </c>
      <c r="D1715" t="s">
        <v>2472</v>
      </c>
      <c r="E1715" t="s">
        <v>2474</v>
      </c>
      <c r="F1715" t="s">
        <v>1819</v>
      </c>
      <c r="G1715" t="s">
        <v>1819</v>
      </c>
      <c r="H1715" s="10">
        <v>87527</v>
      </c>
      <c r="I1715">
        <f>IFERROR(VLOOKUP(Final!F1715,'LEAID Match'!$A$2:$B$374,2,FALSE),"")</f>
        <v>405340</v>
      </c>
      <c r="K1715" s="10">
        <f t="shared" si="26"/>
        <v>87527</v>
      </c>
    </row>
    <row r="1716" spans="1:11">
      <c r="A1716">
        <v>405340</v>
      </c>
      <c r="B1716" s="10">
        <v>2018</v>
      </c>
      <c r="C1716" t="s">
        <v>813</v>
      </c>
      <c r="D1716" t="s">
        <v>2472</v>
      </c>
      <c r="E1716" t="s">
        <v>2474</v>
      </c>
      <c r="F1716" t="s">
        <v>1819</v>
      </c>
      <c r="G1716" t="s">
        <v>2245</v>
      </c>
      <c r="H1716" s="10">
        <v>70655</v>
      </c>
      <c r="I1716">
        <f>IFERROR(VLOOKUP(Final!F1716,'LEAID Match'!$A$2:$B$374,2,FALSE),"")</f>
        <v>405340</v>
      </c>
      <c r="K1716" s="10">
        <f t="shared" si="26"/>
        <v>70655</v>
      </c>
    </row>
    <row r="1717" spans="1:11">
      <c r="A1717">
        <v>405340</v>
      </c>
      <c r="B1717" s="10">
        <v>2019</v>
      </c>
      <c r="C1717" t="s">
        <v>813</v>
      </c>
      <c r="D1717" t="s">
        <v>2472</v>
      </c>
      <c r="E1717" t="s">
        <v>2474</v>
      </c>
      <c r="F1717" t="s">
        <v>1819</v>
      </c>
      <c r="G1717" t="s">
        <v>1819</v>
      </c>
      <c r="H1717" s="10">
        <v>88427</v>
      </c>
      <c r="I1717">
        <f>IFERROR(VLOOKUP(Final!F1717,'LEAID Match'!$A$2:$B$374,2,FALSE),"")</f>
        <v>405340</v>
      </c>
      <c r="K1717" s="10">
        <f t="shared" si="26"/>
        <v>88427</v>
      </c>
    </row>
    <row r="1718" spans="1:11">
      <c r="A1718">
        <v>405340</v>
      </c>
      <c r="B1718" s="10">
        <v>2020</v>
      </c>
      <c r="C1718" t="s">
        <v>813</v>
      </c>
      <c r="D1718" t="s">
        <v>2472</v>
      </c>
      <c r="E1718" t="s">
        <v>2474</v>
      </c>
      <c r="F1718" t="s">
        <v>1819</v>
      </c>
      <c r="G1718" t="s">
        <v>1819</v>
      </c>
      <c r="H1718" s="10">
        <v>90848</v>
      </c>
      <c r="I1718">
        <f>IFERROR(VLOOKUP(Final!F1718,'LEAID Match'!$A$2:$B$374,2,FALSE),"")</f>
        <v>405340</v>
      </c>
      <c r="K1718" s="10">
        <f t="shared" si="26"/>
        <v>90848</v>
      </c>
    </row>
    <row r="1719" spans="1:11">
      <c r="A1719">
        <v>405340</v>
      </c>
      <c r="B1719" s="10">
        <v>2021</v>
      </c>
      <c r="C1719" t="s">
        <v>813</v>
      </c>
      <c r="D1719" t="s">
        <v>2472</v>
      </c>
      <c r="E1719" t="s">
        <v>2474</v>
      </c>
      <c r="F1719" t="s">
        <v>1819</v>
      </c>
      <c r="G1719" t="s">
        <v>1819</v>
      </c>
      <c r="H1719" s="10">
        <v>109892</v>
      </c>
      <c r="I1719">
        <f>IFERROR(VLOOKUP(Final!F1719,'LEAID Match'!$A$2:$B$374,2,FALSE),"")</f>
        <v>405340</v>
      </c>
      <c r="K1719" s="10">
        <f t="shared" si="26"/>
        <v>109892</v>
      </c>
    </row>
    <row r="1720" spans="1:11">
      <c r="A1720">
        <v>405340</v>
      </c>
      <c r="B1720" s="10">
        <v>2022</v>
      </c>
      <c r="C1720" t="s">
        <v>813</v>
      </c>
      <c r="D1720" t="s">
        <v>2472</v>
      </c>
      <c r="E1720" t="s">
        <v>2474</v>
      </c>
      <c r="F1720" t="s">
        <v>1819</v>
      </c>
      <c r="G1720" t="s">
        <v>1819</v>
      </c>
      <c r="H1720" s="10">
        <v>127704</v>
      </c>
      <c r="I1720">
        <f>IFERROR(VLOOKUP(Final!F1720,'LEAID Match'!$A$2:$B$374,2,FALSE),"")</f>
        <v>405340</v>
      </c>
      <c r="K1720" s="10">
        <f t="shared" si="26"/>
        <v>127704</v>
      </c>
    </row>
    <row r="1721" spans="1:11">
      <c r="A1721">
        <v>405340</v>
      </c>
      <c r="B1721" s="10">
        <v>2023</v>
      </c>
      <c r="C1721" t="s">
        <v>813</v>
      </c>
      <c r="D1721" t="s">
        <v>2472</v>
      </c>
      <c r="E1721" t="s">
        <v>2474</v>
      </c>
      <c r="F1721" t="s">
        <v>1819</v>
      </c>
      <c r="G1721" t="s">
        <v>1819</v>
      </c>
      <c r="H1721" s="10">
        <v>138936</v>
      </c>
      <c r="I1721">
        <f>IFERROR(VLOOKUP(Final!F1721,'LEAID Match'!$A$2:$B$374,2,FALSE),"")</f>
        <v>405340</v>
      </c>
      <c r="K1721" s="10">
        <f t="shared" si="26"/>
        <v>138936</v>
      </c>
    </row>
    <row r="1722" spans="1:11">
      <c r="A1722">
        <v>404380</v>
      </c>
      <c r="B1722" s="10">
        <v>2015</v>
      </c>
      <c r="C1722" t="s">
        <v>773</v>
      </c>
      <c r="D1722" t="s">
        <v>2472</v>
      </c>
      <c r="E1722" t="s">
        <v>2474</v>
      </c>
      <c r="F1722" t="s">
        <v>1784</v>
      </c>
      <c r="G1722" t="s">
        <v>718</v>
      </c>
      <c r="H1722" s="10">
        <v>4599777</v>
      </c>
      <c r="I1722">
        <f>IFERROR(VLOOKUP(Final!F1722,'LEAID Match'!$A$2:$B$374,2,FALSE),"")</f>
        <v>404380</v>
      </c>
      <c r="K1722" s="10">
        <f t="shared" si="26"/>
        <v>4599777</v>
      </c>
    </row>
    <row r="1723" spans="1:11">
      <c r="A1723">
        <v>404380</v>
      </c>
      <c r="B1723" s="10">
        <v>2016</v>
      </c>
      <c r="C1723" t="s">
        <v>773</v>
      </c>
      <c r="D1723" t="s">
        <v>2472</v>
      </c>
      <c r="E1723" t="s">
        <v>2474</v>
      </c>
      <c r="F1723" t="s">
        <v>1784</v>
      </c>
      <c r="G1723" t="s">
        <v>718</v>
      </c>
      <c r="H1723" s="10">
        <v>4799916</v>
      </c>
      <c r="I1723">
        <f>IFERROR(VLOOKUP(Final!F1723,'LEAID Match'!$A$2:$B$374,2,FALSE),"")</f>
        <v>404380</v>
      </c>
      <c r="K1723" s="10">
        <f t="shared" si="26"/>
        <v>4799916</v>
      </c>
    </row>
    <row r="1724" spans="1:11">
      <c r="A1724">
        <v>404380</v>
      </c>
      <c r="B1724" s="10">
        <v>2017</v>
      </c>
      <c r="C1724" t="s">
        <v>773</v>
      </c>
      <c r="D1724" t="s">
        <v>2472</v>
      </c>
      <c r="E1724" t="s">
        <v>2474</v>
      </c>
      <c r="F1724" t="s">
        <v>1784</v>
      </c>
      <c r="G1724" t="s">
        <v>1784</v>
      </c>
      <c r="H1724" s="10">
        <v>5106671</v>
      </c>
      <c r="I1724">
        <f>IFERROR(VLOOKUP(Final!F1724,'LEAID Match'!$A$2:$B$374,2,FALSE),"")</f>
        <v>404380</v>
      </c>
      <c r="K1724" s="10">
        <f t="shared" si="26"/>
        <v>5106671</v>
      </c>
    </row>
    <row r="1725" spans="1:11">
      <c r="A1725">
        <v>404380</v>
      </c>
      <c r="B1725" s="10">
        <v>2018</v>
      </c>
      <c r="C1725" t="s">
        <v>773</v>
      </c>
      <c r="D1725" t="s">
        <v>2472</v>
      </c>
      <c r="E1725" t="s">
        <v>2474</v>
      </c>
      <c r="F1725" t="s">
        <v>1784</v>
      </c>
      <c r="G1725" t="s">
        <v>2223</v>
      </c>
      <c r="H1725" s="10">
        <v>5176139</v>
      </c>
      <c r="I1725">
        <f>IFERROR(VLOOKUP(Final!F1725,'LEAID Match'!$A$2:$B$374,2,FALSE),"")</f>
        <v>404380</v>
      </c>
      <c r="K1725" s="10">
        <f t="shared" si="26"/>
        <v>5176139</v>
      </c>
    </row>
    <row r="1726" spans="1:11">
      <c r="A1726">
        <v>404380</v>
      </c>
      <c r="B1726" s="10">
        <v>2019</v>
      </c>
      <c r="C1726" t="s">
        <v>773</v>
      </c>
      <c r="D1726" t="s">
        <v>2472</v>
      </c>
      <c r="E1726" t="s">
        <v>2474</v>
      </c>
      <c r="F1726" t="s">
        <v>1784</v>
      </c>
      <c r="G1726" t="s">
        <v>1784</v>
      </c>
      <c r="H1726" s="10">
        <v>6015099</v>
      </c>
      <c r="I1726">
        <f>IFERROR(VLOOKUP(Final!F1726,'LEAID Match'!$A$2:$B$374,2,FALSE),"")</f>
        <v>404380</v>
      </c>
      <c r="K1726" s="10">
        <f t="shared" si="26"/>
        <v>6015099</v>
      </c>
    </row>
    <row r="1727" spans="1:11">
      <c r="A1727">
        <v>404380</v>
      </c>
      <c r="B1727" s="10">
        <v>2020</v>
      </c>
      <c r="C1727" t="s">
        <v>773</v>
      </c>
      <c r="D1727" t="s">
        <v>2472</v>
      </c>
      <c r="E1727" t="s">
        <v>2474</v>
      </c>
      <c r="F1727" t="s">
        <v>1784</v>
      </c>
      <c r="G1727" t="s">
        <v>1784</v>
      </c>
      <c r="H1727" s="10">
        <v>6689082</v>
      </c>
      <c r="I1727">
        <f>IFERROR(VLOOKUP(Final!F1727,'LEAID Match'!$A$2:$B$374,2,FALSE),"")</f>
        <v>404380</v>
      </c>
      <c r="K1727" s="10">
        <f t="shared" si="26"/>
        <v>6689082</v>
      </c>
    </row>
    <row r="1728" spans="1:11">
      <c r="A1728">
        <v>404380</v>
      </c>
      <c r="B1728" s="10">
        <v>2021</v>
      </c>
      <c r="C1728" t="s">
        <v>773</v>
      </c>
      <c r="D1728" t="s">
        <v>2472</v>
      </c>
      <c r="E1728" t="s">
        <v>2474</v>
      </c>
      <c r="F1728" t="s">
        <v>1784</v>
      </c>
      <c r="G1728" t="s">
        <v>1784</v>
      </c>
      <c r="H1728" s="10">
        <v>6819502</v>
      </c>
      <c r="I1728">
        <f>IFERROR(VLOOKUP(Final!F1728,'LEAID Match'!$A$2:$B$374,2,FALSE),"")</f>
        <v>404380</v>
      </c>
      <c r="K1728" s="10">
        <f t="shared" si="26"/>
        <v>6819502</v>
      </c>
    </row>
    <row r="1729" spans="1:11">
      <c r="A1729">
        <v>404380</v>
      </c>
      <c r="B1729" s="10">
        <v>2022</v>
      </c>
      <c r="C1729" t="s">
        <v>773</v>
      </c>
      <c r="D1729" t="s">
        <v>2472</v>
      </c>
      <c r="E1729" t="s">
        <v>2474</v>
      </c>
      <c r="F1729" t="s">
        <v>1784</v>
      </c>
      <c r="G1729" t="s">
        <v>1784</v>
      </c>
      <c r="H1729" s="10">
        <v>7103875</v>
      </c>
      <c r="I1729">
        <f>IFERROR(VLOOKUP(Final!F1729,'LEAID Match'!$A$2:$B$374,2,FALSE),"")</f>
        <v>404380</v>
      </c>
      <c r="K1729" s="10">
        <f t="shared" si="26"/>
        <v>7103875</v>
      </c>
    </row>
    <row r="1730" spans="1:11">
      <c r="A1730">
        <v>404380</v>
      </c>
      <c r="B1730" s="10">
        <v>2023</v>
      </c>
      <c r="C1730" t="s">
        <v>773</v>
      </c>
      <c r="D1730" t="s">
        <v>2472</v>
      </c>
      <c r="E1730" t="s">
        <v>2474</v>
      </c>
      <c r="F1730" t="s">
        <v>1784</v>
      </c>
      <c r="G1730" t="s">
        <v>1784</v>
      </c>
      <c r="H1730" s="10">
        <v>7864518</v>
      </c>
      <c r="I1730">
        <f>IFERROR(VLOOKUP(Final!F1730,'LEAID Match'!$A$2:$B$374,2,FALSE),"")</f>
        <v>404380</v>
      </c>
      <c r="K1730" s="10">
        <f t="shared" si="26"/>
        <v>7864518</v>
      </c>
    </row>
    <row r="1731" spans="1:11">
      <c r="A1731">
        <v>401870</v>
      </c>
      <c r="B1731" s="10">
        <v>2015</v>
      </c>
      <c r="C1731" t="s">
        <v>360</v>
      </c>
      <c r="D1731" t="s">
        <v>2472</v>
      </c>
      <c r="E1731" t="s">
        <v>2474</v>
      </c>
      <c r="F1731" t="s">
        <v>1653</v>
      </c>
      <c r="G1731" t="s">
        <v>306</v>
      </c>
      <c r="H1731" s="10">
        <v>19473225</v>
      </c>
      <c r="I1731">
        <f>IFERROR(VLOOKUP(Final!F1731,'LEAID Match'!$A$2:$B$374,2,FALSE),"")</f>
        <v>401870</v>
      </c>
      <c r="K1731" s="10">
        <f t="shared" ref="K1731:K1794" si="27">SUM(H1731,J1731)</f>
        <v>19473225</v>
      </c>
    </row>
    <row r="1732" spans="1:11">
      <c r="A1732">
        <v>401870</v>
      </c>
      <c r="B1732" s="10">
        <v>2016</v>
      </c>
      <c r="C1732" t="s">
        <v>360</v>
      </c>
      <c r="D1732" t="s">
        <v>2472</v>
      </c>
      <c r="E1732" t="s">
        <v>2474</v>
      </c>
      <c r="F1732" t="s">
        <v>1653</v>
      </c>
      <c r="G1732" t="s">
        <v>306</v>
      </c>
      <c r="H1732" s="10">
        <v>21055705</v>
      </c>
      <c r="I1732">
        <f>IFERROR(VLOOKUP(Final!F1732,'LEAID Match'!$A$2:$B$374,2,FALSE),"")</f>
        <v>401870</v>
      </c>
      <c r="K1732" s="10">
        <f t="shared" si="27"/>
        <v>21055705</v>
      </c>
    </row>
    <row r="1733" spans="1:11">
      <c r="A1733">
        <v>401870</v>
      </c>
      <c r="B1733" s="10">
        <v>2017</v>
      </c>
      <c r="C1733" t="s">
        <v>360</v>
      </c>
      <c r="D1733" t="s">
        <v>2472</v>
      </c>
      <c r="E1733" t="s">
        <v>2474</v>
      </c>
      <c r="F1733" t="s">
        <v>1653</v>
      </c>
      <c r="G1733" t="s">
        <v>1653</v>
      </c>
      <c r="H1733" s="10">
        <v>22018032</v>
      </c>
      <c r="I1733">
        <f>IFERROR(VLOOKUP(Final!F1733,'LEAID Match'!$A$2:$B$374,2,FALSE),"")</f>
        <v>401870</v>
      </c>
      <c r="K1733" s="10">
        <f t="shared" si="27"/>
        <v>22018032</v>
      </c>
    </row>
    <row r="1734" spans="1:11">
      <c r="A1734">
        <v>401870</v>
      </c>
      <c r="B1734" s="10">
        <v>2018</v>
      </c>
      <c r="C1734" t="s">
        <v>360</v>
      </c>
      <c r="D1734" t="s">
        <v>2472</v>
      </c>
      <c r="E1734" t="s">
        <v>2474</v>
      </c>
      <c r="F1734" t="s">
        <v>1653</v>
      </c>
      <c r="G1734" t="s">
        <v>2149</v>
      </c>
      <c r="H1734" s="10">
        <v>23281675</v>
      </c>
      <c r="I1734">
        <f>IFERROR(VLOOKUP(Final!F1734,'LEAID Match'!$A$2:$B$374,2,FALSE),"")</f>
        <v>401870</v>
      </c>
      <c r="K1734" s="10">
        <f t="shared" si="27"/>
        <v>23281675</v>
      </c>
    </row>
    <row r="1735" spans="1:11">
      <c r="A1735">
        <v>401870</v>
      </c>
      <c r="B1735" s="10">
        <v>2019</v>
      </c>
      <c r="C1735" t="s">
        <v>360</v>
      </c>
      <c r="D1735" t="s">
        <v>2472</v>
      </c>
      <c r="E1735" t="s">
        <v>2474</v>
      </c>
      <c r="F1735" t="s">
        <v>1653</v>
      </c>
      <c r="G1735" t="s">
        <v>1653</v>
      </c>
      <c r="H1735" s="10">
        <v>26430198</v>
      </c>
      <c r="I1735">
        <f>IFERROR(VLOOKUP(Final!F1735,'LEAID Match'!$A$2:$B$374,2,FALSE),"")</f>
        <v>401870</v>
      </c>
      <c r="K1735" s="10">
        <f t="shared" si="27"/>
        <v>26430198</v>
      </c>
    </row>
    <row r="1736" spans="1:11">
      <c r="A1736">
        <v>401870</v>
      </c>
      <c r="B1736" s="10">
        <v>2020</v>
      </c>
      <c r="C1736" t="s">
        <v>360</v>
      </c>
      <c r="D1736" t="s">
        <v>2472</v>
      </c>
      <c r="E1736" t="s">
        <v>2474</v>
      </c>
      <c r="F1736" t="s">
        <v>1653</v>
      </c>
      <c r="G1736" t="s">
        <v>1653</v>
      </c>
      <c r="H1736" s="10">
        <v>28306252</v>
      </c>
      <c r="I1736">
        <f>IFERROR(VLOOKUP(Final!F1736,'LEAID Match'!$A$2:$B$374,2,FALSE),"")</f>
        <v>401870</v>
      </c>
      <c r="K1736" s="10">
        <f t="shared" si="27"/>
        <v>28306252</v>
      </c>
    </row>
    <row r="1737" spans="1:11">
      <c r="A1737">
        <v>401870</v>
      </c>
      <c r="B1737" s="10">
        <v>2021</v>
      </c>
      <c r="C1737" t="s">
        <v>360</v>
      </c>
      <c r="D1737" t="s">
        <v>2472</v>
      </c>
      <c r="E1737" t="s">
        <v>2474</v>
      </c>
      <c r="F1737" t="s">
        <v>1653</v>
      </c>
      <c r="G1737" t="s">
        <v>1653</v>
      </c>
      <c r="H1737" s="10">
        <v>29239887</v>
      </c>
      <c r="I1737">
        <f>IFERROR(VLOOKUP(Final!F1737,'LEAID Match'!$A$2:$B$374,2,FALSE),"")</f>
        <v>401870</v>
      </c>
      <c r="K1737" s="10">
        <f t="shared" si="27"/>
        <v>29239887</v>
      </c>
    </row>
    <row r="1738" spans="1:11">
      <c r="A1738">
        <v>401870</v>
      </c>
      <c r="B1738" s="10">
        <v>2022</v>
      </c>
      <c r="C1738" t="s">
        <v>360</v>
      </c>
      <c r="D1738" t="s">
        <v>2472</v>
      </c>
      <c r="E1738" t="s">
        <v>2474</v>
      </c>
      <c r="F1738" t="s">
        <v>1653</v>
      </c>
      <c r="G1738" t="s">
        <v>1653</v>
      </c>
      <c r="H1738" s="10">
        <v>33754240</v>
      </c>
      <c r="I1738">
        <f>IFERROR(VLOOKUP(Final!F1738,'LEAID Match'!$A$2:$B$374,2,FALSE),"")</f>
        <v>401870</v>
      </c>
      <c r="K1738" s="10">
        <f t="shared" si="27"/>
        <v>33754240</v>
      </c>
    </row>
    <row r="1739" spans="1:11">
      <c r="A1739">
        <v>401870</v>
      </c>
      <c r="B1739" s="10">
        <v>2023</v>
      </c>
      <c r="C1739" t="s">
        <v>360</v>
      </c>
      <c r="D1739" t="s">
        <v>2472</v>
      </c>
      <c r="E1739" t="s">
        <v>2474</v>
      </c>
      <c r="F1739" t="s">
        <v>1653</v>
      </c>
      <c r="G1739" t="s">
        <v>1653</v>
      </c>
      <c r="H1739" s="10">
        <v>35419976</v>
      </c>
      <c r="I1739">
        <f>IFERROR(VLOOKUP(Final!F1739,'LEAID Match'!$A$2:$B$374,2,FALSE),"")</f>
        <v>401870</v>
      </c>
      <c r="K1739" s="10">
        <f t="shared" si="27"/>
        <v>35419976</v>
      </c>
    </row>
    <row r="1740" spans="1:11">
      <c r="A1740">
        <v>405460</v>
      </c>
      <c r="B1740" s="10">
        <v>2015</v>
      </c>
      <c r="C1740" t="s">
        <v>880</v>
      </c>
      <c r="D1740" t="s">
        <v>2472</v>
      </c>
      <c r="E1740" t="s">
        <v>2474</v>
      </c>
      <c r="F1740" t="s">
        <v>2407</v>
      </c>
      <c r="G1740" t="s">
        <v>825</v>
      </c>
      <c r="H1740" s="10">
        <v>510274</v>
      </c>
      <c r="I1740">
        <f>IFERROR(VLOOKUP(Final!F1740,'LEAID Match'!$A$2:$B$374,2,FALSE),"")</f>
        <v>405460</v>
      </c>
      <c r="K1740" s="10">
        <f t="shared" si="27"/>
        <v>510274</v>
      </c>
    </row>
    <row r="1741" spans="1:11">
      <c r="A1741">
        <v>405460</v>
      </c>
      <c r="B1741" s="10">
        <v>2016</v>
      </c>
      <c r="C1741" t="s">
        <v>880</v>
      </c>
      <c r="D1741" t="s">
        <v>2472</v>
      </c>
      <c r="E1741" t="s">
        <v>2474</v>
      </c>
      <c r="F1741" t="s">
        <v>2407</v>
      </c>
      <c r="G1741" t="s">
        <v>825</v>
      </c>
      <c r="H1741" s="10">
        <v>487542</v>
      </c>
      <c r="I1741">
        <f>IFERROR(VLOOKUP(Final!F1741,'LEAID Match'!$A$2:$B$374,2,FALSE),"")</f>
        <v>405460</v>
      </c>
      <c r="K1741" s="10">
        <f t="shared" si="27"/>
        <v>487542</v>
      </c>
    </row>
    <row r="1742" spans="1:11">
      <c r="A1742">
        <v>405460</v>
      </c>
      <c r="B1742" s="10">
        <v>2017</v>
      </c>
      <c r="C1742" t="s">
        <v>880</v>
      </c>
      <c r="D1742" t="s">
        <v>2472</v>
      </c>
      <c r="E1742" t="s">
        <v>2474</v>
      </c>
      <c r="F1742" t="s">
        <v>2407</v>
      </c>
      <c r="G1742" t="s">
        <v>1824</v>
      </c>
      <c r="H1742" s="10">
        <v>551979</v>
      </c>
      <c r="I1742">
        <f>IFERROR(VLOOKUP(Final!F1742,'LEAID Match'!$A$2:$B$374,2,FALSE),"")</f>
        <v>405460</v>
      </c>
      <c r="K1742" s="10">
        <f t="shared" si="27"/>
        <v>551979</v>
      </c>
    </row>
    <row r="1743" spans="1:11">
      <c r="A1743">
        <v>405460</v>
      </c>
      <c r="B1743" s="10">
        <v>2018</v>
      </c>
      <c r="C1743" t="s">
        <v>880</v>
      </c>
      <c r="D1743" t="s">
        <v>2472</v>
      </c>
      <c r="E1743" t="s">
        <v>2474</v>
      </c>
      <c r="F1743" t="s">
        <v>2407</v>
      </c>
      <c r="G1743" t="s">
        <v>2249</v>
      </c>
      <c r="H1743" s="10">
        <v>517056</v>
      </c>
      <c r="I1743">
        <f>IFERROR(VLOOKUP(Final!F1743,'LEAID Match'!$A$2:$B$374,2,FALSE),"")</f>
        <v>405460</v>
      </c>
      <c r="K1743" s="10">
        <f t="shared" si="27"/>
        <v>517056</v>
      </c>
    </row>
    <row r="1744" spans="1:11">
      <c r="A1744">
        <v>405460</v>
      </c>
      <c r="B1744" s="10">
        <v>2019</v>
      </c>
      <c r="C1744" t="s">
        <v>880</v>
      </c>
      <c r="D1744" t="s">
        <v>2472</v>
      </c>
      <c r="E1744" t="s">
        <v>2474</v>
      </c>
      <c r="F1744" t="s">
        <v>2407</v>
      </c>
      <c r="G1744" t="s">
        <v>1824</v>
      </c>
      <c r="H1744" s="10">
        <v>557479</v>
      </c>
      <c r="I1744">
        <f>IFERROR(VLOOKUP(Final!F1744,'LEAID Match'!$A$2:$B$374,2,FALSE),"")</f>
        <v>405460</v>
      </c>
      <c r="K1744" s="10">
        <f t="shared" si="27"/>
        <v>557479</v>
      </c>
    </row>
    <row r="1745" spans="1:11">
      <c r="A1745">
        <v>405460</v>
      </c>
      <c r="B1745" s="10">
        <v>2020</v>
      </c>
      <c r="C1745" t="s">
        <v>880</v>
      </c>
      <c r="D1745" t="s">
        <v>2472</v>
      </c>
      <c r="E1745" t="s">
        <v>2474</v>
      </c>
      <c r="F1745" t="s">
        <v>2407</v>
      </c>
      <c r="G1745" t="s">
        <v>2407</v>
      </c>
      <c r="H1745" s="10">
        <v>594209</v>
      </c>
      <c r="I1745">
        <f>IFERROR(VLOOKUP(Final!F1745,'LEAID Match'!$A$2:$B$374,2,FALSE),"")</f>
        <v>405460</v>
      </c>
      <c r="K1745" s="10">
        <f t="shared" si="27"/>
        <v>594209</v>
      </c>
    </row>
    <row r="1746" spans="1:11">
      <c r="A1746">
        <v>405460</v>
      </c>
      <c r="B1746" s="10">
        <v>2021</v>
      </c>
      <c r="C1746" t="s">
        <v>880</v>
      </c>
      <c r="D1746" t="s">
        <v>2472</v>
      </c>
      <c r="E1746" t="s">
        <v>2474</v>
      </c>
      <c r="F1746" t="s">
        <v>2407</v>
      </c>
      <c r="G1746" t="s">
        <v>2407</v>
      </c>
      <c r="H1746" s="10">
        <v>670599</v>
      </c>
      <c r="I1746">
        <f>IFERROR(VLOOKUP(Final!F1746,'LEAID Match'!$A$2:$B$374,2,FALSE),"")</f>
        <v>405460</v>
      </c>
      <c r="K1746" s="10">
        <f t="shared" si="27"/>
        <v>670599</v>
      </c>
    </row>
    <row r="1747" spans="1:11">
      <c r="A1747">
        <v>405460</v>
      </c>
      <c r="B1747" s="10">
        <v>2022</v>
      </c>
      <c r="C1747" t="s">
        <v>880</v>
      </c>
      <c r="D1747" t="s">
        <v>2472</v>
      </c>
      <c r="E1747" t="s">
        <v>2474</v>
      </c>
      <c r="F1747" t="s">
        <v>2407</v>
      </c>
      <c r="G1747" t="s">
        <v>2407</v>
      </c>
      <c r="H1747" s="10">
        <v>833858</v>
      </c>
      <c r="I1747">
        <f>IFERROR(VLOOKUP(Final!F1747,'LEAID Match'!$A$2:$B$374,2,FALSE),"")</f>
        <v>405460</v>
      </c>
      <c r="K1747" s="10">
        <f t="shared" si="27"/>
        <v>833858</v>
      </c>
    </row>
    <row r="1748" spans="1:11">
      <c r="A1748">
        <v>405460</v>
      </c>
      <c r="B1748" s="10">
        <v>2023</v>
      </c>
      <c r="C1748" t="s">
        <v>880</v>
      </c>
      <c r="D1748" t="s">
        <v>2472</v>
      </c>
      <c r="E1748" t="s">
        <v>2474</v>
      </c>
      <c r="F1748" t="s">
        <v>2407</v>
      </c>
      <c r="G1748" t="s">
        <v>2407</v>
      </c>
      <c r="H1748" s="10">
        <v>1081574</v>
      </c>
      <c r="I1748">
        <f>IFERROR(VLOOKUP(Final!F1748,'LEAID Match'!$A$2:$B$374,2,FALSE),"")</f>
        <v>405460</v>
      </c>
      <c r="K1748" s="10">
        <f t="shared" si="27"/>
        <v>1081574</v>
      </c>
    </row>
    <row r="1749" spans="1:11">
      <c r="A1749">
        <v>401680</v>
      </c>
      <c r="B1749" s="10">
        <v>2015</v>
      </c>
      <c r="C1749" t="s">
        <v>346</v>
      </c>
      <c r="D1749" t="s">
        <v>2472</v>
      </c>
      <c r="E1749" t="s">
        <v>2474</v>
      </c>
      <c r="F1749" t="s">
        <v>1643</v>
      </c>
      <c r="G1749" t="s">
        <v>292</v>
      </c>
      <c r="H1749" s="10">
        <v>8128685</v>
      </c>
      <c r="I1749">
        <f>IFERROR(VLOOKUP(Final!F1749,'LEAID Match'!$A$2:$B$374,2,FALSE),"")</f>
        <v>401680</v>
      </c>
      <c r="K1749" s="10">
        <f t="shared" si="27"/>
        <v>8128685</v>
      </c>
    </row>
    <row r="1750" spans="1:11">
      <c r="A1750">
        <v>401680</v>
      </c>
      <c r="B1750" s="10">
        <v>2016</v>
      </c>
      <c r="C1750" t="s">
        <v>346</v>
      </c>
      <c r="D1750" t="s">
        <v>2472</v>
      </c>
      <c r="E1750" t="s">
        <v>2474</v>
      </c>
      <c r="F1750" t="s">
        <v>1643</v>
      </c>
      <c r="G1750" t="s">
        <v>292</v>
      </c>
      <c r="H1750" s="10">
        <v>8072049</v>
      </c>
      <c r="I1750">
        <f>IFERROR(VLOOKUP(Final!F1750,'LEAID Match'!$A$2:$B$374,2,FALSE),"")</f>
        <v>401680</v>
      </c>
      <c r="K1750" s="10">
        <f t="shared" si="27"/>
        <v>8072049</v>
      </c>
    </row>
    <row r="1751" spans="1:11">
      <c r="A1751">
        <v>401680</v>
      </c>
      <c r="B1751" s="10">
        <v>2017</v>
      </c>
      <c r="C1751" t="s">
        <v>346</v>
      </c>
      <c r="D1751" t="s">
        <v>2472</v>
      </c>
      <c r="E1751" t="s">
        <v>2474</v>
      </c>
      <c r="F1751" t="s">
        <v>1643</v>
      </c>
      <c r="G1751" t="s">
        <v>1643</v>
      </c>
      <c r="H1751" s="10">
        <v>8525528</v>
      </c>
      <c r="I1751">
        <f>IFERROR(VLOOKUP(Final!F1751,'LEAID Match'!$A$2:$B$374,2,FALSE),"")</f>
        <v>401680</v>
      </c>
      <c r="K1751" s="10">
        <f t="shared" si="27"/>
        <v>8525528</v>
      </c>
    </row>
    <row r="1752" spans="1:11">
      <c r="A1752">
        <v>401680</v>
      </c>
      <c r="B1752" s="10">
        <v>2018</v>
      </c>
      <c r="C1752" t="s">
        <v>346</v>
      </c>
      <c r="D1752" t="s">
        <v>2472</v>
      </c>
      <c r="E1752" t="s">
        <v>2474</v>
      </c>
      <c r="F1752" t="s">
        <v>1643</v>
      </c>
      <c r="G1752" t="s">
        <v>2140</v>
      </c>
      <c r="H1752" s="10">
        <v>9042998</v>
      </c>
      <c r="I1752">
        <f>IFERROR(VLOOKUP(Final!F1752,'LEAID Match'!$A$2:$B$374,2,FALSE),"")</f>
        <v>401680</v>
      </c>
      <c r="K1752" s="10">
        <f t="shared" si="27"/>
        <v>9042998</v>
      </c>
    </row>
    <row r="1753" spans="1:11">
      <c r="A1753">
        <v>401680</v>
      </c>
      <c r="B1753" s="10">
        <v>2019</v>
      </c>
      <c r="C1753" t="s">
        <v>346</v>
      </c>
      <c r="D1753" t="s">
        <v>2472</v>
      </c>
      <c r="E1753" t="s">
        <v>2474</v>
      </c>
      <c r="F1753" t="s">
        <v>1643</v>
      </c>
      <c r="G1753" t="s">
        <v>1643</v>
      </c>
      <c r="H1753" s="10">
        <v>9328621</v>
      </c>
      <c r="I1753">
        <f>IFERROR(VLOOKUP(Final!F1753,'LEAID Match'!$A$2:$B$374,2,FALSE),"")</f>
        <v>401680</v>
      </c>
      <c r="K1753" s="10">
        <f t="shared" si="27"/>
        <v>9328621</v>
      </c>
    </row>
    <row r="1754" spans="1:11">
      <c r="A1754">
        <v>401680</v>
      </c>
      <c r="B1754" s="10">
        <v>2020</v>
      </c>
      <c r="C1754" t="s">
        <v>346</v>
      </c>
      <c r="D1754" t="s">
        <v>2472</v>
      </c>
      <c r="E1754" t="s">
        <v>2474</v>
      </c>
      <c r="F1754" t="s">
        <v>1643</v>
      </c>
      <c r="G1754" t="s">
        <v>1643</v>
      </c>
      <c r="H1754" s="10">
        <v>9889079</v>
      </c>
      <c r="I1754">
        <f>IFERROR(VLOOKUP(Final!F1754,'LEAID Match'!$A$2:$B$374,2,FALSE),"")</f>
        <v>401680</v>
      </c>
      <c r="K1754" s="10">
        <f t="shared" si="27"/>
        <v>9889079</v>
      </c>
    </row>
    <row r="1755" spans="1:11">
      <c r="A1755">
        <v>401680</v>
      </c>
      <c r="B1755" s="10">
        <v>2021</v>
      </c>
      <c r="C1755" t="s">
        <v>346</v>
      </c>
      <c r="D1755" t="s">
        <v>2472</v>
      </c>
      <c r="E1755" t="s">
        <v>2474</v>
      </c>
      <c r="F1755" t="s">
        <v>1643</v>
      </c>
      <c r="G1755" t="s">
        <v>1643</v>
      </c>
      <c r="H1755" s="10">
        <v>11071282</v>
      </c>
      <c r="I1755">
        <f>IFERROR(VLOOKUP(Final!F1755,'LEAID Match'!$A$2:$B$374,2,FALSE),"")</f>
        <v>401680</v>
      </c>
      <c r="K1755" s="10">
        <f t="shared" si="27"/>
        <v>11071282</v>
      </c>
    </row>
    <row r="1756" spans="1:11">
      <c r="A1756">
        <v>401680</v>
      </c>
      <c r="B1756" s="10">
        <v>2022</v>
      </c>
      <c r="C1756" t="s">
        <v>346</v>
      </c>
      <c r="D1756" t="s">
        <v>2472</v>
      </c>
      <c r="E1756" t="s">
        <v>2474</v>
      </c>
      <c r="F1756" t="s">
        <v>1643</v>
      </c>
      <c r="G1756" t="s">
        <v>1643</v>
      </c>
      <c r="H1756" s="10">
        <v>12771484</v>
      </c>
      <c r="I1756">
        <f>IFERROR(VLOOKUP(Final!F1756,'LEAID Match'!$A$2:$B$374,2,FALSE),"")</f>
        <v>401680</v>
      </c>
      <c r="K1756" s="10">
        <f t="shared" si="27"/>
        <v>12771484</v>
      </c>
    </row>
    <row r="1757" spans="1:11">
      <c r="A1757">
        <v>401680</v>
      </c>
      <c r="B1757" s="10">
        <v>2023</v>
      </c>
      <c r="C1757" t="s">
        <v>346</v>
      </c>
      <c r="D1757" t="s">
        <v>2472</v>
      </c>
      <c r="E1757" t="s">
        <v>2474</v>
      </c>
      <c r="F1757" t="s">
        <v>1643</v>
      </c>
      <c r="G1757" t="s">
        <v>1643</v>
      </c>
      <c r="H1757" s="10">
        <v>11838004</v>
      </c>
      <c r="I1757">
        <f>IFERROR(VLOOKUP(Final!F1757,'LEAID Match'!$A$2:$B$374,2,FALSE),"")</f>
        <v>401680</v>
      </c>
      <c r="K1757" s="10">
        <f t="shared" si="27"/>
        <v>11838004</v>
      </c>
    </row>
    <row r="1758" spans="1:11">
      <c r="A1758">
        <v>405100</v>
      </c>
      <c r="B1758" s="10">
        <v>2015</v>
      </c>
      <c r="C1758" t="s">
        <v>802</v>
      </c>
      <c r="D1758" t="s">
        <v>2472</v>
      </c>
      <c r="E1758" t="s">
        <v>2474</v>
      </c>
      <c r="F1758" t="s">
        <v>1812</v>
      </c>
      <c r="G1758" t="s">
        <v>747</v>
      </c>
      <c r="H1758" s="10">
        <v>33761</v>
      </c>
      <c r="I1758">
        <f>IFERROR(VLOOKUP(Final!F1758,'LEAID Match'!$A$2:$B$374,2,FALSE),"")</f>
        <v>405100</v>
      </c>
      <c r="K1758" s="10">
        <f t="shared" si="27"/>
        <v>33761</v>
      </c>
    </row>
    <row r="1759" spans="1:11">
      <c r="A1759">
        <v>405100</v>
      </c>
      <c r="B1759" s="10">
        <v>2016</v>
      </c>
      <c r="C1759" t="s">
        <v>802</v>
      </c>
      <c r="D1759" t="s">
        <v>2472</v>
      </c>
      <c r="E1759" t="s">
        <v>2474</v>
      </c>
      <c r="F1759" t="s">
        <v>1812</v>
      </c>
      <c r="G1759" t="s">
        <v>747</v>
      </c>
      <c r="H1759" s="10">
        <v>31366</v>
      </c>
      <c r="I1759">
        <f>IFERROR(VLOOKUP(Final!F1759,'LEAID Match'!$A$2:$B$374,2,FALSE),"")</f>
        <v>405100</v>
      </c>
      <c r="K1759" s="10">
        <f t="shared" si="27"/>
        <v>31366</v>
      </c>
    </row>
    <row r="1760" spans="1:11">
      <c r="A1760">
        <v>405100</v>
      </c>
      <c r="B1760" s="10">
        <v>2017</v>
      </c>
      <c r="C1760" t="s">
        <v>802</v>
      </c>
      <c r="D1760" t="s">
        <v>2472</v>
      </c>
      <c r="E1760" t="s">
        <v>2474</v>
      </c>
      <c r="F1760" t="s">
        <v>1812</v>
      </c>
      <c r="G1760" t="s">
        <v>1812</v>
      </c>
      <c r="H1760" s="10">
        <v>35441</v>
      </c>
      <c r="I1760">
        <f>IFERROR(VLOOKUP(Final!F1760,'LEAID Match'!$A$2:$B$374,2,FALSE),"")</f>
        <v>405100</v>
      </c>
      <c r="K1760" s="10">
        <f t="shared" si="27"/>
        <v>35441</v>
      </c>
    </row>
    <row r="1761" spans="1:11">
      <c r="A1761">
        <v>405100</v>
      </c>
      <c r="B1761" s="10">
        <v>2018</v>
      </c>
      <c r="C1761" t="s">
        <v>802</v>
      </c>
      <c r="D1761" t="s">
        <v>2472</v>
      </c>
      <c r="E1761" t="s">
        <v>2474</v>
      </c>
      <c r="F1761" t="s">
        <v>1812</v>
      </c>
      <c r="G1761" t="s">
        <v>2240</v>
      </c>
      <c r="H1761" s="10">
        <v>41852</v>
      </c>
      <c r="I1761">
        <f>IFERROR(VLOOKUP(Final!F1761,'LEAID Match'!$A$2:$B$374,2,FALSE),"")</f>
        <v>405100</v>
      </c>
      <c r="K1761" s="10">
        <f t="shared" si="27"/>
        <v>41852</v>
      </c>
    </row>
    <row r="1762" spans="1:11">
      <c r="A1762">
        <v>405100</v>
      </c>
      <c r="B1762" s="10">
        <v>2019</v>
      </c>
      <c r="C1762" t="s">
        <v>802</v>
      </c>
      <c r="D1762" t="s">
        <v>2472</v>
      </c>
      <c r="E1762" t="s">
        <v>2474</v>
      </c>
      <c r="F1762" t="s">
        <v>1812</v>
      </c>
      <c r="G1762" t="s">
        <v>1812</v>
      </c>
      <c r="H1762" s="10">
        <v>38437</v>
      </c>
      <c r="I1762">
        <f>IFERROR(VLOOKUP(Final!F1762,'LEAID Match'!$A$2:$B$374,2,FALSE),"")</f>
        <v>405100</v>
      </c>
      <c r="K1762" s="10">
        <f t="shared" si="27"/>
        <v>38437</v>
      </c>
    </row>
    <row r="1763" spans="1:11">
      <c r="A1763">
        <v>405100</v>
      </c>
      <c r="B1763" s="10">
        <v>2020</v>
      </c>
      <c r="C1763" t="s">
        <v>802</v>
      </c>
      <c r="D1763" t="s">
        <v>2472</v>
      </c>
      <c r="E1763" t="s">
        <v>2474</v>
      </c>
      <c r="F1763" t="s">
        <v>1812</v>
      </c>
      <c r="G1763" t="s">
        <v>1812</v>
      </c>
      <c r="H1763" s="10">
        <v>48201</v>
      </c>
      <c r="I1763">
        <f>IFERROR(VLOOKUP(Final!F1763,'LEAID Match'!$A$2:$B$374,2,FALSE),"")</f>
        <v>405100</v>
      </c>
      <c r="K1763" s="10">
        <f t="shared" si="27"/>
        <v>48201</v>
      </c>
    </row>
    <row r="1764" spans="1:11">
      <c r="A1764">
        <v>405100</v>
      </c>
      <c r="B1764" s="10">
        <v>2021</v>
      </c>
      <c r="C1764" t="s">
        <v>802</v>
      </c>
      <c r="D1764" t="s">
        <v>2472</v>
      </c>
      <c r="E1764" t="s">
        <v>2474</v>
      </c>
      <c r="F1764" t="s">
        <v>1812</v>
      </c>
      <c r="G1764" t="s">
        <v>1812</v>
      </c>
      <c r="H1764" s="10">
        <v>45886</v>
      </c>
      <c r="I1764">
        <f>IFERROR(VLOOKUP(Final!F1764,'LEAID Match'!$A$2:$B$374,2,FALSE),"")</f>
        <v>405100</v>
      </c>
      <c r="K1764" s="10">
        <f t="shared" si="27"/>
        <v>45886</v>
      </c>
    </row>
    <row r="1765" spans="1:11">
      <c r="A1765">
        <v>405100</v>
      </c>
      <c r="B1765" s="10">
        <v>2022</v>
      </c>
      <c r="C1765" t="s">
        <v>802</v>
      </c>
      <c r="D1765" t="s">
        <v>2472</v>
      </c>
      <c r="E1765" t="s">
        <v>2474</v>
      </c>
      <c r="F1765" t="s">
        <v>1812</v>
      </c>
      <c r="G1765" t="s">
        <v>1812</v>
      </c>
      <c r="H1765" s="10">
        <v>46932</v>
      </c>
      <c r="I1765">
        <f>IFERROR(VLOOKUP(Final!F1765,'LEAID Match'!$A$2:$B$374,2,FALSE),"")</f>
        <v>405100</v>
      </c>
      <c r="K1765" s="10">
        <f t="shared" si="27"/>
        <v>46932</v>
      </c>
    </row>
    <row r="1766" spans="1:11">
      <c r="A1766">
        <v>405100</v>
      </c>
      <c r="B1766" s="10">
        <v>2023</v>
      </c>
      <c r="C1766" t="s">
        <v>802</v>
      </c>
      <c r="D1766" t="s">
        <v>2472</v>
      </c>
      <c r="E1766" t="s">
        <v>2474</v>
      </c>
      <c r="F1766" t="s">
        <v>1812</v>
      </c>
      <c r="G1766" t="s">
        <v>1812</v>
      </c>
      <c r="H1766" s="10">
        <v>45457</v>
      </c>
      <c r="I1766">
        <f>IFERROR(VLOOKUP(Final!F1766,'LEAID Match'!$A$2:$B$374,2,FALSE),"")</f>
        <v>405100</v>
      </c>
      <c r="K1766" s="10">
        <f t="shared" si="27"/>
        <v>45457</v>
      </c>
    </row>
    <row r="1767" spans="1:11">
      <c r="A1767">
        <v>402690</v>
      </c>
      <c r="B1767" s="10">
        <v>2015</v>
      </c>
      <c r="C1767" t="s">
        <v>562</v>
      </c>
      <c r="D1767" t="s">
        <v>2472</v>
      </c>
      <c r="E1767" t="s">
        <v>2474</v>
      </c>
      <c r="F1767" t="s">
        <v>2367</v>
      </c>
      <c r="G1767" t="s">
        <v>507</v>
      </c>
      <c r="H1767" s="10">
        <v>10473155</v>
      </c>
      <c r="I1767">
        <f>IFERROR(VLOOKUP(Final!F1767,'LEAID Match'!$A$2:$B$374,2,FALSE),"")</f>
        <v>402690</v>
      </c>
      <c r="K1767" s="10">
        <f t="shared" si="27"/>
        <v>10473155</v>
      </c>
    </row>
    <row r="1768" spans="1:11">
      <c r="A1768">
        <v>402690</v>
      </c>
      <c r="B1768" s="10">
        <v>2016</v>
      </c>
      <c r="C1768" t="s">
        <v>562</v>
      </c>
      <c r="D1768" t="s">
        <v>2472</v>
      </c>
      <c r="E1768" t="s">
        <v>2474</v>
      </c>
      <c r="F1768" t="s">
        <v>2367</v>
      </c>
      <c r="G1768" t="s">
        <v>507</v>
      </c>
      <c r="H1768" s="10">
        <v>9621378</v>
      </c>
      <c r="I1768">
        <f>IFERROR(VLOOKUP(Final!F1768,'LEAID Match'!$A$2:$B$374,2,FALSE),"")</f>
        <v>402690</v>
      </c>
      <c r="K1768" s="10">
        <f t="shared" si="27"/>
        <v>9621378</v>
      </c>
    </row>
    <row r="1769" spans="1:11">
      <c r="A1769">
        <v>402690</v>
      </c>
      <c r="B1769" s="10">
        <v>2017</v>
      </c>
      <c r="C1769" t="s">
        <v>562</v>
      </c>
      <c r="D1769" t="s">
        <v>2472</v>
      </c>
      <c r="E1769" t="s">
        <v>2474</v>
      </c>
      <c r="F1769" t="s">
        <v>2367</v>
      </c>
      <c r="G1769" t="s">
        <v>1696</v>
      </c>
      <c r="H1769" s="10">
        <v>10875864</v>
      </c>
      <c r="I1769">
        <f>IFERROR(VLOOKUP(Final!F1769,'LEAID Match'!$A$2:$B$374,2,FALSE),"")</f>
        <v>402690</v>
      </c>
      <c r="K1769" s="10">
        <f t="shared" si="27"/>
        <v>10875864</v>
      </c>
    </row>
    <row r="1770" spans="1:11">
      <c r="A1770">
        <v>402690</v>
      </c>
      <c r="B1770" s="10">
        <v>2018</v>
      </c>
      <c r="C1770" t="s">
        <v>562</v>
      </c>
      <c r="D1770" t="s">
        <v>2472</v>
      </c>
      <c r="E1770" t="s">
        <v>2474</v>
      </c>
      <c r="F1770" t="s">
        <v>2367</v>
      </c>
      <c r="G1770" t="s">
        <v>1696</v>
      </c>
      <c r="H1770" s="10">
        <v>10944608</v>
      </c>
      <c r="I1770">
        <f>IFERROR(VLOOKUP(Final!F1770,'LEAID Match'!$A$2:$B$374,2,FALSE),"")</f>
        <v>402690</v>
      </c>
      <c r="K1770" s="10">
        <f t="shared" si="27"/>
        <v>10944608</v>
      </c>
    </row>
    <row r="1771" spans="1:11">
      <c r="A1771">
        <v>402690</v>
      </c>
      <c r="B1771" s="10">
        <v>2019</v>
      </c>
      <c r="C1771" t="s">
        <v>562</v>
      </c>
      <c r="D1771" t="s">
        <v>2472</v>
      </c>
      <c r="E1771" t="s">
        <v>2474</v>
      </c>
      <c r="F1771" t="s">
        <v>2367</v>
      </c>
      <c r="G1771" t="s">
        <v>2367</v>
      </c>
      <c r="H1771" s="10">
        <v>12269477</v>
      </c>
      <c r="I1771">
        <f>IFERROR(VLOOKUP(Final!F1771,'LEAID Match'!$A$2:$B$374,2,FALSE),"")</f>
        <v>402690</v>
      </c>
      <c r="K1771" s="10">
        <f t="shared" si="27"/>
        <v>12269477</v>
      </c>
    </row>
    <row r="1772" spans="1:11">
      <c r="A1772">
        <v>402690</v>
      </c>
      <c r="B1772" s="10">
        <v>2020</v>
      </c>
      <c r="C1772" t="s">
        <v>562</v>
      </c>
      <c r="D1772" t="s">
        <v>2472</v>
      </c>
      <c r="E1772" t="s">
        <v>2474</v>
      </c>
      <c r="F1772" t="s">
        <v>2367</v>
      </c>
      <c r="G1772" t="s">
        <v>2367</v>
      </c>
      <c r="H1772" s="10">
        <v>13775859</v>
      </c>
      <c r="I1772">
        <f>IFERROR(VLOOKUP(Final!F1772,'LEAID Match'!$A$2:$B$374,2,FALSE),"")</f>
        <v>402690</v>
      </c>
      <c r="K1772" s="10">
        <f t="shared" si="27"/>
        <v>13775859</v>
      </c>
    </row>
    <row r="1773" spans="1:11">
      <c r="A1773">
        <v>402690</v>
      </c>
      <c r="B1773" s="10">
        <v>2021</v>
      </c>
      <c r="C1773" t="s">
        <v>562</v>
      </c>
      <c r="D1773" t="s">
        <v>2472</v>
      </c>
      <c r="E1773" t="s">
        <v>2474</v>
      </c>
      <c r="F1773" t="s">
        <v>2367</v>
      </c>
      <c r="G1773" t="s">
        <v>2367</v>
      </c>
      <c r="H1773" s="10">
        <v>14577319</v>
      </c>
      <c r="I1773">
        <f>IFERROR(VLOOKUP(Final!F1773,'LEAID Match'!$A$2:$B$374,2,FALSE),"")</f>
        <v>402690</v>
      </c>
      <c r="K1773" s="10">
        <f t="shared" si="27"/>
        <v>14577319</v>
      </c>
    </row>
    <row r="1774" spans="1:11">
      <c r="A1774">
        <v>402690</v>
      </c>
      <c r="B1774" s="10">
        <v>2022</v>
      </c>
      <c r="C1774" t="s">
        <v>562</v>
      </c>
      <c r="D1774" t="s">
        <v>2472</v>
      </c>
      <c r="E1774" t="s">
        <v>2474</v>
      </c>
      <c r="F1774" t="s">
        <v>2367</v>
      </c>
      <c r="G1774" t="s">
        <v>2367</v>
      </c>
      <c r="H1774" s="10">
        <v>16213564</v>
      </c>
      <c r="I1774">
        <f>IFERROR(VLOOKUP(Final!F1774,'LEAID Match'!$A$2:$B$374,2,FALSE),"")</f>
        <v>402690</v>
      </c>
      <c r="K1774" s="10">
        <f t="shared" si="27"/>
        <v>16213564</v>
      </c>
    </row>
    <row r="1775" spans="1:11">
      <c r="A1775">
        <v>402690</v>
      </c>
      <c r="B1775" s="10">
        <v>2023</v>
      </c>
      <c r="C1775" t="s">
        <v>562</v>
      </c>
      <c r="D1775" t="s">
        <v>2472</v>
      </c>
      <c r="E1775" t="s">
        <v>2474</v>
      </c>
      <c r="F1775" t="s">
        <v>2367</v>
      </c>
      <c r="G1775" t="s">
        <v>2367</v>
      </c>
      <c r="H1775" s="10">
        <v>16867240</v>
      </c>
      <c r="I1775">
        <f>IFERROR(VLOOKUP(Final!F1775,'LEAID Match'!$A$2:$B$374,2,FALSE),"")</f>
        <v>402690</v>
      </c>
      <c r="K1775" s="10">
        <f t="shared" si="27"/>
        <v>16867240</v>
      </c>
    </row>
    <row r="1776" spans="1:11">
      <c r="A1776">
        <v>407170</v>
      </c>
      <c r="B1776" s="10">
        <v>2015</v>
      </c>
      <c r="C1776" t="s">
        <v>1044</v>
      </c>
      <c r="D1776" t="s">
        <v>2472</v>
      </c>
      <c r="E1776" t="s">
        <v>2474</v>
      </c>
      <c r="F1776" t="s">
        <v>1922</v>
      </c>
      <c r="G1776" t="s">
        <v>989</v>
      </c>
      <c r="H1776" s="10">
        <v>645970</v>
      </c>
      <c r="I1776">
        <f>IFERROR(VLOOKUP(Final!F1776,'LEAID Match'!$A$2:$B$374,2,FALSE),"")</f>
        <v>407170</v>
      </c>
      <c r="K1776" s="10">
        <f t="shared" si="27"/>
        <v>645970</v>
      </c>
    </row>
    <row r="1777" spans="1:11">
      <c r="A1777">
        <v>407170</v>
      </c>
      <c r="B1777" s="10">
        <v>2016</v>
      </c>
      <c r="C1777" t="s">
        <v>1044</v>
      </c>
      <c r="D1777" t="s">
        <v>2472</v>
      </c>
      <c r="E1777" t="s">
        <v>2474</v>
      </c>
      <c r="F1777" t="s">
        <v>1922</v>
      </c>
      <c r="G1777" t="s">
        <v>989</v>
      </c>
      <c r="H1777" s="10">
        <v>640590</v>
      </c>
      <c r="I1777">
        <f>IFERROR(VLOOKUP(Final!F1777,'LEAID Match'!$A$2:$B$374,2,FALSE),"")</f>
        <v>407170</v>
      </c>
      <c r="K1777" s="10">
        <f t="shared" si="27"/>
        <v>640590</v>
      </c>
    </row>
    <row r="1778" spans="1:11">
      <c r="A1778">
        <v>407170</v>
      </c>
      <c r="B1778" s="10">
        <v>2017</v>
      </c>
      <c r="C1778" t="s">
        <v>1044</v>
      </c>
      <c r="D1778" t="s">
        <v>2472</v>
      </c>
      <c r="E1778" t="s">
        <v>2474</v>
      </c>
      <c r="F1778" t="s">
        <v>1922</v>
      </c>
      <c r="G1778" t="s">
        <v>1922</v>
      </c>
      <c r="H1778" s="10">
        <v>673769</v>
      </c>
      <c r="I1778">
        <f>IFERROR(VLOOKUP(Final!F1778,'LEAID Match'!$A$2:$B$374,2,FALSE),"")</f>
        <v>407170</v>
      </c>
      <c r="K1778" s="10">
        <f t="shared" si="27"/>
        <v>673769</v>
      </c>
    </row>
    <row r="1779" spans="1:11">
      <c r="A1779">
        <v>407170</v>
      </c>
      <c r="B1779" s="10">
        <v>2018</v>
      </c>
      <c r="C1779" t="s">
        <v>1044</v>
      </c>
      <c r="D1779" t="s">
        <v>2472</v>
      </c>
      <c r="E1779" t="s">
        <v>2474</v>
      </c>
      <c r="F1779" t="s">
        <v>1922</v>
      </c>
      <c r="G1779" t="s">
        <v>2298</v>
      </c>
      <c r="H1779" s="10">
        <v>778291</v>
      </c>
      <c r="I1779">
        <f>IFERROR(VLOOKUP(Final!F1779,'LEAID Match'!$A$2:$B$374,2,FALSE),"")</f>
        <v>407170</v>
      </c>
      <c r="K1779" s="10">
        <f t="shared" si="27"/>
        <v>778291</v>
      </c>
    </row>
    <row r="1780" spans="1:11">
      <c r="A1780">
        <v>407170</v>
      </c>
      <c r="B1780" s="10">
        <v>2019</v>
      </c>
      <c r="C1780" t="s">
        <v>1044</v>
      </c>
      <c r="D1780" t="s">
        <v>2472</v>
      </c>
      <c r="E1780" t="s">
        <v>2474</v>
      </c>
      <c r="F1780" t="s">
        <v>1922</v>
      </c>
      <c r="G1780" t="s">
        <v>1922</v>
      </c>
      <c r="H1780" s="10">
        <v>1002513</v>
      </c>
      <c r="I1780">
        <f>IFERROR(VLOOKUP(Final!F1780,'LEAID Match'!$A$2:$B$374,2,FALSE),"")</f>
        <v>407170</v>
      </c>
      <c r="K1780" s="10">
        <f t="shared" si="27"/>
        <v>1002513</v>
      </c>
    </row>
    <row r="1781" spans="1:11">
      <c r="A1781">
        <v>407170</v>
      </c>
      <c r="B1781" s="10">
        <v>2020</v>
      </c>
      <c r="C1781" t="s">
        <v>1044</v>
      </c>
      <c r="D1781" t="s">
        <v>2472</v>
      </c>
      <c r="E1781" t="s">
        <v>2474</v>
      </c>
      <c r="F1781" t="s">
        <v>1922</v>
      </c>
      <c r="G1781" t="s">
        <v>1922</v>
      </c>
      <c r="H1781" s="10">
        <v>1200436</v>
      </c>
      <c r="I1781">
        <f>IFERROR(VLOOKUP(Final!F1781,'LEAID Match'!$A$2:$B$374,2,FALSE),"")</f>
        <v>407170</v>
      </c>
      <c r="K1781" s="10">
        <f t="shared" si="27"/>
        <v>1200436</v>
      </c>
    </row>
    <row r="1782" spans="1:11">
      <c r="A1782">
        <v>407170</v>
      </c>
      <c r="B1782" s="10">
        <v>2021</v>
      </c>
      <c r="C1782" t="s">
        <v>1044</v>
      </c>
      <c r="D1782" t="s">
        <v>2472</v>
      </c>
      <c r="E1782" t="s">
        <v>2474</v>
      </c>
      <c r="F1782" t="s">
        <v>1922</v>
      </c>
      <c r="G1782" t="s">
        <v>1922</v>
      </c>
      <c r="H1782" s="10">
        <v>1371761</v>
      </c>
      <c r="I1782">
        <f>IFERROR(VLOOKUP(Final!F1782,'LEAID Match'!$A$2:$B$374,2,FALSE),"")</f>
        <v>407170</v>
      </c>
      <c r="K1782" s="10">
        <f t="shared" si="27"/>
        <v>1371761</v>
      </c>
    </row>
    <row r="1783" spans="1:11">
      <c r="A1783">
        <v>407170</v>
      </c>
      <c r="B1783" s="10">
        <v>2022</v>
      </c>
      <c r="C1783" t="s">
        <v>1044</v>
      </c>
      <c r="D1783" t="s">
        <v>2472</v>
      </c>
      <c r="E1783" t="s">
        <v>2474</v>
      </c>
      <c r="F1783" t="s">
        <v>1922</v>
      </c>
      <c r="G1783" t="s">
        <v>1922</v>
      </c>
      <c r="H1783" s="10">
        <v>1615575</v>
      </c>
      <c r="I1783">
        <f>IFERROR(VLOOKUP(Final!F1783,'LEAID Match'!$A$2:$B$374,2,FALSE),"")</f>
        <v>407170</v>
      </c>
      <c r="K1783" s="10">
        <f t="shared" si="27"/>
        <v>1615575</v>
      </c>
    </row>
    <row r="1784" spans="1:11">
      <c r="A1784">
        <v>407170</v>
      </c>
      <c r="B1784" s="10">
        <v>2023</v>
      </c>
      <c r="C1784" t="s">
        <v>1044</v>
      </c>
      <c r="D1784" t="s">
        <v>2472</v>
      </c>
      <c r="E1784" t="s">
        <v>2474</v>
      </c>
      <c r="F1784" t="s">
        <v>1922</v>
      </c>
      <c r="G1784" t="s">
        <v>1922</v>
      </c>
      <c r="H1784" s="10">
        <v>2132093</v>
      </c>
      <c r="I1784">
        <f>IFERROR(VLOOKUP(Final!F1784,'LEAID Match'!$A$2:$B$374,2,FALSE),"")</f>
        <v>407170</v>
      </c>
      <c r="K1784" s="10">
        <f t="shared" si="27"/>
        <v>2132093</v>
      </c>
    </row>
    <row r="1785" spans="1:11">
      <c r="A1785">
        <v>406210</v>
      </c>
      <c r="B1785" s="10">
        <v>2015</v>
      </c>
      <c r="C1785" t="s">
        <v>925</v>
      </c>
      <c r="D1785" t="s">
        <v>2472</v>
      </c>
      <c r="E1785" t="s">
        <v>2474</v>
      </c>
      <c r="F1785" t="s">
        <v>1869</v>
      </c>
      <c r="G1785" t="s">
        <v>870</v>
      </c>
      <c r="H1785" s="10">
        <v>4124004</v>
      </c>
      <c r="I1785">
        <f>IFERROR(VLOOKUP(Final!F1785,'LEAID Match'!$A$2:$B$374,2,FALSE),"")</f>
        <v>406210</v>
      </c>
      <c r="K1785" s="10">
        <f t="shared" si="27"/>
        <v>4124004</v>
      </c>
    </row>
    <row r="1786" spans="1:11">
      <c r="A1786">
        <v>406210</v>
      </c>
      <c r="B1786" s="10">
        <v>2016</v>
      </c>
      <c r="C1786" t="s">
        <v>925</v>
      </c>
      <c r="D1786" t="s">
        <v>2472</v>
      </c>
      <c r="E1786" t="s">
        <v>2474</v>
      </c>
      <c r="F1786" t="s">
        <v>1869</v>
      </c>
      <c r="G1786" t="s">
        <v>870</v>
      </c>
      <c r="H1786" s="10">
        <v>4011511</v>
      </c>
      <c r="I1786">
        <f>IFERROR(VLOOKUP(Final!F1786,'LEAID Match'!$A$2:$B$374,2,FALSE),"")</f>
        <v>406210</v>
      </c>
      <c r="K1786" s="10">
        <f t="shared" si="27"/>
        <v>4011511</v>
      </c>
    </row>
    <row r="1787" spans="1:11">
      <c r="A1787">
        <v>406210</v>
      </c>
      <c r="B1787" s="10">
        <v>2017</v>
      </c>
      <c r="C1787" t="s">
        <v>925</v>
      </c>
      <c r="D1787" t="s">
        <v>2472</v>
      </c>
      <c r="E1787" t="s">
        <v>2474</v>
      </c>
      <c r="F1787" t="s">
        <v>1869</v>
      </c>
      <c r="G1787" t="s">
        <v>1869</v>
      </c>
      <c r="H1787" s="10">
        <v>4319812</v>
      </c>
      <c r="I1787">
        <f>IFERROR(VLOOKUP(Final!F1787,'LEAID Match'!$A$2:$B$374,2,FALSE),"")</f>
        <v>406210</v>
      </c>
      <c r="K1787" s="10">
        <f t="shared" si="27"/>
        <v>4319812</v>
      </c>
    </row>
    <row r="1788" spans="1:11">
      <c r="A1788">
        <v>406210</v>
      </c>
      <c r="B1788" s="10">
        <v>2018</v>
      </c>
      <c r="C1788" t="s">
        <v>925</v>
      </c>
      <c r="D1788" t="s">
        <v>2472</v>
      </c>
      <c r="E1788" t="s">
        <v>2474</v>
      </c>
      <c r="F1788" t="s">
        <v>1869</v>
      </c>
      <c r="G1788" t="s">
        <v>2273</v>
      </c>
      <c r="H1788" s="10">
        <v>4146240</v>
      </c>
      <c r="I1788">
        <f>IFERROR(VLOOKUP(Final!F1788,'LEAID Match'!$A$2:$B$374,2,FALSE),"")</f>
        <v>406210</v>
      </c>
      <c r="K1788" s="10">
        <f t="shared" si="27"/>
        <v>4146240</v>
      </c>
    </row>
    <row r="1789" spans="1:11">
      <c r="A1789">
        <v>406210</v>
      </c>
      <c r="B1789" s="10">
        <v>2019</v>
      </c>
      <c r="C1789" t="s">
        <v>925</v>
      </c>
      <c r="D1789" t="s">
        <v>2472</v>
      </c>
      <c r="E1789" t="s">
        <v>2474</v>
      </c>
      <c r="F1789" t="s">
        <v>1869</v>
      </c>
      <c r="G1789" t="s">
        <v>1869</v>
      </c>
      <c r="H1789" s="10">
        <v>4607681</v>
      </c>
      <c r="I1789">
        <f>IFERROR(VLOOKUP(Final!F1789,'LEAID Match'!$A$2:$B$374,2,FALSE),"")</f>
        <v>406210</v>
      </c>
      <c r="K1789" s="10">
        <f t="shared" si="27"/>
        <v>4607681</v>
      </c>
    </row>
    <row r="1790" spans="1:11">
      <c r="A1790">
        <v>406210</v>
      </c>
      <c r="B1790" s="10">
        <v>2020</v>
      </c>
      <c r="C1790" t="s">
        <v>925</v>
      </c>
      <c r="D1790" t="s">
        <v>2472</v>
      </c>
      <c r="E1790" t="s">
        <v>2474</v>
      </c>
      <c r="F1790" t="s">
        <v>1869</v>
      </c>
      <c r="G1790" t="s">
        <v>1869</v>
      </c>
      <c r="H1790" s="10">
        <v>4711939</v>
      </c>
      <c r="I1790">
        <f>IFERROR(VLOOKUP(Final!F1790,'LEAID Match'!$A$2:$B$374,2,FALSE),"")</f>
        <v>406210</v>
      </c>
      <c r="K1790" s="10">
        <f t="shared" si="27"/>
        <v>4711939</v>
      </c>
    </row>
    <row r="1791" spans="1:11">
      <c r="A1791">
        <v>406210</v>
      </c>
      <c r="B1791" s="10">
        <v>2021</v>
      </c>
      <c r="C1791" t="s">
        <v>925</v>
      </c>
      <c r="D1791" t="s">
        <v>2472</v>
      </c>
      <c r="E1791" t="s">
        <v>2474</v>
      </c>
      <c r="F1791" t="s">
        <v>1869</v>
      </c>
      <c r="G1791" t="s">
        <v>1869</v>
      </c>
      <c r="H1791" s="10">
        <v>4660050</v>
      </c>
      <c r="I1791">
        <f>IFERROR(VLOOKUP(Final!F1791,'LEAID Match'!$A$2:$B$374,2,FALSE),"")</f>
        <v>406210</v>
      </c>
      <c r="K1791" s="10">
        <f t="shared" si="27"/>
        <v>4660050</v>
      </c>
    </row>
    <row r="1792" spans="1:11">
      <c r="A1792">
        <v>406210</v>
      </c>
      <c r="B1792" s="10">
        <v>2022</v>
      </c>
      <c r="C1792" t="s">
        <v>925</v>
      </c>
      <c r="D1792" t="s">
        <v>2472</v>
      </c>
      <c r="E1792" t="s">
        <v>2474</v>
      </c>
      <c r="F1792" t="s">
        <v>1869</v>
      </c>
      <c r="G1792" t="s">
        <v>1869</v>
      </c>
      <c r="H1792" s="10">
        <v>5167805</v>
      </c>
      <c r="I1792">
        <f>IFERROR(VLOOKUP(Final!F1792,'LEAID Match'!$A$2:$B$374,2,FALSE),"")</f>
        <v>406210</v>
      </c>
      <c r="K1792" s="10">
        <f t="shared" si="27"/>
        <v>5167805</v>
      </c>
    </row>
    <row r="1793" spans="1:11">
      <c r="A1793">
        <v>406210</v>
      </c>
      <c r="B1793" s="10">
        <v>2023</v>
      </c>
      <c r="C1793" t="s">
        <v>925</v>
      </c>
      <c r="D1793" t="s">
        <v>2472</v>
      </c>
      <c r="E1793" t="s">
        <v>2474</v>
      </c>
      <c r="F1793" t="s">
        <v>1869</v>
      </c>
      <c r="G1793" t="s">
        <v>1869</v>
      </c>
      <c r="H1793" s="10">
        <v>5284474</v>
      </c>
      <c r="I1793">
        <f>IFERROR(VLOOKUP(Final!F1793,'LEAID Match'!$A$2:$B$374,2,FALSE),"")</f>
        <v>406210</v>
      </c>
      <c r="K1793" s="10">
        <f t="shared" si="27"/>
        <v>5284474</v>
      </c>
    </row>
    <row r="1794" spans="1:11">
      <c r="A1794">
        <v>400001</v>
      </c>
      <c r="B1794" s="10">
        <v>2015</v>
      </c>
      <c r="C1794" t="s">
        <v>350</v>
      </c>
      <c r="D1794" t="s">
        <v>2472</v>
      </c>
      <c r="E1794" t="s">
        <v>2474</v>
      </c>
      <c r="F1794" t="s">
        <v>1648</v>
      </c>
      <c r="G1794" t="s">
        <v>296</v>
      </c>
      <c r="H1794" s="10">
        <v>2508260</v>
      </c>
      <c r="I1794">
        <f>IFERROR(VLOOKUP(Final!F1794,'LEAID Match'!$A$2:$B$374,2,FALSE),"")</f>
        <v>400001</v>
      </c>
      <c r="K1794" s="10">
        <f t="shared" si="27"/>
        <v>2508260</v>
      </c>
    </row>
    <row r="1795" spans="1:11">
      <c r="A1795">
        <v>400001</v>
      </c>
      <c r="B1795" s="10">
        <v>2016</v>
      </c>
      <c r="C1795" t="s">
        <v>350</v>
      </c>
      <c r="D1795" t="s">
        <v>2472</v>
      </c>
      <c r="E1795" t="s">
        <v>2474</v>
      </c>
      <c r="F1795" t="s">
        <v>1648</v>
      </c>
      <c r="G1795" t="s">
        <v>296</v>
      </c>
      <c r="H1795" s="10">
        <v>2496621</v>
      </c>
      <c r="I1795">
        <f>IFERROR(VLOOKUP(Final!F1795,'LEAID Match'!$A$2:$B$374,2,FALSE),"")</f>
        <v>400001</v>
      </c>
      <c r="K1795" s="10">
        <f t="shared" ref="K1795:K1858" si="28">SUM(H1795,J1795)</f>
        <v>2496621</v>
      </c>
    </row>
    <row r="1796" spans="1:11">
      <c r="A1796">
        <v>400001</v>
      </c>
      <c r="B1796" s="10">
        <v>2017</v>
      </c>
      <c r="C1796" t="s">
        <v>350</v>
      </c>
      <c r="D1796" t="s">
        <v>2472</v>
      </c>
      <c r="E1796" t="s">
        <v>2474</v>
      </c>
      <c r="F1796" t="s">
        <v>1648</v>
      </c>
      <c r="G1796" t="s">
        <v>1648</v>
      </c>
      <c r="H1796" s="10">
        <v>2524785</v>
      </c>
      <c r="I1796">
        <f>IFERROR(VLOOKUP(Final!F1796,'LEAID Match'!$A$2:$B$374,2,FALSE),"")</f>
        <v>400001</v>
      </c>
      <c r="K1796" s="10">
        <f t="shared" si="28"/>
        <v>2524785</v>
      </c>
    </row>
    <row r="1797" spans="1:11">
      <c r="A1797">
        <v>400001</v>
      </c>
      <c r="B1797" s="10">
        <v>2018</v>
      </c>
      <c r="C1797" t="s">
        <v>350</v>
      </c>
      <c r="D1797" t="s">
        <v>2472</v>
      </c>
      <c r="E1797" t="s">
        <v>2474</v>
      </c>
      <c r="F1797" t="s">
        <v>1648</v>
      </c>
      <c r="G1797" t="s">
        <v>2144</v>
      </c>
      <c r="H1797" s="10">
        <v>2579570</v>
      </c>
      <c r="I1797">
        <f>IFERROR(VLOOKUP(Final!F1797,'LEAID Match'!$A$2:$B$374,2,FALSE),"")</f>
        <v>400001</v>
      </c>
      <c r="K1797" s="10">
        <f t="shared" si="28"/>
        <v>2579570</v>
      </c>
    </row>
    <row r="1798" spans="1:11">
      <c r="A1798">
        <v>400001</v>
      </c>
      <c r="B1798" s="10">
        <v>2019</v>
      </c>
      <c r="C1798" t="s">
        <v>350</v>
      </c>
      <c r="D1798" t="s">
        <v>2472</v>
      </c>
      <c r="E1798" t="s">
        <v>2474</v>
      </c>
      <c r="F1798" t="s">
        <v>1648</v>
      </c>
      <c r="G1798" t="s">
        <v>1648</v>
      </c>
      <c r="H1798" s="10">
        <v>2817900</v>
      </c>
      <c r="I1798">
        <f>IFERROR(VLOOKUP(Final!F1798,'LEAID Match'!$A$2:$B$374,2,FALSE),"")</f>
        <v>400001</v>
      </c>
      <c r="K1798" s="10">
        <f t="shared" si="28"/>
        <v>2817900</v>
      </c>
    </row>
    <row r="1799" spans="1:11">
      <c r="A1799">
        <v>400001</v>
      </c>
      <c r="B1799" s="10">
        <v>2020</v>
      </c>
      <c r="C1799" t="s">
        <v>350</v>
      </c>
      <c r="D1799" t="s">
        <v>2472</v>
      </c>
      <c r="E1799" t="s">
        <v>2474</v>
      </c>
      <c r="F1799" t="s">
        <v>1648</v>
      </c>
      <c r="G1799" t="s">
        <v>1648</v>
      </c>
      <c r="H1799" s="10">
        <v>3023949</v>
      </c>
      <c r="I1799">
        <f>IFERROR(VLOOKUP(Final!F1799,'LEAID Match'!$A$2:$B$374,2,FALSE),"")</f>
        <v>400001</v>
      </c>
      <c r="K1799" s="10">
        <f t="shared" si="28"/>
        <v>3023949</v>
      </c>
    </row>
    <row r="1800" spans="1:11">
      <c r="A1800">
        <v>400001</v>
      </c>
      <c r="B1800" s="10">
        <v>2021</v>
      </c>
      <c r="C1800" t="s">
        <v>350</v>
      </c>
      <c r="D1800" t="s">
        <v>2472</v>
      </c>
      <c r="E1800" t="s">
        <v>2474</v>
      </c>
      <c r="F1800" t="s">
        <v>1648</v>
      </c>
      <c r="G1800" t="s">
        <v>1648</v>
      </c>
      <c r="H1800" s="10">
        <v>3071779</v>
      </c>
      <c r="I1800">
        <f>IFERROR(VLOOKUP(Final!F1800,'LEAID Match'!$A$2:$B$374,2,FALSE),"")</f>
        <v>400001</v>
      </c>
      <c r="K1800" s="10">
        <f t="shared" si="28"/>
        <v>3071779</v>
      </c>
    </row>
    <row r="1801" spans="1:11">
      <c r="A1801">
        <v>400001</v>
      </c>
      <c r="B1801" s="10">
        <v>2022</v>
      </c>
      <c r="C1801" t="s">
        <v>350</v>
      </c>
      <c r="D1801" t="s">
        <v>2472</v>
      </c>
      <c r="E1801" t="s">
        <v>2474</v>
      </c>
      <c r="F1801" t="s">
        <v>1648</v>
      </c>
      <c r="G1801" t="s">
        <v>1648</v>
      </c>
      <c r="H1801" s="10">
        <v>2935068</v>
      </c>
      <c r="I1801">
        <f>IFERROR(VLOOKUP(Final!F1801,'LEAID Match'!$A$2:$B$374,2,FALSE),"")</f>
        <v>400001</v>
      </c>
      <c r="K1801" s="10">
        <f t="shared" si="28"/>
        <v>2935068</v>
      </c>
    </row>
    <row r="1802" spans="1:11">
      <c r="A1802">
        <v>400001</v>
      </c>
      <c r="B1802" s="10">
        <v>2023</v>
      </c>
      <c r="C1802" t="s">
        <v>350</v>
      </c>
      <c r="D1802" t="s">
        <v>2472</v>
      </c>
      <c r="E1802" t="s">
        <v>2474</v>
      </c>
      <c r="F1802" t="s">
        <v>1648</v>
      </c>
      <c r="G1802" t="s">
        <v>1648</v>
      </c>
      <c r="H1802" s="10">
        <v>3062825</v>
      </c>
      <c r="I1802">
        <f>IFERROR(VLOOKUP(Final!F1802,'LEAID Match'!$A$2:$B$374,2,FALSE),"")</f>
        <v>400001</v>
      </c>
      <c r="K1802" s="10">
        <f t="shared" si="28"/>
        <v>3062825</v>
      </c>
    </row>
    <row r="1803" spans="1:11">
      <c r="A1803">
        <v>408430</v>
      </c>
      <c r="B1803" s="10">
        <v>2015</v>
      </c>
      <c r="C1803" t="s">
        <v>909</v>
      </c>
      <c r="D1803" t="s">
        <v>2472</v>
      </c>
      <c r="E1803" t="s">
        <v>2474</v>
      </c>
      <c r="F1803" t="s">
        <v>1852</v>
      </c>
      <c r="G1803" t="s">
        <v>854</v>
      </c>
      <c r="H1803" s="10">
        <v>72011</v>
      </c>
      <c r="I1803">
        <f>IFERROR(VLOOKUP(Final!F1803,'LEAID Match'!$A$2:$B$374,2,FALSE),"")</f>
        <v>408430</v>
      </c>
      <c r="K1803" s="10">
        <f t="shared" si="28"/>
        <v>72011</v>
      </c>
    </row>
    <row r="1804" spans="1:11">
      <c r="A1804">
        <v>408430</v>
      </c>
      <c r="B1804" s="10">
        <v>2016</v>
      </c>
      <c r="C1804" t="s">
        <v>909</v>
      </c>
      <c r="D1804" t="s">
        <v>2472</v>
      </c>
      <c r="E1804" t="s">
        <v>2474</v>
      </c>
      <c r="F1804" t="s">
        <v>1852</v>
      </c>
      <c r="G1804" t="s">
        <v>854</v>
      </c>
      <c r="H1804" s="10">
        <v>77438</v>
      </c>
      <c r="I1804">
        <f>IFERROR(VLOOKUP(Final!F1804,'LEAID Match'!$A$2:$B$374,2,FALSE),"")</f>
        <v>408430</v>
      </c>
      <c r="K1804" s="10">
        <f t="shared" si="28"/>
        <v>77438</v>
      </c>
    </row>
    <row r="1805" spans="1:11">
      <c r="A1805">
        <v>408430</v>
      </c>
      <c r="B1805" s="10">
        <v>2017</v>
      </c>
      <c r="C1805" t="s">
        <v>909</v>
      </c>
      <c r="D1805" t="s">
        <v>2472</v>
      </c>
      <c r="E1805" t="s">
        <v>2474</v>
      </c>
      <c r="F1805" t="s">
        <v>1852</v>
      </c>
      <c r="G1805" t="s">
        <v>1852</v>
      </c>
      <c r="H1805" s="10">
        <v>86234</v>
      </c>
      <c r="I1805">
        <f>IFERROR(VLOOKUP(Final!F1805,'LEAID Match'!$A$2:$B$374,2,FALSE),"")</f>
        <v>408430</v>
      </c>
      <c r="K1805" s="10">
        <f t="shared" si="28"/>
        <v>86234</v>
      </c>
    </row>
    <row r="1806" spans="1:11">
      <c r="A1806">
        <v>408430</v>
      </c>
      <c r="B1806" s="10">
        <v>2018</v>
      </c>
      <c r="C1806" t="s">
        <v>909</v>
      </c>
      <c r="D1806" t="s">
        <v>2472</v>
      </c>
      <c r="E1806" t="s">
        <v>2474</v>
      </c>
      <c r="F1806" t="s">
        <v>1852</v>
      </c>
      <c r="G1806" t="s">
        <v>2263</v>
      </c>
      <c r="H1806" s="10">
        <v>99315</v>
      </c>
      <c r="I1806">
        <f>IFERROR(VLOOKUP(Final!F1806,'LEAID Match'!$A$2:$B$374,2,FALSE),"")</f>
        <v>408430</v>
      </c>
      <c r="K1806" s="10">
        <f t="shared" si="28"/>
        <v>99315</v>
      </c>
    </row>
    <row r="1807" spans="1:11">
      <c r="A1807">
        <v>408430</v>
      </c>
      <c r="B1807" s="10">
        <v>2019</v>
      </c>
      <c r="C1807" t="s">
        <v>909</v>
      </c>
      <c r="D1807" t="s">
        <v>2472</v>
      </c>
      <c r="E1807" t="s">
        <v>2474</v>
      </c>
      <c r="F1807" t="s">
        <v>1852</v>
      </c>
      <c r="G1807" t="s">
        <v>1852</v>
      </c>
      <c r="H1807" s="10">
        <v>104099</v>
      </c>
      <c r="I1807">
        <f>IFERROR(VLOOKUP(Final!F1807,'LEAID Match'!$A$2:$B$374,2,FALSE),"")</f>
        <v>408430</v>
      </c>
      <c r="K1807" s="10">
        <f t="shared" si="28"/>
        <v>104099</v>
      </c>
    </row>
    <row r="1808" spans="1:11">
      <c r="A1808">
        <v>408430</v>
      </c>
      <c r="B1808" s="10">
        <v>2020</v>
      </c>
      <c r="C1808" t="s">
        <v>909</v>
      </c>
      <c r="D1808" t="s">
        <v>2472</v>
      </c>
      <c r="E1808" t="s">
        <v>2474</v>
      </c>
      <c r="F1808" t="s">
        <v>1852</v>
      </c>
      <c r="G1808" t="s">
        <v>1852</v>
      </c>
      <c r="H1808" s="10">
        <v>115318</v>
      </c>
      <c r="I1808">
        <f>IFERROR(VLOOKUP(Final!F1808,'LEAID Match'!$A$2:$B$374,2,FALSE),"")</f>
        <v>408430</v>
      </c>
      <c r="K1808" s="10">
        <f t="shared" si="28"/>
        <v>115318</v>
      </c>
    </row>
    <row r="1809" spans="1:11">
      <c r="A1809">
        <v>408430</v>
      </c>
      <c r="B1809" s="10">
        <v>2021</v>
      </c>
      <c r="C1809" t="s">
        <v>909</v>
      </c>
      <c r="D1809" t="s">
        <v>2472</v>
      </c>
      <c r="E1809" t="s">
        <v>2474</v>
      </c>
      <c r="F1809" t="s">
        <v>1852</v>
      </c>
      <c r="G1809" t="s">
        <v>1852</v>
      </c>
      <c r="H1809" s="10">
        <v>128790</v>
      </c>
      <c r="I1809">
        <f>IFERROR(VLOOKUP(Final!F1809,'LEAID Match'!$A$2:$B$374,2,FALSE),"")</f>
        <v>408430</v>
      </c>
      <c r="K1809" s="10">
        <f t="shared" si="28"/>
        <v>128790</v>
      </c>
    </row>
    <row r="1810" spans="1:11">
      <c r="A1810">
        <v>408430</v>
      </c>
      <c r="B1810" s="10">
        <v>2022</v>
      </c>
      <c r="C1810" t="s">
        <v>909</v>
      </c>
      <c r="D1810" t="s">
        <v>2472</v>
      </c>
      <c r="E1810" t="s">
        <v>2474</v>
      </c>
      <c r="F1810" t="s">
        <v>1852</v>
      </c>
      <c r="G1810" t="s">
        <v>1852</v>
      </c>
      <c r="H1810" s="10">
        <v>147352</v>
      </c>
      <c r="I1810">
        <f>IFERROR(VLOOKUP(Final!F1810,'LEAID Match'!$A$2:$B$374,2,FALSE),"")</f>
        <v>408430</v>
      </c>
      <c r="K1810" s="10">
        <f t="shared" si="28"/>
        <v>147352</v>
      </c>
    </row>
    <row r="1811" spans="1:11">
      <c r="A1811">
        <v>408430</v>
      </c>
      <c r="B1811" s="10">
        <v>2023</v>
      </c>
      <c r="C1811" t="s">
        <v>909</v>
      </c>
      <c r="D1811" t="s">
        <v>2472</v>
      </c>
      <c r="E1811" t="s">
        <v>2474</v>
      </c>
      <c r="F1811" t="s">
        <v>1852</v>
      </c>
      <c r="G1811" t="s">
        <v>1852</v>
      </c>
      <c r="H1811" s="10">
        <v>131684</v>
      </c>
      <c r="I1811">
        <f>IFERROR(VLOOKUP(Final!F1811,'LEAID Match'!$A$2:$B$374,2,FALSE),"")</f>
        <v>408430</v>
      </c>
      <c r="K1811" s="10">
        <f t="shared" si="28"/>
        <v>131684</v>
      </c>
    </row>
    <row r="1812" spans="1:11">
      <c r="A1812">
        <v>406810</v>
      </c>
      <c r="B1812" s="10">
        <v>2015</v>
      </c>
      <c r="C1812" t="s">
        <v>1026</v>
      </c>
      <c r="D1812" t="s">
        <v>2472</v>
      </c>
      <c r="E1812" t="s">
        <v>2474</v>
      </c>
      <c r="F1812" t="s">
        <v>1907</v>
      </c>
      <c r="G1812" t="s">
        <v>971</v>
      </c>
      <c r="H1812" s="10">
        <v>2253191</v>
      </c>
      <c r="I1812">
        <f>IFERROR(VLOOKUP(Final!F1812,'LEAID Match'!$A$2:$B$374,2,FALSE),"")</f>
        <v>406810</v>
      </c>
      <c r="K1812" s="10">
        <f t="shared" si="28"/>
        <v>2253191</v>
      </c>
    </row>
    <row r="1813" spans="1:11">
      <c r="A1813">
        <v>406810</v>
      </c>
      <c r="B1813" s="10">
        <v>2016</v>
      </c>
      <c r="C1813" t="s">
        <v>1026</v>
      </c>
      <c r="D1813" t="s">
        <v>2472</v>
      </c>
      <c r="E1813" t="s">
        <v>2474</v>
      </c>
      <c r="F1813" t="s">
        <v>1907</v>
      </c>
      <c r="G1813" t="s">
        <v>971</v>
      </c>
      <c r="H1813" s="10">
        <v>2484302</v>
      </c>
      <c r="I1813">
        <f>IFERROR(VLOOKUP(Final!F1813,'LEAID Match'!$A$2:$B$374,2,FALSE),"")</f>
        <v>406810</v>
      </c>
      <c r="K1813" s="10">
        <f t="shared" si="28"/>
        <v>2484302</v>
      </c>
    </row>
    <row r="1814" spans="1:11">
      <c r="A1814">
        <v>406810</v>
      </c>
      <c r="B1814" s="10">
        <v>2017</v>
      </c>
      <c r="C1814" t="s">
        <v>1026</v>
      </c>
      <c r="D1814" t="s">
        <v>2472</v>
      </c>
      <c r="E1814" t="s">
        <v>2474</v>
      </c>
      <c r="F1814" t="s">
        <v>1907</v>
      </c>
      <c r="G1814" t="s">
        <v>1907</v>
      </c>
      <c r="H1814" s="10">
        <v>3035263</v>
      </c>
      <c r="I1814">
        <f>IFERROR(VLOOKUP(Final!F1814,'LEAID Match'!$A$2:$B$374,2,FALSE),"")</f>
        <v>406810</v>
      </c>
      <c r="K1814" s="10">
        <f t="shared" si="28"/>
        <v>3035263</v>
      </c>
    </row>
    <row r="1815" spans="1:11">
      <c r="A1815">
        <v>406810</v>
      </c>
      <c r="B1815" s="10">
        <v>2018</v>
      </c>
      <c r="C1815" t="s">
        <v>1026</v>
      </c>
      <c r="D1815" t="s">
        <v>2472</v>
      </c>
      <c r="E1815" t="s">
        <v>2474</v>
      </c>
      <c r="F1815" t="s">
        <v>1907</v>
      </c>
      <c r="G1815" t="s">
        <v>2291</v>
      </c>
      <c r="H1815" s="10">
        <v>3510622</v>
      </c>
      <c r="I1815">
        <f>IFERROR(VLOOKUP(Final!F1815,'LEAID Match'!$A$2:$B$374,2,FALSE),"")</f>
        <v>406810</v>
      </c>
      <c r="K1815" s="10">
        <f t="shared" si="28"/>
        <v>3510622</v>
      </c>
    </row>
    <row r="1816" spans="1:11">
      <c r="A1816">
        <v>406810</v>
      </c>
      <c r="B1816" s="10">
        <v>2019</v>
      </c>
      <c r="C1816" t="s">
        <v>1026</v>
      </c>
      <c r="D1816" t="s">
        <v>2472</v>
      </c>
      <c r="E1816" t="s">
        <v>2474</v>
      </c>
      <c r="F1816" t="s">
        <v>1907</v>
      </c>
      <c r="G1816" t="s">
        <v>1907</v>
      </c>
      <c r="H1816" s="10">
        <v>4196644</v>
      </c>
      <c r="I1816">
        <f>IFERROR(VLOOKUP(Final!F1816,'LEAID Match'!$A$2:$B$374,2,FALSE),"")</f>
        <v>406810</v>
      </c>
      <c r="K1816" s="10">
        <f t="shared" si="28"/>
        <v>4196644</v>
      </c>
    </row>
    <row r="1817" spans="1:11">
      <c r="A1817">
        <v>406810</v>
      </c>
      <c r="B1817" s="10">
        <v>2020</v>
      </c>
      <c r="C1817" t="s">
        <v>1026</v>
      </c>
      <c r="D1817" t="s">
        <v>2472</v>
      </c>
      <c r="E1817" t="s">
        <v>2474</v>
      </c>
      <c r="F1817" t="s">
        <v>1907</v>
      </c>
      <c r="G1817" t="s">
        <v>1907</v>
      </c>
      <c r="H1817" s="10">
        <v>5319551</v>
      </c>
      <c r="I1817">
        <f>IFERROR(VLOOKUP(Final!F1817,'LEAID Match'!$A$2:$B$374,2,FALSE),"")</f>
        <v>406810</v>
      </c>
      <c r="K1817" s="10">
        <f t="shared" si="28"/>
        <v>5319551</v>
      </c>
    </row>
    <row r="1818" spans="1:11">
      <c r="A1818">
        <v>406810</v>
      </c>
      <c r="B1818" s="10">
        <v>2021</v>
      </c>
      <c r="C1818" t="s">
        <v>1026</v>
      </c>
      <c r="D1818" t="s">
        <v>2472</v>
      </c>
      <c r="E1818" t="s">
        <v>2474</v>
      </c>
      <c r="F1818" t="s">
        <v>1907</v>
      </c>
      <c r="G1818" t="s">
        <v>1907</v>
      </c>
      <c r="H1818" s="10">
        <v>6061784</v>
      </c>
      <c r="I1818">
        <f>IFERROR(VLOOKUP(Final!F1818,'LEAID Match'!$A$2:$B$374,2,FALSE),"")</f>
        <v>406810</v>
      </c>
      <c r="K1818" s="10">
        <f t="shared" si="28"/>
        <v>6061784</v>
      </c>
    </row>
    <row r="1819" spans="1:11">
      <c r="A1819">
        <v>406810</v>
      </c>
      <c r="B1819" s="10">
        <v>2022</v>
      </c>
      <c r="C1819" t="s">
        <v>1026</v>
      </c>
      <c r="D1819" t="s">
        <v>2472</v>
      </c>
      <c r="E1819" t="s">
        <v>2474</v>
      </c>
      <c r="F1819" t="s">
        <v>1907</v>
      </c>
      <c r="G1819" t="s">
        <v>1907</v>
      </c>
      <c r="H1819" s="10">
        <v>7647134</v>
      </c>
      <c r="I1819">
        <f>IFERROR(VLOOKUP(Final!F1819,'LEAID Match'!$A$2:$B$374,2,FALSE),"")</f>
        <v>406810</v>
      </c>
      <c r="K1819" s="10">
        <f t="shared" si="28"/>
        <v>7647134</v>
      </c>
    </row>
    <row r="1820" spans="1:11">
      <c r="A1820">
        <v>406810</v>
      </c>
      <c r="B1820" s="10">
        <v>2023</v>
      </c>
      <c r="C1820" t="s">
        <v>1026</v>
      </c>
      <c r="D1820" t="s">
        <v>2472</v>
      </c>
      <c r="E1820" t="s">
        <v>2474</v>
      </c>
      <c r="F1820" t="s">
        <v>1907</v>
      </c>
      <c r="G1820" t="s">
        <v>1907</v>
      </c>
      <c r="H1820" s="10">
        <v>9101887</v>
      </c>
      <c r="I1820">
        <f>IFERROR(VLOOKUP(Final!F1820,'LEAID Match'!$A$2:$B$374,2,FALSE),"")</f>
        <v>406810</v>
      </c>
      <c r="K1820" s="10">
        <f t="shared" si="28"/>
        <v>9101887</v>
      </c>
    </row>
    <row r="1821" spans="1:11">
      <c r="A1821">
        <v>407750</v>
      </c>
      <c r="B1821" s="10">
        <v>2015</v>
      </c>
      <c r="C1821" t="s">
        <v>552</v>
      </c>
      <c r="D1821" t="s">
        <v>2472</v>
      </c>
      <c r="E1821" t="s">
        <v>2474</v>
      </c>
      <c r="F1821" t="s">
        <v>1688</v>
      </c>
      <c r="G1821" t="s">
        <v>497</v>
      </c>
      <c r="H1821" s="10">
        <v>15288215</v>
      </c>
      <c r="I1821">
        <f>IFERROR(VLOOKUP(Final!F1821,'LEAID Match'!$A$2:$B$374,2,FALSE),"")</f>
        <v>407750</v>
      </c>
      <c r="K1821" s="10">
        <f t="shared" si="28"/>
        <v>15288215</v>
      </c>
    </row>
    <row r="1822" spans="1:11">
      <c r="A1822">
        <v>407750</v>
      </c>
      <c r="B1822" s="10">
        <v>2016</v>
      </c>
      <c r="C1822" t="s">
        <v>552</v>
      </c>
      <c r="D1822" t="s">
        <v>2472</v>
      </c>
      <c r="E1822" t="s">
        <v>2474</v>
      </c>
      <c r="F1822" t="s">
        <v>1688</v>
      </c>
      <c r="G1822" t="s">
        <v>497</v>
      </c>
      <c r="H1822" s="10">
        <v>15172471</v>
      </c>
      <c r="I1822">
        <f>IFERROR(VLOOKUP(Final!F1822,'LEAID Match'!$A$2:$B$374,2,FALSE),"")</f>
        <v>407750</v>
      </c>
      <c r="K1822" s="10">
        <f t="shared" si="28"/>
        <v>15172471</v>
      </c>
    </row>
    <row r="1823" spans="1:11">
      <c r="A1823">
        <v>407750</v>
      </c>
      <c r="B1823" s="10">
        <v>2017</v>
      </c>
      <c r="C1823" t="s">
        <v>552</v>
      </c>
      <c r="D1823" t="s">
        <v>2472</v>
      </c>
      <c r="E1823" t="s">
        <v>2474</v>
      </c>
      <c r="F1823" t="s">
        <v>1688</v>
      </c>
      <c r="G1823" t="s">
        <v>1688</v>
      </c>
      <c r="H1823" s="10">
        <v>16263471</v>
      </c>
      <c r="I1823">
        <f>IFERROR(VLOOKUP(Final!F1823,'LEAID Match'!$A$2:$B$374,2,FALSE),"")</f>
        <v>407750</v>
      </c>
      <c r="K1823" s="10">
        <f t="shared" si="28"/>
        <v>16263471</v>
      </c>
    </row>
    <row r="1824" spans="1:11">
      <c r="A1824">
        <v>407750</v>
      </c>
      <c r="B1824" s="10">
        <v>2018</v>
      </c>
      <c r="C1824" t="s">
        <v>552</v>
      </c>
      <c r="D1824" t="s">
        <v>2472</v>
      </c>
      <c r="E1824" t="s">
        <v>2474</v>
      </c>
      <c r="F1824" t="s">
        <v>1688</v>
      </c>
      <c r="G1824" t="s">
        <v>2171</v>
      </c>
      <c r="H1824" s="10">
        <v>16319115</v>
      </c>
      <c r="I1824">
        <f>IFERROR(VLOOKUP(Final!F1824,'LEAID Match'!$A$2:$B$374,2,FALSE),"")</f>
        <v>407750</v>
      </c>
      <c r="K1824" s="10">
        <f t="shared" si="28"/>
        <v>16319115</v>
      </c>
    </row>
    <row r="1825" spans="1:11">
      <c r="A1825">
        <v>407750</v>
      </c>
      <c r="B1825" s="10">
        <v>2019</v>
      </c>
      <c r="C1825" t="s">
        <v>552</v>
      </c>
      <c r="D1825" t="s">
        <v>2472</v>
      </c>
      <c r="E1825" t="s">
        <v>2474</v>
      </c>
      <c r="F1825" t="s">
        <v>1688</v>
      </c>
      <c r="G1825" t="s">
        <v>1688</v>
      </c>
      <c r="H1825" s="10">
        <v>18053054</v>
      </c>
      <c r="I1825">
        <f>IFERROR(VLOOKUP(Final!F1825,'LEAID Match'!$A$2:$B$374,2,FALSE),"")</f>
        <v>407750</v>
      </c>
      <c r="K1825" s="10">
        <f t="shared" si="28"/>
        <v>18053054</v>
      </c>
    </row>
    <row r="1826" spans="1:11">
      <c r="A1826">
        <v>407750</v>
      </c>
      <c r="B1826" s="10">
        <v>2020</v>
      </c>
      <c r="C1826" t="s">
        <v>552</v>
      </c>
      <c r="D1826" t="s">
        <v>2472</v>
      </c>
      <c r="E1826" t="s">
        <v>2474</v>
      </c>
      <c r="F1826" t="s">
        <v>1688</v>
      </c>
      <c r="G1826" t="s">
        <v>1688</v>
      </c>
      <c r="H1826" s="10">
        <v>19885059</v>
      </c>
      <c r="I1826">
        <f>IFERROR(VLOOKUP(Final!F1826,'LEAID Match'!$A$2:$B$374,2,FALSE),"")</f>
        <v>407750</v>
      </c>
      <c r="K1826" s="10">
        <f t="shared" si="28"/>
        <v>19885059</v>
      </c>
    </row>
    <row r="1827" spans="1:11">
      <c r="A1827">
        <v>407750</v>
      </c>
      <c r="B1827" s="10">
        <v>2021</v>
      </c>
      <c r="C1827" t="s">
        <v>552</v>
      </c>
      <c r="D1827" t="s">
        <v>2472</v>
      </c>
      <c r="E1827" t="s">
        <v>2474</v>
      </c>
      <c r="F1827" t="s">
        <v>1688</v>
      </c>
      <c r="G1827" t="s">
        <v>1688</v>
      </c>
      <c r="H1827" s="10">
        <v>20940874</v>
      </c>
      <c r="I1827">
        <f>IFERROR(VLOOKUP(Final!F1827,'LEAID Match'!$A$2:$B$374,2,FALSE),"")</f>
        <v>407750</v>
      </c>
      <c r="K1827" s="10">
        <f t="shared" si="28"/>
        <v>20940874</v>
      </c>
    </row>
    <row r="1828" spans="1:11">
      <c r="A1828">
        <v>407750</v>
      </c>
      <c r="B1828" s="10">
        <v>2022</v>
      </c>
      <c r="C1828" t="s">
        <v>552</v>
      </c>
      <c r="D1828" t="s">
        <v>2472</v>
      </c>
      <c r="E1828" t="s">
        <v>2474</v>
      </c>
      <c r="F1828" t="s">
        <v>1688</v>
      </c>
      <c r="G1828" t="s">
        <v>1688</v>
      </c>
      <c r="H1828" s="10">
        <v>22349628</v>
      </c>
      <c r="I1828">
        <f>IFERROR(VLOOKUP(Final!F1828,'LEAID Match'!$A$2:$B$374,2,FALSE),"")</f>
        <v>407750</v>
      </c>
      <c r="K1828" s="10">
        <f t="shared" si="28"/>
        <v>22349628</v>
      </c>
    </row>
    <row r="1829" spans="1:11">
      <c r="A1829">
        <v>407750</v>
      </c>
      <c r="B1829" s="10">
        <v>2023</v>
      </c>
      <c r="C1829" t="s">
        <v>552</v>
      </c>
      <c r="D1829" t="s">
        <v>2472</v>
      </c>
      <c r="E1829" t="s">
        <v>2474</v>
      </c>
      <c r="F1829" t="s">
        <v>1688</v>
      </c>
      <c r="G1829" t="s">
        <v>1688</v>
      </c>
      <c r="H1829" s="10">
        <v>24526610</v>
      </c>
      <c r="I1829">
        <f>IFERROR(VLOOKUP(Final!F1829,'LEAID Match'!$A$2:$B$374,2,FALSE),"")</f>
        <v>407750</v>
      </c>
      <c r="K1829" s="10">
        <f t="shared" si="28"/>
        <v>24526610</v>
      </c>
    </row>
    <row r="1830" spans="1:11">
      <c r="A1830">
        <v>403040</v>
      </c>
      <c r="B1830" s="10">
        <v>2015</v>
      </c>
      <c r="C1830" t="s">
        <v>596</v>
      </c>
      <c r="D1830" t="s">
        <v>2472</v>
      </c>
      <c r="E1830" t="s">
        <v>2474</v>
      </c>
      <c r="F1830" t="s">
        <v>1723</v>
      </c>
      <c r="G1830" t="s">
        <v>541</v>
      </c>
      <c r="H1830" s="10">
        <v>791651</v>
      </c>
      <c r="I1830">
        <f>IFERROR(VLOOKUP(Final!F1830,'LEAID Match'!$A$2:$B$374,2,FALSE),"")</f>
        <v>403040</v>
      </c>
      <c r="K1830" s="10">
        <f t="shared" si="28"/>
        <v>791651</v>
      </c>
    </row>
    <row r="1831" spans="1:11">
      <c r="A1831">
        <v>403040</v>
      </c>
      <c r="B1831" s="10">
        <v>2016</v>
      </c>
      <c r="C1831" t="s">
        <v>596</v>
      </c>
      <c r="D1831" t="s">
        <v>2472</v>
      </c>
      <c r="E1831" t="s">
        <v>2474</v>
      </c>
      <c r="F1831" t="s">
        <v>1723</v>
      </c>
      <c r="G1831" t="s">
        <v>541</v>
      </c>
      <c r="H1831" s="10">
        <v>704587</v>
      </c>
      <c r="I1831">
        <f>IFERROR(VLOOKUP(Final!F1831,'LEAID Match'!$A$2:$B$374,2,FALSE),"")</f>
        <v>403040</v>
      </c>
      <c r="K1831" s="10">
        <f t="shared" si="28"/>
        <v>704587</v>
      </c>
    </row>
    <row r="1832" spans="1:11">
      <c r="A1832">
        <v>403040</v>
      </c>
      <c r="B1832" s="10">
        <v>2017</v>
      </c>
      <c r="C1832" t="s">
        <v>596</v>
      </c>
      <c r="D1832" t="s">
        <v>2472</v>
      </c>
      <c r="E1832" t="s">
        <v>2474</v>
      </c>
      <c r="F1832" t="s">
        <v>1723</v>
      </c>
      <c r="G1832" t="s">
        <v>1723</v>
      </c>
      <c r="H1832" s="10">
        <v>709444</v>
      </c>
      <c r="I1832">
        <f>IFERROR(VLOOKUP(Final!F1832,'LEAID Match'!$A$2:$B$374,2,FALSE),"")</f>
        <v>403040</v>
      </c>
      <c r="K1832" s="10">
        <f t="shared" si="28"/>
        <v>709444</v>
      </c>
    </row>
    <row r="1833" spans="1:11">
      <c r="A1833">
        <v>403040</v>
      </c>
      <c r="B1833" s="10">
        <v>2018</v>
      </c>
      <c r="C1833" t="s">
        <v>596</v>
      </c>
      <c r="D1833" t="s">
        <v>2472</v>
      </c>
      <c r="E1833" t="s">
        <v>2474</v>
      </c>
      <c r="F1833" t="s">
        <v>1723</v>
      </c>
      <c r="G1833" t="s">
        <v>2192</v>
      </c>
      <c r="H1833" s="10">
        <v>691030</v>
      </c>
      <c r="I1833">
        <f>IFERROR(VLOOKUP(Final!F1833,'LEAID Match'!$A$2:$B$374,2,FALSE),"")</f>
        <v>403040</v>
      </c>
      <c r="K1833" s="10">
        <f t="shared" si="28"/>
        <v>691030</v>
      </c>
    </row>
    <row r="1834" spans="1:11">
      <c r="A1834">
        <v>403040</v>
      </c>
      <c r="B1834" s="10">
        <v>2019</v>
      </c>
      <c r="C1834" t="s">
        <v>596</v>
      </c>
      <c r="D1834" t="s">
        <v>2472</v>
      </c>
      <c r="E1834" t="s">
        <v>2474</v>
      </c>
      <c r="F1834" t="s">
        <v>1723</v>
      </c>
      <c r="G1834" t="s">
        <v>1723</v>
      </c>
      <c r="H1834" s="10">
        <v>754728</v>
      </c>
      <c r="I1834">
        <f>IFERROR(VLOOKUP(Final!F1834,'LEAID Match'!$A$2:$B$374,2,FALSE),"")</f>
        <v>403040</v>
      </c>
      <c r="K1834" s="10">
        <f t="shared" si="28"/>
        <v>754728</v>
      </c>
    </row>
    <row r="1835" spans="1:11">
      <c r="A1835">
        <v>403040</v>
      </c>
      <c r="B1835" s="10">
        <v>2020</v>
      </c>
      <c r="C1835" t="s">
        <v>596</v>
      </c>
      <c r="D1835" t="s">
        <v>2472</v>
      </c>
      <c r="E1835" t="s">
        <v>2474</v>
      </c>
      <c r="F1835" t="s">
        <v>1723</v>
      </c>
      <c r="G1835" t="s">
        <v>1723</v>
      </c>
      <c r="H1835" s="10">
        <v>840902</v>
      </c>
      <c r="I1835">
        <f>IFERROR(VLOOKUP(Final!F1835,'LEAID Match'!$A$2:$B$374,2,FALSE),"")</f>
        <v>403040</v>
      </c>
      <c r="K1835" s="10">
        <f t="shared" si="28"/>
        <v>840902</v>
      </c>
    </row>
    <row r="1836" spans="1:11">
      <c r="A1836">
        <v>403040</v>
      </c>
      <c r="B1836" s="10">
        <v>2021</v>
      </c>
      <c r="C1836" t="s">
        <v>596</v>
      </c>
      <c r="D1836" t="s">
        <v>2472</v>
      </c>
      <c r="E1836" t="s">
        <v>2474</v>
      </c>
      <c r="F1836" t="s">
        <v>1723</v>
      </c>
      <c r="G1836" t="s">
        <v>1723</v>
      </c>
      <c r="H1836" s="10">
        <v>817971</v>
      </c>
      <c r="I1836">
        <f>IFERROR(VLOOKUP(Final!F1836,'LEAID Match'!$A$2:$B$374,2,FALSE),"")</f>
        <v>403040</v>
      </c>
      <c r="K1836" s="10">
        <f t="shared" si="28"/>
        <v>817971</v>
      </c>
    </row>
    <row r="1837" spans="1:11">
      <c r="A1837">
        <v>403040</v>
      </c>
      <c r="B1837" s="10">
        <v>2022</v>
      </c>
      <c r="C1837" t="s">
        <v>596</v>
      </c>
      <c r="D1837" t="s">
        <v>2472</v>
      </c>
      <c r="E1837" t="s">
        <v>2474</v>
      </c>
      <c r="F1837" t="s">
        <v>1723</v>
      </c>
      <c r="G1837" t="s">
        <v>1723</v>
      </c>
      <c r="H1837" s="10">
        <v>909002</v>
      </c>
      <c r="I1837">
        <f>IFERROR(VLOOKUP(Final!F1837,'LEAID Match'!$A$2:$B$374,2,FALSE),"")</f>
        <v>403040</v>
      </c>
      <c r="K1837" s="10">
        <f t="shared" si="28"/>
        <v>909002</v>
      </c>
    </row>
    <row r="1838" spans="1:11">
      <c r="A1838">
        <v>403040</v>
      </c>
      <c r="B1838" s="10">
        <v>2023</v>
      </c>
      <c r="C1838" t="s">
        <v>596</v>
      </c>
      <c r="D1838" t="s">
        <v>2472</v>
      </c>
      <c r="E1838" t="s">
        <v>2474</v>
      </c>
      <c r="F1838" t="s">
        <v>1723</v>
      </c>
      <c r="G1838" t="s">
        <v>1723</v>
      </c>
      <c r="H1838" s="10">
        <v>963236</v>
      </c>
      <c r="I1838">
        <f>IFERROR(VLOOKUP(Final!F1838,'LEAID Match'!$A$2:$B$374,2,FALSE),"")</f>
        <v>403040</v>
      </c>
      <c r="K1838" s="10">
        <f t="shared" si="28"/>
        <v>963236</v>
      </c>
    </row>
    <row r="1839" spans="1:11">
      <c r="A1839">
        <v>400772</v>
      </c>
      <c r="B1839" s="10">
        <v>2015</v>
      </c>
      <c r="C1839" t="s">
        <v>814</v>
      </c>
      <c r="D1839" t="s">
        <v>2472</v>
      </c>
      <c r="E1839" t="s">
        <v>2474</v>
      </c>
      <c r="F1839" t="s">
        <v>1820</v>
      </c>
      <c r="G1839" t="s">
        <v>759</v>
      </c>
      <c r="H1839" s="10">
        <v>83092</v>
      </c>
      <c r="I1839">
        <f>IFERROR(VLOOKUP(Final!F1839,'LEAID Match'!$A$2:$B$374,2,FALSE),"")</f>
        <v>400772</v>
      </c>
      <c r="K1839" s="10">
        <f t="shared" si="28"/>
        <v>83092</v>
      </c>
    </row>
    <row r="1840" spans="1:11">
      <c r="A1840">
        <v>400772</v>
      </c>
      <c r="B1840" s="10">
        <v>2016</v>
      </c>
      <c r="C1840" t="s">
        <v>814</v>
      </c>
      <c r="D1840" t="s">
        <v>2472</v>
      </c>
      <c r="E1840" t="s">
        <v>2474</v>
      </c>
      <c r="F1840" t="s">
        <v>1820</v>
      </c>
      <c r="G1840" t="s">
        <v>759</v>
      </c>
      <c r="H1840" s="10">
        <v>61381</v>
      </c>
      <c r="I1840">
        <f>IFERROR(VLOOKUP(Final!F1840,'LEAID Match'!$A$2:$B$374,2,FALSE),"")</f>
        <v>400772</v>
      </c>
      <c r="K1840" s="10">
        <f t="shared" si="28"/>
        <v>61381</v>
      </c>
    </row>
    <row r="1841" spans="1:11">
      <c r="A1841">
        <v>400772</v>
      </c>
      <c r="B1841" s="10">
        <v>2017</v>
      </c>
      <c r="C1841" t="s">
        <v>814</v>
      </c>
      <c r="D1841" t="s">
        <v>2472</v>
      </c>
      <c r="E1841" t="s">
        <v>2474</v>
      </c>
      <c r="F1841" t="s">
        <v>1820</v>
      </c>
      <c r="G1841" t="s">
        <v>1820</v>
      </c>
      <c r="H1841" s="10">
        <v>60635</v>
      </c>
      <c r="I1841">
        <f>IFERROR(VLOOKUP(Final!F1841,'LEAID Match'!$A$2:$B$374,2,FALSE),"")</f>
        <v>400772</v>
      </c>
      <c r="K1841" s="10">
        <f t="shared" si="28"/>
        <v>60635</v>
      </c>
    </row>
    <row r="1842" spans="1:11">
      <c r="A1842">
        <v>400772</v>
      </c>
      <c r="B1842" s="10">
        <v>2018</v>
      </c>
      <c r="C1842" t="s">
        <v>814</v>
      </c>
      <c r="D1842" t="s">
        <v>2472</v>
      </c>
      <c r="E1842" t="s">
        <v>2474</v>
      </c>
      <c r="F1842" t="s">
        <v>1820</v>
      </c>
      <c r="G1842" t="s">
        <v>1820</v>
      </c>
      <c r="H1842" s="10">
        <v>71408</v>
      </c>
      <c r="I1842">
        <f>IFERROR(VLOOKUP(Final!F1842,'LEAID Match'!$A$2:$B$374,2,FALSE),"")</f>
        <v>400772</v>
      </c>
      <c r="K1842" s="10">
        <f t="shared" si="28"/>
        <v>71408</v>
      </c>
    </row>
    <row r="1843" spans="1:11">
      <c r="A1843">
        <v>400772</v>
      </c>
      <c r="B1843" s="10">
        <v>2019</v>
      </c>
      <c r="C1843" t="s">
        <v>814</v>
      </c>
      <c r="D1843" t="s">
        <v>2472</v>
      </c>
      <c r="E1843" t="s">
        <v>2474</v>
      </c>
      <c r="F1843" t="s">
        <v>1820</v>
      </c>
      <c r="G1843" t="s">
        <v>1820</v>
      </c>
      <c r="H1843" s="10">
        <v>66950</v>
      </c>
      <c r="I1843">
        <f>IFERROR(VLOOKUP(Final!F1843,'LEAID Match'!$A$2:$B$374,2,FALSE),"")</f>
        <v>400772</v>
      </c>
      <c r="K1843" s="10">
        <f t="shared" si="28"/>
        <v>66950</v>
      </c>
    </row>
    <row r="1844" spans="1:11">
      <c r="A1844">
        <v>400772</v>
      </c>
      <c r="B1844" s="10">
        <v>2020</v>
      </c>
      <c r="C1844" t="s">
        <v>814</v>
      </c>
      <c r="D1844" t="s">
        <v>2472</v>
      </c>
      <c r="E1844" t="s">
        <v>2474</v>
      </c>
      <c r="F1844" t="s">
        <v>1820</v>
      </c>
      <c r="G1844" t="s">
        <v>1820</v>
      </c>
      <c r="H1844" s="10">
        <v>44619</v>
      </c>
      <c r="I1844">
        <f>IFERROR(VLOOKUP(Final!F1844,'LEAID Match'!$A$2:$B$374,2,FALSE),"")</f>
        <v>400772</v>
      </c>
      <c r="K1844" s="10">
        <f t="shared" si="28"/>
        <v>44619</v>
      </c>
    </row>
    <row r="1845" spans="1:11">
      <c r="A1845">
        <v>400772</v>
      </c>
      <c r="B1845" s="10">
        <v>2021</v>
      </c>
      <c r="C1845" t="s">
        <v>814</v>
      </c>
      <c r="D1845" t="s">
        <v>2472</v>
      </c>
      <c r="E1845" t="s">
        <v>2474</v>
      </c>
      <c r="F1845" t="s">
        <v>1820</v>
      </c>
      <c r="G1845" t="s">
        <v>1820</v>
      </c>
      <c r="H1845" s="10">
        <v>57777</v>
      </c>
      <c r="I1845">
        <f>IFERROR(VLOOKUP(Final!F1845,'LEAID Match'!$A$2:$B$374,2,FALSE),"")</f>
        <v>400772</v>
      </c>
      <c r="K1845" s="10">
        <f t="shared" si="28"/>
        <v>57777</v>
      </c>
    </row>
    <row r="1846" spans="1:11">
      <c r="A1846">
        <v>400772</v>
      </c>
      <c r="B1846" s="10">
        <v>2022</v>
      </c>
      <c r="C1846" t="s">
        <v>814</v>
      </c>
      <c r="D1846" t="s">
        <v>2472</v>
      </c>
      <c r="E1846" t="s">
        <v>2474</v>
      </c>
      <c r="F1846" t="s">
        <v>1820</v>
      </c>
      <c r="G1846" t="s">
        <v>1820</v>
      </c>
      <c r="H1846" s="10">
        <v>64299</v>
      </c>
      <c r="I1846">
        <f>IFERROR(VLOOKUP(Final!F1846,'LEAID Match'!$A$2:$B$374,2,FALSE),"")</f>
        <v>400772</v>
      </c>
      <c r="K1846" s="10">
        <f t="shared" si="28"/>
        <v>64299</v>
      </c>
    </row>
    <row r="1847" spans="1:11">
      <c r="A1847">
        <v>400772</v>
      </c>
      <c r="B1847" s="10">
        <v>2023</v>
      </c>
      <c r="C1847" t="s">
        <v>814</v>
      </c>
      <c r="D1847" t="s">
        <v>2472</v>
      </c>
      <c r="E1847" t="s">
        <v>2474</v>
      </c>
      <c r="F1847" t="s">
        <v>1820</v>
      </c>
      <c r="G1847" t="s">
        <v>1820</v>
      </c>
      <c r="H1847" s="10">
        <v>74560</v>
      </c>
      <c r="I1847">
        <f>IFERROR(VLOOKUP(Final!F1847,'LEAID Match'!$A$2:$B$374,2,FALSE),"")</f>
        <v>400772</v>
      </c>
      <c r="K1847" s="10">
        <f t="shared" si="28"/>
        <v>74560</v>
      </c>
    </row>
    <row r="1848" spans="1:11">
      <c r="A1848">
        <v>401410</v>
      </c>
      <c r="B1848" s="10">
        <v>2015</v>
      </c>
      <c r="C1848" t="s">
        <v>336</v>
      </c>
      <c r="D1848" t="s">
        <v>2472</v>
      </c>
      <c r="E1848" t="s">
        <v>2474</v>
      </c>
      <c r="F1848" t="s">
        <v>1634</v>
      </c>
      <c r="G1848" t="s">
        <v>282</v>
      </c>
      <c r="H1848" s="10">
        <v>1744191</v>
      </c>
      <c r="I1848">
        <f>IFERROR(VLOOKUP(Final!F1848,'LEAID Match'!$A$2:$B$374,2,FALSE),"")</f>
        <v>401410</v>
      </c>
      <c r="K1848" s="10">
        <f t="shared" si="28"/>
        <v>1744191</v>
      </c>
    </row>
    <row r="1849" spans="1:11">
      <c r="A1849">
        <v>401410</v>
      </c>
      <c r="B1849" s="10">
        <v>2016</v>
      </c>
      <c r="C1849" t="s">
        <v>336</v>
      </c>
      <c r="D1849" t="s">
        <v>2472</v>
      </c>
      <c r="E1849" t="s">
        <v>2474</v>
      </c>
      <c r="F1849" t="s">
        <v>1634</v>
      </c>
      <c r="G1849" t="s">
        <v>282</v>
      </c>
      <c r="H1849" s="10">
        <v>1859567</v>
      </c>
      <c r="I1849">
        <f>IFERROR(VLOOKUP(Final!F1849,'LEAID Match'!$A$2:$B$374,2,FALSE),"")</f>
        <v>401410</v>
      </c>
      <c r="K1849" s="10">
        <f t="shared" si="28"/>
        <v>1859567</v>
      </c>
    </row>
    <row r="1850" spans="1:11">
      <c r="A1850">
        <v>401410</v>
      </c>
      <c r="B1850" s="10">
        <v>2017</v>
      </c>
      <c r="C1850" t="s">
        <v>336</v>
      </c>
      <c r="D1850" t="s">
        <v>2472</v>
      </c>
      <c r="E1850" t="s">
        <v>2474</v>
      </c>
      <c r="F1850" t="s">
        <v>1634</v>
      </c>
      <c r="G1850" t="s">
        <v>1634</v>
      </c>
      <c r="H1850" s="10">
        <v>2061682</v>
      </c>
      <c r="I1850">
        <f>IFERROR(VLOOKUP(Final!F1850,'LEAID Match'!$A$2:$B$374,2,FALSE),"")</f>
        <v>401410</v>
      </c>
      <c r="K1850" s="10">
        <f t="shared" si="28"/>
        <v>2061682</v>
      </c>
    </row>
    <row r="1851" spans="1:11">
      <c r="A1851">
        <v>401410</v>
      </c>
      <c r="B1851" s="10">
        <v>2018</v>
      </c>
      <c r="C1851" t="s">
        <v>336</v>
      </c>
      <c r="D1851" t="s">
        <v>2472</v>
      </c>
      <c r="E1851" t="s">
        <v>2474</v>
      </c>
      <c r="F1851" t="s">
        <v>1634</v>
      </c>
      <c r="G1851" t="s">
        <v>2134</v>
      </c>
      <c r="H1851" s="10">
        <v>2081473</v>
      </c>
      <c r="I1851">
        <f>IFERROR(VLOOKUP(Final!F1851,'LEAID Match'!$A$2:$B$374,2,FALSE),"")</f>
        <v>401410</v>
      </c>
      <c r="K1851" s="10">
        <f t="shared" si="28"/>
        <v>2081473</v>
      </c>
    </row>
    <row r="1852" spans="1:11">
      <c r="A1852">
        <v>401410</v>
      </c>
      <c r="B1852" s="10">
        <v>2019</v>
      </c>
      <c r="C1852" t="s">
        <v>336</v>
      </c>
      <c r="D1852" t="s">
        <v>2472</v>
      </c>
      <c r="E1852" t="s">
        <v>2474</v>
      </c>
      <c r="F1852" t="s">
        <v>1634</v>
      </c>
      <c r="G1852" t="s">
        <v>1634</v>
      </c>
      <c r="H1852" s="10">
        <v>2351829</v>
      </c>
      <c r="I1852">
        <f>IFERROR(VLOOKUP(Final!F1852,'LEAID Match'!$A$2:$B$374,2,FALSE),"")</f>
        <v>401410</v>
      </c>
      <c r="K1852" s="10">
        <f t="shared" si="28"/>
        <v>2351829</v>
      </c>
    </row>
    <row r="1853" spans="1:11">
      <c r="A1853">
        <v>401410</v>
      </c>
      <c r="B1853" s="10">
        <v>2020</v>
      </c>
      <c r="C1853" t="s">
        <v>336</v>
      </c>
      <c r="D1853" t="s">
        <v>2472</v>
      </c>
      <c r="E1853" t="s">
        <v>2474</v>
      </c>
      <c r="F1853" t="s">
        <v>1634</v>
      </c>
      <c r="G1853" t="s">
        <v>1634</v>
      </c>
      <c r="H1853" s="10">
        <v>2583761</v>
      </c>
      <c r="I1853">
        <f>IFERROR(VLOOKUP(Final!F1853,'LEAID Match'!$A$2:$B$374,2,FALSE),"")</f>
        <v>401410</v>
      </c>
      <c r="K1853" s="10">
        <f t="shared" si="28"/>
        <v>2583761</v>
      </c>
    </row>
    <row r="1854" spans="1:11">
      <c r="A1854">
        <v>401410</v>
      </c>
      <c r="B1854" s="10">
        <v>2021</v>
      </c>
      <c r="C1854" t="s">
        <v>336</v>
      </c>
      <c r="D1854" t="s">
        <v>2472</v>
      </c>
      <c r="E1854" t="s">
        <v>2474</v>
      </c>
      <c r="F1854" t="s">
        <v>1634</v>
      </c>
      <c r="G1854" t="s">
        <v>1634</v>
      </c>
      <c r="H1854" s="10">
        <v>2879174</v>
      </c>
      <c r="I1854">
        <f>IFERROR(VLOOKUP(Final!F1854,'LEAID Match'!$A$2:$B$374,2,FALSE),"")</f>
        <v>401410</v>
      </c>
      <c r="K1854" s="10">
        <f t="shared" si="28"/>
        <v>2879174</v>
      </c>
    </row>
    <row r="1855" spans="1:11">
      <c r="A1855">
        <v>401410</v>
      </c>
      <c r="B1855" s="10">
        <v>2022</v>
      </c>
      <c r="C1855" t="s">
        <v>336</v>
      </c>
      <c r="D1855" t="s">
        <v>2472</v>
      </c>
      <c r="E1855" t="s">
        <v>2474</v>
      </c>
      <c r="F1855" t="s">
        <v>1634</v>
      </c>
      <c r="G1855" t="s">
        <v>1634</v>
      </c>
      <c r="H1855" s="10">
        <v>3189214</v>
      </c>
      <c r="I1855">
        <f>IFERROR(VLOOKUP(Final!F1855,'LEAID Match'!$A$2:$B$374,2,FALSE),"")</f>
        <v>401410</v>
      </c>
      <c r="K1855" s="10">
        <f t="shared" si="28"/>
        <v>3189214</v>
      </c>
    </row>
    <row r="1856" spans="1:11">
      <c r="A1856">
        <v>401410</v>
      </c>
      <c r="B1856" s="10">
        <v>2023</v>
      </c>
      <c r="C1856" t="s">
        <v>336</v>
      </c>
      <c r="D1856" t="s">
        <v>2472</v>
      </c>
      <c r="E1856" t="s">
        <v>2474</v>
      </c>
      <c r="F1856" t="s">
        <v>1634</v>
      </c>
      <c r="G1856" t="s">
        <v>1634</v>
      </c>
      <c r="H1856" s="10">
        <v>3416825</v>
      </c>
      <c r="I1856">
        <f>IFERROR(VLOOKUP(Final!F1856,'LEAID Match'!$A$2:$B$374,2,FALSE),"")</f>
        <v>401410</v>
      </c>
      <c r="K1856" s="10">
        <f t="shared" si="28"/>
        <v>3416825</v>
      </c>
    </row>
    <row r="1857" spans="1:11">
      <c r="A1857">
        <v>400318</v>
      </c>
      <c r="B1857" s="10">
        <v>2015</v>
      </c>
      <c r="C1857" t="s">
        <v>81</v>
      </c>
      <c r="D1857" t="s">
        <v>2472</v>
      </c>
      <c r="E1857" t="s">
        <v>2474</v>
      </c>
      <c r="F1857" t="s">
        <v>1506</v>
      </c>
      <c r="G1857" t="s">
        <v>28</v>
      </c>
      <c r="H1857" s="10">
        <v>103869</v>
      </c>
      <c r="I1857">
        <f>IFERROR(VLOOKUP(Final!F1857,'LEAID Match'!$A$2:$B$374,2,FALSE),"")</f>
        <v>400318</v>
      </c>
      <c r="K1857" s="10">
        <f t="shared" si="28"/>
        <v>103869</v>
      </c>
    </row>
    <row r="1858" spans="1:11">
      <c r="A1858">
        <v>400318</v>
      </c>
      <c r="B1858" s="10">
        <v>2016</v>
      </c>
      <c r="C1858" t="s">
        <v>81</v>
      </c>
      <c r="D1858" t="s">
        <v>2472</v>
      </c>
      <c r="E1858" t="s">
        <v>2474</v>
      </c>
      <c r="F1858" t="s">
        <v>1506</v>
      </c>
      <c r="G1858" t="s">
        <v>28</v>
      </c>
      <c r="H1858" s="10">
        <v>116322</v>
      </c>
      <c r="I1858">
        <f>IFERROR(VLOOKUP(Final!F1858,'LEAID Match'!$A$2:$B$374,2,FALSE),"")</f>
        <v>400318</v>
      </c>
      <c r="K1858" s="10">
        <f t="shared" si="28"/>
        <v>116322</v>
      </c>
    </row>
    <row r="1859" spans="1:11">
      <c r="A1859">
        <v>400318</v>
      </c>
      <c r="B1859" s="10">
        <v>2017</v>
      </c>
      <c r="C1859" t="s">
        <v>81</v>
      </c>
      <c r="D1859" t="s">
        <v>2472</v>
      </c>
      <c r="E1859" t="s">
        <v>2474</v>
      </c>
      <c r="F1859" t="s">
        <v>1506</v>
      </c>
      <c r="G1859" t="s">
        <v>1506</v>
      </c>
      <c r="H1859" s="10">
        <v>126269</v>
      </c>
      <c r="I1859">
        <f>IFERROR(VLOOKUP(Final!F1859,'LEAID Match'!$A$2:$B$374,2,FALSE),"")</f>
        <v>400318</v>
      </c>
      <c r="K1859" s="10">
        <f t="shared" ref="K1859:K1922" si="29">SUM(H1859,J1859)</f>
        <v>126269</v>
      </c>
    </row>
    <row r="1860" spans="1:11">
      <c r="A1860">
        <v>400318</v>
      </c>
      <c r="B1860" s="10">
        <v>2018</v>
      </c>
      <c r="C1860" t="s">
        <v>81</v>
      </c>
      <c r="D1860" t="s">
        <v>2472</v>
      </c>
      <c r="E1860" t="s">
        <v>2474</v>
      </c>
      <c r="F1860" t="s">
        <v>1506</v>
      </c>
      <c r="G1860" t="s">
        <v>1506</v>
      </c>
      <c r="H1860" s="10">
        <v>134880</v>
      </c>
      <c r="I1860">
        <f>IFERROR(VLOOKUP(Final!F1860,'LEAID Match'!$A$2:$B$374,2,FALSE),"")</f>
        <v>400318</v>
      </c>
      <c r="K1860" s="10">
        <f t="shared" si="29"/>
        <v>134880</v>
      </c>
    </row>
    <row r="1861" spans="1:11">
      <c r="A1861">
        <v>400318</v>
      </c>
      <c r="B1861" s="10">
        <v>2019</v>
      </c>
      <c r="C1861" t="s">
        <v>81</v>
      </c>
      <c r="D1861" t="s">
        <v>2472</v>
      </c>
      <c r="E1861" t="s">
        <v>2474</v>
      </c>
      <c r="F1861" t="s">
        <v>1506</v>
      </c>
      <c r="G1861" t="s">
        <v>1506</v>
      </c>
      <c r="H1861" s="10">
        <v>149056</v>
      </c>
      <c r="I1861">
        <f>IFERROR(VLOOKUP(Final!F1861,'LEAID Match'!$A$2:$B$374,2,FALSE),"")</f>
        <v>400318</v>
      </c>
      <c r="K1861" s="10">
        <f t="shared" si="29"/>
        <v>149056</v>
      </c>
    </row>
    <row r="1862" spans="1:11">
      <c r="A1862">
        <v>400318</v>
      </c>
      <c r="B1862" s="10">
        <v>2020</v>
      </c>
      <c r="C1862" t="s">
        <v>81</v>
      </c>
      <c r="D1862" t="s">
        <v>2472</v>
      </c>
      <c r="E1862" t="s">
        <v>2474</v>
      </c>
      <c r="F1862" t="s">
        <v>1506</v>
      </c>
      <c r="G1862" t="s">
        <v>1506</v>
      </c>
      <c r="H1862" s="10">
        <v>157801</v>
      </c>
      <c r="I1862">
        <f>IFERROR(VLOOKUP(Final!F1862,'LEAID Match'!$A$2:$B$374,2,FALSE),"")</f>
        <v>400318</v>
      </c>
      <c r="K1862" s="10">
        <f t="shared" si="29"/>
        <v>157801</v>
      </c>
    </row>
    <row r="1863" spans="1:11">
      <c r="A1863">
        <v>400318</v>
      </c>
      <c r="B1863" s="10">
        <v>2021</v>
      </c>
      <c r="C1863" t="s">
        <v>81</v>
      </c>
      <c r="D1863" t="s">
        <v>2472</v>
      </c>
      <c r="E1863" t="s">
        <v>2474</v>
      </c>
      <c r="F1863" t="s">
        <v>1506</v>
      </c>
      <c r="G1863" t="s">
        <v>1506</v>
      </c>
      <c r="H1863" s="10">
        <v>171007</v>
      </c>
      <c r="I1863">
        <f>IFERROR(VLOOKUP(Final!F1863,'LEAID Match'!$A$2:$B$374,2,FALSE),"")</f>
        <v>400318</v>
      </c>
      <c r="K1863" s="10">
        <f t="shared" si="29"/>
        <v>171007</v>
      </c>
    </row>
    <row r="1864" spans="1:11">
      <c r="A1864">
        <v>400318</v>
      </c>
      <c r="B1864" s="10">
        <v>2022</v>
      </c>
      <c r="C1864" t="s">
        <v>81</v>
      </c>
      <c r="D1864" t="s">
        <v>2472</v>
      </c>
      <c r="E1864" t="s">
        <v>2474</v>
      </c>
      <c r="F1864" t="s">
        <v>1506</v>
      </c>
      <c r="G1864" t="s">
        <v>1506</v>
      </c>
      <c r="H1864" s="10">
        <v>203810</v>
      </c>
      <c r="I1864">
        <f>IFERROR(VLOOKUP(Final!F1864,'LEAID Match'!$A$2:$B$374,2,FALSE),"")</f>
        <v>400318</v>
      </c>
      <c r="K1864" s="10">
        <f t="shared" si="29"/>
        <v>203810</v>
      </c>
    </row>
    <row r="1865" spans="1:11">
      <c r="A1865">
        <v>400318</v>
      </c>
      <c r="B1865" s="10">
        <v>2023</v>
      </c>
      <c r="C1865" t="s">
        <v>81</v>
      </c>
      <c r="D1865" t="s">
        <v>2472</v>
      </c>
      <c r="E1865" t="s">
        <v>2474</v>
      </c>
      <c r="F1865" t="s">
        <v>1506</v>
      </c>
      <c r="G1865" t="s">
        <v>1506</v>
      </c>
      <c r="H1865" s="10">
        <v>204582</v>
      </c>
      <c r="I1865">
        <f>IFERROR(VLOOKUP(Final!F1865,'LEAID Match'!$A$2:$B$374,2,FALSE),"")</f>
        <v>400318</v>
      </c>
      <c r="K1865" s="10">
        <f t="shared" si="29"/>
        <v>204582</v>
      </c>
    </row>
    <row r="1866" spans="1:11">
      <c r="A1866">
        <v>400281</v>
      </c>
      <c r="B1866" s="10">
        <v>2015</v>
      </c>
      <c r="C1866" t="s">
        <v>791</v>
      </c>
      <c r="D1866" t="s">
        <v>2472</v>
      </c>
      <c r="E1866" t="s">
        <v>2474</v>
      </c>
      <c r="F1866" t="s">
        <v>736</v>
      </c>
      <c r="G1866" t="s">
        <v>736</v>
      </c>
      <c r="H1866" s="10">
        <v>188057</v>
      </c>
      <c r="I1866">
        <f>IFERROR(VLOOKUP(Final!F1866,'LEAID Match'!$A$2:$B$374,2,FALSE),"")</f>
        <v>400281</v>
      </c>
      <c r="K1866" s="10">
        <f t="shared" si="29"/>
        <v>188057</v>
      </c>
    </row>
    <row r="1867" spans="1:11">
      <c r="A1867">
        <v>400281</v>
      </c>
      <c r="B1867" s="10">
        <v>2016</v>
      </c>
      <c r="C1867" t="s">
        <v>791</v>
      </c>
      <c r="D1867" t="s">
        <v>2472</v>
      </c>
      <c r="E1867" t="s">
        <v>2474</v>
      </c>
      <c r="F1867" t="s">
        <v>736</v>
      </c>
      <c r="G1867" t="s">
        <v>736</v>
      </c>
      <c r="H1867" s="10">
        <v>222050</v>
      </c>
      <c r="I1867">
        <f>IFERROR(VLOOKUP(Final!F1867,'LEAID Match'!$A$2:$B$374,2,FALSE),"")</f>
        <v>400281</v>
      </c>
      <c r="K1867" s="10">
        <f t="shared" si="29"/>
        <v>222050</v>
      </c>
    </row>
    <row r="1868" spans="1:11">
      <c r="A1868">
        <v>400281</v>
      </c>
      <c r="B1868" s="10">
        <v>2017</v>
      </c>
      <c r="C1868" t="s">
        <v>791</v>
      </c>
      <c r="D1868" t="s">
        <v>2472</v>
      </c>
      <c r="E1868" t="s">
        <v>2474</v>
      </c>
      <c r="F1868" t="s">
        <v>736</v>
      </c>
      <c r="G1868" t="s">
        <v>736</v>
      </c>
      <c r="H1868" s="10">
        <v>232597</v>
      </c>
      <c r="I1868">
        <f>IFERROR(VLOOKUP(Final!F1868,'LEAID Match'!$A$2:$B$374,2,FALSE),"")</f>
        <v>400281</v>
      </c>
      <c r="K1868" s="10">
        <f t="shared" si="29"/>
        <v>232597</v>
      </c>
    </row>
    <row r="1869" spans="1:11">
      <c r="A1869">
        <v>400281</v>
      </c>
      <c r="B1869" s="10">
        <v>2018</v>
      </c>
      <c r="C1869" t="s">
        <v>791</v>
      </c>
      <c r="D1869" t="s">
        <v>2472</v>
      </c>
      <c r="E1869" t="s">
        <v>2474</v>
      </c>
      <c r="F1869" t="s">
        <v>736</v>
      </c>
      <c r="G1869" t="s">
        <v>736</v>
      </c>
      <c r="H1869" s="10">
        <v>249697</v>
      </c>
      <c r="I1869">
        <f>IFERROR(VLOOKUP(Final!F1869,'LEAID Match'!$A$2:$B$374,2,FALSE),"")</f>
        <v>400281</v>
      </c>
      <c r="K1869" s="10">
        <f t="shared" si="29"/>
        <v>249697</v>
      </c>
    </row>
    <row r="1870" spans="1:11">
      <c r="A1870">
        <v>400281</v>
      </c>
      <c r="B1870" s="10">
        <v>2019</v>
      </c>
      <c r="C1870" t="s">
        <v>791</v>
      </c>
      <c r="D1870" t="s">
        <v>2472</v>
      </c>
      <c r="E1870" t="s">
        <v>2474</v>
      </c>
      <c r="F1870" t="s">
        <v>736</v>
      </c>
      <c r="G1870" t="s">
        <v>736</v>
      </c>
      <c r="H1870" s="10">
        <v>272443</v>
      </c>
      <c r="I1870">
        <f>IFERROR(VLOOKUP(Final!F1870,'LEAID Match'!$A$2:$B$374,2,FALSE),"")</f>
        <v>400281</v>
      </c>
      <c r="K1870" s="10">
        <f t="shared" si="29"/>
        <v>272443</v>
      </c>
    </row>
    <row r="1871" spans="1:11">
      <c r="A1871">
        <v>400281</v>
      </c>
      <c r="B1871" s="10">
        <v>2020</v>
      </c>
      <c r="C1871" t="s">
        <v>791</v>
      </c>
      <c r="D1871" t="s">
        <v>2472</v>
      </c>
      <c r="E1871" t="s">
        <v>2474</v>
      </c>
      <c r="F1871" t="s">
        <v>736</v>
      </c>
      <c r="G1871" t="s">
        <v>736</v>
      </c>
      <c r="H1871" s="10">
        <v>291805</v>
      </c>
      <c r="I1871">
        <f>IFERROR(VLOOKUP(Final!F1871,'LEAID Match'!$A$2:$B$374,2,FALSE),"")</f>
        <v>400281</v>
      </c>
      <c r="K1871" s="10">
        <f t="shared" si="29"/>
        <v>291805</v>
      </c>
    </row>
    <row r="1872" spans="1:11">
      <c r="A1872">
        <v>400281</v>
      </c>
      <c r="B1872" s="10">
        <v>2021</v>
      </c>
      <c r="C1872" t="s">
        <v>791</v>
      </c>
      <c r="D1872" t="s">
        <v>2472</v>
      </c>
      <c r="E1872" t="s">
        <v>2474</v>
      </c>
      <c r="F1872" t="s">
        <v>736</v>
      </c>
      <c r="G1872" t="s">
        <v>736</v>
      </c>
      <c r="H1872" s="10">
        <v>333452</v>
      </c>
      <c r="I1872">
        <f>IFERROR(VLOOKUP(Final!F1872,'LEAID Match'!$A$2:$B$374,2,FALSE),"")</f>
        <v>400281</v>
      </c>
      <c r="K1872" s="10">
        <f t="shared" si="29"/>
        <v>333452</v>
      </c>
    </row>
    <row r="1873" spans="1:11">
      <c r="A1873">
        <v>400281</v>
      </c>
      <c r="B1873" s="10">
        <v>2022</v>
      </c>
      <c r="C1873" t="s">
        <v>791</v>
      </c>
      <c r="D1873" t="s">
        <v>2472</v>
      </c>
      <c r="E1873" t="s">
        <v>2474</v>
      </c>
      <c r="F1873" t="s">
        <v>736</v>
      </c>
      <c r="G1873" t="s">
        <v>736</v>
      </c>
      <c r="H1873" s="10">
        <v>327330</v>
      </c>
      <c r="I1873">
        <f>IFERROR(VLOOKUP(Final!F1873,'LEAID Match'!$A$2:$B$374,2,FALSE),"")</f>
        <v>400281</v>
      </c>
      <c r="K1873" s="10">
        <f t="shared" si="29"/>
        <v>327330</v>
      </c>
    </row>
    <row r="1874" spans="1:11">
      <c r="A1874">
        <v>400281</v>
      </c>
      <c r="B1874" s="10">
        <v>2023</v>
      </c>
      <c r="C1874" t="s">
        <v>791</v>
      </c>
      <c r="D1874" t="s">
        <v>2472</v>
      </c>
      <c r="E1874" t="s">
        <v>2474</v>
      </c>
      <c r="F1874" t="s">
        <v>736</v>
      </c>
      <c r="G1874" t="s">
        <v>736</v>
      </c>
      <c r="H1874" s="10">
        <v>376467</v>
      </c>
      <c r="I1874">
        <f>IFERROR(VLOOKUP(Final!F1874,'LEAID Match'!$A$2:$B$374,2,FALSE),"")</f>
        <v>400281</v>
      </c>
      <c r="K1874" s="10">
        <f t="shared" si="29"/>
        <v>376467</v>
      </c>
    </row>
    <row r="1875" spans="1:11">
      <c r="A1875">
        <v>400343</v>
      </c>
      <c r="B1875" s="10">
        <v>2016</v>
      </c>
      <c r="C1875" t="s">
        <v>1463</v>
      </c>
      <c r="D1875" t="s">
        <v>2472</v>
      </c>
      <c r="E1875" t="s">
        <v>2474</v>
      </c>
      <c r="F1875" t="s">
        <v>1741</v>
      </c>
      <c r="G1875" t="s">
        <v>1457</v>
      </c>
      <c r="H1875" s="10">
        <v>99287</v>
      </c>
      <c r="I1875">
        <f>IFERROR(VLOOKUP(Final!F1875,'LEAID Match'!$A$2:$B$374,2,FALSE),"")</f>
        <v>400343</v>
      </c>
      <c r="K1875" s="10">
        <f t="shared" si="29"/>
        <v>99287</v>
      </c>
    </row>
    <row r="1876" spans="1:11">
      <c r="A1876">
        <v>400343</v>
      </c>
      <c r="B1876" s="10">
        <v>2017</v>
      </c>
      <c r="C1876" t="s">
        <v>1463</v>
      </c>
      <c r="D1876" t="s">
        <v>2472</v>
      </c>
      <c r="E1876" t="s">
        <v>2474</v>
      </c>
      <c r="F1876" t="s">
        <v>1741</v>
      </c>
      <c r="G1876" t="s">
        <v>1741</v>
      </c>
      <c r="H1876" s="10">
        <v>76149</v>
      </c>
      <c r="I1876">
        <f>IFERROR(VLOOKUP(Final!F1876,'LEAID Match'!$A$2:$B$374,2,FALSE),"")</f>
        <v>400343</v>
      </c>
      <c r="K1876" s="10">
        <f t="shared" si="29"/>
        <v>76149</v>
      </c>
    </row>
    <row r="1877" spans="1:11">
      <c r="A1877">
        <v>400343</v>
      </c>
      <c r="B1877" s="10">
        <v>2018</v>
      </c>
      <c r="C1877" t="s">
        <v>1463</v>
      </c>
      <c r="D1877" t="s">
        <v>2472</v>
      </c>
      <c r="E1877" t="s">
        <v>2474</v>
      </c>
      <c r="F1877" t="s">
        <v>1741</v>
      </c>
      <c r="G1877" t="s">
        <v>2204</v>
      </c>
      <c r="H1877" s="10">
        <v>67600</v>
      </c>
      <c r="I1877">
        <f>IFERROR(VLOOKUP(Final!F1877,'LEAID Match'!$A$2:$B$374,2,FALSE),"")</f>
        <v>400343</v>
      </c>
      <c r="K1877" s="10">
        <f t="shared" si="29"/>
        <v>67600</v>
      </c>
    </row>
    <row r="1878" spans="1:11">
      <c r="A1878">
        <v>400343</v>
      </c>
      <c r="B1878" s="10">
        <v>2019</v>
      </c>
      <c r="C1878" t="s">
        <v>1463</v>
      </c>
      <c r="D1878" t="s">
        <v>2472</v>
      </c>
      <c r="E1878" t="s">
        <v>2474</v>
      </c>
      <c r="F1878" t="s">
        <v>1741</v>
      </c>
      <c r="G1878" t="s">
        <v>1741</v>
      </c>
      <c r="H1878" s="10">
        <v>70952</v>
      </c>
      <c r="I1878">
        <f>IFERROR(VLOOKUP(Final!F1878,'LEAID Match'!$A$2:$B$374,2,FALSE),"")</f>
        <v>400343</v>
      </c>
      <c r="K1878" s="10">
        <f t="shared" si="29"/>
        <v>70952</v>
      </c>
    </row>
    <row r="1879" spans="1:11">
      <c r="A1879">
        <v>400343</v>
      </c>
      <c r="B1879" s="10">
        <v>2020</v>
      </c>
      <c r="C1879" t="s">
        <v>1463</v>
      </c>
      <c r="D1879" t="s">
        <v>2472</v>
      </c>
      <c r="E1879" t="s">
        <v>2474</v>
      </c>
      <c r="F1879" t="s">
        <v>1741</v>
      </c>
      <c r="G1879" t="s">
        <v>1741</v>
      </c>
      <c r="H1879" s="10">
        <v>72450</v>
      </c>
      <c r="I1879">
        <f>IFERROR(VLOOKUP(Final!F1879,'LEAID Match'!$A$2:$B$374,2,FALSE),"")</f>
        <v>400343</v>
      </c>
      <c r="K1879" s="10">
        <f t="shared" si="29"/>
        <v>72450</v>
      </c>
    </row>
    <row r="1880" spans="1:11">
      <c r="A1880">
        <v>400343</v>
      </c>
      <c r="B1880" s="10">
        <v>2021</v>
      </c>
      <c r="C1880" t="s">
        <v>1463</v>
      </c>
      <c r="D1880" t="s">
        <v>2472</v>
      </c>
      <c r="E1880" t="s">
        <v>2474</v>
      </c>
      <c r="F1880" t="s">
        <v>1741</v>
      </c>
      <c r="G1880" t="s">
        <v>1741</v>
      </c>
      <c r="H1880" s="10">
        <v>76101</v>
      </c>
      <c r="I1880">
        <f>IFERROR(VLOOKUP(Final!F1880,'LEAID Match'!$A$2:$B$374,2,FALSE),"")</f>
        <v>400343</v>
      </c>
      <c r="K1880" s="10">
        <f t="shared" si="29"/>
        <v>76101</v>
      </c>
    </row>
    <row r="1881" spans="1:11">
      <c r="A1881">
        <v>400343</v>
      </c>
      <c r="B1881" s="10">
        <v>2022</v>
      </c>
      <c r="C1881" t="s">
        <v>1463</v>
      </c>
      <c r="D1881" t="s">
        <v>2472</v>
      </c>
      <c r="E1881" t="s">
        <v>2474</v>
      </c>
      <c r="F1881" t="s">
        <v>1741</v>
      </c>
      <c r="G1881" t="s">
        <v>1741</v>
      </c>
      <c r="H1881" s="10">
        <v>70820</v>
      </c>
      <c r="I1881">
        <f>IFERROR(VLOOKUP(Final!F1881,'LEAID Match'!$A$2:$B$374,2,FALSE),"")</f>
        <v>400343</v>
      </c>
      <c r="K1881" s="10">
        <f t="shared" si="29"/>
        <v>70820</v>
      </c>
    </row>
    <row r="1882" spans="1:11">
      <c r="A1882">
        <v>400343</v>
      </c>
      <c r="B1882" s="10">
        <v>2023</v>
      </c>
      <c r="C1882" t="s">
        <v>1463</v>
      </c>
      <c r="D1882" t="s">
        <v>2472</v>
      </c>
      <c r="E1882" t="s">
        <v>2474</v>
      </c>
      <c r="F1882" t="s">
        <v>1741</v>
      </c>
      <c r="G1882" t="s">
        <v>1741</v>
      </c>
      <c r="H1882" s="10">
        <v>73855</v>
      </c>
      <c r="I1882">
        <f>IFERROR(VLOOKUP(Final!F1882,'LEAID Match'!$A$2:$B$374,2,FALSE),"")</f>
        <v>400343</v>
      </c>
      <c r="K1882" s="10">
        <f t="shared" si="29"/>
        <v>73855</v>
      </c>
    </row>
    <row r="1883" spans="1:11">
      <c r="A1883">
        <v>403450</v>
      </c>
      <c r="B1883" s="10">
        <v>2015</v>
      </c>
      <c r="C1883" t="s">
        <v>666</v>
      </c>
      <c r="D1883" t="s">
        <v>2472</v>
      </c>
      <c r="E1883" t="s">
        <v>2474</v>
      </c>
      <c r="F1883" t="s">
        <v>1733</v>
      </c>
      <c r="G1883" t="s">
        <v>611</v>
      </c>
      <c r="H1883" s="10">
        <v>7675991</v>
      </c>
      <c r="I1883">
        <f>IFERROR(VLOOKUP(Final!F1883,'LEAID Match'!$A$2:$B$374,2,FALSE),"")</f>
        <v>403450</v>
      </c>
      <c r="K1883" s="10">
        <f t="shared" si="29"/>
        <v>7675991</v>
      </c>
    </row>
    <row r="1884" spans="1:11">
      <c r="A1884">
        <v>403450</v>
      </c>
      <c r="B1884" s="10">
        <v>2016</v>
      </c>
      <c r="C1884" t="s">
        <v>666</v>
      </c>
      <c r="D1884" t="s">
        <v>2472</v>
      </c>
      <c r="E1884" t="s">
        <v>2474</v>
      </c>
      <c r="F1884" t="s">
        <v>1733</v>
      </c>
      <c r="G1884" t="s">
        <v>611</v>
      </c>
      <c r="H1884" s="10">
        <v>7913690</v>
      </c>
      <c r="I1884">
        <f>IFERROR(VLOOKUP(Final!F1884,'LEAID Match'!$A$2:$B$374,2,FALSE),"")</f>
        <v>403450</v>
      </c>
      <c r="K1884" s="10">
        <f t="shared" si="29"/>
        <v>7913690</v>
      </c>
    </row>
    <row r="1885" spans="1:11">
      <c r="A1885">
        <v>403450</v>
      </c>
      <c r="B1885" s="10">
        <v>2017</v>
      </c>
      <c r="C1885" t="s">
        <v>666</v>
      </c>
      <c r="D1885" t="s">
        <v>2472</v>
      </c>
      <c r="E1885" t="s">
        <v>2474</v>
      </c>
      <c r="F1885" t="s">
        <v>1733</v>
      </c>
      <c r="G1885" t="s">
        <v>1733</v>
      </c>
      <c r="H1885" s="10">
        <v>8580447</v>
      </c>
      <c r="I1885">
        <f>IFERROR(VLOOKUP(Final!F1885,'LEAID Match'!$A$2:$B$374,2,FALSE),"")</f>
        <v>403450</v>
      </c>
      <c r="K1885" s="10">
        <f t="shared" si="29"/>
        <v>8580447</v>
      </c>
    </row>
    <row r="1886" spans="1:11">
      <c r="A1886">
        <v>403450</v>
      </c>
      <c r="B1886" s="10">
        <v>2018</v>
      </c>
      <c r="C1886" t="s">
        <v>666</v>
      </c>
      <c r="D1886" t="s">
        <v>2472</v>
      </c>
      <c r="E1886" t="s">
        <v>2474</v>
      </c>
      <c r="F1886" t="s">
        <v>1733</v>
      </c>
      <c r="G1886" t="s">
        <v>2199</v>
      </c>
      <c r="H1886" s="10">
        <v>8850107</v>
      </c>
      <c r="I1886">
        <f>IFERROR(VLOOKUP(Final!F1886,'LEAID Match'!$A$2:$B$374,2,FALSE),"")</f>
        <v>403450</v>
      </c>
      <c r="K1886" s="10">
        <f t="shared" si="29"/>
        <v>8850107</v>
      </c>
    </row>
    <row r="1887" spans="1:11">
      <c r="A1887">
        <v>403450</v>
      </c>
      <c r="B1887" s="10">
        <v>2019</v>
      </c>
      <c r="C1887" t="s">
        <v>666</v>
      </c>
      <c r="D1887" t="s">
        <v>2472</v>
      </c>
      <c r="E1887" t="s">
        <v>2474</v>
      </c>
      <c r="F1887" t="s">
        <v>1733</v>
      </c>
      <c r="G1887" t="s">
        <v>1733</v>
      </c>
      <c r="H1887" s="10">
        <v>9724775</v>
      </c>
      <c r="I1887">
        <f>IFERROR(VLOOKUP(Final!F1887,'LEAID Match'!$A$2:$B$374,2,FALSE),"")</f>
        <v>403450</v>
      </c>
      <c r="K1887" s="10">
        <f t="shared" si="29"/>
        <v>9724775</v>
      </c>
    </row>
    <row r="1888" spans="1:11">
      <c r="A1888">
        <v>403450</v>
      </c>
      <c r="B1888" s="10">
        <v>2020</v>
      </c>
      <c r="C1888" t="s">
        <v>666</v>
      </c>
      <c r="D1888" t="s">
        <v>2472</v>
      </c>
      <c r="E1888" t="s">
        <v>2474</v>
      </c>
      <c r="F1888" t="s">
        <v>1733</v>
      </c>
      <c r="G1888" t="s">
        <v>1733</v>
      </c>
      <c r="H1888" s="10">
        <v>10785445</v>
      </c>
      <c r="I1888">
        <f>IFERROR(VLOOKUP(Final!F1888,'LEAID Match'!$A$2:$B$374,2,FALSE),"")</f>
        <v>403450</v>
      </c>
      <c r="K1888" s="10">
        <f t="shared" si="29"/>
        <v>10785445</v>
      </c>
    </row>
    <row r="1889" spans="1:11">
      <c r="A1889">
        <v>403450</v>
      </c>
      <c r="B1889" s="10">
        <v>2021</v>
      </c>
      <c r="C1889" t="s">
        <v>666</v>
      </c>
      <c r="D1889" t="s">
        <v>2472</v>
      </c>
      <c r="E1889" t="s">
        <v>2474</v>
      </c>
      <c r="F1889" t="s">
        <v>1733</v>
      </c>
      <c r="G1889" t="s">
        <v>1733</v>
      </c>
      <c r="H1889" s="10">
        <v>10715831</v>
      </c>
      <c r="I1889">
        <f>IFERROR(VLOOKUP(Final!F1889,'LEAID Match'!$A$2:$B$374,2,FALSE),"")</f>
        <v>403450</v>
      </c>
      <c r="K1889" s="10">
        <f t="shared" si="29"/>
        <v>10715831</v>
      </c>
    </row>
    <row r="1890" spans="1:11">
      <c r="A1890">
        <v>403450</v>
      </c>
      <c r="B1890" s="10">
        <v>2022</v>
      </c>
      <c r="C1890" t="s">
        <v>666</v>
      </c>
      <c r="D1890" t="s">
        <v>2472</v>
      </c>
      <c r="E1890" t="s">
        <v>2474</v>
      </c>
      <c r="F1890" t="s">
        <v>1733</v>
      </c>
      <c r="G1890" t="s">
        <v>1733</v>
      </c>
      <c r="H1890" s="10">
        <v>12014752</v>
      </c>
      <c r="I1890">
        <f>IFERROR(VLOOKUP(Final!F1890,'LEAID Match'!$A$2:$B$374,2,FALSE),"")</f>
        <v>403450</v>
      </c>
      <c r="K1890" s="10">
        <f t="shared" si="29"/>
        <v>12014752</v>
      </c>
    </row>
    <row r="1891" spans="1:11">
      <c r="A1891">
        <v>403450</v>
      </c>
      <c r="B1891" s="10">
        <v>2023</v>
      </c>
      <c r="C1891" t="s">
        <v>666</v>
      </c>
      <c r="D1891" t="s">
        <v>2472</v>
      </c>
      <c r="E1891" t="s">
        <v>2474</v>
      </c>
      <c r="F1891" t="s">
        <v>1733</v>
      </c>
      <c r="G1891" t="s">
        <v>1733</v>
      </c>
      <c r="H1891" s="10">
        <v>13339334</v>
      </c>
      <c r="I1891">
        <f>IFERROR(VLOOKUP(Final!F1891,'LEAID Match'!$A$2:$B$374,2,FALSE),"")</f>
        <v>403450</v>
      </c>
      <c r="K1891" s="10">
        <f t="shared" si="29"/>
        <v>13339334</v>
      </c>
    </row>
    <row r="1892" spans="1:11">
      <c r="A1892">
        <v>400181</v>
      </c>
      <c r="B1892" s="10">
        <v>2015</v>
      </c>
      <c r="C1892" t="s">
        <v>1436</v>
      </c>
      <c r="D1892" t="s">
        <v>2472</v>
      </c>
      <c r="E1892" t="s">
        <v>2474</v>
      </c>
      <c r="F1892" t="s">
        <v>269</v>
      </c>
      <c r="G1892" t="s">
        <v>269</v>
      </c>
      <c r="H1892" s="10">
        <v>146810</v>
      </c>
      <c r="I1892">
        <f>IFERROR(VLOOKUP(Final!F1892,'LEAID Match'!$A$2:$B$374,2,FALSE),"")</f>
        <v>400181</v>
      </c>
      <c r="K1892" s="10">
        <f t="shared" si="29"/>
        <v>146810</v>
      </c>
    </row>
    <row r="1893" spans="1:11">
      <c r="A1893">
        <v>400181</v>
      </c>
      <c r="B1893" s="10">
        <v>2016</v>
      </c>
      <c r="C1893" t="s">
        <v>1436</v>
      </c>
      <c r="D1893" t="s">
        <v>2472</v>
      </c>
      <c r="E1893" t="s">
        <v>2474</v>
      </c>
      <c r="F1893" t="s">
        <v>269</v>
      </c>
      <c r="G1893" t="s">
        <v>269</v>
      </c>
      <c r="H1893" s="10">
        <v>150801</v>
      </c>
      <c r="I1893">
        <f>IFERROR(VLOOKUP(Final!F1893,'LEAID Match'!$A$2:$B$374,2,FALSE),"")</f>
        <v>400181</v>
      </c>
      <c r="K1893" s="10">
        <f t="shared" si="29"/>
        <v>150801</v>
      </c>
    </row>
    <row r="1894" spans="1:11">
      <c r="A1894">
        <v>400181</v>
      </c>
      <c r="B1894" s="10">
        <v>2017</v>
      </c>
      <c r="C1894" t="s">
        <v>1436</v>
      </c>
      <c r="D1894" t="s">
        <v>2472</v>
      </c>
      <c r="E1894" t="s">
        <v>2474</v>
      </c>
      <c r="F1894" t="s">
        <v>269</v>
      </c>
      <c r="G1894" t="s">
        <v>269</v>
      </c>
      <c r="H1894" s="10">
        <v>159250</v>
      </c>
      <c r="I1894">
        <f>IFERROR(VLOOKUP(Final!F1894,'LEAID Match'!$A$2:$B$374,2,FALSE),"")</f>
        <v>400181</v>
      </c>
      <c r="K1894" s="10">
        <f t="shared" si="29"/>
        <v>159250</v>
      </c>
    </row>
    <row r="1895" spans="1:11">
      <c r="A1895">
        <v>400181</v>
      </c>
      <c r="B1895" s="10">
        <v>2018</v>
      </c>
      <c r="C1895" t="s">
        <v>1436</v>
      </c>
      <c r="D1895" t="s">
        <v>2472</v>
      </c>
      <c r="E1895" t="s">
        <v>2474</v>
      </c>
      <c r="F1895" t="s">
        <v>269</v>
      </c>
      <c r="G1895" t="s">
        <v>269</v>
      </c>
      <c r="H1895" s="10">
        <v>169031</v>
      </c>
      <c r="I1895">
        <f>IFERROR(VLOOKUP(Final!F1895,'LEAID Match'!$A$2:$B$374,2,FALSE),"")</f>
        <v>400181</v>
      </c>
      <c r="K1895" s="10">
        <f t="shared" si="29"/>
        <v>169031</v>
      </c>
    </row>
    <row r="1896" spans="1:11">
      <c r="A1896">
        <v>400181</v>
      </c>
      <c r="B1896" s="10">
        <v>2019</v>
      </c>
      <c r="C1896" t="s">
        <v>1436</v>
      </c>
      <c r="D1896" t="s">
        <v>2472</v>
      </c>
      <c r="E1896" t="s">
        <v>2474</v>
      </c>
      <c r="F1896" t="s">
        <v>269</v>
      </c>
      <c r="G1896" t="s">
        <v>269</v>
      </c>
      <c r="H1896" s="10">
        <v>195656</v>
      </c>
      <c r="I1896">
        <f>IFERROR(VLOOKUP(Final!F1896,'LEAID Match'!$A$2:$B$374,2,FALSE),"")</f>
        <v>400181</v>
      </c>
      <c r="K1896" s="10">
        <f t="shared" si="29"/>
        <v>195656</v>
      </c>
    </row>
    <row r="1897" spans="1:11">
      <c r="A1897">
        <v>400181</v>
      </c>
      <c r="B1897" s="10">
        <v>2020</v>
      </c>
      <c r="C1897" t="s">
        <v>1436</v>
      </c>
      <c r="D1897" t="s">
        <v>2472</v>
      </c>
      <c r="E1897" t="s">
        <v>2474</v>
      </c>
      <c r="F1897" t="s">
        <v>269</v>
      </c>
      <c r="G1897" t="s">
        <v>269</v>
      </c>
      <c r="H1897" s="10">
        <v>217231</v>
      </c>
      <c r="I1897">
        <f>IFERROR(VLOOKUP(Final!F1897,'LEAID Match'!$A$2:$B$374,2,FALSE),"")</f>
        <v>400181</v>
      </c>
      <c r="K1897" s="10">
        <f t="shared" si="29"/>
        <v>217231</v>
      </c>
    </row>
    <row r="1898" spans="1:11">
      <c r="A1898">
        <v>400181</v>
      </c>
      <c r="B1898" s="10">
        <v>2021</v>
      </c>
      <c r="C1898" t="s">
        <v>1436</v>
      </c>
      <c r="D1898" t="s">
        <v>2472</v>
      </c>
      <c r="E1898" t="s">
        <v>2474</v>
      </c>
      <c r="F1898" t="s">
        <v>269</v>
      </c>
      <c r="G1898" t="s">
        <v>269</v>
      </c>
      <c r="H1898" s="10">
        <v>212492</v>
      </c>
      <c r="I1898">
        <f>IFERROR(VLOOKUP(Final!F1898,'LEAID Match'!$A$2:$B$374,2,FALSE),"")</f>
        <v>400181</v>
      </c>
      <c r="K1898" s="10">
        <f t="shared" si="29"/>
        <v>212492</v>
      </c>
    </row>
    <row r="1899" spans="1:11">
      <c r="A1899">
        <v>400181</v>
      </c>
      <c r="B1899" s="10">
        <v>2022</v>
      </c>
      <c r="C1899" t="s">
        <v>1436</v>
      </c>
      <c r="D1899" t="s">
        <v>2472</v>
      </c>
      <c r="E1899" t="s">
        <v>2474</v>
      </c>
      <c r="F1899" t="s">
        <v>269</v>
      </c>
      <c r="G1899" t="s">
        <v>269</v>
      </c>
      <c r="H1899" s="10">
        <v>227520</v>
      </c>
      <c r="I1899">
        <f>IFERROR(VLOOKUP(Final!F1899,'LEAID Match'!$A$2:$B$374,2,FALSE),"")</f>
        <v>400181</v>
      </c>
      <c r="K1899" s="10">
        <f t="shared" si="29"/>
        <v>227520</v>
      </c>
    </row>
    <row r="1900" spans="1:11">
      <c r="A1900">
        <v>400181</v>
      </c>
      <c r="B1900" s="10">
        <v>2023</v>
      </c>
      <c r="C1900" t="s">
        <v>1436</v>
      </c>
      <c r="D1900" t="s">
        <v>2472</v>
      </c>
      <c r="E1900" t="s">
        <v>2474</v>
      </c>
      <c r="F1900" t="s">
        <v>269</v>
      </c>
      <c r="G1900" t="s">
        <v>269</v>
      </c>
      <c r="H1900" s="10">
        <v>254652</v>
      </c>
      <c r="I1900">
        <f>IFERROR(VLOOKUP(Final!F1900,'LEAID Match'!$A$2:$B$374,2,FALSE),"")</f>
        <v>400181</v>
      </c>
      <c r="K1900" s="10">
        <f t="shared" si="29"/>
        <v>254652</v>
      </c>
    </row>
    <row r="1901" spans="1:11">
      <c r="A1901" t="s">
        <v>2470</v>
      </c>
      <c r="B1901" s="10">
        <v>2015</v>
      </c>
      <c r="C1901" t="s">
        <v>1140</v>
      </c>
      <c r="D1901" t="s">
        <v>2472</v>
      </c>
      <c r="E1901" t="s">
        <v>2474</v>
      </c>
      <c r="F1901" t="s">
        <v>1525</v>
      </c>
      <c r="G1901" t="s">
        <v>1085</v>
      </c>
      <c r="H1901" s="10">
        <v>269624</v>
      </c>
      <c r="I1901" t="str">
        <f>IFERROR(VLOOKUP(Final!F1901,'LEAID Match'!$A$2:$B$374,2,FALSE),"")</f>
        <v/>
      </c>
      <c r="K1901" s="10">
        <f t="shared" si="29"/>
        <v>269624</v>
      </c>
    </row>
    <row r="1902" spans="1:11">
      <c r="A1902" t="s">
        <v>2470</v>
      </c>
      <c r="B1902" s="10">
        <v>2016</v>
      </c>
      <c r="C1902" t="s">
        <v>1140</v>
      </c>
      <c r="D1902" t="s">
        <v>2472</v>
      </c>
      <c r="E1902" t="s">
        <v>2474</v>
      </c>
      <c r="F1902" t="s">
        <v>1525</v>
      </c>
      <c r="G1902" t="s">
        <v>1085</v>
      </c>
      <c r="H1902" s="10">
        <v>303387</v>
      </c>
      <c r="I1902" t="str">
        <f>IFERROR(VLOOKUP(Final!F1902,'LEAID Match'!$A$2:$B$374,2,FALSE),"")</f>
        <v/>
      </c>
      <c r="K1902" s="10">
        <f t="shared" si="29"/>
        <v>303387</v>
      </c>
    </row>
    <row r="1903" spans="1:11">
      <c r="A1903" t="s">
        <v>2470</v>
      </c>
      <c r="B1903" s="10">
        <v>2017</v>
      </c>
      <c r="C1903" t="s">
        <v>1140</v>
      </c>
      <c r="D1903" t="s">
        <v>2472</v>
      </c>
      <c r="E1903" t="s">
        <v>2474</v>
      </c>
      <c r="F1903" t="s">
        <v>1525</v>
      </c>
      <c r="G1903" t="s">
        <v>1525</v>
      </c>
      <c r="H1903" s="10">
        <v>339962</v>
      </c>
      <c r="I1903" t="str">
        <f>IFERROR(VLOOKUP(Final!F1903,'LEAID Match'!$A$2:$B$374,2,FALSE),"")</f>
        <v/>
      </c>
      <c r="K1903" s="10">
        <f t="shared" si="29"/>
        <v>339962</v>
      </c>
    </row>
    <row r="1904" spans="1:11">
      <c r="A1904" t="s">
        <v>2470</v>
      </c>
      <c r="B1904" s="10">
        <v>2018</v>
      </c>
      <c r="C1904" t="s">
        <v>1140</v>
      </c>
      <c r="D1904" t="s">
        <v>2472</v>
      </c>
      <c r="E1904" t="s">
        <v>2474</v>
      </c>
      <c r="F1904" t="s">
        <v>1525</v>
      </c>
      <c r="G1904" t="s">
        <v>1525</v>
      </c>
      <c r="H1904" s="10">
        <v>313442</v>
      </c>
      <c r="I1904" t="str">
        <f>IFERROR(VLOOKUP(Final!F1904,'LEAID Match'!$A$2:$B$374,2,FALSE),"")</f>
        <v/>
      </c>
      <c r="K1904" s="10">
        <f t="shared" si="29"/>
        <v>313442</v>
      </c>
    </row>
    <row r="1905" spans="1:11">
      <c r="A1905" t="s">
        <v>2470</v>
      </c>
      <c r="B1905" s="10">
        <v>2019</v>
      </c>
      <c r="C1905" t="s">
        <v>1140</v>
      </c>
      <c r="D1905" t="s">
        <v>2472</v>
      </c>
      <c r="E1905" t="s">
        <v>2474</v>
      </c>
      <c r="F1905" t="s">
        <v>1525</v>
      </c>
      <c r="G1905" t="s">
        <v>1525</v>
      </c>
      <c r="H1905" s="10">
        <v>373444</v>
      </c>
      <c r="I1905" t="str">
        <f>IFERROR(VLOOKUP(Final!F1905,'LEAID Match'!$A$2:$B$374,2,FALSE),"")</f>
        <v/>
      </c>
      <c r="K1905" s="10">
        <f t="shared" si="29"/>
        <v>373444</v>
      </c>
    </row>
    <row r="1906" spans="1:11">
      <c r="A1906" t="s">
        <v>2470</v>
      </c>
      <c r="B1906" s="10">
        <v>2020</v>
      </c>
      <c r="C1906" t="s">
        <v>1140</v>
      </c>
      <c r="D1906" t="s">
        <v>2472</v>
      </c>
      <c r="E1906" t="s">
        <v>2474</v>
      </c>
      <c r="F1906" t="s">
        <v>1525</v>
      </c>
      <c r="G1906" t="s">
        <v>1525</v>
      </c>
      <c r="H1906" s="10">
        <v>439295</v>
      </c>
      <c r="I1906" t="str">
        <f>IFERROR(VLOOKUP(Final!F1906,'LEAID Match'!$A$2:$B$374,2,FALSE),"")</f>
        <v/>
      </c>
      <c r="K1906" s="10">
        <f t="shared" si="29"/>
        <v>439295</v>
      </c>
    </row>
    <row r="1907" spans="1:11">
      <c r="A1907" t="s">
        <v>2470</v>
      </c>
      <c r="B1907" s="10">
        <v>2021</v>
      </c>
      <c r="C1907" t="s">
        <v>1140</v>
      </c>
      <c r="D1907" t="s">
        <v>2472</v>
      </c>
      <c r="E1907" t="s">
        <v>2474</v>
      </c>
      <c r="F1907" t="s">
        <v>1525</v>
      </c>
      <c r="G1907" t="s">
        <v>1525</v>
      </c>
      <c r="H1907" s="10">
        <v>471781</v>
      </c>
      <c r="I1907" t="str">
        <f>IFERROR(VLOOKUP(Final!F1907,'LEAID Match'!$A$2:$B$374,2,FALSE),"")</f>
        <v/>
      </c>
      <c r="K1907" s="10">
        <f t="shared" si="29"/>
        <v>471781</v>
      </c>
    </row>
    <row r="1908" spans="1:11">
      <c r="A1908" t="s">
        <v>2470</v>
      </c>
      <c r="B1908" s="10">
        <v>2022</v>
      </c>
      <c r="C1908" t="s">
        <v>1140</v>
      </c>
      <c r="D1908" t="s">
        <v>2472</v>
      </c>
      <c r="E1908" t="s">
        <v>2474</v>
      </c>
      <c r="F1908" t="s">
        <v>1525</v>
      </c>
      <c r="G1908" t="s">
        <v>1525</v>
      </c>
      <c r="H1908" s="10">
        <v>544310</v>
      </c>
      <c r="I1908" t="str">
        <f>IFERROR(VLOOKUP(Final!F1908,'LEAID Match'!$A$2:$B$374,2,FALSE),"")</f>
        <v/>
      </c>
      <c r="K1908" s="10">
        <f t="shared" si="29"/>
        <v>544310</v>
      </c>
    </row>
    <row r="1909" spans="1:11">
      <c r="A1909" t="s">
        <v>2470</v>
      </c>
      <c r="B1909" s="10">
        <v>2023</v>
      </c>
      <c r="C1909" t="s">
        <v>1140</v>
      </c>
      <c r="D1909" t="s">
        <v>2472</v>
      </c>
      <c r="E1909" t="s">
        <v>2474</v>
      </c>
      <c r="F1909" t="s">
        <v>1525</v>
      </c>
      <c r="G1909" t="s">
        <v>1525</v>
      </c>
      <c r="H1909" s="10">
        <v>630190</v>
      </c>
      <c r="I1909" t="str">
        <f>IFERROR(VLOOKUP(Final!F1909,'LEAID Match'!$A$2:$B$374,2,FALSE),"")</f>
        <v/>
      </c>
      <c r="K1909" s="10">
        <f t="shared" si="29"/>
        <v>630190</v>
      </c>
    </row>
    <row r="1910" spans="1:11">
      <c r="A1910">
        <v>406330</v>
      </c>
      <c r="B1910" s="10">
        <v>2015</v>
      </c>
      <c r="C1910" t="s">
        <v>929</v>
      </c>
      <c r="D1910" t="s">
        <v>2472</v>
      </c>
      <c r="E1910" t="s">
        <v>2474</v>
      </c>
      <c r="F1910" t="s">
        <v>1874</v>
      </c>
      <c r="G1910" t="s">
        <v>874</v>
      </c>
      <c r="H1910" s="10">
        <v>16823489</v>
      </c>
      <c r="I1910">
        <f>IFERROR(VLOOKUP(Final!F1910,'LEAID Match'!$A$2:$B$374,2,FALSE),"")</f>
        <v>406330</v>
      </c>
      <c r="K1910" s="10">
        <f t="shared" si="29"/>
        <v>16823489</v>
      </c>
    </row>
    <row r="1911" spans="1:11">
      <c r="A1911">
        <v>406330</v>
      </c>
      <c r="B1911" s="10">
        <v>2016</v>
      </c>
      <c r="C1911" t="s">
        <v>929</v>
      </c>
      <c r="D1911" t="s">
        <v>2472</v>
      </c>
      <c r="E1911" t="s">
        <v>2474</v>
      </c>
      <c r="F1911" t="s">
        <v>1874</v>
      </c>
      <c r="G1911" t="s">
        <v>874</v>
      </c>
      <c r="H1911" s="10">
        <v>17378537</v>
      </c>
      <c r="I1911">
        <f>IFERROR(VLOOKUP(Final!F1911,'LEAID Match'!$A$2:$B$374,2,FALSE),"")</f>
        <v>406330</v>
      </c>
      <c r="K1911" s="10">
        <f t="shared" si="29"/>
        <v>17378537</v>
      </c>
    </row>
    <row r="1912" spans="1:11">
      <c r="A1912">
        <v>406330</v>
      </c>
      <c r="B1912" s="10">
        <v>2017</v>
      </c>
      <c r="C1912" t="s">
        <v>929</v>
      </c>
      <c r="D1912" t="s">
        <v>2472</v>
      </c>
      <c r="E1912" t="s">
        <v>2474</v>
      </c>
      <c r="F1912" t="s">
        <v>1874</v>
      </c>
      <c r="G1912" t="s">
        <v>1874</v>
      </c>
      <c r="H1912" s="10">
        <v>18318765</v>
      </c>
      <c r="I1912">
        <f>IFERROR(VLOOKUP(Final!F1912,'LEAID Match'!$A$2:$B$374,2,FALSE),"")</f>
        <v>406330</v>
      </c>
      <c r="K1912" s="10">
        <f t="shared" si="29"/>
        <v>18318765</v>
      </c>
    </row>
    <row r="1913" spans="1:11">
      <c r="A1913">
        <v>406330</v>
      </c>
      <c r="B1913" s="10">
        <v>2018</v>
      </c>
      <c r="C1913" t="s">
        <v>929</v>
      </c>
      <c r="D1913" t="s">
        <v>2472</v>
      </c>
      <c r="E1913" t="s">
        <v>2474</v>
      </c>
      <c r="F1913" t="s">
        <v>1874</v>
      </c>
      <c r="G1913" t="s">
        <v>1874</v>
      </c>
      <c r="H1913" s="10">
        <v>18705298</v>
      </c>
      <c r="I1913">
        <f>IFERROR(VLOOKUP(Final!F1913,'LEAID Match'!$A$2:$B$374,2,FALSE),"")</f>
        <v>406330</v>
      </c>
      <c r="K1913" s="10">
        <f t="shared" si="29"/>
        <v>18705298</v>
      </c>
    </row>
    <row r="1914" spans="1:11">
      <c r="A1914">
        <v>406330</v>
      </c>
      <c r="B1914" s="10">
        <v>2019</v>
      </c>
      <c r="C1914" t="s">
        <v>929</v>
      </c>
      <c r="D1914" t="s">
        <v>2472</v>
      </c>
      <c r="E1914" t="s">
        <v>2474</v>
      </c>
      <c r="F1914" t="s">
        <v>1874</v>
      </c>
      <c r="G1914" t="s">
        <v>1874</v>
      </c>
      <c r="H1914" s="10">
        <v>20041936</v>
      </c>
      <c r="I1914">
        <f>IFERROR(VLOOKUP(Final!F1914,'LEAID Match'!$A$2:$B$374,2,FALSE),"")</f>
        <v>406330</v>
      </c>
      <c r="K1914" s="10">
        <f t="shared" si="29"/>
        <v>20041936</v>
      </c>
    </row>
    <row r="1915" spans="1:11">
      <c r="A1915">
        <v>406330</v>
      </c>
      <c r="B1915" s="10">
        <v>2020</v>
      </c>
      <c r="C1915" t="s">
        <v>929</v>
      </c>
      <c r="D1915" t="s">
        <v>2472</v>
      </c>
      <c r="E1915" t="s">
        <v>2474</v>
      </c>
      <c r="F1915" t="s">
        <v>1874</v>
      </c>
      <c r="G1915" t="s">
        <v>1874</v>
      </c>
      <c r="H1915" s="10">
        <v>21049944</v>
      </c>
      <c r="I1915">
        <f>IFERROR(VLOOKUP(Final!F1915,'LEAID Match'!$A$2:$B$374,2,FALSE),"")</f>
        <v>406330</v>
      </c>
      <c r="K1915" s="10">
        <f t="shared" si="29"/>
        <v>21049944</v>
      </c>
    </row>
    <row r="1916" spans="1:11">
      <c r="A1916">
        <v>406330</v>
      </c>
      <c r="B1916" s="10">
        <v>2021</v>
      </c>
      <c r="C1916" t="s">
        <v>929</v>
      </c>
      <c r="D1916" t="s">
        <v>2472</v>
      </c>
      <c r="E1916" t="s">
        <v>2474</v>
      </c>
      <c r="F1916" t="s">
        <v>1874</v>
      </c>
      <c r="G1916" t="s">
        <v>1874</v>
      </c>
      <c r="H1916" s="10">
        <v>21322941</v>
      </c>
      <c r="I1916">
        <f>IFERROR(VLOOKUP(Final!F1916,'LEAID Match'!$A$2:$B$374,2,FALSE),"")</f>
        <v>406330</v>
      </c>
      <c r="K1916" s="10">
        <f t="shared" si="29"/>
        <v>21322941</v>
      </c>
    </row>
    <row r="1917" spans="1:11">
      <c r="A1917">
        <v>406330</v>
      </c>
      <c r="B1917" s="10">
        <v>2022</v>
      </c>
      <c r="C1917" t="s">
        <v>929</v>
      </c>
      <c r="D1917" t="s">
        <v>2472</v>
      </c>
      <c r="E1917" t="s">
        <v>2474</v>
      </c>
      <c r="F1917" t="s">
        <v>1874</v>
      </c>
      <c r="G1917" t="s">
        <v>1874</v>
      </c>
      <c r="H1917" s="10">
        <v>23182262</v>
      </c>
      <c r="I1917">
        <f>IFERROR(VLOOKUP(Final!F1917,'LEAID Match'!$A$2:$B$374,2,FALSE),"")</f>
        <v>406330</v>
      </c>
      <c r="K1917" s="10">
        <f t="shared" si="29"/>
        <v>23182262</v>
      </c>
    </row>
    <row r="1918" spans="1:11">
      <c r="A1918">
        <v>406330</v>
      </c>
      <c r="B1918" s="10">
        <v>2023</v>
      </c>
      <c r="C1918" t="s">
        <v>929</v>
      </c>
      <c r="D1918" t="s">
        <v>2472</v>
      </c>
      <c r="E1918" t="s">
        <v>2474</v>
      </c>
      <c r="F1918" t="s">
        <v>1874</v>
      </c>
      <c r="G1918" t="s">
        <v>1874</v>
      </c>
      <c r="H1918" s="10">
        <v>25762857</v>
      </c>
      <c r="I1918">
        <f>IFERROR(VLOOKUP(Final!F1918,'LEAID Match'!$A$2:$B$374,2,FALSE),"")</f>
        <v>406330</v>
      </c>
      <c r="K1918" s="10">
        <f t="shared" si="29"/>
        <v>25762857</v>
      </c>
    </row>
    <row r="1919" spans="1:11">
      <c r="A1919">
        <v>400208</v>
      </c>
      <c r="B1919" s="10">
        <v>2015</v>
      </c>
      <c r="C1919" t="s">
        <v>815</v>
      </c>
      <c r="D1919" t="s">
        <v>2472</v>
      </c>
      <c r="E1919" t="s">
        <v>2474</v>
      </c>
      <c r="F1919" t="s">
        <v>760</v>
      </c>
      <c r="G1919" t="s">
        <v>760</v>
      </c>
      <c r="H1919" s="10">
        <v>17640</v>
      </c>
      <c r="I1919">
        <f>IFERROR(VLOOKUP(Final!F1919,'LEAID Match'!$A$2:$B$374,2,FALSE),"")</f>
        <v>400208</v>
      </c>
      <c r="K1919" s="10">
        <f t="shared" si="29"/>
        <v>17640</v>
      </c>
    </row>
    <row r="1920" spans="1:11">
      <c r="A1920">
        <v>400208</v>
      </c>
      <c r="B1920" s="10">
        <v>2016</v>
      </c>
      <c r="C1920" t="s">
        <v>815</v>
      </c>
      <c r="D1920" t="s">
        <v>2472</v>
      </c>
      <c r="E1920" t="s">
        <v>2474</v>
      </c>
      <c r="F1920" t="s">
        <v>760</v>
      </c>
      <c r="G1920" t="s">
        <v>760</v>
      </c>
      <c r="H1920" s="10">
        <v>20269</v>
      </c>
      <c r="I1920">
        <f>IFERROR(VLOOKUP(Final!F1920,'LEAID Match'!$A$2:$B$374,2,FALSE),"")</f>
        <v>400208</v>
      </c>
      <c r="K1920" s="10">
        <f t="shared" si="29"/>
        <v>20269</v>
      </c>
    </row>
    <row r="1921" spans="1:11">
      <c r="A1921">
        <v>400208</v>
      </c>
      <c r="B1921" s="10">
        <v>2017</v>
      </c>
      <c r="C1921" t="s">
        <v>815</v>
      </c>
      <c r="D1921" t="s">
        <v>2472</v>
      </c>
      <c r="E1921" t="s">
        <v>2474</v>
      </c>
      <c r="F1921" t="s">
        <v>760</v>
      </c>
      <c r="G1921" t="s">
        <v>760</v>
      </c>
      <c r="H1921" s="10">
        <v>20250</v>
      </c>
      <c r="I1921">
        <f>IFERROR(VLOOKUP(Final!F1921,'LEAID Match'!$A$2:$B$374,2,FALSE),"")</f>
        <v>400208</v>
      </c>
      <c r="K1921" s="10">
        <f t="shared" si="29"/>
        <v>20250</v>
      </c>
    </row>
    <row r="1922" spans="1:11">
      <c r="A1922">
        <v>400208</v>
      </c>
      <c r="B1922" s="10">
        <v>2018</v>
      </c>
      <c r="C1922" t="s">
        <v>815</v>
      </c>
      <c r="D1922" t="s">
        <v>2472</v>
      </c>
      <c r="E1922" t="s">
        <v>2474</v>
      </c>
      <c r="F1922" t="s">
        <v>760</v>
      </c>
      <c r="G1922" t="s">
        <v>760</v>
      </c>
      <c r="H1922" s="10">
        <v>31636</v>
      </c>
      <c r="I1922">
        <f>IFERROR(VLOOKUP(Final!F1922,'LEAID Match'!$A$2:$B$374,2,FALSE),"")</f>
        <v>400208</v>
      </c>
      <c r="K1922" s="10">
        <f t="shared" si="29"/>
        <v>31636</v>
      </c>
    </row>
    <row r="1923" spans="1:11">
      <c r="A1923">
        <v>400208</v>
      </c>
      <c r="B1923" s="10">
        <v>2019</v>
      </c>
      <c r="C1923" t="s">
        <v>815</v>
      </c>
      <c r="D1923" t="s">
        <v>2472</v>
      </c>
      <c r="E1923" t="s">
        <v>2474</v>
      </c>
      <c r="F1923" t="s">
        <v>760</v>
      </c>
      <c r="G1923" t="s">
        <v>760</v>
      </c>
      <c r="H1923" s="10">
        <v>23671</v>
      </c>
      <c r="I1923">
        <f>IFERROR(VLOOKUP(Final!F1923,'LEAID Match'!$A$2:$B$374,2,FALSE),"")</f>
        <v>400208</v>
      </c>
      <c r="K1923" s="10">
        <f t="shared" ref="K1923:K1986" si="30">SUM(H1923,J1923)</f>
        <v>23671</v>
      </c>
    </row>
    <row r="1924" spans="1:11">
      <c r="A1924">
        <v>400208</v>
      </c>
      <c r="B1924" s="10">
        <v>2020</v>
      </c>
      <c r="C1924" t="s">
        <v>815</v>
      </c>
      <c r="D1924" t="s">
        <v>2472</v>
      </c>
      <c r="E1924" t="s">
        <v>2474</v>
      </c>
      <c r="F1924" t="s">
        <v>760</v>
      </c>
      <c r="G1924" t="s">
        <v>760</v>
      </c>
      <c r="H1924" s="10">
        <v>18212</v>
      </c>
      <c r="I1924">
        <f>IFERROR(VLOOKUP(Final!F1924,'LEAID Match'!$A$2:$B$374,2,FALSE),"")</f>
        <v>400208</v>
      </c>
      <c r="K1924" s="10">
        <f t="shared" si="30"/>
        <v>18212</v>
      </c>
    </row>
    <row r="1925" spans="1:11">
      <c r="A1925">
        <v>400208</v>
      </c>
      <c r="B1925" s="10">
        <v>2021</v>
      </c>
      <c r="C1925" t="s">
        <v>815</v>
      </c>
      <c r="D1925" t="s">
        <v>2472</v>
      </c>
      <c r="E1925" t="s">
        <v>2474</v>
      </c>
      <c r="F1925" t="s">
        <v>760</v>
      </c>
      <c r="G1925" t="s">
        <v>760</v>
      </c>
      <c r="H1925" s="10">
        <v>45009</v>
      </c>
      <c r="I1925">
        <f>IFERROR(VLOOKUP(Final!F1925,'LEAID Match'!$A$2:$B$374,2,FALSE),"")</f>
        <v>400208</v>
      </c>
      <c r="K1925" s="10">
        <f t="shared" si="30"/>
        <v>45009</v>
      </c>
    </row>
    <row r="1926" spans="1:11">
      <c r="A1926">
        <v>400208</v>
      </c>
      <c r="B1926" s="10">
        <v>2022</v>
      </c>
      <c r="C1926" t="s">
        <v>815</v>
      </c>
      <c r="D1926" t="s">
        <v>2472</v>
      </c>
      <c r="E1926" t="s">
        <v>2474</v>
      </c>
      <c r="F1926" t="s">
        <v>760</v>
      </c>
      <c r="G1926" t="s">
        <v>760</v>
      </c>
      <c r="H1926" s="10">
        <v>52054</v>
      </c>
      <c r="I1926">
        <f>IFERROR(VLOOKUP(Final!F1926,'LEAID Match'!$A$2:$B$374,2,FALSE),"")</f>
        <v>400208</v>
      </c>
      <c r="K1926" s="10">
        <f t="shared" si="30"/>
        <v>52054</v>
      </c>
    </row>
    <row r="1927" spans="1:11">
      <c r="A1927">
        <v>400208</v>
      </c>
      <c r="B1927" s="10">
        <v>2023</v>
      </c>
      <c r="C1927" t="s">
        <v>815</v>
      </c>
      <c r="D1927" t="s">
        <v>2472</v>
      </c>
      <c r="E1927" t="s">
        <v>2474</v>
      </c>
      <c r="F1927" t="s">
        <v>760</v>
      </c>
      <c r="G1927" t="s">
        <v>760</v>
      </c>
      <c r="H1927" s="10">
        <v>66559</v>
      </c>
      <c r="I1927">
        <f>IFERROR(VLOOKUP(Final!F1927,'LEAID Match'!$A$2:$B$374,2,FALSE),"")</f>
        <v>400208</v>
      </c>
      <c r="K1927" s="10">
        <f t="shared" si="30"/>
        <v>66559</v>
      </c>
    </row>
    <row r="1928" spans="1:11">
      <c r="A1928">
        <v>408340</v>
      </c>
      <c r="B1928" s="10">
        <v>2015</v>
      </c>
      <c r="C1928" t="s">
        <v>1209</v>
      </c>
      <c r="D1928" t="s">
        <v>2472</v>
      </c>
      <c r="E1928" t="s">
        <v>2474</v>
      </c>
      <c r="F1928" t="s">
        <v>1983</v>
      </c>
      <c r="G1928" t="s">
        <v>1155</v>
      </c>
      <c r="H1928" s="10">
        <v>6936286</v>
      </c>
      <c r="I1928">
        <f>IFERROR(VLOOKUP(Final!F1928,'LEAID Match'!$A$2:$B$374,2,FALSE),"")</f>
        <v>408340</v>
      </c>
      <c r="K1928" s="10">
        <f t="shared" si="30"/>
        <v>6936286</v>
      </c>
    </row>
    <row r="1929" spans="1:11">
      <c r="A1929">
        <v>408340</v>
      </c>
      <c r="B1929" s="10">
        <v>2016</v>
      </c>
      <c r="C1929" t="s">
        <v>1209</v>
      </c>
      <c r="D1929" t="s">
        <v>2472</v>
      </c>
      <c r="E1929" t="s">
        <v>2474</v>
      </c>
      <c r="F1929" t="s">
        <v>1983</v>
      </c>
      <c r="G1929" t="s">
        <v>1155</v>
      </c>
      <c r="H1929" s="10">
        <v>7009654</v>
      </c>
      <c r="I1929">
        <f>IFERROR(VLOOKUP(Final!F1929,'LEAID Match'!$A$2:$B$374,2,FALSE),"")</f>
        <v>408340</v>
      </c>
      <c r="K1929" s="10">
        <f t="shared" si="30"/>
        <v>7009654</v>
      </c>
    </row>
    <row r="1930" spans="1:11">
      <c r="A1930">
        <v>408340</v>
      </c>
      <c r="B1930" s="10">
        <v>2017</v>
      </c>
      <c r="C1930" t="s">
        <v>1209</v>
      </c>
      <c r="D1930" t="s">
        <v>2472</v>
      </c>
      <c r="E1930" t="s">
        <v>2474</v>
      </c>
      <c r="F1930" t="s">
        <v>1983</v>
      </c>
      <c r="G1930" t="s">
        <v>1983</v>
      </c>
      <c r="H1930" s="10">
        <v>7286241</v>
      </c>
      <c r="I1930">
        <f>IFERROR(VLOOKUP(Final!F1930,'LEAID Match'!$A$2:$B$374,2,FALSE),"")</f>
        <v>408340</v>
      </c>
      <c r="K1930" s="10">
        <f t="shared" si="30"/>
        <v>7286241</v>
      </c>
    </row>
    <row r="1931" spans="1:11">
      <c r="A1931">
        <v>408340</v>
      </c>
      <c r="B1931" s="10">
        <v>2018</v>
      </c>
      <c r="C1931" t="s">
        <v>1209</v>
      </c>
      <c r="D1931" t="s">
        <v>2472</v>
      </c>
      <c r="E1931" t="s">
        <v>2474</v>
      </c>
      <c r="F1931" t="s">
        <v>1983</v>
      </c>
      <c r="G1931" t="s">
        <v>1983</v>
      </c>
      <c r="H1931" s="10">
        <v>7270224</v>
      </c>
      <c r="I1931">
        <f>IFERROR(VLOOKUP(Final!F1931,'LEAID Match'!$A$2:$B$374,2,FALSE),"")</f>
        <v>408340</v>
      </c>
      <c r="K1931" s="10">
        <f t="shared" si="30"/>
        <v>7270224</v>
      </c>
    </row>
    <row r="1932" spans="1:11">
      <c r="A1932">
        <v>408340</v>
      </c>
      <c r="B1932" s="10">
        <v>2019</v>
      </c>
      <c r="C1932" t="s">
        <v>1209</v>
      </c>
      <c r="D1932" t="s">
        <v>2472</v>
      </c>
      <c r="E1932" t="s">
        <v>2474</v>
      </c>
      <c r="F1932" t="s">
        <v>1983</v>
      </c>
      <c r="G1932" t="s">
        <v>1983</v>
      </c>
      <c r="H1932" s="10">
        <v>8243047</v>
      </c>
      <c r="I1932">
        <f>IFERROR(VLOOKUP(Final!F1932,'LEAID Match'!$A$2:$B$374,2,FALSE),"")</f>
        <v>408340</v>
      </c>
      <c r="K1932" s="10">
        <f t="shared" si="30"/>
        <v>8243047</v>
      </c>
    </row>
    <row r="1933" spans="1:11">
      <c r="A1933">
        <v>408340</v>
      </c>
      <c r="B1933" s="10">
        <v>2020</v>
      </c>
      <c r="C1933" t="s">
        <v>1209</v>
      </c>
      <c r="D1933" t="s">
        <v>2472</v>
      </c>
      <c r="E1933" t="s">
        <v>2474</v>
      </c>
      <c r="F1933" t="s">
        <v>1983</v>
      </c>
      <c r="G1933" t="s">
        <v>1983</v>
      </c>
      <c r="H1933" s="10">
        <v>8602554</v>
      </c>
      <c r="I1933">
        <f>IFERROR(VLOOKUP(Final!F1933,'LEAID Match'!$A$2:$B$374,2,FALSE),"")</f>
        <v>408340</v>
      </c>
      <c r="K1933" s="10">
        <f t="shared" si="30"/>
        <v>8602554</v>
      </c>
    </row>
    <row r="1934" spans="1:11">
      <c r="A1934">
        <v>408340</v>
      </c>
      <c r="B1934" s="10">
        <v>2021</v>
      </c>
      <c r="C1934" t="s">
        <v>1209</v>
      </c>
      <c r="D1934" t="s">
        <v>2472</v>
      </c>
      <c r="E1934" t="s">
        <v>2474</v>
      </c>
      <c r="F1934" t="s">
        <v>1983</v>
      </c>
      <c r="G1934" t="s">
        <v>1983</v>
      </c>
      <c r="H1934" s="10">
        <v>8863476</v>
      </c>
      <c r="I1934">
        <f>IFERROR(VLOOKUP(Final!F1934,'LEAID Match'!$A$2:$B$374,2,FALSE),"")</f>
        <v>408340</v>
      </c>
      <c r="K1934" s="10">
        <f t="shared" si="30"/>
        <v>8863476</v>
      </c>
    </row>
    <row r="1935" spans="1:11">
      <c r="A1935">
        <v>408340</v>
      </c>
      <c r="B1935" s="10">
        <v>2022</v>
      </c>
      <c r="C1935" t="s">
        <v>1209</v>
      </c>
      <c r="D1935" t="s">
        <v>2472</v>
      </c>
      <c r="E1935" t="s">
        <v>2474</v>
      </c>
      <c r="F1935" t="s">
        <v>1983</v>
      </c>
      <c r="G1935" t="s">
        <v>1983</v>
      </c>
      <c r="H1935" s="10">
        <v>9208837</v>
      </c>
      <c r="I1935">
        <f>IFERROR(VLOOKUP(Final!F1935,'LEAID Match'!$A$2:$B$374,2,FALSE),"")</f>
        <v>408340</v>
      </c>
      <c r="K1935" s="10">
        <f t="shared" si="30"/>
        <v>9208837</v>
      </c>
    </row>
    <row r="1936" spans="1:11">
      <c r="A1936">
        <v>408340</v>
      </c>
      <c r="B1936" s="10">
        <v>2023</v>
      </c>
      <c r="C1936" t="s">
        <v>1209</v>
      </c>
      <c r="D1936" t="s">
        <v>2472</v>
      </c>
      <c r="E1936" t="s">
        <v>2474</v>
      </c>
      <c r="F1936" t="s">
        <v>1983</v>
      </c>
      <c r="G1936" t="s">
        <v>1983</v>
      </c>
      <c r="H1936" s="10">
        <v>10375873</v>
      </c>
      <c r="I1936">
        <f>IFERROR(VLOOKUP(Final!F1936,'LEAID Match'!$A$2:$B$374,2,FALSE),"")</f>
        <v>408340</v>
      </c>
      <c r="K1936" s="10">
        <f t="shared" si="30"/>
        <v>10375873</v>
      </c>
    </row>
    <row r="1937" spans="1:11">
      <c r="A1937">
        <v>408520</v>
      </c>
      <c r="B1937" s="10">
        <v>2015</v>
      </c>
      <c r="C1937" t="s">
        <v>1213</v>
      </c>
      <c r="D1937" t="s">
        <v>2472</v>
      </c>
      <c r="E1937" t="s">
        <v>2474</v>
      </c>
      <c r="F1937" t="s">
        <v>1988</v>
      </c>
      <c r="G1937" t="s">
        <v>1159</v>
      </c>
      <c r="H1937" s="10">
        <v>4501349</v>
      </c>
      <c r="I1937">
        <f>IFERROR(VLOOKUP(Final!F1937,'LEAID Match'!$A$2:$B$374,2,FALSE),"")</f>
        <v>408520</v>
      </c>
      <c r="K1937" s="10">
        <f t="shared" si="30"/>
        <v>4501349</v>
      </c>
    </row>
    <row r="1938" spans="1:11">
      <c r="A1938">
        <v>408520</v>
      </c>
      <c r="B1938" s="10">
        <v>2016</v>
      </c>
      <c r="C1938" t="s">
        <v>1213</v>
      </c>
      <c r="D1938" t="s">
        <v>2472</v>
      </c>
      <c r="E1938" t="s">
        <v>2474</v>
      </c>
      <c r="F1938" t="s">
        <v>1988</v>
      </c>
      <c r="G1938" t="s">
        <v>1159</v>
      </c>
      <c r="H1938" s="10">
        <v>4254766</v>
      </c>
      <c r="I1938">
        <f>IFERROR(VLOOKUP(Final!F1938,'LEAID Match'!$A$2:$B$374,2,FALSE),"")</f>
        <v>408520</v>
      </c>
      <c r="K1938" s="10">
        <f t="shared" si="30"/>
        <v>4254766</v>
      </c>
    </row>
    <row r="1939" spans="1:11">
      <c r="A1939">
        <v>408520</v>
      </c>
      <c r="B1939" s="10">
        <v>2017</v>
      </c>
      <c r="C1939" t="s">
        <v>1213</v>
      </c>
      <c r="D1939" t="s">
        <v>2472</v>
      </c>
      <c r="E1939" t="s">
        <v>2474</v>
      </c>
      <c r="F1939" t="s">
        <v>1988</v>
      </c>
      <c r="G1939" t="s">
        <v>1988</v>
      </c>
      <c r="H1939" s="10">
        <v>4788335</v>
      </c>
      <c r="I1939">
        <f>IFERROR(VLOOKUP(Final!F1939,'LEAID Match'!$A$2:$B$374,2,FALSE),"")</f>
        <v>408520</v>
      </c>
      <c r="K1939" s="10">
        <f t="shared" si="30"/>
        <v>4788335</v>
      </c>
    </row>
    <row r="1940" spans="1:11">
      <c r="A1940">
        <v>408520</v>
      </c>
      <c r="B1940" s="10">
        <v>2018</v>
      </c>
      <c r="C1940" t="s">
        <v>1213</v>
      </c>
      <c r="D1940" t="s">
        <v>2472</v>
      </c>
      <c r="E1940" t="s">
        <v>2474</v>
      </c>
      <c r="F1940" t="s">
        <v>1988</v>
      </c>
      <c r="G1940" t="s">
        <v>2326</v>
      </c>
      <c r="H1940" s="10">
        <v>5156729</v>
      </c>
      <c r="I1940">
        <f>IFERROR(VLOOKUP(Final!F1940,'LEAID Match'!$A$2:$B$374,2,FALSE),"")</f>
        <v>408520</v>
      </c>
      <c r="K1940" s="10">
        <f t="shared" si="30"/>
        <v>5156729</v>
      </c>
    </row>
    <row r="1941" spans="1:11">
      <c r="A1941">
        <v>408520</v>
      </c>
      <c r="B1941" s="10">
        <v>2019</v>
      </c>
      <c r="C1941" t="s">
        <v>1213</v>
      </c>
      <c r="D1941" t="s">
        <v>2472</v>
      </c>
      <c r="E1941" t="s">
        <v>2474</v>
      </c>
      <c r="F1941" t="s">
        <v>1988</v>
      </c>
      <c r="G1941" t="s">
        <v>1988</v>
      </c>
      <c r="H1941" s="10">
        <v>5948793</v>
      </c>
      <c r="I1941">
        <f>IFERROR(VLOOKUP(Final!F1941,'LEAID Match'!$A$2:$B$374,2,FALSE),"")</f>
        <v>408520</v>
      </c>
      <c r="K1941" s="10">
        <f t="shared" si="30"/>
        <v>5948793</v>
      </c>
    </row>
    <row r="1942" spans="1:11">
      <c r="A1942">
        <v>408520</v>
      </c>
      <c r="B1942" s="10">
        <v>2020</v>
      </c>
      <c r="C1942" t="s">
        <v>1213</v>
      </c>
      <c r="D1942" t="s">
        <v>2472</v>
      </c>
      <c r="E1942" t="s">
        <v>2474</v>
      </c>
      <c r="F1942" t="s">
        <v>1988</v>
      </c>
      <c r="G1942" t="s">
        <v>1988</v>
      </c>
      <c r="H1942" s="10">
        <v>6997557</v>
      </c>
      <c r="I1942">
        <f>IFERROR(VLOOKUP(Final!F1942,'LEAID Match'!$A$2:$B$374,2,FALSE),"")</f>
        <v>408520</v>
      </c>
      <c r="K1942" s="10">
        <f t="shared" si="30"/>
        <v>6997557</v>
      </c>
    </row>
    <row r="1943" spans="1:11">
      <c r="A1943">
        <v>408520</v>
      </c>
      <c r="B1943" s="10">
        <v>2021</v>
      </c>
      <c r="C1943" t="s">
        <v>1213</v>
      </c>
      <c r="D1943" t="s">
        <v>2472</v>
      </c>
      <c r="E1943" t="s">
        <v>2474</v>
      </c>
      <c r="F1943" t="s">
        <v>1988</v>
      </c>
      <c r="G1943" t="s">
        <v>1988</v>
      </c>
      <c r="H1943" s="10">
        <v>8219676</v>
      </c>
      <c r="I1943">
        <f>IFERROR(VLOOKUP(Final!F1943,'LEAID Match'!$A$2:$B$374,2,FALSE),"")</f>
        <v>408520</v>
      </c>
      <c r="K1943" s="10">
        <f t="shared" si="30"/>
        <v>8219676</v>
      </c>
    </row>
    <row r="1944" spans="1:11">
      <c r="A1944">
        <v>408520</v>
      </c>
      <c r="B1944" s="10">
        <v>2022</v>
      </c>
      <c r="C1944" t="s">
        <v>1213</v>
      </c>
      <c r="D1944" t="s">
        <v>2472</v>
      </c>
      <c r="E1944" t="s">
        <v>2474</v>
      </c>
      <c r="F1944" t="s">
        <v>1988</v>
      </c>
      <c r="G1944" t="s">
        <v>1988</v>
      </c>
      <c r="H1944" s="10">
        <v>9487241</v>
      </c>
      <c r="I1944">
        <f>IFERROR(VLOOKUP(Final!F1944,'LEAID Match'!$A$2:$B$374,2,FALSE),"")</f>
        <v>408520</v>
      </c>
      <c r="K1944" s="10">
        <f t="shared" si="30"/>
        <v>9487241</v>
      </c>
    </row>
    <row r="1945" spans="1:11">
      <c r="A1945">
        <v>408520</v>
      </c>
      <c r="B1945" s="10">
        <v>2023</v>
      </c>
      <c r="C1945" t="s">
        <v>1213</v>
      </c>
      <c r="D1945" t="s">
        <v>2472</v>
      </c>
      <c r="E1945" t="s">
        <v>2474</v>
      </c>
      <c r="F1945" t="s">
        <v>1988</v>
      </c>
      <c r="G1945" t="s">
        <v>1988</v>
      </c>
      <c r="H1945" s="10">
        <v>10897465</v>
      </c>
      <c r="I1945">
        <f>IFERROR(VLOOKUP(Final!F1945,'LEAID Match'!$A$2:$B$374,2,FALSE),"")</f>
        <v>408520</v>
      </c>
      <c r="K1945" s="10">
        <f t="shared" si="30"/>
        <v>10897465</v>
      </c>
    </row>
    <row r="1946" spans="1:11">
      <c r="A1946">
        <v>400450</v>
      </c>
      <c r="B1946" s="10">
        <v>2015</v>
      </c>
      <c r="C1946" t="s">
        <v>64</v>
      </c>
      <c r="D1946" t="s">
        <v>2472</v>
      </c>
      <c r="E1946" t="s">
        <v>2474</v>
      </c>
      <c r="F1946" t="s">
        <v>1489</v>
      </c>
      <c r="G1946" t="s">
        <v>11</v>
      </c>
      <c r="H1946" s="10">
        <v>3407931</v>
      </c>
      <c r="I1946">
        <f>IFERROR(VLOOKUP(Final!F1946,'LEAID Match'!$A$2:$B$374,2,FALSE),"")</f>
        <v>400450</v>
      </c>
      <c r="K1946" s="10">
        <f t="shared" si="30"/>
        <v>3407931</v>
      </c>
    </row>
    <row r="1947" spans="1:11">
      <c r="A1947">
        <v>400450</v>
      </c>
      <c r="B1947" s="10">
        <v>2016</v>
      </c>
      <c r="C1947" t="s">
        <v>64</v>
      </c>
      <c r="D1947" t="s">
        <v>2472</v>
      </c>
      <c r="E1947" t="s">
        <v>2474</v>
      </c>
      <c r="F1947" t="s">
        <v>1489</v>
      </c>
      <c r="G1947" t="s">
        <v>11</v>
      </c>
      <c r="H1947" s="10">
        <v>3426663</v>
      </c>
      <c r="I1947">
        <f>IFERROR(VLOOKUP(Final!F1947,'LEAID Match'!$A$2:$B$374,2,FALSE),"")</f>
        <v>400450</v>
      </c>
      <c r="K1947" s="10">
        <f t="shared" si="30"/>
        <v>3426663</v>
      </c>
    </row>
    <row r="1948" spans="1:11">
      <c r="A1948">
        <v>400450</v>
      </c>
      <c r="B1948" s="10">
        <v>2017</v>
      </c>
      <c r="C1948" t="s">
        <v>64</v>
      </c>
      <c r="D1948" t="s">
        <v>2472</v>
      </c>
      <c r="E1948" t="s">
        <v>2474</v>
      </c>
      <c r="F1948" t="s">
        <v>1489</v>
      </c>
      <c r="G1948" t="s">
        <v>1489</v>
      </c>
      <c r="H1948" s="10">
        <v>3527673</v>
      </c>
      <c r="I1948">
        <f>IFERROR(VLOOKUP(Final!F1948,'LEAID Match'!$A$2:$B$374,2,FALSE),"")</f>
        <v>400450</v>
      </c>
      <c r="K1948" s="10">
        <f t="shared" si="30"/>
        <v>3527673</v>
      </c>
    </row>
    <row r="1949" spans="1:11">
      <c r="A1949">
        <v>400450</v>
      </c>
      <c r="B1949" s="10">
        <v>2018</v>
      </c>
      <c r="C1949" t="s">
        <v>64</v>
      </c>
      <c r="D1949" t="s">
        <v>2472</v>
      </c>
      <c r="E1949" t="s">
        <v>2474</v>
      </c>
      <c r="F1949" t="s">
        <v>1489</v>
      </c>
      <c r="G1949" t="s">
        <v>2045</v>
      </c>
      <c r="H1949" s="10">
        <v>3826849</v>
      </c>
      <c r="I1949">
        <f>IFERROR(VLOOKUP(Final!F1949,'LEAID Match'!$A$2:$B$374,2,FALSE),"")</f>
        <v>400450</v>
      </c>
      <c r="K1949" s="10">
        <f t="shared" si="30"/>
        <v>3826849</v>
      </c>
    </row>
    <row r="1950" spans="1:11">
      <c r="A1950">
        <v>400450</v>
      </c>
      <c r="B1950" s="10">
        <v>2019</v>
      </c>
      <c r="C1950" t="s">
        <v>64</v>
      </c>
      <c r="D1950" t="s">
        <v>2472</v>
      </c>
      <c r="E1950" t="s">
        <v>2474</v>
      </c>
      <c r="F1950" t="s">
        <v>1489</v>
      </c>
      <c r="G1950" t="s">
        <v>1489</v>
      </c>
      <c r="H1950" s="10">
        <v>4649538</v>
      </c>
      <c r="I1950">
        <f>IFERROR(VLOOKUP(Final!F1950,'LEAID Match'!$A$2:$B$374,2,FALSE),"")</f>
        <v>400450</v>
      </c>
      <c r="K1950" s="10">
        <f t="shared" si="30"/>
        <v>4649538</v>
      </c>
    </row>
    <row r="1951" spans="1:11">
      <c r="A1951">
        <v>400450</v>
      </c>
      <c r="B1951" s="10">
        <v>2020</v>
      </c>
      <c r="C1951" t="s">
        <v>64</v>
      </c>
      <c r="D1951" t="s">
        <v>2472</v>
      </c>
      <c r="E1951" t="s">
        <v>2474</v>
      </c>
      <c r="F1951" t="s">
        <v>1489</v>
      </c>
      <c r="G1951" t="s">
        <v>1489</v>
      </c>
      <c r="H1951" s="10">
        <v>5052667</v>
      </c>
      <c r="I1951">
        <f>IFERROR(VLOOKUP(Final!F1951,'LEAID Match'!$A$2:$B$374,2,FALSE),"")</f>
        <v>400450</v>
      </c>
      <c r="K1951" s="10">
        <f t="shared" si="30"/>
        <v>5052667</v>
      </c>
    </row>
    <row r="1952" spans="1:11">
      <c r="A1952">
        <v>400450</v>
      </c>
      <c r="B1952" s="10">
        <v>2021</v>
      </c>
      <c r="C1952" t="s">
        <v>64</v>
      </c>
      <c r="D1952" t="s">
        <v>2472</v>
      </c>
      <c r="E1952" t="s">
        <v>2474</v>
      </c>
      <c r="F1952" t="s">
        <v>1489</v>
      </c>
      <c r="G1952" t="s">
        <v>1489</v>
      </c>
      <c r="H1952" s="10">
        <v>5715889</v>
      </c>
      <c r="I1952">
        <f>IFERROR(VLOOKUP(Final!F1952,'LEAID Match'!$A$2:$B$374,2,FALSE),"")</f>
        <v>400450</v>
      </c>
      <c r="K1952" s="10">
        <f t="shared" si="30"/>
        <v>5715889</v>
      </c>
    </row>
    <row r="1953" spans="1:11">
      <c r="A1953">
        <v>400450</v>
      </c>
      <c r="B1953" s="10">
        <v>2022</v>
      </c>
      <c r="C1953" t="s">
        <v>64</v>
      </c>
      <c r="D1953" t="s">
        <v>2472</v>
      </c>
      <c r="E1953" t="s">
        <v>2474</v>
      </c>
      <c r="F1953" t="s">
        <v>1489</v>
      </c>
      <c r="G1953" t="s">
        <v>1489</v>
      </c>
      <c r="H1953" s="10">
        <v>6615861</v>
      </c>
      <c r="I1953">
        <f>IFERROR(VLOOKUP(Final!F1953,'LEAID Match'!$A$2:$B$374,2,FALSE),"")</f>
        <v>400450</v>
      </c>
      <c r="K1953" s="10">
        <f t="shared" si="30"/>
        <v>6615861</v>
      </c>
    </row>
    <row r="1954" spans="1:11">
      <c r="A1954">
        <v>400450</v>
      </c>
      <c r="B1954" s="10">
        <v>2023</v>
      </c>
      <c r="C1954" t="s">
        <v>64</v>
      </c>
      <c r="D1954" t="s">
        <v>2472</v>
      </c>
      <c r="E1954" t="s">
        <v>2474</v>
      </c>
      <c r="F1954" t="s">
        <v>1489</v>
      </c>
      <c r="G1954" t="s">
        <v>1489</v>
      </c>
      <c r="H1954" s="10">
        <v>7066127</v>
      </c>
      <c r="I1954">
        <f>IFERROR(VLOOKUP(Final!F1954,'LEAID Match'!$A$2:$B$374,2,FALSE),"")</f>
        <v>400450</v>
      </c>
      <c r="K1954" s="10">
        <f t="shared" si="30"/>
        <v>7066127</v>
      </c>
    </row>
    <row r="1955" spans="1:11">
      <c r="A1955">
        <v>400322</v>
      </c>
      <c r="B1955" s="10">
        <v>2015</v>
      </c>
      <c r="C1955" t="s">
        <v>553</v>
      </c>
      <c r="D1955" t="s">
        <v>2472</v>
      </c>
      <c r="E1955" t="s">
        <v>2474</v>
      </c>
      <c r="F1955" t="s">
        <v>498</v>
      </c>
      <c r="G1955" t="s">
        <v>498</v>
      </c>
      <c r="H1955" s="10">
        <v>49863</v>
      </c>
      <c r="I1955">
        <f>IFERROR(VLOOKUP(Final!F1955,'LEAID Match'!$A$2:$B$374,2,FALSE),"")</f>
        <v>400322</v>
      </c>
      <c r="K1955" s="10">
        <f t="shared" si="30"/>
        <v>49863</v>
      </c>
    </row>
    <row r="1956" spans="1:11">
      <c r="A1956">
        <v>400322</v>
      </c>
      <c r="B1956" s="10">
        <v>2016</v>
      </c>
      <c r="C1956" t="s">
        <v>553</v>
      </c>
      <c r="D1956" t="s">
        <v>2472</v>
      </c>
      <c r="E1956" t="s">
        <v>2474</v>
      </c>
      <c r="F1956" t="s">
        <v>498</v>
      </c>
      <c r="G1956" t="s">
        <v>498</v>
      </c>
      <c r="H1956" s="10">
        <v>43327</v>
      </c>
      <c r="I1956">
        <f>IFERROR(VLOOKUP(Final!F1956,'LEAID Match'!$A$2:$B$374,2,FALSE),"")</f>
        <v>400322</v>
      </c>
      <c r="K1956" s="10">
        <f t="shared" si="30"/>
        <v>43327</v>
      </c>
    </row>
    <row r="1957" spans="1:11">
      <c r="A1957">
        <v>400322</v>
      </c>
      <c r="B1957" s="10">
        <v>2017</v>
      </c>
      <c r="C1957" t="s">
        <v>553</v>
      </c>
      <c r="D1957" t="s">
        <v>2472</v>
      </c>
      <c r="E1957" t="s">
        <v>2474</v>
      </c>
      <c r="F1957" t="s">
        <v>498</v>
      </c>
      <c r="G1957" t="s">
        <v>498</v>
      </c>
      <c r="H1957" s="10">
        <v>29864</v>
      </c>
      <c r="I1957">
        <f>IFERROR(VLOOKUP(Final!F1957,'LEAID Match'!$A$2:$B$374,2,FALSE),"")</f>
        <v>400322</v>
      </c>
      <c r="K1957" s="10">
        <f t="shared" si="30"/>
        <v>29864</v>
      </c>
    </row>
    <row r="1958" spans="1:11">
      <c r="A1958">
        <v>400322</v>
      </c>
      <c r="B1958" s="10">
        <v>2018</v>
      </c>
      <c r="C1958" t="s">
        <v>553</v>
      </c>
      <c r="D1958" t="s">
        <v>2472</v>
      </c>
      <c r="E1958" t="s">
        <v>2474</v>
      </c>
      <c r="F1958" t="s">
        <v>498</v>
      </c>
      <c r="G1958" t="s">
        <v>498</v>
      </c>
      <c r="H1958" s="10">
        <v>29807</v>
      </c>
      <c r="I1958">
        <f>IFERROR(VLOOKUP(Final!F1958,'LEAID Match'!$A$2:$B$374,2,FALSE),"")</f>
        <v>400322</v>
      </c>
      <c r="K1958" s="10">
        <f t="shared" si="30"/>
        <v>29807</v>
      </c>
    </row>
    <row r="1959" spans="1:11">
      <c r="A1959">
        <v>400322</v>
      </c>
      <c r="B1959" s="10">
        <v>2019</v>
      </c>
      <c r="C1959" t="s">
        <v>553</v>
      </c>
      <c r="D1959" t="s">
        <v>2472</v>
      </c>
      <c r="E1959" t="s">
        <v>2474</v>
      </c>
      <c r="F1959" t="s">
        <v>498</v>
      </c>
      <c r="G1959" t="s">
        <v>498</v>
      </c>
      <c r="H1959" s="10">
        <v>24800</v>
      </c>
      <c r="I1959">
        <f>IFERROR(VLOOKUP(Final!F1959,'LEAID Match'!$A$2:$B$374,2,FALSE),"")</f>
        <v>400322</v>
      </c>
      <c r="K1959" s="10">
        <f t="shared" si="30"/>
        <v>24800</v>
      </c>
    </row>
    <row r="1960" spans="1:11">
      <c r="A1960">
        <v>400322</v>
      </c>
      <c r="B1960" s="10">
        <v>2020</v>
      </c>
      <c r="C1960" t="s">
        <v>553</v>
      </c>
      <c r="D1960" t="s">
        <v>2472</v>
      </c>
      <c r="E1960" t="s">
        <v>2474</v>
      </c>
      <c r="F1960" t="s">
        <v>498</v>
      </c>
      <c r="G1960" t="s">
        <v>498</v>
      </c>
      <c r="H1960" s="10">
        <v>33098</v>
      </c>
      <c r="I1960">
        <f>IFERROR(VLOOKUP(Final!F1960,'LEAID Match'!$A$2:$B$374,2,FALSE),"")</f>
        <v>400322</v>
      </c>
      <c r="K1960" s="10">
        <f t="shared" si="30"/>
        <v>33098</v>
      </c>
    </row>
    <row r="1961" spans="1:11">
      <c r="A1961">
        <v>400322</v>
      </c>
      <c r="B1961" s="10">
        <v>2021</v>
      </c>
      <c r="C1961" t="s">
        <v>553</v>
      </c>
      <c r="D1961" t="s">
        <v>2472</v>
      </c>
      <c r="E1961" t="s">
        <v>2474</v>
      </c>
      <c r="F1961" t="s">
        <v>498</v>
      </c>
      <c r="G1961" t="s">
        <v>498</v>
      </c>
      <c r="H1961" s="10">
        <v>47314</v>
      </c>
      <c r="I1961">
        <f>IFERROR(VLOOKUP(Final!F1961,'LEAID Match'!$A$2:$B$374,2,FALSE),"")</f>
        <v>400322</v>
      </c>
      <c r="K1961" s="10">
        <f t="shared" si="30"/>
        <v>47314</v>
      </c>
    </row>
    <row r="1962" spans="1:11">
      <c r="A1962">
        <v>400322</v>
      </c>
      <c r="B1962" s="10">
        <v>2022</v>
      </c>
      <c r="C1962" t="s">
        <v>553</v>
      </c>
      <c r="D1962" t="s">
        <v>2472</v>
      </c>
      <c r="E1962" t="s">
        <v>2474</v>
      </c>
      <c r="F1962" t="s">
        <v>498</v>
      </c>
      <c r="G1962" t="s">
        <v>498</v>
      </c>
      <c r="H1962" s="10">
        <v>45520</v>
      </c>
      <c r="I1962">
        <f>IFERROR(VLOOKUP(Final!F1962,'LEAID Match'!$A$2:$B$374,2,FALSE),"")</f>
        <v>400322</v>
      </c>
      <c r="K1962" s="10">
        <f t="shared" si="30"/>
        <v>45520</v>
      </c>
    </row>
    <row r="1963" spans="1:11">
      <c r="A1963">
        <v>400322</v>
      </c>
      <c r="B1963" s="10">
        <v>2023</v>
      </c>
      <c r="C1963" t="s">
        <v>553</v>
      </c>
      <c r="D1963" t="s">
        <v>2472</v>
      </c>
      <c r="E1963" t="s">
        <v>2474</v>
      </c>
      <c r="F1963" t="s">
        <v>498</v>
      </c>
      <c r="G1963" t="s">
        <v>498</v>
      </c>
      <c r="H1963" s="10">
        <v>49654</v>
      </c>
      <c r="I1963">
        <f>IFERROR(VLOOKUP(Final!F1963,'LEAID Match'!$A$2:$B$374,2,FALSE),"")</f>
        <v>400322</v>
      </c>
      <c r="K1963" s="10">
        <f t="shared" si="30"/>
        <v>49654</v>
      </c>
    </row>
    <row r="1964" spans="1:11">
      <c r="A1964">
        <v>400255</v>
      </c>
      <c r="B1964" s="10">
        <v>2015</v>
      </c>
      <c r="C1964" t="s">
        <v>1259</v>
      </c>
      <c r="D1964" t="s">
        <v>2472</v>
      </c>
      <c r="E1964" t="s">
        <v>2474</v>
      </c>
      <c r="F1964" t="s">
        <v>1205</v>
      </c>
      <c r="G1964" t="s">
        <v>1205</v>
      </c>
      <c r="H1964" s="10">
        <v>278087</v>
      </c>
      <c r="I1964">
        <f>IFERROR(VLOOKUP(Final!F1964,'LEAID Match'!$A$2:$B$374,2,FALSE),"")</f>
        <v>400255</v>
      </c>
      <c r="K1964" s="10">
        <f t="shared" si="30"/>
        <v>278087</v>
      </c>
    </row>
    <row r="1965" spans="1:11">
      <c r="A1965">
        <v>400255</v>
      </c>
      <c r="B1965" s="10">
        <v>2016</v>
      </c>
      <c r="C1965" t="s">
        <v>1259</v>
      </c>
      <c r="D1965" t="s">
        <v>2472</v>
      </c>
      <c r="E1965" t="s">
        <v>2474</v>
      </c>
      <c r="F1965" t="s">
        <v>1205</v>
      </c>
      <c r="G1965" t="s">
        <v>1205</v>
      </c>
      <c r="H1965" s="10">
        <v>270159</v>
      </c>
      <c r="I1965">
        <f>IFERROR(VLOOKUP(Final!F1965,'LEAID Match'!$A$2:$B$374,2,FALSE),"")</f>
        <v>400255</v>
      </c>
      <c r="K1965" s="10">
        <f t="shared" si="30"/>
        <v>270159</v>
      </c>
    </row>
    <row r="1966" spans="1:11">
      <c r="A1966">
        <v>400255</v>
      </c>
      <c r="B1966" s="10">
        <v>2017</v>
      </c>
      <c r="C1966" t="s">
        <v>1259</v>
      </c>
      <c r="D1966" t="s">
        <v>2472</v>
      </c>
      <c r="E1966" t="s">
        <v>2474</v>
      </c>
      <c r="F1966" t="s">
        <v>1205</v>
      </c>
      <c r="G1966" t="s">
        <v>1205</v>
      </c>
      <c r="H1966" s="10">
        <v>279694</v>
      </c>
      <c r="I1966">
        <f>IFERROR(VLOOKUP(Final!F1966,'LEAID Match'!$A$2:$B$374,2,FALSE),"")</f>
        <v>400255</v>
      </c>
      <c r="K1966" s="10">
        <f t="shared" si="30"/>
        <v>279694</v>
      </c>
    </row>
    <row r="1967" spans="1:11">
      <c r="A1967">
        <v>400255</v>
      </c>
      <c r="B1967" s="10">
        <v>2018</v>
      </c>
      <c r="C1967" t="s">
        <v>1259</v>
      </c>
      <c r="D1967" t="s">
        <v>2472</v>
      </c>
      <c r="E1967" t="s">
        <v>2474</v>
      </c>
      <c r="F1967" t="s">
        <v>1205</v>
      </c>
      <c r="G1967" t="s">
        <v>1205</v>
      </c>
      <c r="H1967" s="10">
        <v>288449</v>
      </c>
      <c r="I1967">
        <f>IFERROR(VLOOKUP(Final!F1967,'LEAID Match'!$A$2:$B$374,2,FALSE),"")</f>
        <v>400255</v>
      </c>
      <c r="K1967" s="10">
        <f t="shared" si="30"/>
        <v>288449</v>
      </c>
    </row>
    <row r="1968" spans="1:11">
      <c r="A1968">
        <v>400255</v>
      </c>
      <c r="B1968" s="10">
        <v>2019</v>
      </c>
      <c r="C1968" t="s">
        <v>1259</v>
      </c>
      <c r="D1968" t="s">
        <v>2472</v>
      </c>
      <c r="E1968" t="s">
        <v>2474</v>
      </c>
      <c r="F1968" t="s">
        <v>1205</v>
      </c>
      <c r="G1968" t="s">
        <v>1205</v>
      </c>
      <c r="H1968" s="10">
        <v>300135</v>
      </c>
      <c r="I1968">
        <f>IFERROR(VLOOKUP(Final!F1968,'LEAID Match'!$A$2:$B$374,2,FALSE),"")</f>
        <v>400255</v>
      </c>
      <c r="K1968" s="10">
        <f t="shared" si="30"/>
        <v>300135</v>
      </c>
    </row>
    <row r="1969" spans="1:11">
      <c r="A1969">
        <v>400255</v>
      </c>
      <c r="B1969" s="10">
        <v>2020</v>
      </c>
      <c r="C1969" t="s">
        <v>1259</v>
      </c>
      <c r="D1969" t="s">
        <v>2472</v>
      </c>
      <c r="E1969" t="s">
        <v>2474</v>
      </c>
      <c r="F1969" t="s">
        <v>1205</v>
      </c>
      <c r="G1969" t="s">
        <v>1205</v>
      </c>
      <c r="H1969" s="10">
        <v>300269</v>
      </c>
      <c r="I1969">
        <f>IFERROR(VLOOKUP(Final!F1969,'LEAID Match'!$A$2:$B$374,2,FALSE),"")</f>
        <v>400255</v>
      </c>
      <c r="K1969" s="10">
        <f t="shared" si="30"/>
        <v>300269</v>
      </c>
    </row>
    <row r="1970" spans="1:11">
      <c r="A1970">
        <v>400255</v>
      </c>
      <c r="B1970" s="10">
        <v>2021</v>
      </c>
      <c r="C1970" t="s">
        <v>1259</v>
      </c>
      <c r="D1970" t="s">
        <v>2472</v>
      </c>
      <c r="E1970" t="s">
        <v>2474</v>
      </c>
      <c r="F1970" t="s">
        <v>1205</v>
      </c>
      <c r="G1970" t="s">
        <v>1205</v>
      </c>
      <c r="H1970" s="10">
        <v>312155</v>
      </c>
      <c r="I1970">
        <f>IFERROR(VLOOKUP(Final!F1970,'LEAID Match'!$A$2:$B$374,2,FALSE),"")</f>
        <v>400255</v>
      </c>
      <c r="K1970" s="10">
        <f t="shared" si="30"/>
        <v>312155</v>
      </c>
    </row>
    <row r="1971" spans="1:11">
      <c r="A1971">
        <v>400255</v>
      </c>
      <c r="B1971" s="10">
        <v>2022</v>
      </c>
      <c r="C1971" t="s">
        <v>1259</v>
      </c>
      <c r="D1971" t="s">
        <v>2472</v>
      </c>
      <c r="E1971" t="s">
        <v>2474</v>
      </c>
      <c r="F1971" t="s">
        <v>1205</v>
      </c>
      <c r="G1971" t="s">
        <v>1205</v>
      </c>
      <c r="H1971" s="10">
        <v>350747</v>
      </c>
      <c r="I1971">
        <f>IFERROR(VLOOKUP(Final!F1971,'LEAID Match'!$A$2:$B$374,2,FALSE),"")</f>
        <v>400255</v>
      </c>
      <c r="K1971" s="10">
        <f t="shared" si="30"/>
        <v>350747</v>
      </c>
    </row>
    <row r="1972" spans="1:11">
      <c r="A1972">
        <v>400255</v>
      </c>
      <c r="B1972" s="10">
        <v>2023</v>
      </c>
      <c r="C1972" t="s">
        <v>1259</v>
      </c>
      <c r="D1972" t="s">
        <v>2472</v>
      </c>
      <c r="E1972" t="s">
        <v>2474</v>
      </c>
      <c r="F1972" t="s">
        <v>1205</v>
      </c>
      <c r="G1972" t="s">
        <v>1205</v>
      </c>
      <c r="H1972" s="10">
        <v>388111</v>
      </c>
      <c r="I1972">
        <f>IFERROR(VLOOKUP(Final!F1972,'LEAID Match'!$A$2:$B$374,2,FALSE),"")</f>
        <v>400255</v>
      </c>
      <c r="K1972" s="10">
        <f t="shared" si="30"/>
        <v>388111</v>
      </c>
    </row>
    <row r="1973" spans="1:11">
      <c r="A1973">
        <v>400299</v>
      </c>
      <c r="B1973" s="10">
        <v>2015</v>
      </c>
      <c r="C1973" t="s">
        <v>1321</v>
      </c>
      <c r="D1973" t="s">
        <v>2472</v>
      </c>
      <c r="E1973" t="s">
        <v>2474</v>
      </c>
      <c r="F1973" t="s">
        <v>1273</v>
      </c>
      <c r="G1973" t="s">
        <v>1273</v>
      </c>
      <c r="H1973" s="10">
        <v>25752</v>
      </c>
      <c r="I1973">
        <f>IFERROR(VLOOKUP(Final!F1973,'LEAID Match'!$A$2:$B$374,2,FALSE),"")</f>
        <v>400299</v>
      </c>
      <c r="K1973" s="10">
        <f t="shared" si="30"/>
        <v>25752</v>
      </c>
    </row>
    <row r="1974" spans="1:11">
      <c r="A1974">
        <v>400299</v>
      </c>
      <c r="B1974" s="10">
        <v>2016</v>
      </c>
      <c r="C1974" t="s">
        <v>1321</v>
      </c>
      <c r="D1974" t="s">
        <v>2472</v>
      </c>
      <c r="E1974" t="s">
        <v>2474</v>
      </c>
      <c r="F1974" t="s">
        <v>1273</v>
      </c>
      <c r="G1974" t="s">
        <v>1273</v>
      </c>
      <c r="H1974" s="10">
        <v>28185</v>
      </c>
      <c r="I1974">
        <f>IFERROR(VLOOKUP(Final!F1974,'LEAID Match'!$A$2:$B$374,2,FALSE),"")</f>
        <v>400299</v>
      </c>
      <c r="K1974" s="10">
        <f t="shared" si="30"/>
        <v>28185</v>
      </c>
    </row>
    <row r="1975" spans="1:11">
      <c r="A1975">
        <v>400299</v>
      </c>
      <c r="B1975" s="10">
        <v>2017</v>
      </c>
      <c r="C1975" t="s">
        <v>1321</v>
      </c>
      <c r="D1975" t="s">
        <v>2472</v>
      </c>
      <c r="E1975" t="s">
        <v>2474</v>
      </c>
      <c r="F1975" t="s">
        <v>1273</v>
      </c>
      <c r="G1975" t="s">
        <v>1273</v>
      </c>
      <c r="H1975" s="10"/>
      <c r="I1975">
        <f>IFERROR(VLOOKUP(Final!F1975,'LEAID Match'!$A$2:$B$374,2,FALSE),"")</f>
        <v>400299</v>
      </c>
      <c r="K1975" s="10">
        <f t="shared" si="30"/>
        <v>0</v>
      </c>
    </row>
    <row r="1976" spans="1:11">
      <c r="A1976">
        <v>400299</v>
      </c>
      <c r="B1976" s="10">
        <v>2018</v>
      </c>
      <c r="C1976" t="s">
        <v>1321</v>
      </c>
      <c r="D1976" t="s">
        <v>2472</v>
      </c>
      <c r="E1976" t="s">
        <v>2474</v>
      </c>
      <c r="F1976" t="s">
        <v>1273</v>
      </c>
      <c r="G1976" t="s">
        <v>1273</v>
      </c>
      <c r="H1976" s="10"/>
      <c r="I1976">
        <f>IFERROR(VLOOKUP(Final!F1976,'LEAID Match'!$A$2:$B$374,2,FALSE),"")</f>
        <v>400299</v>
      </c>
      <c r="K1976" s="10">
        <f t="shared" si="30"/>
        <v>0</v>
      </c>
    </row>
    <row r="1977" spans="1:11">
      <c r="A1977">
        <v>400299</v>
      </c>
      <c r="B1977" s="10">
        <v>2019</v>
      </c>
      <c r="C1977" t="s">
        <v>1321</v>
      </c>
      <c r="D1977" t="s">
        <v>2472</v>
      </c>
      <c r="E1977" t="s">
        <v>2474</v>
      </c>
      <c r="F1977" t="s">
        <v>1273</v>
      </c>
      <c r="G1977" t="s">
        <v>1273</v>
      </c>
      <c r="H1977" s="10"/>
      <c r="I1977">
        <f>IFERROR(VLOOKUP(Final!F1977,'LEAID Match'!$A$2:$B$374,2,FALSE),"")</f>
        <v>400299</v>
      </c>
      <c r="K1977" s="10">
        <f t="shared" si="30"/>
        <v>0</v>
      </c>
    </row>
    <row r="1978" spans="1:11">
      <c r="A1978">
        <v>400299</v>
      </c>
      <c r="B1978" s="10">
        <v>2020</v>
      </c>
      <c r="C1978" t="s">
        <v>1321</v>
      </c>
      <c r="D1978" t="s">
        <v>2472</v>
      </c>
      <c r="E1978" t="s">
        <v>2474</v>
      </c>
      <c r="F1978" t="s">
        <v>1273</v>
      </c>
      <c r="G1978" t="s">
        <v>1273</v>
      </c>
      <c r="H1978" s="10"/>
      <c r="I1978">
        <f>IFERROR(VLOOKUP(Final!F1978,'LEAID Match'!$A$2:$B$374,2,FALSE),"")</f>
        <v>400299</v>
      </c>
      <c r="K1978" s="10">
        <f t="shared" si="30"/>
        <v>0</v>
      </c>
    </row>
    <row r="1979" spans="1:11">
      <c r="A1979">
        <v>400299</v>
      </c>
      <c r="B1979" s="10">
        <v>2021</v>
      </c>
      <c r="C1979" t="s">
        <v>1321</v>
      </c>
      <c r="D1979" t="s">
        <v>2472</v>
      </c>
      <c r="E1979" t="s">
        <v>2474</v>
      </c>
      <c r="F1979" t="s">
        <v>1273</v>
      </c>
      <c r="G1979" t="s">
        <v>1273</v>
      </c>
      <c r="H1979" s="10"/>
      <c r="I1979">
        <f>IFERROR(VLOOKUP(Final!F1979,'LEAID Match'!$A$2:$B$374,2,FALSE),"")</f>
        <v>400299</v>
      </c>
      <c r="K1979" s="10">
        <f t="shared" si="30"/>
        <v>0</v>
      </c>
    </row>
    <row r="1980" spans="1:11">
      <c r="A1980">
        <v>400299</v>
      </c>
      <c r="B1980" s="10">
        <v>2022</v>
      </c>
      <c r="C1980" t="s">
        <v>1321</v>
      </c>
      <c r="D1980" t="s">
        <v>2472</v>
      </c>
      <c r="E1980" t="s">
        <v>2474</v>
      </c>
      <c r="F1980" t="s">
        <v>1273</v>
      </c>
      <c r="G1980" t="s">
        <v>1273</v>
      </c>
      <c r="H1980" s="10"/>
      <c r="I1980">
        <f>IFERROR(VLOOKUP(Final!F1980,'LEAID Match'!$A$2:$B$374,2,FALSE),"")</f>
        <v>400299</v>
      </c>
      <c r="K1980" s="10">
        <f t="shared" si="30"/>
        <v>0</v>
      </c>
    </row>
    <row r="1981" spans="1:11">
      <c r="A1981">
        <v>400205</v>
      </c>
      <c r="B1981" s="10">
        <v>2015</v>
      </c>
      <c r="C1981" t="s">
        <v>673</v>
      </c>
      <c r="D1981" t="s">
        <v>2472</v>
      </c>
      <c r="E1981" t="s">
        <v>2474</v>
      </c>
      <c r="F1981" t="s">
        <v>618</v>
      </c>
      <c r="G1981" t="s">
        <v>618</v>
      </c>
      <c r="H1981" s="10">
        <v>96696</v>
      </c>
      <c r="I1981">
        <f>IFERROR(VLOOKUP(Final!F1981,'LEAID Match'!$A$2:$B$374,2,FALSE),"")</f>
        <v>400205</v>
      </c>
      <c r="K1981" s="10">
        <f t="shared" si="30"/>
        <v>96696</v>
      </c>
    </row>
    <row r="1982" spans="1:11">
      <c r="A1982">
        <v>400205</v>
      </c>
      <c r="B1982" s="10">
        <v>2016</v>
      </c>
      <c r="C1982" t="s">
        <v>673</v>
      </c>
      <c r="D1982" t="s">
        <v>2472</v>
      </c>
      <c r="E1982" t="s">
        <v>2474</v>
      </c>
      <c r="F1982" t="s">
        <v>618</v>
      </c>
      <c r="G1982" t="s">
        <v>618</v>
      </c>
      <c r="H1982" s="10">
        <v>83483</v>
      </c>
      <c r="I1982">
        <f>IFERROR(VLOOKUP(Final!F1982,'LEAID Match'!$A$2:$B$374,2,FALSE),"")</f>
        <v>400205</v>
      </c>
      <c r="K1982" s="10">
        <f t="shared" si="30"/>
        <v>83483</v>
      </c>
    </row>
    <row r="1983" spans="1:11">
      <c r="A1983">
        <v>400205</v>
      </c>
      <c r="B1983" s="10">
        <v>2017</v>
      </c>
      <c r="C1983" t="s">
        <v>673</v>
      </c>
      <c r="D1983" t="s">
        <v>2472</v>
      </c>
      <c r="E1983" t="s">
        <v>2474</v>
      </c>
      <c r="F1983" t="s">
        <v>618</v>
      </c>
      <c r="G1983" t="s">
        <v>618</v>
      </c>
      <c r="H1983" s="10">
        <v>79722</v>
      </c>
      <c r="I1983">
        <f>IFERROR(VLOOKUP(Final!F1983,'LEAID Match'!$A$2:$B$374,2,FALSE),"")</f>
        <v>400205</v>
      </c>
      <c r="K1983" s="10">
        <f t="shared" si="30"/>
        <v>79722</v>
      </c>
    </row>
    <row r="1984" spans="1:11">
      <c r="A1984">
        <v>400205</v>
      </c>
      <c r="B1984" s="10">
        <v>2018</v>
      </c>
      <c r="C1984" t="s">
        <v>673</v>
      </c>
      <c r="D1984" t="s">
        <v>2472</v>
      </c>
      <c r="E1984" t="s">
        <v>2474</v>
      </c>
      <c r="F1984" t="s">
        <v>618</v>
      </c>
      <c r="G1984" t="s">
        <v>618</v>
      </c>
      <c r="H1984" s="10">
        <v>98060</v>
      </c>
      <c r="I1984">
        <f>IFERROR(VLOOKUP(Final!F1984,'LEAID Match'!$A$2:$B$374,2,FALSE),"")</f>
        <v>400205</v>
      </c>
      <c r="K1984" s="10">
        <f t="shared" si="30"/>
        <v>98060</v>
      </c>
    </row>
    <row r="1985" spans="1:11">
      <c r="A1985">
        <v>400205</v>
      </c>
      <c r="B1985" s="10">
        <v>2019</v>
      </c>
      <c r="C1985" t="s">
        <v>673</v>
      </c>
      <c r="D1985" t="s">
        <v>2472</v>
      </c>
      <c r="E1985" t="s">
        <v>2474</v>
      </c>
      <c r="F1985" t="s">
        <v>618</v>
      </c>
      <c r="G1985" t="s">
        <v>618</v>
      </c>
      <c r="H1985" s="10">
        <v>112892</v>
      </c>
      <c r="I1985">
        <f>IFERROR(VLOOKUP(Final!F1985,'LEAID Match'!$A$2:$B$374,2,FALSE),"")</f>
        <v>400205</v>
      </c>
      <c r="K1985" s="10">
        <f t="shared" si="30"/>
        <v>112892</v>
      </c>
    </row>
    <row r="1986" spans="1:11">
      <c r="A1986">
        <v>400205</v>
      </c>
      <c r="B1986" s="10">
        <v>2020</v>
      </c>
      <c r="C1986" t="s">
        <v>673</v>
      </c>
      <c r="D1986" t="s">
        <v>2472</v>
      </c>
      <c r="E1986" t="s">
        <v>2474</v>
      </c>
      <c r="F1986" t="s">
        <v>618</v>
      </c>
      <c r="G1986" t="s">
        <v>618</v>
      </c>
      <c r="H1986" s="10">
        <v>113143</v>
      </c>
      <c r="I1986">
        <f>IFERROR(VLOOKUP(Final!F1986,'LEAID Match'!$A$2:$B$374,2,FALSE),"")</f>
        <v>400205</v>
      </c>
      <c r="K1986" s="10">
        <f t="shared" si="30"/>
        <v>113143</v>
      </c>
    </row>
    <row r="1987" spans="1:11">
      <c r="A1987">
        <v>400205</v>
      </c>
      <c r="B1987" s="10">
        <v>2021</v>
      </c>
      <c r="C1987" t="s">
        <v>673</v>
      </c>
      <c r="D1987" t="s">
        <v>2472</v>
      </c>
      <c r="E1987" t="s">
        <v>2474</v>
      </c>
      <c r="F1987" t="s">
        <v>618</v>
      </c>
      <c r="G1987" t="s">
        <v>618</v>
      </c>
      <c r="H1987" s="10">
        <v>147246</v>
      </c>
      <c r="I1987">
        <f>IFERROR(VLOOKUP(Final!F1987,'LEAID Match'!$A$2:$B$374,2,FALSE),"")</f>
        <v>400205</v>
      </c>
      <c r="K1987" s="10">
        <f t="shared" ref="K1987:K2050" si="31">SUM(H1987,J1987)</f>
        <v>147246</v>
      </c>
    </row>
    <row r="1988" spans="1:11">
      <c r="A1988">
        <v>400205</v>
      </c>
      <c r="B1988" s="10">
        <v>2022</v>
      </c>
      <c r="C1988" t="s">
        <v>673</v>
      </c>
      <c r="D1988" t="s">
        <v>2472</v>
      </c>
      <c r="E1988" t="s">
        <v>2474</v>
      </c>
      <c r="F1988" t="s">
        <v>618</v>
      </c>
      <c r="G1988" t="s">
        <v>618</v>
      </c>
      <c r="H1988" s="10">
        <v>152195</v>
      </c>
      <c r="I1988">
        <f>IFERROR(VLOOKUP(Final!F1988,'LEAID Match'!$A$2:$B$374,2,FALSE),"")</f>
        <v>400205</v>
      </c>
      <c r="K1988" s="10">
        <f t="shared" si="31"/>
        <v>152195</v>
      </c>
    </row>
    <row r="1989" spans="1:11">
      <c r="A1989">
        <v>400205</v>
      </c>
      <c r="B1989" s="10">
        <v>2023</v>
      </c>
      <c r="C1989" t="s">
        <v>673</v>
      </c>
      <c r="D1989" t="s">
        <v>2472</v>
      </c>
      <c r="E1989" t="s">
        <v>2474</v>
      </c>
      <c r="F1989" t="s">
        <v>618</v>
      </c>
      <c r="G1989" t="s">
        <v>618</v>
      </c>
      <c r="H1989" s="10">
        <v>159513</v>
      </c>
      <c r="I1989">
        <f>IFERROR(VLOOKUP(Final!F1989,'LEAID Match'!$A$2:$B$374,2,FALSE),"")</f>
        <v>400205</v>
      </c>
      <c r="K1989" s="10">
        <f t="shared" si="31"/>
        <v>159513</v>
      </c>
    </row>
    <row r="1990" spans="1:11">
      <c r="A1990" t="s">
        <v>2470</v>
      </c>
      <c r="B1990" s="10">
        <v>2015</v>
      </c>
      <c r="C1990" t="s">
        <v>907</v>
      </c>
      <c r="D1990" t="s">
        <v>2472</v>
      </c>
      <c r="E1990" t="s">
        <v>2474</v>
      </c>
      <c r="F1990" t="s">
        <v>2024</v>
      </c>
      <c r="G1990" t="s">
        <v>852</v>
      </c>
      <c r="H1990" s="10">
        <v>40339</v>
      </c>
      <c r="I1990" t="str">
        <f>IFERROR(VLOOKUP(Final!F1990,'LEAID Match'!$A$2:$B$374,2,FALSE),"")</f>
        <v/>
      </c>
      <c r="K1990" s="10">
        <f t="shared" si="31"/>
        <v>40339</v>
      </c>
    </row>
    <row r="1991" spans="1:11">
      <c r="A1991" t="s">
        <v>2470</v>
      </c>
      <c r="B1991" s="10">
        <v>2016</v>
      </c>
      <c r="C1991" t="s">
        <v>907</v>
      </c>
      <c r="D1991" t="s">
        <v>2472</v>
      </c>
      <c r="E1991" t="s">
        <v>2474</v>
      </c>
      <c r="F1991" t="s">
        <v>2024</v>
      </c>
      <c r="G1991" t="s">
        <v>852</v>
      </c>
      <c r="H1991" s="10">
        <v>43168</v>
      </c>
      <c r="I1991" t="str">
        <f>IFERROR(VLOOKUP(Final!F1991,'LEAID Match'!$A$2:$B$374,2,FALSE),"")</f>
        <v/>
      </c>
      <c r="K1991" s="10">
        <f t="shared" si="31"/>
        <v>43168</v>
      </c>
    </row>
    <row r="1992" spans="1:11">
      <c r="A1992" t="s">
        <v>2470</v>
      </c>
      <c r="B1992" s="10">
        <v>2017</v>
      </c>
      <c r="C1992" t="s">
        <v>907</v>
      </c>
      <c r="D1992" t="s">
        <v>2472</v>
      </c>
      <c r="E1992" t="s">
        <v>2474</v>
      </c>
      <c r="F1992" t="s">
        <v>2024</v>
      </c>
      <c r="G1992" t="s">
        <v>2024</v>
      </c>
      <c r="H1992" s="10">
        <v>36775</v>
      </c>
      <c r="I1992" t="str">
        <f>IFERROR(VLOOKUP(Final!F1992,'LEAID Match'!$A$2:$B$374,2,FALSE),"")</f>
        <v/>
      </c>
      <c r="K1992" s="10">
        <f t="shared" si="31"/>
        <v>36775</v>
      </c>
    </row>
    <row r="1993" spans="1:11">
      <c r="A1993" t="s">
        <v>2470</v>
      </c>
      <c r="B1993" s="10">
        <v>2018</v>
      </c>
      <c r="C1993" t="s">
        <v>907</v>
      </c>
      <c r="D1993" t="s">
        <v>2472</v>
      </c>
      <c r="E1993" t="s">
        <v>2474</v>
      </c>
      <c r="F1993" t="s">
        <v>2024</v>
      </c>
      <c r="G1993" t="s">
        <v>2024</v>
      </c>
      <c r="H1993" s="10">
        <v>39532</v>
      </c>
      <c r="I1993" t="str">
        <f>IFERROR(VLOOKUP(Final!F1993,'LEAID Match'!$A$2:$B$374,2,FALSE),"")</f>
        <v/>
      </c>
      <c r="K1993" s="10">
        <f t="shared" si="31"/>
        <v>39532</v>
      </c>
    </row>
    <row r="1994" spans="1:11">
      <c r="A1994" t="s">
        <v>2470</v>
      </c>
      <c r="B1994" s="10">
        <v>2019</v>
      </c>
      <c r="C1994" t="s">
        <v>907</v>
      </c>
      <c r="D1994" t="s">
        <v>2472</v>
      </c>
      <c r="E1994" t="s">
        <v>2474</v>
      </c>
      <c r="F1994" t="s">
        <v>2024</v>
      </c>
      <c r="G1994" t="s">
        <v>2024</v>
      </c>
      <c r="H1994" s="10">
        <v>39867</v>
      </c>
      <c r="I1994" t="str">
        <f>IFERROR(VLOOKUP(Final!F1994,'LEAID Match'!$A$2:$B$374,2,FALSE),"")</f>
        <v/>
      </c>
      <c r="K1994" s="10">
        <f t="shared" si="31"/>
        <v>39867</v>
      </c>
    </row>
    <row r="1995" spans="1:11">
      <c r="A1995" t="s">
        <v>2470</v>
      </c>
      <c r="B1995" s="10">
        <v>2020</v>
      </c>
      <c r="C1995" t="s">
        <v>907</v>
      </c>
      <c r="D1995" t="s">
        <v>2472</v>
      </c>
      <c r="E1995" t="s">
        <v>2474</v>
      </c>
      <c r="F1995" t="s">
        <v>2024</v>
      </c>
      <c r="G1995" t="s">
        <v>2024</v>
      </c>
      <c r="H1995" s="10">
        <v>43950</v>
      </c>
      <c r="I1995" t="str">
        <f>IFERROR(VLOOKUP(Final!F1995,'LEAID Match'!$A$2:$B$374,2,FALSE),"")</f>
        <v/>
      </c>
      <c r="K1995" s="10">
        <f t="shared" si="31"/>
        <v>43950</v>
      </c>
    </row>
    <row r="1996" spans="1:11">
      <c r="A1996" t="s">
        <v>2470</v>
      </c>
      <c r="B1996" s="10">
        <v>2021</v>
      </c>
      <c r="C1996" t="s">
        <v>907</v>
      </c>
      <c r="D1996" t="s">
        <v>2472</v>
      </c>
      <c r="E1996" t="s">
        <v>2474</v>
      </c>
      <c r="F1996" t="s">
        <v>2024</v>
      </c>
      <c r="G1996" t="s">
        <v>2024</v>
      </c>
      <c r="H1996" s="10">
        <v>43492</v>
      </c>
      <c r="I1996" t="str">
        <f>IFERROR(VLOOKUP(Final!F1996,'LEAID Match'!$A$2:$B$374,2,FALSE),"")</f>
        <v/>
      </c>
      <c r="K1996" s="10">
        <f t="shared" si="31"/>
        <v>43492</v>
      </c>
    </row>
    <row r="1997" spans="1:11">
      <c r="A1997" t="s">
        <v>2470</v>
      </c>
      <c r="B1997" s="10">
        <v>2022</v>
      </c>
      <c r="C1997" t="s">
        <v>907</v>
      </c>
      <c r="D1997" t="s">
        <v>2472</v>
      </c>
      <c r="E1997" t="s">
        <v>2474</v>
      </c>
      <c r="F1997" t="s">
        <v>2024</v>
      </c>
      <c r="G1997" t="s">
        <v>2024</v>
      </c>
      <c r="H1997" s="10">
        <v>38611</v>
      </c>
      <c r="I1997" t="str">
        <f>IFERROR(VLOOKUP(Final!F1997,'LEAID Match'!$A$2:$B$374,2,FALSE),"")</f>
        <v/>
      </c>
      <c r="K1997" s="10">
        <f t="shared" si="31"/>
        <v>38611</v>
      </c>
    </row>
    <row r="1998" spans="1:11">
      <c r="A1998" t="s">
        <v>2470</v>
      </c>
      <c r="B1998" s="10">
        <v>2023</v>
      </c>
      <c r="C1998" t="s">
        <v>907</v>
      </c>
      <c r="D1998" t="s">
        <v>2472</v>
      </c>
      <c r="E1998" t="s">
        <v>2474</v>
      </c>
      <c r="F1998" t="s">
        <v>2024</v>
      </c>
      <c r="G1998" t="s">
        <v>2024</v>
      </c>
      <c r="H1998" s="10">
        <v>50282</v>
      </c>
      <c r="I1998" t="str">
        <f>IFERROR(VLOOKUP(Final!F1998,'LEAID Match'!$A$2:$B$374,2,FALSE),"")</f>
        <v/>
      </c>
      <c r="K1998" s="10">
        <f t="shared" si="31"/>
        <v>50282</v>
      </c>
    </row>
    <row r="1999" spans="1:11">
      <c r="A1999">
        <v>400184</v>
      </c>
      <c r="B1999" s="10">
        <v>2015</v>
      </c>
      <c r="C1999" t="s">
        <v>1431</v>
      </c>
      <c r="D1999" t="s">
        <v>2472</v>
      </c>
      <c r="E1999" t="s">
        <v>2474</v>
      </c>
      <c r="F1999" t="s">
        <v>264</v>
      </c>
      <c r="G1999" t="s">
        <v>264</v>
      </c>
      <c r="H1999" s="10">
        <v>272049</v>
      </c>
      <c r="I1999">
        <f>IFERROR(VLOOKUP(Final!F1999,'LEAID Match'!$A$2:$B$374,2,FALSE),"")</f>
        <v>400184</v>
      </c>
      <c r="K1999" s="10">
        <f t="shared" si="31"/>
        <v>272049</v>
      </c>
    </row>
    <row r="2000" spans="1:11">
      <c r="A2000">
        <v>400184</v>
      </c>
      <c r="B2000" s="10">
        <v>2016</v>
      </c>
      <c r="C2000" t="s">
        <v>1431</v>
      </c>
      <c r="D2000" t="s">
        <v>2472</v>
      </c>
      <c r="E2000" t="s">
        <v>2474</v>
      </c>
      <c r="F2000" t="s">
        <v>264</v>
      </c>
      <c r="G2000" t="s">
        <v>264</v>
      </c>
      <c r="H2000" s="10">
        <v>247074</v>
      </c>
      <c r="I2000">
        <f>IFERROR(VLOOKUP(Final!F2000,'LEAID Match'!$A$2:$B$374,2,FALSE),"")</f>
        <v>400184</v>
      </c>
      <c r="K2000" s="10">
        <f t="shared" si="31"/>
        <v>247074</v>
      </c>
    </row>
    <row r="2001" spans="1:11">
      <c r="A2001">
        <v>400184</v>
      </c>
      <c r="B2001" s="10">
        <v>2017</v>
      </c>
      <c r="C2001" t="s">
        <v>1431</v>
      </c>
      <c r="D2001" t="s">
        <v>2472</v>
      </c>
      <c r="E2001" t="s">
        <v>2474</v>
      </c>
      <c r="F2001" t="s">
        <v>264</v>
      </c>
      <c r="G2001" t="s">
        <v>264</v>
      </c>
      <c r="H2001" s="10">
        <v>229231</v>
      </c>
      <c r="I2001">
        <f>IFERROR(VLOOKUP(Final!F2001,'LEAID Match'!$A$2:$B$374,2,FALSE),"")</f>
        <v>400184</v>
      </c>
      <c r="K2001" s="10">
        <f t="shared" si="31"/>
        <v>229231</v>
      </c>
    </row>
    <row r="2002" spans="1:11">
      <c r="A2002">
        <v>400184</v>
      </c>
      <c r="B2002" s="10">
        <v>2018</v>
      </c>
      <c r="C2002" t="s">
        <v>1431</v>
      </c>
      <c r="D2002" t="s">
        <v>2472</v>
      </c>
      <c r="E2002" t="s">
        <v>2474</v>
      </c>
      <c r="F2002" t="s">
        <v>264</v>
      </c>
      <c r="G2002" t="s">
        <v>2123</v>
      </c>
      <c r="H2002" s="10">
        <v>235330</v>
      </c>
      <c r="I2002">
        <f>IFERROR(VLOOKUP(Final!F2002,'LEAID Match'!$A$2:$B$374,2,FALSE),"")</f>
        <v>400184</v>
      </c>
      <c r="K2002" s="10">
        <f t="shared" si="31"/>
        <v>235330</v>
      </c>
    </row>
    <row r="2003" spans="1:11">
      <c r="A2003">
        <v>400184</v>
      </c>
      <c r="B2003" s="10">
        <v>2019</v>
      </c>
      <c r="C2003" t="s">
        <v>1431</v>
      </c>
      <c r="D2003" t="s">
        <v>2472</v>
      </c>
      <c r="E2003" t="s">
        <v>2474</v>
      </c>
      <c r="F2003" t="s">
        <v>264</v>
      </c>
      <c r="G2003" t="s">
        <v>264</v>
      </c>
      <c r="H2003" s="10">
        <v>254703</v>
      </c>
      <c r="I2003">
        <f>IFERROR(VLOOKUP(Final!F2003,'LEAID Match'!$A$2:$B$374,2,FALSE),"")</f>
        <v>400184</v>
      </c>
      <c r="K2003" s="10">
        <f t="shared" si="31"/>
        <v>254703</v>
      </c>
    </row>
    <row r="2004" spans="1:11">
      <c r="A2004">
        <v>400184</v>
      </c>
      <c r="B2004" s="10">
        <v>2020</v>
      </c>
      <c r="C2004" t="s">
        <v>1431</v>
      </c>
      <c r="D2004" t="s">
        <v>2472</v>
      </c>
      <c r="E2004" t="s">
        <v>2474</v>
      </c>
      <c r="F2004" t="s">
        <v>264</v>
      </c>
      <c r="G2004" t="s">
        <v>264</v>
      </c>
      <c r="H2004" s="10">
        <v>305193</v>
      </c>
      <c r="I2004">
        <f>IFERROR(VLOOKUP(Final!F2004,'LEAID Match'!$A$2:$B$374,2,FALSE),"")</f>
        <v>400184</v>
      </c>
      <c r="K2004" s="10">
        <f t="shared" si="31"/>
        <v>305193</v>
      </c>
    </row>
    <row r="2005" spans="1:11">
      <c r="A2005">
        <v>400184</v>
      </c>
      <c r="B2005" s="10">
        <v>2021</v>
      </c>
      <c r="C2005" t="s">
        <v>1431</v>
      </c>
      <c r="D2005" t="s">
        <v>2472</v>
      </c>
      <c r="E2005" t="s">
        <v>2474</v>
      </c>
      <c r="F2005" t="s">
        <v>264</v>
      </c>
      <c r="G2005" t="s">
        <v>264</v>
      </c>
      <c r="H2005" s="10">
        <v>319183</v>
      </c>
      <c r="I2005">
        <f>IFERROR(VLOOKUP(Final!F2005,'LEAID Match'!$A$2:$B$374,2,FALSE),"")</f>
        <v>400184</v>
      </c>
      <c r="K2005" s="10">
        <f t="shared" si="31"/>
        <v>319183</v>
      </c>
    </row>
    <row r="2006" spans="1:11">
      <c r="A2006">
        <v>400184</v>
      </c>
      <c r="B2006" s="10">
        <v>2022</v>
      </c>
      <c r="C2006" t="s">
        <v>1431</v>
      </c>
      <c r="D2006" t="s">
        <v>2472</v>
      </c>
      <c r="E2006" t="s">
        <v>2474</v>
      </c>
      <c r="F2006" t="s">
        <v>264</v>
      </c>
      <c r="G2006" t="s">
        <v>264</v>
      </c>
      <c r="H2006" s="10">
        <v>384674</v>
      </c>
      <c r="I2006">
        <f>IFERROR(VLOOKUP(Final!F2006,'LEAID Match'!$A$2:$B$374,2,FALSE),"")</f>
        <v>400184</v>
      </c>
      <c r="K2006" s="10">
        <f t="shared" si="31"/>
        <v>384674</v>
      </c>
    </row>
    <row r="2007" spans="1:11">
      <c r="A2007">
        <v>400184</v>
      </c>
      <c r="B2007" s="10">
        <v>2023</v>
      </c>
      <c r="C2007" t="s">
        <v>1431</v>
      </c>
      <c r="D2007" t="s">
        <v>2472</v>
      </c>
      <c r="E2007" t="s">
        <v>2474</v>
      </c>
      <c r="F2007" t="s">
        <v>264</v>
      </c>
      <c r="G2007" t="s">
        <v>264</v>
      </c>
      <c r="H2007" s="10">
        <v>397689</v>
      </c>
      <c r="I2007">
        <f>IFERROR(VLOOKUP(Final!F2007,'LEAID Match'!$A$2:$B$374,2,FALSE),"")</f>
        <v>400184</v>
      </c>
      <c r="K2007" s="10">
        <f t="shared" si="31"/>
        <v>397689</v>
      </c>
    </row>
    <row r="2008" spans="1:11">
      <c r="A2008">
        <v>400211</v>
      </c>
      <c r="B2008" s="10">
        <v>2015</v>
      </c>
      <c r="C2008" t="s">
        <v>777</v>
      </c>
      <c r="D2008" t="s">
        <v>2472</v>
      </c>
      <c r="E2008" t="s">
        <v>2474</v>
      </c>
      <c r="F2008" t="s">
        <v>1802</v>
      </c>
      <c r="G2008" t="s">
        <v>722</v>
      </c>
      <c r="H2008" s="10">
        <v>85195</v>
      </c>
      <c r="I2008">
        <f>IFERROR(VLOOKUP(Final!F2008,'LEAID Match'!$A$2:$B$374,2,FALSE),"")</f>
        <v>400211</v>
      </c>
      <c r="K2008" s="10">
        <f t="shared" si="31"/>
        <v>85195</v>
      </c>
    </row>
    <row r="2009" spans="1:11">
      <c r="A2009">
        <v>400211</v>
      </c>
      <c r="B2009" s="10">
        <v>2016</v>
      </c>
      <c r="C2009" t="s">
        <v>777</v>
      </c>
      <c r="D2009" t="s">
        <v>2472</v>
      </c>
      <c r="E2009" t="s">
        <v>2474</v>
      </c>
      <c r="F2009" t="s">
        <v>1802</v>
      </c>
      <c r="G2009" t="s">
        <v>722</v>
      </c>
      <c r="H2009" s="10">
        <v>92039</v>
      </c>
      <c r="I2009">
        <f>IFERROR(VLOOKUP(Final!F2009,'LEAID Match'!$A$2:$B$374,2,FALSE),"")</f>
        <v>400211</v>
      </c>
      <c r="K2009" s="10">
        <f t="shared" si="31"/>
        <v>92039</v>
      </c>
    </row>
    <row r="2010" spans="1:11">
      <c r="A2010">
        <v>400211</v>
      </c>
      <c r="B2010" s="10">
        <v>2017</v>
      </c>
      <c r="C2010" t="s">
        <v>777</v>
      </c>
      <c r="D2010" t="s">
        <v>2472</v>
      </c>
      <c r="E2010" t="s">
        <v>2474</v>
      </c>
      <c r="F2010" t="s">
        <v>1802</v>
      </c>
      <c r="G2010" t="s">
        <v>1802</v>
      </c>
      <c r="H2010" s="10">
        <v>103023</v>
      </c>
      <c r="I2010">
        <f>IFERROR(VLOOKUP(Final!F2010,'LEAID Match'!$A$2:$B$374,2,FALSE),"")</f>
        <v>400211</v>
      </c>
      <c r="K2010" s="10">
        <f t="shared" si="31"/>
        <v>103023</v>
      </c>
    </row>
    <row r="2011" spans="1:11">
      <c r="A2011">
        <v>400211</v>
      </c>
      <c r="B2011" s="10">
        <v>2018</v>
      </c>
      <c r="C2011" t="s">
        <v>777</v>
      </c>
      <c r="D2011" t="s">
        <v>2472</v>
      </c>
      <c r="E2011" t="s">
        <v>2474</v>
      </c>
      <c r="F2011" t="s">
        <v>1802</v>
      </c>
      <c r="G2011" t="s">
        <v>2235</v>
      </c>
      <c r="H2011" s="10">
        <v>110942</v>
      </c>
      <c r="I2011">
        <f>IFERROR(VLOOKUP(Final!F2011,'LEAID Match'!$A$2:$B$374,2,FALSE),"")</f>
        <v>400211</v>
      </c>
      <c r="K2011" s="10">
        <f t="shared" si="31"/>
        <v>110942</v>
      </c>
    </row>
    <row r="2012" spans="1:11">
      <c r="A2012">
        <v>400211</v>
      </c>
      <c r="B2012" s="10">
        <v>2019</v>
      </c>
      <c r="C2012" t="s">
        <v>777</v>
      </c>
      <c r="D2012" t="s">
        <v>2472</v>
      </c>
      <c r="E2012" t="s">
        <v>2474</v>
      </c>
      <c r="F2012" t="s">
        <v>1802</v>
      </c>
      <c r="G2012" t="s">
        <v>1802</v>
      </c>
      <c r="H2012" s="10">
        <v>119292</v>
      </c>
      <c r="I2012">
        <f>IFERROR(VLOOKUP(Final!F2012,'LEAID Match'!$A$2:$B$374,2,FALSE),"")</f>
        <v>400211</v>
      </c>
      <c r="K2012" s="10">
        <f t="shared" si="31"/>
        <v>119292</v>
      </c>
    </row>
    <row r="2013" spans="1:11">
      <c r="A2013">
        <v>400211</v>
      </c>
      <c r="B2013" s="10">
        <v>2020</v>
      </c>
      <c r="C2013" t="s">
        <v>777</v>
      </c>
      <c r="D2013" t="s">
        <v>2472</v>
      </c>
      <c r="E2013" t="s">
        <v>2474</v>
      </c>
      <c r="F2013" t="s">
        <v>1802</v>
      </c>
      <c r="G2013" t="s">
        <v>1802</v>
      </c>
      <c r="H2013" s="10">
        <v>144584</v>
      </c>
      <c r="I2013">
        <f>IFERROR(VLOOKUP(Final!F2013,'LEAID Match'!$A$2:$B$374,2,FALSE),"")</f>
        <v>400211</v>
      </c>
      <c r="K2013" s="10">
        <f t="shared" si="31"/>
        <v>144584</v>
      </c>
    </row>
    <row r="2014" spans="1:11">
      <c r="A2014">
        <v>400211</v>
      </c>
      <c r="B2014" s="10">
        <v>2021</v>
      </c>
      <c r="C2014" t="s">
        <v>777</v>
      </c>
      <c r="D2014" t="s">
        <v>2472</v>
      </c>
      <c r="E2014" t="s">
        <v>2474</v>
      </c>
      <c r="F2014" t="s">
        <v>1802</v>
      </c>
      <c r="G2014" t="s">
        <v>1802</v>
      </c>
      <c r="H2014" s="10">
        <v>149920</v>
      </c>
      <c r="I2014">
        <f>IFERROR(VLOOKUP(Final!F2014,'LEAID Match'!$A$2:$B$374,2,FALSE),"")</f>
        <v>400211</v>
      </c>
      <c r="K2014" s="10">
        <f t="shared" si="31"/>
        <v>149920</v>
      </c>
    </row>
    <row r="2015" spans="1:11">
      <c r="A2015">
        <v>400211</v>
      </c>
      <c r="B2015" s="10">
        <v>2022</v>
      </c>
      <c r="C2015" t="s">
        <v>777</v>
      </c>
      <c r="D2015" t="s">
        <v>2472</v>
      </c>
      <c r="E2015" t="s">
        <v>2474</v>
      </c>
      <c r="F2015" t="s">
        <v>1802</v>
      </c>
      <c r="G2015" t="s">
        <v>1802</v>
      </c>
      <c r="H2015" s="10">
        <v>168937</v>
      </c>
      <c r="I2015">
        <f>IFERROR(VLOOKUP(Final!F2015,'LEAID Match'!$A$2:$B$374,2,FALSE),"")</f>
        <v>400211</v>
      </c>
      <c r="K2015" s="10">
        <f t="shared" si="31"/>
        <v>168937</v>
      </c>
    </row>
    <row r="2016" spans="1:11">
      <c r="A2016">
        <v>400211</v>
      </c>
      <c r="B2016" s="10">
        <v>2023</v>
      </c>
      <c r="C2016" t="s">
        <v>777</v>
      </c>
      <c r="D2016" t="s">
        <v>2472</v>
      </c>
      <c r="E2016" t="s">
        <v>2474</v>
      </c>
      <c r="F2016" t="s">
        <v>1802</v>
      </c>
      <c r="G2016" t="s">
        <v>1802</v>
      </c>
      <c r="H2016" s="10">
        <v>181409</v>
      </c>
      <c r="I2016">
        <f>IFERROR(VLOOKUP(Final!F2016,'LEAID Match'!$A$2:$B$374,2,FALSE),"")</f>
        <v>400211</v>
      </c>
      <c r="K2016" s="10">
        <f t="shared" si="31"/>
        <v>181409</v>
      </c>
    </row>
    <row r="2017" spans="1:11">
      <c r="A2017">
        <v>400248</v>
      </c>
      <c r="B2017" s="10">
        <v>2015</v>
      </c>
      <c r="C2017" t="s">
        <v>1153</v>
      </c>
      <c r="D2017" t="s">
        <v>2472</v>
      </c>
      <c r="E2017" t="s">
        <v>2474</v>
      </c>
      <c r="F2017" t="s">
        <v>1981</v>
      </c>
      <c r="G2017" t="s">
        <v>1098</v>
      </c>
      <c r="H2017" s="10">
        <v>200999</v>
      </c>
      <c r="I2017">
        <f>IFERROR(VLOOKUP(Final!F2017,'LEAID Match'!$A$2:$B$374,2,FALSE),"")</f>
        <v>400248</v>
      </c>
      <c r="K2017" s="10">
        <f t="shared" si="31"/>
        <v>200999</v>
      </c>
    </row>
    <row r="2018" spans="1:11">
      <c r="A2018">
        <v>400248</v>
      </c>
      <c r="B2018" s="10">
        <v>2016</v>
      </c>
      <c r="C2018" t="s">
        <v>1153</v>
      </c>
      <c r="D2018" t="s">
        <v>2472</v>
      </c>
      <c r="E2018" t="s">
        <v>2474</v>
      </c>
      <c r="F2018" t="s">
        <v>1981</v>
      </c>
      <c r="G2018" t="s">
        <v>1098</v>
      </c>
      <c r="H2018" s="10">
        <v>199451</v>
      </c>
      <c r="I2018">
        <f>IFERROR(VLOOKUP(Final!F2018,'LEAID Match'!$A$2:$B$374,2,FALSE),"")</f>
        <v>400248</v>
      </c>
      <c r="K2018" s="10">
        <f t="shared" si="31"/>
        <v>199451</v>
      </c>
    </row>
    <row r="2019" spans="1:11">
      <c r="A2019">
        <v>400248</v>
      </c>
      <c r="B2019" s="10">
        <v>2017</v>
      </c>
      <c r="C2019" t="s">
        <v>1153</v>
      </c>
      <c r="D2019" t="s">
        <v>2472</v>
      </c>
      <c r="E2019" t="s">
        <v>2474</v>
      </c>
      <c r="F2019" t="s">
        <v>1981</v>
      </c>
      <c r="G2019" t="s">
        <v>1981</v>
      </c>
      <c r="H2019" s="10">
        <v>148615</v>
      </c>
      <c r="I2019">
        <f>IFERROR(VLOOKUP(Final!F2019,'LEAID Match'!$A$2:$B$374,2,FALSE),"")</f>
        <v>400248</v>
      </c>
      <c r="K2019" s="10">
        <f t="shared" si="31"/>
        <v>148615</v>
      </c>
    </row>
    <row r="2020" spans="1:11">
      <c r="A2020">
        <v>400248</v>
      </c>
      <c r="B2020" s="10">
        <v>2018</v>
      </c>
      <c r="C2020" t="s">
        <v>1153</v>
      </c>
      <c r="D2020" t="s">
        <v>2472</v>
      </c>
      <c r="E2020" t="s">
        <v>2474</v>
      </c>
      <c r="F2020" t="s">
        <v>1981</v>
      </c>
      <c r="G2020" t="s">
        <v>1981</v>
      </c>
      <c r="H2020" s="10">
        <v>178912</v>
      </c>
      <c r="I2020">
        <f>IFERROR(VLOOKUP(Final!F2020,'LEAID Match'!$A$2:$B$374,2,FALSE),"")</f>
        <v>400248</v>
      </c>
      <c r="K2020" s="10">
        <f t="shared" si="31"/>
        <v>178912</v>
      </c>
    </row>
    <row r="2021" spans="1:11">
      <c r="A2021">
        <v>400248</v>
      </c>
      <c r="B2021" s="10">
        <v>2019</v>
      </c>
      <c r="C2021" t="s">
        <v>1153</v>
      </c>
      <c r="D2021" t="s">
        <v>2472</v>
      </c>
      <c r="E2021" t="s">
        <v>2474</v>
      </c>
      <c r="F2021" t="s">
        <v>1981</v>
      </c>
      <c r="G2021" t="s">
        <v>1981</v>
      </c>
      <c r="H2021" s="10">
        <v>191948</v>
      </c>
      <c r="I2021">
        <f>IFERROR(VLOOKUP(Final!F2021,'LEAID Match'!$A$2:$B$374,2,FALSE),"")</f>
        <v>400248</v>
      </c>
      <c r="K2021" s="10">
        <f t="shared" si="31"/>
        <v>191948</v>
      </c>
    </row>
    <row r="2022" spans="1:11">
      <c r="A2022">
        <v>400248</v>
      </c>
      <c r="B2022" s="10">
        <v>2020</v>
      </c>
      <c r="C2022" t="s">
        <v>1153</v>
      </c>
      <c r="D2022" t="s">
        <v>2472</v>
      </c>
      <c r="E2022" t="s">
        <v>2474</v>
      </c>
      <c r="F2022" t="s">
        <v>1981</v>
      </c>
      <c r="G2022" t="s">
        <v>1981</v>
      </c>
      <c r="H2022" s="10">
        <v>157475</v>
      </c>
      <c r="I2022">
        <f>IFERROR(VLOOKUP(Final!F2022,'LEAID Match'!$A$2:$B$374,2,FALSE),"")</f>
        <v>400248</v>
      </c>
      <c r="K2022" s="10">
        <f t="shared" si="31"/>
        <v>157475</v>
      </c>
    </row>
    <row r="2023" spans="1:11">
      <c r="A2023">
        <v>400248</v>
      </c>
      <c r="B2023" s="10">
        <v>2021</v>
      </c>
      <c r="C2023" t="s">
        <v>1153</v>
      </c>
      <c r="D2023" t="s">
        <v>2472</v>
      </c>
      <c r="E2023" t="s">
        <v>2474</v>
      </c>
      <c r="F2023" t="s">
        <v>1981</v>
      </c>
      <c r="G2023" t="s">
        <v>1981</v>
      </c>
      <c r="H2023" s="10">
        <v>155028</v>
      </c>
      <c r="I2023">
        <f>IFERROR(VLOOKUP(Final!F2023,'LEAID Match'!$A$2:$B$374,2,FALSE),"")</f>
        <v>400248</v>
      </c>
      <c r="K2023" s="10">
        <f t="shared" si="31"/>
        <v>155028</v>
      </c>
    </row>
    <row r="2024" spans="1:11">
      <c r="A2024">
        <v>400248</v>
      </c>
      <c r="B2024" s="10">
        <v>2022</v>
      </c>
      <c r="C2024" t="s">
        <v>1153</v>
      </c>
      <c r="D2024" t="s">
        <v>2472</v>
      </c>
      <c r="E2024" t="s">
        <v>2474</v>
      </c>
      <c r="F2024" t="s">
        <v>1981</v>
      </c>
      <c r="G2024" t="s">
        <v>1981</v>
      </c>
      <c r="H2024" s="10">
        <v>181902</v>
      </c>
      <c r="I2024">
        <f>IFERROR(VLOOKUP(Final!F2024,'LEAID Match'!$A$2:$B$374,2,FALSE),"")</f>
        <v>400248</v>
      </c>
      <c r="K2024" s="10">
        <f t="shared" si="31"/>
        <v>181902</v>
      </c>
    </row>
    <row r="2025" spans="1:11">
      <c r="A2025">
        <v>400248</v>
      </c>
      <c r="B2025" s="10">
        <v>2023</v>
      </c>
      <c r="C2025" t="s">
        <v>1153</v>
      </c>
      <c r="D2025" t="s">
        <v>2472</v>
      </c>
      <c r="E2025" t="s">
        <v>2474</v>
      </c>
      <c r="F2025" t="s">
        <v>1981</v>
      </c>
      <c r="G2025" t="s">
        <v>1981</v>
      </c>
      <c r="H2025" s="10">
        <v>228228</v>
      </c>
      <c r="I2025">
        <f>IFERROR(VLOOKUP(Final!F2025,'LEAID Match'!$A$2:$B$374,2,FALSE),"")</f>
        <v>400248</v>
      </c>
      <c r="K2025" s="10">
        <f t="shared" si="31"/>
        <v>228228</v>
      </c>
    </row>
    <row r="2026" spans="1:11">
      <c r="A2026">
        <v>400235</v>
      </c>
      <c r="B2026" s="10">
        <v>2015</v>
      </c>
      <c r="C2026" t="s">
        <v>586</v>
      </c>
      <c r="D2026" t="s">
        <v>2472</v>
      </c>
      <c r="E2026" t="s">
        <v>2474</v>
      </c>
      <c r="F2026" t="s">
        <v>1714</v>
      </c>
      <c r="G2026" t="s">
        <v>531</v>
      </c>
      <c r="H2026" s="10">
        <v>111876</v>
      </c>
      <c r="I2026">
        <f>IFERROR(VLOOKUP(Final!F2026,'LEAID Match'!$A$2:$B$374,2,FALSE),"")</f>
        <v>400235</v>
      </c>
      <c r="K2026" s="10">
        <f t="shared" si="31"/>
        <v>111876</v>
      </c>
    </row>
    <row r="2027" spans="1:11">
      <c r="A2027">
        <v>400235</v>
      </c>
      <c r="B2027" s="10">
        <v>2016</v>
      </c>
      <c r="C2027" t="s">
        <v>586</v>
      </c>
      <c r="D2027" t="s">
        <v>2472</v>
      </c>
      <c r="E2027" t="s">
        <v>2474</v>
      </c>
      <c r="F2027" t="s">
        <v>1714</v>
      </c>
      <c r="G2027" t="s">
        <v>1452</v>
      </c>
      <c r="H2027" s="10">
        <v>111511</v>
      </c>
      <c r="I2027">
        <f>IFERROR(VLOOKUP(Final!F2027,'LEAID Match'!$A$2:$B$374,2,FALSE),"")</f>
        <v>400235</v>
      </c>
      <c r="K2027" s="10">
        <f t="shared" si="31"/>
        <v>111511</v>
      </c>
    </row>
    <row r="2028" spans="1:11">
      <c r="A2028">
        <v>400235</v>
      </c>
      <c r="B2028" s="10">
        <v>2017</v>
      </c>
      <c r="C2028" t="s">
        <v>586</v>
      </c>
      <c r="D2028" t="s">
        <v>2472</v>
      </c>
      <c r="E2028" t="s">
        <v>2474</v>
      </c>
      <c r="F2028" t="s">
        <v>1714</v>
      </c>
      <c r="G2028" t="s">
        <v>1714</v>
      </c>
      <c r="H2028" s="10">
        <v>105730</v>
      </c>
      <c r="I2028">
        <f>IFERROR(VLOOKUP(Final!F2028,'LEAID Match'!$A$2:$B$374,2,FALSE),"")</f>
        <v>400235</v>
      </c>
      <c r="K2028" s="10">
        <f t="shared" si="31"/>
        <v>105730</v>
      </c>
    </row>
    <row r="2029" spans="1:11">
      <c r="A2029">
        <v>400235</v>
      </c>
      <c r="B2029" s="10">
        <v>2018</v>
      </c>
      <c r="C2029" t="s">
        <v>586</v>
      </c>
      <c r="D2029" t="s">
        <v>2472</v>
      </c>
      <c r="E2029" t="s">
        <v>2474</v>
      </c>
      <c r="F2029" t="s">
        <v>1714</v>
      </c>
      <c r="G2029" t="s">
        <v>2184</v>
      </c>
      <c r="H2029" s="10">
        <v>103789</v>
      </c>
      <c r="I2029">
        <f>IFERROR(VLOOKUP(Final!F2029,'LEAID Match'!$A$2:$B$374,2,FALSE),"")</f>
        <v>400235</v>
      </c>
      <c r="K2029" s="10">
        <f t="shared" si="31"/>
        <v>103789</v>
      </c>
    </row>
    <row r="2030" spans="1:11">
      <c r="A2030">
        <v>400235</v>
      </c>
      <c r="B2030" s="10">
        <v>2019</v>
      </c>
      <c r="C2030" t="s">
        <v>586</v>
      </c>
      <c r="D2030" t="s">
        <v>2472</v>
      </c>
      <c r="E2030" t="s">
        <v>2474</v>
      </c>
      <c r="F2030" t="s">
        <v>1714</v>
      </c>
      <c r="G2030" t="s">
        <v>1714</v>
      </c>
      <c r="H2030" s="10">
        <v>143180</v>
      </c>
      <c r="I2030">
        <f>IFERROR(VLOOKUP(Final!F2030,'LEAID Match'!$A$2:$B$374,2,FALSE),"")</f>
        <v>400235</v>
      </c>
      <c r="K2030" s="10">
        <f t="shared" si="31"/>
        <v>143180</v>
      </c>
    </row>
    <row r="2031" spans="1:11">
      <c r="A2031">
        <v>400235</v>
      </c>
      <c r="B2031" s="10">
        <v>2020</v>
      </c>
      <c r="C2031" t="s">
        <v>586</v>
      </c>
      <c r="D2031" t="s">
        <v>2472</v>
      </c>
      <c r="E2031" t="s">
        <v>2474</v>
      </c>
      <c r="F2031" t="s">
        <v>1714</v>
      </c>
      <c r="G2031" t="s">
        <v>1714</v>
      </c>
      <c r="H2031" s="10">
        <v>160706</v>
      </c>
      <c r="I2031">
        <f>IFERROR(VLOOKUP(Final!F2031,'LEAID Match'!$A$2:$B$374,2,FALSE),"")</f>
        <v>400235</v>
      </c>
      <c r="K2031" s="10">
        <f t="shared" si="31"/>
        <v>160706</v>
      </c>
    </row>
    <row r="2032" spans="1:11">
      <c r="A2032">
        <v>400235</v>
      </c>
      <c r="B2032" s="10">
        <v>2021</v>
      </c>
      <c r="C2032" t="s">
        <v>586</v>
      </c>
      <c r="D2032" t="s">
        <v>2472</v>
      </c>
      <c r="E2032" t="s">
        <v>2474</v>
      </c>
      <c r="F2032" t="s">
        <v>1714</v>
      </c>
      <c r="G2032" t="s">
        <v>1714</v>
      </c>
      <c r="H2032" s="10">
        <v>176270</v>
      </c>
      <c r="I2032">
        <f>IFERROR(VLOOKUP(Final!F2032,'LEAID Match'!$A$2:$B$374,2,FALSE),"")</f>
        <v>400235</v>
      </c>
      <c r="K2032" s="10">
        <f t="shared" si="31"/>
        <v>176270</v>
      </c>
    </row>
    <row r="2033" spans="1:11">
      <c r="A2033">
        <v>400235</v>
      </c>
      <c r="B2033" s="10">
        <v>2022</v>
      </c>
      <c r="C2033" t="s">
        <v>586</v>
      </c>
      <c r="D2033" t="s">
        <v>2472</v>
      </c>
      <c r="E2033" t="s">
        <v>2474</v>
      </c>
      <c r="F2033" t="s">
        <v>1714</v>
      </c>
      <c r="G2033" t="s">
        <v>1714</v>
      </c>
      <c r="H2033" s="10">
        <v>214567</v>
      </c>
      <c r="I2033">
        <f>IFERROR(VLOOKUP(Final!F2033,'LEAID Match'!$A$2:$B$374,2,FALSE),"")</f>
        <v>400235</v>
      </c>
      <c r="K2033" s="10">
        <f t="shared" si="31"/>
        <v>214567</v>
      </c>
    </row>
    <row r="2034" spans="1:11">
      <c r="A2034">
        <v>400235</v>
      </c>
      <c r="B2034" s="10">
        <v>2023</v>
      </c>
      <c r="C2034" t="s">
        <v>586</v>
      </c>
      <c r="D2034" t="s">
        <v>2472</v>
      </c>
      <c r="E2034" t="s">
        <v>2474</v>
      </c>
      <c r="F2034" t="s">
        <v>1714</v>
      </c>
      <c r="G2034" t="s">
        <v>1714</v>
      </c>
      <c r="H2034" s="10">
        <v>250469</v>
      </c>
      <c r="I2034">
        <f>IFERROR(VLOOKUP(Final!F2034,'LEAID Match'!$A$2:$B$374,2,FALSE),"")</f>
        <v>400235</v>
      </c>
      <c r="K2034" s="10">
        <f t="shared" si="31"/>
        <v>250469</v>
      </c>
    </row>
    <row r="2035" spans="1:11">
      <c r="A2035">
        <v>400406</v>
      </c>
      <c r="B2035" s="10">
        <v>2015</v>
      </c>
      <c r="C2035" t="s">
        <v>681</v>
      </c>
      <c r="D2035" t="s">
        <v>2472</v>
      </c>
      <c r="E2035" t="s">
        <v>2474</v>
      </c>
      <c r="F2035" t="s">
        <v>626</v>
      </c>
      <c r="G2035" t="s">
        <v>626</v>
      </c>
      <c r="H2035" s="10">
        <v>234443</v>
      </c>
      <c r="I2035">
        <f>IFERROR(VLOOKUP(Final!F2035,'LEAID Match'!$A$2:$B$374,2,FALSE),"")</f>
        <v>400406</v>
      </c>
      <c r="K2035" s="10">
        <f t="shared" si="31"/>
        <v>234443</v>
      </c>
    </row>
    <row r="2036" spans="1:11">
      <c r="A2036">
        <v>400406</v>
      </c>
      <c r="B2036" s="10">
        <v>2016</v>
      </c>
      <c r="C2036" t="s">
        <v>681</v>
      </c>
      <c r="D2036" t="s">
        <v>2472</v>
      </c>
      <c r="E2036" t="s">
        <v>2474</v>
      </c>
      <c r="F2036" t="s">
        <v>626</v>
      </c>
      <c r="G2036" t="s">
        <v>626</v>
      </c>
      <c r="H2036" s="10">
        <v>223783</v>
      </c>
      <c r="I2036">
        <f>IFERROR(VLOOKUP(Final!F2036,'LEAID Match'!$A$2:$B$374,2,FALSE),"")</f>
        <v>400406</v>
      </c>
      <c r="K2036" s="10">
        <f t="shared" si="31"/>
        <v>223783</v>
      </c>
    </row>
    <row r="2037" spans="1:11">
      <c r="A2037">
        <v>400406</v>
      </c>
      <c r="B2037" s="10">
        <v>2017</v>
      </c>
      <c r="C2037" t="s">
        <v>681</v>
      </c>
      <c r="D2037" t="s">
        <v>2472</v>
      </c>
      <c r="E2037" t="s">
        <v>2474</v>
      </c>
      <c r="F2037" t="s">
        <v>626</v>
      </c>
      <c r="G2037" t="s">
        <v>626</v>
      </c>
      <c r="H2037" s="10">
        <v>254762</v>
      </c>
      <c r="I2037">
        <f>IFERROR(VLOOKUP(Final!F2037,'LEAID Match'!$A$2:$B$374,2,FALSE),"")</f>
        <v>400406</v>
      </c>
      <c r="K2037" s="10">
        <f t="shared" si="31"/>
        <v>254762</v>
      </c>
    </row>
    <row r="2038" spans="1:11">
      <c r="A2038">
        <v>400406</v>
      </c>
      <c r="B2038" s="10">
        <v>2018</v>
      </c>
      <c r="C2038" t="s">
        <v>681</v>
      </c>
      <c r="D2038" t="s">
        <v>2472</v>
      </c>
      <c r="E2038" t="s">
        <v>2474</v>
      </c>
      <c r="F2038" t="s">
        <v>626</v>
      </c>
      <c r="G2038" t="s">
        <v>626</v>
      </c>
      <c r="H2038" s="10">
        <v>237220</v>
      </c>
      <c r="I2038">
        <f>IFERROR(VLOOKUP(Final!F2038,'LEAID Match'!$A$2:$B$374,2,FALSE),"")</f>
        <v>400406</v>
      </c>
      <c r="K2038" s="10">
        <f t="shared" si="31"/>
        <v>237220</v>
      </c>
    </row>
    <row r="2039" spans="1:11">
      <c r="A2039">
        <v>400406</v>
      </c>
      <c r="B2039" s="10">
        <v>2019</v>
      </c>
      <c r="C2039" t="s">
        <v>681</v>
      </c>
      <c r="D2039" t="s">
        <v>2472</v>
      </c>
      <c r="E2039" t="s">
        <v>2474</v>
      </c>
      <c r="F2039" t="s">
        <v>626</v>
      </c>
      <c r="G2039" t="s">
        <v>626</v>
      </c>
      <c r="H2039" s="10">
        <v>230306</v>
      </c>
      <c r="I2039">
        <f>IFERROR(VLOOKUP(Final!F2039,'LEAID Match'!$A$2:$B$374,2,FALSE),"")</f>
        <v>400406</v>
      </c>
      <c r="K2039" s="10">
        <f t="shared" si="31"/>
        <v>230306</v>
      </c>
    </row>
    <row r="2040" spans="1:11">
      <c r="A2040">
        <v>400406</v>
      </c>
      <c r="B2040" s="10">
        <v>2020</v>
      </c>
      <c r="C2040" t="s">
        <v>681</v>
      </c>
      <c r="D2040" t="s">
        <v>2472</v>
      </c>
      <c r="E2040" t="s">
        <v>2474</v>
      </c>
      <c r="F2040" t="s">
        <v>626</v>
      </c>
      <c r="G2040" t="s">
        <v>626</v>
      </c>
      <c r="H2040" s="10">
        <v>244505</v>
      </c>
      <c r="I2040">
        <f>IFERROR(VLOOKUP(Final!F2040,'LEAID Match'!$A$2:$B$374,2,FALSE),"")</f>
        <v>400406</v>
      </c>
      <c r="K2040" s="10">
        <f t="shared" si="31"/>
        <v>244505</v>
      </c>
    </row>
    <row r="2041" spans="1:11">
      <c r="A2041">
        <v>400406</v>
      </c>
      <c r="B2041" s="10">
        <v>2021</v>
      </c>
      <c r="C2041" t="s">
        <v>681</v>
      </c>
      <c r="D2041" t="s">
        <v>2472</v>
      </c>
      <c r="E2041" t="s">
        <v>2474</v>
      </c>
      <c r="F2041" t="s">
        <v>626</v>
      </c>
      <c r="G2041" t="s">
        <v>626</v>
      </c>
      <c r="H2041" s="10">
        <v>253032</v>
      </c>
      <c r="I2041">
        <f>IFERROR(VLOOKUP(Final!F2041,'LEAID Match'!$A$2:$B$374,2,FALSE),"")</f>
        <v>400406</v>
      </c>
      <c r="K2041" s="10">
        <f t="shared" si="31"/>
        <v>253032</v>
      </c>
    </row>
    <row r="2042" spans="1:11">
      <c r="A2042">
        <v>400406</v>
      </c>
      <c r="B2042" s="10">
        <v>2022</v>
      </c>
      <c r="C2042" t="s">
        <v>681</v>
      </c>
      <c r="D2042" t="s">
        <v>2472</v>
      </c>
      <c r="E2042" t="s">
        <v>2474</v>
      </c>
      <c r="F2042" t="s">
        <v>626</v>
      </c>
      <c r="G2042" t="s">
        <v>626</v>
      </c>
      <c r="H2042" s="10">
        <v>262517</v>
      </c>
      <c r="I2042">
        <f>IFERROR(VLOOKUP(Final!F2042,'LEAID Match'!$A$2:$B$374,2,FALSE),"")</f>
        <v>400406</v>
      </c>
      <c r="K2042" s="10">
        <f t="shared" si="31"/>
        <v>262517</v>
      </c>
    </row>
    <row r="2043" spans="1:11">
      <c r="A2043">
        <v>400406</v>
      </c>
      <c r="B2043" s="10">
        <v>2023</v>
      </c>
      <c r="C2043" t="s">
        <v>681</v>
      </c>
      <c r="D2043" t="s">
        <v>2472</v>
      </c>
      <c r="E2043" t="s">
        <v>2474</v>
      </c>
      <c r="F2043" t="s">
        <v>626</v>
      </c>
      <c r="G2043" t="s">
        <v>626</v>
      </c>
      <c r="H2043" s="10">
        <v>257128</v>
      </c>
      <c r="I2043">
        <f>IFERROR(VLOOKUP(Final!F2043,'LEAID Match'!$A$2:$B$374,2,FALSE),"")</f>
        <v>400406</v>
      </c>
      <c r="K2043" s="10">
        <f t="shared" si="31"/>
        <v>257128</v>
      </c>
    </row>
    <row r="2044" spans="1:11">
      <c r="A2044">
        <v>400274</v>
      </c>
      <c r="B2044" s="10">
        <v>2015</v>
      </c>
      <c r="C2044" t="s">
        <v>66</v>
      </c>
      <c r="D2044" t="s">
        <v>2472</v>
      </c>
      <c r="E2044" t="s">
        <v>2474</v>
      </c>
      <c r="F2044" t="s">
        <v>1491</v>
      </c>
      <c r="G2044" t="s">
        <v>13</v>
      </c>
      <c r="H2044" s="10">
        <v>70606</v>
      </c>
      <c r="I2044">
        <f>IFERROR(VLOOKUP(Final!F2044,'LEAID Match'!$A$2:$B$374,2,FALSE),"")</f>
        <v>400274</v>
      </c>
      <c r="K2044" s="10">
        <f t="shared" si="31"/>
        <v>70606</v>
      </c>
    </row>
    <row r="2045" spans="1:11">
      <c r="A2045">
        <v>400274</v>
      </c>
      <c r="B2045" s="10">
        <v>2016</v>
      </c>
      <c r="C2045" t="s">
        <v>66</v>
      </c>
      <c r="D2045" t="s">
        <v>2472</v>
      </c>
      <c r="E2045" t="s">
        <v>2474</v>
      </c>
      <c r="F2045" t="s">
        <v>1491</v>
      </c>
      <c r="G2045" t="s">
        <v>13</v>
      </c>
      <c r="H2045" s="10">
        <v>66251</v>
      </c>
      <c r="I2045">
        <f>IFERROR(VLOOKUP(Final!F2045,'LEAID Match'!$A$2:$B$374,2,FALSE),"")</f>
        <v>400274</v>
      </c>
      <c r="K2045" s="10">
        <f t="shared" si="31"/>
        <v>66251</v>
      </c>
    </row>
    <row r="2046" spans="1:11">
      <c r="A2046">
        <v>400274</v>
      </c>
      <c r="B2046" s="10">
        <v>2017</v>
      </c>
      <c r="C2046" t="s">
        <v>66</v>
      </c>
      <c r="D2046" t="s">
        <v>2472</v>
      </c>
      <c r="E2046" t="s">
        <v>2474</v>
      </c>
      <c r="F2046" t="s">
        <v>1491</v>
      </c>
      <c r="G2046" t="s">
        <v>1491</v>
      </c>
      <c r="H2046" s="10">
        <v>50441</v>
      </c>
      <c r="I2046">
        <f>IFERROR(VLOOKUP(Final!F2046,'LEAID Match'!$A$2:$B$374,2,FALSE),"")</f>
        <v>400274</v>
      </c>
      <c r="K2046" s="10">
        <f t="shared" si="31"/>
        <v>50441</v>
      </c>
    </row>
    <row r="2047" spans="1:11">
      <c r="A2047">
        <v>400274</v>
      </c>
      <c r="B2047" s="10">
        <v>2018</v>
      </c>
      <c r="C2047" t="s">
        <v>66</v>
      </c>
      <c r="D2047" t="s">
        <v>2472</v>
      </c>
      <c r="E2047" t="s">
        <v>2474</v>
      </c>
      <c r="F2047" t="s">
        <v>1491</v>
      </c>
      <c r="G2047" t="s">
        <v>1491</v>
      </c>
      <c r="H2047" s="10">
        <v>46181</v>
      </c>
      <c r="I2047">
        <f>IFERROR(VLOOKUP(Final!F2047,'LEAID Match'!$A$2:$B$374,2,FALSE),"")</f>
        <v>400274</v>
      </c>
      <c r="K2047" s="10">
        <f t="shared" si="31"/>
        <v>46181</v>
      </c>
    </row>
    <row r="2048" spans="1:11">
      <c r="A2048">
        <v>400274</v>
      </c>
      <c r="B2048" s="10">
        <v>2019</v>
      </c>
      <c r="C2048" t="s">
        <v>66</v>
      </c>
      <c r="D2048" t="s">
        <v>2472</v>
      </c>
      <c r="E2048" t="s">
        <v>2474</v>
      </c>
      <c r="F2048" t="s">
        <v>1491</v>
      </c>
      <c r="G2048" t="s">
        <v>1491</v>
      </c>
      <c r="H2048" s="10">
        <v>39738</v>
      </c>
      <c r="I2048">
        <f>IFERROR(VLOOKUP(Final!F2048,'LEAID Match'!$A$2:$B$374,2,FALSE),"")</f>
        <v>400274</v>
      </c>
      <c r="K2048" s="10">
        <f t="shared" si="31"/>
        <v>39738</v>
      </c>
    </row>
    <row r="2049" spans="1:11">
      <c r="A2049">
        <v>400274</v>
      </c>
      <c r="B2049" s="10">
        <v>2020</v>
      </c>
      <c r="C2049" t="s">
        <v>66</v>
      </c>
      <c r="D2049" t="s">
        <v>2472</v>
      </c>
      <c r="E2049" t="s">
        <v>2474</v>
      </c>
      <c r="F2049" t="s">
        <v>1491</v>
      </c>
      <c r="G2049" t="s">
        <v>1491</v>
      </c>
      <c r="H2049" s="10">
        <v>28331</v>
      </c>
      <c r="I2049">
        <f>IFERROR(VLOOKUP(Final!F2049,'LEAID Match'!$A$2:$B$374,2,FALSE),"")</f>
        <v>400274</v>
      </c>
      <c r="K2049" s="10">
        <f t="shared" si="31"/>
        <v>28331</v>
      </c>
    </row>
    <row r="2050" spans="1:11">
      <c r="A2050">
        <v>400274</v>
      </c>
      <c r="B2050" s="10">
        <v>2021</v>
      </c>
      <c r="C2050" t="s">
        <v>66</v>
      </c>
      <c r="D2050" t="s">
        <v>2472</v>
      </c>
      <c r="E2050" t="s">
        <v>2474</v>
      </c>
      <c r="F2050" t="s">
        <v>1491</v>
      </c>
      <c r="G2050" t="s">
        <v>1491</v>
      </c>
      <c r="H2050" s="10">
        <v>28090</v>
      </c>
      <c r="I2050">
        <f>IFERROR(VLOOKUP(Final!F2050,'LEAID Match'!$A$2:$B$374,2,FALSE),"")</f>
        <v>400274</v>
      </c>
      <c r="K2050" s="10">
        <f t="shared" si="31"/>
        <v>28090</v>
      </c>
    </row>
    <row r="2051" spans="1:11">
      <c r="A2051">
        <v>400274</v>
      </c>
      <c r="B2051" s="10">
        <v>2022</v>
      </c>
      <c r="C2051" t="s">
        <v>66</v>
      </c>
      <c r="D2051" t="s">
        <v>2472</v>
      </c>
      <c r="E2051" t="s">
        <v>2474</v>
      </c>
      <c r="F2051" t="s">
        <v>1491</v>
      </c>
      <c r="G2051" t="s">
        <v>1491</v>
      </c>
      <c r="H2051" s="10">
        <v>36173</v>
      </c>
      <c r="I2051">
        <f>IFERROR(VLOOKUP(Final!F2051,'LEAID Match'!$A$2:$B$374,2,FALSE),"")</f>
        <v>400274</v>
      </c>
      <c r="K2051" s="10">
        <f t="shared" ref="K2051:K2114" si="32">SUM(H2051,J2051)</f>
        <v>36173</v>
      </c>
    </row>
    <row r="2052" spans="1:11">
      <c r="A2052">
        <v>400274</v>
      </c>
      <c r="B2052" s="10">
        <v>2023</v>
      </c>
      <c r="C2052" t="s">
        <v>66</v>
      </c>
      <c r="D2052" t="s">
        <v>2472</v>
      </c>
      <c r="E2052" t="s">
        <v>2474</v>
      </c>
      <c r="F2052" t="s">
        <v>1491</v>
      </c>
      <c r="G2052" t="s">
        <v>1491</v>
      </c>
      <c r="H2052" s="10">
        <v>39385</v>
      </c>
      <c r="I2052">
        <f>IFERROR(VLOOKUP(Final!F2052,'LEAID Match'!$A$2:$B$374,2,FALSE),"")</f>
        <v>400274</v>
      </c>
      <c r="K2052" s="10">
        <f t="shared" si="32"/>
        <v>39385</v>
      </c>
    </row>
    <row r="2053" spans="1:11">
      <c r="A2053">
        <v>400243</v>
      </c>
      <c r="B2053" s="10">
        <v>2015</v>
      </c>
      <c r="C2053" t="s">
        <v>1123</v>
      </c>
      <c r="D2053" t="s">
        <v>2472</v>
      </c>
      <c r="E2053" t="s">
        <v>2474</v>
      </c>
      <c r="F2053" t="s">
        <v>1952</v>
      </c>
      <c r="G2053" t="s">
        <v>1068</v>
      </c>
      <c r="H2053" s="10">
        <v>49822</v>
      </c>
      <c r="I2053">
        <f>IFERROR(VLOOKUP(Final!F2053,'LEAID Match'!$A$2:$B$374,2,FALSE),"")</f>
        <v>400243</v>
      </c>
      <c r="K2053" s="10">
        <f t="shared" si="32"/>
        <v>49822</v>
      </c>
    </row>
    <row r="2054" spans="1:11">
      <c r="A2054">
        <v>400243</v>
      </c>
      <c r="B2054" s="10">
        <v>2016</v>
      </c>
      <c r="C2054" t="s">
        <v>1123</v>
      </c>
      <c r="D2054" t="s">
        <v>2472</v>
      </c>
      <c r="E2054" t="s">
        <v>2474</v>
      </c>
      <c r="F2054" t="s">
        <v>1952</v>
      </c>
      <c r="G2054" t="s">
        <v>1068</v>
      </c>
      <c r="H2054" s="10">
        <v>48199</v>
      </c>
      <c r="I2054">
        <f>IFERROR(VLOOKUP(Final!F2054,'LEAID Match'!$A$2:$B$374,2,FALSE),"")</f>
        <v>400243</v>
      </c>
      <c r="K2054" s="10">
        <f t="shared" si="32"/>
        <v>48199</v>
      </c>
    </row>
    <row r="2055" spans="1:11">
      <c r="A2055">
        <v>400243</v>
      </c>
      <c r="B2055" s="10">
        <v>2017</v>
      </c>
      <c r="C2055" t="s">
        <v>1123</v>
      </c>
      <c r="D2055" t="s">
        <v>2472</v>
      </c>
      <c r="E2055" t="s">
        <v>2474</v>
      </c>
      <c r="F2055" t="s">
        <v>1952</v>
      </c>
      <c r="G2055" t="s">
        <v>1952</v>
      </c>
      <c r="H2055" s="10">
        <v>54127</v>
      </c>
      <c r="I2055">
        <f>IFERROR(VLOOKUP(Final!F2055,'LEAID Match'!$A$2:$B$374,2,FALSE),"")</f>
        <v>400243</v>
      </c>
      <c r="K2055" s="10">
        <f t="shared" si="32"/>
        <v>54127</v>
      </c>
    </row>
    <row r="2056" spans="1:11">
      <c r="A2056">
        <v>400243</v>
      </c>
      <c r="B2056" s="10">
        <v>2018</v>
      </c>
      <c r="C2056" t="s">
        <v>1123</v>
      </c>
      <c r="D2056" t="s">
        <v>2472</v>
      </c>
      <c r="E2056" t="s">
        <v>2474</v>
      </c>
      <c r="F2056" t="s">
        <v>1952</v>
      </c>
      <c r="G2056" t="s">
        <v>1952</v>
      </c>
      <c r="H2056" s="10">
        <v>51533</v>
      </c>
      <c r="I2056">
        <f>IFERROR(VLOOKUP(Final!F2056,'LEAID Match'!$A$2:$B$374,2,FALSE),"")</f>
        <v>400243</v>
      </c>
      <c r="K2056" s="10">
        <f t="shared" si="32"/>
        <v>51533</v>
      </c>
    </row>
    <row r="2057" spans="1:11">
      <c r="A2057">
        <v>400243</v>
      </c>
      <c r="B2057" s="10">
        <v>2019</v>
      </c>
      <c r="C2057" t="s">
        <v>1123</v>
      </c>
      <c r="D2057" t="s">
        <v>2472</v>
      </c>
      <c r="E2057" t="s">
        <v>2474</v>
      </c>
      <c r="F2057" t="s">
        <v>1952</v>
      </c>
      <c r="G2057" t="s">
        <v>1952</v>
      </c>
      <c r="H2057" s="10">
        <v>57944</v>
      </c>
      <c r="I2057">
        <f>IFERROR(VLOOKUP(Final!F2057,'LEAID Match'!$A$2:$B$374,2,FALSE),"")</f>
        <v>400243</v>
      </c>
      <c r="K2057" s="10">
        <f t="shared" si="32"/>
        <v>57944</v>
      </c>
    </row>
    <row r="2058" spans="1:11">
      <c r="A2058">
        <v>400243</v>
      </c>
      <c r="B2058" s="10">
        <v>2020</v>
      </c>
      <c r="C2058" t="s">
        <v>1123</v>
      </c>
      <c r="D2058" t="s">
        <v>2472</v>
      </c>
      <c r="E2058" t="s">
        <v>2474</v>
      </c>
      <c r="F2058" t="s">
        <v>1952</v>
      </c>
      <c r="G2058" t="s">
        <v>1952</v>
      </c>
      <c r="H2058" s="10">
        <v>78727</v>
      </c>
      <c r="I2058">
        <f>IFERROR(VLOOKUP(Final!F2058,'LEAID Match'!$A$2:$B$374,2,FALSE),"")</f>
        <v>400243</v>
      </c>
      <c r="K2058" s="10">
        <f t="shared" si="32"/>
        <v>78727</v>
      </c>
    </row>
    <row r="2059" spans="1:11">
      <c r="A2059">
        <v>400243</v>
      </c>
      <c r="B2059" s="10">
        <v>2021</v>
      </c>
      <c r="C2059" t="s">
        <v>1123</v>
      </c>
      <c r="D2059" t="s">
        <v>2472</v>
      </c>
      <c r="E2059" t="s">
        <v>2474</v>
      </c>
      <c r="F2059" t="s">
        <v>1952</v>
      </c>
      <c r="G2059" t="s">
        <v>1952</v>
      </c>
      <c r="H2059" s="10">
        <v>76937</v>
      </c>
      <c r="I2059">
        <f>IFERROR(VLOOKUP(Final!F2059,'LEAID Match'!$A$2:$B$374,2,FALSE),"")</f>
        <v>400243</v>
      </c>
      <c r="K2059" s="10">
        <f t="shared" si="32"/>
        <v>76937</v>
      </c>
    </row>
    <row r="2060" spans="1:11">
      <c r="A2060">
        <v>400243</v>
      </c>
      <c r="B2060" s="10">
        <v>2022</v>
      </c>
      <c r="C2060" t="s">
        <v>1123</v>
      </c>
      <c r="D2060" t="s">
        <v>2472</v>
      </c>
      <c r="E2060" t="s">
        <v>2474</v>
      </c>
      <c r="F2060" t="s">
        <v>1952</v>
      </c>
      <c r="G2060" t="s">
        <v>1952</v>
      </c>
      <c r="H2060" s="10">
        <v>93993</v>
      </c>
      <c r="I2060">
        <f>IFERROR(VLOOKUP(Final!F2060,'LEAID Match'!$A$2:$B$374,2,FALSE),"")</f>
        <v>400243</v>
      </c>
      <c r="K2060" s="10">
        <f t="shared" si="32"/>
        <v>93993</v>
      </c>
    </row>
    <row r="2061" spans="1:11">
      <c r="A2061">
        <v>400243</v>
      </c>
      <c r="B2061" s="10">
        <v>2023</v>
      </c>
      <c r="C2061" t="s">
        <v>1123</v>
      </c>
      <c r="D2061" t="s">
        <v>2472</v>
      </c>
      <c r="E2061" t="s">
        <v>2474</v>
      </c>
      <c r="F2061" t="s">
        <v>1952</v>
      </c>
      <c r="G2061" t="s">
        <v>1952</v>
      </c>
      <c r="H2061" s="10">
        <v>117617</v>
      </c>
      <c r="I2061">
        <f>IFERROR(VLOOKUP(Final!F2061,'LEAID Match'!$A$2:$B$374,2,FALSE),"")</f>
        <v>400243</v>
      </c>
      <c r="K2061" s="10">
        <f t="shared" si="32"/>
        <v>117617</v>
      </c>
    </row>
    <row r="2062" spans="1:11">
      <c r="A2062">
        <v>400429</v>
      </c>
      <c r="B2062" s="10">
        <v>2015</v>
      </c>
      <c r="C2062" t="s">
        <v>487</v>
      </c>
      <c r="D2062" t="s">
        <v>2472</v>
      </c>
      <c r="E2062" t="s">
        <v>2474</v>
      </c>
      <c r="F2062" t="s">
        <v>432</v>
      </c>
      <c r="G2062" t="s">
        <v>432</v>
      </c>
      <c r="H2062" s="10">
        <v>8003</v>
      </c>
      <c r="I2062">
        <f>IFERROR(VLOOKUP(Final!F2062,'LEAID Match'!$A$2:$B$374,2,FALSE),"")</f>
        <v>400429</v>
      </c>
      <c r="K2062" s="10">
        <f t="shared" si="32"/>
        <v>8003</v>
      </c>
    </row>
    <row r="2063" spans="1:11">
      <c r="A2063">
        <v>400429</v>
      </c>
      <c r="B2063" s="10">
        <v>2016</v>
      </c>
      <c r="C2063" t="s">
        <v>487</v>
      </c>
      <c r="D2063" t="s">
        <v>2472</v>
      </c>
      <c r="E2063" t="s">
        <v>2474</v>
      </c>
      <c r="F2063" t="s">
        <v>432</v>
      </c>
      <c r="G2063" t="s">
        <v>432</v>
      </c>
      <c r="H2063" s="10">
        <v>6441</v>
      </c>
      <c r="I2063">
        <f>IFERROR(VLOOKUP(Final!F2063,'LEAID Match'!$A$2:$B$374,2,FALSE),"")</f>
        <v>400429</v>
      </c>
      <c r="K2063" s="10">
        <f t="shared" si="32"/>
        <v>6441</v>
      </c>
    </row>
    <row r="2064" spans="1:11">
      <c r="A2064">
        <v>400429</v>
      </c>
      <c r="B2064" s="10">
        <v>2017</v>
      </c>
      <c r="C2064" t="s">
        <v>487</v>
      </c>
      <c r="D2064" t="s">
        <v>2472</v>
      </c>
      <c r="E2064" t="s">
        <v>2474</v>
      </c>
      <c r="F2064" t="s">
        <v>432</v>
      </c>
      <c r="G2064" t="s">
        <v>432</v>
      </c>
      <c r="H2064" s="10">
        <v>6501</v>
      </c>
      <c r="I2064">
        <f>IFERROR(VLOOKUP(Final!F2064,'LEAID Match'!$A$2:$B$374,2,FALSE),"")</f>
        <v>400429</v>
      </c>
      <c r="K2064" s="10">
        <f t="shared" si="32"/>
        <v>6501</v>
      </c>
    </row>
    <row r="2065" spans="1:11">
      <c r="A2065">
        <v>400429</v>
      </c>
      <c r="B2065" s="10">
        <v>2018</v>
      </c>
      <c r="C2065" t="s">
        <v>487</v>
      </c>
      <c r="D2065" t="s">
        <v>2472</v>
      </c>
      <c r="E2065" t="s">
        <v>2474</v>
      </c>
      <c r="F2065" t="s">
        <v>432</v>
      </c>
      <c r="G2065" t="s">
        <v>432</v>
      </c>
      <c r="H2065" s="10">
        <v>6396</v>
      </c>
      <c r="I2065">
        <f>IFERROR(VLOOKUP(Final!F2065,'LEAID Match'!$A$2:$B$374,2,FALSE),"")</f>
        <v>400429</v>
      </c>
      <c r="K2065" s="10">
        <f t="shared" si="32"/>
        <v>6396</v>
      </c>
    </row>
    <row r="2066" spans="1:11">
      <c r="A2066">
        <v>400429</v>
      </c>
      <c r="B2066" s="10">
        <v>2019</v>
      </c>
      <c r="C2066" t="s">
        <v>487</v>
      </c>
      <c r="D2066" t="s">
        <v>2472</v>
      </c>
      <c r="E2066" t="s">
        <v>2474</v>
      </c>
      <c r="F2066" t="s">
        <v>432</v>
      </c>
      <c r="G2066" t="s">
        <v>432</v>
      </c>
      <c r="H2066" s="10">
        <v>6903</v>
      </c>
      <c r="I2066">
        <f>IFERROR(VLOOKUP(Final!F2066,'LEAID Match'!$A$2:$B$374,2,FALSE),"")</f>
        <v>400429</v>
      </c>
      <c r="K2066" s="10">
        <f t="shared" si="32"/>
        <v>6903</v>
      </c>
    </row>
    <row r="2067" spans="1:11">
      <c r="A2067">
        <v>400429</v>
      </c>
      <c r="B2067" s="10">
        <v>2020</v>
      </c>
      <c r="C2067" t="s">
        <v>487</v>
      </c>
      <c r="D2067" t="s">
        <v>2472</v>
      </c>
      <c r="E2067" t="s">
        <v>2474</v>
      </c>
      <c r="F2067" t="s">
        <v>432</v>
      </c>
      <c r="G2067" t="s">
        <v>432</v>
      </c>
      <c r="H2067" s="10">
        <v>7567</v>
      </c>
      <c r="I2067">
        <f>IFERROR(VLOOKUP(Final!F2067,'LEAID Match'!$A$2:$B$374,2,FALSE),"")</f>
        <v>400429</v>
      </c>
      <c r="K2067" s="10">
        <f t="shared" si="32"/>
        <v>7567</v>
      </c>
    </row>
    <row r="2068" spans="1:11">
      <c r="A2068">
        <v>400429</v>
      </c>
      <c r="B2068" s="10">
        <v>2021</v>
      </c>
      <c r="C2068" t="s">
        <v>487</v>
      </c>
      <c r="D2068" t="s">
        <v>2472</v>
      </c>
      <c r="E2068" t="s">
        <v>2474</v>
      </c>
      <c r="F2068" t="s">
        <v>432</v>
      </c>
      <c r="G2068" t="s">
        <v>432</v>
      </c>
      <c r="H2068" s="10">
        <v>438</v>
      </c>
      <c r="I2068">
        <f>IFERROR(VLOOKUP(Final!F2068,'LEAID Match'!$A$2:$B$374,2,FALSE),"")</f>
        <v>400429</v>
      </c>
      <c r="K2068" s="10">
        <f t="shared" si="32"/>
        <v>438</v>
      </c>
    </row>
    <row r="2069" spans="1:11">
      <c r="A2069">
        <v>400429</v>
      </c>
      <c r="B2069" s="10">
        <v>2022</v>
      </c>
      <c r="C2069" t="s">
        <v>487</v>
      </c>
      <c r="D2069" t="s">
        <v>2472</v>
      </c>
      <c r="E2069" t="s">
        <v>2474</v>
      </c>
      <c r="F2069" t="s">
        <v>432</v>
      </c>
      <c r="G2069" t="s">
        <v>432</v>
      </c>
      <c r="H2069" s="10"/>
      <c r="I2069">
        <f>IFERROR(VLOOKUP(Final!F2069,'LEAID Match'!$A$2:$B$374,2,FALSE),"")</f>
        <v>400429</v>
      </c>
      <c r="K2069" s="10">
        <f t="shared" si="32"/>
        <v>0</v>
      </c>
    </row>
    <row r="2070" spans="1:11">
      <c r="A2070">
        <v>400429</v>
      </c>
      <c r="B2070" s="10">
        <v>2023</v>
      </c>
      <c r="C2070" t="s">
        <v>487</v>
      </c>
      <c r="D2070" t="s">
        <v>2472</v>
      </c>
      <c r="E2070" t="s">
        <v>2474</v>
      </c>
      <c r="F2070" t="s">
        <v>432</v>
      </c>
      <c r="G2070" t="s">
        <v>432</v>
      </c>
      <c r="H2070" s="10"/>
      <c r="I2070">
        <f>IFERROR(VLOOKUP(Final!F2070,'LEAID Match'!$A$2:$B$374,2,FALSE),"")</f>
        <v>400429</v>
      </c>
      <c r="K2070" s="10">
        <f t="shared" si="32"/>
        <v>0</v>
      </c>
    </row>
    <row r="2071" spans="1:11">
      <c r="A2071" t="s">
        <v>2470</v>
      </c>
      <c r="B2071" s="10">
        <v>2015</v>
      </c>
      <c r="C2071" t="s">
        <v>819</v>
      </c>
      <c r="D2071" t="s">
        <v>2472</v>
      </c>
      <c r="E2071" t="s">
        <v>2474</v>
      </c>
      <c r="F2071" t="s">
        <v>1689</v>
      </c>
      <c r="G2071" t="s">
        <v>764</v>
      </c>
      <c r="H2071" s="10">
        <v>17873</v>
      </c>
      <c r="I2071" t="str">
        <f>IFERROR(VLOOKUP(Final!F2071,'LEAID Match'!$A$2:$B$374,2,FALSE),"")</f>
        <v/>
      </c>
      <c r="K2071" s="10">
        <f t="shared" si="32"/>
        <v>17873</v>
      </c>
    </row>
    <row r="2072" spans="1:11">
      <c r="A2072" t="s">
        <v>2470</v>
      </c>
      <c r="B2072" s="10">
        <v>2016</v>
      </c>
      <c r="C2072" t="s">
        <v>819</v>
      </c>
      <c r="D2072" t="s">
        <v>2472</v>
      </c>
      <c r="E2072" t="s">
        <v>2474</v>
      </c>
      <c r="F2072" t="s">
        <v>1689</v>
      </c>
      <c r="G2072" t="s">
        <v>764</v>
      </c>
      <c r="H2072" s="10"/>
      <c r="I2072" t="str">
        <f>IFERROR(VLOOKUP(Final!F2072,'LEAID Match'!$A$2:$B$374,2,FALSE),"")</f>
        <v/>
      </c>
      <c r="K2072" s="10">
        <f t="shared" si="32"/>
        <v>0</v>
      </c>
    </row>
    <row r="2073" spans="1:11">
      <c r="A2073" t="s">
        <v>2470</v>
      </c>
      <c r="B2073" s="10">
        <v>2017</v>
      </c>
      <c r="C2073" t="s">
        <v>819</v>
      </c>
      <c r="D2073" t="s">
        <v>2472</v>
      </c>
      <c r="E2073" t="s">
        <v>2474</v>
      </c>
      <c r="F2073" t="s">
        <v>1689</v>
      </c>
      <c r="G2073" t="s">
        <v>1689</v>
      </c>
      <c r="H2073" s="10"/>
      <c r="I2073" t="str">
        <f>IFERROR(VLOOKUP(Final!F2073,'LEAID Match'!$A$2:$B$374,2,FALSE),"")</f>
        <v/>
      </c>
      <c r="K2073" s="10">
        <f t="shared" si="32"/>
        <v>0</v>
      </c>
    </row>
    <row r="2074" spans="1:11">
      <c r="A2074" t="s">
        <v>2470</v>
      </c>
      <c r="B2074" s="10">
        <v>2018</v>
      </c>
      <c r="C2074" t="s">
        <v>819</v>
      </c>
      <c r="D2074" t="s">
        <v>2472</v>
      </c>
      <c r="E2074" t="s">
        <v>2474</v>
      </c>
      <c r="F2074" t="s">
        <v>1689</v>
      </c>
      <c r="G2074" t="s">
        <v>1689</v>
      </c>
      <c r="H2074" s="10"/>
      <c r="I2074" t="str">
        <f>IFERROR(VLOOKUP(Final!F2074,'LEAID Match'!$A$2:$B$374,2,FALSE),"")</f>
        <v/>
      </c>
      <c r="K2074" s="10">
        <f t="shared" si="32"/>
        <v>0</v>
      </c>
    </row>
    <row r="2075" spans="1:11">
      <c r="A2075" t="s">
        <v>2470</v>
      </c>
      <c r="B2075" s="10">
        <v>2019</v>
      </c>
      <c r="C2075" t="s">
        <v>819</v>
      </c>
      <c r="D2075" t="s">
        <v>2472</v>
      </c>
      <c r="E2075" t="s">
        <v>2474</v>
      </c>
      <c r="F2075" t="s">
        <v>1689</v>
      </c>
      <c r="G2075" t="s">
        <v>1689</v>
      </c>
      <c r="H2075" s="10"/>
      <c r="I2075" t="str">
        <f>IFERROR(VLOOKUP(Final!F2075,'LEAID Match'!$A$2:$B$374,2,FALSE),"")</f>
        <v/>
      </c>
      <c r="K2075" s="10">
        <f t="shared" si="32"/>
        <v>0</v>
      </c>
    </row>
    <row r="2076" spans="1:11">
      <c r="A2076">
        <v>400157</v>
      </c>
      <c r="B2076" s="10">
        <v>2015</v>
      </c>
      <c r="C2076" t="s">
        <v>572</v>
      </c>
      <c r="D2076" t="s">
        <v>2472</v>
      </c>
      <c r="E2076" t="s">
        <v>2474</v>
      </c>
      <c r="F2076" t="s">
        <v>517</v>
      </c>
      <c r="G2076" t="s">
        <v>517</v>
      </c>
      <c r="H2076" s="10">
        <v>214305</v>
      </c>
      <c r="I2076">
        <f>IFERROR(VLOOKUP(Final!F2076,'LEAID Match'!$A$2:$B$374,2,FALSE),"")</f>
        <v>400157</v>
      </c>
      <c r="K2076" s="10">
        <f t="shared" si="32"/>
        <v>214305</v>
      </c>
    </row>
    <row r="2077" spans="1:11">
      <c r="A2077">
        <v>400157</v>
      </c>
      <c r="B2077" s="10">
        <v>2016</v>
      </c>
      <c r="C2077" t="s">
        <v>572</v>
      </c>
      <c r="D2077" t="s">
        <v>2472</v>
      </c>
      <c r="E2077" t="s">
        <v>2474</v>
      </c>
      <c r="F2077" t="s">
        <v>517</v>
      </c>
      <c r="G2077" t="s">
        <v>517</v>
      </c>
      <c r="H2077" s="10">
        <v>287329</v>
      </c>
      <c r="I2077">
        <f>IFERROR(VLOOKUP(Final!F2077,'LEAID Match'!$A$2:$B$374,2,FALSE),"")</f>
        <v>400157</v>
      </c>
      <c r="K2077" s="10">
        <f t="shared" si="32"/>
        <v>287329</v>
      </c>
    </row>
    <row r="2078" spans="1:11">
      <c r="A2078">
        <v>400157</v>
      </c>
      <c r="B2078" s="10">
        <v>2017</v>
      </c>
      <c r="C2078" t="s">
        <v>572</v>
      </c>
      <c r="D2078" t="s">
        <v>2472</v>
      </c>
      <c r="E2078" t="s">
        <v>2474</v>
      </c>
      <c r="F2078" t="s">
        <v>517</v>
      </c>
      <c r="G2078" t="s">
        <v>517</v>
      </c>
      <c r="H2078" s="10">
        <v>234378</v>
      </c>
      <c r="I2078">
        <f>IFERROR(VLOOKUP(Final!F2078,'LEAID Match'!$A$2:$B$374,2,FALSE),"")</f>
        <v>400157</v>
      </c>
      <c r="K2078" s="10">
        <f t="shared" si="32"/>
        <v>234378</v>
      </c>
    </row>
    <row r="2079" spans="1:11">
      <c r="A2079">
        <v>400157</v>
      </c>
      <c r="B2079" s="10">
        <v>2018</v>
      </c>
      <c r="C2079" t="s">
        <v>572</v>
      </c>
      <c r="D2079" t="s">
        <v>2472</v>
      </c>
      <c r="E2079" t="s">
        <v>2474</v>
      </c>
      <c r="F2079" t="s">
        <v>517</v>
      </c>
      <c r="G2079" t="s">
        <v>517</v>
      </c>
      <c r="H2079" s="10">
        <v>257852</v>
      </c>
      <c r="I2079">
        <f>IFERROR(VLOOKUP(Final!F2079,'LEAID Match'!$A$2:$B$374,2,FALSE),"")</f>
        <v>400157</v>
      </c>
      <c r="K2079" s="10">
        <f t="shared" si="32"/>
        <v>257852</v>
      </c>
    </row>
    <row r="2080" spans="1:11">
      <c r="A2080">
        <v>400157</v>
      </c>
      <c r="B2080" s="10">
        <v>2019</v>
      </c>
      <c r="C2080" t="s">
        <v>572</v>
      </c>
      <c r="D2080" t="s">
        <v>2472</v>
      </c>
      <c r="E2080" t="s">
        <v>2474</v>
      </c>
      <c r="F2080" t="s">
        <v>517</v>
      </c>
      <c r="G2080" t="s">
        <v>517</v>
      </c>
      <c r="H2080" s="10">
        <v>225765</v>
      </c>
      <c r="I2080">
        <f>IFERROR(VLOOKUP(Final!F2080,'LEAID Match'!$A$2:$B$374,2,FALSE),"")</f>
        <v>400157</v>
      </c>
      <c r="K2080" s="10">
        <f t="shared" si="32"/>
        <v>225765</v>
      </c>
    </row>
    <row r="2081" spans="1:11">
      <c r="A2081">
        <v>400157</v>
      </c>
      <c r="B2081" s="10">
        <v>2020</v>
      </c>
      <c r="C2081" t="s">
        <v>572</v>
      </c>
      <c r="D2081" t="s">
        <v>2472</v>
      </c>
      <c r="E2081" t="s">
        <v>2474</v>
      </c>
      <c r="F2081" t="s">
        <v>517</v>
      </c>
      <c r="G2081" t="s">
        <v>517</v>
      </c>
      <c r="H2081" s="10">
        <v>303450</v>
      </c>
      <c r="I2081">
        <f>IFERROR(VLOOKUP(Final!F2081,'LEAID Match'!$A$2:$B$374,2,FALSE),"")</f>
        <v>400157</v>
      </c>
      <c r="K2081" s="10">
        <f t="shared" si="32"/>
        <v>303450</v>
      </c>
    </row>
    <row r="2082" spans="1:11">
      <c r="A2082">
        <v>400157</v>
      </c>
      <c r="B2082" s="10">
        <v>2021</v>
      </c>
      <c r="C2082" t="s">
        <v>572</v>
      </c>
      <c r="D2082" t="s">
        <v>2472</v>
      </c>
      <c r="E2082" t="s">
        <v>2474</v>
      </c>
      <c r="F2082" t="s">
        <v>517</v>
      </c>
      <c r="G2082" t="s">
        <v>517</v>
      </c>
      <c r="H2082" s="10">
        <v>640069</v>
      </c>
      <c r="I2082">
        <f>IFERROR(VLOOKUP(Final!F2082,'LEAID Match'!$A$2:$B$374,2,FALSE),"")</f>
        <v>400157</v>
      </c>
      <c r="K2082" s="10">
        <f t="shared" si="32"/>
        <v>640069</v>
      </c>
    </row>
    <row r="2083" spans="1:11">
      <c r="A2083">
        <v>400157</v>
      </c>
      <c r="B2083" s="10">
        <v>2022</v>
      </c>
      <c r="C2083" t="s">
        <v>572</v>
      </c>
      <c r="D2083" t="s">
        <v>2472</v>
      </c>
      <c r="E2083" t="s">
        <v>2474</v>
      </c>
      <c r="F2083" t="s">
        <v>517</v>
      </c>
      <c r="G2083" t="s">
        <v>517</v>
      </c>
      <c r="H2083" s="10">
        <v>1056777</v>
      </c>
      <c r="I2083">
        <f>IFERROR(VLOOKUP(Final!F2083,'LEAID Match'!$A$2:$B$374,2,FALSE),"")</f>
        <v>400157</v>
      </c>
      <c r="K2083" s="10">
        <f t="shared" si="32"/>
        <v>1056777</v>
      </c>
    </row>
    <row r="2084" spans="1:11">
      <c r="A2084">
        <v>400157</v>
      </c>
      <c r="B2084" s="10">
        <v>2023</v>
      </c>
      <c r="C2084" t="s">
        <v>572</v>
      </c>
      <c r="D2084" t="s">
        <v>2472</v>
      </c>
      <c r="E2084" t="s">
        <v>2474</v>
      </c>
      <c r="F2084" t="s">
        <v>517</v>
      </c>
      <c r="G2084" t="s">
        <v>517</v>
      </c>
      <c r="H2084" s="10">
        <v>1160608</v>
      </c>
      <c r="I2084">
        <f>IFERROR(VLOOKUP(Final!F2084,'LEAID Match'!$A$2:$B$374,2,FALSE),"")</f>
        <v>400157</v>
      </c>
      <c r="K2084" s="10">
        <f t="shared" si="32"/>
        <v>1160608</v>
      </c>
    </row>
    <row r="2085" spans="1:11">
      <c r="A2085">
        <v>400246</v>
      </c>
      <c r="B2085" s="10">
        <v>2015</v>
      </c>
      <c r="C2085" t="s">
        <v>576</v>
      </c>
      <c r="D2085" t="s">
        <v>2472</v>
      </c>
      <c r="E2085" t="s">
        <v>2474</v>
      </c>
      <c r="F2085" t="s">
        <v>521</v>
      </c>
      <c r="G2085" t="s">
        <v>521</v>
      </c>
      <c r="H2085" s="10">
        <v>96752</v>
      </c>
      <c r="I2085">
        <f>IFERROR(VLOOKUP(Final!F2085,'LEAID Match'!$A$2:$B$374,2,FALSE),"")</f>
        <v>400246</v>
      </c>
      <c r="K2085" s="10">
        <f t="shared" si="32"/>
        <v>96752</v>
      </c>
    </row>
    <row r="2086" spans="1:11">
      <c r="A2086">
        <v>400246</v>
      </c>
      <c r="B2086" s="10">
        <v>2016</v>
      </c>
      <c r="C2086" t="s">
        <v>576</v>
      </c>
      <c r="D2086" t="s">
        <v>2472</v>
      </c>
      <c r="E2086" t="s">
        <v>2474</v>
      </c>
      <c r="F2086" t="s">
        <v>521</v>
      </c>
      <c r="G2086" t="s">
        <v>521</v>
      </c>
      <c r="H2086" s="10">
        <v>100995</v>
      </c>
      <c r="I2086">
        <f>IFERROR(VLOOKUP(Final!F2086,'LEAID Match'!$A$2:$B$374,2,FALSE),"")</f>
        <v>400246</v>
      </c>
      <c r="K2086" s="10">
        <f t="shared" si="32"/>
        <v>100995</v>
      </c>
    </row>
    <row r="2087" spans="1:11">
      <c r="A2087">
        <v>400246</v>
      </c>
      <c r="B2087" s="10">
        <v>2017</v>
      </c>
      <c r="C2087" t="s">
        <v>576</v>
      </c>
      <c r="D2087" t="s">
        <v>2472</v>
      </c>
      <c r="E2087" t="s">
        <v>2474</v>
      </c>
      <c r="F2087" t="s">
        <v>521</v>
      </c>
      <c r="G2087" t="s">
        <v>521</v>
      </c>
      <c r="H2087" s="10">
        <v>146102</v>
      </c>
      <c r="I2087">
        <f>IFERROR(VLOOKUP(Final!F2087,'LEAID Match'!$A$2:$B$374,2,FALSE),"")</f>
        <v>400246</v>
      </c>
      <c r="K2087" s="10">
        <f t="shared" si="32"/>
        <v>146102</v>
      </c>
    </row>
    <row r="2088" spans="1:11">
      <c r="A2088">
        <v>400246</v>
      </c>
      <c r="B2088" s="10">
        <v>2018</v>
      </c>
      <c r="C2088" t="s">
        <v>576</v>
      </c>
      <c r="D2088" t="s">
        <v>2472</v>
      </c>
      <c r="E2088" t="s">
        <v>2474</v>
      </c>
      <c r="F2088" t="s">
        <v>521</v>
      </c>
      <c r="G2088" t="s">
        <v>521</v>
      </c>
      <c r="H2088" s="10">
        <v>182995</v>
      </c>
      <c r="I2088">
        <f>IFERROR(VLOOKUP(Final!F2088,'LEAID Match'!$A$2:$B$374,2,FALSE),"")</f>
        <v>400246</v>
      </c>
      <c r="K2088" s="10">
        <f t="shared" si="32"/>
        <v>182995</v>
      </c>
    </row>
    <row r="2089" spans="1:11">
      <c r="A2089">
        <v>400246</v>
      </c>
      <c r="B2089" s="10">
        <v>2019</v>
      </c>
      <c r="C2089" t="s">
        <v>576</v>
      </c>
      <c r="D2089" t="s">
        <v>2472</v>
      </c>
      <c r="E2089" t="s">
        <v>2474</v>
      </c>
      <c r="F2089" t="s">
        <v>521</v>
      </c>
      <c r="G2089" t="s">
        <v>521</v>
      </c>
      <c r="H2089" s="10">
        <v>201053</v>
      </c>
      <c r="I2089">
        <f>IFERROR(VLOOKUP(Final!F2089,'LEAID Match'!$A$2:$B$374,2,FALSE),"")</f>
        <v>400246</v>
      </c>
      <c r="K2089" s="10">
        <f t="shared" si="32"/>
        <v>201053</v>
      </c>
    </row>
    <row r="2090" spans="1:11">
      <c r="A2090">
        <v>400246</v>
      </c>
      <c r="B2090" s="10">
        <v>2020</v>
      </c>
      <c r="C2090" t="s">
        <v>576</v>
      </c>
      <c r="D2090" t="s">
        <v>2472</v>
      </c>
      <c r="E2090" t="s">
        <v>2474</v>
      </c>
      <c r="F2090" t="s">
        <v>521</v>
      </c>
      <c r="G2090" t="s">
        <v>521</v>
      </c>
      <c r="H2090" s="10">
        <v>217261</v>
      </c>
      <c r="I2090">
        <f>IFERROR(VLOOKUP(Final!F2090,'LEAID Match'!$A$2:$B$374,2,FALSE),"")</f>
        <v>400246</v>
      </c>
      <c r="K2090" s="10">
        <f t="shared" si="32"/>
        <v>217261</v>
      </c>
    </row>
    <row r="2091" spans="1:11">
      <c r="A2091">
        <v>400246</v>
      </c>
      <c r="B2091" s="10">
        <v>2021</v>
      </c>
      <c r="C2091" t="s">
        <v>576</v>
      </c>
      <c r="D2091" t="s">
        <v>2472</v>
      </c>
      <c r="E2091" t="s">
        <v>2474</v>
      </c>
      <c r="F2091" t="s">
        <v>521</v>
      </c>
      <c r="G2091" t="s">
        <v>521</v>
      </c>
      <c r="H2091" s="10">
        <v>238000</v>
      </c>
      <c r="I2091">
        <f>IFERROR(VLOOKUP(Final!F2091,'LEAID Match'!$A$2:$B$374,2,FALSE),"")</f>
        <v>400246</v>
      </c>
      <c r="K2091" s="10">
        <f t="shared" si="32"/>
        <v>238000</v>
      </c>
    </row>
    <row r="2092" spans="1:11">
      <c r="A2092">
        <v>400246</v>
      </c>
      <c r="B2092" s="10">
        <v>2022</v>
      </c>
      <c r="C2092" t="s">
        <v>576</v>
      </c>
      <c r="D2092" t="s">
        <v>2472</v>
      </c>
      <c r="E2092" t="s">
        <v>2474</v>
      </c>
      <c r="F2092" t="s">
        <v>521</v>
      </c>
      <c r="G2092" t="s">
        <v>521</v>
      </c>
      <c r="H2092" s="10">
        <v>262282</v>
      </c>
      <c r="I2092">
        <f>IFERROR(VLOOKUP(Final!F2092,'LEAID Match'!$A$2:$B$374,2,FALSE),"")</f>
        <v>400246</v>
      </c>
      <c r="K2092" s="10">
        <f t="shared" si="32"/>
        <v>262282</v>
      </c>
    </row>
    <row r="2093" spans="1:11">
      <c r="A2093">
        <v>400246</v>
      </c>
      <c r="B2093" s="10">
        <v>2023</v>
      </c>
      <c r="C2093" t="s">
        <v>576</v>
      </c>
      <c r="D2093" t="s">
        <v>2472</v>
      </c>
      <c r="E2093" t="s">
        <v>2474</v>
      </c>
      <c r="F2093" t="s">
        <v>521</v>
      </c>
      <c r="G2093" t="s">
        <v>521</v>
      </c>
      <c r="H2093" s="10">
        <v>237658</v>
      </c>
      <c r="I2093">
        <f>IFERROR(VLOOKUP(Final!F2093,'LEAID Match'!$A$2:$B$374,2,FALSE),"")</f>
        <v>400246</v>
      </c>
      <c r="K2093" s="10">
        <f t="shared" si="32"/>
        <v>237658</v>
      </c>
    </row>
    <row r="2094" spans="1:11">
      <c r="A2094">
        <v>400244</v>
      </c>
      <c r="B2094" s="10">
        <v>2015</v>
      </c>
      <c r="C2094" t="s">
        <v>571</v>
      </c>
      <c r="D2094" t="s">
        <v>2472</v>
      </c>
      <c r="E2094" t="s">
        <v>2474</v>
      </c>
      <c r="F2094" t="s">
        <v>516</v>
      </c>
      <c r="G2094" t="s">
        <v>516</v>
      </c>
      <c r="H2094" s="10">
        <v>665433</v>
      </c>
      <c r="I2094">
        <f>IFERROR(VLOOKUP(Final!F2094,'LEAID Match'!$A$2:$B$374,2,FALSE),"")</f>
        <v>400244</v>
      </c>
      <c r="K2094" s="10">
        <f t="shared" si="32"/>
        <v>665433</v>
      </c>
    </row>
    <row r="2095" spans="1:11">
      <c r="A2095">
        <v>400244</v>
      </c>
      <c r="B2095" s="10">
        <v>2016</v>
      </c>
      <c r="C2095" t="s">
        <v>571</v>
      </c>
      <c r="D2095" t="s">
        <v>2472</v>
      </c>
      <c r="E2095" t="s">
        <v>2474</v>
      </c>
      <c r="F2095" t="s">
        <v>516</v>
      </c>
      <c r="G2095" t="s">
        <v>516</v>
      </c>
      <c r="H2095" s="10">
        <v>647817</v>
      </c>
      <c r="I2095">
        <f>IFERROR(VLOOKUP(Final!F2095,'LEAID Match'!$A$2:$B$374,2,FALSE),"")</f>
        <v>400244</v>
      </c>
      <c r="K2095" s="10">
        <f t="shared" si="32"/>
        <v>647817</v>
      </c>
    </row>
    <row r="2096" spans="1:11">
      <c r="A2096">
        <v>400244</v>
      </c>
      <c r="B2096" s="10">
        <v>2017</v>
      </c>
      <c r="C2096" t="s">
        <v>571</v>
      </c>
      <c r="D2096" t="s">
        <v>2472</v>
      </c>
      <c r="E2096" t="s">
        <v>2474</v>
      </c>
      <c r="F2096" t="s">
        <v>516</v>
      </c>
      <c r="G2096" t="s">
        <v>516</v>
      </c>
      <c r="H2096" s="10">
        <v>733260</v>
      </c>
      <c r="I2096">
        <f>IFERROR(VLOOKUP(Final!F2096,'LEAID Match'!$A$2:$B$374,2,FALSE),"")</f>
        <v>400244</v>
      </c>
      <c r="K2096" s="10">
        <f t="shared" si="32"/>
        <v>733260</v>
      </c>
    </row>
    <row r="2097" spans="1:11">
      <c r="A2097">
        <v>400244</v>
      </c>
      <c r="B2097" s="10">
        <v>2018</v>
      </c>
      <c r="C2097" t="s">
        <v>571</v>
      </c>
      <c r="D2097" t="s">
        <v>2472</v>
      </c>
      <c r="E2097" t="s">
        <v>2474</v>
      </c>
      <c r="F2097" t="s">
        <v>516</v>
      </c>
      <c r="G2097" t="s">
        <v>516</v>
      </c>
      <c r="H2097" s="10">
        <v>709077</v>
      </c>
      <c r="I2097">
        <f>IFERROR(VLOOKUP(Final!F2097,'LEAID Match'!$A$2:$B$374,2,FALSE),"")</f>
        <v>400244</v>
      </c>
      <c r="K2097" s="10">
        <f t="shared" si="32"/>
        <v>709077</v>
      </c>
    </row>
    <row r="2098" spans="1:11">
      <c r="A2098">
        <v>400244</v>
      </c>
      <c r="B2098" s="10">
        <v>2019</v>
      </c>
      <c r="C2098" t="s">
        <v>571</v>
      </c>
      <c r="D2098" t="s">
        <v>2472</v>
      </c>
      <c r="E2098" t="s">
        <v>2474</v>
      </c>
      <c r="F2098" t="s">
        <v>516</v>
      </c>
      <c r="G2098" t="s">
        <v>516</v>
      </c>
      <c r="H2098" s="10">
        <v>744667</v>
      </c>
      <c r="I2098">
        <f>IFERROR(VLOOKUP(Final!F2098,'LEAID Match'!$A$2:$B$374,2,FALSE),"")</f>
        <v>400244</v>
      </c>
      <c r="K2098" s="10">
        <f t="shared" si="32"/>
        <v>744667</v>
      </c>
    </row>
    <row r="2099" spans="1:11">
      <c r="A2099">
        <v>400244</v>
      </c>
      <c r="B2099" s="10">
        <v>2020</v>
      </c>
      <c r="C2099" t="s">
        <v>571</v>
      </c>
      <c r="D2099" t="s">
        <v>2472</v>
      </c>
      <c r="E2099" t="s">
        <v>2474</v>
      </c>
      <c r="F2099" t="s">
        <v>516</v>
      </c>
      <c r="G2099" t="s">
        <v>516</v>
      </c>
      <c r="H2099" s="10">
        <v>830268</v>
      </c>
      <c r="I2099">
        <f>IFERROR(VLOOKUP(Final!F2099,'LEAID Match'!$A$2:$B$374,2,FALSE),"")</f>
        <v>400244</v>
      </c>
      <c r="K2099" s="10">
        <f t="shared" si="32"/>
        <v>830268</v>
      </c>
    </row>
    <row r="2100" spans="1:11">
      <c r="A2100">
        <v>400244</v>
      </c>
      <c r="B2100" s="10">
        <v>2021</v>
      </c>
      <c r="C2100" t="s">
        <v>571</v>
      </c>
      <c r="D2100" t="s">
        <v>2472</v>
      </c>
      <c r="E2100" t="s">
        <v>2474</v>
      </c>
      <c r="F2100" t="s">
        <v>516</v>
      </c>
      <c r="G2100" t="s">
        <v>516</v>
      </c>
      <c r="H2100" s="10">
        <v>994866</v>
      </c>
      <c r="I2100">
        <f>IFERROR(VLOOKUP(Final!F2100,'LEAID Match'!$A$2:$B$374,2,FALSE),"")</f>
        <v>400244</v>
      </c>
      <c r="K2100" s="10">
        <f t="shared" si="32"/>
        <v>994866</v>
      </c>
    </row>
    <row r="2101" spans="1:11">
      <c r="A2101">
        <v>400244</v>
      </c>
      <c r="B2101" s="10">
        <v>2022</v>
      </c>
      <c r="C2101" t="s">
        <v>571</v>
      </c>
      <c r="D2101" t="s">
        <v>2472</v>
      </c>
      <c r="E2101" t="s">
        <v>2474</v>
      </c>
      <c r="F2101" t="s">
        <v>516</v>
      </c>
      <c r="G2101" t="s">
        <v>516</v>
      </c>
      <c r="H2101" s="10">
        <v>1162536</v>
      </c>
      <c r="I2101">
        <f>IFERROR(VLOOKUP(Final!F2101,'LEAID Match'!$A$2:$B$374,2,FALSE),"")</f>
        <v>400244</v>
      </c>
      <c r="K2101" s="10">
        <f t="shared" si="32"/>
        <v>1162536</v>
      </c>
    </row>
    <row r="2102" spans="1:11">
      <c r="A2102">
        <v>400244</v>
      </c>
      <c r="B2102" s="10">
        <v>2023</v>
      </c>
      <c r="C2102" t="s">
        <v>571</v>
      </c>
      <c r="D2102" t="s">
        <v>2472</v>
      </c>
      <c r="E2102" t="s">
        <v>2474</v>
      </c>
      <c r="F2102" t="s">
        <v>516</v>
      </c>
      <c r="G2102" t="s">
        <v>516</v>
      </c>
      <c r="H2102" s="10">
        <v>1220852</v>
      </c>
      <c r="I2102">
        <f>IFERROR(VLOOKUP(Final!F2102,'LEAID Match'!$A$2:$B$374,2,FALSE),"")</f>
        <v>400244</v>
      </c>
      <c r="K2102" s="10">
        <f t="shared" si="32"/>
        <v>1220852</v>
      </c>
    </row>
    <row r="2103" spans="1:11">
      <c r="A2103">
        <v>400260</v>
      </c>
      <c r="B2103" s="10">
        <v>2015</v>
      </c>
      <c r="C2103" t="s">
        <v>1151</v>
      </c>
      <c r="D2103" t="s">
        <v>2472</v>
      </c>
      <c r="E2103" t="s">
        <v>2474</v>
      </c>
      <c r="F2103" t="s">
        <v>1978</v>
      </c>
      <c r="G2103" t="s">
        <v>1096</v>
      </c>
      <c r="H2103" s="10"/>
      <c r="I2103">
        <f>IFERROR(VLOOKUP(Final!F2103,'LEAID Match'!$A$2:$B$374,2,FALSE),"")</f>
        <v>400260</v>
      </c>
      <c r="K2103" s="10">
        <f t="shared" si="32"/>
        <v>0</v>
      </c>
    </row>
    <row r="2104" spans="1:11">
      <c r="A2104">
        <v>400260</v>
      </c>
      <c r="B2104" s="10">
        <v>2016</v>
      </c>
      <c r="C2104" t="s">
        <v>1151</v>
      </c>
      <c r="D2104" t="s">
        <v>2472</v>
      </c>
      <c r="E2104" t="s">
        <v>2474</v>
      </c>
      <c r="F2104" t="s">
        <v>1978</v>
      </c>
      <c r="G2104" t="s">
        <v>1096</v>
      </c>
      <c r="H2104" s="10"/>
      <c r="I2104">
        <f>IFERROR(VLOOKUP(Final!F2104,'LEAID Match'!$A$2:$B$374,2,FALSE),"")</f>
        <v>400260</v>
      </c>
      <c r="K2104" s="10">
        <f t="shared" si="32"/>
        <v>0</v>
      </c>
    </row>
    <row r="2105" spans="1:11">
      <c r="A2105">
        <v>400260</v>
      </c>
      <c r="B2105" s="10">
        <v>2017</v>
      </c>
      <c r="C2105" t="s">
        <v>1151</v>
      </c>
      <c r="D2105" t="s">
        <v>2472</v>
      </c>
      <c r="E2105" t="s">
        <v>2474</v>
      </c>
      <c r="F2105" t="s">
        <v>1978</v>
      </c>
      <c r="G2105" t="s">
        <v>1978</v>
      </c>
      <c r="H2105" s="10"/>
      <c r="I2105">
        <f>IFERROR(VLOOKUP(Final!F2105,'LEAID Match'!$A$2:$B$374,2,FALSE),"")</f>
        <v>400260</v>
      </c>
      <c r="K2105" s="10">
        <f t="shared" si="32"/>
        <v>0</v>
      </c>
    </row>
    <row r="2106" spans="1:11">
      <c r="A2106">
        <v>400260</v>
      </c>
      <c r="B2106" s="10">
        <v>2018</v>
      </c>
      <c r="C2106" t="s">
        <v>1151</v>
      </c>
      <c r="D2106" t="s">
        <v>2472</v>
      </c>
      <c r="E2106" t="s">
        <v>2474</v>
      </c>
      <c r="F2106" t="s">
        <v>1978</v>
      </c>
      <c r="G2106" t="s">
        <v>1978</v>
      </c>
      <c r="H2106" s="10"/>
      <c r="I2106">
        <f>IFERROR(VLOOKUP(Final!F2106,'LEAID Match'!$A$2:$B$374,2,FALSE),"")</f>
        <v>400260</v>
      </c>
      <c r="K2106" s="10">
        <f t="shared" si="32"/>
        <v>0</v>
      </c>
    </row>
    <row r="2107" spans="1:11">
      <c r="A2107">
        <v>400934</v>
      </c>
      <c r="B2107" s="10">
        <v>2015</v>
      </c>
      <c r="C2107" t="s">
        <v>1116</v>
      </c>
      <c r="D2107" t="s">
        <v>2472</v>
      </c>
      <c r="E2107" t="s">
        <v>2474</v>
      </c>
      <c r="F2107" t="s">
        <v>2388</v>
      </c>
      <c r="G2107" t="s">
        <v>1061</v>
      </c>
      <c r="H2107" s="10">
        <v>110192</v>
      </c>
      <c r="I2107">
        <f>IFERROR(VLOOKUP(Final!F2107,'LEAID Match'!$A$2:$B$374,2,FALSE),"")</f>
        <v>400934</v>
      </c>
      <c r="K2107" s="10">
        <f t="shared" si="32"/>
        <v>110192</v>
      </c>
    </row>
    <row r="2108" spans="1:11">
      <c r="A2108">
        <v>400934</v>
      </c>
      <c r="B2108" s="10">
        <v>2016</v>
      </c>
      <c r="C2108" t="s">
        <v>1116</v>
      </c>
      <c r="D2108" t="s">
        <v>2472</v>
      </c>
      <c r="E2108" t="s">
        <v>2474</v>
      </c>
      <c r="F2108" t="s">
        <v>2388</v>
      </c>
      <c r="G2108" t="s">
        <v>1061</v>
      </c>
      <c r="H2108" s="10">
        <v>98905</v>
      </c>
      <c r="I2108">
        <f>IFERROR(VLOOKUP(Final!F2108,'LEAID Match'!$A$2:$B$374,2,FALSE),"")</f>
        <v>400934</v>
      </c>
      <c r="K2108" s="10">
        <f t="shared" si="32"/>
        <v>98905</v>
      </c>
    </row>
    <row r="2109" spans="1:11">
      <c r="A2109">
        <v>400934</v>
      </c>
      <c r="B2109" s="10">
        <v>2017</v>
      </c>
      <c r="C2109" t="s">
        <v>1116</v>
      </c>
      <c r="D2109" t="s">
        <v>2472</v>
      </c>
      <c r="E2109" t="s">
        <v>2474</v>
      </c>
      <c r="F2109" t="s">
        <v>2388</v>
      </c>
      <c r="G2109" t="s">
        <v>1943</v>
      </c>
      <c r="H2109" s="10">
        <v>122986</v>
      </c>
      <c r="I2109">
        <f>IFERROR(VLOOKUP(Final!F2109,'LEAID Match'!$A$2:$B$374,2,FALSE),"")</f>
        <v>400934</v>
      </c>
      <c r="K2109" s="10">
        <f t="shared" si="32"/>
        <v>122986</v>
      </c>
    </row>
    <row r="2110" spans="1:11">
      <c r="A2110">
        <v>400934</v>
      </c>
      <c r="B2110" s="10">
        <v>2018</v>
      </c>
      <c r="C2110" t="s">
        <v>1116</v>
      </c>
      <c r="D2110" t="s">
        <v>2472</v>
      </c>
      <c r="E2110" t="s">
        <v>2474</v>
      </c>
      <c r="F2110" t="s">
        <v>2388</v>
      </c>
      <c r="G2110" t="s">
        <v>1943</v>
      </c>
      <c r="H2110" s="10">
        <v>151779</v>
      </c>
      <c r="I2110">
        <f>IFERROR(VLOOKUP(Final!F2110,'LEAID Match'!$A$2:$B$374,2,FALSE),"")</f>
        <v>400934</v>
      </c>
      <c r="K2110" s="10">
        <f t="shared" si="32"/>
        <v>151779</v>
      </c>
    </row>
    <row r="2111" spans="1:11">
      <c r="A2111">
        <v>400934</v>
      </c>
      <c r="B2111" s="10">
        <v>2019</v>
      </c>
      <c r="C2111" t="s">
        <v>1116</v>
      </c>
      <c r="D2111" t="s">
        <v>2472</v>
      </c>
      <c r="E2111" t="s">
        <v>2474</v>
      </c>
      <c r="F2111" t="s">
        <v>2388</v>
      </c>
      <c r="G2111" t="s">
        <v>2388</v>
      </c>
      <c r="H2111" s="10">
        <v>129480</v>
      </c>
      <c r="I2111">
        <f>IFERROR(VLOOKUP(Final!F2111,'LEAID Match'!$A$2:$B$374,2,FALSE),"")</f>
        <v>400934</v>
      </c>
      <c r="K2111" s="10">
        <f t="shared" si="32"/>
        <v>129480</v>
      </c>
    </row>
    <row r="2112" spans="1:11">
      <c r="A2112">
        <v>400934</v>
      </c>
      <c r="B2112" s="10">
        <v>2020</v>
      </c>
      <c r="C2112" t="s">
        <v>1116</v>
      </c>
      <c r="D2112" t="s">
        <v>2472</v>
      </c>
      <c r="E2112" t="s">
        <v>2474</v>
      </c>
      <c r="F2112" t="s">
        <v>2388</v>
      </c>
      <c r="G2112" t="s">
        <v>2388</v>
      </c>
      <c r="H2112" s="10">
        <v>115427</v>
      </c>
      <c r="I2112">
        <f>IFERROR(VLOOKUP(Final!F2112,'LEAID Match'!$A$2:$B$374,2,FALSE),"")</f>
        <v>400934</v>
      </c>
      <c r="K2112" s="10">
        <f t="shared" si="32"/>
        <v>115427</v>
      </c>
    </row>
    <row r="2113" spans="1:11">
      <c r="A2113">
        <v>400934</v>
      </c>
      <c r="B2113" s="10">
        <v>2021</v>
      </c>
      <c r="C2113" t="s">
        <v>1116</v>
      </c>
      <c r="D2113" t="s">
        <v>2472</v>
      </c>
      <c r="E2113" t="s">
        <v>2474</v>
      </c>
      <c r="F2113" t="s">
        <v>2388</v>
      </c>
      <c r="G2113" t="s">
        <v>2388</v>
      </c>
      <c r="H2113" s="10">
        <v>100334</v>
      </c>
      <c r="I2113">
        <f>IFERROR(VLOOKUP(Final!F2113,'LEAID Match'!$A$2:$B$374,2,FALSE),"")</f>
        <v>400934</v>
      </c>
      <c r="K2113" s="10">
        <f t="shared" si="32"/>
        <v>100334</v>
      </c>
    </row>
    <row r="2114" spans="1:11">
      <c r="A2114">
        <v>400934</v>
      </c>
      <c r="B2114" s="10">
        <v>2022</v>
      </c>
      <c r="C2114" t="s">
        <v>1116</v>
      </c>
      <c r="D2114" t="s">
        <v>2472</v>
      </c>
      <c r="E2114" t="s">
        <v>2474</v>
      </c>
      <c r="F2114" t="s">
        <v>2388</v>
      </c>
      <c r="G2114" t="s">
        <v>2388</v>
      </c>
      <c r="H2114" s="10">
        <v>98318</v>
      </c>
      <c r="I2114">
        <f>IFERROR(VLOOKUP(Final!F2114,'LEAID Match'!$A$2:$B$374,2,FALSE),"")</f>
        <v>400934</v>
      </c>
      <c r="K2114" s="10">
        <f t="shared" si="32"/>
        <v>98318</v>
      </c>
    </row>
    <row r="2115" spans="1:11">
      <c r="A2115">
        <v>400934</v>
      </c>
      <c r="B2115" s="10">
        <v>2023</v>
      </c>
      <c r="C2115" t="s">
        <v>1116</v>
      </c>
      <c r="D2115" t="s">
        <v>2472</v>
      </c>
      <c r="E2115" t="s">
        <v>2474</v>
      </c>
      <c r="F2115" t="s">
        <v>2388</v>
      </c>
      <c r="G2115" t="s">
        <v>2388</v>
      </c>
      <c r="H2115" s="10">
        <v>108411</v>
      </c>
      <c r="I2115">
        <f>IFERROR(VLOOKUP(Final!F2115,'LEAID Match'!$A$2:$B$374,2,FALSE),"")</f>
        <v>400934</v>
      </c>
      <c r="K2115" s="10">
        <f t="shared" ref="K2115:K2178" si="33">SUM(H2115,J2115)</f>
        <v>108411</v>
      </c>
    </row>
    <row r="2116" spans="1:11">
      <c r="A2116" t="s">
        <v>2470</v>
      </c>
      <c r="B2116" s="10">
        <v>2015</v>
      </c>
      <c r="C2116" t="s">
        <v>1315</v>
      </c>
      <c r="D2116" t="s">
        <v>2472</v>
      </c>
      <c r="E2116" t="s">
        <v>2474</v>
      </c>
      <c r="F2116" t="s">
        <v>2394</v>
      </c>
      <c r="G2116" t="s">
        <v>1267</v>
      </c>
      <c r="H2116" s="10">
        <v>34380</v>
      </c>
      <c r="I2116" t="str">
        <f>IFERROR(VLOOKUP(Final!F2116,'LEAID Match'!$A$2:$B$374,2,FALSE),"")</f>
        <v/>
      </c>
      <c r="K2116" s="10">
        <f t="shared" si="33"/>
        <v>34380</v>
      </c>
    </row>
    <row r="2117" spans="1:11">
      <c r="A2117" t="s">
        <v>2470</v>
      </c>
      <c r="B2117" s="10">
        <v>2016</v>
      </c>
      <c r="C2117" t="s">
        <v>1315</v>
      </c>
      <c r="D2117" t="s">
        <v>2472</v>
      </c>
      <c r="E2117" t="s">
        <v>2474</v>
      </c>
      <c r="F2117" t="s">
        <v>2394</v>
      </c>
      <c r="G2117" t="s">
        <v>1267</v>
      </c>
      <c r="H2117" s="10">
        <v>34036</v>
      </c>
      <c r="I2117" t="str">
        <f>IFERROR(VLOOKUP(Final!F2117,'LEAID Match'!$A$2:$B$374,2,FALSE),"")</f>
        <v/>
      </c>
      <c r="K2117" s="10">
        <f t="shared" si="33"/>
        <v>34036</v>
      </c>
    </row>
    <row r="2118" spans="1:11">
      <c r="A2118" t="s">
        <v>2470</v>
      </c>
      <c r="B2118" s="10">
        <v>2017</v>
      </c>
      <c r="C2118" t="s">
        <v>1315</v>
      </c>
      <c r="D2118" t="s">
        <v>2472</v>
      </c>
      <c r="E2118" t="s">
        <v>2474</v>
      </c>
      <c r="F2118" t="s">
        <v>2394</v>
      </c>
      <c r="G2118" t="s">
        <v>2004</v>
      </c>
      <c r="H2118" s="10">
        <v>29952</v>
      </c>
      <c r="I2118" t="str">
        <f>IFERROR(VLOOKUP(Final!F2118,'LEAID Match'!$A$2:$B$374,2,FALSE),"")</f>
        <v/>
      </c>
      <c r="K2118" s="10">
        <f t="shared" si="33"/>
        <v>29952</v>
      </c>
    </row>
    <row r="2119" spans="1:11">
      <c r="A2119" t="s">
        <v>2470</v>
      </c>
      <c r="B2119" s="10">
        <v>2018</v>
      </c>
      <c r="C2119" t="s">
        <v>1315</v>
      </c>
      <c r="D2119" t="s">
        <v>2472</v>
      </c>
      <c r="E2119" t="s">
        <v>2474</v>
      </c>
      <c r="F2119" t="s">
        <v>2394</v>
      </c>
      <c r="G2119" t="s">
        <v>2330</v>
      </c>
      <c r="H2119" s="10">
        <v>35996</v>
      </c>
      <c r="I2119" t="str">
        <f>IFERROR(VLOOKUP(Final!F2119,'LEAID Match'!$A$2:$B$374,2,FALSE),"")</f>
        <v/>
      </c>
      <c r="K2119" s="10">
        <f t="shared" si="33"/>
        <v>35996</v>
      </c>
    </row>
    <row r="2120" spans="1:11">
      <c r="A2120" t="s">
        <v>2470</v>
      </c>
      <c r="B2120" s="10">
        <v>2019</v>
      </c>
      <c r="C2120" t="s">
        <v>1315</v>
      </c>
      <c r="D2120" t="s">
        <v>2472</v>
      </c>
      <c r="E2120" t="s">
        <v>2474</v>
      </c>
      <c r="F2120" t="s">
        <v>2394</v>
      </c>
      <c r="G2120" t="s">
        <v>2394</v>
      </c>
      <c r="H2120" s="10">
        <v>41221</v>
      </c>
      <c r="I2120" t="str">
        <f>IFERROR(VLOOKUP(Final!F2120,'LEAID Match'!$A$2:$B$374,2,FALSE),"")</f>
        <v/>
      </c>
      <c r="K2120" s="10">
        <f t="shared" si="33"/>
        <v>41221</v>
      </c>
    </row>
    <row r="2121" spans="1:11">
      <c r="A2121" t="s">
        <v>2470</v>
      </c>
      <c r="B2121" s="10">
        <v>2020</v>
      </c>
      <c r="C2121" t="s">
        <v>1315</v>
      </c>
      <c r="D2121" t="s">
        <v>2472</v>
      </c>
      <c r="E2121" t="s">
        <v>2474</v>
      </c>
      <c r="F2121" t="s">
        <v>2394</v>
      </c>
      <c r="G2121" t="s">
        <v>2004</v>
      </c>
      <c r="H2121" s="10">
        <v>46600</v>
      </c>
      <c r="I2121" t="str">
        <f>IFERROR(VLOOKUP(Final!F2121,'LEAID Match'!$A$2:$B$374,2,FALSE),"")</f>
        <v/>
      </c>
      <c r="K2121" s="10">
        <f t="shared" si="33"/>
        <v>46600</v>
      </c>
    </row>
    <row r="2122" spans="1:11">
      <c r="A2122" t="s">
        <v>2470</v>
      </c>
      <c r="B2122" s="10">
        <v>2021</v>
      </c>
      <c r="C2122" t="s">
        <v>1315</v>
      </c>
      <c r="D2122" t="s">
        <v>2472</v>
      </c>
      <c r="E2122" t="s">
        <v>2474</v>
      </c>
      <c r="F2122" t="s">
        <v>2394</v>
      </c>
      <c r="G2122" t="s">
        <v>2394</v>
      </c>
      <c r="H2122" s="10">
        <v>54239</v>
      </c>
      <c r="I2122" t="str">
        <f>IFERROR(VLOOKUP(Final!F2122,'LEAID Match'!$A$2:$B$374,2,FALSE),"")</f>
        <v/>
      </c>
      <c r="K2122" s="10">
        <f t="shared" si="33"/>
        <v>54239</v>
      </c>
    </row>
    <row r="2123" spans="1:11">
      <c r="A2123" t="s">
        <v>2470</v>
      </c>
      <c r="B2123" s="10">
        <v>2022</v>
      </c>
      <c r="C2123" t="s">
        <v>1315</v>
      </c>
      <c r="D2123" t="s">
        <v>2472</v>
      </c>
      <c r="E2123" t="s">
        <v>2474</v>
      </c>
      <c r="F2123" t="s">
        <v>2394</v>
      </c>
      <c r="G2123" t="s">
        <v>2394</v>
      </c>
      <c r="H2123" s="10">
        <v>48186</v>
      </c>
      <c r="I2123" t="str">
        <f>IFERROR(VLOOKUP(Final!F2123,'LEAID Match'!$A$2:$B$374,2,FALSE),"")</f>
        <v/>
      </c>
      <c r="K2123" s="10">
        <f t="shared" si="33"/>
        <v>48186</v>
      </c>
    </row>
    <row r="2124" spans="1:11">
      <c r="A2124" t="s">
        <v>2470</v>
      </c>
      <c r="B2124" s="10">
        <v>2023</v>
      </c>
      <c r="C2124" t="s">
        <v>1315</v>
      </c>
      <c r="D2124" t="s">
        <v>2472</v>
      </c>
      <c r="E2124" t="s">
        <v>2474</v>
      </c>
      <c r="F2124" t="s">
        <v>2394</v>
      </c>
      <c r="G2124" t="s">
        <v>2394</v>
      </c>
      <c r="H2124" s="10">
        <v>33775</v>
      </c>
      <c r="I2124" t="str">
        <f>IFERROR(VLOOKUP(Final!F2124,'LEAID Match'!$A$2:$B$374,2,FALSE),"")</f>
        <v/>
      </c>
      <c r="K2124" s="10">
        <f t="shared" si="33"/>
        <v>33775</v>
      </c>
    </row>
    <row r="2125" spans="1:11">
      <c r="A2125">
        <v>400303</v>
      </c>
      <c r="B2125" s="10">
        <v>2015</v>
      </c>
      <c r="C2125" t="s">
        <v>821</v>
      </c>
      <c r="D2125" t="s">
        <v>2472</v>
      </c>
      <c r="E2125" t="s">
        <v>2474</v>
      </c>
      <c r="F2125" t="s">
        <v>1834</v>
      </c>
      <c r="G2125" t="s">
        <v>766</v>
      </c>
      <c r="H2125" s="10">
        <v>42948</v>
      </c>
      <c r="I2125">
        <f>IFERROR(VLOOKUP(Final!F2125,'LEAID Match'!$A$2:$B$374,2,FALSE),"")</f>
        <v>400303</v>
      </c>
      <c r="K2125" s="10">
        <f t="shared" si="33"/>
        <v>42948</v>
      </c>
    </row>
    <row r="2126" spans="1:11">
      <c r="A2126">
        <v>400303</v>
      </c>
      <c r="B2126" s="10">
        <v>2016</v>
      </c>
      <c r="C2126" t="s">
        <v>821</v>
      </c>
      <c r="D2126" t="s">
        <v>2472</v>
      </c>
      <c r="E2126" t="s">
        <v>2474</v>
      </c>
      <c r="F2126" t="s">
        <v>1834</v>
      </c>
      <c r="G2126" t="s">
        <v>766</v>
      </c>
      <c r="H2126" s="10">
        <v>51796</v>
      </c>
      <c r="I2126">
        <f>IFERROR(VLOOKUP(Final!F2126,'LEAID Match'!$A$2:$B$374,2,FALSE),"")</f>
        <v>400303</v>
      </c>
      <c r="K2126" s="10">
        <f t="shared" si="33"/>
        <v>51796</v>
      </c>
    </row>
    <row r="2127" spans="1:11">
      <c r="A2127">
        <v>400303</v>
      </c>
      <c r="B2127" s="10">
        <v>2017</v>
      </c>
      <c r="C2127" t="s">
        <v>821</v>
      </c>
      <c r="D2127" t="s">
        <v>2472</v>
      </c>
      <c r="E2127" t="s">
        <v>2474</v>
      </c>
      <c r="F2127" t="s">
        <v>1834</v>
      </c>
      <c r="G2127" t="s">
        <v>1834</v>
      </c>
      <c r="H2127" s="10">
        <v>50878</v>
      </c>
      <c r="I2127">
        <f>IFERROR(VLOOKUP(Final!F2127,'LEAID Match'!$A$2:$B$374,2,FALSE),"")</f>
        <v>400303</v>
      </c>
      <c r="K2127" s="10">
        <f t="shared" si="33"/>
        <v>50878</v>
      </c>
    </row>
    <row r="2128" spans="1:11">
      <c r="A2128">
        <v>400303</v>
      </c>
      <c r="B2128" s="10">
        <v>2018</v>
      </c>
      <c r="C2128" t="s">
        <v>821</v>
      </c>
      <c r="D2128" t="s">
        <v>2472</v>
      </c>
      <c r="E2128" t="s">
        <v>2474</v>
      </c>
      <c r="F2128" t="s">
        <v>1834</v>
      </c>
      <c r="G2128" t="s">
        <v>1834</v>
      </c>
      <c r="H2128" s="10">
        <v>27634</v>
      </c>
      <c r="I2128">
        <f>IFERROR(VLOOKUP(Final!F2128,'LEAID Match'!$A$2:$B$374,2,FALSE),"")</f>
        <v>400303</v>
      </c>
      <c r="K2128" s="10">
        <f t="shared" si="33"/>
        <v>27634</v>
      </c>
    </row>
    <row r="2129" spans="1:11">
      <c r="A2129">
        <v>400303</v>
      </c>
      <c r="B2129" s="10">
        <v>2019</v>
      </c>
      <c r="C2129" t="s">
        <v>821</v>
      </c>
      <c r="D2129" t="s">
        <v>2472</v>
      </c>
      <c r="E2129" t="s">
        <v>2474</v>
      </c>
      <c r="F2129" t="s">
        <v>1834</v>
      </c>
      <c r="G2129" t="s">
        <v>1834</v>
      </c>
      <c r="H2129" s="10">
        <v>85065</v>
      </c>
      <c r="I2129">
        <f>IFERROR(VLOOKUP(Final!F2129,'LEAID Match'!$A$2:$B$374,2,FALSE),"")</f>
        <v>400303</v>
      </c>
      <c r="K2129" s="10">
        <f t="shared" si="33"/>
        <v>85065</v>
      </c>
    </row>
    <row r="2130" spans="1:11">
      <c r="A2130">
        <v>400303</v>
      </c>
      <c r="B2130" s="10">
        <v>2020</v>
      </c>
      <c r="C2130" t="s">
        <v>821</v>
      </c>
      <c r="D2130" t="s">
        <v>2472</v>
      </c>
      <c r="E2130" t="s">
        <v>2474</v>
      </c>
      <c r="F2130" t="s">
        <v>1834</v>
      </c>
      <c r="G2130" t="s">
        <v>1834</v>
      </c>
      <c r="H2130" s="10">
        <v>112953</v>
      </c>
      <c r="I2130">
        <f>IFERROR(VLOOKUP(Final!F2130,'LEAID Match'!$A$2:$B$374,2,FALSE),"")</f>
        <v>400303</v>
      </c>
      <c r="K2130" s="10">
        <f t="shared" si="33"/>
        <v>112953</v>
      </c>
    </row>
    <row r="2131" spans="1:11">
      <c r="A2131">
        <v>400303</v>
      </c>
      <c r="B2131" s="10">
        <v>2021</v>
      </c>
      <c r="C2131" t="s">
        <v>821</v>
      </c>
      <c r="D2131" t="s">
        <v>2472</v>
      </c>
      <c r="E2131" t="s">
        <v>2474</v>
      </c>
      <c r="F2131" t="s">
        <v>1834</v>
      </c>
      <c r="G2131" t="s">
        <v>1834</v>
      </c>
      <c r="H2131" s="10">
        <v>141499</v>
      </c>
      <c r="I2131">
        <f>IFERROR(VLOOKUP(Final!F2131,'LEAID Match'!$A$2:$B$374,2,FALSE),"")</f>
        <v>400303</v>
      </c>
      <c r="K2131" s="10">
        <f t="shared" si="33"/>
        <v>141499</v>
      </c>
    </row>
    <row r="2132" spans="1:11">
      <c r="A2132">
        <v>400303</v>
      </c>
      <c r="B2132" s="10">
        <v>2022</v>
      </c>
      <c r="C2132" t="s">
        <v>821</v>
      </c>
      <c r="D2132" t="s">
        <v>2472</v>
      </c>
      <c r="E2132" t="s">
        <v>2474</v>
      </c>
      <c r="F2132" t="s">
        <v>1834</v>
      </c>
      <c r="G2132" t="s">
        <v>1834</v>
      </c>
      <c r="H2132" s="10">
        <v>182080</v>
      </c>
      <c r="I2132">
        <f>IFERROR(VLOOKUP(Final!F2132,'LEAID Match'!$A$2:$B$374,2,FALSE),"")</f>
        <v>400303</v>
      </c>
      <c r="K2132" s="10">
        <f t="shared" si="33"/>
        <v>182080</v>
      </c>
    </row>
    <row r="2133" spans="1:11">
      <c r="A2133">
        <v>400303</v>
      </c>
      <c r="B2133" s="10">
        <v>2023</v>
      </c>
      <c r="C2133" t="s">
        <v>821</v>
      </c>
      <c r="D2133" t="s">
        <v>2472</v>
      </c>
      <c r="E2133" t="s">
        <v>2474</v>
      </c>
      <c r="F2133" t="s">
        <v>1834</v>
      </c>
      <c r="G2133" t="s">
        <v>1834</v>
      </c>
      <c r="H2133" s="10">
        <v>197645</v>
      </c>
      <c r="I2133">
        <f>IFERROR(VLOOKUP(Final!F2133,'LEAID Match'!$A$2:$B$374,2,FALSE),"")</f>
        <v>400303</v>
      </c>
      <c r="K2133" s="10">
        <f t="shared" si="33"/>
        <v>197645</v>
      </c>
    </row>
    <row r="2134" spans="1:11">
      <c r="A2134" t="s">
        <v>2470</v>
      </c>
      <c r="B2134" s="10">
        <v>2015</v>
      </c>
      <c r="C2134" t="s">
        <v>696</v>
      </c>
      <c r="D2134" t="s">
        <v>2472</v>
      </c>
      <c r="E2134" t="s">
        <v>2474</v>
      </c>
      <c r="F2134" t="s">
        <v>641</v>
      </c>
      <c r="G2134" t="s">
        <v>641</v>
      </c>
      <c r="H2134" s="10">
        <v>22396</v>
      </c>
      <c r="I2134" t="str">
        <f>IFERROR(VLOOKUP(Final!F2134,'LEAID Match'!$A$2:$B$374,2,FALSE),"")</f>
        <v/>
      </c>
      <c r="K2134" s="10">
        <f t="shared" si="33"/>
        <v>22396</v>
      </c>
    </row>
    <row r="2135" spans="1:11">
      <c r="A2135" t="s">
        <v>2470</v>
      </c>
      <c r="B2135" s="10">
        <v>2016</v>
      </c>
      <c r="C2135" t="s">
        <v>696</v>
      </c>
      <c r="D2135" t="s">
        <v>2472</v>
      </c>
      <c r="E2135" t="s">
        <v>2474</v>
      </c>
      <c r="F2135" t="s">
        <v>641</v>
      </c>
      <c r="G2135" t="s">
        <v>641</v>
      </c>
      <c r="H2135" s="10">
        <v>22577</v>
      </c>
      <c r="I2135" t="str">
        <f>IFERROR(VLOOKUP(Final!F2135,'LEAID Match'!$A$2:$B$374,2,FALSE),"")</f>
        <v/>
      </c>
      <c r="K2135" s="10">
        <f t="shared" si="33"/>
        <v>22577</v>
      </c>
    </row>
    <row r="2136" spans="1:11">
      <c r="A2136" t="s">
        <v>2470</v>
      </c>
      <c r="B2136" s="10">
        <v>2017</v>
      </c>
      <c r="C2136" t="s">
        <v>696</v>
      </c>
      <c r="D2136" t="s">
        <v>2472</v>
      </c>
      <c r="E2136" t="s">
        <v>2474</v>
      </c>
      <c r="F2136" t="s">
        <v>641</v>
      </c>
      <c r="G2136" t="s">
        <v>641</v>
      </c>
      <c r="H2136" s="10">
        <v>21668</v>
      </c>
      <c r="I2136" t="str">
        <f>IFERROR(VLOOKUP(Final!F2136,'LEAID Match'!$A$2:$B$374,2,FALSE),"")</f>
        <v/>
      </c>
      <c r="K2136" s="10">
        <f t="shared" si="33"/>
        <v>21668</v>
      </c>
    </row>
    <row r="2137" spans="1:11">
      <c r="A2137" t="s">
        <v>2470</v>
      </c>
      <c r="B2137" s="10">
        <v>2018</v>
      </c>
      <c r="C2137" t="s">
        <v>696</v>
      </c>
      <c r="D2137" t="s">
        <v>2472</v>
      </c>
      <c r="E2137" t="s">
        <v>2474</v>
      </c>
      <c r="F2137" t="s">
        <v>641</v>
      </c>
      <c r="G2137" t="s">
        <v>641</v>
      </c>
      <c r="H2137" s="10">
        <v>24893</v>
      </c>
      <c r="I2137" t="str">
        <f>IFERROR(VLOOKUP(Final!F2137,'LEAID Match'!$A$2:$B$374,2,FALSE),"")</f>
        <v/>
      </c>
      <c r="K2137" s="10">
        <f t="shared" si="33"/>
        <v>24893</v>
      </c>
    </row>
    <row r="2138" spans="1:11">
      <c r="A2138" t="s">
        <v>2470</v>
      </c>
      <c r="B2138" s="10">
        <v>2019</v>
      </c>
      <c r="C2138" t="s">
        <v>696</v>
      </c>
      <c r="D2138" t="s">
        <v>2472</v>
      </c>
      <c r="E2138" t="s">
        <v>2474</v>
      </c>
      <c r="F2138" t="s">
        <v>641</v>
      </c>
      <c r="G2138" t="s">
        <v>641</v>
      </c>
      <c r="H2138" s="10">
        <v>24820</v>
      </c>
      <c r="I2138" t="str">
        <f>IFERROR(VLOOKUP(Final!F2138,'LEAID Match'!$A$2:$B$374,2,FALSE),"")</f>
        <v/>
      </c>
      <c r="K2138" s="10">
        <f t="shared" si="33"/>
        <v>24820</v>
      </c>
    </row>
    <row r="2139" spans="1:11">
      <c r="A2139" t="s">
        <v>2470</v>
      </c>
      <c r="B2139" s="10">
        <v>2020</v>
      </c>
      <c r="C2139" t="s">
        <v>696</v>
      </c>
      <c r="D2139" t="s">
        <v>2472</v>
      </c>
      <c r="E2139" t="s">
        <v>2474</v>
      </c>
      <c r="F2139" t="s">
        <v>641</v>
      </c>
      <c r="G2139" t="s">
        <v>641</v>
      </c>
      <c r="H2139" s="10">
        <v>30700</v>
      </c>
      <c r="I2139" t="str">
        <f>IFERROR(VLOOKUP(Final!F2139,'LEAID Match'!$A$2:$B$374,2,FALSE),"")</f>
        <v/>
      </c>
      <c r="K2139" s="10">
        <f t="shared" si="33"/>
        <v>30700</v>
      </c>
    </row>
    <row r="2140" spans="1:11">
      <c r="A2140" t="s">
        <v>2470</v>
      </c>
      <c r="B2140" s="10">
        <v>2021</v>
      </c>
      <c r="C2140" t="s">
        <v>696</v>
      </c>
      <c r="D2140" t="s">
        <v>2472</v>
      </c>
      <c r="E2140" t="s">
        <v>2474</v>
      </c>
      <c r="F2140" t="s">
        <v>641</v>
      </c>
      <c r="G2140" t="s">
        <v>641</v>
      </c>
      <c r="H2140" s="10">
        <v>32873</v>
      </c>
      <c r="I2140" t="str">
        <f>IFERROR(VLOOKUP(Final!F2140,'LEAID Match'!$A$2:$B$374,2,FALSE),"")</f>
        <v/>
      </c>
      <c r="K2140" s="10">
        <f t="shared" si="33"/>
        <v>32873</v>
      </c>
    </row>
    <row r="2141" spans="1:11">
      <c r="A2141" t="s">
        <v>2470</v>
      </c>
      <c r="B2141" s="10">
        <v>2022</v>
      </c>
      <c r="C2141" t="s">
        <v>696</v>
      </c>
      <c r="D2141" t="s">
        <v>2472</v>
      </c>
      <c r="E2141" t="s">
        <v>2474</v>
      </c>
      <c r="F2141" t="s">
        <v>641</v>
      </c>
      <c r="G2141" t="s">
        <v>641</v>
      </c>
      <c r="H2141" s="10">
        <v>35740</v>
      </c>
      <c r="I2141" t="str">
        <f>IFERROR(VLOOKUP(Final!F2141,'LEAID Match'!$A$2:$B$374,2,FALSE),"")</f>
        <v/>
      </c>
      <c r="K2141" s="10">
        <f t="shared" si="33"/>
        <v>35740</v>
      </c>
    </row>
    <row r="2142" spans="1:11">
      <c r="A2142" t="s">
        <v>2470</v>
      </c>
      <c r="B2142" s="10">
        <v>2023</v>
      </c>
      <c r="C2142" t="s">
        <v>696</v>
      </c>
      <c r="D2142" t="s">
        <v>2472</v>
      </c>
      <c r="E2142" t="s">
        <v>2474</v>
      </c>
      <c r="F2142" t="s">
        <v>641</v>
      </c>
      <c r="G2142" t="s">
        <v>641</v>
      </c>
      <c r="H2142" s="10">
        <v>33177</v>
      </c>
      <c r="I2142" t="str">
        <f>IFERROR(VLOOKUP(Final!F2142,'LEAID Match'!$A$2:$B$374,2,FALSE),"")</f>
        <v/>
      </c>
      <c r="K2142" s="10">
        <f t="shared" si="33"/>
        <v>33177</v>
      </c>
    </row>
    <row r="2143" spans="1:11">
      <c r="A2143">
        <v>400296</v>
      </c>
      <c r="B2143" s="10">
        <v>2015</v>
      </c>
      <c r="C2143" t="s">
        <v>579</v>
      </c>
      <c r="D2143" t="s">
        <v>2472</v>
      </c>
      <c r="E2143" t="s">
        <v>2474</v>
      </c>
      <c r="F2143" t="s">
        <v>1447</v>
      </c>
      <c r="G2143" t="s">
        <v>524</v>
      </c>
      <c r="H2143" s="10"/>
      <c r="I2143">
        <f>IFERROR(VLOOKUP(Final!F2143,'LEAID Match'!$A$2:$B$374,2,FALSE),"")</f>
        <v>400296</v>
      </c>
      <c r="K2143" s="10">
        <f t="shared" si="33"/>
        <v>0</v>
      </c>
    </row>
    <row r="2144" spans="1:11">
      <c r="A2144">
        <v>400296</v>
      </c>
      <c r="B2144" s="10">
        <v>2016</v>
      </c>
      <c r="C2144" t="s">
        <v>579</v>
      </c>
      <c r="D2144" t="s">
        <v>2472</v>
      </c>
      <c r="E2144" t="s">
        <v>2474</v>
      </c>
      <c r="F2144" t="s">
        <v>1447</v>
      </c>
      <c r="G2144" t="s">
        <v>1447</v>
      </c>
      <c r="H2144" s="10">
        <v>2243</v>
      </c>
      <c r="I2144">
        <f>IFERROR(VLOOKUP(Final!F2144,'LEAID Match'!$A$2:$B$374,2,FALSE),"")</f>
        <v>400296</v>
      </c>
      <c r="K2144" s="10">
        <f t="shared" si="33"/>
        <v>2243</v>
      </c>
    </row>
    <row r="2145" spans="1:11">
      <c r="A2145">
        <v>400296</v>
      </c>
      <c r="B2145" s="10">
        <v>2017</v>
      </c>
      <c r="C2145" t="s">
        <v>579</v>
      </c>
      <c r="D2145" t="s">
        <v>2472</v>
      </c>
      <c r="E2145" t="s">
        <v>2474</v>
      </c>
      <c r="F2145" t="s">
        <v>1447</v>
      </c>
      <c r="G2145" t="s">
        <v>1447</v>
      </c>
      <c r="H2145" s="10"/>
      <c r="I2145">
        <f>IFERROR(VLOOKUP(Final!F2145,'LEAID Match'!$A$2:$B$374,2,FALSE),"")</f>
        <v>400296</v>
      </c>
      <c r="K2145" s="10">
        <f t="shared" si="33"/>
        <v>0</v>
      </c>
    </row>
    <row r="2146" spans="1:11">
      <c r="A2146">
        <v>400296</v>
      </c>
      <c r="B2146" s="10">
        <v>2018</v>
      </c>
      <c r="C2146" t="s">
        <v>579</v>
      </c>
      <c r="D2146" t="s">
        <v>2472</v>
      </c>
      <c r="E2146" t="s">
        <v>2474</v>
      </c>
      <c r="F2146" t="s">
        <v>1447</v>
      </c>
      <c r="G2146" t="s">
        <v>2179</v>
      </c>
      <c r="H2146" s="10"/>
      <c r="I2146">
        <f>IFERROR(VLOOKUP(Final!F2146,'LEAID Match'!$A$2:$B$374,2,FALSE),"")</f>
        <v>400296</v>
      </c>
      <c r="K2146" s="10">
        <f t="shared" si="33"/>
        <v>0</v>
      </c>
    </row>
    <row r="2147" spans="1:11">
      <c r="A2147">
        <v>400296</v>
      </c>
      <c r="B2147" s="10">
        <v>2019</v>
      </c>
      <c r="C2147" t="s">
        <v>579</v>
      </c>
      <c r="D2147" t="s">
        <v>2472</v>
      </c>
      <c r="E2147" t="s">
        <v>2474</v>
      </c>
      <c r="F2147" t="s">
        <v>1447</v>
      </c>
      <c r="G2147" t="s">
        <v>1447</v>
      </c>
      <c r="H2147" s="10"/>
      <c r="I2147">
        <f>IFERROR(VLOOKUP(Final!F2147,'LEAID Match'!$A$2:$B$374,2,FALSE),"")</f>
        <v>400296</v>
      </c>
      <c r="K2147" s="10">
        <f t="shared" si="33"/>
        <v>0</v>
      </c>
    </row>
    <row r="2148" spans="1:11">
      <c r="A2148">
        <v>400296</v>
      </c>
      <c r="B2148" s="10">
        <v>2020</v>
      </c>
      <c r="C2148" t="s">
        <v>579</v>
      </c>
      <c r="D2148" t="s">
        <v>2472</v>
      </c>
      <c r="E2148" t="s">
        <v>2474</v>
      </c>
      <c r="F2148" t="s">
        <v>1447</v>
      </c>
      <c r="G2148" t="s">
        <v>1447</v>
      </c>
      <c r="H2148" s="10"/>
      <c r="I2148">
        <f>IFERROR(VLOOKUP(Final!F2148,'LEAID Match'!$A$2:$B$374,2,FALSE),"")</f>
        <v>400296</v>
      </c>
      <c r="K2148" s="10">
        <f t="shared" si="33"/>
        <v>0</v>
      </c>
    </row>
    <row r="2149" spans="1:11">
      <c r="A2149">
        <v>400332</v>
      </c>
      <c r="B2149" s="10">
        <v>2015</v>
      </c>
      <c r="C2149" t="s">
        <v>700</v>
      </c>
      <c r="D2149" t="s">
        <v>2472</v>
      </c>
      <c r="E2149" t="s">
        <v>2474</v>
      </c>
      <c r="F2149" t="s">
        <v>2374</v>
      </c>
      <c r="G2149" t="s">
        <v>645</v>
      </c>
      <c r="H2149" s="10">
        <v>14009</v>
      </c>
      <c r="I2149">
        <f>IFERROR(VLOOKUP(Final!F2149,'LEAID Match'!$A$2:$B$374,2,FALSE),"")</f>
        <v>400332</v>
      </c>
      <c r="K2149" s="10">
        <f t="shared" si="33"/>
        <v>14009</v>
      </c>
    </row>
    <row r="2150" spans="1:11">
      <c r="A2150">
        <v>400332</v>
      </c>
      <c r="B2150" s="10">
        <v>2016</v>
      </c>
      <c r="C2150" t="s">
        <v>700</v>
      </c>
      <c r="D2150" t="s">
        <v>2472</v>
      </c>
      <c r="E2150" t="s">
        <v>2474</v>
      </c>
      <c r="F2150" t="s">
        <v>2374</v>
      </c>
      <c r="G2150" t="s">
        <v>645</v>
      </c>
      <c r="H2150" s="10">
        <v>7359</v>
      </c>
      <c r="I2150">
        <f>IFERROR(VLOOKUP(Final!F2150,'LEAID Match'!$A$2:$B$374,2,FALSE),"")</f>
        <v>400332</v>
      </c>
      <c r="K2150" s="10">
        <f t="shared" si="33"/>
        <v>7359</v>
      </c>
    </row>
    <row r="2151" spans="1:11">
      <c r="A2151">
        <v>400332</v>
      </c>
      <c r="B2151" s="10">
        <v>2017</v>
      </c>
      <c r="C2151" t="s">
        <v>700</v>
      </c>
      <c r="D2151" t="s">
        <v>2472</v>
      </c>
      <c r="E2151" t="s">
        <v>2474</v>
      </c>
      <c r="F2151" t="s">
        <v>2374</v>
      </c>
      <c r="G2151" t="s">
        <v>1764</v>
      </c>
      <c r="H2151" s="10">
        <v>18695</v>
      </c>
      <c r="I2151">
        <f>IFERROR(VLOOKUP(Final!F2151,'LEAID Match'!$A$2:$B$374,2,FALSE),"")</f>
        <v>400332</v>
      </c>
      <c r="K2151" s="10">
        <f t="shared" si="33"/>
        <v>18695</v>
      </c>
    </row>
    <row r="2152" spans="1:11">
      <c r="A2152">
        <v>400332</v>
      </c>
      <c r="B2152" s="10">
        <v>2018</v>
      </c>
      <c r="C2152" t="s">
        <v>700</v>
      </c>
      <c r="D2152" t="s">
        <v>2472</v>
      </c>
      <c r="E2152" t="s">
        <v>2474</v>
      </c>
      <c r="F2152" t="s">
        <v>2374</v>
      </c>
      <c r="G2152" t="s">
        <v>2217</v>
      </c>
      <c r="H2152" s="10">
        <v>15548</v>
      </c>
      <c r="I2152">
        <f>IFERROR(VLOOKUP(Final!F2152,'LEAID Match'!$A$2:$B$374,2,FALSE),"")</f>
        <v>400332</v>
      </c>
      <c r="K2152" s="10">
        <f t="shared" si="33"/>
        <v>15548</v>
      </c>
    </row>
    <row r="2153" spans="1:11">
      <c r="A2153">
        <v>400332</v>
      </c>
      <c r="B2153" s="10">
        <v>2019</v>
      </c>
      <c r="C2153" t="s">
        <v>700</v>
      </c>
      <c r="D2153" t="s">
        <v>2472</v>
      </c>
      <c r="E2153" t="s">
        <v>2474</v>
      </c>
      <c r="F2153" t="s">
        <v>2374</v>
      </c>
      <c r="G2153" t="s">
        <v>2374</v>
      </c>
      <c r="H2153" s="10">
        <v>13361</v>
      </c>
      <c r="I2153">
        <f>IFERROR(VLOOKUP(Final!F2153,'LEAID Match'!$A$2:$B$374,2,FALSE),"")</f>
        <v>400332</v>
      </c>
      <c r="K2153" s="10">
        <f t="shared" si="33"/>
        <v>13361</v>
      </c>
    </row>
    <row r="2154" spans="1:11">
      <c r="A2154">
        <v>400332</v>
      </c>
      <c r="B2154" s="10">
        <v>2020</v>
      </c>
      <c r="C2154" t="s">
        <v>700</v>
      </c>
      <c r="D2154" t="s">
        <v>2472</v>
      </c>
      <c r="E2154" t="s">
        <v>2474</v>
      </c>
      <c r="F2154" t="s">
        <v>2374</v>
      </c>
      <c r="G2154" t="s">
        <v>2374</v>
      </c>
      <c r="H2154" s="10">
        <v>12526</v>
      </c>
      <c r="I2154">
        <f>IFERROR(VLOOKUP(Final!F2154,'LEAID Match'!$A$2:$B$374,2,FALSE),"")</f>
        <v>400332</v>
      </c>
      <c r="K2154" s="10">
        <f t="shared" si="33"/>
        <v>12526</v>
      </c>
    </row>
    <row r="2155" spans="1:11">
      <c r="A2155">
        <v>400332</v>
      </c>
      <c r="B2155" s="10">
        <v>2021</v>
      </c>
      <c r="C2155" t="s">
        <v>700</v>
      </c>
      <c r="D2155" t="s">
        <v>2472</v>
      </c>
      <c r="E2155" t="s">
        <v>2474</v>
      </c>
      <c r="F2155" t="s">
        <v>2374</v>
      </c>
      <c r="G2155" t="s">
        <v>2374</v>
      </c>
      <c r="H2155" s="10">
        <v>22245</v>
      </c>
      <c r="I2155">
        <f>IFERROR(VLOOKUP(Final!F2155,'LEAID Match'!$A$2:$B$374,2,FALSE),"")</f>
        <v>400332</v>
      </c>
      <c r="K2155" s="10">
        <f t="shared" si="33"/>
        <v>22245</v>
      </c>
    </row>
    <row r="2156" spans="1:11">
      <c r="A2156">
        <v>400332</v>
      </c>
      <c r="B2156" s="10">
        <v>2022</v>
      </c>
      <c r="C2156" t="s">
        <v>700</v>
      </c>
      <c r="D2156" t="s">
        <v>2472</v>
      </c>
      <c r="E2156" t="s">
        <v>2474</v>
      </c>
      <c r="F2156" t="s">
        <v>2374</v>
      </c>
      <c r="G2156" t="s">
        <v>2374</v>
      </c>
      <c r="H2156" s="10">
        <v>17197</v>
      </c>
      <c r="I2156">
        <f>IFERROR(VLOOKUP(Final!F2156,'LEAID Match'!$A$2:$B$374,2,FALSE),"")</f>
        <v>400332</v>
      </c>
      <c r="K2156" s="10">
        <f t="shared" si="33"/>
        <v>17197</v>
      </c>
    </row>
    <row r="2157" spans="1:11">
      <c r="A2157">
        <v>400332</v>
      </c>
      <c r="B2157" s="10">
        <v>2023</v>
      </c>
      <c r="C2157" t="s">
        <v>700</v>
      </c>
      <c r="D2157" t="s">
        <v>2472</v>
      </c>
      <c r="E2157" t="s">
        <v>2474</v>
      </c>
      <c r="F2157" t="s">
        <v>2374</v>
      </c>
      <c r="G2157" t="s">
        <v>2374</v>
      </c>
      <c r="H2157" s="10">
        <v>17235</v>
      </c>
      <c r="I2157">
        <f>IFERROR(VLOOKUP(Final!F2157,'LEAID Match'!$A$2:$B$374,2,FALSE),"")</f>
        <v>400332</v>
      </c>
      <c r="K2157" s="10">
        <f t="shared" si="33"/>
        <v>17235</v>
      </c>
    </row>
    <row r="2158" spans="1:11">
      <c r="A2158">
        <v>400019</v>
      </c>
      <c r="B2158" s="10">
        <v>2015</v>
      </c>
      <c r="C2158" t="s">
        <v>587</v>
      </c>
      <c r="D2158" t="s">
        <v>2472</v>
      </c>
      <c r="E2158" t="s">
        <v>2474</v>
      </c>
      <c r="F2158" t="s">
        <v>532</v>
      </c>
      <c r="G2158" t="s">
        <v>532</v>
      </c>
      <c r="H2158" s="10">
        <v>142211</v>
      </c>
      <c r="I2158">
        <f>IFERROR(VLOOKUP(Final!F2158,'LEAID Match'!$A$2:$B$374,2,FALSE),"")</f>
        <v>400019</v>
      </c>
      <c r="K2158" s="10">
        <f t="shared" si="33"/>
        <v>142211</v>
      </c>
    </row>
    <row r="2159" spans="1:11">
      <c r="A2159">
        <v>400019</v>
      </c>
      <c r="B2159" s="10">
        <v>2016</v>
      </c>
      <c r="C2159" t="s">
        <v>587</v>
      </c>
      <c r="D2159" t="s">
        <v>2472</v>
      </c>
      <c r="E2159" t="s">
        <v>2474</v>
      </c>
      <c r="F2159" t="s">
        <v>532</v>
      </c>
      <c r="G2159" t="s">
        <v>532</v>
      </c>
      <c r="H2159" s="10">
        <v>138330</v>
      </c>
      <c r="I2159">
        <f>IFERROR(VLOOKUP(Final!F2159,'LEAID Match'!$A$2:$B$374,2,FALSE),"")</f>
        <v>400019</v>
      </c>
      <c r="K2159" s="10">
        <f t="shared" si="33"/>
        <v>138330</v>
      </c>
    </row>
    <row r="2160" spans="1:11">
      <c r="A2160">
        <v>400019</v>
      </c>
      <c r="B2160" s="10">
        <v>2017</v>
      </c>
      <c r="C2160" t="s">
        <v>587</v>
      </c>
      <c r="D2160" t="s">
        <v>2472</v>
      </c>
      <c r="E2160" t="s">
        <v>2474</v>
      </c>
      <c r="F2160" t="s">
        <v>532</v>
      </c>
      <c r="G2160" t="s">
        <v>532</v>
      </c>
      <c r="H2160" s="10">
        <v>149173</v>
      </c>
      <c r="I2160">
        <f>IFERROR(VLOOKUP(Final!F2160,'LEAID Match'!$A$2:$B$374,2,FALSE),"")</f>
        <v>400019</v>
      </c>
      <c r="K2160" s="10">
        <f t="shared" si="33"/>
        <v>149173</v>
      </c>
    </row>
    <row r="2161" spans="1:11">
      <c r="A2161">
        <v>400019</v>
      </c>
      <c r="B2161" s="10">
        <v>2018</v>
      </c>
      <c r="C2161" t="s">
        <v>587</v>
      </c>
      <c r="D2161" t="s">
        <v>2472</v>
      </c>
      <c r="E2161" t="s">
        <v>2474</v>
      </c>
      <c r="F2161" t="s">
        <v>532</v>
      </c>
      <c r="G2161" t="s">
        <v>2185</v>
      </c>
      <c r="H2161" s="10">
        <v>155245</v>
      </c>
      <c r="I2161">
        <f>IFERROR(VLOOKUP(Final!F2161,'LEAID Match'!$A$2:$B$374,2,FALSE),"")</f>
        <v>400019</v>
      </c>
      <c r="K2161" s="10">
        <f t="shared" si="33"/>
        <v>155245</v>
      </c>
    </row>
    <row r="2162" spans="1:11">
      <c r="A2162">
        <v>400019</v>
      </c>
      <c r="B2162" s="10">
        <v>2019</v>
      </c>
      <c r="C2162" t="s">
        <v>587</v>
      </c>
      <c r="D2162" t="s">
        <v>2472</v>
      </c>
      <c r="E2162" t="s">
        <v>2474</v>
      </c>
      <c r="F2162" t="s">
        <v>532</v>
      </c>
      <c r="G2162" t="s">
        <v>532</v>
      </c>
      <c r="H2162" s="10">
        <v>164380</v>
      </c>
      <c r="I2162">
        <f>IFERROR(VLOOKUP(Final!F2162,'LEAID Match'!$A$2:$B$374,2,FALSE),"")</f>
        <v>400019</v>
      </c>
      <c r="K2162" s="10">
        <f t="shared" si="33"/>
        <v>164380</v>
      </c>
    </row>
    <row r="2163" spans="1:11">
      <c r="A2163">
        <v>400019</v>
      </c>
      <c r="B2163" s="10">
        <v>2020</v>
      </c>
      <c r="C2163" t="s">
        <v>587</v>
      </c>
      <c r="D2163" t="s">
        <v>2472</v>
      </c>
      <c r="E2163" t="s">
        <v>2474</v>
      </c>
      <c r="F2163" t="s">
        <v>532</v>
      </c>
      <c r="G2163" t="s">
        <v>532</v>
      </c>
      <c r="H2163" s="10">
        <v>180423</v>
      </c>
      <c r="I2163">
        <f>IFERROR(VLOOKUP(Final!F2163,'LEAID Match'!$A$2:$B$374,2,FALSE),"")</f>
        <v>400019</v>
      </c>
      <c r="K2163" s="10">
        <f t="shared" si="33"/>
        <v>180423</v>
      </c>
    </row>
    <row r="2164" spans="1:11">
      <c r="A2164">
        <v>400019</v>
      </c>
      <c r="B2164" s="10">
        <v>2021</v>
      </c>
      <c r="C2164" t="s">
        <v>587</v>
      </c>
      <c r="D2164" t="s">
        <v>2472</v>
      </c>
      <c r="E2164" t="s">
        <v>2474</v>
      </c>
      <c r="F2164" t="s">
        <v>532</v>
      </c>
      <c r="G2164" t="s">
        <v>532</v>
      </c>
      <c r="H2164" s="10">
        <v>194430</v>
      </c>
      <c r="I2164">
        <f>IFERROR(VLOOKUP(Final!F2164,'LEAID Match'!$A$2:$B$374,2,FALSE),"")</f>
        <v>400019</v>
      </c>
      <c r="K2164" s="10">
        <f t="shared" si="33"/>
        <v>194430</v>
      </c>
    </row>
    <row r="2165" spans="1:11">
      <c r="A2165">
        <v>400019</v>
      </c>
      <c r="B2165" s="10">
        <v>2022</v>
      </c>
      <c r="C2165" t="s">
        <v>587</v>
      </c>
      <c r="D2165" t="s">
        <v>2472</v>
      </c>
      <c r="E2165" t="s">
        <v>2474</v>
      </c>
      <c r="F2165" t="s">
        <v>532</v>
      </c>
      <c r="G2165" t="s">
        <v>532</v>
      </c>
      <c r="H2165" s="10">
        <v>195637</v>
      </c>
      <c r="I2165">
        <f>IFERROR(VLOOKUP(Final!F2165,'LEAID Match'!$A$2:$B$374,2,FALSE),"")</f>
        <v>400019</v>
      </c>
      <c r="K2165" s="10">
        <f t="shared" si="33"/>
        <v>195637</v>
      </c>
    </row>
    <row r="2166" spans="1:11">
      <c r="A2166">
        <v>400019</v>
      </c>
      <c r="B2166" s="10">
        <v>2023</v>
      </c>
      <c r="C2166" t="s">
        <v>587</v>
      </c>
      <c r="D2166" t="s">
        <v>2472</v>
      </c>
      <c r="E2166" t="s">
        <v>2474</v>
      </c>
      <c r="F2166" t="s">
        <v>532</v>
      </c>
      <c r="G2166" t="s">
        <v>532</v>
      </c>
      <c r="H2166" s="10">
        <v>197625</v>
      </c>
      <c r="I2166">
        <f>IFERROR(VLOOKUP(Final!F2166,'LEAID Match'!$A$2:$B$374,2,FALSE),"")</f>
        <v>400019</v>
      </c>
      <c r="K2166" s="10">
        <f t="shared" si="33"/>
        <v>197625</v>
      </c>
    </row>
    <row r="2167" spans="1:11">
      <c r="A2167">
        <v>400350</v>
      </c>
      <c r="B2167" s="10">
        <v>2015</v>
      </c>
      <c r="C2167" t="s">
        <v>923</v>
      </c>
      <c r="D2167" t="s">
        <v>2472</v>
      </c>
      <c r="E2167" t="s">
        <v>2474</v>
      </c>
      <c r="F2167" t="s">
        <v>868</v>
      </c>
      <c r="G2167" t="s">
        <v>868</v>
      </c>
      <c r="H2167" s="10">
        <v>63111</v>
      </c>
      <c r="I2167">
        <f>IFERROR(VLOOKUP(Final!F2167,'LEAID Match'!$A$2:$B$374,2,FALSE),"")</f>
        <v>400350</v>
      </c>
      <c r="K2167" s="10">
        <f t="shared" si="33"/>
        <v>63111</v>
      </c>
    </row>
    <row r="2168" spans="1:11">
      <c r="A2168">
        <v>400350</v>
      </c>
      <c r="B2168" s="10">
        <v>2016</v>
      </c>
      <c r="C2168" t="s">
        <v>923</v>
      </c>
      <c r="D2168" t="s">
        <v>2472</v>
      </c>
      <c r="E2168" t="s">
        <v>2474</v>
      </c>
      <c r="F2168" t="s">
        <v>868</v>
      </c>
      <c r="G2168" t="s">
        <v>868</v>
      </c>
      <c r="H2168" s="10">
        <v>67401</v>
      </c>
      <c r="I2168">
        <f>IFERROR(VLOOKUP(Final!F2168,'LEAID Match'!$A$2:$B$374,2,FALSE),"")</f>
        <v>400350</v>
      </c>
      <c r="K2168" s="10">
        <f t="shared" si="33"/>
        <v>67401</v>
      </c>
    </row>
    <row r="2169" spans="1:11">
      <c r="A2169">
        <v>400350</v>
      </c>
      <c r="B2169" s="10">
        <v>2017</v>
      </c>
      <c r="C2169" t="s">
        <v>923</v>
      </c>
      <c r="D2169" t="s">
        <v>2472</v>
      </c>
      <c r="E2169" t="s">
        <v>2474</v>
      </c>
      <c r="F2169" t="s">
        <v>868</v>
      </c>
      <c r="G2169" t="s">
        <v>868</v>
      </c>
      <c r="H2169" s="10">
        <v>69067</v>
      </c>
      <c r="I2169">
        <f>IFERROR(VLOOKUP(Final!F2169,'LEAID Match'!$A$2:$B$374,2,FALSE),"")</f>
        <v>400350</v>
      </c>
      <c r="K2169" s="10">
        <f t="shared" si="33"/>
        <v>69067</v>
      </c>
    </row>
    <row r="2170" spans="1:11">
      <c r="A2170">
        <v>400350</v>
      </c>
      <c r="B2170" s="10">
        <v>2018</v>
      </c>
      <c r="C2170" t="s">
        <v>923</v>
      </c>
      <c r="D2170" t="s">
        <v>2472</v>
      </c>
      <c r="E2170" t="s">
        <v>2474</v>
      </c>
      <c r="F2170" t="s">
        <v>868</v>
      </c>
      <c r="G2170" t="s">
        <v>868</v>
      </c>
      <c r="H2170" s="10">
        <v>78545</v>
      </c>
      <c r="I2170">
        <f>IFERROR(VLOOKUP(Final!F2170,'LEAID Match'!$A$2:$B$374,2,FALSE),"")</f>
        <v>400350</v>
      </c>
      <c r="K2170" s="10">
        <f t="shared" si="33"/>
        <v>78545</v>
      </c>
    </row>
    <row r="2171" spans="1:11">
      <c r="A2171">
        <v>400350</v>
      </c>
      <c r="B2171" s="10">
        <v>2019</v>
      </c>
      <c r="C2171" t="s">
        <v>923</v>
      </c>
      <c r="D2171" t="s">
        <v>2472</v>
      </c>
      <c r="E2171" t="s">
        <v>2474</v>
      </c>
      <c r="F2171" t="s">
        <v>868</v>
      </c>
      <c r="G2171" t="s">
        <v>868</v>
      </c>
      <c r="H2171" s="10">
        <v>90840</v>
      </c>
      <c r="I2171">
        <f>IFERROR(VLOOKUP(Final!F2171,'LEAID Match'!$A$2:$B$374,2,FALSE),"")</f>
        <v>400350</v>
      </c>
      <c r="K2171" s="10">
        <f t="shared" si="33"/>
        <v>90840</v>
      </c>
    </row>
    <row r="2172" spans="1:11">
      <c r="A2172">
        <v>400350</v>
      </c>
      <c r="B2172" s="10">
        <v>2020</v>
      </c>
      <c r="C2172" t="s">
        <v>923</v>
      </c>
      <c r="D2172" t="s">
        <v>2472</v>
      </c>
      <c r="E2172" t="s">
        <v>2474</v>
      </c>
      <c r="F2172" t="s">
        <v>868</v>
      </c>
      <c r="G2172" t="s">
        <v>868</v>
      </c>
      <c r="H2172" s="10">
        <v>91242</v>
      </c>
      <c r="I2172">
        <f>IFERROR(VLOOKUP(Final!F2172,'LEAID Match'!$A$2:$B$374,2,FALSE),"")</f>
        <v>400350</v>
      </c>
      <c r="K2172" s="10">
        <f t="shared" si="33"/>
        <v>91242</v>
      </c>
    </row>
    <row r="2173" spans="1:11">
      <c r="A2173">
        <v>400350</v>
      </c>
      <c r="B2173" s="10">
        <v>2021</v>
      </c>
      <c r="C2173" t="s">
        <v>923</v>
      </c>
      <c r="D2173" t="s">
        <v>2472</v>
      </c>
      <c r="E2173" t="s">
        <v>2474</v>
      </c>
      <c r="F2173" t="s">
        <v>868</v>
      </c>
      <c r="G2173" t="s">
        <v>868</v>
      </c>
      <c r="H2173" s="10">
        <v>85752</v>
      </c>
      <c r="I2173">
        <f>IFERROR(VLOOKUP(Final!F2173,'LEAID Match'!$A$2:$B$374,2,FALSE),"")</f>
        <v>400350</v>
      </c>
      <c r="K2173" s="10">
        <f t="shared" si="33"/>
        <v>85752</v>
      </c>
    </row>
    <row r="2174" spans="1:11">
      <c r="A2174">
        <v>400350</v>
      </c>
      <c r="B2174" s="10">
        <v>2022</v>
      </c>
      <c r="C2174" t="s">
        <v>923</v>
      </c>
      <c r="D2174" t="s">
        <v>2472</v>
      </c>
      <c r="E2174" t="s">
        <v>2474</v>
      </c>
      <c r="F2174" t="s">
        <v>868</v>
      </c>
      <c r="G2174" t="s">
        <v>868</v>
      </c>
      <c r="H2174" s="10">
        <v>93988</v>
      </c>
      <c r="I2174">
        <f>IFERROR(VLOOKUP(Final!F2174,'LEAID Match'!$A$2:$B$374,2,FALSE),"")</f>
        <v>400350</v>
      </c>
      <c r="K2174" s="10">
        <f t="shared" si="33"/>
        <v>93988</v>
      </c>
    </row>
    <row r="2175" spans="1:11">
      <c r="A2175">
        <v>400350</v>
      </c>
      <c r="B2175" s="10">
        <v>2023</v>
      </c>
      <c r="C2175" t="s">
        <v>923</v>
      </c>
      <c r="D2175" t="s">
        <v>2472</v>
      </c>
      <c r="E2175" t="s">
        <v>2474</v>
      </c>
      <c r="F2175" t="s">
        <v>868</v>
      </c>
      <c r="G2175" t="s">
        <v>868</v>
      </c>
      <c r="H2175" s="10">
        <v>5866</v>
      </c>
      <c r="I2175">
        <f>IFERROR(VLOOKUP(Final!F2175,'LEAID Match'!$A$2:$B$374,2,FALSE),"")</f>
        <v>400350</v>
      </c>
      <c r="K2175" s="10">
        <f t="shared" si="33"/>
        <v>5866</v>
      </c>
    </row>
    <row r="2176" spans="1:11">
      <c r="A2176">
        <v>400821</v>
      </c>
      <c r="B2176" s="10">
        <v>2015</v>
      </c>
      <c r="C2176" t="s">
        <v>997</v>
      </c>
      <c r="D2176" t="s">
        <v>2472</v>
      </c>
      <c r="E2176" t="s">
        <v>2474</v>
      </c>
      <c r="F2176" t="s">
        <v>2436</v>
      </c>
      <c r="G2176" t="s">
        <v>942</v>
      </c>
      <c r="H2176" s="10">
        <v>137845</v>
      </c>
      <c r="I2176">
        <f>IFERROR(VLOOKUP(Final!F2176,'LEAID Match'!$A$2:$B$374,2,FALSE),"")</f>
        <v>400821</v>
      </c>
      <c r="K2176" s="10">
        <f t="shared" si="33"/>
        <v>137845</v>
      </c>
    </row>
    <row r="2177" spans="1:11">
      <c r="A2177">
        <v>400821</v>
      </c>
      <c r="B2177" s="10">
        <v>2016</v>
      </c>
      <c r="C2177" t="s">
        <v>997</v>
      </c>
      <c r="D2177" t="s">
        <v>2472</v>
      </c>
      <c r="E2177" t="s">
        <v>2474</v>
      </c>
      <c r="F2177" t="s">
        <v>2436</v>
      </c>
      <c r="G2177" t="s">
        <v>942</v>
      </c>
      <c r="H2177" s="10">
        <v>132960</v>
      </c>
      <c r="I2177">
        <f>IFERROR(VLOOKUP(Final!F2177,'LEAID Match'!$A$2:$B$374,2,FALSE),"")</f>
        <v>400821</v>
      </c>
      <c r="K2177" s="10">
        <f t="shared" si="33"/>
        <v>132960</v>
      </c>
    </row>
    <row r="2178" spans="1:11">
      <c r="A2178">
        <v>400821</v>
      </c>
      <c r="B2178" s="10">
        <v>2017</v>
      </c>
      <c r="C2178" t="s">
        <v>997</v>
      </c>
      <c r="D2178" t="s">
        <v>2472</v>
      </c>
      <c r="E2178" t="s">
        <v>2474</v>
      </c>
      <c r="F2178" t="s">
        <v>2436</v>
      </c>
      <c r="G2178" t="s">
        <v>1883</v>
      </c>
      <c r="H2178" s="10">
        <v>171418</v>
      </c>
      <c r="I2178">
        <f>IFERROR(VLOOKUP(Final!F2178,'LEAID Match'!$A$2:$B$374,2,FALSE),"")</f>
        <v>400821</v>
      </c>
      <c r="K2178" s="10">
        <f t="shared" si="33"/>
        <v>171418</v>
      </c>
    </row>
    <row r="2179" spans="1:11">
      <c r="A2179">
        <v>400821</v>
      </c>
      <c r="B2179" s="10">
        <v>2018</v>
      </c>
      <c r="C2179" t="s">
        <v>997</v>
      </c>
      <c r="D2179" t="s">
        <v>2472</v>
      </c>
      <c r="E2179" t="s">
        <v>2474</v>
      </c>
      <c r="F2179" t="s">
        <v>2436</v>
      </c>
      <c r="G2179" t="s">
        <v>2282</v>
      </c>
      <c r="H2179" s="10">
        <v>135314</v>
      </c>
      <c r="I2179">
        <f>IFERROR(VLOOKUP(Final!F2179,'LEAID Match'!$A$2:$B$374,2,FALSE),"")</f>
        <v>400821</v>
      </c>
      <c r="K2179" s="10">
        <f t="shared" ref="K2179:K2242" si="34">SUM(H2179,J2179)</f>
        <v>135314</v>
      </c>
    </row>
    <row r="2180" spans="1:11">
      <c r="A2180">
        <v>400821</v>
      </c>
      <c r="B2180" s="10">
        <v>2019</v>
      </c>
      <c r="C2180" t="s">
        <v>997</v>
      </c>
      <c r="D2180" t="s">
        <v>2472</v>
      </c>
      <c r="E2180" t="s">
        <v>2474</v>
      </c>
      <c r="F2180" t="s">
        <v>2436</v>
      </c>
      <c r="G2180" t="s">
        <v>1883</v>
      </c>
      <c r="H2180" s="10">
        <v>124242</v>
      </c>
      <c r="I2180">
        <f>IFERROR(VLOOKUP(Final!F2180,'LEAID Match'!$A$2:$B$374,2,FALSE),"")</f>
        <v>400821</v>
      </c>
      <c r="K2180" s="10">
        <f t="shared" si="34"/>
        <v>124242</v>
      </c>
    </row>
    <row r="2181" spans="1:11">
      <c r="A2181">
        <v>400821</v>
      </c>
      <c r="B2181" s="10">
        <v>2020</v>
      </c>
      <c r="C2181" t="s">
        <v>997</v>
      </c>
      <c r="D2181" t="s">
        <v>2472</v>
      </c>
      <c r="E2181" t="s">
        <v>2474</v>
      </c>
      <c r="F2181" t="s">
        <v>2436</v>
      </c>
      <c r="G2181" t="s">
        <v>1883</v>
      </c>
      <c r="H2181" s="10">
        <v>88875</v>
      </c>
      <c r="I2181">
        <f>IFERROR(VLOOKUP(Final!F2181,'LEAID Match'!$A$2:$B$374,2,FALSE),"")</f>
        <v>400821</v>
      </c>
      <c r="K2181" s="10">
        <f t="shared" si="34"/>
        <v>88875</v>
      </c>
    </row>
    <row r="2182" spans="1:11">
      <c r="A2182">
        <v>400821</v>
      </c>
      <c r="B2182" s="10">
        <v>2021</v>
      </c>
      <c r="C2182" t="s">
        <v>997</v>
      </c>
      <c r="D2182" t="s">
        <v>2472</v>
      </c>
      <c r="E2182" t="s">
        <v>2474</v>
      </c>
      <c r="F2182" t="s">
        <v>2436</v>
      </c>
      <c r="G2182" t="s">
        <v>2436</v>
      </c>
      <c r="H2182" s="10">
        <v>91172</v>
      </c>
      <c r="I2182">
        <f>IFERROR(VLOOKUP(Final!F2182,'LEAID Match'!$A$2:$B$374,2,FALSE),"")</f>
        <v>400821</v>
      </c>
      <c r="K2182" s="10">
        <f t="shared" si="34"/>
        <v>91172</v>
      </c>
    </row>
    <row r="2183" spans="1:11">
      <c r="A2183">
        <v>400821</v>
      </c>
      <c r="B2183" s="10">
        <v>2022</v>
      </c>
      <c r="C2183" t="s">
        <v>997</v>
      </c>
      <c r="D2183" t="s">
        <v>2472</v>
      </c>
      <c r="E2183" t="s">
        <v>2474</v>
      </c>
      <c r="F2183" t="s">
        <v>2436</v>
      </c>
      <c r="G2183" t="s">
        <v>2436</v>
      </c>
      <c r="H2183" s="10">
        <v>96256</v>
      </c>
      <c r="I2183">
        <f>IFERROR(VLOOKUP(Final!F2183,'LEAID Match'!$A$2:$B$374,2,FALSE),"")</f>
        <v>400821</v>
      </c>
      <c r="K2183" s="10">
        <f t="shared" si="34"/>
        <v>96256</v>
      </c>
    </row>
    <row r="2184" spans="1:11">
      <c r="A2184">
        <v>400821</v>
      </c>
      <c r="B2184" s="10">
        <v>2023</v>
      </c>
      <c r="C2184" t="s">
        <v>997</v>
      </c>
      <c r="D2184" t="s">
        <v>2472</v>
      </c>
      <c r="E2184" t="s">
        <v>2474</v>
      </c>
      <c r="F2184" t="s">
        <v>2436</v>
      </c>
      <c r="G2184" t="s">
        <v>2436</v>
      </c>
      <c r="H2184" s="10">
        <v>86412</v>
      </c>
      <c r="I2184">
        <f>IFERROR(VLOOKUP(Final!F2184,'LEAID Match'!$A$2:$B$374,2,FALSE),"")</f>
        <v>400821</v>
      </c>
      <c r="K2184" s="10">
        <f t="shared" si="34"/>
        <v>86412</v>
      </c>
    </row>
    <row r="2185" spans="1:11">
      <c r="A2185">
        <v>400268</v>
      </c>
      <c r="B2185" s="10">
        <v>2015</v>
      </c>
      <c r="C2185" t="s">
        <v>702</v>
      </c>
      <c r="D2185" t="s">
        <v>2472</v>
      </c>
      <c r="E2185" t="s">
        <v>2474</v>
      </c>
      <c r="F2185" t="s">
        <v>1766</v>
      </c>
      <c r="G2185" t="s">
        <v>647</v>
      </c>
      <c r="H2185" s="10">
        <v>177664</v>
      </c>
      <c r="I2185">
        <f>IFERROR(VLOOKUP(Final!F2185,'LEAID Match'!$A$2:$B$374,2,FALSE),"")</f>
        <v>400268</v>
      </c>
      <c r="K2185" s="10">
        <f t="shared" si="34"/>
        <v>177664</v>
      </c>
    </row>
    <row r="2186" spans="1:11">
      <c r="A2186">
        <v>400268</v>
      </c>
      <c r="B2186" s="10">
        <v>2016</v>
      </c>
      <c r="C2186" t="s">
        <v>702</v>
      </c>
      <c r="D2186" t="s">
        <v>2472</v>
      </c>
      <c r="E2186" t="s">
        <v>2474</v>
      </c>
      <c r="F2186" t="s">
        <v>1766</v>
      </c>
      <c r="G2186" t="s">
        <v>647</v>
      </c>
      <c r="H2186" s="10">
        <v>251269</v>
      </c>
      <c r="I2186">
        <f>IFERROR(VLOOKUP(Final!F2186,'LEAID Match'!$A$2:$B$374,2,FALSE),"")</f>
        <v>400268</v>
      </c>
      <c r="K2186" s="10">
        <f t="shared" si="34"/>
        <v>251269</v>
      </c>
    </row>
    <row r="2187" spans="1:11">
      <c r="A2187">
        <v>400268</v>
      </c>
      <c r="B2187" s="10">
        <v>2017</v>
      </c>
      <c r="C2187" t="s">
        <v>702</v>
      </c>
      <c r="D2187" t="s">
        <v>2472</v>
      </c>
      <c r="E2187" t="s">
        <v>2474</v>
      </c>
      <c r="F2187" t="s">
        <v>1766</v>
      </c>
      <c r="G2187" t="s">
        <v>1766</v>
      </c>
      <c r="H2187" s="10">
        <v>322210</v>
      </c>
      <c r="I2187">
        <f>IFERROR(VLOOKUP(Final!F2187,'LEAID Match'!$A$2:$B$374,2,FALSE),"")</f>
        <v>400268</v>
      </c>
      <c r="K2187" s="10">
        <f t="shared" si="34"/>
        <v>322210</v>
      </c>
    </row>
    <row r="2188" spans="1:11">
      <c r="A2188">
        <v>400268</v>
      </c>
      <c r="B2188" s="10">
        <v>2018</v>
      </c>
      <c r="C2188" t="s">
        <v>702</v>
      </c>
      <c r="D2188" t="s">
        <v>2472</v>
      </c>
      <c r="E2188" t="s">
        <v>2474</v>
      </c>
      <c r="F2188" t="s">
        <v>1766</v>
      </c>
      <c r="G2188" t="s">
        <v>2218</v>
      </c>
      <c r="H2188" s="10">
        <v>313503</v>
      </c>
      <c r="I2188">
        <f>IFERROR(VLOOKUP(Final!F2188,'LEAID Match'!$A$2:$B$374,2,FALSE),"")</f>
        <v>400268</v>
      </c>
      <c r="K2188" s="10">
        <f t="shared" si="34"/>
        <v>313503</v>
      </c>
    </row>
    <row r="2189" spans="1:11">
      <c r="A2189">
        <v>400268</v>
      </c>
      <c r="B2189" s="10">
        <v>2019</v>
      </c>
      <c r="C2189" t="s">
        <v>702</v>
      </c>
      <c r="D2189" t="s">
        <v>2472</v>
      </c>
      <c r="E2189" t="s">
        <v>2474</v>
      </c>
      <c r="F2189" t="s">
        <v>1766</v>
      </c>
      <c r="G2189" t="s">
        <v>1766</v>
      </c>
      <c r="H2189" s="10">
        <v>355212</v>
      </c>
      <c r="I2189">
        <f>IFERROR(VLOOKUP(Final!F2189,'LEAID Match'!$A$2:$B$374,2,FALSE),"")</f>
        <v>400268</v>
      </c>
      <c r="K2189" s="10">
        <f t="shared" si="34"/>
        <v>355212</v>
      </c>
    </row>
    <row r="2190" spans="1:11">
      <c r="A2190">
        <v>400268</v>
      </c>
      <c r="B2190" s="10">
        <v>2020</v>
      </c>
      <c r="C2190" t="s">
        <v>702</v>
      </c>
      <c r="D2190" t="s">
        <v>2472</v>
      </c>
      <c r="E2190" t="s">
        <v>2474</v>
      </c>
      <c r="F2190" t="s">
        <v>1766</v>
      </c>
      <c r="G2190" t="s">
        <v>1766</v>
      </c>
      <c r="H2190" s="10">
        <v>378092</v>
      </c>
      <c r="I2190">
        <f>IFERROR(VLOOKUP(Final!F2190,'LEAID Match'!$A$2:$B$374,2,FALSE),"")</f>
        <v>400268</v>
      </c>
      <c r="K2190" s="10">
        <f t="shared" si="34"/>
        <v>378092</v>
      </c>
    </row>
    <row r="2191" spans="1:11">
      <c r="A2191">
        <v>400268</v>
      </c>
      <c r="B2191" s="10">
        <v>2021</v>
      </c>
      <c r="C2191" t="s">
        <v>702</v>
      </c>
      <c r="D2191" t="s">
        <v>2472</v>
      </c>
      <c r="E2191" t="s">
        <v>2474</v>
      </c>
      <c r="F2191" t="s">
        <v>1766</v>
      </c>
      <c r="G2191" t="s">
        <v>1766</v>
      </c>
      <c r="H2191" s="10">
        <v>391554</v>
      </c>
      <c r="I2191">
        <f>IFERROR(VLOOKUP(Final!F2191,'LEAID Match'!$A$2:$B$374,2,FALSE),"")</f>
        <v>400268</v>
      </c>
      <c r="K2191" s="10">
        <f t="shared" si="34"/>
        <v>391554</v>
      </c>
    </row>
    <row r="2192" spans="1:11">
      <c r="A2192">
        <v>400268</v>
      </c>
      <c r="B2192" s="10">
        <v>2022</v>
      </c>
      <c r="C2192" t="s">
        <v>702</v>
      </c>
      <c r="D2192" t="s">
        <v>2472</v>
      </c>
      <c r="E2192" t="s">
        <v>2474</v>
      </c>
      <c r="F2192" t="s">
        <v>1766</v>
      </c>
      <c r="G2192" t="s">
        <v>1766</v>
      </c>
      <c r="H2192" s="10">
        <v>435073</v>
      </c>
      <c r="I2192">
        <f>IFERROR(VLOOKUP(Final!F2192,'LEAID Match'!$A$2:$B$374,2,FALSE),"")</f>
        <v>400268</v>
      </c>
      <c r="K2192" s="10">
        <f t="shared" si="34"/>
        <v>435073</v>
      </c>
    </row>
    <row r="2193" spans="1:11">
      <c r="A2193">
        <v>400268</v>
      </c>
      <c r="B2193" s="10">
        <v>2023</v>
      </c>
      <c r="C2193" t="s">
        <v>702</v>
      </c>
      <c r="D2193" t="s">
        <v>2472</v>
      </c>
      <c r="E2193" t="s">
        <v>2474</v>
      </c>
      <c r="F2193" t="s">
        <v>1766</v>
      </c>
      <c r="G2193" t="s">
        <v>1766</v>
      </c>
      <c r="H2193" s="10">
        <v>437920</v>
      </c>
      <c r="I2193">
        <f>IFERROR(VLOOKUP(Final!F2193,'LEAID Match'!$A$2:$B$374,2,FALSE),"")</f>
        <v>400268</v>
      </c>
      <c r="K2193" s="10">
        <f t="shared" si="34"/>
        <v>437920</v>
      </c>
    </row>
    <row r="2194" spans="1:11">
      <c r="A2194" t="s">
        <v>2470</v>
      </c>
      <c r="B2194" s="10">
        <v>2015</v>
      </c>
      <c r="C2194" t="s">
        <v>912</v>
      </c>
      <c r="D2194" t="s">
        <v>2472</v>
      </c>
      <c r="E2194" t="s">
        <v>2474</v>
      </c>
      <c r="F2194" t="s">
        <v>1854</v>
      </c>
      <c r="G2194" t="s">
        <v>857</v>
      </c>
      <c r="H2194" s="10">
        <v>701848</v>
      </c>
      <c r="I2194" t="str">
        <f>IFERROR(VLOOKUP(Final!F2194,'LEAID Match'!$A$2:$B$374,2,FALSE),"")</f>
        <v/>
      </c>
      <c r="K2194" s="10">
        <f t="shared" si="34"/>
        <v>701848</v>
      </c>
    </row>
    <row r="2195" spans="1:11">
      <c r="A2195" t="s">
        <v>2470</v>
      </c>
      <c r="B2195" s="10">
        <v>2016</v>
      </c>
      <c r="C2195" t="s">
        <v>912</v>
      </c>
      <c r="D2195" t="s">
        <v>2472</v>
      </c>
      <c r="E2195" t="s">
        <v>2474</v>
      </c>
      <c r="F2195" t="s">
        <v>1854</v>
      </c>
      <c r="G2195" t="s">
        <v>857</v>
      </c>
      <c r="H2195" s="10">
        <v>733297</v>
      </c>
      <c r="I2195" t="str">
        <f>IFERROR(VLOOKUP(Final!F2195,'LEAID Match'!$A$2:$B$374,2,FALSE),"")</f>
        <v/>
      </c>
      <c r="K2195" s="10">
        <f t="shared" si="34"/>
        <v>733297</v>
      </c>
    </row>
    <row r="2196" spans="1:11">
      <c r="A2196" t="s">
        <v>2470</v>
      </c>
      <c r="B2196" s="10">
        <v>2017</v>
      </c>
      <c r="C2196" t="s">
        <v>912</v>
      </c>
      <c r="D2196" t="s">
        <v>2472</v>
      </c>
      <c r="E2196" t="s">
        <v>2474</v>
      </c>
      <c r="F2196" t="s">
        <v>1854</v>
      </c>
      <c r="G2196" t="s">
        <v>1854</v>
      </c>
      <c r="H2196" s="10">
        <v>788149</v>
      </c>
      <c r="I2196" t="str">
        <f>IFERROR(VLOOKUP(Final!F2196,'LEAID Match'!$A$2:$B$374,2,FALSE),"")</f>
        <v/>
      </c>
      <c r="K2196" s="10">
        <f t="shared" si="34"/>
        <v>788149</v>
      </c>
    </row>
    <row r="2197" spans="1:11">
      <c r="A2197" t="s">
        <v>2470</v>
      </c>
      <c r="B2197" s="10">
        <v>2018</v>
      </c>
      <c r="C2197" t="s">
        <v>912</v>
      </c>
      <c r="D2197" t="s">
        <v>2472</v>
      </c>
      <c r="E2197" t="s">
        <v>2474</v>
      </c>
      <c r="F2197" t="s">
        <v>1854</v>
      </c>
      <c r="G2197" t="s">
        <v>2265</v>
      </c>
      <c r="H2197" s="10">
        <v>972978</v>
      </c>
      <c r="I2197" t="str">
        <f>IFERROR(VLOOKUP(Final!F2197,'LEAID Match'!$A$2:$B$374,2,FALSE),"")</f>
        <v/>
      </c>
      <c r="K2197" s="10">
        <f t="shared" si="34"/>
        <v>972978</v>
      </c>
    </row>
    <row r="2198" spans="1:11">
      <c r="A2198" t="s">
        <v>2470</v>
      </c>
      <c r="B2198" s="10">
        <v>2019</v>
      </c>
      <c r="C2198" t="s">
        <v>912</v>
      </c>
      <c r="D2198" t="s">
        <v>2472</v>
      </c>
      <c r="E2198" t="s">
        <v>2474</v>
      </c>
      <c r="F2198" t="s">
        <v>1854</v>
      </c>
      <c r="G2198" t="s">
        <v>2382</v>
      </c>
      <c r="H2198" s="10">
        <v>1142456</v>
      </c>
      <c r="I2198" t="str">
        <f>IFERROR(VLOOKUP(Final!F2198,'LEAID Match'!$A$2:$B$374,2,FALSE),"")</f>
        <v/>
      </c>
      <c r="K2198" s="10">
        <f t="shared" si="34"/>
        <v>1142456</v>
      </c>
    </row>
    <row r="2199" spans="1:11">
      <c r="A2199" t="s">
        <v>2470</v>
      </c>
      <c r="B2199" s="10">
        <v>2020</v>
      </c>
      <c r="C2199" t="s">
        <v>912</v>
      </c>
      <c r="D2199" t="s">
        <v>2472</v>
      </c>
      <c r="E2199" t="s">
        <v>2474</v>
      </c>
      <c r="F2199" t="s">
        <v>1854</v>
      </c>
      <c r="G2199" t="s">
        <v>1854</v>
      </c>
      <c r="H2199" s="10">
        <v>1245474</v>
      </c>
      <c r="I2199" t="str">
        <f>IFERROR(VLOOKUP(Final!F2199,'LEAID Match'!$A$2:$B$374,2,FALSE),"")</f>
        <v/>
      </c>
      <c r="K2199" s="10">
        <f t="shared" si="34"/>
        <v>1245474</v>
      </c>
    </row>
    <row r="2200" spans="1:11">
      <c r="A2200" t="s">
        <v>2470</v>
      </c>
      <c r="B2200" s="10">
        <v>2021</v>
      </c>
      <c r="C2200" t="s">
        <v>912</v>
      </c>
      <c r="D2200" t="s">
        <v>2472</v>
      </c>
      <c r="E2200" t="s">
        <v>2474</v>
      </c>
      <c r="F2200" t="s">
        <v>1854</v>
      </c>
      <c r="G2200" t="s">
        <v>2382</v>
      </c>
      <c r="H2200" s="10">
        <v>1399622</v>
      </c>
      <c r="I2200" t="str">
        <f>IFERROR(VLOOKUP(Final!F2200,'LEAID Match'!$A$2:$B$374,2,FALSE),"")</f>
        <v/>
      </c>
      <c r="K2200" s="10">
        <f t="shared" si="34"/>
        <v>1399622</v>
      </c>
    </row>
    <row r="2201" spans="1:11">
      <c r="A2201" t="s">
        <v>2470</v>
      </c>
      <c r="B2201" s="10">
        <v>2022</v>
      </c>
      <c r="C2201" t="s">
        <v>912</v>
      </c>
      <c r="D2201" t="s">
        <v>2472</v>
      </c>
      <c r="E2201" t="s">
        <v>2474</v>
      </c>
      <c r="F2201" t="s">
        <v>1854</v>
      </c>
      <c r="G2201" t="s">
        <v>1854</v>
      </c>
      <c r="H2201" s="10">
        <v>1482376</v>
      </c>
      <c r="I2201" t="str">
        <f>IFERROR(VLOOKUP(Final!F2201,'LEAID Match'!$A$2:$B$374,2,FALSE),"")</f>
        <v/>
      </c>
      <c r="K2201" s="10">
        <f t="shared" si="34"/>
        <v>1482376</v>
      </c>
    </row>
    <row r="2202" spans="1:11">
      <c r="A2202" t="s">
        <v>2470</v>
      </c>
      <c r="B2202" s="10">
        <v>2023</v>
      </c>
      <c r="C2202" t="s">
        <v>912</v>
      </c>
      <c r="D2202" t="s">
        <v>2472</v>
      </c>
      <c r="E2202" t="s">
        <v>2474</v>
      </c>
      <c r="F2202" t="s">
        <v>1854</v>
      </c>
      <c r="G2202" t="s">
        <v>1854</v>
      </c>
      <c r="H2202" s="10">
        <v>1546820</v>
      </c>
      <c r="I2202" t="str">
        <f>IFERROR(VLOOKUP(Final!F2202,'LEAID Match'!$A$2:$B$374,2,FALSE),"")</f>
        <v/>
      </c>
      <c r="K2202" s="10">
        <f t="shared" si="34"/>
        <v>1546820</v>
      </c>
    </row>
    <row r="2203" spans="1:11">
      <c r="A2203">
        <v>400069</v>
      </c>
      <c r="B2203" s="10">
        <v>2015</v>
      </c>
      <c r="C2203" t="s">
        <v>704</v>
      </c>
      <c r="D2203" t="s">
        <v>2472</v>
      </c>
      <c r="E2203" t="s">
        <v>2474</v>
      </c>
      <c r="F2203" t="s">
        <v>1769</v>
      </c>
      <c r="G2203" t="s">
        <v>649</v>
      </c>
      <c r="H2203" s="10">
        <v>89820</v>
      </c>
      <c r="I2203">
        <f>IFERROR(VLOOKUP(Final!F2203,'LEAID Match'!$A$2:$B$374,2,FALSE),"")</f>
        <v>400069</v>
      </c>
      <c r="K2203" s="10">
        <f t="shared" si="34"/>
        <v>89820</v>
      </c>
    </row>
    <row r="2204" spans="1:11">
      <c r="A2204">
        <v>400069</v>
      </c>
      <c r="B2204" s="10">
        <v>2016</v>
      </c>
      <c r="C2204" t="s">
        <v>704</v>
      </c>
      <c r="D2204" t="s">
        <v>2472</v>
      </c>
      <c r="E2204" t="s">
        <v>2474</v>
      </c>
      <c r="F2204" t="s">
        <v>1769</v>
      </c>
      <c r="G2204" t="s">
        <v>649</v>
      </c>
      <c r="H2204" s="10">
        <v>95836</v>
      </c>
      <c r="I2204">
        <f>IFERROR(VLOOKUP(Final!F2204,'LEAID Match'!$A$2:$B$374,2,FALSE),"")</f>
        <v>400069</v>
      </c>
      <c r="K2204" s="10">
        <f t="shared" si="34"/>
        <v>95836</v>
      </c>
    </row>
    <row r="2205" spans="1:11">
      <c r="A2205">
        <v>400069</v>
      </c>
      <c r="B2205" s="10">
        <v>2017</v>
      </c>
      <c r="C2205" t="s">
        <v>704</v>
      </c>
      <c r="D2205" t="s">
        <v>2472</v>
      </c>
      <c r="E2205" t="s">
        <v>2474</v>
      </c>
      <c r="F2205" t="s">
        <v>1769</v>
      </c>
      <c r="G2205" t="s">
        <v>1769</v>
      </c>
      <c r="H2205" s="10">
        <v>106204</v>
      </c>
      <c r="I2205">
        <f>IFERROR(VLOOKUP(Final!F2205,'LEAID Match'!$A$2:$B$374,2,FALSE),"")</f>
        <v>400069</v>
      </c>
      <c r="K2205" s="10">
        <f t="shared" si="34"/>
        <v>106204</v>
      </c>
    </row>
    <row r="2206" spans="1:11">
      <c r="A2206">
        <v>400069</v>
      </c>
      <c r="B2206" s="10">
        <v>2018</v>
      </c>
      <c r="C2206" t="s">
        <v>704</v>
      </c>
      <c r="D2206" t="s">
        <v>2472</v>
      </c>
      <c r="E2206" t="s">
        <v>2474</v>
      </c>
      <c r="F2206" t="s">
        <v>1769</v>
      </c>
      <c r="G2206" t="s">
        <v>1769</v>
      </c>
      <c r="H2206" s="10">
        <v>105424</v>
      </c>
      <c r="I2206">
        <f>IFERROR(VLOOKUP(Final!F2206,'LEAID Match'!$A$2:$B$374,2,FALSE),"")</f>
        <v>400069</v>
      </c>
      <c r="K2206" s="10">
        <f t="shared" si="34"/>
        <v>105424</v>
      </c>
    </row>
    <row r="2207" spans="1:11">
      <c r="A2207">
        <v>400069</v>
      </c>
      <c r="B2207" s="10">
        <v>2019</v>
      </c>
      <c r="C2207" t="s">
        <v>704</v>
      </c>
      <c r="D2207" t="s">
        <v>2472</v>
      </c>
      <c r="E2207" t="s">
        <v>2474</v>
      </c>
      <c r="F2207" t="s">
        <v>1769</v>
      </c>
      <c r="G2207" t="s">
        <v>1769</v>
      </c>
      <c r="H2207" s="10">
        <v>113313</v>
      </c>
      <c r="I2207">
        <f>IFERROR(VLOOKUP(Final!F2207,'LEAID Match'!$A$2:$B$374,2,FALSE),"")</f>
        <v>400069</v>
      </c>
      <c r="K2207" s="10">
        <f t="shared" si="34"/>
        <v>113313</v>
      </c>
    </row>
    <row r="2208" spans="1:11">
      <c r="A2208">
        <v>400069</v>
      </c>
      <c r="B2208" s="10">
        <v>2020</v>
      </c>
      <c r="C2208" t="s">
        <v>704</v>
      </c>
      <c r="D2208" t="s">
        <v>2472</v>
      </c>
      <c r="E2208" t="s">
        <v>2474</v>
      </c>
      <c r="F2208" t="s">
        <v>1769</v>
      </c>
      <c r="G2208" t="s">
        <v>1769</v>
      </c>
      <c r="H2208" s="10">
        <v>129280</v>
      </c>
      <c r="I2208">
        <f>IFERROR(VLOOKUP(Final!F2208,'LEAID Match'!$A$2:$B$374,2,FALSE),"")</f>
        <v>400069</v>
      </c>
      <c r="K2208" s="10">
        <f t="shared" si="34"/>
        <v>129280</v>
      </c>
    </row>
    <row r="2209" spans="1:11">
      <c r="A2209">
        <v>400069</v>
      </c>
      <c r="B2209" s="10">
        <v>2021</v>
      </c>
      <c r="C2209" t="s">
        <v>704</v>
      </c>
      <c r="D2209" t="s">
        <v>2472</v>
      </c>
      <c r="E2209" t="s">
        <v>2474</v>
      </c>
      <c r="F2209" t="s">
        <v>1769</v>
      </c>
      <c r="G2209" t="s">
        <v>1769</v>
      </c>
      <c r="H2209" s="10">
        <v>140815</v>
      </c>
      <c r="I2209">
        <f>IFERROR(VLOOKUP(Final!F2209,'LEAID Match'!$A$2:$B$374,2,FALSE),"")</f>
        <v>400069</v>
      </c>
      <c r="K2209" s="10">
        <f t="shared" si="34"/>
        <v>140815</v>
      </c>
    </row>
    <row r="2210" spans="1:11">
      <c r="A2210">
        <v>400069</v>
      </c>
      <c r="B2210" s="10">
        <v>2022</v>
      </c>
      <c r="C2210" t="s">
        <v>704</v>
      </c>
      <c r="D2210" t="s">
        <v>2472</v>
      </c>
      <c r="E2210" t="s">
        <v>2474</v>
      </c>
      <c r="F2210" t="s">
        <v>1769</v>
      </c>
      <c r="G2210" t="s">
        <v>1769</v>
      </c>
      <c r="H2210" s="10">
        <v>128713</v>
      </c>
      <c r="I2210">
        <f>IFERROR(VLOOKUP(Final!F2210,'LEAID Match'!$A$2:$B$374,2,FALSE),"")</f>
        <v>400069</v>
      </c>
      <c r="K2210" s="10">
        <f t="shared" si="34"/>
        <v>128713</v>
      </c>
    </row>
    <row r="2211" spans="1:11">
      <c r="A2211">
        <v>400069</v>
      </c>
      <c r="B2211" s="10">
        <v>2023</v>
      </c>
      <c r="C2211" t="s">
        <v>704</v>
      </c>
      <c r="D2211" t="s">
        <v>2472</v>
      </c>
      <c r="E2211" t="s">
        <v>2474</v>
      </c>
      <c r="F2211" t="s">
        <v>1769</v>
      </c>
      <c r="G2211" t="s">
        <v>1769</v>
      </c>
      <c r="H2211" s="10">
        <v>153893</v>
      </c>
      <c r="I2211">
        <f>IFERROR(VLOOKUP(Final!F2211,'LEAID Match'!$A$2:$B$374,2,FALSE),"")</f>
        <v>400069</v>
      </c>
      <c r="K2211" s="10">
        <f t="shared" si="34"/>
        <v>153893</v>
      </c>
    </row>
    <row r="2212" spans="1:11">
      <c r="A2212">
        <v>400348</v>
      </c>
      <c r="B2212" s="10">
        <v>2015</v>
      </c>
      <c r="C2212" t="s">
        <v>357</v>
      </c>
      <c r="D2212" t="s">
        <v>2472</v>
      </c>
      <c r="E2212" t="s">
        <v>2474</v>
      </c>
      <c r="F2212" t="s">
        <v>2424</v>
      </c>
      <c r="G2212" t="s">
        <v>303</v>
      </c>
      <c r="H2212" s="10">
        <v>131768</v>
      </c>
      <c r="I2212">
        <f>IFERROR(VLOOKUP(Final!F2212,'LEAID Match'!$A$2:$B$374,2,FALSE),"")</f>
        <v>400348</v>
      </c>
      <c r="K2212" s="10">
        <f t="shared" si="34"/>
        <v>131768</v>
      </c>
    </row>
    <row r="2213" spans="1:11">
      <c r="A2213">
        <v>400348</v>
      </c>
      <c r="B2213" s="10">
        <v>2016</v>
      </c>
      <c r="C2213" t="s">
        <v>357</v>
      </c>
      <c r="D2213" t="s">
        <v>2472</v>
      </c>
      <c r="E2213" t="s">
        <v>2474</v>
      </c>
      <c r="F2213" t="s">
        <v>2424</v>
      </c>
      <c r="G2213" t="s">
        <v>303</v>
      </c>
      <c r="H2213" s="10">
        <v>138404</v>
      </c>
      <c r="I2213">
        <f>IFERROR(VLOOKUP(Final!F2213,'LEAID Match'!$A$2:$B$374,2,FALSE),"")</f>
        <v>400348</v>
      </c>
      <c r="K2213" s="10">
        <f t="shared" si="34"/>
        <v>138404</v>
      </c>
    </row>
    <row r="2214" spans="1:11">
      <c r="A2214">
        <v>400348</v>
      </c>
      <c r="B2214" s="10">
        <v>2017</v>
      </c>
      <c r="C2214" t="s">
        <v>357</v>
      </c>
      <c r="D2214" t="s">
        <v>2472</v>
      </c>
      <c r="E2214" t="s">
        <v>2474</v>
      </c>
      <c r="F2214" t="s">
        <v>2424</v>
      </c>
      <c r="G2214" t="s">
        <v>1652</v>
      </c>
      <c r="H2214" s="10">
        <v>113946</v>
      </c>
      <c r="I2214">
        <f>IFERROR(VLOOKUP(Final!F2214,'LEAID Match'!$A$2:$B$374,2,FALSE),"")</f>
        <v>400348</v>
      </c>
      <c r="K2214" s="10">
        <f t="shared" si="34"/>
        <v>113946</v>
      </c>
    </row>
    <row r="2215" spans="1:11">
      <c r="A2215">
        <v>400348</v>
      </c>
      <c r="B2215" s="10">
        <v>2018</v>
      </c>
      <c r="C2215" t="s">
        <v>357</v>
      </c>
      <c r="D2215" t="s">
        <v>2472</v>
      </c>
      <c r="E2215" t="s">
        <v>2474</v>
      </c>
      <c r="F2215" t="s">
        <v>2424</v>
      </c>
      <c r="G2215" t="s">
        <v>2148</v>
      </c>
      <c r="H2215" s="10">
        <v>116846</v>
      </c>
      <c r="I2215">
        <f>IFERROR(VLOOKUP(Final!F2215,'LEAID Match'!$A$2:$B$374,2,FALSE),"")</f>
        <v>400348</v>
      </c>
      <c r="K2215" s="10">
        <f t="shared" si="34"/>
        <v>116846</v>
      </c>
    </row>
    <row r="2216" spans="1:11">
      <c r="A2216">
        <v>400348</v>
      </c>
      <c r="B2216" s="10">
        <v>2019</v>
      </c>
      <c r="C2216" t="s">
        <v>357</v>
      </c>
      <c r="D2216" t="s">
        <v>2472</v>
      </c>
      <c r="E2216" t="s">
        <v>2474</v>
      </c>
      <c r="F2216" t="s">
        <v>2424</v>
      </c>
      <c r="G2216" t="s">
        <v>1652</v>
      </c>
      <c r="H2216" s="10">
        <v>155573</v>
      </c>
      <c r="I2216">
        <f>IFERROR(VLOOKUP(Final!F2216,'LEAID Match'!$A$2:$B$374,2,FALSE),"")</f>
        <v>400348</v>
      </c>
      <c r="K2216" s="10">
        <f t="shared" si="34"/>
        <v>155573</v>
      </c>
    </row>
    <row r="2217" spans="1:11">
      <c r="A2217">
        <v>400348</v>
      </c>
      <c r="B2217" s="10">
        <v>2020</v>
      </c>
      <c r="C2217" t="s">
        <v>357</v>
      </c>
      <c r="D2217" t="s">
        <v>2472</v>
      </c>
      <c r="E2217" t="s">
        <v>2474</v>
      </c>
      <c r="F2217" t="s">
        <v>2424</v>
      </c>
      <c r="G2217" t="s">
        <v>1652</v>
      </c>
      <c r="H2217" s="10">
        <v>186721</v>
      </c>
      <c r="I2217">
        <f>IFERROR(VLOOKUP(Final!F2217,'LEAID Match'!$A$2:$B$374,2,FALSE),"")</f>
        <v>400348</v>
      </c>
      <c r="K2217" s="10">
        <f t="shared" si="34"/>
        <v>186721</v>
      </c>
    </row>
    <row r="2218" spans="1:11">
      <c r="A2218">
        <v>400348</v>
      </c>
      <c r="B2218" s="10">
        <v>2021</v>
      </c>
      <c r="C2218" t="s">
        <v>357</v>
      </c>
      <c r="D2218" t="s">
        <v>2472</v>
      </c>
      <c r="E2218" t="s">
        <v>2474</v>
      </c>
      <c r="F2218" t="s">
        <v>2424</v>
      </c>
      <c r="G2218" t="s">
        <v>2424</v>
      </c>
      <c r="H2218" s="10">
        <v>186440</v>
      </c>
      <c r="I2218">
        <f>IFERROR(VLOOKUP(Final!F2218,'LEAID Match'!$A$2:$B$374,2,FALSE),"")</f>
        <v>400348</v>
      </c>
      <c r="K2218" s="10">
        <f t="shared" si="34"/>
        <v>186440</v>
      </c>
    </row>
    <row r="2219" spans="1:11">
      <c r="A2219">
        <v>400348</v>
      </c>
      <c r="B2219" s="10">
        <v>2022</v>
      </c>
      <c r="C2219" t="s">
        <v>357</v>
      </c>
      <c r="D2219" t="s">
        <v>2472</v>
      </c>
      <c r="E2219" t="s">
        <v>2474</v>
      </c>
      <c r="F2219" t="s">
        <v>2424</v>
      </c>
      <c r="G2219" t="s">
        <v>2424</v>
      </c>
      <c r="H2219" s="10">
        <v>224664</v>
      </c>
      <c r="I2219">
        <f>IFERROR(VLOOKUP(Final!F2219,'LEAID Match'!$A$2:$B$374,2,FALSE),"")</f>
        <v>400348</v>
      </c>
      <c r="K2219" s="10">
        <f t="shared" si="34"/>
        <v>224664</v>
      </c>
    </row>
    <row r="2220" spans="1:11">
      <c r="A2220">
        <v>400348</v>
      </c>
      <c r="B2220" s="10">
        <v>2023</v>
      </c>
      <c r="C2220" t="s">
        <v>357</v>
      </c>
      <c r="D2220" t="s">
        <v>2472</v>
      </c>
      <c r="E2220" t="s">
        <v>2474</v>
      </c>
      <c r="F2220" t="s">
        <v>2424</v>
      </c>
      <c r="G2220" t="s">
        <v>2424</v>
      </c>
      <c r="H2220" s="10">
        <v>226756</v>
      </c>
      <c r="I2220">
        <f>IFERROR(VLOOKUP(Final!F2220,'LEAID Match'!$A$2:$B$374,2,FALSE),"")</f>
        <v>400348</v>
      </c>
      <c r="K2220" s="10">
        <f t="shared" si="34"/>
        <v>226756</v>
      </c>
    </row>
    <row r="2221" spans="1:11">
      <c r="A2221">
        <v>400363</v>
      </c>
      <c r="B2221" s="10">
        <v>2015</v>
      </c>
      <c r="C2221" t="s">
        <v>1111</v>
      </c>
      <c r="D2221" t="s">
        <v>2472</v>
      </c>
      <c r="E2221" t="s">
        <v>2474</v>
      </c>
      <c r="F2221" t="s">
        <v>1937</v>
      </c>
      <c r="G2221" t="s">
        <v>1056</v>
      </c>
      <c r="H2221" s="10">
        <v>22479</v>
      </c>
      <c r="I2221">
        <f>IFERROR(VLOOKUP(Final!F2221,'LEAID Match'!$A$2:$B$374,2,FALSE),"")</f>
        <v>400363</v>
      </c>
      <c r="K2221" s="10">
        <f t="shared" si="34"/>
        <v>22479</v>
      </c>
    </row>
    <row r="2222" spans="1:11">
      <c r="A2222">
        <v>400363</v>
      </c>
      <c r="B2222" s="10">
        <v>2016</v>
      </c>
      <c r="C2222" t="s">
        <v>1111</v>
      </c>
      <c r="D2222" t="s">
        <v>2472</v>
      </c>
      <c r="E2222" t="s">
        <v>2474</v>
      </c>
      <c r="F2222" t="s">
        <v>1937</v>
      </c>
      <c r="G2222" t="s">
        <v>1056</v>
      </c>
      <c r="H2222" s="10">
        <v>24583</v>
      </c>
      <c r="I2222">
        <f>IFERROR(VLOOKUP(Final!F2222,'LEAID Match'!$A$2:$B$374,2,FALSE),"")</f>
        <v>400363</v>
      </c>
      <c r="K2222" s="10">
        <f t="shared" si="34"/>
        <v>24583</v>
      </c>
    </row>
    <row r="2223" spans="1:11">
      <c r="A2223">
        <v>400363</v>
      </c>
      <c r="B2223" s="10">
        <v>2017</v>
      </c>
      <c r="C2223" t="s">
        <v>1111</v>
      </c>
      <c r="D2223" t="s">
        <v>2472</v>
      </c>
      <c r="E2223" t="s">
        <v>2474</v>
      </c>
      <c r="F2223" t="s">
        <v>1937</v>
      </c>
      <c r="G2223" t="s">
        <v>1937</v>
      </c>
      <c r="H2223" s="10">
        <v>25652</v>
      </c>
      <c r="I2223">
        <f>IFERROR(VLOOKUP(Final!F2223,'LEAID Match'!$A$2:$B$374,2,FALSE),"")</f>
        <v>400363</v>
      </c>
      <c r="K2223" s="10">
        <f t="shared" si="34"/>
        <v>25652</v>
      </c>
    </row>
    <row r="2224" spans="1:11">
      <c r="A2224">
        <v>400363</v>
      </c>
      <c r="B2224" s="10">
        <v>2018</v>
      </c>
      <c r="C2224" t="s">
        <v>1111</v>
      </c>
      <c r="D2224" t="s">
        <v>2472</v>
      </c>
      <c r="E2224" t="s">
        <v>2474</v>
      </c>
      <c r="F2224" t="s">
        <v>1937</v>
      </c>
      <c r="G2224" t="s">
        <v>2306</v>
      </c>
      <c r="H2224" s="10">
        <v>21464</v>
      </c>
      <c r="I2224">
        <f>IFERROR(VLOOKUP(Final!F2224,'LEAID Match'!$A$2:$B$374,2,FALSE),"")</f>
        <v>400363</v>
      </c>
      <c r="K2224" s="10">
        <f t="shared" si="34"/>
        <v>21464</v>
      </c>
    </row>
    <row r="2225" spans="1:11">
      <c r="A2225">
        <v>400363</v>
      </c>
      <c r="B2225" s="10">
        <v>2019</v>
      </c>
      <c r="C2225" t="s">
        <v>1111</v>
      </c>
      <c r="D2225" t="s">
        <v>2472</v>
      </c>
      <c r="E2225" t="s">
        <v>2474</v>
      </c>
      <c r="F2225" t="s">
        <v>1937</v>
      </c>
      <c r="G2225" t="s">
        <v>1937</v>
      </c>
      <c r="H2225" s="10">
        <v>26316</v>
      </c>
      <c r="I2225">
        <f>IFERROR(VLOOKUP(Final!F2225,'LEAID Match'!$A$2:$B$374,2,FALSE),"")</f>
        <v>400363</v>
      </c>
      <c r="K2225" s="10">
        <f t="shared" si="34"/>
        <v>26316</v>
      </c>
    </row>
    <row r="2226" spans="1:11">
      <c r="A2226">
        <v>400363</v>
      </c>
      <c r="B2226" s="10">
        <v>2020</v>
      </c>
      <c r="C2226" t="s">
        <v>1111</v>
      </c>
      <c r="D2226" t="s">
        <v>2472</v>
      </c>
      <c r="E2226" t="s">
        <v>2474</v>
      </c>
      <c r="F2226" t="s">
        <v>1937</v>
      </c>
      <c r="G2226" t="s">
        <v>1937</v>
      </c>
      <c r="H2226" s="10">
        <v>27316</v>
      </c>
      <c r="I2226">
        <f>IFERROR(VLOOKUP(Final!F2226,'LEAID Match'!$A$2:$B$374,2,FALSE),"")</f>
        <v>400363</v>
      </c>
      <c r="K2226" s="10">
        <f t="shared" si="34"/>
        <v>27316</v>
      </c>
    </row>
    <row r="2227" spans="1:11">
      <c r="A2227">
        <v>400363</v>
      </c>
      <c r="B2227" s="10">
        <v>2021</v>
      </c>
      <c r="C2227" t="s">
        <v>1111</v>
      </c>
      <c r="D2227" t="s">
        <v>2472</v>
      </c>
      <c r="E2227" t="s">
        <v>2474</v>
      </c>
      <c r="F2227" t="s">
        <v>1937</v>
      </c>
      <c r="G2227" t="s">
        <v>1937</v>
      </c>
      <c r="H2227" s="10">
        <v>27873</v>
      </c>
      <c r="I2227">
        <f>IFERROR(VLOOKUP(Final!F2227,'LEAID Match'!$A$2:$B$374,2,FALSE),"")</f>
        <v>400363</v>
      </c>
      <c r="K2227" s="10">
        <f t="shared" si="34"/>
        <v>27873</v>
      </c>
    </row>
    <row r="2228" spans="1:11">
      <c r="A2228">
        <v>400363</v>
      </c>
      <c r="B2228" s="10">
        <v>2022</v>
      </c>
      <c r="C2228" t="s">
        <v>1111</v>
      </c>
      <c r="D2228" t="s">
        <v>2472</v>
      </c>
      <c r="E2228" t="s">
        <v>2474</v>
      </c>
      <c r="F2228" t="s">
        <v>1937</v>
      </c>
      <c r="G2228" t="s">
        <v>1937</v>
      </c>
      <c r="H2228" s="10">
        <v>31439</v>
      </c>
      <c r="I2228">
        <f>IFERROR(VLOOKUP(Final!F2228,'LEAID Match'!$A$2:$B$374,2,FALSE),"")</f>
        <v>400363</v>
      </c>
      <c r="K2228" s="10">
        <f t="shared" si="34"/>
        <v>31439</v>
      </c>
    </row>
    <row r="2229" spans="1:11">
      <c r="A2229">
        <v>400363</v>
      </c>
      <c r="B2229" s="10">
        <v>2023</v>
      </c>
      <c r="C2229" t="s">
        <v>1111</v>
      </c>
      <c r="D2229" t="s">
        <v>2472</v>
      </c>
      <c r="E2229" t="s">
        <v>2474</v>
      </c>
      <c r="F2229" t="s">
        <v>1937</v>
      </c>
      <c r="G2229" t="s">
        <v>1937</v>
      </c>
      <c r="H2229" s="10">
        <v>30549</v>
      </c>
      <c r="I2229">
        <f>IFERROR(VLOOKUP(Final!F2229,'LEAID Match'!$A$2:$B$374,2,FALSE),"")</f>
        <v>400363</v>
      </c>
      <c r="K2229" s="10">
        <f t="shared" si="34"/>
        <v>30549</v>
      </c>
    </row>
    <row r="2230" spans="1:11">
      <c r="A2230">
        <v>400061</v>
      </c>
      <c r="B2230" s="10">
        <v>2015</v>
      </c>
      <c r="C2230" t="s">
        <v>916</v>
      </c>
      <c r="D2230" t="s">
        <v>2472</v>
      </c>
      <c r="E2230" t="s">
        <v>2474</v>
      </c>
      <c r="F2230" t="s">
        <v>2443</v>
      </c>
      <c r="G2230" t="s">
        <v>861</v>
      </c>
      <c r="H2230" s="10">
        <v>42882</v>
      </c>
      <c r="I2230">
        <f>IFERROR(VLOOKUP(Final!F2230,'LEAID Match'!$A$2:$B$374,2,FALSE),"")</f>
        <v>400061</v>
      </c>
      <c r="K2230" s="10">
        <f t="shared" si="34"/>
        <v>42882</v>
      </c>
    </row>
    <row r="2231" spans="1:11">
      <c r="A2231">
        <v>400061</v>
      </c>
      <c r="B2231" s="10">
        <v>2016</v>
      </c>
      <c r="C2231" t="s">
        <v>916</v>
      </c>
      <c r="D2231" t="s">
        <v>2472</v>
      </c>
      <c r="E2231" t="s">
        <v>2474</v>
      </c>
      <c r="F2231" t="s">
        <v>2443</v>
      </c>
      <c r="G2231" t="s">
        <v>861</v>
      </c>
      <c r="H2231" s="10">
        <v>46962</v>
      </c>
      <c r="I2231">
        <f>IFERROR(VLOOKUP(Final!F2231,'LEAID Match'!$A$2:$B$374,2,FALSE),"")</f>
        <v>400061</v>
      </c>
      <c r="K2231" s="10">
        <f t="shared" si="34"/>
        <v>46962</v>
      </c>
    </row>
    <row r="2232" spans="1:11">
      <c r="A2232">
        <v>400061</v>
      </c>
      <c r="B2232" s="10">
        <v>2017</v>
      </c>
      <c r="C2232" t="s">
        <v>916</v>
      </c>
      <c r="D2232" t="s">
        <v>2472</v>
      </c>
      <c r="E2232" t="s">
        <v>2474</v>
      </c>
      <c r="F2232" t="s">
        <v>2443</v>
      </c>
      <c r="G2232" t="s">
        <v>1760</v>
      </c>
      <c r="H2232" s="10">
        <v>49380</v>
      </c>
      <c r="I2232">
        <f>IFERROR(VLOOKUP(Final!F2232,'LEAID Match'!$A$2:$B$374,2,FALSE),"")</f>
        <v>400061</v>
      </c>
      <c r="K2232" s="10">
        <f t="shared" si="34"/>
        <v>49380</v>
      </c>
    </row>
    <row r="2233" spans="1:11">
      <c r="A2233">
        <v>400061</v>
      </c>
      <c r="B2233" s="10">
        <v>2018</v>
      </c>
      <c r="C2233" t="s">
        <v>916</v>
      </c>
      <c r="D2233" t="s">
        <v>2472</v>
      </c>
      <c r="E2233" t="s">
        <v>2474</v>
      </c>
      <c r="F2233" t="s">
        <v>2443</v>
      </c>
      <c r="G2233" t="s">
        <v>1760</v>
      </c>
      <c r="H2233" s="10">
        <v>55790</v>
      </c>
      <c r="I2233">
        <f>IFERROR(VLOOKUP(Final!F2233,'LEAID Match'!$A$2:$B$374,2,FALSE),"")</f>
        <v>400061</v>
      </c>
      <c r="K2233" s="10">
        <f t="shared" si="34"/>
        <v>55790</v>
      </c>
    </row>
    <row r="2234" spans="1:11">
      <c r="A2234">
        <v>400061</v>
      </c>
      <c r="B2234" s="10">
        <v>2019</v>
      </c>
      <c r="C2234" t="s">
        <v>916</v>
      </c>
      <c r="D2234" t="s">
        <v>2472</v>
      </c>
      <c r="E2234" t="s">
        <v>2474</v>
      </c>
      <c r="F2234" t="s">
        <v>2443</v>
      </c>
      <c r="G2234" t="s">
        <v>1760</v>
      </c>
      <c r="H2234" s="10">
        <v>61359</v>
      </c>
      <c r="I2234">
        <f>IFERROR(VLOOKUP(Final!F2234,'LEAID Match'!$A$2:$B$374,2,FALSE),"")</f>
        <v>400061</v>
      </c>
      <c r="K2234" s="10">
        <f t="shared" si="34"/>
        <v>61359</v>
      </c>
    </row>
    <row r="2235" spans="1:11">
      <c r="A2235">
        <v>400061</v>
      </c>
      <c r="B2235" s="10">
        <v>2020</v>
      </c>
      <c r="C2235" t="s">
        <v>916</v>
      </c>
      <c r="D2235" t="s">
        <v>2472</v>
      </c>
      <c r="E2235" t="s">
        <v>2474</v>
      </c>
      <c r="F2235" t="s">
        <v>2443</v>
      </c>
      <c r="G2235" t="s">
        <v>1760</v>
      </c>
      <c r="H2235" s="10">
        <v>64005</v>
      </c>
      <c r="I2235">
        <f>IFERROR(VLOOKUP(Final!F2235,'LEAID Match'!$A$2:$B$374,2,FALSE),"")</f>
        <v>400061</v>
      </c>
      <c r="K2235" s="10">
        <f t="shared" si="34"/>
        <v>64005</v>
      </c>
    </row>
    <row r="2236" spans="1:11">
      <c r="A2236">
        <v>400061</v>
      </c>
      <c r="B2236" s="10">
        <v>2021</v>
      </c>
      <c r="C2236" t="s">
        <v>916</v>
      </c>
      <c r="D2236" t="s">
        <v>2472</v>
      </c>
      <c r="E2236" t="s">
        <v>2474</v>
      </c>
      <c r="F2236" t="s">
        <v>2443</v>
      </c>
      <c r="G2236" t="s">
        <v>1760</v>
      </c>
      <c r="H2236" s="10">
        <v>65093</v>
      </c>
      <c r="I2236">
        <f>IFERROR(VLOOKUP(Final!F2236,'LEAID Match'!$A$2:$B$374,2,FALSE),"")</f>
        <v>400061</v>
      </c>
      <c r="K2236" s="10">
        <f t="shared" si="34"/>
        <v>65093</v>
      </c>
    </row>
    <row r="2237" spans="1:11">
      <c r="A2237">
        <v>400061</v>
      </c>
      <c r="B2237" s="10">
        <v>2022</v>
      </c>
      <c r="C2237" t="s">
        <v>916</v>
      </c>
      <c r="D2237" t="s">
        <v>2472</v>
      </c>
      <c r="E2237" t="s">
        <v>2474</v>
      </c>
      <c r="F2237" t="s">
        <v>2443</v>
      </c>
      <c r="G2237" t="s">
        <v>2443</v>
      </c>
      <c r="H2237" s="10">
        <v>65463</v>
      </c>
      <c r="I2237">
        <f>IFERROR(VLOOKUP(Final!F2237,'LEAID Match'!$A$2:$B$374,2,FALSE),"")</f>
        <v>400061</v>
      </c>
      <c r="K2237" s="10">
        <f t="shared" si="34"/>
        <v>65463</v>
      </c>
    </row>
    <row r="2238" spans="1:11">
      <c r="A2238">
        <v>400061</v>
      </c>
      <c r="B2238" s="10">
        <v>2023</v>
      </c>
      <c r="C2238" t="s">
        <v>916</v>
      </c>
      <c r="D2238" t="s">
        <v>2472</v>
      </c>
      <c r="E2238" t="s">
        <v>2474</v>
      </c>
      <c r="F2238" t="s">
        <v>2443</v>
      </c>
      <c r="G2238" t="s">
        <v>2443</v>
      </c>
      <c r="H2238" s="10">
        <v>62716</v>
      </c>
      <c r="I2238">
        <f>IFERROR(VLOOKUP(Final!F2238,'LEAID Match'!$A$2:$B$374,2,FALSE),"")</f>
        <v>400061</v>
      </c>
      <c r="K2238" s="10">
        <f t="shared" si="34"/>
        <v>62716</v>
      </c>
    </row>
    <row r="2239" spans="1:11">
      <c r="A2239">
        <v>400383</v>
      </c>
      <c r="B2239" s="10">
        <v>2015</v>
      </c>
      <c r="C2239" t="s">
        <v>771</v>
      </c>
      <c r="D2239" t="s">
        <v>2472</v>
      </c>
      <c r="E2239" t="s">
        <v>2474</v>
      </c>
      <c r="F2239" t="s">
        <v>1782</v>
      </c>
      <c r="G2239" t="s">
        <v>716</v>
      </c>
      <c r="H2239" s="10">
        <v>57248</v>
      </c>
      <c r="I2239">
        <f>IFERROR(VLOOKUP(Final!F2239,'LEAID Match'!$A$2:$B$374,2,FALSE),"")</f>
        <v>400383</v>
      </c>
      <c r="K2239" s="10">
        <f t="shared" si="34"/>
        <v>57248</v>
      </c>
    </row>
    <row r="2240" spans="1:11">
      <c r="A2240">
        <v>400383</v>
      </c>
      <c r="B2240" s="10">
        <v>2016</v>
      </c>
      <c r="C2240" t="s">
        <v>771</v>
      </c>
      <c r="D2240" t="s">
        <v>2472</v>
      </c>
      <c r="E2240" t="s">
        <v>2474</v>
      </c>
      <c r="F2240" t="s">
        <v>1782</v>
      </c>
      <c r="G2240" t="s">
        <v>716</v>
      </c>
      <c r="H2240" s="10">
        <v>58815</v>
      </c>
      <c r="I2240">
        <f>IFERROR(VLOOKUP(Final!F2240,'LEAID Match'!$A$2:$B$374,2,FALSE),"")</f>
        <v>400383</v>
      </c>
      <c r="K2240" s="10">
        <f t="shared" si="34"/>
        <v>58815</v>
      </c>
    </row>
    <row r="2241" spans="1:11">
      <c r="A2241">
        <v>400383</v>
      </c>
      <c r="B2241" s="10">
        <v>2017</v>
      </c>
      <c r="C2241" t="s">
        <v>771</v>
      </c>
      <c r="D2241" t="s">
        <v>2472</v>
      </c>
      <c r="E2241" t="s">
        <v>2474</v>
      </c>
      <c r="F2241" t="s">
        <v>1782</v>
      </c>
      <c r="G2241" t="s">
        <v>1782</v>
      </c>
      <c r="H2241" s="10">
        <v>45059</v>
      </c>
      <c r="I2241">
        <f>IFERROR(VLOOKUP(Final!F2241,'LEAID Match'!$A$2:$B$374,2,FALSE),"")</f>
        <v>400383</v>
      </c>
      <c r="K2241" s="10">
        <f t="shared" si="34"/>
        <v>45059</v>
      </c>
    </row>
    <row r="2242" spans="1:11">
      <c r="A2242">
        <v>400383</v>
      </c>
      <c r="B2242" s="10">
        <v>2018</v>
      </c>
      <c r="C2242" t="s">
        <v>771</v>
      </c>
      <c r="D2242" t="s">
        <v>2472</v>
      </c>
      <c r="E2242" t="s">
        <v>2474</v>
      </c>
      <c r="F2242" t="s">
        <v>1782</v>
      </c>
      <c r="G2242" t="s">
        <v>1782</v>
      </c>
      <c r="H2242" s="10">
        <v>32604</v>
      </c>
      <c r="I2242">
        <f>IFERROR(VLOOKUP(Final!F2242,'LEAID Match'!$A$2:$B$374,2,FALSE),"")</f>
        <v>400383</v>
      </c>
      <c r="K2242" s="10">
        <f t="shared" si="34"/>
        <v>32604</v>
      </c>
    </row>
    <row r="2243" spans="1:11">
      <c r="A2243">
        <v>400383</v>
      </c>
      <c r="B2243" s="10">
        <v>2019</v>
      </c>
      <c r="C2243" t="s">
        <v>771</v>
      </c>
      <c r="D2243" t="s">
        <v>2472</v>
      </c>
      <c r="E2243" t="s">
        <v>2474</v>
      </c>
      <c r="F2243" t="s">
        <v>1782</v>
      </c>
      <c r="G2243" t="s">
        <v>1782</v>
      </c>
      <c r="H2243" s="10"/>
      <c r="I2243">
        <f>IFERROR(VLOOKUP(Final!F2243,'LEAID Match'!$A$2:$B$374,2,FALSE),"")</f>
        <v>400383</v>
      </c>
      <c r="K2243" s="10">
        <f t="shared" ref="K2243:K2306" si="35">SUM(H2243,J2243)</f>
        <v>0</v>
      </c>
    </row>
    <row r="2244" spans="1:11">
      <c r="A2244">
        <v>400383</v>
      </c>
      <c r="B2244" s="10">
        <v>2020</v>
      </c>
      <c r="C2244" t="s">
        <v>771</v>
      </c>
      <c r="D2244" t="s">
        <v>2472</v>
      </c>
      <c r="E2244" t="s">
        <v>2474</v>
      </c>
      <c r="F2244" t="s">
        <v>1782</v>
      </c>
      <c r="G2244" t="s">
        <v>1782</v>
      </c>
      <c r="H2244" s="10"/>
      <c r="I2244">
        <f>IFERROR(VLOOKUP(Final!F2244,'LEAID Match'!$A$2:$B$374,2,FALSE),"")</f>
        <v>400383</v>
      </c>
      <c r="K2244" s="10">
        <f t="shared" si="35"/>
        <v>0</v>
      </c>
    </row>
    <row r="2245" spans="1:11">
      <c r="A2245">
        <v>400383</v>
      </c>
      <c r="B2245" s="10">
        <v>2021</v>
      </c>
      <c r="C2245" t="s">
        <v>771</v>
      </c>
      <c r="D2245" t="s">
        <v>2472</v>
      </c>
      <c r="E2245" t="s">
        <v>2474</v>
      </c>
      <c r="F2245" t="s">
        <v>1782</v>
      </c>
      <c r="G2245" t="s">
        <v>1782</v>
      </c>
      <c r="H2245" s="10"/>
      <c r="I2245">
        <f>IFERROR(VLOOKUP(Final!F2245,'LEAID Match'!$A$2:$B$374,2,FALSE),"")</f>
        <v>400383</v>
      </c>
      <c r="K2245" s="10">
        <f t="shared" si="35"/>
        <v>0</v>
      </c>
    </row>
    <row r="2246" spans="1:11">
      <c r="A2246">
        <v>400383</v>
      </c>
      <c r="B2246" s="10">
        <v>2022</v>
      </c>
      <c r="C2246" t="s">
        <v>771</v>
      </c>
      <c r="D2246" t="s">
        <v>2472</v>
      </c>
      <c r="E2246" t="s">
        <v>2474</v>
      </c>
      <c r="F2246" t="s">
        <v>1782</v>
      </c>
      <c r="G2246" t="s">
        <v>1782</v>
      </c>
      <c r="H2246" s="10"/>
      <c r="I2246">
        <f>IFERROR(VLOOKUP(Final!F2246,'LEAID Match'!$A$2:$B$374,2,FALSE),"")</f>
        <v>400383</v>
      </c>
      <c r="K2246" s="10">
        <f t="shared" si="35"/>
        <v>0</v>
      </c>
    </row>
    <row r="2247" spans="1:11">
      <c r="A2247">
        <v>400383</v>
      </c>
      <c r="B2247" s="10">
        <v>2023</v>
      </c>
      <c r="C2247" t="s">
        <v>771</v>
      </c>
      <c r="D2247" t="s">
        <v>2472</v>
      </c>
      <c r="E2247" t="s">
        <v>2474</v>
      </c>
      <c r="F2247" t="s">
        <v>1782</v>
      </c>
      <c r="G2247" t="s">
        <v>1782</v>
      </c>
      <c r="H2247" s="10"/>
      <c r="I2247">
        <f>IFERROR(VLOOKUP(Final!F2247,'LEAID Match'!$A$2:$B$374,2,FALSE),"")</f>
        <v>400383</v>
      </c>
      <c r="K2247" s="10">
        <f t="shared" si="35"/>
        <v>0</v>
      </c>
    </row>
    <row r="2248" spans="1:11">
      <c r="A2248">
        <v>400280</v>
      </c>
      <c r="B2248" s="10">
        <v>2015</v>
      </c>
      <c r="C2248" t="s">
        <v>804</v>
      </c>
      <c r="D2248" t="s">
        <v>2472</v>
      </c>
      <c r="E2248" t="s">
        <v>2474</v>
      </c>
      <c r="F2248" t="s">
        <v>749</v>
      </c>
      <c r="G2248" t="s">
        <v>749</v>
      </c>
      <c r="H2248" s="10">
        <v>213042</v>
      </c>
      <c r="I2248">
        <f>IFERROR(VLOOKUP(Final!F2248,'LEAID Match'!$A$2:$B$374,2,FALSE),"")</f>
        <v>400280</v>
      </c>
      <c r="K2248" s="10">
        <f t="shared" si="35"/>
        <v>213042</v>
      </c>
    </row>
    <row r="2249" spans="1:11">
      <c r="A2249">
        <v>400280</v>
      </c>
      <c r="B2249" s="10">
        <v>2016</v>
      </c>
      <c r="C2249" t="s">
        <v>804</v>
      </c>
      <c r="D2249" t="s">
        <v>2472</v>
      </c>
      <c r="E2249" t="s">
        <v>2474</v>
      </c>
      <c r="F2249" t="s">
        <v>749</v>
      </c>
      <c r="G2249" t="s">
        <v>749</v>
      </c>
      <c r="H2249" s="10">
        <v>221906</v>
      </c>
      <c r="I2249">
        <f>IFERROR(VLOOKUP(Final!F2249,'LEAID Match'!$A$2:$B$374,2,FALSE),"")</f>
        <v>400280</v>
      </c>
      <c r="K2249" s="10">
        <f t="shared" si="35"/>
        <v>221906</v>
      </c>
    </row>
    <row r="2250" spans="1:11">
      <c r="A2250">
        <v>400280</v>
      </c>
      <c r="B2250" s="10">
        <v>2017</v>
      </c>
      <c r="C2250" t="s">
        <v>804</v>
      </c>
      <c r="D2250" t="s">
        <v>2472</v>
      </c>
      <c r="E2250" t="s">
        <v>2474</v>
      </c>
      <c r="F2250" t="s">
        <v>749</v>
      </c>
      <c r="G2250" t="s">
        <v>749</v>
      </c>
      <c r="H2250" s="10">
        <v>262428</v>
      </c>
      <c r="I2250">
        <f>IFERROR(VLOOKUP(Final!F2250,'LEAID Match'!$A$2:$B$374,2,FALSE),"")</f>
        <v>400280</v>
      </c>
      <c r="K2250" s="10">
        <f t="shared" si="35"/>
        <v>262428</v>
      </c>
    </row>
    <row r="2251" spans="1:11">
      <c r="A2251">
        <v>400280</v>
      </c>
      <c r="B2251" s="10">
        <v>2018</v>
      </c>
      <c r="C2251" t="s">
        <v>804</v>
      </c>
      <c r="D2251" t="s">
        <v>2472</v>
      </c>
      <c r="E2251" t="s">
        <v>2474</v>
      </c>
      <c r="F2251" t="s">
        <v>749</v>
      </c>
      <c r="G2251" t="s">
        <v>749</v>
      </c>
      <c r="H2251" s="10">
        <v>278216</v>
      </c>
      <c r="I2251">
        <f>IFERROR(VLOOKUP(Final!F2251,'LEAID Match'!$A$2:$B$374,2,FALSE),"")</f>
        <v>400280</v>
      </c>
      <c r="K2251" s="10">
        <f t="shared" si="35"/>
        <v>278216</v>
      </c>
    </row>
    <row r="2252" spans="1:11">
      <c r="A2252">
        <v>400280</v>
      </c>
      <c r="B2252" s="10">
        <v>2019</v>
      </c>
      <c r="C2252" t="s">
        <v>804</v>
      </c>
      <c r="D2252" t="s">
        <v>2472</v>
      </c>
      <c r="E2252" t="s">
        <v>2474</v>
      </c>
      <c r="F2252" t="s">
        <v>749</v>
      </c>
      <c r="G2252" t="s">
        <v>749</v>
      </c>
      <c r="H2252" s="10">
        <v>284735</v>
      </c>
      <c r="I2252">
        <f>IFERROR(VLOOKUP(Final!F2252,'LEAID Match'!$A$2:$B$374,2,FALSE),"")</f>
        <v>400280</v>
      </c>
      <c r="K2252" s="10">
        <f t="shared" si="35"/>
        <v>284735</v>
      </c>
    </row>
    <row r="2253" spans="1:11">
      <c r="A2253">
        <v>400280</v>
      </c>
      <c r="B2253" s="10">
        <v>2020</v>
      </c>
      <c r="C2253" t="s">
        <v>804</v>
      </c>
      <c r="D2253" t="s">
        <v>2472</v>
      </c>
      <c r="E2253" t="s">
        <v>2474</v>
      </c>
      <c r="F2253" t="s">
        <v>749</v>
      </c>
      <c r="G2253" t="s">
        <v>749</v>
      </c>
      <c r="H2253" s="10">
        <v>311882</v>
      </c>
      <c r="I2253">
        <f>IFERROR(VLOOKUP(Final!F2253,'LEAID Match'!$A$2:$B$374,2,FALSE),"")</f>
        <v>400280</v>
      </c>
      <c r="K2253" s="10">
        <f t="shared" si="35"/>
        <v>311882</v>
      </c>
    </row>
    <row r="2254" spans="1:11">
      <c r="A2254">
        <v>400280</v>
      </c>
      <c r="B2254" s="10">
        <v>2021</v>
      </c>
      <c r="C2254" t="s">
        <v>804</v>
      </c>
      <c r="D2254" t="s">
        <v>2472</v>
      </c>
      <c r="E2254" t="s">
        <v>2474</v>
      </c>
      <c r="F2254" t="s">
        <v>749</v>
      </c>
      <c r="G2254" t="s">
        <v>749</v>
      </c>
      <c r="H2254" s="10">
        <v>339783</v>
      </c>
      <c r="I2254">
        <f>IFERROR(VLOOKUP(Final!F2254,'LEAID Match'!$A$2:$B$374,2,FALSE),"")</f>
        <v>400280</v>
      </c>
      <c r="K2254" s="10">
        <f t="shared" si="35"/>
        <v>339783</v>
      </c>
    </row>
    <row r="2255" spans="1:11">
      <c r="A2255">
        <v>400280</v>
      </c>
      <c r="B2255" s="10">
        <v>2022</v>
      </c>
      <c r="C2255" t="s">
        <v>804</v>
      </c>
      <c r="D2255" t="s">
        <v>2472</v>
      </c>
      <c r="E2255" t="s">
        <v>2474</v>
      </c>
      <c r="F2255" t="s">
        <v>749</v>
      </c>
      <c r="G2255" t="s">
        <v>749</v>
      </c>
      <c r="H2255" s="10">
        <v>379920</v>
      </c>
      <c r="I2255">
        <f>IFERROR(VLOOKUP(Final!F2255,'LEAID Match'!$A$2:$B$374,2,FALSE),"")</f>
        <v>400280</v>
      </c>
      <c r="K2255" s="10">
        <f t="shared" si="35"/>
        <v>379920</v>
      </c>
    </row>
    <row r="2256" spans="1:11">
      <c r="A2256">
        <v>400280</v>
      </c>
      <c r="B2256" s="10">
        <v>2023</v>
      </c>
      <c r="C2256" t="s">
        <v>804</v>
      </c>
      <c r="D2256" t="s">
        <v>2472</v>
      </c>
      <c r="E2256" t="s">
        <v>2474</v>
      </c>
      <c r="F2256" t="s">
        <v>749</v>
      </c>
      <c r="G2256" t="s">
        <v>749</v>
      </c>
      <c r="H2256" s="10">
        <v>419539</v>
      </c>
      <c r="I2256">
        <f>IFERROR(VLOOKUP(Final!F2256,'LEAID Match'!$A$2:$B$374,2,FALSE),"")</f>
        <v>400280</v>
      </c>
      <c r="K2256" s="10">
        <f t="shared" si="35"/>
        <v>419539</v>
      </c>
    </row>
    <row r="2257" spans="1:11">
      <c r="A2257">
        <v>400159</v>
      </c>
      <c r="B2257" s="10">
        <v>2015</v>
      </c>
      <c r="C2257" t="s">
        <v>1260</v>
      </c>
      <c r="D2257" t="s">
        <v>2472</v>
      </c>
      <c r="E2257" t="s">
        <v>2474</v>
      </c>
      <c r="F2257" t="s">
        <v>1206</v>
      </c>
      <c r="G2257" t="s">
        <v>1206</v>
      </c>
      <c r="H2257" s="10">
        <v>63274</v>
      </c>
      <c r="I2257">
        <f>IFERROR(VLOOKUP(Final!F2257,'LEAID Match'!$A$2:$B$374,2,FALSE),"")</f>
        <v>400159</v>
      </c>
      <c r="K2257" s="10">
        <f t="shared" si="35"/>
        <v>63274</v>
      </c>
    </row>
    <row r="2258" spans="1:11">
      <c r="A2258">
        <v>400159</v>
      </c>
      <c r="B2258" s="10">
        <v>2016</v>
      </c>
      <c r="C2258" t="s">
        <v>1260</v>
      </c>
      <c r="D2258" t="s">
        <v>2472</v>
      </c>
      <c r="E2258" t="s">
        <v>2474</v>
      </c>
      <c r="F2258" t="s">
        <v>1206</v>
      </c>
      <c r="G2258" t="s">
        <v>1206</v>
      </c>
      <c r="H2258" s="10">
        <v>47644</v>
      </c>
      <c r="I2258">
        <f>IFERROR(VLOOKUP(Final!F2258,'LEAID Match'!$A$2:$B$374,2,FALSE),"")</f>
        <v>400159</v>
      </c>
      <c r="K2258" s="10">
        <f t="shared" si="35"/>
        <v>47644</v>
      </c>
    </row>
    <row r="2259" spans="1:11">
      <c r="A2259">
        <v>400159</v>
      </c>
      <c r="B2259" s="10">
        <v>2017</v>
      </c>
      <c r="C2259" t="s">
        <v>1260</v>
      </c>
      <c r="D2259" t="s">
        <v>2472</v>
      </c>
      <c r="E2259" t="s">
        <v>2474</v>
      </c>
      <c r="F2259" t="s">
        <v>1206</v>
      </c>
      <c r="G2259" t="s">
        <v>1206</v>
      </c>
      <c r="H2259" s="10">
        <v>56322</v>
      </c>
      <c r="I2259">
        <f>IFERROR(VLOOKUP(Final!F2259,'LEAID Match'!$A$2:$B$374,2,FALSE),"")</f>
        <v>400159</v>
      </c>
      <c r="K2259" s="10">
        <f t="shared" si="35"/>
        <v>56322</v>
      </c>
    </row>
    <row r="2260" spans="1:11">
      <c r="A2260">
        <v>400159</v>
      </c>
      <c r="B2260" s="10">
        <v>2018</v>
      </c>
      <c r="C2260" t="s">
        <v>1260</v>
      </c>
      <c r="D2260" t="s">
        <v>2472</v>
      </c>
      <c r="E2260" t="s">
        <v>2474</v>
      </c>
      <c r="F2260" t="s">
        <v>1206</v>
      </c>
      <c r="G2260" t="s">
        <v>1206</v>
      </c>
      <c r="H2260" s="10">
        <v>60043</v>
      </c>
      <c r="I2260">
        <f>IFERROR(VLOOKUP(Final!F2260,'LEAID Match'!$A$2:$B$374,2,FALSE),"")</f>
        <v>400159</v>
      </c>
      <c r="K2260" s="10">
        <f t="shared" si="35"/>
        <v>60043</v>
      </c>
    </row>
    <row r="2261" spans="1:11">
      <c r="A2261">
        <v>400159</v>
      </c>
      <c r="B2261" s="10">
        <v>2019</v>
      </c>
      <c r="C2261" t="s">
        <v>1260</v>
      </c>
      <c r="D2261" t="s">
        <v>2472</v>
      </c>
      <c r="E2261" t="s">
        <v>2474</v>
      </c>
      <c r="F2261" t="s">
        <v>1206</v>
      </c>
      <c r="G2261" t="s">
        <v>1206</v>
      </c>
      <c r="H2261" s="10">
        <v>66471</v>
      </c>
      <c r="I2261">
        <f>IFERROR(VLOOKUP(Final!F2261,'LEAID Match'!$A$2:$B$374,2,FALSE),"")</f>
        <v>400159</v>
      </c>
      <c r="K2261" s="10">
        <f t="shared" si="35"/>
        <v>66471</v>
      </c>
    </row>
    <row r="2262" spans="1:11">
      <c r="A2262">
        <v>400159</v>
      </c>
      <c r="B2262" s="10">
        <v>2020</v>
      </c>
      <c r="C2262" t="s">
        <v>1260</v>
      </c>
      <c r="D2262" t="s">
        <v>2472</v>
      </c>
      <c r="E2262" t="s">
        <v>2474</v>
      </c>
      <c r="F2262" t="s">
        <v>1206</v>
      </c>
      <c r="G2262" t="s">
        <v>1206</v>
      </c>
      <c r="H2262" s="10">
        <v>77193</v>
      </c>
      <c r="I2262">
        <f>IFERROR(VLOOKUP(Final!F2262,'LEAID Match'!$A$2:$B$374,2,FALSE),"")</f>
        <v>400159</v>
      </c>
      <c r="K2262" s="10">
        <f t="shared" si="35"/>
        <v>77193</v>
      </c>
    </row>
    <row r="2263" spans="1:11">
      <c r="A2263">
        <v>400159</v>
      </c>
      <c r="B2263" s="10">
        <v>2021</v>
      </c>
      <c r="C2263" t="s">
        <v>1260</v>
      </c>
      <c r="D2263" t="s">
        <v>2472</v>
      </c>
      <c r="E2263" t="s">
        <v>2474</v>
      </c>
      <c r="F2263" t="s">
        <v>1206</v>
      </c>
      <c r="G2263" t="s">
        <v>1206</v>
      </c>
      <c r="H2263" s="10">
        <v>79726</v>
      </c>
      <c r="I2263">
        <f>IFERROR(VLOOKUP(Final!F2263,'LEAID Match'!$A$2:$B$374,2,FALSE),"")</f>
        <v>400159</v>
      </c>
      <c r="K2263" s="10">
        <f t="shared" si="35"/>
        <v>79726</v>
      </c>
    </row>
    <row r="2264" spans="1:11">
      <c r="A2264">
        <v>400159</v>
      </c>
      <c r="B2264" s="10">
        <v>2022</v>
      </c>
      <c r="C2264" t="s">
        <v>1260</v>
      </c>
      <c r="D2264" t="s">
        <v>2472</v>
      </c>
      <c r="E2264" t="s">
        <v>2474</v>
      </c>
      <c r="F2264" t="s">
        <v>1206</v>
      </c>
      <c r="G2264" t="s">
        <v>1206</v>
      </c>
      <c r="H2264" s="10">
        <v>82395</v>
      </c>
      <c r="I2264">
        <f>IFERROR(VLOOKUP(Final!F2264,'LEAID Match'!$A$2:$B$374,2,FALSE),"")</f>
        <v>400159</v>
      </c>
      <c r="K2264" s="10">
        <f t="shared" si="35"/>
        <v>82395</v>
      </c>
    </row>
    <row r="2265" spans="1:11">
      <c r="A2265">
        <v>400159</v>
      </c>
      <c r="B2265" s="10">
        <v>2023</v>
      </c>
      <c r="C2265" t="s">
        <v>1260</v>
      </c>
      <c r="D2265" t="s">
        <v>2472</v>
      </c>
      <c r="E2265" t="s">
        <v>2474</v>
      </c>
      <c r="F2265" t="s">
        <v>1206</v>
      </c>
      <c r="G2265" t="s">
        <v>1206</v>
      </c>
      <c r="H2265" s="10">
        <v>83874</v>
      </c>
      <c r="I2265">
        <f>IFERROR(VLOOKUP(Final!F2265,'LEAID Match'!$A$2:$B$374,2,FALSE),"")</f>
        <v>400159</v>
      </c>
      <c r="K2265" s="10">
        <f t="shared" si="35"/>
        <v>83874</v>
      </c>
    </row>
    <row r="2266" spans="1:11">
      <c r="A2266" t="s">
        <v>2470</v>
      </c>
      <c r="B2266" s="10">
        <v>2015</v>
      </c>
      <c r="C2266" t="s">
        <v>1329</v>
      </c>
      <c r="D2266" t="s">
        <v>2472</v>
      </c>
      <c r="E2266" t="s">
        <v>2474</v>
      </c>
      <c r="F2266" t="s">
        <v>1485</v>
      </c>
      <c r="G2266" t="s">
        <v>1281</v>
      </c>
      <c r="H2266" s="10">
        <v>416867</v>
      </c>
      <c r="I2266" t="str">
        <f>IFERROR(VLOOKUP(Final!F2266,'LEAID Match'!$A$2:$B$374,2,FALSE),"")</f>
        <v/>
      </c>
      <c r="K2266" s="10">
        <f t="shared" si="35"/>
        <v>416867</v>
      </c>
    </row>
    <row r="2267" spans="1:11">
      <c r="A2267" t="s">
        <v>2470</v>
      </c>
      <c r="B2267" s="10">
        <v>2016</v>
      </c>
      <c r="C2267" t="s">
        <v>1329</v>
      </c>
      <c r="D2267" t="s">
        <v>2472</v>
      </c>
      <c r="E2267" t="s">
        <v>2474</v>
      </c>
      <c r="F2267" t="s">
        <v>1485</v>
      </c>
      <c r="G2267" t="s">
        <v>1485</v>
      </c>
      <c r="H2267" s="10">
        <v>548881</v>
      </c>
      <c r="I2267" t="str">
        <f>IFERROR(VLOOKUP(Final!F2267,'LEAID Match'!$A$2:$B$374,2,FALSE),"")</f>
        <v/>
      </c>
      <c r="K2267" s="10">
        <f t="shared" si="35"/>
        <v>548881</v>
      </c>
    </row>
    <row r="2268" spans="1:11">
      <c r="A2268" t="s">
        <v>2470</v>
      </c>
      <c r="B2268" s="10">
        <v>2017</v>
      </c>
      <c r="C2268" t="s">
        <v>1329</v>
      </c>
      <c r="D2268" t="s">
        <v>2472</v>
      </c>
      <c r="E2268" t="s">
        <v>2474</v>
      </c>
      <c r="F2268" t="s">
        <v>1485</v>
      </c>
      <c r="G2268" t="s">
        <v>1485</v>
      </c>
      <c r="H2268" s="10">
        <v>700959</v>
      </c>
      <c r="I2268" t="str">
        <f>IFERROR(VLOOKUP(Final!F2268,'LEAID Match'!$A$2:$B$374,2,FALSE),"")</f>
        <v/>
      </c>
      <c r="K2268" s="10">
        <f t="shared" si="35"/>
        <v>700959</v>
      </c>
    </row>
    <row r="2269" spans="1:11">
      <c r="A2269" t="s">
        <v>2470</v>
      </c>
      <c r="B2269" s="10">
        <v>2018</v>
      </c>
      <c r="C2269" t="s">
        <v>1329</v>
      </c>
      <c r="D2269" t="s">
        <v>2472</v>
      </c>
      <c r="E2269" t="s">
        <v>2474</v>
      </c>
      <c r="F2269" t="s">
        <v>1485</v>
      </c>
      <c r="G2269" t="s">
        <v>1485</v>
      </c>
      <c r="H2269" s="10">
        <v>848708</v>
      </c>
      <c r="I2269" t="str">
        <f>IFERROR(VLOOKUP(Final!F2269,'LEAID Match'!$A$2:$B$374,2,FALSE),"")</f>
        <v/>
      </c>
      <c r="K2269" s="10">
        <f t="shared" si="35"/>
        <v>848708</v>
      </c>
    </row>
    <row r="2270" spans="1:11">
      <c r="A2270" t="s">
        <v>2470</v>
      </c>
      <c r="B2270" s="10">
        <v>2019</v>
      </c>
      <c r="C2270" t="s">
        <v>1329</v>
      </c>
      <c r="D2270" t="s">
        <v>2472</v>
      </c>
      <c r="E2270" t="s">
        <v>2474</v>
      </c>
      <c r="F2270" t="s">
        <v>1485</v>
      </c>
      <c r="G2270" t="s">
        <v>1485</v>
      </c>
      <c r="H2270" s="10">
        <v>1023644</v>
      </c>
      <c r="I2270" t="str">
        <f>IFERROR(VLOOKUP(Final!F2270,'LEAID Match'!$A$2:$B$374,2,FALSE),"")</f>
        <v/>
      </c>
      <c r="K2270" s="10">
        <f t="shared" si="35"/>
        <v>1023644</v>
      </c>
    </row>
    <row r="2271" spans="1:11">
      <c r="A2271" t="s">
        <v>2470</v>
      </c>
      <c r="B2271" s="10">
        <v>2020</v>
      </c>
      <c r="C2271" t="s">
        <v>1329</v>
      </c>
      <c r="D2271" t="s">
        <v>2472</v>
      </c>
      <c r="E2271" t="s">
        <v>2474</v>
      </c>
      <c r="F2271" t="s">
        <v>1485</v>
      </c>
      <c r="G2271" t="s">
        <v>1485</v>
      </c>
      <c r="H2271" s="10">
        <v>1148945</v>
      </c>
      <c r="I2271" t="str">
        <f>IFERROR(VLOOKUP(Final!F2271,'LEAID Match'!$A$2:$B$374,2,FALSE),"")</f>
        <v/>
      </c>
      <c r="K2271" s="10">
        <f t="shared" si="35"/>
        <v>1148945</v>
      </c>
    </row>
    <row r="2272" spans="1:11">
      <c r="A2272" t="s">
        <v>2470</v>
      </c>
      <c r="B2272" s="10">
        <v>2021</v>
      </c>
      <c r="C2272" t="s">
        <v>1329</v>
      </c>
      <c r="D2272" t="s">
        <v>2472</v>
      </c>
      <c r="E2272" t="s">
        <v>2474</v>
      </c>
      <c r="F2272" t="s">
        <v>1485</v>
      </c>
      <c r="G2272" t="s">
        <v>1485</v>
      </c>
      <c r="H2272" s="10">
        <v>1274216</v>
      </c>
      <c r="I2272" t="str">
        <f>IFERROR(VLOOKUP(Final!F2272,'LEAID Match'!$A$2:$B$374,2,FALSE),"")</f>
        <v/>
      </c>
      <c r="K2272" s="10">
        <f t="shared" si="35"/>
        <v>1274216</v>
      </c>
    </row>
    <row r="2273" spans="1:11">
      <c r="A2273" t="s">
        <v>2470</v>
      </c>
      <c r="B2273" s="10">
        <v>2022</v>
      </c>
      <c r="C2273" t="s">
        <v>1329</v>
      </c>
      <c r="D2273" t="s">
        <v>2472</v>
      </c>
      <c r="E2273" t="s">
        <v>2474</v>
      </c>
      <c r="F2273" t="s">
        <v>1485</v>
      </c>
      <c r="G2273" t="s">
        <v>1485</v>
      </c>
      <c r="H2273" s="10">
        <v>1378250</v>
      </c>
      <c r="I2273" t="str">
        <f>IFERROR(VLOOKUP(Final!F2273,'LEAID Match'!$A$2:$B$374,2,FALSE),"")</f>
        <v/>
      </c>
      <c r="K2273" s="10">
        <f t="shared" si="35"/>
        <v>1378250</v>
      </c>
    </row>
    <row r="2274" spans="1:11">
      <c r="A2274" t="s">
        <v>2470</v>
      </c>
      <c r="B2274" s="10">
        <v>2023</v>
      </c>
      <c r="C2274" t="s">
        <v>1329</v>
      </c>
      <c r="D2274" t="s">
        <v>2472</v>
      </c>
      <c r="E2274" t="s">
        <v>2474</v>
      </c>
      <c r="F2274" t="s">
        <v>1485</v>
      </c>
      <c r="G2274" t="s">
        <v>1485</v>
      </c>
      <c r="H2274" s="10">
        <v>1605828</v>
      </c>
      <c r="I2274" t="str">
        <f>IFERROR(VLOOKUP(Final!F2274,'LEAID Match'!$A$2:$B$374,2,FALSE),"")</f>
        <v/>
      </c>
      <c r="K2274" s="10">
        <f t="shared" si="35"/>
        <v>1605828</v>
      </c>
    </row>
    <row r="2275" spans="1:11">
      <c r="A2275" t="s">
        <v>2470</v>
      </c>
      <c r="B2275" s="10">
        <v>2015</v>
      </c>
      <c r="C2275" t="s">
        <v>568</v>
      </c>
      <c r="D2275" t="s">
        <v>2472</v>
      </c>
      <c r="E2275" t="s">
        <v>2474</v>
      </c>
      <c r="F2275" t="s">
        <v>2446</v>
      </c>
      <c r="G2275" t="s">
        <v>513</v>
      </c>
      <c r="H2275" s="10">
        <v>169038</v>
      </c>
      <c r="I2275" t="str">
        <f>IFERROR(VLOOKUP(Final!F2275,'LEAID Match'!$A$2:$B$374,2,FALSE),"")</f>
        <v/>
      </c>
      <c r="K2275" s="10">
        <f t="shared" si="35"/>
        <v>169038</v>
      </c>
    </row>
    <row r="2276" spans="1:11">
      <c r="A2276" t="s">
        <v>2470</v>
      </c>
      <c r="B2276" s="10">
        <v>2016</v>
      </c>
      <c r="C2276" t="s">
        <v>568</v>
      </c>
      <c r="D2276" t="s">
        <v>2472</v>
      </c>
      <c r="E2276" t="s">
        <v>2474</v>
      </c>
      <c r="F2276" t="s">
        <v>2446</v>
      </c>
      <c r="G2276" t="s">
        <v>513</v>
      </c>
      <c r="H2276" s="10">
        <v>180392</v>
      </c>
      <c r="I2276" t="str">
        <f>IFERROR(VLOOKUP(Final!F2276,'LEAID Match'!$A$2:$B$374,2,FALSE),"")</f>
        <v/>
      </c>
      <c r="K2276" s="10">
        <f t="shared" si="35"/>
        <v>180392</v>
      </c>
    </row>
    <row r="2277" spans="1:11">
      <c r="A2277" t="s">
        <v>2470</v>
      </c>
      <c r="B2277" s="10">
        <v>2017</v>
      </c>
      <c r="C2277" t="s">
        <v>568</v>
      </c>
      <c r="D2277" t="s">
        <v>2472</v>
      </c>
      <c r="E2277" t="s">
        <v>2474</v>
      </c>
      <c r="F2277" t="s">
        <v>2446</v>
      </c>
      <c r="G2277" t="s">
        <v>1701</v>
      </c>
      <c r="H2277" s="10">
        <v>155956</v>
      </c>
      <c r="I2277" t="str">
        <f>IFERROR(VLOOKUP(Final!F2277,'LEAID Match'!$A$2:$B$374,2,FALSE),"")</f>
        <v/>
      </c>
      <c r="K2277" s="10">
        <f t="shared" si="35"/>
        <v>155956</v>
      </c>
    </row>
    <row r="2278" spans="1:11">
      <c r="A2278" t="s">
        <v>2470</v>
      </c>
      <c r="B2278" s="10">
        <v>2018</v>
      </c>
      <c r="C2278" t="s">
        <v>568</v>
      </c>
      <c r="D2278" t="s">
        <v>2472</v>
      </c>
      <c r="E2278" t="s">
        <v>2474</v>
      </c>
      <c r="F2278" t="s">
        <v>2446</v>
      </c>
      <c r="G2278" t="s">
        <v>2175</v>
      </c>
      <c r="H2278" s="10">
        <v>157898</v>
      </c>
      <c r="I2278" t="str">
        <f>IFERROR(VLOOKUP(Final!F2278,'LEAID Match'!$A$2:$B$374,2,FALSE),"")</f>
        <v/>
      </c>
      <c r="K2278" s="10">
        <f t="shared" si="35"/>
        <v>157898</v>
      </c>
    </row>
    <row r="2279" spans="1:11">
      <c r="A2279" t="s">
        <v>2470</v>
      </c>
      <c r="B2279" s="10">
        <v>2019</v>
      </c>
      <c r="C2279" t="s">
        <v>568</v>
      </c>
      <c r="D2279" t="s">
        <v>2472</v>
      </c>
      <c r="E2279" t="s">
        <v>2474</v>
      </c>
      <c r="F2279" t="s">
        <v>2446</v>
      </c>
      <c r="G2279" t="s">
        <v>1701</v>
      </c>
      <c r="H2279" s="10">
        <v>152541</v>
      </c>
      <c r="I2279" t="str">
        <f>IFERROR(VLOOKUP(Final!F2279,'LEAID Match'!$A$2:$B$374,2,FALSE),"")</f>
        <v/>
      </c>
      <c r="K2279" s="10">
        <f t="shared" si="35"/>
        <v>152541</v>
      </c>
    </row>
    <row r="2280" spans="1:11">
      <c r="A2280" t="s">
        <v>2470</v>
      </c>
      <c r="B2280" s="10">
        <v>2020</v>
      </c>
      <c r="C2280" t="s">
        <v>568</v>
      </c>
      <c r="D2280" t="s">
        <v>2472</v>
      </c>
      <c r="E2280" t="s">
        <v>2474</v>
      </c>
      <c r="F2280" t="s">
        <v>2446</v>
      </c>
      <c r="G2280" t="s">
        <v>1701</v>
      </c>
      <c r="H2280" s="10">
        <v>167129</v>
      </c>
      <c r="I2280" t="str">
        <f>IFERROR(VLOOKUP(Final!F2280,'LEAID Match'!$A$2:$B$374,2,FALSE),"")</f>
        <v/>
      </c>
      <c r="K2280" s="10">
        <f t="shared" si="35"/>
        <v>167129</v>
      </c>
    </row>
    <row r="2281" spans="1:11">
      <c r="A2281" t="s">
        <v>2470</v>
      </c>
      <c r="B2281" s="10">
        <v>2021</v>
      </c>
      <c r="C2281" t="s">
        <v>568</v>
      </c>
      <c r="D2281" t="s">
        <v>2472</v>
      </c>
      <c r="E2281" t="s">
        <v>2474</v>
      </c>
      <c r="F2281" t="s">
        <v>2446</v>
      </c>
      <c r="G2281" t="s">
        <v>2427</v>
      </c>
      <c r="H2281" s="10">
        <v>186128</v>
      </c>
      <c r="I2281" t="str">
        <f>IFERROR(VLOOKUP(Final!F2281,'LEAID Match'!$A$2:$B$374,2,FALSE),"")</f>
        <v/>
      </c>
      <c r="K2281" s="10">
        <f t="shared" si="35"/>
        <v>186128</v>
      </c>
    </row>
    <row r="2282" spans="1:11">
      <c r="A2282" t="s">
        <v>2470</v>
      </c>
      <c r="B2282" s="10">
        <v>2022</v>
      </c>
      <c r="C2282" t="s">
        <v>568</v>
      </c>
      <c r="D2282" t="s">
        <v>2472</v>
      </c>
      <c r="E2282" t="s">
        <v>2474</v>
      </c>
      <c r="F2282" t="s">
        <v>2446</v>
      </c>
      <c r="G2282" t="s">
        <v>2446</v>
      </c>
      <c r="H2282" s="10">
        <v>190808</v>
      </c>
      <c r="I2282" t="str">
        <f>IFERROR(VLOOKUP(Final!F2282,'LEAID Match'!$A$2:$B$374,2,FALSE),"")</f>
        <v/>
      </c>
      <c r="K2282" s="10">
        <f t="shared" si="35"/>
        <v>190808</v>
      </c>
    </row>
    <row r="2283" spans="1:11">
      <c r="A2283" t="s">
        <v>2470</v>
      </c>
      <c r="B2283" s="10">
        <v>2023</v>
      </c>
      <c r="C2283" t="s">
        <v>568</v>
      </c>
      <c r="D2283" t="s">
        <v>2472</v>
      </c>
      <c r="E2283" t="s">
        <v>2474</v>
      </c>
      <c r="F2283" t="s">
        <v>2446</v>
      </c>
      <c r="G2283" t="s">
        <v>2446</v>
      </c>
      <c r="H2283" s="10">
        <v>180042</v>
      </c>
      <c r="I2283" t="str">
        <f>IFERROR(VLOOKUP(Final!F2283,'LEAID Match'!$A$2:$B$374,2,FALSE),"")</f>
        <v/>
      </c>
      <c r="K2283" s="10">
        <f t="shared" si="35"/>
        <v>180042</v>
      </c>
    </row>
    <row r="2284" spans="1:11">
      <c r="A2284">
        <v>400125</v>
      </c>
      <c r="B2284" s="10">
        <v>2015</v>
      </c>
      <c r="C2284" t="s">
        <v>776</v>
      </c>
      <c r="D2284" t="s">
        <v>2472</v>
      </c>
      <c r="E2284" t="s">
        <v>2474</v>
      </c>
      <c r="F2284" t="s">
        <v>721</v>
      </c>
      <c r="G2284" t="s">
        <v>721</v>
      </c>
      <c r="H2284" s="10"/>
      <c r="I2284">
        <f>IFERROR(VLOOKUP(Final!F2284,'LEAID Match'!$A$2:$B$374,2,FALSE),"")</f>
        <v>400125</v>
      </c>
      <c r="K2284" s="10">
        <f t="shared" si="35"/>
        <v>0</v>
      </c>
    </row>
    <row r="2285" spans="1:11">
      <c r="A2285">
        <v>400125</v>
      </c>
      <c r="B2285" s="10">
        <v>2016</v>
      </c>
      <c r="C2285" t="s">
        <v>776</v>
      </c>
      <c r="D2285" t="s">
        <v>2472</v>
      </c>
      <c r="E2285" t="s">
        <v>2474</v>
      </c>
      <c r="F2285" t="s">
        <v>721</v>
      </c>
      <c r="G2285" t="s">
        <v>721</v>
      </c>
      <c r="H2285" s="10">
        <v>32894</v>
      </c>
      <c r="I2285">
        <f>IFERROR(VLOOKUP(Final!F2285,'LEAID Match'!$A$2:$B$374,2,FALSE),"")</f>
        <v>400125</v>
      </c>
      <c r="K2285" s="10">
        <f t="shared" si="35"/>
        <v>32894</v>
      </c>
    </row>
    <row r="2286" spans="1:11">
      <c r="A2286">
        <v>400125</v>
      </c>
      <c r="B2286" s="10">
        <v>2017</v>
      </c>
      <c r="C2286" t="s">
        <v>776</v>
      </c>
      <c r="D2286" t="s">
        <v>2472</v>
      </c>
      <c r="E2286" t="s">
        <v>2474</v>
      </c>
      <c r="F2286" t="s">
        <v>721</v>
      </c>
      <c r="G2286" t="s">
        <v>721</v>
      </c>
      <c r="H2286" s="10">
        <v>10336</v>
      </c>
      <c r="I2286">
        <f>IFERROR(VLOOKUP(Final!F2286,'LEAID Match'!$A$2:$B$374,2,FALSE),"")</f>
        <v>400125</v>
      </c>
      <c r="K2286" s="10">
        <f t="shared" si="35"/>
        <v>10336</v>
      </c>
    </row>
    <row r="2287" spans="1:11">
      <c r="A2287">
        <v>400125</v>
      </c>
      <c r="B2287" s="10">
        <v>2018</v>
      </c>
      <c r="C2287" t="s">
        <v>776</v>
      </c>
      <c r="D2287" t="s">
        <v>2472</v>
      </c>
      <c r="E2287" t="s">
        <v>2474</v>
      </c>
      <c r="F2287" t="s">
        <v>721</v>
      </c>
      <c r="G2287" t="s">
        <v>721</v>
      </c>
      <c r="H2287" s="10"/>
      <c r="I2287">
        <f>IFERROR(VLOOKUP(Final!F2287,'LEAID Match'!$A$2:$B$374,2,FALSE),"")</f>
        <v>400125</v>
      </c>
      <c r="K2287" s="10">
        <f t="shared" si="35"/>
        <v>0</v>
      </c>
    </row>
    <row r="2288" spans="1:11">
      <c r="A2288">
        <v>400125</v>
      </c>
      <c r="B2288" s="10">
        <v>2019</v>
      </c>
      <c r="C2288" t="s">
        <v>776</v>
      </c>
      <c r="D2288" t="s">
        <v>2472</v>
      </c>
      <c r="E2288" t="s">
        <v>2474</v>
      </c>
      <c r="F2288" t="s">
        <v>721</v>
      </c>
      <c r="G2288" t="s">
        <v>721</v>
      </c>
      <c r="H2288" s="10"/>
      <c r="I2288">
        <f>IFERROR(VLOOKUP(Final!F2288,'LEAID Match'!$A$2:$B$374,2,FALSE),"")</f>
        <v>400125</v>
      </c>
      <c r="K2288" s="10">
        <f t="shared" si="35"/>
        <v>0</v>
      </c>
    </row>
    <row r="2289" spans="1:11">
      <c r="A2289">
        <v>400125</v>
      </c>
      <c r="B2289" s="10">
        <v>2020</v>
      </c>
      <c r="C2289" t="s">
        <v>776</v>
      </c>
      <c r="D2289" t="s">
        <v>2472</v>
      </c>
      <c r="E2289" t="s">
        <v>2474</v>
      </c>
      <c r="F2289" t="s">
        <v>721</v>
      </c>
      <c r="G2289" t="s">
        <v>721</v>
      </c>
      <c r="H2289" s="10"/>
      <c r="I2289">
        <f>IFERROR(VLOOKUP(Final!F2289,'LEAID Match'!$A$2:$B$374,2,FALSE),"")</f>
        <v>400125</v>
      </c>
      <c r="K2289" s="10">
        <f t="shared" si="35"/>
        <v>0</v>
      </c>
    </row>
    <row r="2290" spans="1:11">
      <c r="A2290">
        <v>400125</v>
      </c>
      <c r="B2290" s="10">
        <v>2021</v>
      </c>
      <c r="C2290" t="s">
        <v>776</v>
      </c>
      <c r="D2290" t="s">
        <v>2472</v>
      </c>
      <c r="E2290" t="s">
        <v>2474</v>
      </c>
      <c r="F2290" t="s">
        <v>721</v>
      </c>
      <c r="G2290" t="s">
        <v>721</v>
      </c>
      <c r="H2290" s="10"/>
      <c r="I2290">
        <f>IFERROR(VLOOKUP(Final!F2290,'LEAID Match'!$A$2:$B$374,2,FALSE),"")</f>
        <v>400125</v>
      </c>
      <c r="K2290" s="10">
        <f t="shared" si="35"/>
        <v>0</v>
      </c>
    </row>
    <row r="2291" spans="1:11">
      <c r="A2291">
        <v>400125</v>
      </c>
      <c r="B2291" s="10">
        <v>2022</v>
      </c>
      <c r="C2291" t="s">
        <v>776</v>
      </c>
      <c r="D2291" t="s">
        <v>2472</v>
      </c>
      <c r="E2291" t="s">
        <v>2474</v>
      </c>
      <c r="F2291" t="s">
        <v>721</v>
      </c>
      <c r="G2291" t="s">
        <v>721</v>
      </c>
      <c r="H2291" s="10"/>
      <c r="I2291">
        <f>IFERROR(VLOOKUP(Final!F2291,'LEAID Match'!$A$2:$B$374,2,FALSE),"")</f>
        <v>400125</v>
      </c>
      <c r="K2291" s="10">
        <f t="shared" si="35"/>
        <v>0</v>
      </c>
    </row>
    <row r="2292" spans="1:11">
      <c r="A2292">
        <v>400125</v>
      </c>
      <c r="B2292" s="10">
        <v>2023</v>
      </c>
      <c r="C2292" t="s">
        <v>776</v>
      </c>
      <c r="D2292" t="s">
        <v>2472</v>
      </c>
      <c r="E2292" t="s">
        <v>2474</v>
      </c>
      <c r="F2292" t="s">
        <v>721</v>
      </c>
      <c r="G2292" t="s">
        <v>721</v>
      </c>
      <c r="H2292" s="10"/>
      <c r="I2292">
        <f>IFERROR(VLOOKUP(Final!F2292,'LEAID Match'!$A$2:$B$374,2,FALSE),"")</f>
        <v>400125</v>
      </c>
      <c r="K2292" s="10">
        <f t="shared" si="35"/>
        <v>0</v>
      </c>
    </row>
    <row r="2293" spans="1:11">
      <c r="A2293">
        <v>400616</v>
      </c>
      <c r="B2293" s="10">
        <v>2015</v>
      </c>
      <c r="C2293" t="s">
        <v>888</v>
      </c>
      <c r="D2293" t="s">
        <v>2472</v>
      </c>
      <c r="E2293" t="s">
        <v>2474</v>
      </c>
      <c r="F2293" t="s">
        <v>1831</v>
      </c>
      <c r="G2293" t="s">
        <v>833</v>
      </c>
      <c r="H2293" s="10">
        <v>15918</v>
      </c>
      <c r="I2293">
        <f>IFERROR(VLOOKUP(Final!F2293,'LEAID Match'!$A$2:$B$374,2,FALSE),"")</f>
        <v>400616</v>
      </c>
      <c r="K2293" s="10">
        <f t="shared" si="35"/>
        <v>15918</v>
      </c>
    </row>
    <row r="2294" spans="1:11">
      <c r="A2294">
        <v>400616</v>
      </c>
      <c r="B2294" s="10">
        <v>2016</v>
      </c>
      <c r="C2294" t="s">
        <v>888</v>
      </c>
      <c r="D2294" t="s">
        <v>2472</v>
      </c>
      <c r="E2294" t="s">
        <v>2474</v>
      </c>
      <c r="F2294" t="s">
        <v>1831</v>
      </c>
      <c r="G2294" t="s">
        <v>1472</v>
      </c>
      <c r="H2294" s="10">
        <v>14795</v>
      </c>
      <c r="I2294">
        <f>IFERROR(VLOOKUP(Final!F2294,'LEAID Match'!$A$2:$B$374,2,FALSE),"")</f>
        <v>400616</v>
      </c>
      <c r="K2294" s="10">
        <f t="shared" si="35"/>
        <v>14795</v>
      </c>
    </row>
    <row r="2295" spans="1:11">
      <c r="A2295">
        <v>400616</v>
      </c>
      <c r="B2295" s="10">
        <v>2017</v>
      </c>
      <c r="C2295" t="s">
        <v>888</v>
      </c>
      <c r="D2295" t="s">
        <v>2472</v>
      </c>
      <c r="E2295" t="s">
        <v>2474</v>
      </c>
      <c r="F2295" t="s">
        <v>1831</v>
      </c>
      <c r="G2295" t="s">
        <v>1831</v>
      </c>
      <c r="H2295" s="10">
        <v>20078</v>
      </c>
      <c r="I2295">
        <f>IFERROR(VLOOKUP(Final!F2295,'LEAID Match'!$A$2:$B$374,2,FALSE),"")</f>
        <v>400616</v>
      </c>
      <c r="K2295" s="10">
        <f t="shared" si="35"/>
        <v>20078</v>
      </c>
    </row>
    <row r="2296" spans="1:11">
      <c r="A2296">
        <v>400616</v>
      </c>
      <c r="B2296" s="10">
        <v>2018</v>
      </c>
      <c r="C2296" t="s">
        <v>888</v>
      </c>
      <c r="D2296" t="s">
        <v>2472</v>
      </c>
      <c r="E2296" t="s">
        <v>2474</v>
      </c>
      <c r="F2296" t="s">
        <v>1831</v>
      </c>
      <c r="G2296" t="s">
        <v>2254</v>
      </c>
      <c r="H2296" s="10">
        <v>22806</v>
      </c>
      <c r="I2296">
        <f>IFERROR(VLOOKUP(Final!F2296,'LEAID Match'!$A$2:$B$374,2,FALSE),"")</f>
        <v>400616</v>
      </c>
      <c r="K2296" s="10">
        <f t="shared" si="35"/>
        <v>22806</v>
      </c>
    </row>
    <row r="2297" spans="1:11">
      <c r="A2297">
        <v>400616</v>
      </c>
      <c r="B2297" s="10">
        <v>2019</v>
      </c>
      <c r="C2297" t="s">
        <v>888</v>
      </c>
      <c r="D2297" t="s">
        <v>2472</v>
      </c>
      <c r="E2297" t="s">
        <v>2474</v>
      </c>
      <c r="F2297" t="s">
        <v>1831</v>
      </c>
      <c r="G2297" t="s">
        <v>1831</v>
      </c>
      <c r="H2297" s="10">
        <v>26577</v>
      </c>
      <c r="I2297">
        <f>IFERROR(VLOOKUP(Final!F2297,'LEAID Match'!$A$2:$B$374,2,FALSE),"")</f>
        <v>400616</v>
      </c>
      <c r="K2297" s="10">
        <f t="shared" si="35"/>
        <v>26577</v>
      </c>
    </row>
    <row r="2298" spans="1:11">
      <c r="A2298">
        <v>400616</v>
      </c>
      <c r="B2298" s="10">
        <v>2020</v>
      </c>
      <c r="C2298" t="s">
        <v>888</v>
      </c>
      <c r="D2298" t="s">
        <v>2472</v>
      </c>
      <c r="E2298" t="s">
        <v>2474</v>
      </c>
      <c r="F2298" t="s">
        <v>1831</v>
      </c>
      <c r="G2298" t="s">
        <v>1831</v>
      </c>
      <c r="H2298" s="10">
        <v>25881</v>
      </c>
      <c r="I2298">
        <f>IFERROR(VLOOKUP(Final!F2298,'LEAID Match'!$A$2:$B$374,2,FALSE),"")</f>
        <v>400616</v>
      </c>
      <c r="K2298" s="10">
        <f t="shared" si="35"/>
        <v>25881</v>
      </c>
    </row>
    <row r="2299" spans="1:11">
      <c r="A2299">
        <v>400616</v>
      </c>
      <c r="B2299" s="10">
        <v>2021</v>
      </c>
      <c r="C2299" t="s">
        <v>888</v>
      </c>
      <c r="D2299" t="s">
        <v>2472</v>
      </c>
      <c r="E2299" t="s">
        <v>2474</v>
      </c>
      <c r="F2299" t="s">
        <v>1831</v>
      </c>
      <c r="G2299" t="s">
        <v>1831</v>
      </c>
      <c r="H2299" s="10">
        <v>33017</v>
      </c>
      <c r="I2299">
        <f>IFERROR(VLOOKUP(Final!F2299,'LEAID Match'!$A$2:$B$374,2,FALSE),"")</f>
        <v>400616</v>
      </c>
      <c r="K2299" s="10">
        <f t="shared" si="35"/>
        <v>33017</v>
      </c>
    </row>
    <row r="2300" spans="1:11">
      <c r="A2300">
        <v>400616</v>
      </c>
      <c r="B2300" s="10">
        <v>2022</v>
      </c>
      <c r="C2300" t="s">
        <v>888</v>
      </c>
      <c r="D2300" t="s">
        <v>2472</v>
      </c>
      <c r="E2300" t="s">
        <v>2474</v>
      </c>
      <c r="F2300" t="s">
        <v>1831</v>
      </c>
      <c r="G2300" t="s">
        <v>1831</v>
      </c>
      <c r="H2300" s="10">
        <v>33367</v>
      </c>
      <c r="I2300">
        <f>IFERROR(VLOOKUP(Final!F2300,'LEAID Match'!$A$2:$B$374,2,FALSE),"")</f>
        <v>400616</v>
      </c>
      <c r="K2300" s="10">
        <f t="shared" si="35"/>
        <v>33367</v>
      </c>
    </row>
    <row r="2301" spans="1:11">
      <c r="A2301">
        <v>400616</v>
      </c>
      <c r="B2301" s="10">
        <v>2023</v>
      </c>
      <c r="C2301" t="s">
        <v>888</v>
      </c>
      <c r="D2301" t="s">
        <v>2472</v>
      </c>
      <c r="E2301" t="s">
        <v>2474</v>
      </c>
      <c r="F2301" t="s">
        <v>1831</v>
      </c>
      <c r="G2301" t="s">
        <v>1831</v>
      </c>
      <c r="H2301" s="10">
        <v>29434</v>
      </c>
      <c r="I2301">
        <f>IFERROR(VLOOKUP(Final!F2301,'LEAID Match'!$A$2:$B$374,2,FALSE),"")</f>
        <v>400616</v>
      </c>
      <c r="K2301" s="10">
        <f t="shared" si="35"/>
        <v>29434</v>
      </c>
    </row>
    <row r="2302" spans="1:11">
      <c r="A2302" t="s">
        <v>2470</v>
      </c>
      <c r="B2302" s="10">
        <v>2015</v>
      </c>
      <c r="C2302" t="s">
        <v>1145</v>
      </c>
      <c r="D2302" t="s">
        <v>2472</v>
      </c>
      <c r="E2302" t="s">
        <v>2474</v>
      </c>
      <c r="F2302" t="s">
        <v>2319</v>
      </c>
      <c r="G2302" t="s">
        <v>1090</v>
      </c>
      <c r="H2302" s="10"/>
      <c r="I2302" t="str">
        <f>IFERROR(VLOOKUP(Final!F2302,'LEAID Match'!$A$2:$B$374,2,FALSE),"")</f>
        <v/>
      </c>
      <c r="K2302" s="10">
        <f t="shared" si="35"/>
        <v>0</v>
      </c>
    </row>
    <row r="2303" spans="1:11">
      <c r="A2303" t="s">
        <v>2470</v>
      </c>
      <c r="B2303" s="10">
        <v>2016</v>
      </c>
      <c r="C2303" t="s">
        <v>1145</v>
      </c>
      <c r="D2303" t="s">
        <v>2472</v>
      </c>
      <c r="E2303" t="s">
        <v>2474</v>
      </c>
      <c r="F2303" t="s">
        <v>2319</v>
      </c>
      <c r="G2303" t="s">
        <v>1090</v>
      </c>
      <c r="H2303" s="10"/>
      <c r="I2303" t="str">
        <f>IFERROR(VLOOKUP(Final!F2303,'LEAID Match'!$A$2:$B$374,2,FALSE),"")</f>
        <v/>
      </c>
      <c r="K2303" s="10">
        <f t="shared" si="35"/>
        <v>0</v>
      </c>
    </row>
    <row r="2304" spans="1:11">
      <c r="A2304" t="s">
        <v>2470</v>
      </c>
      <c r="B2304" s="10">
        <v>2017</v>
      </c>
      <c r="C2304" t="s">
        <v>1145</v>
      </c>
      <c r="D2304" t="s">
        <v>2472</v>
      </c>
      <c r="E2304" t="s">
        <v>2474</v>
      </c>
      <c r="F2304" t="s">
        <v>2319</v>
      </c>
      <c r="G2304" t="s">
        <v>1972</v>
      </c>
      <c r="H2304" s="10"/>
      <c r="I2304" t="str">
        <f>IFERROR(VLOOKUP(Final!F2304,'LEAID Match'!$A$2:$B$374,2,FALSE),"")</f>
        <v/>
      </c>
      <c r="K2304" s="10">
        <f t="shared" si="35"/>
        <v>0</v>
      </c>
    </row>
    <row r="2305" spans="1:11">
      <c r="A2305" t="s">
        <v>2470</v>
      </c>
      <c r="B2305" s="10">
        <v>2018</v>
      </c>
      <c r="C2305" t="s">
        <v>1145</v>
      </c>
      <c r="D2305" t="s">
        <v>2472</v>
      </c>
      <c r="E2305" t="s">
        <v>2474</v>
      </c>
      <c r="F2305" t="s">
        <v>2319</v>
      </c>
      <c r="G2305" t="s">
        <v>2319</v>
      </c>
      <c r="H2305" s="10"/>
      <c r="I2305" t="str">
        <f>IFERROR(VLOOKUP(Final!F2305,'LEAID Match'!$A$2:$B$374,2,FALSE),"")</f>
        <v/>
      </c>
      <c r="K2305" s="10">
        <f t="shared" si="35"/>
        <v>0</v>
      </c>
    </row>
    <row r="2306" spans="1:11">
      <c r="A2306">
        <v>400612</v>
      </c>
      <c r="B2306" s="10">
        <v>2015</v>
      </c>
      <c r="C2306" t="s">
        <v>891</v>
      </c>
      <c r="D2306" t="s">
        <v>2472</v>
      </c>
      <c r="E2306" t="s">
        <v>2474</v>
      </c>
      <c r="F2306" t="s">
        <v>1835</v>
      </c>
      <c r="G2306" t="s">
        <v>836</v>
      </c>
      <c r="H2306" s="10">
        <v>38835</v>
      </c>
      <c r="I2306">
        <f>IFERROR(VLOOKUP(Final!F2306,'LEAID Match'!$A$2:$B$374,2,FALSE),"")</f>
        <v>400612</v>
      </c>
      <c r="K2306" s="10">
        <f t="shared" si="35"/>
        <v>38835</v>
      </c>
    </row>
    <row r="2307" spans="1:11">
      <c r="A2307">
        <v>400612</v>
      </c>
      <c r="B2307" s="10">
        <v>2016</v>
      </c>
      <c r="C2307" t="s">
        <v>891</v>
      </c>
      <c r="D2307" t="s">
        <v>2472</v>
      </c>
      <c r="E2307" t="s">
        <v>2474</v>
      </c>
      <c r="F2307" t="s">
        <v>1835</v>
      </c>
      <c r="G2307" t="s">
        <v>836</v>
      </c>
      <c r="H2307" s="10">
        <v>36544</v>
      </c>
      <c r="I2307">
        <f>IFERROR(VLOOKUP(Final!F2307,'LEAID Match'!$A$2:$B$374,2,FALSE),"")</f>
        <v>400612</v>
      </c>
      <c r="K2307" s="10">
        <f t="shared" ref="K2307:K2370" si="36">SUM(H2307,J2307)</f>
        <v>36544</v>
      </c>
    </row>
    <row r="2308" spans="1:11">
      <c r="A2308">
        <v>400612</v>
      </c>
      <c r="B2308" s="10">
        <v>2017</v>
      </c>
      <c r="C2308" t="s">
        <v>891</v>
      </c>
      <c r="D2308" t="s">
        <v>2472</v>
      </c>
      <c r="E2308" t="s">
        <v>2474</v>
      </c>
      <c r="F2308" t="s">
        <v>1835</v>
      </c>
      <c r="G2308" t="s">
        <v>1835</v>
      </c>
      <c r="H2308" s="10">
        <v>38044</v>
      </c>
      <c r="I2308">
        <f>IFERROR(VLOOKUP(Final!F2308,'LEAID Match'!$A$2:$B$374,2,FALSE),"")</f>
        <v>400612</v>
      </c>
      <c r="K2308" s="10">
        <f t="shared" si="36"/>
        <v>38044</v>
      </c>
    </row>
    <row r="2309" spans="1:11">
      <c r="A2309">
        <v>400612</v>
      </c>
      <c r="B2309" s="10">
        <v>2018</v>
      </c>
      <c r="C2309" t="s">
        <v>891</v>
      </c>
      <c r="D2309" t="s">
        <v>2472</v>
      </c>
      <c r="E2309" t="s">
        <v>2474</v>
      </c>
      <c r="F2309" t="s">
        <v>1835</v>
      </c>
      <c r="G2309" t="s">
        <v>2255</v>
      </c>
      <c r="H2309" s="10">
        <v>43680</v>
      </c>
      <c r="I2309">
        <f>IFERROR(VLOOKUP(Final!F2309,'LEAID Match'!$A$2:$B$374,2,FALSE),"")</f>
        <v>400612</v>
      </c>
      <c r="K2309" s="10">
        <f t="shared" si="36"/>
        <v>43680</v>
      </c>
    </row>
    <row r="2310" spans="1:11">
      <c r="A2310">
        <v>400612</v>
      </c>
      <c r="B2310" s="10">
        <v>2019</v>
      </c>
      <c r="C2310" t="s">
        <v>891</v>
      </c>
      <c r="D2310" t="s">
        <v>2472</v>
      </c>
      <c r="E2310" t="s">
        <v>2474</v>
      </c>
      <c r="F2310" t="s">
        <v>1835</v>
      </c>
      <c r="G2310" t="s">
        <v>2379</v>
      </c>
      <c r="H2310" s="10">
        <v>48266</v>
      </c>
      <c r="I2310">
        <f>IFERROR(VLOOKUP(Final!F2310,'LEAID Match'!$A$2:$B$374,2,FALSE),"")</f>
        <v>400612</v>
      </c>
      <c r="K2310" s="10">
        <f t="shared" si="36"/>
        <v>48266</v>
      </c>
    </row>
    <row r="2311" spans="1:11">
      <c r="A2311">
        <v>400612</v>
      </c>
      <c r="B2311" s="10">
        <v>2020</v>
      </c>
      <c r="C2311" t="s">
        <v>891</v>
      </c>
      <c r="D2311" t="s">
        <v>2472</v>
      </c>
      <c r="E2311" t="s">
        <v>2474</v>
      </c>
      <c r="F2311" t="s">
        <v>1835</v>
      </c>
      <c r="G2311" t="s">
        <v>1835</v>
      </c>
      <c r="H2311" s="10">
        <v>54254</v>
      </c>
      <c r="I2311">
        <f>IFERROR(VLOOKUP(Final!F2311,'LEAID Match'!$A$2:$B$374,2,FALSE),"")</f>
        <v>400612</v>
      </c>
      <c r="K2311" s="10">
        <f t="shared" si="36"/>
        <v>54254</v>
      </c>
    </row>
    <row r="2312" spans="1:11">
      <c r="A2312">
        <v>400612</v>
      </c>
      <c r="B2312" s="10">
        <v>2021</v>
      </c>
      <c r="C2312" t="s">
        <v>891</v>
      </c>
      <c r="D2312" t="s">
        <v>2472</v>
      </c>
      <c r="E2312" t="s">
        <v>2474</v>
      </c>
      <c r="F2312" t="s">
        <v>1835</v>
      </c>
      <c r="G2312" t="s">
        <v>1835</v>
      </c>
      <c r="H2312" s="10">
        <v>50027</v>
      </c>
      <c r="I2312">
        <f>IFERROR(VLOOKUP(Final!F2312,'LEAID Match'!$A$2:$B$374,2,FALSE),"")</f>
        <v>400612</v>
      </c>
      <c r="K2312" s="10">
        <f t="shared" si="36"/>
        <v>50027</v>
      </c>
    </row>
    <row r="2313" spans="1:11">
      <c r="A2313">
        <v>400612</v>
      </c>
      <c r="B2313" s="10">
        <v>2022</v>
      </c>
      <c r="C2313" t="s">
        <v>891</v>
      </c>
      <c r="D2313" t="s">
        <v>2472</v>
      </c>
      <c r="E2313" t="s">
        <v>2474</v>
      </c>
      <c r="F2313" t="s">
        <v>1835</v>
      </c>
      <c r="G2313" t="s">
        <v>1835</v>
      </c>
      <c r="H2313" s="10">
        <v>60827</v>
      </c>
      <c r="I2313">
        <f>IFERROR(VLOOKUP(Final!F2313,'LEAID Match'!$A$2:$B$374,2,FALSE),"")</f>
        <v>400612</v>
      </c>
      <c r="K2313" s="10">
        <f t="shared" si="36"/>
        <v>60827</v>
      </c>
    </row>
    <row r="2314" spans="1:11">
      <c r="A2314">
        <v>400612</v>
      </c>
      <c r="B2314" s="10">
        <v>2023</v>
      </c>
      <c r="C2314" t="s">
        <v>891</v>
      </c>
      <c r="D2314" t="s">
        <v>2472</v>
      </c>
      <c r="E2314" t="s">
        <v>2474</v>
      </c>
      <c r="F2314" t="s">
        <v>1835</v>
      </c>
      <c r="G2314" t="s">
        <v>1835</v>
      </c>
      <c r="H2314" s="10">
        <v>78836</v>
      </c>
      <c r="I2314">
        <f>IFERROR(VLOOKUP(Final!F2314,'LEAID Match'!$A$2:$B$374,2,FALSE),"")</f>
        <v>400612</v>
      </c>
      <c r="K2314" s="10">
        <f t="shared" si="36"/>
        <v>78836</v>
      </c>
    </row>
    <row r="2315" spans="1:11">
      <c r="A2315">
        <v>400096</v>
      </c>
      <c r="B2315" s="10">
        <v>2015</v>
      </c>
      <c r="C2315" t="s">
        <v>817</v>
      </c>
      <c r="D2315" t="s">
        <v>2472</v>
      </c>
      <c r="E2315" t="s">
        <v>2474</v>
      </c>
      <c r="F2315" t="s">
        <v>762</v>
      </c>
      <c r="G2315" t="s">
        <v>762</v>
      </c>
      <c r="H2315" s="10">
        <v>65964</v>
      </c>
      <c r="I2315">
        <f>IFERROR(VLOOKUP(Final!F2315,'LEAID Match'!$A$2:$B$374,2,FALSE),"")</f>
        <v>400096</v>
      </c>
      <c r="K2315" s="10">
        <f t="shared" si="36"/>
        <v>65964</v>
      </c>
    </row>
    <row r="2316" spans="1:11">
      <c r="A2316">
        <v>400096</v>
      </c>
      <c r="B2316" s="10">
        <v>2016</v>
      </c>
      <c r="C2316" t="s">
        <v>817</v>
      </c>
      <c r="D2316" t="s">
        <v>2472</v>
      </c>
      <c r="E2316" t="s">
        <v>2474</v>
      </c>
      <c r="F2316" t="s">
        <v>762</v>
      </c>
      <c r="G2316" t="s">
        <v>762</v>
      </c>
      <c r="H2316" s="10">
        <v>73756</v>
      </c>
      <c r="I2316">
        <f>IFERROR(VLOOKUP(Final!F2316,'LEAID Match'!$A$2:$B$374,2,FALSE),"")</f>
        <v>400096</v>
      </c>
      <c r="K2316" s="10">
        <f t="shared" si="36"/>
        <v>73756</v>
      </c>
    </row>
    <row r="2317" spans="1:11">
      <c r="A2317">
        <v>400096</v>
      </c>
      <c r="B2317" s="10">
        <v>2017</v>
      </c>
      <c r="C2317" t="s">
        <v>817</v>
      </c>
      <c r="D2317" t="s">
        <v>2472</v>
      </c>
      <c r="E2317" t="s">
        <v>2474</v>
      </c>
      <c r="F2317" t="s">
        <v>762</v>
      </c>
      <c r="G2317" t="s">
        <v>762</v>
      </c>
      <c r="H2317" s="10">
        <v>72041</v>
      </c>
      <c r="I2317">
        <f>IFERROR(VLOOKUP(Final!F2317,'LEAID Match'!$A$2:$B$374,2,FALSE),"")</f>
        <v>400096</v>
      </c>
      <c r="K2317" s="10">
        <f t="shared" si="36"/>
        <v>72041</v>
      </c>
    </row>
    <row r="2318" spans="1:11">
      <c r="A2318">
        <v>400096</v>
      </c>
      <c r="B2318" s="10">
        <v>2018</v>
      </c>
      <c r="C2318" t="s">
        <v>817</v>
      </c>
      <c r="D2318" t="s">
        <v>2472</v>
      </c>
      <c r="E2318" t="s">
        <v>2474</v>
      </c>
      <c r="F2318" t="s">
        <v>762</v>
      </c>
      <c r="G2318" t="s">
        <v>762</v>
      </c>
      <c r="H2318" s="10">
        <v>84393</v>
      </c>
      <c r="I2318">
        <f>IFERROR(VLOOKUP(Final!F2318,'LEAID Match'!$A$2:$B$374,2,FALSE),"")</f>
        <v>400096</v>
      </c>
      <c r="K2318" s="10">
        <f t="shared" si="36"/>
        <v>84393</v>
      </c>
    </row>
    <row r="2319" spans="1:11">
      <c r="A2319">
        <v>400096</v>
      </c>
      <c r="B2319" s="10">
        <v>2019</v>
      </c>
      <c r="C2319" t="s">
        <v>817</v>
      </c>
      <c r="D2319" t="s">
        <v>2472</v>
      </c>
      <c r="E2319" t="s">
        <v>2474</v>
      </c>
      <c r="F2319" t="s">
        <v>762</v>
      </c>
      <c r="G2319" t="s">
        <v>762</v>
      </c>
      <c r="H2319" s="10">
        <v>88030</v>
      </c>
      <c r="I2319">
        <f>IFERROR(VLOOKUP(Final!F2319,'LEAID Match'!$A$2:$B$374,2,FALSE),"")</f>
        <v>400096</v>
      </c>
      <c r="K2319" s="10">
        <f t="shared" si="36"/>
        <v>88030</v>
      </c>
    </row>
    <row r="2320" spans="1:11">
      <c r="A2320">
        <v>400096</v>
      </c>
      <c r="B2320" s="10">
        <v>2020</v>
      </c>
      <c r="C2320" t="s">
        <v>817</v>
      </c>
      <c r="D2320" t="s">
        <v>2472</v>
      </c>
      <c r="E2320" t="s">
        <v>2474</v>
      </c>
      <c r="F2320" t="s">
        <v>762</v>
      </c>
      <c r="G2320" t="s">
        <v>762</v>
      </c>
      <c r="H2320" s="10">
        <v>97240</v>
      </c>
      <c r="I2320">
        <f>IFERROR(VLOOKUP(Final!F2320,'LEAID Match'!$A$2:$B$374,2,FALSE),"")</f>
        <v>400096</v>
      </c>
      <c r="K2320" s="10">
        <f t="shared" si="36"/>
        <v>97240</v>
      </c>
    </row>
    <row r="2321" spans="1:11">
      <c r="A2321">
        <v>400096</v>
      </c>
      <c r="B2321" s="10">
        <v>2021</v>
      </c>
      <c r="C2321" t="s">
        <v>817</v>
      </c>
      <c r="D2321" t="s">
        <v>2472</v>
      </c>
      <c r="E2321" t="s">
        <v>2474</v>
      </c>
      <c r="F2321" t="s">
        <v>762</v>
      </c>
      <c r="G2321" t="s">
        <v>762</v>
      </c>
      <c r="H2321" s="10">
        <v>107712</v>
      </c>
      <c r="I2321">
        <f>IFERROR(VLOOKUP(Final!F2321,'LEAID Match'!$A$2:$B$374,2,FALSE),"")</f>
        <v>400096</v>
      </c>
      <c r="K2321" s="10">
        <f t="shared" si="36"/>
        <v>107712</v>
      </c>
    </row>
    <row r="2322" spans="1:11">
      <c r="A2322">
        <v>400096</v>
      </c>
      <c r="B2322" s="10">
        <v>2022</v>
      </c>
      <c r="C2322" t="s">
        <v>817</v>
      </c>
      <c r="D2322" t="s">
        <v>2472</v>
      </c>
      <c r="E2322" t="s">
        <v>2474</v>
      </c>
      <c r="F2322" t="s">
        <v>762</v>
      </c>
      <c r="G2322" t="s">
        <v>762</v>
      </c>
      <c r="H2322" s="10">
        <v>111742</v>
      </c>
      <c r="I2322">
        <f>IFERROR(VLOOKUP(Final!F2322,'LEAID Match'!$A$2:$B$374,2,FALSE),"")</f>
        <v>400096</v>
      </c>
      <c r="K2322" s="10">
        <f t="shared" si="36"/>
        <v>111742</v>
      </c>
    </row>
    <row r="2323" spans="1:11">
      <c r="A2323">
        <v>400096</v>
      </c>
      <c r="B2323" s="10">
        <v>2023</v>
      </c>
      <c r="C2323" t="s">
        <v>817</v>
      </c>
      <c r="D2323" t="s">
        <v>2472</v>
      </c>
      <c r="E2323" t="s">
        <v>2474</v>
      </c>
      <c r="F2323" t="s">
        <v>762</v>
      </c>
      <c r="G2323" t="s">
        <v>762</v>
      </c>
      <c r="H2323" s="10">
        <v>134973</v>
      </c>
      <c r="I2323">
        <f>IFERROR(VLOOKUP(Final!F2323,'LEAID Match'!$A$2:$B$374,2,FALSE),"")</f>
        <v>400096</v>
      </c>
      <c r="K2323" s="10">
        <f t="shared" si="36"/>
        <v>134973</v>
      </c>
    </row>
    <row r="2324" spans="1:11">
      <c r="A2324">
        <v>400413</v>
      </c>
      <c r="B2324" s="10">
        <v>2015</v>
      </c>
      <c r="C2324" t="s">
        <v>803</v>
      </c>
      <c r="D2324" t="s">
        <v>2472</v>
      </c>
      <c r="E2324" t="s">
        <v>2474</v>
      </c>
      <c r="F2324" t="s">
        <v>748</v>
      </c>
      <c r="G2324" t="s">
        <v>748</v>
      </c>
      <c r="H2324" s="10">
        <v>149546</v>
      </c>
      <c r="I2324">
        <f>IFERROR(VLOOKUP(Final!F2324,'LEAID Match'!$A$2:$B$374,2,FALSE),"")</f>
        <v>400413</v>
      </c>
      <c r="K2324" s="10">
        <f t="shared" si="36"/>
        <v>149546</v>
      </c>
    </row>
    <row r="2325" spans="1:11">
      <c r="A2325">
        <v>400413</v>
      </c>
      <c r="B2325" s="10">
        <v>2016</v>
      </c>
      <c r="C2325" t="s">
        <v>803</v>
      </c>
      <c r="D2325" t="s">
        <v>2472</v>
      </c>
      <c r="E2325" t="s">
        <v>2474</v>
      </c>
      <c r="F2325" t="s">
        <v>748</v>
      </c>
      <c r="G2325" t="s">
        <v>748</v>
      </c>
      <c r="H2325" s="10">
        <v>160128</v>
      </c>
      <c r="I2325">
        <f>IFERROR(VLOOKUP(Final!F2325,'LEAID Match'!$A$2:$B$374,2,FALSE),"")</f>
        <v>400413</v>
      </c>
      <c r="K2325" s="10">
        <f t="shared" si="36"/>
        <v>160128</v>
      </c>
    </row>
    <row r="2326" spans="1:11">
      <c r="A2326">
        <v>400413</v>
      </c>
      <c r="B2326" s="10">
        <v>2017</v>
      </c>
      <c r="C2326" t="s">
        <v>803</v>
      </c>
      <c r="D2326" t="s">
        <v>2472</v>
      </c>
      <c r="E2326" t="s">
        <v>2474</v>
      </c>
      <c r="F2326" t="s">
        <v>748</v>
      </c>
      <c r="G2326" t="s">
        <v>748</v>
      </c>
      <c r="H2326" s="10">
        <v>172312</v>
      </c>
      <c r="I2326">
        <f>IFERROR(VLOOKUP(Final!F2326,'LEAID Match'!$A$2:$B$374,2,FALSE),"")</f>
        <v>400413</v>
      </c>
      <c r="K2326" s="10">
        <f t="shared" si="36"/>
        <v>172312</v>
      </c>
    </row>
    <row r="2327" spans="1:11">
      <c r="A2327">
        <v>400413</v>
      </c>
      <c r="B2327" s="10">
        <v>2018</v>
      </c>
      <c r="C2327" t="s">
        <v>803</v>
      </c>
      <c r="D2327" t="s">
        <v>2472</v>
      </c>
      <c r="E2327" t="s">
        <v>2474</v>
      </c>
      <c r="F2327" t="s">
        <v>748</v>
      </c>
      <c r="G2327" t="s">
        <v>2241</v>
      </c>
      <c r="H2327" s="10">
        <v>197307</v>
      </c>
      <c r="I2327">
        <f>IFERROR(VLOOKUP(Final!F2327,'LEAID Match'!$A$2:$B$374,2,FALSE),"")</f>
        <v>400413</v>
      </c>
      <c r="K2327" s="10">
        <f t="shared" si="36"/>
        <v>197307</v>
      </c>
    </row>
    <row r="2328" spans="1:11">
      <c r="A2328">
        <v>400413</v>
      </c>
      <c r="B2328" s="10">
        <v>2019</v>
      </c>
      <c r="C2328" t="s">
        <v>803</v>
      </c>
      <c r="D2328" t="s">
        <v>2472</v>
      </c>
      <c r="E2328" t="s">
        <v>2474</v>
      </c>
      <c r="F2328" t="s">
        <v>748</v>
      </c>
      <c r="G2328" t="s">
        <v>748</v>
      </c>
      <c r="H2328" s="10">
        <v>221906</v>
      </c>
      <c r="I2328">
        <f>IFERROR(VLOOKUP(Final!F2328,'LEAID Match'!$A$2:$B$374,2,FALSE),"")</f>
        <v>400413</v>
      </c>
      <c r="K2328" s="10">
        <f t="shared" si="36"/>
        <v>221906</v>
      </c>
    </row>
    <row r="2329" spans="1:11">
      <c r="A2329">
        <v>400413</v>
      </c>
      <c r="B2329" s="10">
        <v>2020</v>
      </c>
      <c r="C2329" t="s">
        <v>803</v>
      </c>
      <c r="D2329" t="s">
        <v>2472</v>
      </c>
      <c r="E2329" t="s">
        <v>2474</v>
      </c>
      <c r="F2329" t="s">
        <v>748</v>
      </c>
      <c r="G2329" t="s">
        <v>748</v>
      </c>
      <c r="H2329" s="10">
        <v>252071</v>
      </c>
      <c r="I2329">
        <f>IFERROR(VLOOKUP(Final!F2329,'LEAID Match'!$A$2:$B$374,2,FALSE),"")</f>
        <v>400413</v>
      </c>
      <c r="K2329" s="10">
        <f t="shared" si="36"/>
        <v>252071</v>
      </c>
    </row>
    <row r="2330" spans="1:11">
      <c r="A2330">
        <v>400413</v>
      </c>
      <c r="B2330" s="10">
        <v>2021</v>
      </c>
      <c r="C2330" t="s">
        <v>803</v>
      </c>
      <c r="D2330" t="s">
        <v>2472</v>
      </c>
      <c r="E2330" t="s">
        <v>2474</v>
      </c>
      <c r="F2330" t="s">
        <v>748</v>
      </c>
      <c r="G2330" t="s">
        <v>748</v>
      </c>
      <c r="H2330" s="10">
        <v>254808</v>
      </c>
      <c r="I2330">
        <f>IFERROR(VLOOKUP(Final!F2330,'LEAID Match'!$A$2:$B$374,2,FALSE),"")</f>
        <v>400413</v>
      </c>
      <c r="K2330" s="10">
        <f t="shared" si="36"/>
        <v>254808</v>
      </c>
    </row>
    <row r="2331" spans="1:11">
      <c r="A2331">
        <v>400413</v>
      </c>
      <c r="B2331" s="10">
        <v>2022</v>
      </c>
      <c r="C2331" t="s">
        <v>803</v>
      </c>
      <c r="D2331" t="s">
        <v>2472</v>
      </c>
      <c r="E2331" t="s">
        <v>2474</v>
      </c>
      <c r="F2331" t="s">
        <v>748</v>
      </c>
      <c r="G2331" t="s">
        <v>748</v>
      </c>
      <c r="H2331" s="10">
        <v>291151</v>
      </c>
      <c r="I2331">
        <f>IFERROR(VLOOKUP(Final!F2331,'LEAID Match'!$A$2:$B$374,2,FALSE),"")</f>
        <v>400413</v>
      </c>
      <c r="K2331" s="10">
        <f t="shared" si="36"/>
        <v>291151</v>
      </c>
    </row>
    <row r="2332" spans="1:11">
      <c r="A2332">
        <v>400413</v>
      </c>
      <c r="B2332" s="10">
        <v>2023</v>
      </c>
      <c r="C2332" t="s">
        <v>803</v>
      </c>
      <c r="D2332" t="s">
        <v>2472</v>
      </c>
      <c r="E2332" t="s">
        <v>2474</v>
      </c>
      <c r="F2332" t="s">
        <v>748</v>
      </c>
      <c r="G2332" t="s">
        <v>748</v>
      </c>
      <c r="H2332" s="10">
        <v>319141</v>
      </c>
      <c r="I2332">
        <f>IFERROR(VLOOKUP(Final!F2332,'LEAID Match'!$A$2:$B$374,2,FALSE),"")</f>
        <v>400413</v>
      </c>
      <c r="K2332" s="10">
        <f t="shared" si="36"/>
        <v>319141</v>
      </c>
    </row>
    <row r="2333" spans="1:11">
      <c r="A2333">
        <v>400404</v>
      </c>
      <c r="B2333" s="10">
        <v>2015</v>
      </c>
      <c r="C2333" t="s">
        <v>68</v>
      </c>
      <c r="D2333" t="s">
        <v>2472</v>
      </c>
      <c r="E2333" t="s">
        <v>2474</v>
      </c>
      <c r="F2333" t="s">
        <v>1493</v>
      </c>
      <c r="G2333" t="s">
        <v>15</v>
      </c>
      <c r="H2333" s="10">
        <v>24816</v>
      </c>
      <c r="I2333">
        <f>IFERROR(VLOOKUP(Final!F2333,'LEAID Match'!$A$2:$B$374,2,FALSE),"")</f>
        <v>400404</v>
      </c>
      <c r="K2333" s="10">
        <f t="shared" si="36"/>
        <v>24816</v>
      </c>
    </row>
    <row r="2334" spans="1:11">
      <c r="A2334">
        <v>400404</v>
      </c>
      <c r="B2334" s="10">
        <v>2016</v>
      </c>
      <c r="C2334" t="s">
        <v>68</v>
      </c>
      <c r="D2334" t="s">
        <v>2472</v>
      </c>
      <c r="E2334" t="s">
        <v>2474</v>
      </c>
      <c r="F2334" t="s">
        <v>1493</v>
      </c>
      <c r="G2334" t="s">
        <v>15</v>
      </c>
      <c r="H2334" s="10">
        <v>17717</v>
      </c>
      <c r="I2334">
        <f>IFERROR(VLOOKUP(Final!F2334,'LEAID Match'!$A$2:$B$374,2,FALSE),"")</f>
        <v>400404</v>
      </c>
      <c r="K2334" s="10">
        <f t="shared" si="36"/>
        <v>17717</v>
      </c>
    </row>
    <row r="2335" spans="1:11">
      <c r="A2335">
        <v>400404</v>
      </c>
      <c r="B2335" s="10">
        <v>2017</v>
      </c>
      <c r="C2335" t="s">
        <v>68</v>
      </c>
      <c r="D2335" t="s">
        <v>2472</v>
      </c>
      <c r="E2335" t="s">
        <v>2474</v>
      </c>
      <c r="F2335" t="s">
        <v>1493</v>
      </c>
      <c r="G2335" t="s">
        <v>1493</v>
      </c>
      <c r="H2335" s="10">
        <v>13323</v>
      </c>
      <c r="I2335">
        <f>IFERROR(VLOOKUP(Final!F2335,'LEAID Match'!$A$2:$B$374,2,FALSE),"")</f>
        <v>400404</v>
      </c>
      <c r="K2335" s="10">
        <f t="shared" si="36"/>
        <v>13323</v>
      </c>
    </row>
    <row r="2336" spans="1:11">
      <c r="A2336">
        <v>400404</v>
      </c>
      <c r="B2336" s="10">
        <v>2018</v>
      </c>
      <c r="C2336" t="s">
        <v>68</v>
      </c>
      <c r="D2336" t="s">
        <v>2472</v>
      </c>
      <c r="E2336" t="s">
        <v>2474</v>
      </c>
      <c r="F2336" t="s">
        <v>1493</v>
      </c>
      <c r="G2336" t="s">
        <v>1493</v>
      </c>
      <c r="H2336" s="10">
        <v>13839</v>
      </c>
      <c r="I2336">
        <f>IFERROR(VLOOKUP(Final!F2336,'LEAID Match'!$A$2:$B$374,2,FALSE),"")</f>
        <v>400404</v>
      </c>
      <c r="K2336" s="10">
        <f t="shared" si="36"/>
        <v>13839</v>
      </c>
    </row>
    <row r="2337" spans="1:11">
      <c r="A2337">
        <v>400404</v>
      </c>
      <c r="B2337" s="10">
        <v>2019</v>
      </c>
      <c r="C2337" t="s">
        <v>68</v>
      </c>
      <c r="D2337" t="s">
        <v>2472</v>
      </c>
      <c r="E2337" t="s">
        <v>2474</v>
      </c>
      <c r="F2337" t="s">
        <v>1493</v>
      </c>
      <c r="G2337" t="s">
        <v>1493</v>
      </c>
      <c r="H2337" s="10">
        <v>14770</v>
      </c>
      <c r="I2337">
        <f>IFERROR(VLOOKUP(Final!F2337,'LEAID Match'!$A$2:$B$374,2,FALSE),"")</f>
        <v>400404</v>
      </c>
      <c r="K2337" s="10">
        <f t="shared" si="36"/>
        <v>14770</v>
      </c>
    </row>
    <row r="2338" spans="1:11">
      <c r="A2338">
        <v>400404</v>
      </c>
      <c r="B2338" s="10">
        <v>2020</v>
      </c>
      <c r="C2338" t="s">
        <v>68</v>
      </c>
      <c r="D2338" t="s">
        <v>2472</v>
      </c>
      <c r="E2338" t="s">
        <v>2474</v>
      </c>
      <c r="F2338" t="s">
        <v>1493</v>
      </c>
      <c r="G2338" t="s">
        <v>1493</v>
      </c>
      <c r="H2338" s="10">
        <v>8216</v>
      </c>
      <c r="I2338">
        <f>IFERROR(VLOOKUP(Final!F2338,'LEAID Match'!$A$2:$B$374,2,FALSE),"")</f>
        <v>400404</v>
      </c>
      <c r="K2338" s="10">
        <f t="shared" si="36"/>
        <v>8216</v>
      </c>
    </row>
    <row r="2339" spans="1:11">
      <c r="A2339">
        <v>400404</v>
      </c>
      <c r="B2339" s="10">
        <v>2021</v>
      </c>
      <c r="C2339" t="s">
        <v>68</v>
      </c>
      <c r="D2339" t="s">
        <v>2472</v>
      </c>
      <c r="E2339" t="s">
        <v>2474</v>
      </c>
      <c r="F2339" t="s">
        <v>1493</v>
      </c>
      <c r="G2339" t="s">
        <v>1493</v>
      </c>
      <c r="H2339" s="10">
        <v>4327</v>
      </c>
      <c r="I2339">
        <f>IFERROR(VLOOKUP(Final!F2339,'LEAID Match'!$A$2:$B$374,2,FALSE),"")</f>
        <v>400404</v>
      </c>
      <c r="K2339" s="10">
        <f t="shared" si="36"/>
        <v>4327</v>
      </c>
    </row>
    <row r="2340" spans="1:11">
      <c r="A2340">
        <v>400404</v>
      </c>
      <c r="B2340" s="10">
        <v>2022</v>
      </c>
      <c r="C2340" t="s">
        <v>68</v>
      </c>
      <c r="D2340" t="s">
        <v>2472</v>
      </c>
      <c r="E2340" t="s">
        <v>2474</v>
      </c>
      <c r="F2340" t="s">
        <v>1493</v>
      </c>
      <c r="G2340" t="s">
        <v>1493</v>
      </c>
      <c r="H2340" s="10">
        <v>3752</v>
      </c>
      <c r="I2340">
        <f>IFERROR(VLOOKUP(Final!F2340,'LEAID Match'!$A$2:$B$374,2,FALSE),"")</f>
        <v>400404</v>
      </c>
      <c r="K2340" s="10">
        <f t="shared" si="36"/>
        <v>3752</v>
      </c>
    </row>
    <row r="2341" spans="1:11">
      <c r="A2341">
        <v>400404</v>
      </c>
      <c r="B2341" s="10">
        <v>2023</v>
      </c>
      <c r="C2341" t="s">
        <v>68</v>
      </c>
      <c r="D2341" t="s">
        <v>2472</v>
      </c>
      <c r="E2341" t="s">
        <v>2474</v>
      </c>
      <c r="F2341" t="s">
        <v>1493</v>
      </c>
      <c r="G2341" t="s">
        <v>1493</v>
      </c>
      <c r="H2341" s="10">
        <v>4074</v>
      </c>
      <c r="I2341">
        <f>IFERROR(VLOOKUP(Final!F2341,'LEAID Match'!$A$2:$B$374,2,FALSE),"")</f>
        <v>400404</v>
      </c>
      <c r="K2341" s="10">
        <f t="shared" si="36"/>
        <v>4074</v>
      </c>
    </row>
    <row r="2342" spans="1:11">
      <c r="A2342">
        <v>400403</v>
      </c>
      <c r="B2342" s="10">
        <v>2015</v>
      </c>
      <c r="C2342" t="s">
        <v>69</v>
      </c>
      <c r="D2342" t="s">
        <v>2472</v>
      </c>
      <c r="E2342" t="s">
        <v>2474</v>
      </c>
      <c r="F2342" t="s">
        <v>1494</v>
      </c>
      <c r="G2342" t="s">
        <v>16</v>
      </c>
      <c r="H2342" s="10">
        <v>319835</v>
      </c>
      <c r="I2342">
        <f>IFERROR(VLOOKUP(Final!F2342,'LEAID Match'!$A$2:$B$374,2,FALSE),"")</f>
        <v>400403</v>
      </c>
      <c r="K2342" s="10">
        <f t="shared" si="36"/>
        <v>319835</v>
      </c>
    </row>
    <row r="2343" spans="1:11">
      <c r="A2343">
        <v>400403</v>
      </c>
      <c r="B2343" s="10">
        <v>2016</v>
      </c>
      <c r="C2343" t="s">
        <v>69</v>
      </c>
      <c r="D2343" t="s">
        <v>2472</v>
      </c>
      <c r="E2343" t="s">
        <v>2474</v>
      </c>
      <c r="F2343" t="s">
        <v>1494</v>
      </c>
      <c r="G2343" t="s">
        <v>16</v>
      </c>
      <c r="H2343" s="10">
        <v>325064</v>
      </c>
      <c r="I2343">
        <f>IFERROR(VLOOKUP(Final!F2343,'LEAID Match'!$A$2:$B$374,2,FALSE),"")</f>
        <v>400403</v>
      </c>
      <c r="K2343" s="10">
        <f t="shared" si="36"/>
        <v>325064</v>
      </c>
    </row>
    <row r="2344" spans="1:11">
      <c r="A2344">
        <v>400403</v>
      </c>
      <c r="B2344" s="10">
        <v>2017</v>
      </c>
      <c r="C2344" t="s">
        <v>69</v>
      </c>
      <c r="D2344" t="s">
        <v>2472</v>
      </c>
      <c r="E2344" t="s">
        <v>2474</v>
      </c>
      <c r="F2344" t="s">
        <v>1494</v>
      </c>
      <c r="G2344" t="s">
        <v>1494</v>
      </c>
      <c r="H2344" s="10">
        <v>329250</v>
      </c>
      <c r="I2344">
        <f>IFERROR(VLOOKUP(Final!F2344,'LEAID Match'!$A$2:$B$374,2,FALSE),"")</f>
        <v>400403</v>
      </c>
      <c r="K2344" s="10">
        <f t="shared" si="36"/>
        <v>329250</v>
      </c>
    </row>
    <row r="2345" spans="1:11">
      <c r="A2345">
        <v>400403</v>
      </c>
      <c r="B2345" s="10">
        <v>2018</v>
      </c>
      <c r="C2345" t="s">
        <v>69</v>
      </c>
      <c r="D2345" t="s">
        <v>2472</v>
      </c>
      <c r="E2345" t="s">
        <v>2474</v>
      </c>
      <c r="F2345" t="s">
        <v>1494</v>
      </c>
      <c r="G2345" t="s">
        <v>1494</v>
      </c>
      <c r="H2345" s="10">
        <v>343642</v>
      </c>
      <c r="I2345">
        <f>IFERROR(VLOOKUP(Final!F2345,'LEAID Match'!$A$2:$B$374,2,FALSE),"")</f>
        <v>400403</v>
      </c>
      <c r="K2345" s="10">
        <f t="shared" si="36"/>
        <v>343642</v>
      </c>
    </row>
    <row r="2346" spans="1:11">
      <c r="A2346">
        <v>400403</v>
      </c>
      <c r="B2346" s="10">
        <v>2019</v>
      </c>
      <c r="C2346" t="s">
        <v>69</v>
      </c>
      <c r="D2346" t="s">
        <v>2472</v>
      </c>
      <c r="E2346" t="s">
        <v>2474</v>
      </c>
      <c r="F2346" t="s">
        <v>1494</v>
      </c>
      <c r="G2346" t="s">
        <v>1494</v>
      </c>
      <c r="H2346" s="10">
        <v>399987</v>
      </c>
      <c r="I2346">
        <f>IFERROR(VLOOKUP(Final!F2346,'LEAID Match'!$A$2:$B$374,2,FALSE),"")</f>
        <v>400403</v>
      </c>
      <c r="K2346" s="10">
        <f t="shared" si="36"/>
        <v>399987</v>
      </c>
    </row>
    <row r="2347" spans="1:11">
      <c r="A2347">
        <v>400403</v>
      </c>
      <c r="B2347" s="10">
        <v>2020</v>
      </c>
      <c r="C2347" t="s">
        <v>69</v>
      </c>
      <c r="D2347" t="s">
        <v>2472</v>
      </c>
      <c r="E2347" t="s">
        <v>2474</v>
      </c>
      <c r="F2347" t="s">
        <v>1494</v>
      </c>
      <c r="G2347" t="s">
        <v>1494</v>
      </c>
      <c r="H2347" s="10">
        <v>400421</v>
      </c>
      <c r="I2347">
        <f>IFERROR(VLOOKUP(Final!F2347,'LEAID Match'!$A$2:$B$374,2,FALSE),"")</f>
        <v>400403</v>
      </c>
      <c r="K2347" s="10">
        <f t="shared" si="36"/>
        <v>400421</v>
      </c>
    </row>
    <row r="2348" spans="1:11">
      <c r="A2348">
        <v>400403</v>
      </c>
      <c r="B2348" s="10">
        <v>2021</v>
      </c>
      <c r="C2348" t="s">
        <v>69</v>
      </c>
      <c r="D2348" t="s">
        <v>2472</v>
      </c>
      <c r="E2348" t="s">
        <v>2474</v>
      </c>
      <c r="F2348" t="s">
        <v>1494</v>
      </c>
      <c r="G2348" t="s">
        <v>1494</v>
      </c>
      <c r="H2348" s="10">
        <v>417721</v>
      </c>
      <c r="I2348">
        <f>IFERROR(VLOOKUP(Final!F2348,'LEAID Match'!$A$2:$B$374,2,FALSE),"")</f>
        <v>400403</v>
      </c>
      <c r="K2348" s="10">
        <f t="shared" si="36"/>
        <v>417721</v>
      </c>
    </row>
    <row r="2349" spans="1:11">
      <c r="A2349">
        <v>400403</v>
      </c>
      <c r="B2349" s="10">
        <v>2022</v>
      </c>
      <c r="C2349" t="s">
        <v>69</v>
      </c>
      <c r="D2349" t="s">
        <v>2472</v>
      </c>
      <c r="E2349" t="s">
        <v>2474</v>
      </c>
      <c r="F2349" t="s">
        <v>1494</v>
      </c>
      <c r="G2349" t="s">
        <v>1494</v>
      </c>
      <c r="H2349" s="10">
        <v>419053</v>
      </c>
      <c r="I2349">
        <f>IFERROR(VLOOKUP(Final!F2349,'LEAID Match'!$A$2:$B$374,2,FALSE),"")</f>
        <v>400403</v>
      </c>
      <c r="K2349" s="10">
        <f t="shared" si="36"/>
        <v>419053</v>
      </c>
    </row>
    <row r="2350" spans="1:11">
      <c r="A2350">
        <v>400403</v>
      </c>
      <c r="B2350" s="10">
        <v>2023</v>
      </c>
      <c r="C2350" t="s">
        <v>69</v>
      </c>
      <c r="D2350" t="s">
        <v>2472</v>
      </c>
      <c r="E2350" t="s">
        <v>2474</v>
      </c>
      <c r="F2350" t="s">
        <v>1494</v>
      </c>
      <c r="G2350" t="s">
        <v>1494</v>
      </c>
      <c r="H2350" s="10">
        <v>365781</v>
      </c>
      <c r="I2350">
        <f>IFERROR(VLOOKUP(Final!F2350,'LEAID Match'!$A$2:$B$374,2,FALSE),"")</f>
        <v>400403</v>
      </c>
      <c r="K2350" s="10">
        <f t="shared" si="36"/>
        <v>365781</v>
      </c>
    </row>
    <row r="2351" spans="1:11">
      <c r="A2351">
        <v>400356</v>
      </c>
      <c r="B2351" s="10">
        <v>2015</v>
      </c>
      <c r="C2351" t="s">
        <v>901</v>
      </c>
      <c r="D2351" t="s">
        <v>2472</v>
      </c>
      <c r="E2351" t="s">
        <v>2474</v>
      </c>
      <c r="F2351" t="s">
        <v>846</v>
      </c>
      <c r="G2351" t="s">
        <v>846</v>
      </c>
      <c r="H2351" s="10">
        <v>67378</v>
      </c>
      <c r="I2351">
        <f>IFERROR(VLOOKUP(Final!F2351,'LEAID Match'!$A$2:$B$374,2,FALSE),"")</f>
        <v>400356</v>
      </c>
      <c r="K2351" s="10">
        <f t="shared" si="36"/>
        <v>67378</v>
      </c>
    </row>
    <row r="2352" spans="1:11">
      <c r="A2352">
        <v>400356</v>
      </c>
      <c r="B2352" s="10">
        <v>2016</v>
      </c>
      <c r="C2352" t="s">
        <v>901</v>
      </c>
      <c r="D2352" t="s">
        <v>2472</v>
      </c>
      <c r="E2352" t="s">
        <v>2474</v>
      </c>
      <c r="F2352" t="s">
        <v>846</v>
      </c>
      <c r="G2352" t="s">
        <v>846</v>
      </c>
      <c r="H2352" s="10">
        <v>68251</v>
      </c>
      <c r="I2352">
        <f>IFERROR(VLOOKUP(Final!F2352,'LEAID Match'!$A$2:$B$374,2,FALSE),"")</f>
        <v>400356</v>
      </c>
      <c r="K2352" s="10">
        <f t="shared" si="36"/>
        <v>68251</v>
      </c>
    </row>
    <row r="2353" spans="1:11">
      <c r="A2353">
        <v>400356</v>
      </c>
      <c r="B2353" s="10">
        <v>2017</v>
      </c>
      <c r="C2353" t="s">
        <v>901</v>
      </c>
      <c r="D2353" t="s">
        <v>2472</v>
      </c>
      <c r="E2353" t="s">
        <v>2474</v>
      </c>
      <c r="F2353" t="s">
        <v>846</v>
      </c>
      <c r="G2353" t="s">
        <v>846</v>
      </c>
      <c r="H2353" s="10">
        <v>81969</v>
      </c>
      <c r="I2353">
        <f>IFERROR(VLOOKUP(Final!F2353,'LEAID Match'!$A$2:$B$374,2,FALSE),"")</f>
        <v>400356</v>
      </c>
      <c r="K2353" s="10">
        <f t="shared" si="36"/>
        <v>81969</v>
      </c>
    </row>
    <row r="2354" spans="1:11">
      <c r="A2354">
        <v>400356</v>
      </c>
      <c r="B2354" s="10">
        <v>2018</v>
      </c>
      <c r="C2354" t="s">
        <v>901</v>
      </c>
      <c r="D2354" t="s">
        <v>2472</v>
      </c>
      <c r="E2354" t="s">
        <v>2474</v>
      </c>
      <c r="F2354" t="s">
        <v>846</v>
      </c>
      <c r="G2354" t="s">
        <v>846</v>
      </c>
      <c r="H2354" s="10">
        <v>98058</v>
      </c>
      <c r="I2354">
        <f>IFERROR(VLOOKUP(Final!F2354,'LEAID Match'!$A$2:$B$374,2,FALSE),"")</f>
        <v>400356</v>
      </c>
      <c r="K2354" s="10">
        <f t="shared" si="36"/>
        <v>98058</v>
      </c>
    </row>
    <row r="2355" spans="1:11">
      <c r="A2355">
        <v>400356</v>
      </c>
      <c r="B2355" s="10">
        <v>2019</v>
      </c>
      <c r="C2355" t="s">
        <v>901</v>
      </c>
      <c r="D2355" t="s">
        <v>2472</v>
      </c>
      <c r="E2355" t="s">
        <v>2474</v>
      </c>
      <c r="F2355" t="s">
        <v>846</v>
      </c>
      <c r="G2355" t="s">
        <v>846</v>
      </c>
      <c r="H2355" s="10">
        <v>116190</v>
      </c>
      <c r="I2355">
        <f>IFERROR(VLOOKUP(Final!F2355,'LEAID Match'!$A$2:$B$374,2,FALSE),"")</f>
        <v>400356</v>
      </c>
      <c r="K2355" s="10">
        <f t="shared" si="36"/>
        <v>116190</v>
      </c>
    </row>
    <row r="2356" spans="1:11">
      <c r="A2356">
        <v>400356</v>
      </c>
      <c r="B2356" s="10">
        <v>2020</v>
      </c>
      <c r="C2356" t="s">
        <v>901</v>
      </c>
      <c r="D2356" t="s">
        <v>2472</v>
      </c>
      <c r="E2356" t="s">
        <v>2474</v>
      </c>
      <c r="F2356" t="s">
        <v>846</v>
      </c>
      <c r="G2356" t="s">
        <v>846</v>
      </c>
      <c r="H2356" s="10">
        <v>124768</v>
      </c>
      <c r="I2356">
        <f>IFERROR(VLOOKUP(Final!F2356,'LEAID Match'!$A$2:$B$374,2,FALSE),"")</f>
        <v>400356</v>
      </c>
      <c r="K2356" s="10">
        <f t="shared" si="36"/>
        <v>124768</v>
      </c>
    </row>
    <row r="2357" spans="1:11">
      <c r="A2357">
        <v>400356</v>
      </c>
      <c r="B2357" s="10">
        <v>2021</v>
      </c>
      <c r="C2357" t="s">
        <v>901</v>
      </c>
      <c r="D2357" t="s">
        <v>2472</v>
      </c>
      <c r="E2357" t="s">
        <v>2474</v>
      </c>
      <c r="F2357" t="s">
        <v>846</v>
      </c>
      <c r="G2357" t="s">
        <v>846</v>
      </c>
      <c r="H2357" s="10">
        <v>126854</v>
      </c>
      <c r="I2357">
        <f>IFERROR(VLOOKUP(Final!F2357,'LEAID Match'!$A$2:$B$374,2,FALSE),"")</f>
        <v>400356</v>
      </c>
      <c r="K2357" s="10">
        <f t="shared" si="36"/>
        <v>126854</v>
      </c>
    </row>
    <row r="2358" spans="1:11">
      <c r="A2358">
        <v>400356</v>
      </c>
      <c r="B2358" s="10">
        <v>2022</v>
      </c>
      <c r="C2358" t="s">
        <v>901</v>
      </c>
      <c r="D2358" t="s">
        <v>2472</v>
      </c>
      <c r="E2358" t="s">
        <v>2474</v>
      </c>
      <c r="F2358" t="s">
        <v>846</v>
      </c>
      <c r="G2358" t="s">
        <v>846</v>
      </c>
      <c r="H2358" s="10">
        <v>146084</v>
      </c>
      <c r="I2358">
        <f>IFERROR(VLOOKUP(Final!F2358,'LEAID Match'!$A$2:$B$374,2,FALSE),"")</f>
        <v>400356</v>
      </c>
      <c r="K2358" s="10">
        <f t="shared" si="36"/>
        <v>146084</v>
      </c>
    </row>
    <row r="2359" spans="1:11">
      <c r="A2359">
        <v>400356</v>
      </c>
      <c r="B2359" s="10">
        <v>2023</v>
      </c>
      <c r="C2359" t="s">
        <v>901</v>
      </c>
      <c r="D2359" t="s">
        <v>2472</v>
      </c>
      <c r="E2359" t="s">
        <v>2474</v>
      </c>
      <c r="F2359" t="s">
        <v>846</v>
      </c>
      <c r="G2359" t="s">
        <v>846</v>
      </c>
      <c r="H2359" s="10">
        <v>175774</v>
      </c>
      <c r="I2359">
        <f>IFERROR(VLOOKUP(Final!F2359,'LEAID Match'!$A$2:$B$374,2,FALSE),"")</f>
        <v>400356</v>
      </c>
      <c r="K2359" s="10">
        <f t="shared" si="36"/>
        <v>175774</v>
      </c>
    </row>
    <row r="2360" spans="1:11">
      <c r="A2360" t="s">
        <v>2470</v>
      </c>
      <c r="B2360" s="10">
        <v>2015</v>
      </c>
      <c r="C2360" t="s">
        <v>808</v>
      </c>
      <c r="D2360" t="s">
        <v>2472</v>
      </c>
      <c r="E2360" t="s">
        <v>2474</v>
      </c>
      <c r="F2360" t="s">
        <v>2430</v>
      </c>
      <c r="G2360" t="s">
        <v>753</v>
      </c>
      <c r="H2360" s="10">
        <v>159145</v>
      </c>
      <c r="I2360" t="str">
        <f>IFERROR(VLOOKUP(Final!F2360,'LEAID Match'!$A$2:$B$374,2,FALSE),"")</f>
        <v/>
      </c>
      <c r="K2360" s="10">
        <f t="shared" si="36"/>
        <v>159145</v>
      </c>
    </row>
    <row r="2361" spans="1:11">
      <c r="A2361" t="s">
        <v>2470</v>
      </c>
      <c r="B2361" s="10">
        <v>2016</v>
      </c>
      <c r="C2361" t="s">
        <v>808</v>
      </c>
      <c r="D2361" t="s">
        <v>2472</v>
      </c>
      <c r="E2361" t="s">
        <v>2474</v>
      </c>
      <c r="F2361" t="s">
        <v>2430</v>
      </c>
      <c r="G2361" t="s">
        <v>1467</v>
      </c>
      <c r="H2361" s="10">
        <v>158949</v>
      </c>
      <c r="I2361" t="str">
        <f>IFERROR(VLOOKUP(Final!F2361,'LEAID Match'!$A$2:$B$374,2,FALSE),"")</f>
        <v/>
      </c>
      <c r="K2361" s="10">
        <f t="shared" si="36"/>
        <v>158949</v>
      </c>
    </row>
    <row r="2362" spans="1:11">
      <c r="A2362" t="s">
        <v>2470</v>
      </c>
      <c r="B2362" s="10">
        <v>2017</v>
      </c>
      <c r="C2362" t="s">
        <v>808</v>
      </c>
      <c r="D2362" t="s">
        <v>2472</v>
      </c>
      <c r="E2362" t="s">
        <v>2474</v>
      </c>
      <c r="F2362" t="s">
        <v>2430</v>
      </c>
      <c r="G2362" t="s">
        <v>1813</v>
      </c>
      <c r="H2362" s="10">
        <v>150326</v>
      </c>
      <c r="I2362" t="str">
        <f>IFERROR(VLOOKUP(Final!F2362,'LEAID Match'!$A$2:$B$374,2,FALSE),"")</f>
        <v/>
      </c>
      <c r="K2362" s="10">
        <f t="shared" si="36"/>
        <v>150326</v>
      </c>
    </row>
    <row r="2363" spans="1:11">
      <c r="A2363" t="s">
        <v>2470</v>
      </c>
      <c r="B2363" s="10">
        <v>2018</v>
      </c>
      <c r="C2363" t="s">
        <v>808</v>
      </c>
      <c r="D2363" t="s">
        <v>2472</v>
      </c>
      <c r="E2363" t="s">
        <v>2474</v>
      </c>
      <c r="F2363" t="s">
        <v>2430</v>
      </c>
      <c r="G2363" t="s">
        <v>2242</v>
      </c>
      <c r="H2363" s="10">
        <v>168192</v>
      </c>
      <c r="I2363" t="str">
        <f>IFERROR(VLOOKUP(Final!F2363,'LEAID Match'!$A$2:$B$374,2,FALSE),"")</f>
        <v/>
      </c>
      <c r="K2363" s="10">
        <f t="shared" si="36"/>
        <v>168192</v>
      </c>
    </row>
    <row r="2364" spans="1:11">
      <c r="A2364" t="s">
        <v>2470</v>
      </c>
      <c r="B2364" s="10">
        <v>2019</v>
      </c>
      <c r="C2364" t="s">
        <v>808</v>
      </c>
      <c r="D2364" t="s">
        <v>2472</v>
      </c>
      <c r="E2364" t="s">
        <v>2474</v>
      </c>
      <c r="F2364" t="s">
        <v>2430</v>
      </c>
      <c r="G2364" t="s">
        <v>1813</v>
      </c>
      <c r="H2364" s="10">
        <v>179528</v>
      </c>
      <c r="I2364" t="str">
        <f>IFERROR(VLOOKUP(Final!F2364,'LEAID Match'!$A$2:$B$374,2,FALSE),"")</f>
        <v/>
      </c>
      <c r="K2364" s="10">
        <f t="shared" si="36"/>
        <v>179528</v>
      </c>
    </row>
    <row r="2365" spans="1:11">
      <c r="A2365" t="s">
        <v>2470</v>
      </c>
      <c r="B2365" s="10">
        <v>2020</v>
      </c>
      <c r="C2365" t="s">
        <v>808</v>
      </c>
      <c r="D2365" t="s">
        <v>2472</v>
      </c>
      <c r="E2365" t="s">
        <v>2474</v>
      </c>
      <c r="F2365" t="s">
        <v>2430</v>
      </c>
      <c r="G2365" t="s">
        <v>1813</v>
      </c>
      <c r="H2365" s="10"/>
      <c r="I2365" t="str">
        <f>IFERROR(VLOOKUP(Final!F2365,'LEAID Match'!$A$2:$B$374,2,FALSE),"")</f>
        <v/>
      </c>
      <c r="K2365" s="10">
        <f t="shared" si="36"/>
        <v>0</v>
      </c>
    </row>
    <row r="2366" spans="1:11">
      <c r="A2366" t="s">
        <v>2470</v>
      </c>
      <c r="B2366" s="10">
        <v>2021</v>
      </c>
      <c r="C2366" t="s">
        <v>808</v>
      </c>
      <c r="D2366" t="s">
        <v>2472</v>
      </c>
      <c r="E2366" t="s">
        <v>2474</v>
      </c>
      <c r="F2366" t="s">
        <v>2430</v>
      </c>
      <c r="G2366" t="s">
        <v>2430</v>
      </c>
      <c r="H2366" s="10"/>
      <c r="I2366" t="str">
        <f>IFERROR(VLOOKUP(Final!F2366,'LEAID Match'!$A$2:$B$374,2,FALSE),"")</f>
        <v/>
      </c>
      <c r="K2366" s="10">
        <f t="shared" si="36"/>
        <v>0</v>
      </c>
    </row>
    <row r="2367" spans="1:11">
      <c r="A2367" t="s">
        <v>2470</v>
      </c>
      <c r="B2367" s="10">
        <v>2022</v>
      </c>
      <c r="C2367" t="s">
        <v>808</v>
      </c>
      <c r="D2367" t="s">
        <v>2472</v>
      </c>
      <c r="E2367" t="s">
        <v>2474</v>
      </c>
      <c r="F2367" t="s">
        <v>2430</v>
      </c>
      <c r="G2367" t="s">
        <v>2430</v>
      </c>
      <c r="H2367" s="10"/>
      <c r="I2367" t="str">
        <f>IFERROR(VLOOKUP(Final!F2367,'LEAID Match'!$A$2:$B$374,2,FALSE),"")</f>
        <v/>
      </c>
      <c r="K2367" s="10">
        <f t="shared" si="36"/>
        <v>0</v>
      </c>
    </row>
    <row r="2368" spans="1:11">
      <c r="A2368" t="s">
        <v>2470</v>
      </c>
      <c r="B2368" s="10">
        <v>2023</v>
      </c>
      <c r="C2368" t="s">
        <v>808</v>
      </c>
      <c r="D2368" t="s">
        <v>2472</v>
      </c>
      <c r="E2368" t="s">
        <v>2474</v>
      </c>
      <c r="F2368" t="s">
        <v>2430</v>
      </c>
      <c r="G2368" t="s">
        <v>2430</v>
      </c>
      <c r="H2368" s="10"/>
      <c r="I2368" t="str">
        <f>IFERROR(VLOOKUP(Final!F2368,'LEAID Match'!$A$2:$B$374,2,FALSE),"")</f>
        <v/>
      </c>
      <c r="K2368" s="10">
        <f t="shared" si="36"/>
        <v>0</v>
      </c>
    </row>
    <row r="2369" spans="1:11">
      <c r="A2369" t="s">
        <v>2470</v>
      </c>
      <c r="B2369" s="10">
        <v>2015</v>
      </c>
      <c r="C2369" t="s">
        <v>823</v>
      </c>
      <c r="D2369" t="s">
        <v>2472</v>
      </c>
      <c r="E2369" t="s">
        <v>2474</v>
      </c>
      <c r="F2369" t="s">
        <v>1840</v>
      </c>
      <c r="G2369" t="s">
        <v>768</v>
      </c>
      <c r="H2369" s="10">
        <v>775134</v>
      </c>
      <c r="I2369" t="str">
        <f>IFERROR(VLOOKUP(Final!F2369,'LEAID Match'!$A$2:$B$374,2,FALSE),"")</f>
        <v/>
      </c>
      <c r="K2369" s="10">
        <f t="shared" si="36"/>
        <v>775134</v>
      </c>
    </row>
    <row r="2370" spans="1:11">
      <c r="A2370" t="s">
        <v>2470</v>
      </c>
      <c r="B2370" s="10">
        <v>2016</v>
      </c>
      <c r="C2370" t="s">
        <v>823</v>
      </c>
      <c r="D2370" t="s">
        <v>2472</v>
      </c>
      <c r="E2370" t="s">
        <v>2474</v>
      </c>
      <c r="F2370" t="s">
        <v>1840</v>
      </c>
      <c r="G2370" t="s">
        <v>768</v>
      </c>
      <c r="H2370" s="10">
        <v>790527</v>
      </c>
      <c r="I2370" t="str">
        <f>IFERROR(VLOOKUP(Final!F2370,'LEAID Match'!$A$2:$B$374,2,FALSE),"")</f>
        <v/>
      </c>
      <c r="K2370" s="10">
        <f t="shared" si="36"/>
        <v>790527</v>
      </c>
    </row>
    <row r="2371" spans="1:11">
      <c r="A2371" t="s">
        <v>2470</v>
      </c>
      <c r="B2371" s="10">
        <v>2017</v>
      </c>
      <c r="C2371" t="s">
        <v>823</v>
      </c>
      <c r="D2371" t="s">
        <v>2472</v>
      </c>
      <c r="E2371" t="s">
        <v>2474</v>
      </c>
      <c r="F2371" t="s">
        <v>1840</v>
      </c>
      <c r="G2371" t="s">
        <v>1840</v>
      </c>
      <c r="H2371" s="10">
        <v>818648</v>
      </c>
      <c r="I2371" t="str">
        <f>IFERROR(VLOOKUP(Final!F2371,'LEAID Match'!$A$2:$B$374,2,FALSE),"")</f>
        <v/>
      </c>
      <c r="K2371" s="10">
        <f t="shared" ref="K2371:K2434" si="37">SUM(H2371,J2371)</f>
        <v>818648</v>
      </c>
    </row>
    <row r="2372" spans="1:11">
      <c r="A2372" t="s">
        <v>2470</v>
      </c>
      <c r="B2372" s="10">
        <v>2018</v>
      </c>
      <c r="C2372" t="s">
        <v>823</v>
      </c>
      <c r="D2372" t="s">
        <v>2472</v>
      </c>
      <c r="E2372" t="s">
        <v>2474</v>
      </c>
      <c r="F2372" t="s">
        <v>1840</v>
      </c>
      <c r="G2372" t="s">
        <v>2259</v>
      </c>
      <c r="H2372" s="10">
        <v>848746</v>
      </c>
      <c r="I2372" t="str">
        <f>IFERROR(VLOOKUP(Final!F2372,'LEAID Match'!$A$2:$B$374,2,FALSE),"")</f>
        <v/>
      </c>
      <c r="K2372" s="10">
        <f t="shared" si="37"/>
        <v>848746</v>
      </c>
    </row>
    <row r="2373" spans="1:11">
      <c r="A2373" t="s">
        <v>2470</v>
      </c>
      <c r="B2373" s="10">
        <v>2019</v>
      </c>
      <c r="C2373" t="s">
        <v>823</v>
      </c>
      <c r="D2373" t="s">
        <v>2472</v>
      </c>
      <c r="E2373" t="s">
        <v>2474</v>
      </c>
      <c r="F2373" t="s">
        <v>1840</v>
      </c>
      <c r="G2373" t="s">
        <v>1840</v>
      </c>
      <c r="H2373" s="10">
        <v>935463</v>
      </c>
      <c r="I2373" t="str">
        <f>IFERROR(VLOOKUP(Final!F2373,'LEAID Match'!$A$2:$B$374,2,FALSE),"")</f>
        <v/>
      </c>
      <c r="K2373" s="10">
        <f t="shared" si="37"/>
        <v>935463</v>
      </c>
    </row>
    <row r="2374" spans="1:11">
      <c r="A2374" t="s">
        <v>2470</v>
      </c>
      <c r="B2374" s="10">
        <v>2020</v>
      </c>
      <c r="C2374" t="s">
        <v>823</v>
      </c>
      <c r="D2374" t="s">
        <v>2472</v>
      </c>
      <c r="E2374" t="s">
        <v>2474</v>
      </c>
      <c r="F2374" t="s">
        <v>1840</v>
      </c>
      <c r="G2374" t="s">
        <v>1840</v>
      </c>
      <c r="H2374" s="10">
        <v>983926</v>
      </c>
      <c r="I2374" t="str">
        <f>IFERROR(VLOOKUP(Final!F2374,'LEAID Match'!$A$2:$B$374,2,FALSE),"")</f>
        <v/>
      </c>
      <c r="K2374" s="10">
        <f t="shared" si="37"/>
        <v>983926</v>
      </c>
    </row>
    <row r="2375" spans="1:11">
      <c r="A2375" t="s">
        <v>2470</v>
      </c>
      <c r="B2375" s="10">
        <v>2021</v>
      </c>
      <c r="C2375" t="s">
        <v>823</v>
      </c>
      <c r="D2375" t="s">
        <v>2472</v>
      </c>
      <c r="E2375" t="s">
        <v>2474</v>
      </c>
      <c r="F2375" t="s">
        <v>1840</v>
      </c>
      <c r="G2375" t="s">
        <v>1840</v>
      </c>
      <c r="H2375" s="10">
        <v>960187</v>
      </c>
      <c r="I2375" t="str">
        <f>IFERROR(VLOOKUP(Final!F2375,'LEAID Match'!$A$2:$B$374,2,FALSE),"")</f>
        <v/>
      </c>
      <c r="K2375" s="10">
        <f t="shared" si="37"/>
        <v>960187</v>
      </c>
    </row>
    <row r="2376" spans="1:11">
      <c r="A2376" t="s">
        <v>2470</v>
      </c>
      <c r="B2376" s="10">
        <v>2022</v>
      </c>
      <c r="C2376" t="s">
        <v>823</v>
      </c>
      <c r="D2376" t="s">
        <v>2472</v>
      </c>
      <c r="E2376" t="s">
        <v>2474</v>
      </c>
      <c r="F2376" t="s">
        <v>1840</v>
      </c>
      <c r="G2376" t="s">
        <v>1840</v>
      </c>
      <c r="H2376" s="10">
        <v>1054235</v>
      </c>
      <c r="I2376" t="str">
        <f>IFERROR(VLOOKUP(Final!F2376,'LEAID Match'!$A$2:$B$374,2,FALSE),"")</f>
        <v/>
      </c>
      <c r="K2376" s="10">
        <f t="shared" si="37"/>
        <v>1054235</v>
      </c>
    </row>
    <row r="2377" spans="1:11">
      <c r="A2377" t="s">
        <v>2470</v>
      </c>
      <c r="B2377" s="10">
        <v>2023</v>
      </c>
      <c r="C2377" t="s">
        <v>823</v>
      </c>
      <c r="D2377" t="s">
        <v>2472</v>
      </c>
      <c r="E2377" t="s">
        <v>2474</v>
      </c>
      <c r="F2377" t="s">
        <v>1840</v>
      </c>
      <c r="G2377" t="s">
        <v>1840</v>
      </c>
      <c r="H2377" s="10">
        <v>1095916</v>
      </c>
      <c r="I2377" t="str">
        <f>IFERROR(VLOOKUP(Final!F2377,'LEAID Match'!$A$2:$B$374,2,FALSE),"")</f>
        <v/>
      </c>
      <c r="K2377" s="10">
        <f t="shared" si="37"/>
        <v>1095916</v>
      </c>
    </row>
    <row r="2378" spans="1:11">
      <c r="A2378">
        <v>400656</v>
      </c>
      <c r="B2378" s="10">
        <v>2015</v>
      </c>
      <c r="C2378" t="s">
        <v>1042</v>
      </c>
      <c r="D2378" t="s">
        <v>2472</v>
      </c>
      <c r="E2378" t="s">
        <v>2474</v>
      </c>
      <c r="F2378" t="s">
        <v>2296</v>
      </c>
      <c r="G2378" t="s">
        <v>987</v>
      </c>
      <c r="H2378" s="10">
        <v>27867</v>
      </c>
      <c r="I2378">
        <f>IFERROR(VLOOKUP(Final!F2378,'LEAID Match'!$A$2:$B$374,2,FALSE),"")</f>
        <v>400656</v>
      </c>
      <c r="K2378" s="10">
        <f t="shared" si="37"/>
        <v>27867</v>
      </c>
    </row>
    <row r="2379" spans="1:11">
      <c r="A2379">
        <v>400656</v>
      </c>
      <c r="B2379" s="10">
        <v>2016</v>
      </c>
      <c r="C2379" t="s">
        <v>1042</v>
      </c>
      <c r="D2379" t="s">
        <v>2472</v>
      </c>
      <c r="E2379" t="s">
        <v>2474</v>
      </c>
      <c r="F2379" t="s">
        <v>2296</v>
      </c>
      <c r="G2379" t="s">
        <v>987</v>
      </c>
      <c r="H2379" s="10">
        <v>28550</v>
      </c>
      <c r="I2379">
        <f>IFERROR(VLOOKUP(Final!F2379,'LEAID Match'!$A$2:$B$374,2,FALSE),"")</f>
        <v>400656</v>
      </c>
      <c r="K2379" s="10">
        <f t="shared" si="37"/>
        <v>28550</v>
      </c>
    </row>
    <row r="2380" spans="1:11">
      <c r="A2380">
        <v>400656</v>
      </c>
      <c r="B2380" s="10">
        <v>2017</v>
      </c>
      <c r="C2380" t="s">
        <v>1042</v>
      </c>
      <c r="D2380" t="s">
        <v>2472</v>
      </c>
      <c r="E2380" t="s">
        <v>2474</v>
      </c>
      <c r="F2380" t="s">
        <v>2296</v>
      </c>
      <c r="G2380" t="s">
        <v>1920</v>
      </c>
      <c r="H2380" s="10">
        <v>18096</v>
      </c>
      <c r="I2380">
        <f>IFERROR(VLOOKUP(Final!F2380,'LEAID Match'!$A$2:$B$374,2,FALSE),"")</f>
        <v>400656</v>
      </c>
      <c r="K2380" s="10">
        <f t="shared" si="37"/>
        <v>18096</v>
      </c>
    </row>
    <row r="2381" spans="1:11">
      <c r="A2381">
        <v>400656</v>
      </c>
      <c r="B2381" s="10">
        <v>2018</v>
      </c>
      <c r="C2381" t="s">
        <v>1042</v>
      </c>
      <c r="D2381" t="s">
        <v>2472</v>
      </c>
      <c r="E2381" t="s">
        <v>2474</v>
      </c>
      <c r="F2381" t="s">
        <v>2296</v>
      </c>
      <c r="G2381" t="s">
        <v>2296</v>
      </c>
      <c r="H2381" s="10">
        <v>327</v>
      </c>
      <c r="I2381">
        <f>IFERROR(VLOOKUP(Final!F2381,'LEAID Match'!$A$2:$B$374,2,FALSE),"")</f>
        <v>400656</v>
      </c>
      <c r="K2381" s="10">
        <f t="shared" si="37"/>
        <v>327</v>
      </c>
    </row>
    <row r="2382" spans="1:11">
      <c r="A2382">
        <v>400656</v>
      </c>
      <c r="B2382" s="10">
        <v>2019</v>
      </c>
      <c r="C2382" t="s">
        <v>1042</v>
      </c>
      <c r="D2382" t="s">
        <v>2472</v>
      </c>
      <c r="E2382" t="s">
        <v>2474</v>
      </c>
      <c r="F2382" t="s">
        <v>2296</v>
      </c>
      <c r="G2382" t="s">
        <v>2296</v>
      </c>
      <c r="H2382" s="10">
        <v>11245</v>
      </c>
      <c r="I2382">
        <f>IFERROR(VLOOKUP(Final!F2382,'LEAID Match'!$A$2:$B$374,2,FALSE),"")</f>
        <v>400656</v>
      </c>
      <c r="K2382" s="10">
        <f t="shared" si="37"/>
        <v>11245</v>
      </c>
    </row>
    <row r="2383" spans="1:11">
      <c r="A2383">
        <v>400656</v>
      </c>
      <c r="B2383" s="10">
        <v>2020</v>
      </c>
      <c r="C2383" t="s">
        <v>1042</v>
      </c>
      <c r="D2383" t="s">
        <v>2472</v>
      </c>
      <c r="E2383" t="s">
        <v>2474</v>
      </c>
      <c r="F2383" t="s">
        <v>2296</v>
      </c>
      <c r="G2383" t="s">
        <v>2296</v>
      </c>
      <c r="H2383" s="10">
        <v>11450</v>
      </c>
      <c r="I2383">
        <f>IFERROR(VLOOKUP(Final!F2383,'LEAID Match'!$A$2:$B$374,2,FALSE),"")</f>
        <v>400656</v>
      </c>
      <c r="K2383" s="10">
        <f t="shared" si="37"/>
        <v>11450</v>
      </c>
    </row>
    <row r="2384" spans="1:11">
      <c r="A2384">
        <v>400656</v>
      </c>
      <c r="B2384" s="10">
        <v>2021</v>
      </c>
      <c r="C2384" t="s">
        <v>1042</v>
      </c>
      <c r="D2384" t="s">
        <v>2472</v>
      </c>
      <c r="E2384" t="s">
        <v>2474</v>
      </c>
      <c r="F2384" t="s">
        <v>2296</v>
      </c>
      <c r="G2384" t="s">
        <v>2296</v>
      </c>
      <c r="H2384" s="10">
        <v>11650</v>
      </c>
      <c r="I2384">
        <f>IFERROR(VLOOKUP(Final!F2384,'LEAID Match'!$A$2:$B$374,2,FALSE),"")</f>
        <v>400656</v>
      </c>
      <c r="K2384" s="10">
        <f t="shared" si="37"/>
        <v>11650</v>
      </c>
    </row>
    <row r="2385" spans="1:11">
      <c r="A2385">
        <v>400656</v>
      </c>
      <c r="B2385" s="10">
        <v>2022</v>
      </c>
      <c r="C2385" t="s">
        <v>1042</v>
      </c>
      <c r="D2385" t="s">
        <v>2472</v>
      </c>
      <c r="E2385" t="s">
        <v>2474</v>
      </c>
      <c r="F2385" t="s">
        <v>2296</v>
      </c>
      <c r="G2385" t="s">
        <v>2296</v>
      </c>
      <c r="H2385" s="10"/>
      <c r="I2385">
        <f>IFERROR(VLOOKUP(Final!F2385,'LEAID Match'!$A$2:$B$374,2,FALSE),"")</f>
        <v>400656</v>
      </c>
      <c r="K2385" s="10">
        <f t="shared" si="37"/>
        <v>0</v>
      </c>
    </row>
    <row r="2386" spans="1:11">
      <c r="A2386">
        <v>400656</v>
      </c>
      <c r="B2386" s="10">
        <v>2023</v>
      </c>
      <c r="C2386" t="s">
        <v>1042</v>
      </c>
      <c r="D2386" t="s">
        <v>2472</v>
      </c>
      <c r="E2386" t="s">
        <v>2474</v>
      </c>
      <c r="F2386" t="s">
        <v>2296</v>
      </c>
      <c r="G2386" t="s">
        <v>2296</v>
      </c>
      <c r="H2386" s="10"/>
      <c r="I2386">
        <f>IFERROR(VLOOKUP(Final!F2386,'LEAID Match'!$A$2:$B$374,2,FALSE),"")</f>
        <v>400656</v>
      </c>
      <c r="K2386" s="10">
        <f t="shared" si="37"/>
        <v>0</v>
      </c>
    </row>
    <row r="2387" spans="1:11">
      <c r="A2387">
        <v>400636</v>
      </c>
      <c r="B2387" s="10">
        <v>2015</v>
      </c>
      <c r="C2387" t="s">
        <v>331</v>
      </c>
      <c r="D2387" t="s">
        <v>2472</v>
      </c>
      <c r="E2387" t="s">
        <v>2474</v>
      </c>
      <c r="F2387" t="s">
        <v>1629</v>
      </c>
      <c r="G2387" t="s">
        <v>277</v>
      </c>
      <c r="H2387" s="10">
        <v>38489</v>
      </c>
      <c r="I2387">
        <f>IFERROR(VLOOKUP(Final!F2387,'LEAID Match'!$A$2:$B$374,2,FALSE),"")</f>
        <v>400636</v>
      </c>
      <c r="K2387" s="10">
        <f t="shared" si="37"/>
        <v>38489</v>
      </c>
    </row>
    <row r="2388" spans="1:11">
      <c r="A2388">
        <v>400636</v>
      </c>
      <c r="B2388" s="10">
        <v>2016</v>
      </c>
      <c r="C2388" t="s">
        <v>331</v>
      </c>
      <c r="D2388" t="s">
        <v>2472</v>
      </c>
      <c r="E2388" t="s">
        <v>2474</v>
      </c>
      <c r="F2388" t="s">
        <v>1629</v>
      </c>
      <c r="G2388" t="s">
        <v>1408</v>
      </c>
      <c r="H2388" s="10"/>
      <c r="I2388">
        <f>IFERROR(VLOOKUP(Final!F2388,'LEAID Match'!$A$2:$B$374,2,FALSE),"")</f>
        <v>400636</v>
      </c>
      <c r="K2388" s="10">
        <f t="shared" si="37"/>
        <v>0</v>
      </c>
    </row>
    <row r="2389" spans="1:11">
      <c r="A2389">
        <v>400636</v>
      </c>
      <c r="B2389" s="10">
        <v>2017</v>
      </c>
      <c r="C2389" t="s">
        <v>331</v>
      </c>
      <c r="D2389" t="s">
        <v>2472</v>
      </c>
      <c r="E2389" t="s">
        <v>2474</v>
      </c>
      <c r="F2389" t="s">
        <v>1629</v>
      </c>
      <c r="G2389" t="s">
        <v>1629</v>
      </c>
      <c r="H2389" s="10"/>
      <c r="I2389">
        <f>IFERROR(VLOOKUP(Final!F2389,'LEAID Match'!$A$2:$B$374,2,FALSE),"")</f>
        <v>400636</v>
      </c>
      <c r="K2389" s="10">
        <f t="shared" si="37"/>
        <v>0</v>
      </c>
    </row>
    <row r="2390" spans="1:11">
      <c r="A2390">
        <v>400636</v>
      </c>
      <c r="B2390" s="10">
        <v>2018</v>
      </c>
      <c r="C2390" t="s">
        <v>331</v>
      </c>
      <c r="D2390" t="s">
        <v>2472</v>
      </c>
      <c r="E2390" t="s">
        <v>2474</v>
      </c>
      <c r="F2390" t="s">
        <v>1629</v>
      </c>
      <c r="G2390" t="s">
        <v>2130</v>
      </c>
      <c r="H2390" s="10"/>
      <c r="I2390">
        <f>IFERROR(VLOOKUP(Final!F2390,'LEAID Match'!$A$2:$B$374,2,FALSE),"")</f>
        <v>400636</v>
      </c>
      <c r="K2390" s="10">
        <f t="shared" si="37"/>
        <v>0</v>
      </c>
    </row>
    <row r="2391" spans="1:11">
      <c r="A2391">
        <v>400636</v>
      </c>
      <c r="B2391" s="10">
        <v>2019</v>
      </c>
      <c r="C2391" t="s">
        <v>331</v>
      </c>
      <c r="D2391" t="s">
        <v>2472</v>
      </c>
      <c r="E2391" t="s">
        <v>2474</v>
      </c>
      <c r="F2391" t="s">
        <v>1629</v>
      </c>
      <c r="G2391" t="s">
        <v>1629</v>
      </c>
      <c r="H2391" s="10"/>
      <c r="I2391">
        <f>IFERROR(VLOOKUP(Final!F2391,'LEAID Match'!$A$2:$B$374,2,FALSE),"")</f>
        <v>400636</v>
      </c>
      <c r="K2391" s="10">
        <f t="shared" si="37"/>
        <v>0</v>
      </c>
    </row>
    <row r="2392" spans="1:11">
      <c r="A2392">
        <v>400324</v>
      </c>
      <c r="B2392" s="10">
        <v>2015</v>
      </c>
      <c r="C2392" t="s">
        <v>1428</v>
      </c>
      <c r="D2392" t="s">
        <v>2472</v>
      </c>
      <c r="E2392" t="s">
        <v>2474</v>
      </c>
      <c r="F2392" t="s">
        <v>2104</v>
      </c>
      <c r="G2392" t="s">
        <v>261</v>
      </c>
      <c r="H2392" s="10"/>
      <c r="I2392">
        <f>IFERROR(VLOOKUP(Final!F2392,'LEAID Match'!$A$2:$B$374,2,FALSE),"")</f>
        <v>400324</v>
      </c>
      <c r="K2392" s="10">
        <f t="shared" si="37"/>
        <v>0</v>
      </c>
    </row>
    <row r="2393" spans="1:11">
      <c r="A2393">
        <v>400324</v>
      </c>
      <c r="B2393" s="10">
        <v>2016</v>
      </c>
      <c r="C2393" t="s">
        <v>1428</v>
      </c>
      <c r="D2393" t="s">
        <v>2472</v>
      </c>
      <c r="E2393" t="s">
        <v>2474</v>
      </c>
      <c r="F2393" t="s">
        <v>2104</v>
      </c>
      <c r="G2393" t="s">
        <v>1407</v>
      </c>
      <c r="H2393" s="10"/>
      <c r="I2393">
        <f>IFERROR(VLOOKUP(Final!F2393,'LEAID Match'!$A$2:$B$374,2,FALSE),"")</f>
        <v>400324</v>
      </c>
      <c r="K2393" s="10">
        <f t="shared" si="37"/>
        <v>0</v>
      </c>
    </row>
    <row r="2394" spans="1:11">
      <c r="A2394">
        <v>400324</v>
      </c>
      <c r="B2394" s="10">
        <v>2017</v>
      </c>
      <c r="C2394" t="s">
        <v>1428</v>
      </c>
      <c r="D2394" t="s">
        <v>2472</v>
      </c>
      <c r="E2394" t="s">
        <v>2474</v>
      </c>
      <c r="F2394" t="s">
        <v>2104</v>
      </c>
      <c r="G2394" t="s">
        <v>1583</v>
      </c>
      <c r="H2394" s="10"/>
      <c r="I2394">
        <f>IFERROR(VLOOKUP(Final!F2394,'LEAID Match'!$A$2:$B$374,2,FALSE),"")</f>
        <v>400324</v>
      </c>
      <c r="K2394" s="10">
        <f t="shared" si="37"/>
        <v>0</v>
      </c>
    </row>
    <row r="2395" spans="1:11">
      <c r="A2395">
        <v>400324</v>
      </c>
      <c r="B2395" s="10">
        <v>2018</v>
      </c>
      <c r="C2395" t="s">
        <v>1428</v>
      </c>
      <c r="D2395" t="s">
        <v>2472</v>
      </c>
      <c r="E2395" t="s">
        <v>2474</v>
      </c>
      <c r="F2395" t="s">
        <v>2104</v>
      </c>
      <c r="G2395" t="s">
        <v>2104</v>
      </c>
      <c r="H2395" s="10"/>
      <c r="I2395">
        <f>IFERROR(VLOOKUP(Final!F2395,'LEAID Match'!$A$2:$B$374,2,FALSE),"")</f>
        <v>400324</v>
      </c>
      <c r="K2395" s="10">
        <f t="shared" si="37"/>
        <v>0</v>
      </c>
    </row>
    <row r="2396" spans="1:11">
      <c r="A2396">
        <v>400407</v>
      </c>
      <c r="B2396" s="10">
        <v>2015</v>
      </c>
      <c r="C2396" t="s">
        <v>368</v>
      </c>
      <c r="D2396" t="s">
        <v>2472</v>
      </c>
      <c r="E2396" t="s">
        <v>2474</v>
      </c>
      <c r="F2396" t="s">
        <v>1661</v>
      </c>
      <c r="G2396" t="s">
        <v>314</v>
      </c>
      <c r="H2396" s="10">
        <v>100862</v>
      </c>
      <c r="I2396">
        <f>IFERROR(VLOOKUP(Final!F2396,'LEAID Match'!$A$2:$B$374,2,FALSE),"")</f>
        <v>400407</v>
      </c>
      <c r="K2396" s="10">
        <f t="shared" si="37"/>
        <v>100862</v>
      </c>
    </row>
    <row r="2397" spans="1:11">
      <c r="A2397">
        <v>400407</v>
      </c>
      <c r="B2397" s="10">
        <v>2016</v>
      </c>
      <c r="C2397" t="s">
        <v>368</v>
      </c>
      <c r="D2397" t="s">
        <v>2472</v>
      </c>
      <c r="E2397" t="s">
        <v>2474</v>
      </c>
      <c r="F2397" t="s">
        <v>1661</v>
      </c>
      <c r="G2397" t="s">
        <v>314</v>
      </c>
      <c r="H2397" s="10">
        <v>101040</v>
      </c>
      <c r="I2397">
        <f>IFERROR(VLOOKUP(Final!F2397,'LEAID Match'!$A$2:$B$374,2,FALSE),"")</f>
        <v>400407</v>
      </c>
      <c r="K2397" s="10">
        <f t="shared" si="37"/>
        <v>101040</v>
      </c>
    </row>
    <row r="2398" spans="1:11">
      <c r="A2398">
        <v>400407</v>
      </c>
      <c r="B2398" s="10">
        <v>2017</v>
      </c>
      <c r="C2398" t="s">
        <v>368</v>
      </c>
      <c r="D2398" t="s">
        <v>2472</v>
      </c>
      <c r="E2398" t="s">
        <v>2474</v>
      </c>
      <c r="F2398" t="s">
        <v>1661</v>
      </c>
      <c r="G2398" t="s">
        <v>1661</v>
      </c>
      <c r="H2398" s="10">
        <v>185656</v>
      </c>
      <c r="I2398">
        <f>IFERROR(VLOOKUP(Final!F2398,'LEAID Match'!$A$2:$B$374,2,FALSE),"")</f>
        <v>400407</v>
      </c>
      <c r="K2398" s="10">
        <f t="shared" si="37"/>
        <v>185656</v>
      </c>
    </row>
    <row r="2399" spans="1:11">
      <c r="A2399">
        <v>400407</v>
      </c>
      <c r="B2399" s="10">
        <v>2018</v>
      </c>
      <c r="C2399" t="s">
        <v>368</v>
      </c>
      <c r="D2399" t="s">
        <v>2472</v>
      </c>
      <c r="E2399" t="s">
        <v>2474</v>
      </c>
      <c r="F2399" t="s">
        <v>1661</v>
      </c>
      <c r="G2399" t="s">
        <v>2153</v>
      </c>
      <c r="H2399" s="10">
        <v>209544</v>
      </c>
      <c r="I2399">
        <f>IFERROR(VLOOKUP(Final!F2399,'LEAID Match'!$A$2:$B$374,2,FALSE),"")</f>
        <v>400407</v>
      </c>
      <c r="K2399" s="10">
        <f t="shared" si="37"/>
        <v>209544</v>
      </c>
    </row>
    <row r="2400" spans="1:11">
      <c r="A2400">
        <v>400407</v>
      </c>
      <c r="B2400" s="10">
        <v>2019</v>
      </c>
      <c r="C2400" t="s">
        <v>368</v>
      </c>
      <c r="D2400" t="s">
        <v>2472</v>
      </c>
      <c r="E2400" t="s">
        <v>2474</v>
      </c>
      <c r="F2400" t="s">
        <v>1661</v>
      </c>
      <c r="G2400" t="s">
        <v>1661</v>
      </c>
      <c r="H2400" s="10">
        <v>243514</v>
      </c>
      <c r="I2400">
        <f>IFERROR(VLOOKUP(Final!F2400,'LEAID Match'!$A$2:$B$374,2,FALSE),"")</f>
        <v>400407</v>
      </c>
      <c r="K2400" s="10">
        <f t="shared" si="37"/>
        <v>243514</v>
      </c>
    </row>
    <row r="2401" spans="1:11">
      <c r="A2401">
        <v>400407</v>
      </c>
      <c r="B2401" s="10">
        <v>2020</v>
      </c>
      <c r="C2401" t="s">
        <v>368</v>
      </c>
      <c r="D2401" t="s">
        <v>2472</v>
      </c>
      <c r="E2401" t="s">
        <v>2474</v>
      </c>
      <c r="F2401" t="s">
        <v>1661</v>
      </c>
      <c r="G2401" t="s">
        <v>1661</v>
      </c>
      <c r="H2401" s="10">
        <v>246230</v>
      </c>
      <c r="I2401">
        <f>IFERROR(VLOOKUP(Final!F2401,'LEAID Match'!$A$2:$B$374,2,FALSE),"")</f>
        <v>400407</v>
      </c>
      <c r="K2401" s="10">
        <f t="shared" si="37"/>
        <v>246230</v>
      </c>
    </row>
    <row r="2402" spans="1:11">
      <c r="A2402">
        <v>400407</v>
      </c>
      <c r="B2402" s="10">
        <v>2021</v>
      </c>
      <c r="C2402" t="s">
        <v>368</v>
      </c>
      <c r="D2402" t="s">
        <v>2472</v>
      </c>
      <c r="E2402" t="s">
        <v>2474</v>
      </c>
      <c r="F2402" t="s">
        <v>1661</v>
      </c>
      <c r="G2402" t="s">
        <v>1661</v>
      </c>
      <c r="H2402" s="10">
        <v>238459</v>
      </c>
      <c r="I2402">
        <f>IFERROR(VLOOKUP(Final!F2402,'LEAID Match'!$A$2:$B$374,2,FALSE),"")</f>
        <v>400407</v>
      </c>
      <c r="K2402" s="10">
        <f t="shared" si="37"/>
        <v>238459</v>
      </c>
    </row>
    <row r="2403" spans="1:11">
      <c r="A2403">
        <v>400407</v>
      </c>
      <c r="B2403" s="10">
        <v>2022</v>
      </c>
      <c r="C2403" t="s">
        <v>368</v>
      </c>
      <c r="D2403" t="s">
        <v>2472</v>
      </c>
      <c r="E2403" t="s">
        <v>2474</v>
      </c>
      <c r="F2403" t="s">
        <v>1661</v>
      </c>
      <c r="G2403" t="s">
        <v>1661</v>
      </c>
      <c r="H2403" s="10">
        <v>274008</v>
      </c>
      <c r="I2403">
        <f>IFERROR(VLOOKUP(Final!F2403,'LEAID Match'!$A$2:$B$374,2,FALSE),"")</f>
        <v>400407</v>
      </c>
      <c r="K2403" s="10">
        <f t="shared" si="37"/>
        <v>274008</v>
      </c>
    </row>
    <row r="2404" spans="1:11">
      <c r="A2404">
        <v>400407</v>
      </c>
      <c r="B2404" s="10">
        <v>2023</v>
      </c>
      <c r="C2404" t="s">
        <v>368</v>
      </c>
      <c r="D2404" t="s">
        <v>2472</v>
      </c>
      <c r="E2404" t="s">
        <v>2474</v>
      </c>
      <c r="F2404" t="s">
        <v>1661</v>
      </c>
      <c r="G2404" t="s">
        <v>1661</v>
      </c>
      <c r="H2404" s="10">
        <v>288963</v>
      </c>
      <c r="I2404">
        <f>IFERROR(VLOOKUP(Final!F2404,'LEAID Match'!$A$2:$B$374,2,FALSE),"")</f>
        <v>400407</v>
      </c>
      <c r="K2404" s="10">
        <f t="shared" si="37"/>
        <v>288963</v>
      </c>
    </row>
    <row r="2405" spans="1:11">
      <c r="A2405" t="s">
        <v>2470</v>
      </c>
      <c r="B2405" s="10">
        <v>2015</v>
      </c>
      <c r="C2405" t="s">
        <v>781</v>
      </c>
      <c r="D2405" t="s">
        <v>2472</v>
      </c>
      <c r="E2405" t="s">
        <v>2474</v>
      </c>
      <c r="F2405" t="s">
        <v>1791</v>
      </c>
      <c r="G2405" t="s">
        <v>726</v>
      </c>
      <c r="H2405" s="10">
        <v>12279</v>
      </c>
      <c r="I2405" t="str">
        <f>IFERROR(VLOOKUP(Final!F2405,'LEAID Match'!$A$2:$B$374,2,FALSE),"")</f>
        <v/>
      </c>
      <c r="K2405" s="10">
        <f t="shared" si="37"/>
        <v>12279</v>
      </c>
    </row>
    <row r="2406" spans="1:11">
      <c r="A2406" t="s">
        <v>2470</v>
      </c>
      <c r="B2406" s="10">
        <v>2016</v>
      </c>
      <c r="C2406" t="s">
        <v>781</v>
      </c>
      <c r="D2406" t="s">
        <v>2472</v>
      </c>
      <c r="E2406" t="s">
        <v>2474</v>
      </c>
      <c r="F2406" t="s">
        <v>1791</v>
      </c>
      <c r="G2406" t="s">
        <v>726</v>
      </c>
      <c r="H2406" s="10">
        <v>13320</v>
      </c>
      <c r="I2406" t="str">
        <f>IFERROR(VLOOKUP(Final!F2406,'LEAID Match'!$A$2:$B$374,2,FALSE),"")</f>
        <v/>
      </c>
      <c r="K2406" s="10">
        <f t="shared" si="37"/>
        <v>13320</v>
      </c>
    </row>
    <row r="2407" spans="1:11">
      <c r="A2407" t="s">
        <v>2470</v>
      </c>
      <c r="B2407" s="10">
        <v>2017</v>
      </c>
      <c r="C2407" t="s">
        <v>781</v>
      </c>
      <c r="D2407" t="s">
        <v>2472</v>
      </c>
      <c r="E2407" t="s">
        <v>2474</v>
      </c>
      <c r="F2407" t="s">
        <v>1791</v>
      </c>
      <c r="G2407" t="s">
        <v>1791</v>
      </c>
      <c r="H2407" s="10">
        <v>15306</v>
      </c>
      <c r="I2407" t="str">
        <f>IFERROR(VLOOKUP(Final!F2407,'LEAID Match'!$A$2:$B$374,2,FALSE),"")</f>
        <v/>
      </c>
      <c r="K2407" s="10">
        <f t="shared" si="37"/>
        <v>15306</v>
      </c>
    </row>
    <row r="2408" spans="1:11">
      <c r="A2408" t="s">
        <v>2470</v>
      </c>
      <c r="B2408" s="10">
        <v>2018</v>
      </c>
      <c r="C2408" t="s">
        <v>781</v>
      </c>
      <c r="D2408" t="s">
        <v>2472</v>
      </c>
      <c r="E2408" t="s">
        <v>2474</v>
      </c>
      <c r="F2408" t="s">
        <v>1791</v>
      </c>
      <c r="G2408" t="s">
        <v>2228</v>
      </c>
      <c r="H2408" s="10">
        <v>15178</v>
      </c>
      <c r="I2408" t="str">
        <f>IFERROR(VLOOKUP(Final!F2408,'LEAID Match'!$A$2:$B$374,2,FALSE),"")</f>
        <v/>
      </c>
      <c r="K2408" s="10">
        <f t="shared" si="37"/>
        <v>15178</v>
      </c>
    </row>
    <row r="2409" spans="1:11">
      <c r="A2409" t="s">
        <v>2470</v>
      </c>
      <c r="B2409" s="10">
        <v>2019</v>
      </c>
      <c r="C2409" t="s">
        <v>781</v>
      </c>
      <c r="D2409" t="s">
        <v>2472</v>
      </c>
      <c r="E2409" t="s">
        <v>2474</v>
      </c>
      <c r="F2409" t="s">
        <v>1791</v>
      </c>
      <c r="G2409" t="s">
        <v>1791</v>
      </c>
      <c r="H2409" s="10">
        <v>19486</v>
      </c>
      <c r="I2409" t="str">
        <f>IFERROR(VLOOKUP(Final!F2409,'LEAID Match'!$A$2:$B$374,2,FALSE),"")</f>
        <v/>
      </c>
      <c r="K2409" s="10">
        <f t="shared" si="37"/>
        <v>19486</v>
      </c>
    </row>
    <row r="2410" spans="1:11">
      <c r="A2410" t="s">
        <v>2470</v>
      </c>
      <c r="B2410" s="10">
        <v>2020</v>
      </c>
      <c r="C2410" t="s">
        <v>781</v>
      </c>
      <c r="D2410" t="s">
        <v>2472</v>
      </c>
      <c r="E2410" t="s">
        <v>2474</v>
      </c>
      <c r="F2410" t="s">
        <v>1791</v>
      </c>
      <c r="G2410" t="s">
        <v>1791</v>
      </c>
      <c r="H2410" s="10">
        <v>18745</v>
      </c>
      <c r="I2410" t="str">
        <f>IFERROR(VLOOKUP(Final!F2410,'LEAID Match'!$A$2:$B$374,2,FALSE),"")</f>
        <v/>
      </c>
      <c r="K2410" s="10">
        <f t="shared" si="37"/>
        <v>18745</v>
      </c>
    </row>
    <row r="2411" spans="1:11">
      <c r="A2411" t="s">
        <v>2470</v>
      </c>
      <c r="B2411" s="10">
        <v>2021</v>
      </c>
      <c r="C2411" t="s">
        <v>781</v>
      </c>
      <c r="D2411" t="s">
        <v>2472</v>
      </c>
      <c r="E2411" t="s">
        <v>2474</v>
      </c>
      <c r="F2411" t="s">
        <v>1791</v>
      </c>
      <c r="G2411" t="s">
        <v>1791</v>
      </c>
      <c r="H2411" s="10">
        <v>18983</v>
      </c>
      <c r="I2411" t="str">
        <f>IFERROR(VLOOKUP(Final!F2411,'LEAID Match'!$A$2:$B$374,2,FALSE),"")</f>
        <v/>
      </c>
      <c r="K2411" s="10">
        <f t="shared" si="37"/>
        <v>18983</v>
      </c>
    </row>
    <row r="2412" spans="1:11">
      <c r="A2412" t="s">
        <v>2470</v>
      </c>
      <c r="B2412" s="10">
        <v>2022</v>
      </c>
      <c r="C2412" t="s">
        <v>781</v>
      </c>
      <c r="D2412" t="s">
        <v>2472</v>
      </c>
      <c r="E2412" t="s">
        <v>2474</v>
      </c>
      <c r="F2412" t="s">
        <v>1791</v>
      </c>
      <c r="G2412" t="s">
        <v>1791</v>
      </c>
      <c r="H2412" s="10">
        <v>27657</v>
      </c>
      <c r="I2412" t="str">
        <f>IFERROR(VLOOKUP(Final!F2412,'LEAID Match'!$A$2:$B$374,2,FALSE),"")</f>
        <v/>
      </c>
      <c r="K2412" s="10">
        <f t="shared" si="37"/>
        <v>27657</v>
      </c>
    </row>
    <row r="2413" spans="1:11">
      <c r="A2413" t="s">
        <v>2470</v>
      </c>
      <c r="B2413" s="10">
        <v>2023</v>
      </c>
      <c r="C2413" t="s">
        <v>781</v>
      </c>
      <c r="D2413" t="s">
        <v>2472</v>
      </c>
      <c r="E2413" t="s">
        <v>2474</v>
      </c>
      <c r="F2413" t="s">
        <v>1791</v>
      </c>
      <c r="G2413" t="s">
        <v>1791</v>
      </c>
      <c r="H2413" s="10">
        <v>34237</v>
      </c>
      <c r="I2413" t="str">
        <f>IFERROR(VLOOKUP(Final!F2413,'LEAID Match'!$A$2:$B$374,2,FALSE),"")</f>
        <v/>
      </c>
      <c r="K2413" s="10">
        <f t="shared" si="37"/>
        <v>34237</v>
      </c>
    </row>
    <row r="2414" spans="1:11">
      <c r="A2414">
        <v>400207</v>
      </c>
      <c r="B2414" s="10">
        <v>2015</v>
      </c>
      <c r="C2414" t="s">
        <v>1318</v>
      </c>
      <c r="D2414" t="s">
        <v>2472</v>
      </c>
      <c r="E2414" t="s">
        <v>2474</v>
      </c>
      <c r="F2414" t="s">
        <v>2008</v>
      </c>
      <c r="G2414" t="s">
        <v>1270</v>
      </c>
      <c r="H2414" s="10">
        <v>37813</v>
      </c>
      <c r="I2414">
        <f>IFERROR(VLOOKUP(Final!F2414,'LEAID Match'!$A$2:$B$374,2,FALSE),"")</f>
        <v>400207</v>
      </c>
      <c r="K2414" s="10">
        <f t="shared" si="37"/>
        <v>37813</v>
      </c>
    </row>
    <row r="2415" spans="1:11">
      <c r="A2415">
        <v>400207</v>
      </c>
      <c r="B2415" s="10">
        <v>2016</v>
      </c>
      <c r="C2415" t="s">
        <v>1318</v>
      </c>
      <c r="D2415" t="s">
        <v>2472</v>
      </c>
      <c r="E2415" t="s">
        <v>2474</v>
      </c>
      <c r="F2415" t="s">
        <v>2008</v>
      </c>
      <c r="G2415" t="s">
        <v>1270</v>
      </c>
      <c r="H2415" s="10"/>
      <c r="I2415">
        <f>IFERROR(VLOOKUP(Final!F2415,'LEAID Match'!$A$2:$B$374,2,FALSE),"")</f>
        <v>400207</v>
      </c>
      <c r="K2415" s="10">
        <f t="shared" si="37"/>
        <v>0</v>
      </c>
    </row>
    <row r="2416" spans="1:11">
      <c r="A2416">
        <v>400207</v>
      </c>
      <c r="B2416" s="10">
        <v>2017</v>
      </c>
      <c r="C2416" t="s">
        <v>1318</v>
      </c>
      <c r="D2416" t="s">
        <v>2472</v>
      </c>
      <c r="E2416" t="s">
        <v>2474</v>
      </c>
      <c r="F2416" t="s">
        <v>2008</v>
      </c>
      <c r="G2416" t="s">
        <v>2008</v>
      </c>
      <c r="H2416" s="10"/>
      <c r="I2416">
        <f>IFERROR(VLOOKUP(Final!F2416,'LEAID Match'!$A$2:$B$374,2,FALSE),"")</f>
        <v>400207</v>
      </c>
      <c r="K2416" s="10">
        <f t="shared" si="37"/>
        <v>0</v>
      </c>
    </row>
    <row r="2417" spans="1:11">
      <c r="A2417">
        <v>400207</v>
      </c>
      <c r="B2417" s="10">
        <v>2018</v>
      </c>
      <c r="C2417" t="s">
        <v>1318</v>
      </c>
      <c r="D2417" t="s">
        <v>2472</v>
      </c>
      <c r="E2417" t="s">
        <v>2474</v>
      </c>
      <c r="F2417" t="s">
        <v>2008</v>
      </c>
      <c r="G2417" t="s">
        <v>2331</v>
      </c>
      <c r="H2417" s="10"/>
      <c r="I2417">
        <f>IFERROR(VLOOKUP(Final!F2417,'LEAID Match'!$A$2:$B$374,2,FALSE),"")</f>
        <v>400207</v>
      </c>
      <c r="K2417" s="10">
        <f t="shared" si="37"/>
        <v>0</v>
      </c>
    </row>
    <row r="2418" spans="1:11">
      <c r="A2418">
        <v>400207</v>
      </c>
      <c r="B2418" s="10">
        <v>2019</v>
      </c>
      <c r="C2418" t="s">
        <v>1318</v>
      </c>
      <c r="D2418" t="s">
        <v>2472</v>
      </c>
      <c r="E2418" t="s">
        <v>2474</v>
      </c>
      <c r="F2418" t="s">
        <v>2008</v>
      </c>
      <c r="G2418" t="s">
        <v>2008</v>
      </c>
      <c r="H2418" s="10"/>
      <c r="I2418">
        <f>IFERROR(VLOOKUP(Final!F2418,'LEAID Match'!$A$2:$B$374,2,FALSE),"")</f>
        <v>400207</v>
      </c>
      <c r="K2418" s="10">
        <f t="shared" si="37"/>
        <v>0</v>
      </c>
    </row>
    <row r="2419" spans="1:11">
      <c r="A2419">
        <v>400237</v>
      </c>
      <c r="B2419" s="10">
        <v>2015</v>
      </c>
      <c r="C2419" t="s">
        <v>913</v>
      </c>
      <c r="D2419" t="s">
        <v>2472</v>
      </c>
      <c r="E2419" t="s">
        <v>2474</v>
      </c>
      <c r="F2419" t="s">
        <v>1857</v>
      </c>
      <c r="G2419" t="s">
        <v>858</v>
      </c>
      <c r="H2419" s="10">
        <v>104200</v>
      </c>
      <c r="I2419">
        <f>IFERROR(VLOOKUP(Final!F2419,'LEAID Match'!$A$2:$B$374,2,FALSE),"")</f>
        <v>400237</v>
      </c>
      <c r="K2419" s="10">
        <f t="shared" si="37"/>
        <v>104200</v>
      </c>
    </row>
    <row r="2420" spans="1:11">
      <c r="A2420">
        <v>400237</v>
      </c>
      <c r="B2420" s="10">
        <v>2016</v>
      </c>
      <c r="C2420" t="s">
        <v>913</v>
      </c>
      <c r="D2420" t="s">
        <v>2472</v>
      </c>
      <c r="E2420" t="s">
        <v>2474</v>
      </c>
      <c r="F2420" t="s">
        <v>1857</v>
      </c>
      <c r="G2420" t="s">
        <v>858</v>
      </c>
      <c r="H2420" s="10">
        <v>94175</v>
      </c>
      <c r="I2420">
        <f>IFERROR(VLOOKUP(Final!F2420,'LEAID Match'!$A$2:$B$374,2,FALSE),"")</f>
        <v>400237</v>
      </c>
      <c r="K2420" s="10">
        <f t="shared" si="37"/>
        <v>94175</v>
      </c>
    </row>
    <row r="2421" spans="1:11">
      <c r="A2421">
        <v>400237</v>
      </c>
      <c r="B2421" s="10">
        <v>2017</v>
      </c>
      <c r="C2421" t="s">
        <v>913</v>
      </c>
      <c r="D2421" t="s">
        <v>2472</v>
      </c>
      <c r="E2421" t="s">
        <v>2474</v>
      </c>
      <c r="F2421" t="s">
        <v>1857</v>
      </c>
      <c r="G2421" t="s">
        <v>1857</v>
      </c>
      <c r="H2421" s="10">
        <v>108673</v>
      </c>
      <c r="I2421">
        <f>IFERROR(VLOOKUP(Final!F2421,'LEAID Match'!$A$2:$B$374,2,FALSE),"")</f>
        <v>400237</v>
      </c>
      <c r="K2421" s="10">
        <f t="shared" si="37"/>
        <v>108673</v>
      </c>
    </row>
    <row r="2422" spans="1:11">
      <c r="A2422">
        <v>400237</v>
      </c>
      <c r="B2422" s="10">
        <v>2018</v>
      </c>
      <c r="C2422" t="s">
        <v>913</v>
      </c>
      <c r="D2422" t="s">
        <v>2472</v>
      </c>
      <c r="E2422" t="s">
        <v>2474</v>
      </c>
      <c r="F2422" t="s">
        <v>1857</v>
      </c>
      <c r="G2422" t="s">
        <v>1857</v>
      </c>
      <c r="H2422" s="10">
        <v>96532</v>
      </c>
      <c r="I2422">
        <f>IFERROR(VLOOKUP(Final!F2422,'LEAID Match'!$A$2:$B$374,2,FALSE),"")</f>
        <v>400237</v>
      </c>
      <c r="K2422" s="10">
        <f t="shared" si="37"/>
        <v>96532</v>
      </c>
    </row>
    <row r="2423" spans="1:11">
      <c r="A2423">
        <v>400237</v>
      </c>
      <c r="B2423" s="10">
        <v>2019</v>
      </c>
      <c r="C2423" t="s">
        <v>913</v>
      </c>
      <c r="D2423" t="s">
        <v>2472</v>
      </c>
      <c r="E2423" t="s">
        <v>2474</v>
      </c>
      <c r="F2423" t="s">
        <v>1857</v>
      </c>
      <c r="G2423" t="s">
        <v>1857</v>
      </c>
      <c r="H2423" s="10">
        <v>111166</v>
      </c>
      <c r="I2423">
        <f>IFERROR(VLOOKUP(Final!F2423,'LEAID Match'!$A$2:$B$374,2,FALSE),"")</f>
        <v>400237</v>
      </c>
      <c r="K2423" s="10">
        <f t="shared" si="37"/>
        <v>111166</v>
      </c>
    </row>
    <row r="2424" spans="1:11">
      <c r="A2424">
        <v>400237</v>
      </c>
      <c r="B2424" s="10">
        <v>2020</v>
      </c>
      <c r="C2424" t="s">
        <v>913</v>
      </c>
      <c r="D2424" t="s">
        <v>2472</v>
      </c>
      <c r="E2424" t="s">
        <v>2474</v>
      </c>
      <c r="F2424" t="s">
        <v>1857</v>
      </c>
      <c r="G2424" t="s">
        <v>1857</v>
      </c>
      <c r="H2424" s="10">
        <v>100534</v>
      </c>
      <c r="I2424">
        <f>IFERROR(VLOOKUP(Final!F2424,'LEAID Match'!$A$2:$B$374,2,FALSE),"")</f>
        <v>400237</v>
      </c>
      <c r="K2424" s="10">
        <f t="shared" si="37"/>
        <v>100534</v>
      </c>
    </row>
    <row r="2425" spans="1:11">
      <c r="A2425">
        <v>400237</v>
      </c>
      <c r="B2425" s="10">
        <v>2021</v>
      </c>
      <c r="C2425" t="s">
        <v>913</v>
      </c>
      <c r="D2425" t="s">
        <v>2472</v>
      </c>
      <c r="E2425" t="s">
        <v>2474</v>
      </c>
      <c r="F2425" t="s">
        <v>1857</v>
      </c>
      <c r="G2425" t="s">
        <v>1857</v>
      </c>
      <c r="H2425" s="10">
        <v>96075</v>
      </c>
      <c r="I2425">
        <f>IFERROR(VLOOKUP(Final!F2425,'LEAID Match'!$A$2:$B$374,2,FALSE),"")</f>
        <v>400237</v>
      </c>
      <c r="K2425" s="10">
        <f t="shared" si="37"/>
        <v>96075</v>
      </c>
    </row>
    <row r="2426" spans="1:11">
      <c r="A2426">
        <v>400237</v>
      </c>
      <c r="B2426" s="10">
        <v>2022</v>
      </c>
      <c r="C2426" t="s">
        <v>913</v>
      </c>
      <c r="D2426" t="s">
        <v>2472</v>
      </c>
      <c r="E2426" t="s">
        <v>2474</v>
      </c>
      <c r="F2426" t="s">
        <v>1857</v>
      </c>
      <c r="G2426" t="s">
        <v>1857</v>
      </c>
      <c r="H2426" s="10">
        <v>102744</v>
      </c>
      <c r="I2426">
        <f>IFERROR(VLOOKUP(Final!F2426,'LEAID Match'!$A$2:$B$374,2,FALSE),"")</f>
        <v>400237</v>
      </c>
      <c r="K2426" s="10">
        <f t="shared" si="37"/>
        <v>102744</v>
      </c>
    </row>
    <row r="2427" spans="1:11">
      <c r="A2427">
        <v>400237</v>
      </c>
      <c r="B2427" s="10">
        <v>2023</v>
      </c>
      <c r="C2427" t="s">
        <v>913</v>
      </c>
      <c r="D2427" t="s">
        <v>2472</v>
      </c>
      <c r="E2427" t="s">
        <v>2474</v>
      </c>
      <c r="F2427" t="s">
        <v>1857</v>
      </c>
      <c r="G2427" t="s">
        <v>1857</v>
      </c>
      <c r="H2427" s="10"/>
      <c r="I2427">
        <f>IFERROR(VLOOKUP(Final!F2427,'LEAID Match'!$A$2:$B$374,2,FALSE),"")</f>
        <v>400237</v>
      </c>
      <c r="K2427" s="10">
        <f t="shared" si="37"/>
        <v>0</v>
      </c>
    </row>
    <row r="2428" spans="1:11">
      <c r="A2428" t="s">
        <v>2470</v>
      </c>
      <c r="B2428" s="10">
        <v>2015</v>
      </c>
      <c r="C2428" t="s">
        <v>358</v>
      </c>
      <c r="D2428" t="s">
        <v>2472</v>
      </c>
      <c r="E2428" t="s">
        <v>2474</v>
      </c>
      <c r="F2428" t="s">
        <v>304</v>
      </c>
      <c r="G2428" t="s">
        <v>304</v>
      </c>
      <c r="H2428" s="10">
        <v>124594</v>
      </c>
      <c r="I2428" t="str">
        <f>IFERROR(VLOOKUP(Final!F2428,'LEAID Match'!$A$2:$B$374,2,FALSE),"")</f>
        <v/>
      </c>
      <c r="K2428" s="10">
        <f t="shared" si="37"/>
        <v>124594</v>
      </c>
    </row>
    <row r="2429" spans="1:11">
      <c r="A2429" t="s">
        <v>2470</v>
      </c>
      <c r="B2429" s="10">
        <v>2016</v>
      </c>
      <c r="C2429" t="s">
        <v>358</v>
      </c>
      <c r="D2429" t="s">
        <v>2472</v>
      </c>
      <c r="E2429" t="s">
        <v>2474</v>
      </c>
      <c r="F2429" t="s">
        <v>304</v>
      </c>
      <c r="G2429" t="s">
        <v>304</v>
      </c>
      <c r="H2429" s="10">
        <v>138739</v>
      </c>
      <c r="I2429" t="str">
        <f>IFERROR(VLOOKUP(Final!F2429,'LEAID Match'!$A$2:$B$374,2,FALSE),"")</f>
        <v/>
      </c>
      <c r="K2429" s="10">
        <f t="shared" si="37"/>
        <v>138739</v>
      </c>
    </row>
    <row r="2430" spans="1:11">
      <c r="A2430" t="s">
        <v>2470</v>
      </c>
      <c r="B2430" s="10">
        <v>2017</v>
      </c>
      <c r="C2430" t="s">
        <v>358</v>
      </c>
      <c r="D2430" t="s">
        <v>2472</v>
      </c>
      <c r="E2430" t="s">
        <v>2474</v>
      </c>
      <c r="F2430" t="s">
        <v>304</v>
      </c>
      <c r="G2430" t="s">
        <v>304</v>
      </c>
      <c r="H2430" s="10">
        <v>5533</v>
      </c>
      <c r="I2430" t="str">
        <f>IFERROR(VLOOKUP(Final!F2430,'LEAID Match'!$A$2:$B$374,2,FALSE),"")</f>
        <v/>
      </c>
      <c r="K2430" s="10">
        <f t="shared" si="37"/>
        <v>5533</v>
      </c>
    </row>
    <row r="2431" spans="1:11">
      <c r="A2431" t="s">
        <v>2470</v>
      </c>
      <c r="B2431" s="10">
        <v>2018</v>
      </c>
      <c r="C2431" t="s">
        <v>358</v>
      </c>
      <c r="D2431" t="s">
        <v>2472</v>
      </c>
      <c r="E2431" t="s">
        <v>2474</v>
      </c>
      <c r="F2431" t="s">
        <v>304</v>
      </c>
      <c r="G2431" t="s">
        <v>304</v>
      </c>
      <c r="H2431" s="10"/>
      <c r="I2431" t="str">
        <f>IFERROR(VLOOKUP(Final!F2431,'LEAID Match'!$A$2:$B$374,2,FALSE),"")</f>
        <v/>
      </c>
      <c r="K2431" s="10">
        <f t="shared" si="37"/>
        <v>0</v>
      </c>
    </row>
    <row r="2432" spans="1:11">
      <c r="A2432" t="s">
        <v>2470</v>
      </c>
      <c r="B2432" s="10">
        <v>2019</v>
      </c>
      <c r="C2432" t="s">
        <v>358</v>
      </c>
      <c r="D2432" t="s">
        <v>2472</v>
      </c>
      <c r="E2432" t="s">
        <v>2474</v>
      </c>
      <c r="F2432" t="s">
        <v>304</v>
      </c>
      <c r="G2432" t="s">
        <v>304</v>
      </c>
      <c r="H2432" s="10"/>
      <c r="I2432" t="str">
        <f>IFERROR(VLOOKUP(Final!F2432,'LEAID Match'!$A$2:$B$374,2,FALSE),"")</f>
        <v/>
      </c>
      <c r="K2432" s="10">
        <f t="shared" si="37"/>
        <v>0</v>
      </c>
    </row>
    <row r="2433" spans="1:11">
      <c r="A2433" t="s">
        <v>2470</v>
      </c>
      <c r="B2433" s="10">
        <v>2020</v>
      </c>
      <c r="C2433" t="s">
        <v>358</v>
      </c>
      <c r="D2433" t="s">
        <v>2472</v>
      </c>
      <c r="E2433" t="s">
        <v>2474</v>
      </c>
      <c r="F2433" t="s">
        <v>304</v>
      </c>
      <c r="G2433" t="s">
        <v>304</v>
      </c>
      <c r="H2433" s="10"/>
      <c r="I2433" t="str">
        <f>IFERROR(VLOOKUP(Final!F2433,'LEAID Match'!$A$2:$B$374,2,FALSE),"")</f>
        <v/>
      </c>
      <c r="K2433" s="10">
        <f t="shared" si="37"/>
        <v>0</v>
      </c>
    </row>
    <row r="2434" spans="1:11">
      <c r="A2434" t="s">
        <v>2470</v>
      </c>
      <c r="B2434" s="10">
        <v>2021</v>
      </c>
      <c r="C2434" t="s">
        <v>358</v>
      </c>
      <c r="D2434" t="s">
        <v>2472</v>
      </c>
      <c r="E2434" t="s">
        <v>2474</v>
      </c>
      <c r="F2434" t="s">
        <v>304</v>
      </c>
      <c r="G2434" t="s">
        <v>304</v>
      </c>
      <c r="H2434" s="10"/>
      <c r="I2434" t="str">
        <f>IFERROR(VLOOKUP(Final!F2434,'LEAID Match'!$A$2:$B$374,2,FALSE),"")</f>
        <v/>
      </c>
      <c r="K2434" s="10">
        <f t="shared" si="37"/>
        <v>0</v>
      </c>
    </row>
    <row r="2435" spans="1:11">
      <c r="A2435" t="s">
        <v>2470</v>
      </c>
      <c r="B2435" s="10">
        <v>2022</v>
      </c>
      <c r="C2435" t="s">
        <v>358</v>
      </c>
      <c r="D2435" t="s">
        <v>2472</v>
      </c>
      <c r="E2435" t="s">
        <v>2474</v>
      </c>
      <c r="F2435" t="s">
        <v>304</v>
      </c>
      <c r="G2435" t="s">
        <v>304</v>
      </c>
      <c r="H2435" s="10"/>
      <c r="I2435" t="str">
        <f>IFERROR(VLOOKUP(Final!F2435,'LEAID Match'!$A$2:$B$374,2,FALSE),"")</f>
        <v/>
      </c>
      <c r="K2435" s="10">
        <f t="shared" ref="K2435:K2498" si="38">SUM(H2435,J2435)</f>
        <v>0</v>
      </c>
    </row>
    <row r="2436" spans="1:11">
      <c r="A2436" t="s">
        <v>2470</v>
      </c>
      <c r="B2436" s="10">
        <v>2023</v>
      </c>
      <c r="C2436" t="s">
        <v>358</v>
      </c>
      <c r="D2436" t="s">
        <v>2472</v>
      </c>
      <c r="E2436" t="s">
        <v>2474</v>
      </c>
      <c r="F2436" t="s">
        <v>304</v>
      </c>
      <c r="G2436" t="s">
        <v>304</v>
      </c>
      <c r="H2436" s="10"/>
      <c r="I2436" t="str">
        <f>IFERROR(VLOOKUP(Final!F2436,'LEAID Match'!$A$2:$B$374,2,FALSE),"")</f>
        <v/>
      </c>
      <c r="K2436" s="10">
        <f t="shared" si="38"/>
        <v>0</v>
      </c>
    </row>
    <row r="2437" spans="1:11">
      <c r="A2437">
        <v>400163</v>
      </c>
      <c r="B2437" s="10">
        <v>2015</v>
      </c>
      <c r="C2437" t="s">
        <v>478</v>
      </c>
      <c r="D2437" t="s">
        <v>2472</v>
      </c>
      <c r="E2437" t="s">
        <v>2474</v>
      </c>
      <c r="F2437" t="s">
        <v>1668</v>
      </c>
      <c r="G2437" t="s">
        <v>423</v>
      </c>
      <c r="H2437" s="10">
        <v>91356</v>
      </c>
      <c r="I2437">
        <f>IFERROR(VLOOKUP(Final!F2437,'LEAID Match'!$A$2:$B$374,2,FALSE),"")</f>
        <v>400163</v>
      </c>
      <c r="K2437" s="10">
        <f t="shared" si="38"/>
        <v>91356</v>
      </c>
    </row>
    <row r="2438" spans="1:11">
      <c r="A2438">
        <v>400163</v>
      </c>
      <c r="B2438" s="10">
        <v>2016</v>
      </c>
      <c r="C2438" t="s">
        <v>478</v>
      </c>
      <c r="D2438" t="s">
        <v>2472</v>
      </c>
      <c r="E2438" t="s">
        <v>2474</v>
      </c>
      <c r="F2438" t="s">
        <v>1668</v>
      </c>
      <c r="G2438" t="s">
        <v>423</v>
      </c>
      <c r="H2438" s="10">
        <v>109220</v>
      </c>
      <c r="I2438">
        <f>IFERROR(VLOOKUP(Final!F2438,'LEAID Match'!$A$2:$B$374,2,FALSE),"")</f>
        <v>400163</v>
      </c>
      <c r="K2438" s="10">
        <f t="shared" si="38"/>
        <v>109220</v>
      </c>
    </row>
    <row r="2439" spans="1:11">
      <c r="A2439">
        <v>400163</v>
      </c>
      <c r="B2439" s="10">
        <v>2017</v>
      </c>
      <c r="C2439" t="s">
        <v>478</v>
      </c>
      <c r="D2439" t="s">
        <v>2472</v>
      </c>
      <c r="E2439" t="s">
        <v>2474</v>
      </c>
      <c r="F2439" t="s">
        <v>1668</v>
      </c>
      <c r="G2439" t="s">
        <v>1668</v>
      </c>
      <c r="H2439" s="10">
        <v>110447</v>
      </c>
      <c r="I2439">
        <f>IFERROR(VLOOKUP(Final!F2439,'LEAID Match'!$A$2:$B$374,2,FALSE),"")</f>
        <v>400163</v>
      </c>
      <c r="K2439" s="10">
        <f t="shared" si="38"/>
        <v>110447</v>
      </c>
    </row>
    <row r="2440" spans="1:11">
      <c r="A2440">
        <v>400163</v>
      </c>
      <c r="B2440" s="10">
        <v>2018</v>
      </c>
      <c r="C2440" t="s">
        <v>478</v>
      </c>
      <c r="D2440" t="s">
        <v>2472</v>
      </c>
      <c r="E2440" t="s">
        <v>2474</v>
      </c>
      <c r="F2440" t="s">
        <v>1668</v>
      </c>
      <c r="G2440" t="s">
        <v>2156</v>
      </c>
      <c r="H2440" s="10">
        <v>110149</v>
      </c>
      <c r="I2440">
        <f>IFERROR(VLOOKUP(Final!F2440,'LEAID Match'!$A$2:$B$374,2,FALSE),"")</f>
        <v>400163</v>
      </c>
      <c r="K2440" s="10">
        <f t="shared" si="38"/>
        <v>110149</v>
      </c>
    </row>
    <row r="2441" spans="1:11">
      <c r="A2441">
        <v>400163</v>
      </c>
      <c r="B2441" s="10">
        <v>2019</v>
      </c>
      <c r="C2441" t="s">
        <v>478</v>
      </c>
      <c r="D2441" t="s">
        <v>2472</v>
      </c>
      <c r="E2441" t="s">
        <v>2474</v>
      </c>
      <c r="F2441" t="s">
        <v>1668</v>
      </c>
      <c r="G2441" t="s">
        <v>2362</v>
      </c>
      <c r="H2441" s="10">
        <v>129697</v>
      </c>
      <c r="I2441">
        <f>IFERROR(VLOOKUP(Final!F2441,'LEAID Match'!$A$2:$B$374,2,FALSE),"")</f>
        <v>400163</v>
      </c>
      <c r="K2441" s="10">
        <f t="shared" si="38"/>
        <v>129697</v>
      </c>
    </row>
    <row r="2442" spans="1:11">
      <c r="A2442">
        <v>400163</v>
      </c>
      <c r="B2442" s="10">
        <v>2020</v>
      </c>
      <c r="C2442" t="s">
        <v>478</v>
      </c>
      <c r="D2442" t="s">
        <v>2472</v>
      </c>
      <c r="E2442" t="s">
        <v>2474</v>
      </c>
      <c r="F2442" t="s">
        <v>1668</v>
      </c>
      <c r="G2442" t="s">
        <v>1668</v>
      </c>
      <c r="H2442" s="10">
        <v>145863</v>
      </c>
      <c r="I2442">
        <f>IFERROR(VLOOKUP(Final!F2442,'LEAID Match'!$A$2:$B$374,2,FALSE),"")</f>
        <v>400163</v>
      </c>
      <c r="K2442" s="10">
        <f t="shared" si="38"/>
        <v>145863</v>
      </c>
    </row>
    <row r="2443" spans="1:11">
      <c r="A2443">
        <v>400163</v>
      </c>
      <c r="B2443" s="10">
        <v>2021</v>
      </c>
      <c r="C2443" t="s">
        <v>478</v>
      </c>
      <c r="D2443" t="s">
        <v>2472</v>
      </c>
      <c r="E2443" t="s">
        <v>2474</v>
      </c>
      <c r="F2443" t="s">
        <v>1668</v>
      </c>
      <c r="G2443" t="s">
        <v>2362</v>
      </c>
      <c r="H2443" s="10">
        <v>150020</v>
      </c>
      <c r="I2443">
        <f>IFERROR(VLOOKUP(Final!F2443,'LEAID Match'!$A$2:$B$374,2,FALSE),"")</f>
        <v>400163</v>
      </c>
      <c r="K2443" s="10">
        <f t="shared" si="38"/>
        <v>150020</v>
      </c>
    </row>
    <row r="2444" spans="1:11">
      <c r="A2444">
        <v>400163</v>
      </c>
      <c r="B2444" s="10">
        <v>2022</v>
      </c>
      <c r="C2444" t="s">
        <v>478</v>
      </c>
      <c r="D2444" t="s">
        <v>2472</v>
      </c>
      <c r="E2444" t="s">
        <v>2474</v>
      </c>
      <c r="F2444" t="s">
        <v>1668</v>
      </c>
      <c r="G2444" t="s">
        <v>2362</v>
      </c>
      <c r="H2444" s="10">
        <v>164179</v>
      </c>
      <c r="I2444">
        <f>IFERROR(VLOOKUP(Final!F2444,'LEAID Match'!$A$2:$B$374,2,FALSE),"")</f>
        <v>400163</v>
      </c>
      <c r="K2444" s="10">
        <f t="shared" si="38"/>
        <v>164179</v>
      </c>
    </row>
    <row r="2445" spans="1:11">
      <c r="A2445">
        <v>400163</v>
      </c>
      <c r="B2445" s="10">
        <v>2023</v>
      </c>
      <c r="C2445" t="s">
        <v>478</v>
      </c>
      <c r="D2445" t="s">
        <v>2472</v>
      </c>
      <c r="E2445" t="s">
        <v>2474</v>
      </c>
      <c r="F2445" t="s">
        <v>1668</v>
      </c>
      <c r="G2445" t="s">
        <v>1668</v>
      </c>
      <c r="H2445" s="10">
        <v>168837</v>
      </c>
      <c r="I2445">
        <f>IFERROR(VLOOKUP(Final!F2445,'LEAID Match'!$A$2:$B$374,2,FALSE),"")</f>
        <v>400163</v>
      </c>
      <c r="K2445" s="10">
        <f t="shared" si="38"/>
        <v>168837</v>
      </c>
    </row>
    <row r="2446" spans="1:11">
      <c r="A2446">
        <v>400131</v>
      </c>
      <c r="B2446" s="10">
        <v>2015</v>
      </c>
      <c r="C2446" t="s">
        <v>361</v>
      </c>
      <c r="D2446" t="s">
        <v>2472</v>
      </c>
      <c r="E2446" t="s">
        <v>2474</v>
      </c>
      <c r="F2446" t="s">
        <v>1655</v>
      </c>
      <c r="G2446" t="s">
        <v>307</v>
      </c>
      <c r="H2446" s="10">
        <v>123479</v>
      </c>
      <c r="I2446">
        <f>IFERROR(VLOOKUP(Final!F2446,'LEAID Match'!$A$2:$B$374,2,FALSE),"")</f>
        <v>400131</v>
      </c>
      <c r="K2446" s="10">
        <f t="shared" si="38"/>
        <v>123479</v>
      </c>
    </row>
    <row r="2447" spans="1:11">
      <c r="A2447">
        <v>400131</v>
      </c>
      <c r="B2447" s="10">
        <v>2016</v>
      </c>
      <c r="C2447" t="s">
        <v>361</v>
      </c>
      <c r="D2447" t="s">
        <v>2472</v>
      </c>
      <c r="E2447" t="s">
        <v>2474</v>
      </c>
      <c r="F2447" t="s">
        <v>1655</v>
      </c>
      <c r="G2447" t="s">
        <v>1445</v>
      </c>
      <c r="H2447" s="10">
        <v>126654</v>
      </c>
      <c r="I2447">
        <f>IFERROR(VLOOKUP(Final!F2447,'LEAID Match'!$A$2:$B$374,2,FALSE),"")</f>
        <v>400131</v>
      </c>
      <c r="K2447" s="10">
        <f t="shared" si="38"/>
        <v>126654</v>
      </c>
    </row>
    <row r="2448" spans="1:11">
      <c r="A2448">
        <v>400131</v>
      </c>
      <c r="B2448" s="10">
        <v>2017</v>
      </c>
      <c r="C2448" t="s">
        <v>361</v>
      </c>
      <c r="D2448" t="s">
        <v>2472</v>
      </c>
      <c r="E2448" t="s">
        <v>2474</v>
      </c>
      <c r="F2448" t="s">
        <v>1655</v>
      </c>
      <c r="G2448" t="s">
        <v>1655</v>
      </c>
      <c r="H2448" s="10">
        <v>133534</v>
      </c>
      <c r="I2448">
        <f>IFERROR(VLOOKUP(Final!F2448,'LEAID Match'!$A$2:$B$374,2,FALSE),"")</f>
        <v>400131</v>
      </c>
      <c r="K2448" s="10">
        <f t="shared" si="38"/>
        <v>133534</v>
      </c>
    </row>
    <row r="2449" spans="1:11">
      <c r="A2449">
        <v>400131</v>
      </c>
      <c r="B2449" s="10">
        <v>2018</v>
      </c>
      <c r="C2449" t="s">
        <v>361</v>
      </c>
      <c r="D2449" t="s">
        <v>2472</v>
      </c>
      <c r="E2449" t="s">
        <v>2474</v>
      </c>
      <c r="F2449" t="s">
        <v>1655</v>
      </c>
      <c r="G2449" t="s">
        <v>2150</v>
      </c>
      <c r="H2449" s="10">
        <v>153220</v>
      </c>
      <c r="I2449">
        <f>IFERROR(VLOOKUP(Final!F2449,'LEAID Match'!$A$2:$B$374,2,FALSE),"")</f>
        <v>400131</v>
      </c>
      <c r="K2449" s="10">
        <f t="shared" si="38"/>
        <v>153220</v>
      </c>
    </row>
    <row r="2450" spans="1:11">
      <c r="A2450">
        <v>400131</v>
      </c>
      <c r="B2450" s="10">
        <v>2019</v>
      </c>
      <c r="C2450" t="s">
        <v>361</v>
      </c>
      <c r="D2450" t="s">
        <v>2472</v>
      </c>
      <c r="E2450" t="s">
        <v>2474</v>
      </c>
      <c r="F2450" t="s">
        <v>1655</v>
      </c>
      <c r="G2450" t="s">
        <v>1655</v>
      </c>
      <c r="H2450" s="10">
        <v>194245</v>
      </c>
      <c r="I2450">
        <f>IFERROR(VLOOKUP(Final!F2450,'LEAID Match'!$A$2:$B$374,2,FALSE),"")</f>
        <v>400131</v>
      </c>
      <c r="K2450" s="10">
        <f t="shared" si="38"/>
        <v>194245</v>
      </c>
    </row>
    <row r="2451" spans="1:11">
      <c r="A2451">
        <v>400131</v>
      </c>
      <c r="B2451" s="10">
        <v>2020</v>
      </c>
      <c r="C2451" t="s">
        <v>361</v>
      </c>
      <c r="D2451" t="s">
        <v>2472</v>
      </c>
      <c r="E2451" t="s">
        <v>2474</v>
      </c>
      <c r="F2451" t="s">
        <v>1655</v>
      </c>
      <c r="G2451" t="s">
        <v>1655</v>
      </c>
      <c r="H2451" s="10">
        <v>199481</v>
      </c>
      <c r="I2451">
        <f>IFERROR(VLOOKUP(Final!F2451,'LEAID Match'!$A$2:$B$374,2,FALSE),"")</f>
        <v>400131</v>
      </c>
      <c r="K2451" s="10">
        <f t="shared" si="38"/>
        <v>199481</v>
      </c>
    </row>
    <row r="2452" spans="1:11">
      <c r="A2452">
        <v>400131</v>
      </c>
      <c r="B2452" s="10">
        <v>2021</v>
      </c>
      <c r="C2452" t="s">
        <v>361</v>
      </c>
      <c r="D2452" t="s">
        <v>2472</v>
      </c>
      <c r="E2452" t="s">
        <v>2474</v>
      </c>
      <c r="F2452" t="s">
        <v>1655</v>
      </c>
      <c r="G2452" t="s">
        <v>1655</v>
      </c>
      <c r="H2452" s="10">
        <v>185294</v>
      </c>
      <c r="I2452">
        <f>IFERROR(VLOOKUP(Final!F2452,'LEAID Match'!$A$2:$B$374,2,FALSE),"")</f>
        <v>400131</v>
      </c>
      <c r="K2452" s="10">
        <f t="shared" si="38"/>
        <v>185294</v>
      </c>
    </row>
    <row r="2453" spans="1:11">
      <c r="A2453">
        <v>400131</v>
      </c>
      <c r="B2453" s="10">
        <v>2022</v>
      </c>
      <c r="C2453" t="s">
        <v>361</v>
      </c>
      <c r="D2453" t="s">
        <v>2472</v>
      </c>
      <c r="E2453" t="s">
        <v>2474</v>
      </c>
      <c r="F2453" t="s">
        <v>1655</v>
      </c>
      <c r="G2453" t="s">
        <v>1655</v>
      </c>
      <c r="H2453" s="10">
        <v>204905</v>
      </c>
      <c r="I2453">
        <f>IFERROR(VLOOKUP(Final!F2453,'LEAID Match'!$A$2:$B$374,2,FALSE),"")</f>
        <v>400131</v>
      </c>
      <c r="K2453" s="10">
        <f t="shared" si="38"/>
        <v>204905</v>
      </c>
    </row>
    <row r="2454" spans="1:11">
      <c r="A2454">
        <v>400131</v>
      </c>
      <c r="B2454" s="10">
        <v>2023</v>
      </c>
      <c r="C2454" t="s">
        <v>361</v>
      </c>
      <c r="D2454" t="s">
        <v>2472</v>
      </c>
      <c r="E2454" t="s">
        <v>2474</v>
      </c>
      <c r="F2454" t="s">
        <v>1655</v>
      </c>
      <c r="G2454" t="s">
        <v>1655</v>
      </c>
      <c r="H2454" s="10">
        <v>193999</v>
      </c>
      <c r="I2454">
        <f>IFERROR(VLOOKUP(Final!F2454,'LEAID Match'!$A$2:$B$374,2,FALSE),"")</f>
        <v>400131</v>
      </c>
      <c r="K2454" s="10">
        <f t="shared" si="38"/>
        <v>193999</v>
      </c>
    </row>
    <row r="2455" spans="1:11">
      <c r="A2455">
        <v>400421</v>
      </c>
      <c r="B2455" s="10">
        <v>2015</v>
      </c>
      <c r="C2455" t="s">
        <v>584</v>
      </c>
      <c r="D2455" t="s">
        <v>2472</v>
      </c>
      <c r="E2455" t="s">
        <v>2474</v>
      </c>
      <c r="F2455" t="s">
        <v>529</v>
      </c>
      <c r="G2455" t="s">
        <v>529</v>
      </c>
      <c r="H2455" s="10"/>
      <c r="I2455">
        <f>IFERROR(VLOOKUP(Final!F2455,'LEAID Match'!$A$2:$B$374,2,FALSE),"")</f>
        <v>400421</v>
      </c>
      <c r="K2455" s="10">
        <f t="shared" si="38"/>
        <v>0</v>
      </c>
    </row>
    <row r="2456" spans="1:11">
      <c r="A2456">
        <v>400421</v>
      </c>
      <c r="B2456" s="10">
        <v>2016</v>
      </c>
      <c r="C2456" t="s">
        <v>584</v>
      </c>
      <c r="D2456" t="s">
        <v>2472</v>
      </c>
      <c r="E2456" t="s">
        <v>2474</v>
      </c>
      <c r="F2456" t="s">
        <v>529</v>
      </c>
      <c r="G2456" t="s">
        <v>529</v>
      </c>
      <c r="H2456" s="10">
        <v>968</v>
      </c>
      <c r="I2456">
        <f>IFERROR(VLOOKUP(Final!F2456,'LEAID Match'!$A$2:$B$374,2,FALSE),"")</f>
        <v>400421</v>
      </c>
      <c r="K2456" s="10">
        <f t="shared" si="38"/>
        <v>968</v>
      </c>
    </row>
    <row r="2457" spans="1:11">
      <c r="A2457">
        <v>400421</v>
      </c>
      <c r="B2457" s="10">
        <v>2017</v>
      </c>
      <c r="C2457" t="s">
        <v>584</v>
      </c>
      <c r="D2457" t="s">
        <v>2472</v>
      </c>
      <c r="E2457" t="s">
        <v>2474</v>
      </c>
      <c r="F2457" t="s">
        <v>529</v>
      </c>
      <c r="G2457" t="s">
        <v>529</v>
      </c>
      <c r="H2457" s="10"/>
      <c r="I2457">
        <f>IFERROR(VLOOKUP(Final!F2457,'LEAID Match'!$A$2:$B$374,2,FALSE),"")</f>
        <v>400421</v>
      </c>
      <c r="K2457" s="10">
        <f t="shared" si="38"/>
        <v>0</v>
      </c>
    </row>
    <row r="2458" spans="1:11">
      <c r="A2458">
        <v>400421</v>
      </c>
      <c r="B2458" s="10">
        <v>2018</v>
      </c>
      <c r="C2458" t="s">
        <v>584</v>
      </c>
      <c r="D2458" t="s">
        <v>2472</v>
      </c>
      <c r="E2458" t="s">
        <v>2474</v>
      </c>
      <c r="F2458" t="s">
        <v>529</v>
      </c>
      <c r="G2458" t="s">
        <v>2182</v>
      </c>
      <c r="H2458" s="10"/>
      <c r="I2458">
        <f>IFERROR(VLOOKUP(Final!F2458,'LEAID Match'!$A$2:$B$374,2,FALSE),"")</f>
        <v>400421</v>
      </c>
      <c r="K2458" s="10">
        <f t="shared" si="38"/>
        <v>0</v>
      </c>
    </row>
    <row r="2459" spans="1:11">
      <c r="A2459">
        <v>400421</v>
      </c>
      <c r="B2459" s="10">
        <v>2019</v>
      </c>
      <c r="C2459" t="s">
        <v>584</v>
      </c>
      <c r="D2459" t="s">
        <v>2472</v>
      </c>
      <c r="E2459" t="s">
        <v>2474</v>
      </c>
      <c r="F2459" t="s">
        <v>529</v>
      </c>
      <c r="G2459" t="s">
        <v>529</v>
      </c>
      <c r="H2459" s="10"/>
      <c r="I2459">
        <f>IFERROR(VLOOKUP(Final!F2459,'LEAID Match'!$A$2:$B$374,2,FALSE),"")</f>
        <v>400421</v>
      </c>
      <c r="K2459" s="10">
        <f t="shared" si="38"/>
        <v>0</v>
      </c>
    </row>
    <row r="2460" spans="1:11">
      <c r="A2460">
        <v>400421</v>
      </c>
      <c r="B2460" s="10">
        <v>2020</v>
      </c>
      <c r="C2460" t="s">
        <v>584</v>
      </c>
      <c r="D2460" t="s">
        <v>2472</v>
      </c>
      <c r="E2460" t="s">
        <v>2474</v>
      </c>
      <c r="F2460" t="s">
        <v>529</v>
      </c>
      <c r="G2460" t="s">
        <v>529</v>
      </c>
      <c r="H2460" s="10"/>
      <c r="I2460">
        <f>IFERROR(VLOOKUP(Final!F2460,'LEAID Match'!$A$2:$B$374,2,FALSE),"")</f>
        <v>400421</v>
      </c>
      <c r="K2460" s="10">
        <f t="shared" si="38"/>
        <v>0</v>
      </c>
    </row>
    <row r="2461" spans="1:11">
      <c r="A2461">
        <v>400381</v>
      </c>
      <c r="B2461" s="10">
        <v>2015</v>
      </c>
      <c r="C2461" t="s">
        <v>345</v>
      </c>
      <c r="D2461" t="s">
        <v>2472</v>
      </c>
      <c r="E2461" t="s">
        <v>2474</v>
      </c>
      <c r="F2461" t="s">
        <v>1642</v>
      </c>
      <c r="G2461" t="s">
        <v>291</v>
      </c>
      <c r="H2461" s="10">
        <v>136162</v>
      </c>
      <c r="I2461">
        <f>IFERROR(VLOOKUP(Final!F2461,'LEAID Match'!$A$2:$B$374,2,FALSE),"")</f>
        <v>400381</v>
      </c>
      <c r="K2461" s="10">
        <f t="shared" si="38"/>
        <v>136162</v>
      </c>
    </row>
    <row r="2462" spans="1:11">
      <c r="A2462">
        <v>400381</v>
      </c>
      <c r="B2462" s="10">
        <v>2016</v>
      </c>
      <c r="C2462" t="s">
        <v>345</v>
      </c>
      <c r="D2462" t="s">
        <v>2472</v>
      </c>
      <c r="E2462" t="s">
        <v>2474</v>
      </c>
      <c r="F2462" t="s">
        <v>1642</v>
      </c>
      <c r="G2462" t="s">
        <v>291</v>
      </c>
      <c r="H2462" s="10">
        <v>97036</v>
      </c>
      <c r="I2462">
        <f>IFERROR(VLOOKUP(Final!F2462,'LEAID Match'!$A$2:$B$374,2,FALSE),"")</f>
        <v>400381</v>
      </c>
      <c r="K2462" s="10">
        <f t="shared" si="38"/>
        <v>97036</v>
      </c>
    </row>
    <row r="2463" spans="1:11">
      <c r="A2463">
        <v>400381</v>
      </c>
      <c r="B2463" s="10">
        <v>2017</v>
      </c>
      <c r="C2463" t="s">
        <v>345</v>
      </c>
      <c r="D2463" t="s">
        <v>2472</v>
      </c>
      <c r="E2463" t="s">
        <v>2474</v>
      </c>
      <c r="F2463" t="s">
        <v>1642</v>
      </c>
      <c r="G2463" t="s">
        <v>1642</v>
      </c>
      <c r="H2463" s="10">
        <v>43646</v>
      </c>
      <c r="I2463">
        <f>IFERROR(VLOOKUP(Final!F2463,'LEAID Match'!$A$2:$B$374,2,FALSE),"")</f>
        <v>400381</v>
      </c>
      <c r="K2463" s="10">
        <f t="shared" si="38"/>
        <v>43646</v>
      </c>
    </row>
    <row r="2464" spans="1:11">
      <c r="A2464">
        <v>400381</v>
      </c>
      <c r="B2464" s="10">
        <v>2018</v>
      </c>
      <c r="C2464" t="s">
        <v>345</v>
      </c>
      <c r="D2464" t="s">
        <v>2472</v>
      </c>
      <c r="E2464" t="s">
        <v>2474</v>
      </c>
      <c r="F2464" t="s">
        <v>1642</v>
      </c>
      <c r="G2464" t="s">
        <v>2139</v>
      </c>
      <c r="H2464" s="10">
        <v>83294</v>
      </c>
      <c r="I2464">
        <f>IFERROR(VLOOKUP(Final!F2464,'LEAID Match'!$A$2:$B$374,2,FALSE),"")</f>
        <v>400381</v>
      </c>
      <c r="K2464" s="10">
        <f t="shared" si="38"/>
        <v>83294</v>
      </c>
    </row>
    <row r="2465" spans="1:11">
      <c r="A2465">
        <v>400381</v>
      </c>
      <c r="B2465" s="10">
        <v>2019</v>
      </c>
      <c r="C2465" t="s">
        <v>345</v>
      </c>
      <c r="D2465" t="s">
        <v>2472</v>
      </c>
      <c r="E2465" t="s">
        <v>2474</v>
      </c>
      <c r="F2465" t="s">
        <v>1642</v>
      </c>
      <c r="G2465" t="s">
        <v>1642</v>
      </c>
      <c r="H2465" s="10">
        <v>84595</v>
      </c>
      <c r="I2465">
        <f>IFERROR(VLOOKUP(Final!F2465,'LEAID Match'!$A$2:$B$374,2,FALSE),"")</f>
        <v>400381</v>
      </c>
      <c r="K2465" s="10">
        <f t="shared" si="38"/>
        <v>84595</v>
      </c>
    </row>
    <row r="2466" spans="1:11">
      <c r="A2466">
        <v>400381</v>
      </c>
      <c r="B2466" s="10">
        <v>2020</v>
      </c>
      <c r="C2466" t="s">
        <v>345</v>
      </c>
      <c r="D2466" t="s">
        <v>2472</v>
      </c>
      <c r="E2466" t="s">
        <v>2474</v>
      </c>
      <c r="F2466" t="s">
        <v>1642</v>
      </c>
      <c r="G2466" t="s">
        <v>1642</v>
      </c>
      <c r="H2466" s="10">
        <v>81819</v>
      </c>
      <c r="I2466">
        <f>IFERROR(VLOOKUP(Final!F2466,'LEAID Match'!$A$2:$B$374,2,FALSE),"")</f>
        <v>400381</v>
      </c>
      <c r="K2466" s="10">
        <f t="shared" si="38"/>
        <v>81819</v>
      </c>
    </row>
    <row r="2467" spans="1:11">
      <c r="A2467">
        <v>400381</v>
      </c>
      <c r="B2467" s="10">
        <v>2021</v>
      </c>
      <c r="C2467" t="s">
        <v>345</v>
      </c>
      <c r="D2467" t="s">
        <v>2472</v>
      </c>
      <c r="E2467" t="s">
        <v>2474</v>
      </c>
      <c r="F2467" t="s">
        <v>1642</v>
      </c>
      <c r="G2467" t="s">
        <v>1642</v>
      </c>
      <c r="H2467" s="10">
        <v>64055</v>
      </c>
      <c r="I2467">
        <f>IFERROR(VLOOKUP(Final!F2467,'LEAID Match'!$A$2:$B$374,2,FALSE),"")</f>
        <v>400381</v>
      </c>
      <c r="K2467" s="10">
        <f t="shared" si="38"/>
        <v>64055</v>
      </c>
    </row>
    <row r="2468" spans="1:11">
      <c r="A2468">
        <v>400381</v>
      </c>
      <c r="B2468" s="10">
        <v>2022</v>
      </c>
      <c r="C2468" t="s">
        <v>345</v>
      </c>
      <c r="D2468" t="s">
        <v>2472</v>
      </c>
      <c r="E2468" t="s">
        <v>2474</v>
      </c>
      <c r="F2468" t="s">
        <v>1642</v>
      </c>
      <c r="G2468" t="s">
        <v>1642</v>
      </c>
      <c r="H2468" s="10">
        <v>72419</v>
      </c>
      <c r="I2468">
        <f>IFERROR(VLOOKUP(Final!F2468,'LEAID Match'!$A$2:$B$374,2,FALSE),"")</f>
        <v>400381</v>
      </c>
      <c r="K2468" s="10">
        <f t="shared" si="38"/>
        <v>72419</v>
      </c>
    </row>
    <row r="2469" spans="1:11">
      <c r="A2469">
        <v>400381</v>
      </c>
      <c r="B2469" s="10">
        <v>2023</v>
      </c>
      <c r="C2469" t="s">
        <v>345</v>
      </c>
      <c r="D2469" t="s">
        <v>2472</v>
      </c>
      <c r="E2469" t="s">
        <v>2474</v>
      </c>
      <c r="F2469" t="s">
        <v>1642</v>
      </c>
      <c r="G2469" t="s">
        <v>1642</v>
      </c>
      <c r="H2469" s="10">
        <v>75095</v>
      </c>
      <c r="I2469">
        <f>IFERROR(VLOOKUP(Final!F2469,'LEAID Match'!$A$2:$B$374,2,FALSE),"")</f>
        <v>400381</v>
      </c>
      <c r="K2469" s="10">
        <f t="shared" si="38"/>
        <v>75095</v>
      </c>
    </row>
    <row r="2470" spans="1:11">
      <c r="A2470">
        <v>400327</v>
      </c>
      <c r="B2470" s="10">
        <v>2015</v>
      </c>
      <c r="C2470" t="s">
        <v>1016</v>
      </c>
      <c r="D2470" t="s">
        <v>2472</v>
      </c>
      <c r="E2470" t="s">
        <v>2474</v>
      </c>
      <c r="F2470" t="s">
        <v>1897</v>
      </c>
      <c r="G2470" t="s">
        <v>961</v>
      </c>
      <c r="H2470" s="10">
        <v>456817</v>
      </c>
      <c r="I2470">
        <f>IFERROR(VLOOKUP(Final!F2470,'LEAID Match'!$A$2:$B$374,2,FALSE),"")</f>
        <v>400327</v>
      </c>
      <c r="K2470" s="10">
        <f t="shared" si="38"/>
        <v>456817</v>
      </c>
    </row>
    <row r="2471" spans="1:11">
      <c r="A2471">
        <v>400327</v>
      </c>
      <c r="B2471" s="10">
        <v>2016</v>
      </c>
      <c r="C2471" t="s">
        <v>1016</v>
      </c>
      <c r="D2471" t="s">
        <v>2472</v>
      </c>
      <c r="E2471" t="s">
        <v>2474</v>
      </c>
      <c r="F2471" t="s">
        <v>1897</v>
      </c>
      <c r="G2471" t="s">
        <v>961</v>
      </c>
      <c r="H2471" s="10">
        <v>429386</v>
      </c>
      <c r="I2471">
        <f>IFERROR(VLOOKUP(Final!F2471,'LEAID Match'!$A$2:$B$374,2,FALSE),"")</f>
        <v>400327</v>
      </c>
      <c r="K2471" s="10">
        <f t="shared" si="38"/>
        <v>429386</v>
      </c>
    </row>
    <row r="2472" spans="1:11">
      <c r="A2472">
        <v>400327</v>
      </c>
      <c r="B2472" s="10">
        <v>2017</v>
      </c>
      <c r="C2472" t="s">
        <v>1016</v>
      </c>
      <c r="D2472" t="s">
        <v>2472</v>
      </c>
      <c r="E2472" t="s">
        <v>2474</v>
      </c>
      <c r="F2472" t="s">
        <v>1897</v>
      </c>
      <c r="G2472" t="s">
        <v>1897</v>
      </c>
      <c r="H2472" s="10">
        <v>396757</v>
      </c>
      <c r="I2472">
        <f>IFERROR(VLOOKUP(Final!F2472,'LEAID Match'!$A$2:$B$374,2,FALSE),"")</f>
        <v>400327</v>
      </c>
      <c r="K2472" s="10">
        <f t="shared" si="38"/>
        <v>396757</v>
      </c>
    </row>
    <row r="2473" spans="1:11">
      <c r="A2473">
        <v>400327</v>
      </c>
      <c r="B2473" s="10">
        <v>2018</v>
      </c>
      <c r="C2473" t="s">
        <v>1016</v>
      </c>
      <c r="D2473" t="s">
        <v>2472</v>
      </c>
      <c r="E2473" t="s">
        <v>2474</v>
      </c>
      <c r="F2473" t="s">
        <v>1897</v>
      </c>
      <c r="G2473" t="s">
        <v>1897</v>
      </c>
      <c r="H2473" s="10">
        <v>339366</v>
      </c>
      <c r="I2473">
        <f>IFERROR(VLOOKUP(Final!F2473,'LEAID Match'!$A$2:$B$374,2,FALSE),"")</f>
        <v>400327</v>
      </c>
      <c r="K2473" s="10">
        <f t="shared" si="38"/>
        <v>339366</v>
      </c>
    </row>
    <row r="2474" spans="1:11">
      <c r="A2474">
        <v>400327</v>
      </c>
      <c r="B2474" s="10">
        <v>2019</v>
      </c>
      <c r="C2474" t="s">
        <v>1016</v>
      </c>
      <c r="D2474" t="s">
        <v>2472</v>
      </c>
      <c r="E2474" t="s">
        <v>2474</v>
      </c>
      <c r="F2474" t="s">
        <v>1897</v>
      </c>
      <c r="G2474" t="s">
        <v>1897</v>
      </c>
      <c r="H2474" s="10">
        <v>348231</v>
      </c>
      <c r="I2474">
        <f>IFERROR(VLOOKUP(Final!F2474,'LEAID Match'!$A$2:$B$374,2,FALSE),"")</f>
        <v>400327</v>
      </c>
      <c r="K2474" s="10">
        <f t="shared" si="38"/>
        <v>348231</v>
      </c>
    </row>
    <row r="2475" spans="1:11">
      <c r="A2475">
        <v>400327</v>
      </c>
      <c r="B2475" s="10">
        <v>2020</v>
      </c>
      <c r="C2475" t="s">
        <v>1016</v>
      </c>
      <c r="D2475" t="s">
        <v>2472</v>
      </c>
      <c r="E2475" t="s">
        <v>2474</v>
      </c>
      <c r="F2475" t="s">
        <v>1897</v>
      </c>
      <c r="G2475" t="s">
        <v>1897</v>
      </c>
      <c r="H2475" s="10">
        <v>372400</v>
      </c>
      <c r="I2475">
        <f>IFERROR(VLOOKUP(Final!F2475,'LEAID Match'!$A$2:$B$374,2,FALSE),"")</f>
        <v>400327</v>
      </c>
      <c r="K2475" s="10">
        <f t="shared" si="38"/>
        <v>372400</v>
      </c>
    </row>
    <row r="2476" spans="1:11">
      <c r="A2476">
        <v>400327</v>
      </c>
      <c r="B2476" s="10">
        <v>2021</v>
      </c>
      <c r="C2476" t="s">
        <v>1016</v>
      </c>
      <c r="D2476" t="s">
        <v>2472</v>
      </c>
      <c r="E2476" t="s">
        <v>2474</v>
      </c>
      <c r="F2476" t="s">
        <v>1897</v>
      </c>
      <c r="G2476" t="s">
        <v>1897</v>
      </c>
      <c r="H2476" s="10">
        <v>395302</v>
      </c>
      <c r="I2476">
        <f>IFERROR(VLOOKUP(Final!F2476,'LEAID Match'!$A$2:$B$374,2,FALSE),"")</f>
        <v>400327</v>
      </c>
      <c r="K2476" s="10">
        <f t="shared" si="38"/>
        <v>395302</v>
      </c>
    </row>
    <row r="2477" spans="1:11">
      <c r="A2477">
        <v>400327</v>
      </c>
      <c r="B2477" s="10">
        <v>2022</v>
      </c>
      <c r="C2477" t="s">
        <v>1016</v>
      </c>
      <c r="D2477" t="s">
        <v>2472</v>
      </c>
      <c r="E2477" t="s">
        <v>2474</v>
      </c>
      <c r="F2477" t="s">
        <v>1897</v>
      </c>
      <c r="G2477" t="s">
        <v>1897</v>
      </c>
      <c r="H2477" s="10">
        <v>437333</v>
      </c>
      <c r="I2477">
        <f>IFERROR(VLOOKUP(Final!F2477,'LEAID Match'!$A$2:$B$374,2,FALSE),"")</f>
        <v>400327</v>
      </c>
      <c r="K2477" s="10">
        <f t="shared" si="38"/>
        <v>437333</v>
      </c>
    </row>
    <row r="2478" spans="1:11">
      <c r="A2478">
        <v>400327</v>
      </c>
      <c r="B2478" s="10">
        <v>2023</v>
      </c>
      <c r="C2478" t="s">
        <v>1016</v>
      </c>
      <c r="D2478" t="s">
        <v>2472</v>
      </c>
      <c r="E2478" t="s">
        <v>2474</v>
      </c>
      <c r="F2478" t="s">
        <v>1897</v>
      </c>
      <c r="G2478" t="s">
        <v>1897</v>
      </c>
      <c r="H2478" s="10">
        <v>374433</v>
      </c>
      <c r="I2478">
        <f>IFERROR(VLOOKUP(Final!F2478,'LEAID Match'!$A$2:$B$374,2,FALSE),"")</f>
        <v>400327</v>
      </c>
      <c r="K2478" s="10">
        <f t="shared" si="38"/>
        <v>374433</v>
      </c>
    </row>
    <row r="2479" spans="1:11">
      <c r="A2479">
        <v>400121</v>
      </c>
      <c r="B2479" s="10">
        <v>2015</v>
      </c>
      <c r="C2479" t="s">
        <v>62</v>
      </c>
      <c r="D2479" t="s">
        <v>2472</v>
      </c>
      <c r="E2479" t="s">
        <v>2474</v>
      </c>
      <c r="F2479" t="s">
        <v>9</v>
      </c>
      <c r="G2479" t="s">
        <v>9</v>
      </c>
      <c r="H2479" s="10">
        <v>77520</v>
      </c>
      <c r="I2479">
        <f>IFERROR(VLOOKUP(Final!F2479,'LEAID Match'!$A$2:$B$374,2,FALSE),"")</f>
        <v>400121</v>
      </c>
      <c r="K2479" s="10">
        <f t="shared" si="38"/>
        <v>77520</v>
      </c>
    </row>
    <row r="2480" spans="1:11">
      <c r="A2480">
        <v>400121</v>
      </c>
      <c r="B2480" s="10">
        <v>2016</v>
      </c>
      <c r="C2480" t="s">
        <v>62</v>
      </c>
      <c r="D2480" t="s">
        <v>2472</v>
      </c>
      <c r="E2480" t="s">
        <v>2474</v>
      </c>
      <c r="F2480" t="s">
        <v>9</v>
      </c>
      <c r="G2480" t="s">
        <v>9</v>
      </c>
      <c r="H2480" s="10">
        <v>47971</v>
      </c>
      <c r="I2480">
        <f>IFERROR(VLOOKUP(Final!F2480,'LEAID Match'!$A$2:$B$374,2,FALSE),"")</f>
        <v>400121</v>
      </c>
      <c r="K2480" s="10">
        <f t="shared" si="38"/>
        <v>47971</v>
      </c>
    </row>
    <row r="2481" spans="1:11">
      <c r="A2481">
        <v>400121</v>
      </c>
      <c r="B2481" s="10">
        <v>2017</v>
      </c>
      <c r="C2481" t="s">
        <v>62</v>
      </c>
      <c r="D2481" t="s">
        <v>2472</v>
      </c>
      <c r="E2481" t="s">
        <v>2474</v>
      </c>
      <c r="F2481" t="s">
        <v>9</v>
      </c>
      <c r="G2481" t="s">
        <v>9</v>
      </c>
      <c r="H2481" s="10">
        <v>69678</v>
      </c>
      <c r="I2481">
        <f>IFERROR(VLOOKUP(Final!F2481,'LEAID Match'!$A$2:$B$374,2,FALSE),"")</f>
        <v>400121</v>
      </c>
      <c r="K2481" s="10">
        <f t="shared" si="38"/>
        <v>69678</v>
      </c>
    </row>
    <row r="2482" spans="1:11">
      <c r="A2482">
        <v>400121</v>
      </c>
      <c r="B2482" s="10">
        <v>2018</v>
      </c>
      <c r="C2482" t="s">
        <v>62</v>
      </c>
      <c r="D2482" t="s">
        <v>2472</v>
      </c>
      <c r="E2482" t="s">
        <v>2474</v>
      </c>
      <c r="F2482" t="s">
        <v>9</v>
      </c>
      <c r="G2482" t="s">
        <v>9</v>
      </c>
      <c r="H2482" s="10">
        <v>69868</v>
      </c>
      <c r="I2482">
        <f>IFERROR(VLOOKUP(Final!F2482,'LEAID Match'!$A$2:$B$374,2,FALSE),"")</f>
        <v>400121</v>
      </c>
      <c r="K2482" s="10">
        <f t="shared" si="38"/>
        <v>69868</v>
      </c>
    </row>
    <row r="2483" spans="1:11">
      <c r="A2483">
        <v>400121</v>
      </c>
      <c r="B2483" s="10">
        <v>2019</v>
      </c>
      <c r="C2483" t="s">
        <v>62</v>
      </c>
      <c r="D2483" t="s">
        <v>2472</v>
      </c>
      <c r="E2483" t="s">
        <v>2474</v>
      </c>
      <c r="F2483" t="s">
        <v>9</v>
      </c>
      <c r="G2483" t="s">
        <v>9</v>
      </c>
      <c r="H2483" s="10">
        <v>71528</v>
      </c>
      <c r="I2483">
        <f>IFERROR(VLOOKUP(Final!F2483,'LEAID Match'!$A$2:$B$374,2,FALSE),"")</f>
        <v>400121</v>
      </c>
      <c r="K2483" s="10">
        <f t="shared" si="38"/>
        <v>71528</v>
      </c>
    </row>
    <row r="2484" spans="1:11">
      <c r="A2484">
        <v>400121</v>
      </c>
      <c r="B2484" s="10">
        <v>2020</v>
      </c>
      <c r="C2484" t="s">
        <v>62</v>
      </c>
      <c r="D2484" t="s">
        <v>2472</v>
      </c>
      <c r="E2484" t="s">
        <v>2474</v>
      </c>
      <c r="F2484" t="s">
        <v>9</v>
      </c>
      <c r="G2484" t="s">
        <v>9</v>
      </c>
      <c r="H2484" s="10">
        <v>97038</v>
      </c>
      <c r="I2484">
        <f>IFERROR(VLOOKUP(Final!F2484,'LEAID Match'!$A$2:$B$374,2,FALSE),"")</f>
        <v>400121</v>
      </c>
      <c r="K2484" s="10">
        <f t="shared" si="38"/>
        <v>97038</v>
      </c>
    </row>
    <row r="2485" spans="1:11">
      <c r="A2485">
        <v>400121</v>
      </c>
      <c r="B2485" s="10">
        <v>2021</v>
      </c>
      <c r="C2485" t="s">
        <v>62</v>
      </c>
      <c r="D2485" t="s">
        <v>2472</v>
      </c>
      <c r="E2485" t="s">
        <v>2474</v>
      </c>
      <c r="F2485" t="s">
        <v>9</v>
      </c>
      <c r="G2485" t="s">
        <v>9</v>
      </c>
      <c r="H2485" s="10">
        <v>82646</v>
      </c>
      <c r="I2485">
        <f>IFERROR(VLOOKUP(Final!F2485,'LEAID Match'!$A$2:$B$374,2,FALSE),"")</f>
        <v>400121</v>
      </c>
      <c r="K2485" s="10">
        <f t="shared" si="38"/>
        <v>82646</v>
      </c>
    </row>
    <row r="2486" spans="1:11">
      <c r="A2486">
        <v>400121</v>
      </c>
      <c r="B2486" s="10">
        <v>2022</v>
      </c>
      <c r="C2486" t="s">
        <v>62</v>
      </c>
      <c r="D2486" t="s">
        <v>2472</v>
      </c>
      <c r="E2486" t="s">
        <v>2474</v>
      </c>
      <c r="F2486" t="s">
        <v>9</v>
      </c>
      <c r="G2486" t="s">
        <v>9</v>
      </c>
      <c r="H2486" s="10">
        <v>94205</v>
      </c>
      <c r="I2486">
        <f>IFERROR(VLOOKUP(Final!F2486,'LEAID Match'!$A$2:$B$374,2,FALSE),"")</f>
        <v>400121</v>
      </c>
      <c r="K2486" s="10">
        <f t="shared" si="38"/>
        <v>94205</v>
      </c>
    </row>
    <row r="2487" spans="1:11">
      <c r="A2487">
        <v>400121</v>
      </c>
      <c r="B2487" s="10">
        <v>2023</v>
      </c>
      <c r="C2487" t="s">
        <v>62</v>
      </c>
      <c r="D2487" t="s">
        <v>2472</v>
      </c>
      <c r="E2487" t="s">
        <v>2474</v>
      </c>
      <c r="F2487" t="s">
        <v>9</v>
      </c>
      <c r="G2487" t="s">
        <v>9</v>
      </c>
      <c r="H2487" s="10">
        <v>103145</v>
      </c>
      <c r="I2487">
        <f>IFERROR(VLOOKUP(Final!F2487,'LEAID Match'!$A$2:$B$374,2,FALSE),"")</f>
        <v>400121</v>
      </c>
      <c r="K2487" s="10">
        <f t="shared" si="38"/>
        <v>103145</v>
      </c>
    </row>
    <row r="2488" spans="1:11">
      <c r="A2488">
        <v>409731</v>
      </c>
      <c r="B2488" s="10">
        <v>2015</v>
      </c>
      <c r="C2488" t="s">
        <v>564</v>
      </c>
      <c r="D2488" t="s">
        <v>2472</v>
      </c>
      <c r="E2488" t="s">
        <v>2474</v>
      </c>
      <c r="F2488" t="s">
        <v>509</v>
      </c>
      <c r="G2488" t="s">
        <v>509</v>
      </c>
      <c r="H2488" s="10">
        <v>927588</v>
      </c>
      <c r="I2488">
        <f>IFERROR(VLOOKUP(Final!F2488,'LEAID Match'!$A$2:$B$374,2,FALSE),"")</f>
        <v>409731</v>
      </c>
      <c r="K2488" s="10">
        <f t="shared" si="38"/>
        <v>927588</v>
      </c>
    </row>
    <row r="2489" spans="1:11">
      <c r="A2489">
        <v>409731</v>
      </c>
      <c r="B2489" s="10">
        <v>2016</v>
      </c>
      <c r="C2489" t="s">
        <v>564</v>
      </c>
      <c r="D2489" t="s">
        <v>2472</v>
      </c>
      <c r="E2489" t="s">
        <v>2474</v>
      </c>
      <c r="F2489" t="s">
        <v>509</v>
      </c>
      <c r="G2489" t="s">
        <v>509</v>
      </c>
      <c r="H2489" s="10">
        <v>877756</v>
      </c>
      <c r="I2489">
        <f>IFERROR(VLOOKUP(Final!F2489,'LEAID Match'!$A$2:$B$374,2,FALSE),"")</f>
        <v>409731</v>
      </c>
      <c r="K2489" s="10">
        <f t="shared" si="38"/>
        <v>877756</v>
      </c>
    </row>
    <row r="2490" spans="1:11">
      <c r="A2490">
        <v>409731</v>
      </c>
      <c r="B2490" s="10">
        <v>2017</v>
      </c>
      <c r="C2490" t="s">
        <v>564</v>
      </c>
      <c r="D2490" t="s">
        <v>2472</v>
      </c>
      <c r="E2490" t="s">
        <v>2474</v>
      </c>
      <c r="F2490" t="s">
        <v>509</v>
      </c>
      <c r="G2490" t="s">
        <v>509</v>
      </c>
      <c r="H2490" s="10">
        <v>940156</v>
      </c>
      <c r="I2490">
        <f>IFERROR(VLOOKUP(Final!F2490,'LEAID Match'!$A$2:$B$374,2,FALSE),"")</f>
        <v>409731</v>
      </c>
      <c r="K2490" s="10">
        <f t="shared" si="38"/>
        <v>940156</v>
      </c>
    </row>
    <row r="2491" spans="1:11">
      <c r="A2491">
        <v>409731</v>
      </c>
      <c r="B2491" s="10">
        <v>2018</v>
      </c>
      <c r="C2491" t="s">
        <v>564</v>
      </c>
      <c r="D2491" t="s">
        <v>2472</v>
      </c>
      <c r="E2491" t="s">
        <v>2474</v>
      </c>
      <c r="F2491" t="s">
        <v>509</v>
      </c>
      <c r="G2491" t="s">
        <v>509</v>
      </c>
      <c r="H2491" s="10">
        <v>987242</v>
      </c>
      <c r="I2491">
        <f>IFERROR(VLOOKUP(Final!F2491,'LEAID Match'!$A$2:$B$374,2,FALSE),"")</f>
        <v>409731</v>
      </c>
      <c r="K2491" s="10">
        <f t="shared" si="38"/>
        <v>987242</v>
      </c>
    </row>
    <row r="2492" spans="1:11">
      <c r="A2492">
        <v>409731</v>
      </c>
      <c r="B2492" s="10">
        <v>2019</v>
      </c>
      <c r="C2492" t="s">
        <v>564</v>
      </c>
      <c r="D2492" t="s">
        <v>2472</v>
      </c>
      <c r="E2492" t="s">
        <v>2474</v>
      </c>
      <c r="F2492" t="s">
        <v>509</v>
      </c>
      <c r="G2492" t="s">
        <v>509</v>
      </c>
      <c r="H2492" s="10">
        <v>1210242</v>
      </c>
      <c r="I2492">
        <f>IFERROR(VLOOKUP(Final!F2492,'LEAID Match'!$A$2:$B$374,2,FALSE),"")</f>
        <v>409731</v>
      </c>
      <c r="K2492" s="10">
        <f t="shared" si="38"/>
        <v>1210242</v>
      </c>
    </row>
    <row r="2493" spans="1:11">
      <c r="A2493">
        <v>409731</v>
      </c>
      <c r="B2493" s="10">
        <v>2020</v>
      </c>
      <c r="C2493" t="s">
        <v>564</v>
      </c>
      <c r="D2493" t="s">
        <v>2472</v>
      </c>
      <c r="E2493" t="s">
        <v>2474</v>
      </c>
      <c r="F2493" t="s">
        <v>509</v>
      </c>
      <c r="G2493" t="s">
        <v>509</v>
      </c>
      <c r="H2493" s="10">
        <v>1251664</v>
      </c>
      <c r="I2493">
        <f>IFERROR(VLOOKUP(Final!F2493,'LEAID Match'!$A$2:$B$374,2,FALSE),"")</f>
        <v>409731</v>
      </c>
      <c r="K2493" s="10">
        <f t="shared" si="38"/>
        <v>1251664</v>
      </c>
    </row>
    <row r="2494" spans="1:11">
      <c r="A2494">
        <v>409731</v>
      </c>
      <c r="B2494" s="10">
        <v>2021</v>
      </c>
      <c r="C2494" t="s">
        <v>564</v>
      </c>
      <c r="D2494" t="s">
        <v>2472</v>
      </c>
      <c r="E2494" t="s">
        <v>2474</v>
      </c>
      <c r="F2494" t="s">
        <v>509</v>
      </c>
      <c r="G2494" t="s">
        <v>509</v>
      </c>
      <c r="H2494" s="10">
        <v>1514976</v>
      </c>
      <c r="I2494">
        <f>IFERROR(VLOOKUP(Final!F2494,'LEAID Match'!$A$2:$B$374,2,FALSE),"")</f>
        <v>409731</v>
      </c>
      <c r="K2494" s="10">
        <f t="shared" si="38"/>
        <v>1514976</v>
      </c>
    </row>
    <row r="2495" spans="1:11">
      <c r="A2495">
        <v>409731</v>
      </c>
      <c r="B2495" s="10">
        <v>2022</v>
      </c>
      <c r="C2495" t="s">
        <v>564</v>
      </c>
      <c r="D2495" t="s">
        <v>2472</v>
      </c>
      <c r="E2495" t="s">
        <v>2474</v>
      </c>
      <c r="F2495" t="s">
        <v>509</v>
      </c>
      <c r="G2495" t="s">
        <v>509</v>
      </c>
      <c r="H2495" s="10">
        <v>1759533</v>
      </c>
      <c r="I2495">
        <f>IFERROR(VLOOKUP(Final!F2495,'LEAID Match'!$A$2:$B$374,2,FALSE),"")</f>
        <v>409731</v>
      </c>
      <c r="K2495" s="10">
        <f t="shared" si="38"/>
        <v>1759533</v>
      </c>
    </row>
    <row r="2496" spans="1:11">
      <c r="A2496">
        <v>409731</v>
      </c>
      <c r="B2496" s="10">
        <v>2023</v>
      </c>
      <c r="C2496" t="s">
        <v>564</v>
      </c>
      <c r="D2496" t="s">
        <v>2472</v>
      </c>
      <c r="E2496" t="s">
        <v>2474</v>
      </c>
      <c r="F2496" t="s">
        <v>509</v>
      </c>
      <c r="G2496" t="s">
        <v>509</v>
      </c>
      <c r="H2496" s="10">
        <v>2007241</v>
      </c>
      <c r="I2496">
        <f>IFERROR(VLOOKUP(Final!F2496,'LEAID Match'!$A$2:$B$374,2,FALSE),"")</f>
        <v>409731</v>
      </c>
      <c r="K2496" s="10">
        <f t="shared" si="38"/>
        <v>2007241</v>
      </c>
    </row>
    <row r="2497" spans="1:11">
      <c r="A2497">
        <v>400360</v>
      </c>
      <c r="B2497" s="10">
        <v>2015</v>
      </c>
      <c r="C2497" t="s">
        <v>1120</v>
      </c>
      <c r="D2497" t="s">
        <v>2472</v>
      </c>
      <c r="E2497" t="s">
        <v>2474</v>
      </c>
      <c r="F2497" t="s">
        <v>1948</v>
      </c>
      <c r="G2497" t="s">
        <v>1065</v>
      </c>
      <c r="H2497" s="10"/>
      <c r="I2497">
        <f>IFERROR(VLOOKUP(Final!F2497,'LEAID Match'!$A$2:$B$374,2,FALSE),"")</f>
        <v>400360</v>
      </c>
      <c r="K2497" s="10">
        <f t="shared" si="38"/>
        <v>0</v>
      </c>
    </row>
    <row r="2498" spans="1:11">
      <c r="A2498">
        <v>400360</v>
      </c>
      <c r="B2498" s="10">
        <v>2016</v>
      </c>
      <c r="C2498" t="s">
        <v>1120</v>
      </c>
      <c r="D2498" t="s">
        <v>2472</v>
      </c>
      <c r="E2498" t="s">
        <v>2474</v>
      </c>
      <c r="F2498" t="s">
        <v>1948</v>
      </c>
      <c r="G2498" t="s">
        <v>1065</v>
      </c>
      <c r="H2498" s="10"/>
      <c r="I2498">
        <f>IFERROR(VLOOKUP(Final!F2498,'LEAID Match'!$A$2:$B$374,2,FALSE),"")</f>
        <v>400360</v>
      </c>
      <c r="K2498" s="10">
        <f t="shared" si="38"/>
        <v>0</v>
      </c>
    </row>
    <row r="2499" spans="1:11">
      <c r="A2499">
        <v>400360</v>
      </c>
      <c r="B2499" s="10">
        <v>2017</v>
      </c>
      <c r="C2499" t="s">
        <v>1120</v>
      </c>
      <c r="D2499" t="s">
        <v>2472</v>
      </c>
      <c r="E2499" t="s">
        <v>2474</v>
      </c>
      <c r="F2499" t="s">
        <v>1948</v>
      </c>
      <c r="G2499" t="s">
        <v>1948</v>
      </c>
      <c r="H2499" s="10"/>
      <c r="I2499">
        <f>IFERROR(VLOOKUP(Final!F2499,'LEAID Match'!$A$2:$B$374,2,FALSE),"")</f>
        <v>400360</v>
      </c>
      <c r="K2499" s="10">
        <f t="shared" ref="K2499:K2562" si="39">SUM(H2499,J2499)</f>
        <v>0</v>
      </c>
    </row>
    <row r="2500" spans="1:11">
      <c r="A2500">
        <v>400360</v>
      </c>
      <c r="B2500" s="10">
        <v>2018</v>
      </c>
      <c r="C2500" t="s">
        <v>1120</v>
      </c>
      <c r="D2500" t="s">
        <v>2472</v>
      </c>
      <c r="E2500" t="s">
        <v>2474</v>
      </c>
      <c r="F2500" t="s">
        <v>1948</v>
      </c>
      <c r="G2500" t="s">
        <v>1948</v>
      </c>
      <c r="H2500" s="10"/>
      <c r="I2500">
        <f>IFERROR(VLOOKUP(Final!F2500,'LEAID Match'!$A$2:$B$374,2,FALSE),"")</f>
        <v>400360</v>
      </c>
      <c r="K2500" s="10">
        <f t="shared" si="39"/>
        <v>0</v>
      </c>
    </row>
    <row r="2501" spans="1:11">
      <c r="A2501" t="s">
        <v>2470</v>
      </c>
      <c r="B2501" s="10">
        <v>2015</v>
      </c>
      <c r="C2501" t="s">
        <v>1427</v>
      </c>
      <c r="D2501" t="s">
        <v>2472</v>
      </c>
      <c r="E2501" t="s">
        <v>2474</v>
      </c>
      <c r="F2501" t="s">
        <v>1530</v>
      </c>
      <c r="G2501" t="s">
        <v>260</v>
      </c>
      <c r="H2501" s="10">
        <v>621590</v>
      </c>
      <c r="I2501" t="str">
        <f>IFERROR(VLOOKUP(Final!F2501,'LEAID Match'!$A$2:$B$374,2,FALSE),"")</f>
        <v/>
      </c>
      <c r="K2501" s="10">
        <f t="shared" si="39"/>
        <v>621590</v>
      </c>
    </row>
    <row r="2502" spans="1:11">
      <c r="A2502" t="s">
        <v>2470</v>
      </c>
      <c r="B2502" s="10">
        <v>2016</v>
      </c>
      <c r="C2502" t="s">
        <v>1427</v>
      </c>
      <c r="D2502" t="s">
        <v>2472</v>
      </c>
      <c r="E2502" t="s">
        <v>2474</v>
      </c>
      <c r="F2502" t="s">
        <v>1530</v>
      </c>
      <c r="G2502" t="s">
        <v>260</v>
      </c>
      <c r="H2502" s="10">
        <v>593637</v>
      </c>
      <c r="I2502" t="str">
        <f>IFERROR(VLOOKUP(Final!F2502,'LEAID Match'!$A$2:$B$374,2,FALSE),"")</f>
        <v/>
      </c>
      <c r="K2502" s="10">
        <f t="shared" si="39"/>
        <v>593637</v>
      </c>
    </row>
    <row r="2503" spans="1:11">
      <c r="A2503" t="s">
        <v>2470</v>
      </c>
      <c r="B2503" s="10">
        <v>2017</v>
      </c>
      <c r="C2503" t="s">
        <v>1427</v>
      </c>
      <c r="D2503" t="s">
        <v>2472</v>
      </c>
      <c r="E2503" t="s">
        <v>2474</v>
      </c>
      <c r="F2503" t="s">
        <v>1530</v>
      </c>
      <c r="G2503" t="s">
        <v>1530</v>
      </c>
      <c r="H2503" s="10">
        <v>590695</v>
      </c>
      <c r="I2503" t="str">
        <f>IFERROR(VLOOKUP(Final!F2503,'LEAID Match'!$A$2:$B$374,2,FALSE),"")</f>
        <v/>
      </c>
      <c r="K2503" s="10">
        <f t="shared" si="39"/>
        <v>590695</v>
      </c>
    </row>
    <row r="2504" spans="1:11">
      <c r="A2504" t="s">
        <v>2470</v>
      </c>
      <c r="B2504" s="10">
        <v>2018</v>
      </c>
      <c r="C2504" t="s">
        <v>1427</v>
      </c>
      <c r="D2504" t="s">
        <v>2472</v>
      </c>
      <c r="E2504" t="s">
        <v>2474</v>
      </c>
      <c r="F2504" t="s">
        <v>1530</v>
      </c>
      <c r="G2504" t="s">
        <v>2066</v>
      </c>
      <c r="H2504" s="10">
        <v>552749</v>
      </c>
      <c r="I2504" t="str">
        <f>IFERROR(VLOOKUP(Final!F2504,'LEAID Match'!$A$2:$B$374,2,FALSE),"")</f>
        <v/>
      </c>
      <c r="K2504" s="10">
        <f t="shared" si="39"/>
        <v>552749</v>
      </c>
    </row>
    <row r="2505" spans="1:11">
      <c r="A2505" t="s">
        <v>2470</v>
      </c>
      <c r="B2505" s="10">
        <v>2019</v>
      </c>
      <c r="C2505" t="s">
        <v>1427</v>
      </c>
      <c r="D2505" t="s">
        <v>2472</v>
      </c>
      <c r="E2505" t="s">
        <v>2474</v>
      </c>
      <c r="F2505" t="s">
        <v>1530</v>
      </c>
      <c r="G2505" t="s">
        <v>1530</v>
      </c>
      <c r="H2505" s="10">
        <v>639749</v>
      </c>
      <c r="I2505" t="str">
        <f>IFERROR(VLOOKUP(Final!F2505,'LEAID Match'!$A$2:$B$374,2,FALSE),"")</f>
        <v/>
      </c>
      <c r="K2505" s="10">
        <f t="shared" si="39"/>
        <v>639749</v>
      </c>
    </row>
    <row r="2506" spans="1:11">
      <c r="A2506" t="s">
        <v>2470</v>
      </c>
      <c r="B2506" s="10">
        <v>2020</v>
      </c>
      <c r="C2506" t="s">
        <v>1427</v>
      </c>
      <c r="D2506" t="s">
        <v>2472</v>
      </c>
      <c r="E2506" t="s">
        <v>2474</v>
      </c>
      <c r="F2506" t="s">
        <v>1530</v>
      </c>
      <c r="G2506" t="s">
        <v>1530</v>
      </c>
      <c r="H2506" s="10">
        <v>680072</v>
      </c>
      <c r="I2506" t="str">
        <f>IFERROR(VLOOKUP(Final!F2506,'LEAID Match'!$A$2:$B$374,2,FALSE),"")</f>
        <v/>
      </c>
      <c r="K2506" s="10">
        <f t="shared" si="39"/>
        <v>680072</v>
      </c>
    </row>
    <row r="2507" spans="1:11">
      <c r="A2507" t="s">
        <v>2470</v>
      </c>
      <c r="B2507" s="10">
        <v>2021</v>
      </c>
      <c r="C2507" t="s">
        <v>1427</v>
      </c>
      <c r="D2507" t="s">
        <v>2472</v>
      </c>
      <c r="E2507" t="s">
        <v>2474</v>
      </c>
      <c r="F2507" t="s">
        <v>1530</v>
      </c>
      <c r="G2507" t="s">
        <v>1530</v>
      </c>
      <c r="H2507" s="10">
        <v>679878</v>
      </c>
      <c r="I2507" t="str">
        <f>IFERROR(VLOOKUP(Final!F2507,'LEAID Match'!$A$2:$B$374,2,FALSE),"")</f>
        <v/>
      </c>
      <c r="K2507" s="10">
        <f t="shared" si="39"/>
        <v>679878</v>
      </c>
    </row>
    <row r="2508" spans="1:11">
      <c r="A2508" t="s">
        <v>2470</v>
      </c>
      <c r="B2508" s="10">
        <v>2022</v>
      </c>
      <c r="C2508" t="s">
        <v>1427</v>
      </c>
      <c r="D2508" t="s">
        <v>2472</v>
      </c>
      <c r="E2508" t="s">
        <v>2474</v>
      </c>
      <c r="F2508" t="s">
        <v>1530</v>
      </c>
      <c r="G2508" t="s">
        <v>1530</v>
      </c>
      <c r="H2508" s="10">
        <v>694531</v>
      </c>
      <c r="I2508" t="str">
        <f>IFERROR(VLOOKUP(Final!F2508,'LEAID Match'!$A$2:$B$374,2,FALSE),"")</f>
        <v/>
      </c>
      <c r="K2508" s="10">
        <f t="shared" si="39"/>
        <v>694531</v>
      </c>
    </row>
    <row r="2509" spans="1:11">
      <c r="A2509" t="s">
        <v>2470</v>
      </c>
      <c r="B2509" s="10">
        <v>2023</v>
      </c>
      <c r="C2509" t="s">
        <v>1427</v>
      </c>
      <c r="D2509" t="s">
        <v>2472</v>
      </c>
      <c r="E2509" t="s">
        <v>2474</v>
      </c>
      <c r="F2509" t="s">
        <v>1530</v>
      </c>
      <c r="G2509" t="s">
        <v>1530</v>
      </c>
      <c r="H2509" s="10">
        <v>1167274</v>
      </c>
      <c r="I2509" t="str">
        <f>IFERROR(VLOOKUP(Final!F2509,'LEAID Match'!$A$2:$B$374,2,FALSE),"")</f>
        <v/>
      </c>
      <c r="K2509" s="10">
        <f t="shared" si="39"/>
        <v>1167274</v>
      </c>
    </row>
    <row r="2510" spans="1:11">
      <c r="A2510">
        <v>400638</v>
      </c>
      <c r="B2510" s="10">
        <v>2015</v>
      </c>
      <c r="C2510" t="s">
        <v>570</v>
      </c>
      <c r="D2510" t="s">
        <v>2472</v>
      </c>
      <c r="E2510" t="s">
        <v>2474</v>
      </c>
      <c r="F2510" t="s">
        <v>515</v>
      </c>
      <c r="G2510" t="s">
        <v>515</v>
      </c>
      <c r="H2510" s="10">
        <v>160089</v>
      </c>
      <c r="I2510">
        <f>IFERROR(VLOOKUP(Final!F2510,'LEAID Match'!$A$2:$B$374,2,FALSE),"")</f>
        <v>400638</v>
      </c>
      <c r="K2510" s="10">
        <f t="shared" si="39"/>
        <v>160089</v>
      </c>
    </row>
    <row r="2511" spans="1:11">
      <c r="A2511">
        <v>400638</v>
      </c>
      <c r="B2511" s="10">
        <v>2016</v>
      </c>
      <c r="C2511" t="s">
        <v>570</v>
      </c>
      <c r="D2511" t="s">
        <v>2472</v>
      </c>
      <c r="E2511" t="s">
        <v>2474</v>
      </c>
      <c r="F2511" t="s">
        <v>515</v>
      </c>
      <c r="G2511" t="s">
        <v>515</v>
      </c>
      <c r="H2511" s="10">
        <v>248314</v>
      </c>
      <c r="I2511">
        <f>IFERROR(VLOOKUP(Final!F2511,'LEAID Match'!$A$2:$B$374,2,FALSE),"")</f>
        <v>400638</v>
      </c>
      <c r="K2511" s="10">
        <f t="shared" si="39"/>
        <v>248314</v>
      </c>
    </row>
    <row r="2512" spans="1:11">
      <c r="A2512">
        <v>400638</v>
      </c>
      <c r="B2512" s="10">
        <v>2017</v>
      </c>
      <c r="C2512" t="s">
        <v>570</v>
      </c>
      <c r="D2512" t="s">
        <v>2472</v>
      </c>
      <c r="E2512" t="s">
        <v>2474</v>
      </c>
      <c r="F2512" t="s">
        <v>515</v>
      </c>
      <c r="G2512" t="s">
        <v>515</v>
      </c>
      <c r="H2512" s="10">
        <v>252195</v>
      </c>
      <c r="I2512">
        <f>IFERROR(VLOOKUP(Final!F2512,'LEAID Match'!$A$2:$B$374,2,FALSE),"")</f>
        <v>400638</v>
      </c>
      <c r="K2512" s="10">
        <f t="shared" si="39"/>
        <v>252195</v>
      </c>
    </row>
    <row r="2513" spans="1:11">
      <c r="A2513">
        <v>400638</v>
      </c>
      <c r="B2513" s="10">
        <v>2018</v>
      </c>
      <c r="C2513" t="s">
        <v>570</v>
      </c>
      <c r="D2513" t="s">
        <v>2472</v>
      </c>
      <c r="E2513" t="s">
        <v>2474</v>
      </c>
      <c r="F2513" t="s">
        <v>515</v>
      </c>
      <c r="G2513" t="s">
        <v>515</v>
      </c>
      <c r="H2513" s="10">
        <v>248980</v>
      </c>
      <c r="I2513">
        <f>IFERROR(VLOOKUP(Final!F2513,'LEAID Match'!$A$2:$B$374,2,FALSE),"")</f>
        <v>400638</v>
      </c>
      <c r="K2513" s="10">
        <f t="shared" si="39"/>
        <v>248980</v>
      </c>
    </row>
    <row r="2514" spans="1:11">
      <c r="A2514">
        <v>400638</v>
      </c>
      <c r="B2514" s="10">
        <v>2019</v>
      </c>
      <c r="C2514" t="s">
        <v>570</v>
      </c>
      <c r="D2514" t="s">
        <v>2472</v>
      </c>
      <c r="E2514" t="s">
        <v>2474</v>
      </c>
      <c r="F2514" t="s">
        <v>515</v>
      </c>
      <c r="G2514" t="s">
        <v>515</v>
      </c>
      <c r="H2514" s="10">
        <v>251274</v>
      </c>
      <c r="I2514">
        <f>IFERROR(VLOOKUP(Final!F2514,'LEAID Match'!$A$2:$B$374,2,FALSE),"")</f>
        <v>400638</v>
      </c>
      <c r="K2514" s="10">
        <f t="shared" si="39"/>
        <v>251274</v>
      </c>
    </row>
    <row r="2515" spans="1:11">
      <c r="A2515">
        <v>400638</v>
      </c>
      <c r="B2515" s="10">
        <v>2020</v>
      </c>
      <c r="C2515" t="s">
        <v>570</v>
      </c>
      <c r="D2515" t="s">
        <v>2472</v>
      </c>
      <c r="E2515" t="s">
        <v>2474</v>
      </c>
      <c r="F2515" t="s">
        <v>515</v>
      </c>
      <c r="G2515" t="s">
        <v>515</v>
      </c>
      <c r="H2515" s="10">
        <v>277969</v>
      </c>
      <c r="I2515">
        <f>IFERROR(VLOOKUP(Final!F2515,'LEAID Match'!$A$2:$B$374,2,FALSE),"")</f>
        <v>400638</v>
      </c>
      <c r="K2515" s="10">
        <f t="shared" si="39"/>
        <v>277969</v>
      </c>
    </row>
    <row r="2516" spans="1:11">
      <c r="A2516">
        <v>400638</v>
      </c>
      <c r="B2516" s="10">
        <v>2021</v>
      </c>
      <c r="C2516" t="s">
        <v>570</v>
      </c>
      <c r="D2516" t="s">
        <v>2472</v>
      </c>
      <c r="E2516" t="s">
        <v>2474</v>
      </c>
      <c r="F2516" t="s">
        <v>515</v>
      </c>
      <c r="G2516" t="s">
        <v>515</v>
      </c>
      <c r="H2516" s="10">
        <v>313911</v>
      </c>
      <c r="I2516">
        <f>IFERROR(VLOOKUP(Final!F2516,'LEAID Match'!$A$2:$B$374,2,FALSE),"")</f>
        <v>400638</v>
      </c>
      <c r="K2516" s="10">
        <f t="shared" si="39"/>
        <v>313911</v>
      </c>
    </row>
    <row r="2517" spans="1:11">
      <c r="A2517">
        <v>400638</v>
      </c>
      <c r="B2517" s="10">
        <v>2022</v>
      </c>
      <c r="C2517" t="s">
        <v>570</v>
      </c>
      <c r="D2517" t="s">
        <v>2472</v>
      </c>
      <c r="E2517" t="s">
        <v>2474</v>
      </c>
      <c r="F2517" t="s">
        <v>515</v>
      </c>
      <c r="G2517" t="s">
        <v>515</v>
      </c>
      <c r="H2517" s="10">
        <v>414740</v>
      </c>
      <c r="I2517">
        <f>IFERROR(VLOOKUP(Final!F2517,'LEAID Match'!$A$2:$B$374,2,FALSE),"")</f>
        <v>400638</v>
      </c>
      <c r="K2517" s="10">
        <f t="shared" si="39"/>
        <v>414740</v>
      </c>
    </row>
    <row r="2518" spans="1:11">
      <c r="A2518">
        <v>400638</v>
      </c>
      <c r="B2518" s="10">
        <v>2023</v>
      </c>
      <c r="C2518" t="s">
        <v>570</v>
      </c>
      <c r="D2518" t="s">
        <v>2472</v>
      </c>
      <c r="E2518" t="s">
        <v>2474</v>
      </c>
      <c r="F2518" t="s">
        <v>515</v>
      </c>
      <c r="G2518" t="s">
        <v>515</v>
      </c>
      <c r="H2518" s="10">
        <v>429691</v>
      </c>
      <c r="I2518">
        <f>IFERROR(VLOOKUP(Final!F2518,'LEAID Match'!$A$2:$B$374,2,FALSE),"")</f>
        <v>400638</v>
      </c>
      <c r="K2518" s="10">
        <f t="shared" si="39"/>
        <v>429691</v>
      </c>
    </row>
    <row r="2519" spans="1:11">
      <c r="A2519">
        <v>400641</v>
      </c>
      <c r="B2519" s="10">
        <v>2015</v>
      </c>
      <c r="C2519" t="s">
        <v>574</v>
      </c>
      <c r="D2519" t="s">
        <v>2472</v>
      </c>
      <c r="E2519" t="s">
        <v>2474</v>
      </c>
      <c r="F2519" t="s">
        <v>1702</v>
      </c>
      <c r="G2519" t="s">
        <v>519</v>
      </c>
      <c r="H2519" s="10">
        <v>270046</v>
      </c>
      <c r="I2519">
        <f>IFERROR(VLOOKUP(Final!F2519,'LEAID Match'!$A$2:$B$374,2,FALSE),"")</f>
        <v>400641</v>
      </c>
      <c r="K2519" s="10">
        <f t="shared" si="39"/>
        <v>270046</v>
      </c>
    </row>
    <row r="2520" spans="1:11">
      <c r="A2520">
        <v>400641</v>
      </c>
      <c r="B2520" s="10">
        <v>2016</v>
      </c>
      <c r="C2520" t="s">
        <v>574</v>
      </c>
      <c r="D2520" t="s">
        <v>2472</v>
      </c>
      <c r="E2520" t="s">
        <v>2474</v>
      </c>
      <c r="F2520" t="s">
        <v>1702</v>
      </c>
      <c r="G2520" t="s">
        <v>519</v>
      </c>
      <c r="H2520" s="10">
        <v>261731</v>
      </c>
      <c r="I2520">
        <f>IFERROR(VLOOKUP(Final!F2520,'LEAID Match'!$A$2:$B$374,2,FALSE),"")</f>
        <v>400641</v>
      </c>
      <c r="K2520" s="10">
        <f t="shared" si="39"/>
        <v>261731</v>
      </c>
    </row>
    <row r="2521" spans="1:11">
      <c r="A2521">
        <v>400641</v>
      </c>
      <c r="B2521" s="10">
        <v>2017</v>
      </c>
      <c r="C2521" t="s">
        <v>574</v>
      </c>
      <c r="D2521" t="s">
        <v>2472</v>
      </c>
      <c r="E2521" t="s">
        <v>2474</v>
      </c>
      <c r="F2521" t="s">
        <v>1702</v>
      </c>
      <c r="G2521" t="s">
        <v>1702</v>
      </c>
      <c r="H2521" s="10">
        <v>125705</v>
      </c>
      <c r="I2521">
        <f>IFERROR(VLOOKUP(Final!F2521,'LEAID Match'!$A$2:$B$374,2,FALSE),"")</f>
        <v>400641</v>
      </c>
      <c r="K2521" s="10">
        <f t="shared" si="39"/>
        <v>125705</v>
      </c>
    </row>
    <row r="2522" spans="1:11">
      <c r="A2522">
        <v>400641</v>
      </c>
      <c r="B2522" s="10">
        <v>2018</v>
      </c>
      <c r="C2522" t="s">
        <v>574</v>
      </c>
      <c r="D2522" t="s">
        <v>2472</v>
      </c>
      <c r="E2522" t="s">
        <v>2474</v>
      </c>
      <c r="F2522" t="s">
        <v>1702</v>
      </c>
      <c r="G2522" t="s">
        <v>2176</v>
      </c>
      <c r="H2522" s="10">
        <v>107722</v>
      </c>
      <c r="I2522">
        <f>IFERROR(VLOOKUP(Final!F2522,'LEAID Match'!$A$2:$B$374,2,FALSE),"")</f>
        <v>400641</v>
      </c>
      <c r="K2522" s="10">
        <f t="shared" si="39"/>
        <v>107722</v>
      </c>
    </row>
    <row r="2523" spans="1:11">
      <c r="A2523">
        <v>400641</v>
      </c>
      <c r="B2523" s="10">
        <v>2019</v>
      </c>
      <c r="C2523" t="s">
        <v>574</v>
      </c>
      <c r="D2523" t="s">
        <v>2472</v>
      </c>
      <c r="E2523" t="s">
        <v>2474</v>
      </c>
      <c r="F2523" t="s">
        <v>1702</v>
      </c>
      <c r="G2523" t="s">
        <v>1702</v>
      </c>
      <c r="H2523" s="10">
        <v>117520</v>
      </c>
      <c r="I2523">
        <f>IFERROR(VLOOKUP(Final!F2523,'LEAID Match'!$A$2:$B$374,2,FALSE),"")</f>
        <v>400641</v>
      </c>
      <c r="K2523" s="10">
        <f t="shared" si="39"/>
        <v>117520</v>
      </c>
    </row>
    <row r="2524" spans="1:11">
      <c r="A2524">
        <v>400641</v>
      </c>
      <c r="B2524" s="10">
        <v>2020</v>
      </c>
      <c r="C2524" t="s">
        <v>574</v>
      </c>
      <c r="D2524" t="s">
        <v>2472</v>
      </c>
      <c r="E2524" t="s">
        <v>2474</v>
      </c>
      <c r="F2524" t="s">
        <v>1702</v>
      </c>
      <c r="G2524" t="s">
        <v>1702</v>
      </c>
      <c r="H2524" s="10">
        <v>117048</v>
      </c>
      <c r="I2524">
        <f>IFERROR(VLOOKUP(Final!F2524,'LEAID Match'!$A$2:$B$374,2,FALSE),"")</f>
        <v>400641</v>
      </c>
      <c r="K2524" s="10">
        <f t="shared" si="39"/>
        <v>117048</v>
      </c>
    </row>
    <row r="2525" spans="1:11">
      <c r="A2525">
        <v>400641</v>
      </c>
      <c r="B2525" s="10">
        <v>2021</v>
      </c>
      <c r="C2525" t="s">
        <v>574</v>
      </c>
      <c r="D2525" t="s">
        <v>2472</v>
      </c>
      <c r="E2525" t="s">
        <v>2474</v>
      </c>
      <c r="F2525" t="s">
        <v>1702</v>
      </c>
      <c r="G2525" t="s">
        <v>1702</v>
      </c>
      <c r="H2525" s="10">
        <v>144879</v>
      </c>
      <c r="I2525">
        <f>IFERROR(VLOOKUP(Final!F2525,'LEAID Match'!$A$2:$B$374,2,FALSE),"")</f>
        <v>400641</v>
      </c>
      <c r="K2525" s="10">
        <f t="shared" si="39"/>
        <v>144879</v>
      </c>
    </row>
    <row r="2526" spans="1:11">
      <c r="A2526">
        <v>400641</v>
      </c>
      <c r="B2526" s="10">
        <v>2022</v>
      </c>
      <c r="C2526" t="s">
        <v>574</v>
      </c>
      <c r="D2526" t="s">
        <v>2472</v>
      </c>
      <c r="E2526" t="s">
        <v>2474</v>
      </c>
      <c r="F2526" t="s">
        <v>1702</v>
      </c>
      <c r="G2526" t="s">
        <v>1702</v>
      </c>
      <c r="H2526" s="10">
        <v>137585</v>
      </c>
      <c r="I2526">
        <f>IFERROR(VLOOKUP(Final!F2526,'LEAID Match'!$A$2:$B$374,2,FALSE),"")</f>
        <v>400641</v>
      </c>
      <c r="K2526" s="10">
        <f t="shared" si="39"/>
        <v>137585</v>
      </c>
    </row>
    <row r="2527" spans="1:11">
      <c r="A2527">
        <v>400641</v>
      </c>
      <c r="B2527" s="10">
        <v>2023</v>
      </c>
      <c r="C2527" t="s">
        <v>574</v>
      </c>
      <c r="D2527" t="s">
        <v>2472</v>
      </c>
      <c r="E2527" t="s">
        <v>2474</v>
      </c>
      <c r="F2527" t="s">
        <v>1702</v>
      </c>
      <c r="G2527" t="s">
        <v>1702</v>
      </c>
      <c r="H2527" s="10">
        <v>113300</v>
      </c>
      <c r="I2527">
        <f>IFERROR(VLOOKUP(Final!F2527,'LEAID Match'!$A$2:$B$374,2,FALSE),"")</f>
        <v>400641</v>
      </c>
      <c r="K2527" s="10">
        <f t="shared" si="39"/>
        <v>113300</v>
      </c>
    </row>
    <row r="2528" spans="1:11">
      <c r="A2528">
        <v>400640</v>
      </c>
      <c r="B2528" s="10">
        <v>2015</v>
      </c>
      <c r="C2528" t="s">
        <v>575</v>
      </c>
      <c r="D2528" t="s">
        <v>2472</v>
      </c>
      <c r="E2528" t="s">
        <v>2474</v>
      </c>
      <c r="F2528" t="s">
        <v>2437</v>
      </c>
      <c r="G2528" t="s">
        <v>520</v>
      </c>
      <c r="H2528" s="10">
        <v>64791</v>
      </c>
      <c r="I2528">
        <f>IFERROR(VLOOKUP(Final!F2528,'LEAID Match'!$A$2:$B$374,2,FALSE),"")</f>
        <v>400640</v>
      </c>
      <c r="K2528" s="10">
        <f t="shared" si="39"/>
        <v>64791</v>
      </c>
    </row>
    <row r="2529" spans="1:11">
      <c r="A2529">
        <v>400640</v>
      </c>
      <c r="B2529" s="10">
        <v>2016</v>
      </c>
      <c r="C2529" t="s">
        <v>575</v>
      </c>
      <c r="D2529" t="s">
        <v>2472</v>
      </c>
      <c r="E2529" t="s">
        <v>2474</v>
      </c>
      <c r="F2529" t="s">
        <v>2437</v>
      </c>
      <c r="G2529" t="s">
        <v>520</v>
      </c>
      <c r="H2529" s="10">
        <v>59402</v>
      </c>
      <c r="I2529">
        <f>IFERROR(VLOOKUP(Final!F2529,'LEAID Match'!$A$2:$B$374,2,FALSE),"")</f>
        <v>400640</v>
      </c>
      <c r="K2529" s="10">
        <f t="shared" si="39"/>
        <v>59402</v>
      </c>
    </row>
    <row r="2530" spans="1:11">
      <c r="A2530">
        <v>400640</v>
      </c>
      <c r="B2530" s="10">
        <v>2017</v>
      </c>
      <c r="C2530" t="s">
        <v>575</v>
      </c>
      <c r="D2530" t="s">
        <v>2472</v>
      </c>
      <c r="E2530" t="s">
        <v>2474</v>
      </c>
      <c r="F2530" t="s">
        <v>2437</v>
      </c>
      <c r="G2530" t="s">
        <v>1703</v>
      </c>
      <c r="H2530" s="10">
        <v>56547</v>
      </c>
      <c r="I2530">
        <f>IFERROR(VLOOKUP(Final!F2530,'LEAID Match'!$A$2:$B$374,2,FALSE),"")</f>
        <v>400640</v>
      </c>
      <c r="K2530" s="10">
        <f t="shared" si="39"/>
        <v>56547</v>
      </c>
    </row>
    <row r="2531" spans="1:11">
      <c r="A2531">
        <v>400640</v>
      </c>
      <c r="B2531" s="10">
        <v>2018</v>
      </c>
      <c r="C2531" t="s">
        <v>575</v>
      </c>
      <c r="D2531" t="s">
        <v>2472</v>
      </c>
      <c r="E2531" t="s">
        <v>2474</v>
      </c>
      <c r="F2531" t="s">
        <v>2437</v>
      </c>
      <c r="G2531" t="s">
        <v>2177</v>
      </c>
      <c r="H2531" s="10">
        <v>115491</v>
      </c>
      <c r="I2531">
        <f>IFERROR(VLOOKUP(Final!F2531,'LEAID Match'!$A$2:$B$374,2,FALSE),"")</f>
        <v>400640</v>
      </c>
      <c r="K2531" s="10">
        <f t="shared" si="39"/>
        <v>115491</v>
      </c>
    </row>
    <row r="2532" spans="1:11">
      <c r="A2532">
        <v>400640</v>
      </c>
      <c r="B2532" s="10">
        <v>2019</v>
      </c>
      <c r="C2532" t="s">
        <v>575</v>
      </c>
      <c r="D2532" t="s">
        <v>2472</v>
      </c>
      <c r="E2532" t="s">
        <v>2474</v>
      </c>
      <c r="F2532" t="s">
        <v>2437</v>
      </c>
      <c r="G2532" t="s">
        <v>1703</v>
      </c>
      <c r="H2532" s="10">
        <v>119488</v>
      </c>
      <c r="I2532">
        <f>IFERROR(VLOOKUP(Final!F2532,'LEAID Match'!$A$2:$B$374,2,FALSE),"")</f>
        <v>400640</v>
      </c>
      <c r="K2532" s="10">
        <f t="shared" si="39"/>
        <v>119488</v>
      </c>
    </row>
    <row r="2533" spans="1:11">
      <c r="A2533">
        <v>400640</v>
      </c>
      <c r="B2533" s="10">
        <v>2020</v>
      </c>
      <c r="C2533" t="s">
        <v>575</v>
      </c>
      <c r="D2533" t="s">
        <v>2472</v>
      </c>
      <c r="E2533" t="s">
        <v>2474</v>
      </c>
      <c r="F2533" t="s">
        <v>2437</v>
      </c>
      <c r="G2533" t="s">
        <v>1703</v>
      </c>
      <c r="H2533" s="10">
        <v>159943</v>
      </c>
      <c r="I2533">
        <f>IFERROR(VLOOKUP(Final!F2533,'LEAID Match'!$A$2:$B$374,2,FALSE),"")</f>
        <v>400640</v>
      </c>
      <c r="K2533" s="10">
        <f t="shared" si="39"/>
        <v>159943</v>
      </c>
    </row>
    <row r="2534" spans="1:11">
      <c r="A2534">
        <v>400640</v>
      </c>
      <c r="B2534" s="10">
        <v>2021</v>
      </c>
      <c r="C2534" t="s">
        <v>575</v>
      </c>
      <c r="D2534" t="s">
        <v>2472</v>
      </c>
      <c r="E2534" t="s">
        <v>2474</v>
      </c>
      <c r="F2534" t="s">
        <v>2437</v>
      </c>
      <c r="G2534" t="s">
        <v>2425</v>
      </c>
      <c r="H2534" s="10">
        <v>180351</v>
      </c>
      <c r="I2534">
        <f>IFERROR(VLOOKUP(Final!F2534,'LEAID Match'!$A$2:$B$374,2,FALSE),"")</f>
        <v>400640</v>
      </c>
      <c r="K2534" s="10">
        <f t="shared" si="39"/>
        <v>180351</v>
      </c>
    </row>
    <row r="2535" spans="1:11">
      <c r="A2535">
        <v>400640</v>
      </c>
      <c r="B2535" s="10">
        <v>2022</v>
      </c>
      <c r="C2535" t="s">
        <v>575</v>
      </c>
      <c r="D2535" t="s">
        <v>2472</v>
      </c>
      <c r="E2535" t="s">
        <v>2474</v>
      </c>
      <c r="F2535" t="s">
        <v>2437</v>
      </c>
      <c r="G2535" t="s">
        <v>2437</v>
      </c>
      <c r="H2535" s="10">
        <v>168338</v>
      </c>
      <c r="I2535">
        <f>IFERROR(VLOOKUP(Final!F2535,'LEAID Match'!$A$2:$B$374,2,FALSE),"")</f>
        <v>400640</v>
      </c>
      <c r="K2535" s="10">
        <f t="shared" si="39"/>
        <v>168338</v>
      </c>
    </row>
    <row r="2536" spans="1:11">
      <c r="A2536">
        <v>400640</v>
      </c>
      <c r="B2536" s="10">
        <v>2023</v>
      </c>
      <c r="C2536" t="s">
        <v>575</v>
      </c>
      <c r="D2536" t="s">
        <v>2472</v>
      </c>
      <c r="E2536" t="s">
        <v>2474</v>
      </c>
      <c r="F2536" t="s">
        <v>2437</v>
      </c>
      <c r="G2536" t="s">
        <v>2437</v>
      </c>
      <c r="H2536" s="10">
        <v>170025</v>
      </c>
      <c r="I2536">
        <f>IFERROR(VLOOKUP(Final!F2536,'LEAID Match'!$A$2:$B$374,2,FALSE),"")</f>
        <v>400640</v>
      </c>
      <c r="K2536" s="10">
        <f t="shared" si="39"/>
        <v>170025</v>
      </c>
    </row>
    <row r="2537" spans="1:11">
      <c r="A2537">
        <v>400653</v>
      </c>
      <c r="B2537" s="10">
        <v>2015</v>
      </c>
      <c r="C2537" t="s">
        <v>567</v>
      </c>
      <c r="D2537" t="s">
        <v>2472</v>
      </c>
      <c r="E2537" t="s">
        <v>2474</v>
      </c>
      <c r="F2537" t="s">
        <v>1700</v>
      </c>
      <c r="G2537" t="s">
        <v>512</v>
      </c>
      <c r="H2537" s="10">
        <v>75649</v>
      </c>
      <c r="I2537">
        <f>IFERROR(VLOOKUP(Final!F2537,'LEAID Match'!$A$2:$B$374,2,FALSE),"")</f>
        <v>400653</v>
      </c>
      <c r="K2537" s="10">
        <f t="shared" si="39"/>
        <v>75649</v>
      </c>
    </row>
    <row r="2538" spans="1:11">
      <c r="A2538">
        <v>400653</v>
      </c>
      <c r="B2538" s="10">
        <v>2016</v>
      </c>
      <c r="C2538" t="s">
        <v>567</v>
      </c>
      <c r="D2538" t="s">
        <v>2472</v>
      </c>
      <c r="E2538" t="s">
        <v>2474</v>
      </c>
      <c r="F2538" t="s">
        <v>1700</v>
      </c>
      <c r="G2538" t="s">
        <v>512</v>
      </c>
      <c r="H2538" s="10">
        <v>74639</v>
      </c>
      <c r="I2538">
        <f>IFERROR(VLOOKUP(Final!F2538,'LEAID Match'!$A$2:$B$374,2,FALSE),"")</f>
        <v>400653</v>
      </c>
      <c r="K2538" s="10">
        <f t="shared" si="39"/>
        <v>74639</v>
      </c>
    </row>
    <row r="2539" spans="1:11">
      <c r="A2539">
        <v>400653</v>
      </c>
      <c r="B2539" s="10">
        <v>2017</v>
      </c>
      <c r="C2539" t="s">
        <v>567</v>
      </c>
      <c r="D2539" t="s">
        <v>2472</v>
      </c>
      <c r="E2539" t="s">
        <v>2474</v>
      </c>
      <c r="F2539" t="s">
        <v>1700</v>
      </c>
      <c r="G2539" t="s">
        <v>1700</v>
      </c>
      <c r="H2539" s="10">
        <v>97452</v>
      </c>
      <c r="I2539">
        <f>IFERROR(VLOOKUP(Final!F2539,'LEAID Match'!$A$2:$B$374,2,FALSE),"")</f>
        <v>400653</v>
      </c>
      <c r="K2539" s="10">
        <f t="shared" si="39"/>
        <v>97452</v>
      </c>
    </row>
    <row r="2540" spans="1:11">
      <c r="A2540">
        <v>400653</v>
      </c>
      <c r="B2540" s="10">
        <v>2018</v>
      </c>
      <c r="C2540" t="s">
        <v>567</v>
      </c>
      <c r="D2540" t="s">
        <v>2472</v>
      </c>
      <c r="E2540" t="s">
        <v>2474</v>
      </c>
      <c r="F2540" t="s">
        <v>1700</v>
      </c>
      <c r="G2540" t="s">
        <v>2174</v>
      </c>
      <c r="H2540" s="10">
        <v>87527</v>
      </c>
      <c r="I2540">
        <f>IFERROR(VLOOKUP(Final!F2540,'LEAID Match'!$A$2:$B$374,2,FALSE),"")</f>
        <v>400653</v>
      </c>
      <c r="K2540" s="10">
        <f t="shared" si="39"/>
        <v>87527</v>
      </c>
    </row>
    <row r="2541" spans="1:11">
      <c r="A2541">
        <v>400653</v>
      </c>
      <c r="B2541" s="10">
        <v>2019</v>
      </c>
      <c r="C2541" t="s">
        <v>567</v>
      </c>
      <c r="D2541" t="s">
        <v>2472</v>
      </c>
      <c r="E2541" t="s">
        <v>2474</v>
      </c>
      <c r="F2541" t="s">
        <v>1700</v>
      </c>
      <c r="G2541" t="s">
        <v>2368</v>
      </c>
      <c r="H2541" s="10">
        <v>90980</v>
      </c>
      <c r="I2541">
        <f>IFERROR(VLOOKUP(Final!F2541,'LEAID Match'!$A$2:$B$374,2,FALSE),"")</f>
        <v>400653</v>
      </c>
      <c r="K2541" s="10">
        <f t="shared" si="39"/>
        <v>90980</v>
      </c>
    </row>
    <row r="2542" spans="1:11">
      <c r="A2542">
        <v>400653</v>
      </c>
      <c r="B2542" s="10">
        <v>2020</v>
      </c>
      <c r="C2542" t="s">
        <v>567</v>
      </c>
      <c r="D2542" t="s">
        <v>2472</v>
      </c>
      <c r="E2542" t="s">
        <v>2474</v>
      </c>
      <c r="F2542" t="s">
        <v>1700</v>
      </c>
      <c r="G2542" t="s">
        <v>1700</v>
      </c>
      <c r="H2542" s="10">
        <v>101723</v>
      </c>
      <c r="I2542">
        <f>IFERROR(VLOOKUP(Final!F2542,'LEAID Match'!$A$2:$B$374,2,FALSE),"")</f>
        <v>400653</v>
      </c>
      <c r="K2542" s="10">
        <f t="shared" si="39"/>
        <v>101723</v>
      </c>
    </row>
    <row r="2543" spans="1:11">
      <c r="A2543">
        <v>400653</v>
      </c>
      <c r="B2543" s="10">
        <v>2021</v>
      </c>
      <c r="C2543" t="s">
        <v>567</v>
      </c>
      <c r="D2543" t="s">
        <v>2472</v>
      </c>
      <c r="E2543" t="s">
        <v>2474</v>
      </c>
      <c r="F2543" t="s">
        <v>1700</v>
      </c>
      <c r="G2543" t="s">
        <v>1700</v>
      </c>
      <c r="H2543" s="10">
        <v>103184</v>
      </c>
      <c r="I2543">
        <f>IFERROR(VLOOKUP(Final!F2543,'LEAID Match'!$A$2:$B$374,2,FALSE),"")</f>
        <v>400653</v>
      </c>
      <c r="K2543" s="10">
        <f t="shared" si="39"/>
        <v>103184</v>
      </c>
    </row>
    <row r="2544" spans="1:11">
      <c r="A2544">
        <v>400653</v>
      </c>
      <c r="B2544" s="10">
        <v>2022</v>
      </c>
      <c r="C2544" t="s">
        <v>567</v>
      </c>
      <c r="D2544" t="s">
        <v>2472</v>
      </c>
      <c r="E2544" t="s">
        <v>2474</v>
      </c>
      <c r="F2544" t="s">
        <v>1700</v>
      </c>
      <c r="G2544" t="s">
        <v>1700</v>
      </c>
      <c r="H2544" s="10">
        <v>117009</v>
      </c>
      <c r="I2544">
        <f>IFERROR(VLOOKUP(Final!F2544,'LEAID Match'!$A$2:$B$374,2,FALSE),"")</f>
        <v>400653</v>
      </c>
      <c r="K2544" s="10">
        <f t="shared" si="39"/>
        <v>117009</v>
      </c>
    </row>
    <row r="2545" spans="1:11">
      <c r="A2545">
        <v>400653</v>
      </c>
      <c r="B2545" s="10">
        <v>2023</v>
      </c>
      <c r="C2545" t="s">
        <v>567</v>
      </c>
      <c r="D2545" t="s">
        <v>2472</v>
      </c>
      <c r="E2545" t="s">
        <v>2474</v>
      </c>
      <c r="F2545" t="s">
        <v>1700</v>
      </c>
      <c r="G2545" t="s">
        <v>1700</v>
      </c>
      <c r="H2545" s="10">
        <v>93428</v>
      </c>
      <c r="I2545">
        <f>IFERROR(VLOOKUP(Final!F2545,'LEAID Match'!$A$2:$B$374,2,FALSE),"")</f>
        <v>400653</v>
      </c>
      <c r="K2545" s="10">
        <f t="shared" si="39"/>
        <v>93428</v>
      </c>
    </row>
    <row r="2546" spans="1:11">
      <c r="A2546">
        <v>400633</v>
      </c>
      <c r="B2546" s="10">
        <v>2015</v>
      </c>
      <c r="C2546" t="s">
        <v>344</v>
      </c>
      <c r="D2546" t="s">
        <v>2472</v>
      </c>
      <c r="E2546" t="s">
        <v>2474</v>
      </c>
      <c r="F2546" t="s">
        <v>290</v>
      </c>
      <c r="G2546" t="s">
        <v>290</v>
      </c>
      <c r="H2546" s="10">
        <v>54638</v>
      </c>
      <c r="I2546">
        <f>IFERROR(VLOOKUP(Final!F2546,'LEAID Match'!$A$2:$B$374,2,FALSE),"")</f>
        <v>400633</v>
      </c>
      <c r="K2546" s="10">
        <f t="shared" si="39"/>
        <v>54638</v>
      </c>
    </row>
    <row r="2547" spans="1:11">
      <c r="A2547">
        <v>400633</v>
      </c>
      <c r="B2547" s="10">
        <v>2016</v>
      </c>
      <c r="C2547" t="s">
        <v>344</v>
      </c>
      <c r="D2547" t="s">
        <v>2472</v>
      </c>
      <c r="E2547" t="s">
        <v>2474</v>
      </c>
      <c r="F2547" t="s">
        <v>290</v>
      </c>
      <c r="G2547" t="s">
        <v>290</v>
      </c>
      <c r="H2547" s="10">
        <v>44812</v>
      </c>
      <c r="I2547">
        <f>IFERROR(VLOOKUP(Final!F2547,'LEAID Match'!$A$2:$B$374,2,FALSE),"")</f>
        <v>400633</v>
      </c>
      <c r="K2547" s="10">
        <f t="shared" si="39"/>
        <v>44812</v>
      </c>
    </row>
    <row r="2548" spans="1:11">
      <c r="A2548">
        <v>400633</v>
      </c>
      <c r="B2548" s="10">
        <v>2017</v>
      </c>
      <c r="C2548" t="s">
        <v>344</v>
      </c>
      <c r="D2548" t="s">
        <v>2472</v>
      </c>
      <c r="E2548" t="s">
        <v>2474</v>
      </c>
      <c r="F2548" t="s">
        <v>290</v>
      </c>
      <c r="G2548" t="s">
        <v>290</v>
      </c>
      <c r="H2548" s="10">
        <v>55772</v>
      </c>
      <c r="I2548">
        <f>IFERROR(VLOOKUP(Final!F2548,'LEAID Match'!$A$2:$B$374,2,FALSE),"")</f>
        <v>400633</v>
      </c>
      <c r="K2548" s="10">
        <f t="shared" si="39"/>
        <v>55772</v>
      </c>
    </row>
    <row r="2549" spans="1:11">
      <c r="A2549">
        <v>400633</v>
      </c>
      <c r="B2549" s="10">
        <v>2018</v>
      </c>
      <c r="C2549" t="s">
        <v>344</v>
      </c>
      <c r="D2549" t="s">
        <v>2472</v>
      </c>
      <c r="E2549" t="s">
        <v>2474</v>
      </c>
      <c r="F2549" t="s">
        <v>290</v>
      </c>
      <c r="G2549" t="s">
        <v>290</v>
      </c>
      <c r="H2549" s="10">
        <v>79934</v>
      </c>
      <c r="I2549">
        <f>IFERROR(VLOOKUP(Final!F2549,'LEAID Match'!$A$2:$B$374,2,FALSE),"")</f>
        <v>400633</v>
      </c>
      <c r="K2549" s="10">
        <f t="shared" si="39"/>
        <v>79934</v>
      </c>
    </row>
    <row r="2550" spans="1:11">
      <c r="A2550">
        <v>400633</v>
      </c>
      <c r="B2550" s="10">
        <v>2019</v>
      </c>
      <c r="C2550" t="s">
        <v>344</v>
      </c>
      <c r="D2550" t="s">
        <v>2472</v>
      </c>
      <c r="E2550" t="s">
        <v>2474</v>
      </c>
      <c r="F2550" t="s">
        <v>290</v>
      </c>
      <c r="G2550" t="s">
        <v>290</v>
      </c>
      <c r="H2550" s="10">
        <v>83711</v>
      </c>
      <c r="I2550">
        <f>IFERROR(VLOOKUP(Final!F2550,'LEAID Match'!$A$2:$B$374,2,FALSE),"")</f>
        <v>400633</v>
      </c>
      <c r="K2550" s="10">
        <f t="shared" si="39"/>
        <v>83711</v>
      </c>
    </row>
    <row r="2551" spans="1:11">
      <c r="A2551">
        <v>400633</v>
      </c>
      <c r="B2551" s="10">
        <v>2020</v>
      </c>
      <c r="C2551" t="s">
        <v>344</v>
      </c>
      <c r="D2551" t="s">
        <v>2472</v>
      </c>
      <c r="E2551" t="s">
        <v>2474</v>
      </c>
      <c r="F2551" t="s">
        <v>290</v>
      </c>
      <c r="G2551" t="s">
        <v>290</v>
      </c>
      <c r="H2551" s="10">
        <v>75168</v>
      </c>
      <c r="I2551">
        <f>IFERROR(VLOOKUP(Final!F2551,'LEAID Match'!$A$2:$B$374,2,FALSE),"")</f>
        <v>400633</v>
      </c>
      <c r="K2551" s="10">
        <f t="shared" si="39"/>
        <v>75168</v>
      </c>
    </row>
    <row r="2552" spans="1:11">
      <c r="A2552">
        <v>400633</v>
      </c>
      <c r="B2552" s="10">
        <v>2021</v>
      </c>
      <c r="C2552" t="s">
        <v>344</v>
      </c>
      <c r="D2552" t="s">
        <v>2472</v>
      </c>
      <c r="E2552" t="s">
        <v>2474</v>
      </c>
      <c r="F2552" t="s">
        <v>290</v>
      </c>
      <c r="G2552" t="s">
        <v>290</v>
      </c>
      <c r="H2552" s="10">
        <v>64948</v>
      </c>
      <c r="I2552">
        <f>IFERROR(VLOOKUP(Final!F2552,'LEAID Match'!$A$2:$B$374,2,FALSE),"")</f>
        <v>400633</v>
      </c>
      <c r="K2552" s="10">
        <f t="shared" si="39"/>
        <v>64948</v>
      </c>
    </row>
    <row r="2553" spans="1:11">
      <c r="A2553">
        <v>400633</v>
      </c>
      <c r="B2553" s="10">
        <v>2022</v>
      </c>
      <c r="C2553" t="s">
        <v>344</v>
      </c>
      <c r="D2553" t="s">
        <v>2472</v>
      </c>
      <c r="E2553" t="s">
        <v>2474</v>
      </c>
      <c r="F2553" t="s">
        <v>290</v>
      </c>
      <c r="G2553" t="s">
        <v>290</v>
      </c>
      <c r="H2553" s="10">
        <v>66516</v>
      </c>
      <c r="I2553">
        <f>IFERROR(VLOOKUP(Final!F2553,'LEAID Match'!$A$2:$B$374,2,FALSE),"")</f>
        <v>400633</v>
      </c>
      <c r="K2553" s="10">
        <f t="shared" si="39"/>
        <v>66516</v>
      </c>
    </row>
    <row r="2554" spans="1:11">
      <c r="A2554">
        <v>400633</v>
      </c>
      <c r="B2554" s="10">
        <v>2023</v>
      </c>
      <c r="C2554" t="s">
        <v>344</v>
      </c>
      <c r="D2554" t="s">
        <v>2472</v>
      </c>
      <c r="E2554" t="s">
        <v>2474</v>
      </c>
      <c r="F2554" t="s">
        <v>290</v>
      </c>
      <c r="G2554" t="s">
        <v>290</v>
      </c>
      <c r="H2554" s="10">
        <v>60257</v>
      </c>
      <c r="I2554">
        <f>IFERROR(VLOOKUP(Final!F2554,'LEAID Match'!$A$2:$B$374,2,FALSE),"")</f>
        <v>400633</v>
      </c>
      <c r="K2554" s="10">
        <f t="shared" si="39"/>
        <v>60257</v>
      </c>
    </row>
    <row r="2555" spans="1:11">
      <c r="A2555">
        <v>403860</v>
      </c>
      <c r="B2555" s="10">
        <v>2015</v>
      </c>
      <c r="C2555" t="s">
        <v>788</v>
      </c>
      <c r="D2555" t="s">
        <v>2472</v>
      </c>
      <c r="E2555" t="s">
        <v>2474</v>
      </c>
      <c r="F2555" t="s">
        <v>1797</v>
      </c>
      <c r="G2555" t="s">
        <v>733</v>
      </c>
      <c r="H2555" s="10">
        <v>295131</v>
      </c>
      <c r="I2555">
        <f>IFERROR(VLOOKUP(Final!F2555,'LEAID Match'!$A$2:$B$374,2,FALSE),"")</f>
        <v>403860</v>
      </c>
      <c r="K2555" s="10">
        <f t="shared" si="39"/>
        <v>295131</v>
      </c>
    </row>
    <row r="2556" spans="1:11">
      <c r="A2556">
        <v>403860</v>
      </c>
      <c r="B2556" s="10">
        <v>2016</v>
      </c>
      <c r="C2556" t="s">
        <v>788</v>
      </c>
      <c r="D2556" t="s">
        <v>2472</v>
      </c>
      <c r="E2556" t="s">
        <v>2474</v>
      </c>
      <c r="F2556" t="s">
        <v>1797</v>
      </c>
      <c r="G2556" t="s">
        <v>733</v>
      </c>
      <c r="H2556" s="10">
        <v>239665</v>
      </c>
      <c r="I2556">
        <f>IFERROR(VLOOKUP(Final!F2556,'LEAID Match'!$A$2:$B$374,2,FALSE),"")</f>
        <v>403860</v>
      </c>
      <c r="K2556" s="10">
        <f t="shared" si="39"/>
        <v>239665</v>
      </c>
    </row>
    <row r="2557" spans="1:11">
      <c r="A2557">
        <v>403860</v>
      </c>
      <c r="B2557" s="10">
        <v>2017</v>
      </c>
      <c r="C2557" t="s">
        <v>788</v>
      </c>
      <c r="D2557" t="s">
        <v>2472</v>
      </c>
      <c r="E2557" t="s">
        <v>2474</v>
      </c>
      <c r="F2557" t="s">
        <v>1797</v>
      </c>
      <c r="G2557" t="s">
        <v>1797</v>
      </c>
      <c r="H2557" s="10">
        <v>325522</v>
      </c>
      <c r="I2557">
        <f>IFERROR(VLOOKUP(Final!F2557,'LEAID Match'!$A$2:$B$374,2,FALSE),"")</f>
        <v>403860</v>
      </c>
      <c r="K2557" s="10">
        <f t="shared" si="39"/>
        <v>325522</v>
      </c>
    </row>
    <row r="2558" spans="1:11">
      <c r="A2558">
        <v>403860</v>
      </c>
      <c r="B2558" s="10">
        <v>2018</v>
      </c>
      <c r="C2558" t="s">
        <v>788</v>
      </c>
      <c r="D2558" t="s">
        <v>2472</v>
      </c>
      <c r="E2558" t="s">
        <v>2474</v>
      </c>
      <c r="F2558" t="s">
        <v>1797</v>
      </c>
      <c r="G2558" t="s">
        <v>2231</v>
      </c>
      <c r="H2558" s="10">
        <v>405386</v>
      </c>
      <c r="I2558">
        <f>IFERROR(VLOOKUP(Final!F2558,'LEAID Match'!$A$2:$B$374,2,FALSE),"")</f>
        <v>403860</v>
      </c>
      <c r="K2558" s="10">
        <f t="shared" si="39"/>
        <v>405386</v>
      </c>
    </row>
    <row r="2559" spans="1:11">
      <c r="A2559">
        <v>403860</v>
      </c>
      <c r="B2559" s="10">
        <v>2019</v>
      </c>
      <c r="C2559" t="s">
        <v>788</v>
      </c>
      <c r="D2559" t="s">
        <v>2472</v>
      </c>
      <c r="E2559" t="s">
        <v>2474</v>
      </c>
      <c r="F2559" t="s">
        <v>1797</v>
      </c>
      <c r="G2559" t="s">
        <v>1797</v>
      </c>
      <c r="H2559" s="10">
        <v>305809</v>
      </c>
      <c r="I2559">
        <f>IFERROR(VLOOKUP(Final!F2559,'LEAID Match'!$A$2:$B$374,2,FALSE),"")</f>
        <v>403860</v>
      </c>
      <c r="K2559" s="10">
        <f t="shared" si="39"/>
        <v>305809</v>
      </c>
    </row>
    <row r="2560" spans="1:11">
      <c r="A2560">
        <v>403860</v>
      </c>
      <c r="B2560" s="10">
        <v>2020</v>
      </c>
      <c r="C2560" t="s">
        <v>788</v>
      </c>
      <c r="D2560" t="s">
        <v>2472</v>
      </c>
      <c r="E2560" t="s">
        <v>2474</v>
      </c>
      <c r="F2560" t="s">
        <v>1797</v>
      </c>
      <c r="G2560" t="s">
        <v>1797</v>
      </c>
      <c r="H2560" s="10">
        <v>374259</v>
      </c>
      <c r="I2560">
        <f>IFERROR(VLOOKUP(Final!F2560,'LEAID Match'!$A$2:$B$374,2,FALSE),"")</f>
        <v>403860</v>
      </c>
      <c r="K2560" s="10">
        <f t="shared" si="39"/>
        <v>374259</v>
      </c>
    </row>
    <row r="2561" spans="1:11">
      <c r="A2561">
        <v>403860</v>
      </c>
      <c r="B2561" s="10">
        <v>2021</v>
      </c>
      <c r="C2561" t="s">
        <v>788</v>
      </c>
      <c r="D2561" t="s">
        <v>2472</v>
      </c>
      <c r="E2561" t="s">
        <v>2474</v>
      </c>
      <c r="F2561" t="s">
        <v>1797</v>
      </c>
      <c r="G2561" t="s">
        <v>1797</v>
      </c>
      <c r="H2561" s="10">
        <v>371164</v>
      </c>
      <c r="I2561">
        <f>IFERROR(VLOOKUP(Final!F2561,'LEAID Match'!$A$2:$B$374,2,FALSE),"")</f>
        <v>403860</v>
      </c>
      <c r="K2561" s="10">
        <f t="shared" si="39"/>
        <v>371164</v>
      </c>
    </row>
    <row r="2562" spans="1:11">
      <c r="A2562">
        <v>403860</v>
      </c>
      <c r="B2562" s="10">
        <v>2022</v>
      </c>
      <c r="C2562" t="s">
        <v>788</v>
      </c>
      <c r="D2562" t="s">
        <v>2472</v>
      </c>
      <c r="E2562" t="s">
        <v>2474</v>
      </c>
      <c r="F2562" t="s">
        <v>1797</v>
      </c>
      <c r="G2562" t="s">
        <v>1797</v>
      </c>
      <c r="H2562" s="10">
        <v>363200</v>
      </c>
      <c r="I2562">
        <f>IFERROR(VLOOKUP(Final!F2562,'LEAID Match'!$A$2:$B$374,2,FALSE),"")</f>
        <v>403860</v>
      </c>
      <c r="K2562" s="10">
        <f t="shared" si="39"/>
        <v>363200</v>
      </c>
    </row>
    <row r="2563" spans="1:11">
      <c r="A2563">
        <v>403860</v>
      </c>
      <c r="B2563" s="10">
        <v>2023</v>
      </c>
      <c r="C2563" t="s">
        <v>788</v>
      </c>
      <c r="D2563" t="s">
        <v>2472</v>
      </c>
      <c r="E2563" t="s">
        <v>2474</v>
      </c>
      <c r="F2563" t="s">
        <v>1797</v>
      </c>
      <c r="G2563" t="s">
        <v>1797</v>
      </c>
      <c r="H2563" s="10">
        <v>206992</v>
      </c>
      <c r="I2563">
        <f>IFERROR(VLOOKUP(Final!F2563,'LEAID Match'!$A$2:$B$374,2,FALSE),"")</f>
        <v>403860</v>
      </c>
      <c r="K2563" s="10">
        <f t="shared" ref="K2563:K2626" si="40">SUM(H2563,J2563)</f>
        <v>206992</v>
      </c>
    </row>
    <row r="2564" spans="1:11">
      <c r="A2564">
        <v>400419</v>
      </c>
      <c r="B2564" s="10">
        <v>2015</v>
      </c>
      <c r="C2564" t="s">
        <v>662</v>
      </c>
      <c r="D2564" t="s">
        <v>2472</v>
      </c>
      <c r="E2564" t="s">
        <v>2474</v>
      </c>
      <c r="F2564" t="s">
        <v>607</v>
      </c>
      <c r="G2564" t="s">
        <v>607</v>
      </c>
      <c r="H2564" s="10">
        <v>52020</v>
      </c>
      <c r="I2564">
        <f>IFERROR(VLOOKUP(Final!F2564,'LEAID Match'!$A$2:$B$374,2,FALSE),"")</f>
        <v>400419</v>
      </c>
      <c r="K2564" s="10">
        <f t="shared" si="40"/>
        <v>52020</v>
      </c>
    </row>
    <row r="2565" spans="1:11">
      <c r="A2565">
        <v>400419</v>
      </c>
      <c r="B2565" s="10">
        <v>2016</v>
      </c>
      <c r="C2565" t="s">
        <v>662</v>
      </c>
      <c r="D2565" t="s">
        <v>2472</v>
      </c>
      <c r="E2565" t="s">
        <v>2474</v>
      </c>
      <c r="F2565" t="s">
        <v>607</v>
      </c>
      <c r="G2565" t="s">
        <v>607</v>
      </c>
      <c r="H2565" s="10">
        <v>16425</v>
      </c>
      <c r="I2565">
        <f>IFERROR(VLOOKUP(Final!F2565,'LEAID Match'!$A$2:$B$374,2,FALSE),"")</f>
        <v>400419</v>
      </c>
      <c r="K2565" s="10">
        <f t="shared" si="40"/>
        <v>16425</v>
      </c>
    </row>
    <row r="2566" spans="1:11">
      <c r="A2566">
        <v>400419</v>
      </c>
      <c r="B2566" s="10">
        <v>2017</v>
      </c>
      <c r="C2566" t="s">
        <v>662</v>
      </c>
      <c r="D2566" t="s">
        <v>2472</v>
      </c>
      <c r="E2566" t="s">
        <v>2474</v>
      </c>
      <c r="F2566" t="s">
        <v>607</v>
      </c>
      <c r="G2566" t="s">
        <v>607</v>
      </c>
      <c r="H2566" s="10">
        <v>12208</v>
      </c>
      <c r="I2566">
        <f>IFERROR(VLOOKUP(Final!F2566,'LEAID Match'!$A$2:$B$374,2,FALSE),"")</f>
        <v>400419</v>
      </c>
      <c r="K2566" s="10">
        <f t="shared" si="40"/>
        <v>12208</v>
      </c>
    </row>
    <row r="2567" spans="1:11">
      <c r="A2567">
        <v>400419</v>
      </c>
      <c r="B2567" s="10">
        <v>2018</v>
      </c>
      <c r="C2567" t="s">
        <v>662</v>
      </c>
      <c r="D2567" t="s">
        <v>2472</v>
      </c>
      <c r="E2567" t="s">
        <v>2474</v>
      </c>
      <c r="F2567" t="s">
        <v>607</v>
      </c>
      <c r="G2567" t="s">
        <v>2198</v>
      </c>
      <c r="H2567" s="10">
        <v>15700</v>
      </c>
      <c r="I2567">
        <f>IFERROR(VLOOKUP(Final!F2567,'LEAID Match'!$A$2:$B$374,2,FALSE),"")</f>
        <v>400419</v>
      </c>
      <c r="K2567" s="10">
        <f t="shared" si="40"/>
        <v>15700</v>
      </c>
    </row>
    <row r="2568" spans="1:11">
      <c r="A2568">
        <v>400419</v>
      </c>
      <c r="B2568" s="10">
        <v>2019</v>
      </c>
      <c r="C2568" t="s">
        <v>662</v>
      </c>
      <c r="D2568" t="s">
        <v>2472</v>
      </c>
      <c r="E2568" t="s">
        <v>2474</v>
      </c>
      <c r="F2568" t="s">
        <v>607</v>
      </c>
      <c r="G2568" t="s">
        <v>607</v>
      </c>
      <c r="H2568" s="10">
        <v>17664</v>
      </c>
      <c r="I2568">
        <f>IFERROR(VLOOKUP(Final!F2568,'LEAID Match'!$A$2:$B$374,2,FALSE),"")</f>
        <v>400419</v>
      </c>
      <c r="K2568" s="10">
        <f t="shared" si="40"/>
        <v>17664</v>
      </c>
    </row>
    <row r="2569" spans="1:11">
      <c r="A2569">
        <v>400419</v>
      </c>
      <c r="B2569" s="10">
        <v>2020</v>
      </c>
      <c r="C2569" t="s">
        <v>662</v>
      </c>
      <c r="D2569" t="s">
        <v>2472</v>
      </c>
      <c r="E2569" t="s">
        <v>2474</v>
      </c>
      <c r="F2569" t="s">
        <v>607</v>
      </c>
      <c r="G2569" t="s">
        <v>607</v>
      </c>
      <c r="H2569" s="10">
        <v>18956</v>
      </c>
      <c r="I2569">
        <f>IFERROR(VLOOKUP(Final!F2569,'LEAID Match'!$A$2:$B$374,2,FALSE),"")</f>
        <v>400419</v>
      </c>
      <c r="K2569" s="10">
        <f t="shared" si="40"/>
        <v>18956</v>
      </c>
    </row>
    <row r="2570" spans="1:11">
      <c r="A2570">
        <v>400419</v>
      </c>
      <c r="B2570" s="10">
        <v>2021</v>
      </c>
      <c r="C2570" t="s">
        <v>662</v>
      </c>
      <c r="D2570" t="s">
        <v>2472</v>
      </c>
      <c r="E2570" t="s">
        <v>2474</v>
      </c>
      <c r="F2570" t="s">
        <v>607</v>
      </c>
      <c r="G2570" t="s">
        <v>607</v>
      </c>
      <c r="H2570" s="10">
        <v>21389</v>
      </c>
      <c r="I2570">
        <f>IFERROR(VLOOKUP(Final!F2570,'LEAID Match'!$A$2:$B$374,2,FALSE),"")</f>
        <v>400419</v>
      </c>
      <c r="K2570" s="10">
        <f t="shared" si="40"/>
        <v>21389</v>
      </c>
    </row>
    <row r="2571" spans="1:11">
      <c r="A2571">
        <v>400419</v>
      </c>
      <c r="B2571" s="10">
        <v>2022</v>
      </c>
      <c r="C2571" t="s">
        <v>662</v>
      </c>
      <c r="D2571" t="s">
        <v>2472</v>
      </c>
      <c r="E2571" t="s">
        <v>2474</v>
      </c>
      <c r="F2571" t="s">
        <v>607</v>
      </c>
      <c r="G2571" t="s">
        <v>607</v>
      </c>
      <c r="H2571" s="10">
        <v>20914</v>
      </c>
      <c r="I2571">
        <f>IFERROR(VLOOKUP(Final!F2571,'LEAID Match'!$A$2:$B$374,2,FALSE),"")</f>
        <v>400419</v>
      </c>
      <c r="K2571" s="10">
        <f t="shared" si="40"/>
        <v>20914</v>
      </c>
    </row>
    <row r="2572" spans="1:11">
      <c r="A2572">
        <v>400419</v>
      </c>
      <c r="B2572" s="10">
        <v>2023</v>
      </c>
      <c r="C2572" t="s">
        <v>662</v>
      </c>
      <c r="D2572" t="s">
        <v>2472</v>
      </c>
      <c r="E2572" t="s">
        <v>2474</v>
      </c>
      <c r="F2572" t="s">
        <v>607</v>
      </c>
      <c r="G2572" t="s">
        <v>607</v>
      </c>
      <c r="H2572" s="10">
        <v>23752</v>
      </c>
      <c r="I2572">
        <f>IFERROR(VLOOKUP(Final!F2572,'LEAID Match'!$A$2:$B$374,2,FALSE),"")</f>
        <v>400419</v>
      </c>
      <c r="K2572" s="10">
        <f t="shared" si="40"/>
        <v>23752</v>
      </c>
    </row>
    <row r="2573" spans="1:11">
      <c r="A2573">
        <v>400420</v>
      </c>
      <c r="B2573" s="10">
        <v>2015</v>
      </c>
      <c r="C2573" t="s">
        <v>933</v>
      </c>
      <c r="D2573" t="s">
        <v>2472</v>
      </c>
      <c r="E2573" t="s">
        <v>2474</v>
      </c>
      <c r="F2573" t="s">
        <v>1878</v>
      </c>
      <c r="G2573" t="s">
        <v>878</v>
      </c>
      <c r="H2573" s="10">
        <v>30675</v>
      </c>
      <c r="I2573">
        <f>IFERROR(VLOOKUP(Final!F2573,'LEAID Match'!$A$2:$B$374,2,FALSE),"")</f>
        <v>400420</v>
      </c>
      <c r="K2573" s="10">
        <f t="shared" si="40"/>
        <v>30675</v>
      </c>
    </row>
    <row r="2574" spans="1:11">
      <c r="A2574">
        <v>400420</v>
      </c>
      <c r="B2574" s="10">
        <v>2016</v>
      </c>
      <c r="C2574" t="s">
        <v>933</v>
      </c>
      <c r="D2574" t="s">
        <v>2472</v>
      </c>
      <c r="E2574" t="s">
        <v>2474</v>
      </c>
      <c r="F2574" t="s">
        <v>1878</v>
      </c>
      <c r="G2574" t="s">
        <v>878</v>
      </c>
      <c r="H2574" s="10">
        <v>28330</v>
      </c>
      <c r="I2574">
        <f>IFERROR(VLOOKUP(Final!F2574,'LEAID Match'!$A$2:$B$374,2,FALSE),"")</f>
        <v>400420</v>
      </c>
      <c r="K2574" s="10">
        <f t="shared" si="40"/>
        <v>28330</v>
      </c>
    </row>
    <row r="2575" spans="1:11">
      <c r="A2575">
        <v>400420</v>
      </c>
      <c r="B2575" s="10">
        <v>2017</v>
      </c>
      <c r="C2575" t="s">
        <v>933</v>
      </c>
      <c r="D2575" t="s">
        <v>2472</v>
      </c>
      <c r="E2575" t="s">
        <v>2474</v>
      </c>
      <c r="F2575" t="s">
        <v>1878</v>
      </c>
      <c r="G2575" t="s">
        <v>1878</v>
      </c>
      <c r="H2575" s="10">
        <v>16288</v>
      </c>
      <c r="I2575">
        <f>IFERROR(VLOOKUP(Final!F2575,'LEAID Match'!$A$2:$B$374,2,FALSE),"")</f>
        <v>400420</v>
      </c>
      <c r="K2575" s="10">
        <f t="shared" si="40"/>
        <v>16288</v>
      </c>
    </row>
    <row r="2576" spans="1:11">
      <c r="A2576">
        <v>400420</v>
      </c>
      <c r="B2576" s="10">
        <v>2018</v>
      </c>
      <c r="C2576" t="s">
        <v>933</v>
      </c>
      <c r="D2576" t="s">
        <v>2472</v>
      </c>
      <c r="E2576" t="s">
        <v>2474</v>
      </c>
      <c r="F2576" t="s">
        <v>1878</v>
      </c>
      <c r="G2576" t="s">
        <v>2279</v>
      </c>
      <c r="H2576" s="10">
        <v>12344</v>
      </c>
      <c r="I2576">
        <f>IFERROR(VLOOKUP(Final!F2576,'LEAID Match'!$A$2:$B$374,2,FALSE),"")</f>
        <v>400420</v>
      </c>
      <c r="K2576" s="10">
        <f t="shared" si="40"/>
        <v>12344</v>
      </c>
    </row>
    <row r="2577" spans="1:11">
      <c r="A2577">
        <v>400420</v>
      </c>
      <c r="B2577" s="10">
        <v>2019</v>
      </c>
      <c r="C2577" t="s">
        <v>933</v>
      </c>
      <c r="D2577" t="s">
        <v>2472</v>
      </c>
      <c r="E2577" t="s">
        <v>2474</v>
      </c>
      <c r="F2577" t="s">
        <v>1878</v>
      </c>
      <c r="G2577" t="s">
        <v>1878</v>
      </c>
      <c r="H2577" s="10">
        <v>14159</v>
      </c>
      <c r="I2577">
        <f>IFERROR(VLOOKUP(Final!F2577,'LEAID Match'!$A$2:$B$374,2,FALSE),"")</f>
        <v>400420</v>
      </c>
      <c r="K2577" s="10">
        <f t="shared" si="40"/>
        <v>14159</v>
      </c>
    </row>
    <row r="2578" spans="1:11">
      <c r="A2578">
        <v>400420</v>
      </c>
      <c r="B2578" s="10">
        <v>2020</v>
      </c>
      <c r="C2578" t="s">
        <v>933</v>
      </c>
      <c r="D2578" t="s">
        <v>2472</v>
      </c>
      <c r="E2578" t="s">
        <v>2474</v>
      </c>
      <c r="F2578" t="s">
        <v>1878</v>
      </c>
      <c r="G2578" t="s">
        <v>1878</v>
      </c>
      <c r="H2578" s="10">
        <v>15420</v>
      </c>
      <c r="I2578">
        <f>IFERROR(VLOOKUP(Final!F2578,'LEAID Match'!$A$2:$B$374,2,FALSE),"")</f>
        <v>400420</v>
      </c>
      <c r="K2578" s="10">
        <f t="shared" si="40"/>
        <v>15420</v>
      </c>
    </row>
    <row r="2579" spans="1:11">
      <c r="A2579">
        <v>400420</v>
      </c>
      <c r="B2579" s="10">
        <v>2021</v>
      </c>
      <c r="C2579" t="s">
        <v>933</v>
      </c>
      <c r="D2579" t="s">
        <v>2472</v>
      </c>
      <c r="E2579" t="s">
        <v>2474</v>
      </c>
      <c r="F2579" t="s">
        <v>1878</v>
      </c>
      <c r="G2579" t="s">
        <v>1878</v>
      </c>
      <c r="H2579" s="10">
        <v>17227</v>
      </c>
      <c r="I2579">
        <f>IFERROR(VLOOKUP(Final!F2579,'LEAID Match'!$A$2:$B$374,2,FALSE),"")</f>
        <v>400420</v>
      </c>
      <c r="K2579" s="10">
        <f t="shared" si="40"/>
        <v>17227</v>
      </c>
    </row>
    <row r="2580" spans="1:11">
      <c r="A2580">
        <v>400420</v>
      </c>
      <c r="B2580" s="10">
        <v>2022</v>
      </c>
      <c r="C2580" t="s">
        <v>933</v>
      </c>
      <c r="D2580" t="s">
        <v>2472</v>
      </c>
      <c r="E2580" t="s">
        <v>2474</v>
      </c>
      <c r="F2580" t="s">
        <v>1878</v>
      </c>
      <c r="G2580" t="s">
        <v>1878</v>
      </c>
      <c r="H2580" s="10">
        <v>17611</v>
      </c>
      <c r="I2580">
        <f>IFERROR(VLOOKUP(Final!F2580,'LEAID Match'!$A$2:$B$374,2,FALSE),"")</f>
        <v>400420</v>
      </c>
      <c r="K2580" s="10">
        <f t="shared" si="40"/>
        <v>17611</v>
      </c>
    </row>
    <row r="2581" spans="1:11">
      <c r="A2581">
        <v>400420</v>
      </c>
      <c r="B2581" s="10">
        <v>2023</v>
      </c>
      <c r="C2581" t="s">
        <v>933</v>
      </c>
      <c r="D2581" t="s">
        <v>2472</v>
      </c>
      <c r="E2581" t="s">
        <v>2474</v>
      </c>
      <c r="F2581" t="s">
        <v>1878</v>
      </c>
      <c r="G2581" t="s">
        <v>1878</v>
      </c>
      <c r="H2581" s="10">
        <v>14453</v>
      </c>
      <c r="I2581">
        <f>IFERROR(VLOOKUP(Final!F2581,'LEAID Match'!$A$2:$B$374,2,FALSE),"")</f>
        <v>400420</v>
      </c>
      <c r="K2581" s="10">
        <f t="shared" si="40"/>
        <v>14453</v>
      </c>
    </row>
    <row r="2582" spans="1:11">
      <c r="A2582">
        <v>400055</v>
      </c>
      <c r="B2582" s="10">
        <v>2015</v>
      </c>
      <c r="C2582" t="s">
        <v>577</v>
      </c>
      <c r="D2582" t="s">
        <v>2472</v>
      </c>
      <c r="E2582" t="s">
        <v>2474</v>
      </c>
      <c r="F2582" t="s">
        <v>1704</v>
      </c>
      <c r="G2582" t="s">
        <v>522</v>
      </c>
      <c r="H2582" s="10">
        <v>32483</v>
      </c>
      <c r="I2582">
        <f>IFERROR(VLOOKUP(Final!F2582,'LEAID Match'!$A$2:$B$374,2,FALSE),"")</f>
        <v>400055</v>
      </c>
      <c r="K2582" s="10">
        <f t="shared" si="40"/>
        <v>32483</v>
      </c>
    </row>
    <row r="2583" spans="1:11">
      <c r="A2583">
        <v>400055</v>
      </c>
      <c r="B2583" s="10">
        <v>2016</v>
      </c>
      <c r="C2583" t="s">
        <v>577</v>
      </c>
      <c r="D2583" t="s">
        <v>2472</v>
      </c>
      <c r="E2583" t="s">
        <v>2474</v>
      </c>
      <c r="F2583" t="s">
        <v>1704</v>
      </c>
      <c r="G2583" t="s">
        <v>522</v>
      </c>
      <c r="H2583" s="10">
        <v>33013</v>
      </c>
      <c r="I2583">
        <f>IFERROR(VLOOKUP(Final!F2583,'LEAID Match'!$A$2:$B$374,2,FALSE),"")</f>
        <v>400055</v>
      </c>
      <c r="K2583" s="10">
        <f t="shared" si="40"/>
        <v>33013</v>
      </c>
    </row>
    <row r="2584" spans="1:11">
      <c r="A2584">
        <v>400055</v>
      </c>
      <c r="B2584" s="10">
        <v>2017</v>
      </c>
      <c r="C2584" t="s">
        <v>577</v>
      </c>
      <c r="D2584" t="s">
        <v>2472</v>
      </c>
      <c r="E2584" t="s">
        <v>2474</v>
      </c>
      <c r="F2584" t="s">
        <v>1704</v>
      </c>
      <c r="G2584" t="s">
        <v>1704</v>
      </c>
      <c r="H2584" s="10">
        <v>33731</v>
      </c>
      <c r="I2584">
        <f>IFERROR(VLOOKUP(Final!F2584,'LEAID Match'!$A$2:$B$374,2,FALSE),"")</f>
        <v>400055</v>
      </c>
      <c r="K2584" s="10">
        <f t="shared" si="40"/>
        <v>33731</v>
      </c>
    </row>
    <row r="2585" spans="1:11">
      <c r="A2585">
        <v>400055</v>
      </c>
      <c r="B2585" s="10">
        <v>2018</v>
      </c>
      <c r="C2585" t="s">
        <v>577</v>
      </c>
      <c r="D2585" t="s">
        <v>2472</v>
      </c>
      <c r="E2585" t="s">
        <v>2474</v>
      </c>
      <c r="F2585" t="s">
        <v>1704</v>
      </c>
      <c r="G2585" t="s">
        <v>2178</v>
      </c>
      <c r="H2585" s="10">
        <v>34949</v>
      </c>
      <c r="I2585">
        <f>IFERROR(VLOOKUP(Final!F2585,'LEAID Match'!$A$2:$B$374,2,FALSE),"")</f>
        <v>400055</v>
      </c>
      <c r="K2585" s="10">
        <f t="shared" si="40"/>
        <v>34949</v>
      </c>
    </row>
    <row r="2586" spans="1:11">
      <c r="A2586">
        <v>400055</v>
      </c>
      <c r="B2586" s="10">
        <v>2019</v>
      </c>
      <c r="C2586" t="s">
        <v>577</v>
      </c>
      <c r="D2586" t="s">
        <v>2472</v>
      </c>
      <c r="E2586" t="s">
        <v>2474</v>
      </c>
      <c r="F2586" t="s">
        <v>1704</v>
      </c>
      <c r="G2586" t="s">
        <v>1704</v>
      </c>
      <c r="H2586" s="10">
        <v>35331</v>
      </c>
      <c r="I2586">
        <f>IFERROR(VLOOKUP(Final!F2586,'LEAID Match'!$A$2:$B$374,2,FALSE),"")</f>
        <v>400055</v>
      </c>
      <c r="K2586" s="10">
        <f t="shared" si="40"/>
        <v>35331</v>
      </c>
    </row>
    <row r="2587" spans="1:11">
      <c r="A2587">
        <v>400055</v>
      </c>
      <c r="B2587" s="10">
        <v>2020</v>
      </c>
      <c r="C2587" t="s">
        <v>577</v>
      </c>
      <c r="D2587" t="s">
        <v>2472</v>
      </c>
      <c r="E2587" t="s">
        <v>2474</v>
      </c>
      <c r="F2587" t="s">
        <v>1704</v>
      </c>
      <c r="G2587" t="s">
        <v>1704</v>
      </c>
      <c r="H2587" s="10">
        <v>33344</v>
      </c>
      <c r="I2587">
        <f>IFERROR(VLOOKUP(Final!F2587,'LEAID Match'!$A$2:$B$374,2,FALSE),"")</f>
        <v>400055</v>
      </c>
      <c r="K2587" s="10">
        <f t="shared" si="40"/>
        <v>33344</v>
      </c>
    </row>
    <row r="2588" spans="1:11">
      <c r="A2588">
        <v>400055</v>
      </c>
      <c r="B2588" s="10">
        <v>2021</v>
      </c>
      <c r="C2588" t="s">
        <v>577</v>
      </c>
      <c r="D2588" t="s">
        <v>2472</v>
      </c>
      <c r="E2588" t="s">
        <v>2474</v>
      </c>
      <c r="F2588" t="s">
        <v>1704</v>
      </c>
      <c r="G2588" t="s">
        <v>1704</v>
      </c>
      <c r="H2588" s="10">
        <v>34542</v>
      </c>
      <c r="I2588">
        <f>IFERROR(VLOOKUP(Final!F2588,'LEAID Match'!$A$2:$B$374,2,FALSE),"")</f>
        <v>400055</v>
      </c>
      <c r="K2588" s="10">
        <f t="shared" si="40"/>
        <v>34542</v>
      </c>
    </row>
    <row r="2589" spans="1:11">
      <c r="A2589">
        <v>400055</v>
      </c>
      <c r="B2589" s="10">
        <v>2022</v>
      </c>
      <c r="C2589" t="s">
        <v>577</v>
      </c>
      <c r="D2589" t="s">
        <v>2472</v>
      </c>
      <c r="E2589" t="s">
        <v>2474</v>
      </c>
      <c r="F2589" t="s">
        <v>1704</v>
      </c>
      <c r="G2589" t="s">
        <v>1704</v>
      </c>
      <c r="H2589" s="10">
        <v>39496</v>
      </c>
      <c r="I2589">
        <f>IFERROR(VLOOKUP(Final!F2589,'LEAID Match'!$A$2:$B$374,2,FALSE),"")</f>
        <v>400055</v>
      </c>
      <c r="K2589" s="10">
        <f t="shared" si="40"/>
        <v>39496</v>
      </c>
    </row>
    <row r="2590" spans="1:11">
      <c r="A2590">
        <v>400055</v>
      </c>
      <c r="B2590" s="10">
        <v>2023</v>
      </c>
      <c r="C2590" t="s">
        <v>577</v>
      </c>
      <c r="D2590" t="s">
        <v>2472</v>
      </c>
      <c r="E2590" t="s">
        <v>2474</v>
      </c>
      <c r="F2590" t="s">
        <v>1704</v>
      </c>
      <c r="G2590" t="s">
        <v>1704</v>
      </c>
      <c r="H2590" s="10"/>
      <c r="I2590">
        <f>IFERROR(VLOOKUP(Final!F2590,'LEAID Match'!$A$2:$B$374,2,FALSE),"")</f>
        <v>400055</v>
      </c>
      <c r="K2590" s="10">
        <f t="shared" si="40"/>
        <v>0</v>
      </c>
    </row>
    <row r="2591" spans="1:11">
      <c r="A2591">
        <v>400040</v>
      </c>
      <c r="B2591" s="10">
        <v>2015</v>
      </c>
      <c r="C2591" t="s">
        <v>1139</v>
      </c>
      <c r="D2591" t="s">
        <v>2472</v>
      </c>
      <c r="E2591" t="s">
        <v>2474</v>
      </c>
      <c r="F2591" t="s">
        <v>1084</v>
      </c>
      <c r="G2591" t="s">
        <v>1084</v>
      </c>
      <c r="H2591" s="10">
        <v>66460</v>
      </c>
      <c r="I2591">
        <f>IFERROR(VLOOKUP(Final!F2591,'LEAID Match'!$A$2:$B$374,2,FALSE),"")</f>
        <v>400040</v>
      </c>
      <c r="K2591" s="10">
        <f t="shared" si="40"/>
        <v>66460</v>
      </c>
    </row>
    <row r="2592" spans="1:11">
      <c r="A2592">
        <v>400040</v>
      </c>
      <c r="B2592" s="10">
        <v>2016</v>
      </c>
      <c r="C2592" t="s">
        <v>1139</v>
      </c>
      <c r="D2592" t="s">
        <v>2472</v>
      </c>
      <c r="E2592" t="s">
        <v>2474</v>
      </c>
      <c r="F2592" t="s">
        <v>1084</v>
      </c>
      <c r="G2592" t="s">
        <v>1084</v>
      </c>
      <c r="H2592" s="10">
        <v>65394</v>
      </c>
      <c r="I2592">
        <f>IFERROR(VLOOKUP(Final!F2592,'LEAID Match'!$A$2:$B$374,2,FALSE),"")</f>
        <v>400040</v>
      </c>
      <c r="K2592" s="10">
        <f t="shared" si="40"/>
        <v>65394</v>
      </c>
    </row>
    <row r="2593" spans="1:11">
      <c r="A2593">
        <v>400040</v>
      </c>
      <c r="B2593" s="10">
        <v>2017</v>
      </c>
      <c r="C2593" t="s">
        <v>1139</v>
      </c>
      <c r="D2593" t="s">
        <v>2472</v>
      </c>
      <c r="E2593" t="s">
        <v>2474</v>
      </c>
      <c r="F2593" t="s">
        <v>1084</v>
      </c>
      <c r="G2593" t="s">
        <v>1084</v>
      </c>
      <c r="H2593" s="10">
        <v>48707</v>
      </c>
      <c r="I2593">
        <f>IFERROR(VLOOKUP(Final!F2593,'LEAID Match'!$A$2:$B$374,2,FALSE),"")</f>
        <v>400040</v>
      </c>
      <c r="K2593" s="10">
        <f t="shared" si="40"/>
        <v>48707</v>
      </c>
    </row>
    <row r="2594" spans="1:11">
      <c r="A2594">
        <v>400040</v>
      </c>
      <c r="B2594" s="10">
        <v>2018</v>
      </c>
      <c r="C2594" t="s">
        <v>1139</v>
      </c>
      <c r="D2594" t="s">
        <v>2472</v>
      </c>
      <c r="E2594" t="s">
        <v>2474</v>
      </c>
      <c r="F2594" t="s">
        <v>1084</v>
      </c>
      <c r="G2594" t="s">
        <v>1084</v>
      </c>
      <c r="H2594" s="10">
        <v>46893</v>
      </c>
      <c r="I2594">
        <f>IFERROR(VLOOKUP(Final!F2594,'LEAID Match'!$A$2:$B$374,2,FALSE),"")</f>
        <v>400040</v>
      </c>
      <c r="K2594" s="10">
        <f t="shared" si="40"/>
        <v>46893</v>
      </c>
    </row>
    <row r="2595" spans="1:11">
      <c r="A2595">
        <v>400040</v>
      </c>
      <c r="B2595" s="10">
        <v>2019</v>
      </c>
      <c r="C2595" t="s">
        <v>1139</v>
      </c>
      <c r="D2595" t="s">
        <v>2472</v>
      </c>
      <c r="E2595" t="s">
        <v>2474</v>
      </c>
      <c r="F2595" t="s">
        <v>1084</v>
      </c>
      <c r="G2595" t="s">
        <v>1084</v>
      </c>
      <c r="H2595" s="10">
        <v>52488</v>
      </c>
      <c r="I2595">
        <f>IFERROR(VLOOKUP(Final!F2595,'LEAID Match'!$A$2:$B$374,2,FALSE),"")</f>
        <v>400040</v>
      </c>
      <c r="K2595" s="10">
        <f t="shared" si="40"/>
        <v>52488</v>
      </c>
    </row>
    <row r="2596" spans="1:11">
      <c r="A2596">
        <v>400040</v>
      </c>
      <c r="B2596" s="10">
        <v>2020</v>
      </c>
      <c r="C2596" t="s">
        <v>1139</v>
      </c>
      <c r="D2596" t="s">
        <v>2472</v>
      </c>
      <c r="E2596" t="s">
        <v>2474</v>
      </c>
      <c r="F2596" t="s">
        <v>1084</v>
      </c>
      <c r="G2596" t="s">
        <v>1084</v>
      </c>
      <c r="H2596" s="10">
        <v>46236</v>
      </c>
      <c r="I2596">
        <f>IFERROR(VLOOKUP(Final!F2596,'LEAID Match'!$A$2:$B$374,2,FALSE),"")</f>
        <v>400040</v>
      </c>
      <c r="K2596" s="10">
        <f t="shared" si="40"/>
        <v>46236</v>
      </c>
    </row>
    <row r="2597" spans="1:11">
      <c r="A2597">
        <v>400040</v>
      </c>
      <c r="B2597" s="10">
        <v>2021</v>
      </c>
      <c r="C2597" t="s">
        <v>1139</v>
      </c>
      <c r="D2597" t="s">
        <v>2472</v>
      </c>
      <c r="E2597" t="s">
        <v>2474</v>
      </c>
      <c r="F2597" t="s">
        <v>1084</v>
      </c>
      <c r="G2597" t="s">
        <v>1084</v>
      </c>
      <c r="H2597" s="10">
        <v>42862</v>
      </c>
      <c r="I2597">
        <f>IFERROR(VLOOKUP(Final!F2597,'LEAID Match'!$A$2:$B$374,2,FALSE),"")</f>
        <v>400040</v>
      </c>
      <c r="K2597" s="10">
        <f t="shared" si="40"/>
        <v>42862</v>
      </c>
    </row>
    <row r="2598" spans="1:11">
      <c r="A2598">
        <v>400040</v>
      </c>
      <c r="B2598" s="10">
        <v>2022</v>
      </c>
      <c r="C2598" t="s">
        <v>1139</v>
      </c>
      <c r="D2598" t="s">
        <v>2472</v>
      </c>
      <c r="E2598" t="s">
        <v>2474</v>
      </c>
      <c r="F2598" t="s">
        <v>1084</v>
      </c>
      <c r="G2598" t="s">
        <v>1084</v>
      </c>
      <c r="H2598" s="10">
        <v>56172</v>
      </c>
      <c r="I2598">
        <f>IFERROR(VLOOKUP(Final!F2598,'LEAID Match'!$A$2:$B$374,2,FALSE),"")</f>
        <v>400040</v>
      </c>
      <c r="K2598" s="10">
        <f t="shared" si="40"/>
        <v>56172</v>
      </c>
    </row>
    <row r="2599" spans="1:11">
      <c r="A2599">
        <v>400040</v>
      </c>
      <c r="B2599" s="10">
        <v>2023</v>
      </c>
      <c r="C2599" t="s">
        <v>1139</v>
      </c>
      <c r="D2599" t="s">
        <v>2472</v>
      </c>
      <c r="E2599" t="s">
        <v>2474</v>
      </c>
      <c r="F2599" t="s">
        <v>1084</v>
      </c>
      <c r="G2599" t="s">
        <v>1084</v>
      </c>
      <c r="H2599" s="10">
        <v>62369</v>
      </c>
      <c r="I2599">
        <f>IFERROR(VLOOKUP(Final!F2599,'LEAID Match'!$A$2:$B$374,2,FALSE),"")</f>
        <v>400040</v>
      </c>
      <c r="K2599" s="10">
        <f t="shared" si="40"/>
        <v>62369</v>
      </c>
    </row>
    <row r="2600" spans="1:11">
      <c r="A2600">
        <v>400895</v>
      </c>
      <c r="B2600" s="10">
        <v>2015</v>
      </c>
      <c r="C2600" t="s">
        <v>585</v>
      </c>
      <c r="D2600" t="s">
        <v>2472</v>
      </c>
      <c r="E2600" t="s">
        <v>2474</v>
      </c>
      <c r="F2600" t="s">
        <v>1713</v>
      </c>
      <c r="G2600" t="s">
        <v>530</v>
      </c>
      <c r="H2600" s="10">
        <v>194014</v>
      </c>
      <c r="I2600">
        <f>IFERROR(VLOOKUP(Final!F2600,'LEAID Match'!$A$2:$B$374,2,FALSE),"")</f>
        <v>400895</v>
      </c>
      <c r="K2600" s="10">
        <f t="shared" si="40"/>
        <v>194014</v>
      </c>
    </row>
    <row r="2601" spans="1:11">
      <c r="A2601">
        <v>400895</v>
      </c>
      <c r="B2601" s="10">
        <v>2016</v>
      </c>
      <c r="C2601" t="s">
        <v>585</v>
      </c>
      <c r="D2601" t="s">
        <v>2472</v>
      </c>
      <c r="E2601" t="s">
        <v>2474</v>
      </c>
      <c r="F2601" t="s">
        <v>1713</v>
      </c>
      <c r="G2601" t="s">
        <v>530</v>
      </c>
      <c r="H2601" s="10">
        <v>216655</v>
      </c>
      <c r="I2601">
        <f>IFERROR(VLOOKUP(Final!F2601,'LEAID Match'!$A$2:$B$374,2,FALSE),"")</f>
        <v>400895</v>
      </c>
      <c r="K2601" s="10">
        <f t="shared" si="40"/>
        <v>216655</v>
      </c>
    </row>
    <row r="2602" spans="1:11">
      <c r="A2602">
        <v>400895</v>
      </c>
      <c r="B2602" s="10">
        <v>2017</v>
      </c>
      <c r="C2602" t="s">
        <v>585</v>
      </c>
      <c r="D2602" t="s">
        <v>2472</v>
      </c>
      <c r="E2602" t="s">
        <v>2474</v>
      </c>
      <c r="F2602" t="s">
        <v>1713</v>
      </c>
      <c r="G2602" t="s">
        <v>1713</v>
      </c>
      <c r="H2602" s="10">
        <v>263146</v>
      </c>
      <c r="I2602">
        <f>IFERROR(VLOOKUP(Final!F2602,'LEAID Match'!$A$2:$B$374,2,FALSE),"")</f>
        <v>400895</v>
      </c>
      <c r="K2602" s="10">
        <f t="shared" si="40"/>
        <v>263146</v>
      </c>
    </row>
    <row r="2603" spans="1:11">
      <c r="A2603">
        <v>400895</v>
      </c>
      <c r="B2603" s="10">
        <v>2018</v>
      </c>
      <c r="C2603" t="s">
        <v>585</v>
      </c>
      <c r="D2603" t="s">
        <v>2472</v>
      </c>
      <c r="E2603" t="s">
        <v>2474</v>
      </c>
      <c r="F2603" t="s">
        <v>1713</v>
      </c>
      <c r="G2603" t="s">
        <v>2183</v>
      </c>
      <c r="H2603" s="10">
        <v>313228</v>
      </c>
      <c r="I2603">
        <f>IFERROR(VLOOKUP(Final!F2603,'LEAID Match'!$A$2:$B$374,2,FALSE),"")</f>
        <v>400895</v>
      </c>
      <c r="K2603" s="10">
        <f t="shared" si="40"/>
        <v>313228</v>
      </c>
    </row>
    <row r="2604" spans="1:11">
      <c r="A2604">
        <v>400895</v>
      </c>
      <c r="B2604" s="10">
        <v>2019</v>
      </c>
      <c r="C2604" t="s">
        <v>585</v>
      </c>
      <c r="D2604" t="s">
        <v>2472</v>
      </c>
      <c r="E2604" t="s">
        <v>2474</v>
      </c>
      <c r="F2604" t="s">
        <v>1713</v>
      </c>
      <c r="G2604" t="s">
        <v>2370</v>
      </c>
      <c r="H2604" s="10"/>
      <c r="I2604">
        <f>IFERROR(VLOOKUP(Final!F2604,'LEAID Match'!$A$2:$B$374,2,FALSE),"")</f>
        <v>400895</v>
      </c>
      <c r="K2604" s="10">
        <f t="shared" si="40"/>
        <v>0</v>
      </c>
    </row>
    <row r="2605" spans="1:11">
      <c r="A2605">
        <v>400895</v>
      </c>
      <c r="B2605" s="10">
        <v>2020</v>
      </c>
      <c r="C2605" t="s">
        <v>585</v>
      </c>
      <c r="D2605" t="s">
        <v>2472</v>
      </c>
      <c r="E2605" t="s">
        <v>2474</v>
      </c>
      <c r="F2605" t="s">
        <v>1713</v>
      </c>
      <c r="G2605" t="s">
        <v>1713</v>
      </c>
      <c r="H2605" s="10">
        <v>99964</v>
      </c>
      <c r="I2605">
        <f>IFERROR(VLOOKUP(Final!F2605,'LEAID Match'!$A$2:$B$374,2,FALSE),"")</f>
        <v>400895</v>
      </c>
      <c r="K2605" s="10">
        <f t="shared" si="40"/>
        <v>99964</v>
      </c>
    </row>
    <row r="2606" spans="1:11">
      <c r="A2606">
        <v>400895</v>
      </c>
      <c r="B2606" s="10">
        <v>2021</v>
      </c>
      <c r="C2606" t="s">
        <v>585</v>
      </c>
      <c r="D2606" t="s">
        <v>2472</v>
      </c>
      <c r="E2606" t="s">
        <v>2474</v>
      </c>
      <c r="F2606" t="s">
        <v>1713</v>
      </c>
      <c r="G2606" t="s">
        <v>1713</v>
      </c>
      <c r="H2606" s="10">
        <v>627799</v>
      </c>
      <c r="I2606">
        <f>IFERROR(VLOOKUP(Final!F2606,'LEAID Match'!$A$2:$B$374,2,FALSE),"")</f>
        <v>400895</v>
      </c>
      <c r="K2606" s="10">
        <f t="shared" si="40"/>
        <v>627799</v>
      </c>
    </row>
    <row r="2607" spans="1:11">
      <c r="A2607">
        <v>400895</v>
      </c>
      <c r="B2607" s="10">
        <v>2022</v>
      </c>
      <c r="C2607" t="s">
        <v>585</v>
      </c>
      <c r="D2607" t="s">
        <v>2472</v>
      </c>
      <c r="E2607" t="s">
        <v>2474</v>
      </c>
      <c r="F2607" t="s">
        <v>1713</v>
      </c>
      <c r="G2607" t="s">
        <v>1713</v>
      </c>
      <c r="H2607" s="10">
        <v>121867</v>
      </c>
      <c r="I2607">
        <f>IFERROR(VLOOKUP(Final!F2607,'LEAID Match'!$A$2:$B$374,2,FALSE),"")</f>
        <v>400895</v>
      </c>
      <c r="K2607" s="10">
        <f t="shared" si="40"/>
        <v>121867</v>
      </c>
    </row>
    <row r="2608" spans="1:11">
      <c r="A2608">
        <v>400895</v>
      </c>
      <c r="B2608" s="10">
        <v>2023</v>
      </c>
      <c r="C2608" t="s">
        <v>585</v>
      </c>
      <c r="D2608" t="s">
        <v>2472</v>
      </c>
      <c r="E2608" t="s">
        <v>2474</v>
      </c>
      <c r="F2608" t="s">
        <v>1713</v>
      </c>
      <c r="G2608" t="s">
        <v>1713</v>
      </c>
      <c r="H2608" s="10">
        <v>111296</v>
      </c>
      <c r="I2608">
        <f>IFERROR(VLOOKUP(Final!F2608,'LEAID Match'!$A$2:$B$374,2,FALSE),"")</f>
        <v>400895</v>
      </c>
      <c r="K2608" s="10">
        <f t="shared" si="40"/>
        <v>111296</v>
      </c>
    </row>
    <row r="2609" spans="1:11">
      <c r="A2609">
        <v>400053</v>
      </c>
      <c r="B2609" s="10">
        <v>2015</v>
      </c>
      <c r="C2609" t="s">
        <v>687</v>
      </c>
      <c r="D2609" t="s">
        <v>2472</v>
      </c>
      <c r="E2609" t="s">
        <v>2474</v>
      </c>
      <c r="F2609" t="s">
        <v>632</v>
      </c>
      <c r="G2609" t="s">
        <v>632</v>
      </c>
      <c r="H2609" s="10">
        <v>443202</v>
      </c>
      <c r="I2609">
        <f>IFERROR(VLOOKUP(Final!F2609,'LEAID Match'!$A$2:$B$374,2,FALSE),"")</f>
        <v>400053</v>
      </c>
      <c r="K2609" s="10">
        <f t="shared" si="40"/>
        <v>443202</v>
      </c>
    </row>
    <row r="2610" spans="1:11">
      <c r="A2610">
        <v>400053</v>
      </c>
      <c r="B2610" s="10">
        <v>2016</v>
      </c>
      <c r="C2610" t="s">
        <v>687</v>
      </c>
      <c r="D2610" t="s">
        <v>2472</v>
      </c>
      <c r="E2610" t="s">
        <v>2474</v>
      </c>
      <c r="F2610" t="s">
        <v>632</v>
      </c>
      <c r="G2610" t="s">
        <v>632</v>
      </c>
      <c r="H2610" s="10">
        <v>565232</v>
      </c>
      <c r="I2610">
        <f>IFERROR(VLOOKUP(Final!F2610,'LEAID Match'!$A$2:$B$374,2,FALSE),"")</f>
        <v>400053</v>
      </c>
      <c r="K2610" s="10">
        <f t="shared" si="40"/>
        <v>565232</v>
      </c>
    </row>
    <row r="2611" spans="1:11">
      <c r="A2611">
        <v>400053</v>
      </c>
      <c r="B2611" s="10">
        <v>2017</v>
      </c>
      <c r="C2611" t="s">
        <v>687</v>
      </c>
      <c r="D2611" t="s">
        <v>2472</v>
      </c>
      <c r="E2611" t="s">
        <v>2474</v>
      </c>
      <c r="F2611" t="s">
        <v>632</v>
      </c>
      <c r="G2611" t="s">
        <v>632</v>
      </c>
      <c r="H2611" s="10">
        <v>669495</v>
      </c>
      <c r="I2611">
        <f>IFERROR(VLOOKUP(Final!F2611,'LEAID Match'!$A$2:$B$374,2,FALSE),"")</f>
        <v>400053</v>
      </c>
      <c r="K2611" s="10">
        <f t="shared" si="40"/>
        <v>669495</v>
      </c>
    </row>
    <row r="2612" spans="1:11">
      <c r="A2612">
        <v>400053</v>
      </c>
      <c r="B2612" s="10">
        <v>2018</v>
      </c>
      <c r="C2612" t="s">
        <v>687</v>
      </c>
      <c r="D2612" t="s">
        <v>2472</v>
      </c>
      <c r="E2612" t="s">
        <v>2474</v>
      </c>
      <c r="F2612" t="s">
        <v>632</v>
      </c>
      <c r="G2612" t="s">
        <v>632</v>
      </c>
      <c r="H2612" s="10">
        <v>745523</v>
      </c>
      <c r="I2612">
        <f>IFERROR(VLOOKUP(Final!F2612,'LEAID Match'!$A$2:$B$374,2,FALSE),"")</f>
        <v>400053</v>
      </c>
      <c r="K2612" s="10">
        <f t="shared" si="40"/>
        <v>745523</v>
      </c>
    </row>
    <row r="2613" spans="1:11">
      <c r="A2613">
        <v>400053</v>
      </c>
      <c r="B2613" s="10">
        <v>2019</v>
      </c>
      <c r="C2613" t="s">
        <v>687</v>
      </c>
      <c r="D2613" t="s">
        <v>2472</v>
      </c>
      <c r="E2613" t="s">
        <v>2474</v>
      </c>
      <c r="F2613" t="s">
        <v>632</v>
      </c>
      <c r="G2613" t="s">
        <v>632</v>
      </c>
      <c r="H2613" s="10">
        <v>859580</v>
      </c>
      <c r="I2613">
        <f>IFERROR(VLOOKUP(Final!F2613,'LEAID Match'!$A$2:$B$374,2,FALSE),"")</f>
        <v>400053</v>
      </c>
      <c r="K2613" s="10">
        <f t="shared" si="40"/>
        <v>859580</v>
      </c>
    </row>
    <row r="2614" spans="1:11">
      <c r="A2614">
        <v>400053</v>
      </c>
      <c r="B2614" s="10">
        <v>2020</v>
      </c>
      <c r="C2614" t="s">
        <v>687</v>
      </c>
      <c r="D2614" t="s">
        <v>2472</v>
      </c>
      <c r="E2614" t="s">
        <v>2474</v>
      </c>
      <c r="F2614" t="s">
        <v>632</v>
      </c>
      <c r="G2614" t="s">
        <v>632</v>
      </c>
      <c r="H2614" s="10">
        <v>1163010</v>
      </c>
      <c r="I2614">
        <f>IFERROR(VLOOKUP(Final!F2614,'LEAID Match'!$A$2:$B$374,2,FALSE),"")</f>
        <v>400053</v>
      </c>
      <c r="K2614" s="10">
        <f t="shared" si="40"/>
        <v>1163010</v>
      </c>
    </row>
    <row r="2615" spans="1:11">
      <c r="A2615">
        <v>400053</v>
      </c>
      <c r="B2615" s="10">
        <v>2021</v>
      </c>
      <c r="C2615" t="s">
        <v>687</v>
      </c>
      <c r="D2615" t="s">
        <v>2472</v>
      </c>
      <c r="E2615" t="s">
        <v>2474</v>
      </c>
      <c r="F2615" t="s">
        <v>632</v>
      </c>
      <c r="G2615" t="s">
        <v>632</v>
      </c>
      <c r="H2615" s="10">
        <v>1424807</v>
      </c>
      <c r="I2615">
        <f>IFERROR(VLOOKUP(Final!F2615,'LEAID Match'!$A$2:$B$374,2,FALSE),"")</f>
        <v>400053</v>
      </c>
      <c r="K2615" s="10">
        <f t="shared" si="40"/>
        <v>1424807</v>
      </c>
    </row>
    <row r="2616" spans="1:11">
      <c r="A2616">
        <v>400053</v>
      </c>
      <c r="B2616" s="10">
        <v>2022</v>
      </c>
      <c r="C2616" t="s">
        <v>687</v>
      </c>
      <c r="D2616" t="s">
        <v>2472</v>
      </c>
      <c r="E2616" t="s">
        <v>2474</v>
      </c>
      <c r="F2616" t="s">
        <v>632</v>
      </c>
      <c r="G2616" t="s">
        <v>632</v>
      </c>
      <c r="H2616" s="10">
        <v>1578431</v>
      </c>
      <c r="I2616">
        <f>IFERROR(VLOOKUP(Final!F2616,'LEAID Match'!$A$2:$B$374,2,FALSE),"")</f>
        <v>400053</v>
      </c>
      <c r="K2616" s="10">
        <f t="shared" si="40"/>
        <v>1578431</v>
      </c>
    </row>
    <row r="2617" spans="1:11">
      <c r="A2617">
        <v>400053</v>
      </c>
      <c r="B2617" s="10">
        <v>2023</v>
      </c>
      <c r="C2617" t="s">
        <v>687</v>
      </c>
      <c r="D2617" t="s">
        <v>2472</v>
      </c>
      <c r="E2617" t="s">
        <v>2474</v>
      </c>
      <c r="F2617" t="s">
        <v>632</v>
      </c>
      <c r="G2617" t="s">
        <v>632</v>
      </c>
      <c r="H2617" s="10">
        <v>2037655</v>
      </c>
      <c r="I2617">
        <f>IFERROR(VLOOKUP(Final!F2617,'LEAID Match'!$A$2:$B$374,2,FALSE),"")</f>
        <v>400053</v>
      </c>
      <c r="K2617" s="10">
        <f t="shared" si="40"/>
        <v>2037655</v>
      </c>
    </row>
    <row r="2618" spans="1:11">
      <c r="A2618">
        <v>400089</v>
      </c>
      <c r="B2618" s="10">
        <v>2015</v>
      </c>
      <c r="C2618" t="s">
        <v>1113</v>
      </c>
      <c r="D2618" t="s">
        <v>2472</v>
      </c>
      <c r="E2618" t="s">
        <v>2474</v>
      </c>
      <c r="F2618" t="s">
        <v>1058</v>
      </c>
      <c r="G2618" t="s">
        <v>1058</v>
      </c>
      <c r="H2618" s="10">
        <v>53031</v>
      </c>
      <c r="I2618">
        <f>IFERROR(VLOOKUP(Final!F2618,'LEAID Match'!$A$2:$B$374,2,FALSE),"")</f>
        <v>400089</v>
      </c>
      <c r="K2618" s="10">
        <f t="shared" si="40"/>
        <v>53031</v>
      </c>
    </row>
    <row r="2619" spans="1:11">
      <c r="A2619">
        <v>400089</v>
      </c>
      <c r="B2619" s="10">
        <v>2016</v>
      </c>
      <c r="C2619" t="s">
        <v>1113</v>
      </c>
      <c r="D2619" t="s">
        <v>2472</v>
      </c>
      <c r="E2619" t="s">
        <v>2474</v>
      </c>
      <c r="F2619" t="s">
        <v>1058</v>
      </c>
      <c r="G2619" t="s">
        <v>1058</v>
      </c>
      <c r="H2619" s="10">
        <v>54692</v>
      </c>
      <c r="I2619">
        <f>IFERROR(VLOOKUP(Final!F2619,'LEAID Match'!$A$2:$B$374,2,FALSE),"")</f>
        <v>400089</v>
      </c>
      <c r="K2619" s="10">
        <f t="shared" si="40"/>
        <v>54692</v>
      </c>
    </row>
    <row r="2620" spans="1:11">
      <c r="A2620">
        <v>400089</v>
      </c>
      <c r="B2620" s="10">
        <v>2017</v>
      </c>
      <c r="C2620" t="s">
        <v>1113</v>
      </c>
      <c r="D2620" t="s">
        <v>2472</v>
      </c>
      <c r="E2620" t="s">
        <v>2474</v>
      </c>
      <c r="F2620" t="s">
        <v>1058</v>
      </c>
      <c r="G2620" t="s">
        <v>1058</v>
      </c>
      <c r="H2620" s="10">
        <v>65731</v>
      </c>
      <c r="I2620">
        <f>IFERROR(VLOOKUP(Final!F2620,'LEAID Match'!$A$2:$B$374,2,FALSE),"")</f>
        <v>400089</v>
      </c>
      <c r="K2620" s="10">
        <f t="shared" si="40"/>
        <v>65731</v>
      </c>
    </row>
    <row r="2621" spans="1:11">
      <c r="A2621">
        <v>400089</v>
      </c>
      <c r="B2621" s="10">
        <v>2018</v>
      </c>
      <c r="C2621" t="s">
        <v>1113</v>
      </c>
      <c r="D2621" t="s">
        <v>2472</v>
      </c>
      <c r="E2621" t="s">
        <v>2474</v>
      </c>
      <c r="F2621" t="s">
        <v>1058</v>
      </c>
      <c r="G2621" t="s">
        <v>1058</v>
      </c>
      <c r="H2621" s="10">
        <v>58996</v>
      </c>
      <c r="I2621">
        <f>IFERROR(VLOOKUP(Final!F2621,'LEAID Match'!$A$2:$B$374,2,FALSE),"")</f>
        <v>400089</v>
      </c>
      <c r="K2621" s="10">
        <f t="shared" si="40"/>
        <v>58996</v>
      </c>
    </row>
    <row r="2622" spans="1:11">
      <c r="A2622">
        <v>400089</v>
      </c>
      <c r="B2622" s="10">
        <v>2019</v>
      </c>
      <c r="C2622" t="s">
        <v>1113</v>
      </c>
      <c r="D2622" t="s">
        <v>2472</v>
      </c>
      <c r="E2622" t="s">
        <v>2474</v>
      </c>
      <c r="F2622" t="s">
        <v>1058</v>
      </c>
      <c r="G2622" t="s">
        <v>1058</v>
      </c>
      <c r="H2622" s="10">
        <v>69090</v>
      </c>
      <c r="I2622">
        <f>IFERROR(VLOOKUP(Final!F2622,'LEAID Match'!$A$2:$B$374,2,FALSE),"")</f>
        <v>400089</v>
      </c>
      <c r="K2622" s="10">
        <f t="shared" si="40"/>
        <v>69090</v>
      </c>
    </row>
    <row r="2623" spans="1:11">
      <c r="A2623">
        <v>400089</v>
      </c>
      <c r="B2623" s="10">
        <v>2020</v>
      </c>
      <c r="C2623" t="s">
        <v>1113</v>
      </c>
      <c r="D2623" t="s">
        <v>2472</v>
      </c>
      <c r="E2623" t="s">
        <v>2474</v>
      </c>
      <c r="F2623" t="s">
        <v>1058</v>
      </c>
      <c r="G2623" t="s">
        <v>1058</v>
      </c>
      <c r="H2623" s="10">
        <v>74416</v>
      </c>
      <c r="I2623">
        <f>IFERROR(VLOOKUP(Final!F2623,'LEAID Match'!$A$2:$B$374,2,FALSE),"")</f>
        <v>400089</v>
      </c>
      <c r="K2623" s="10">
        <f t="shared" si="40"/>
        <v>74416</v>
      </c>
    </row>
    <row r="2624" spans="1:11">
      <c r="A2624">
        <v>400089</v>
      </c>
      <c r="B2624" s="10">
        <v>2021</v>
      </c>
      <c r="C2624" t="s">
        <v>1113</v>
      </c>
      <c r="D2624" t="s">
        <v>2472</v>
      </c>
      <c r="E2624" t="s">
        <v>2474</v>
      </c>
      <c r="F2624" t="s">
        <v>1058</v>
      </c>
      <c r="G2624" t="s">
        <v>1058</v>
      </c>
      <c r="H2624" s="10">
        <v>75969</v>
      </c>
      <c r="I2624">
        <f>IFERROR(VLOOKUP(Final!F2624,'LEAID Match'!$A$2:$B$374,2,FALSE),"")</f>
        <v>400089</v>
      </c>
      <c r="K2624" s="10">
        <f t="shared" si="40"/>
        <v>75969</v>
      </c>
    </row>
    <row r="2625" spans="1:11">
      <c r="A2625">
        <v>400089</v>
      </c>
      <c r="B2625" s="10">
        <v>2022</v>
      </c>
      <c r="C2625" t="s">
        <v>1113</v>
      </c>
      <c r="D2625" t="s">
        <v>2472</v>
      </c>
      <c r="E2625" t="s">
        <v>2474</v>
      </c>
      <c r="F2625" t="s">
        <v>1058</v>
      </c>
      <c r="G2625" t="s">
        <v>1058</v>
      </c>
      <c r="H2625" s="10">
        <v>90796</v>
      </c>
      <c r="I2625">
        <f>IFERROR(VLOOKUP(Final!F2625,'LEAID Match'!$A$2:$B$374,2,FALSE),"")</f>
        <v>400089</v>
      </c>
      <c r="K2625" s="10">
        <f t="shared" si="40"/>
        <v>90796</v>
      </c>
    </row>
    <row r="2626" spans="1:11">
      <c r="A2626">
        <v>400089</v>
      </c>
      <c r="B2626" s="10">
        <v>2023</v>
      </c>
      <c r="C2626" t="s">
        <v>1113</v>
      </c>
      <c r="D2626" t="s">
        <v>2472</v>
      </c>
      <c r="E2626" t="s">
        <v>2474</v>
      </c>
      <c r="F2626" t="s">
        <v>1058</v>
      </c>
      <c r="G2626" t="s">
        <v>1058</v>
      </c>
      <c r="H2626" s="10">
        <v>91914</v>
      </c>
      <c r="I2626">
        <f>IFERROR(VLOOKUP(Final!F2626,'LEAID Match'!$A$2:$B$374,2,FALSE),"")</f>
        <v>400089</v>
      </c>
      <c r="K2626" s="10">
        <f t="shared" si="40"/>
        <v>91914</v>
      </c>
    </row>
    <row r="2627" spans="1:11">
      <c r="A2627" t="s">
        <v>2470</v>
      </c>
      <c r="B2627" s="10">
        <v>2015</v>
      </c>
      <c r="C2627" t="s">
        <v>1035</v>
      </c>
      <c r="D2627" t="s">
        <v>2472</v>
      </c>
      <c r="E2627" t="s">
        <v>2474</v>
      </c>
      <c r="F2627" t="s">
        <v>2003</v>
      </c>
      <c r="G2627" t="s">
        <v>980</v>
      </c>
      <c r="H2627" s="10">
        <v>253319</v>
      </c>
      <c r="I2627" t="str">
        <f>IFERROR(VLOOKUP(Final!F2627,'LEAID Match'!$A$2:$B$374,2,FALSE),"")</f>
        <v/>
      </c>
      <c r="K2627" s="10">
        <f t="shared" ref="K2627:K2690" si="41">SUM(H2627,J2627)</f>
        <v>253319</v>
      </c>
    </row>
    <row r="2628" spans="1:11">
      <c r="A2628" t="s">
        <v>2470</v>
      </c>
      <c r="B2628" s="10">
        <v>2016</v>
      </c>
      <c r="C2628" t="s">
        <v>1035</v>
      </c>
      <c r="D2628" t="s">
        <v>2472</v>
      </c>
      <c r="E2628" t="s">
        <v>2474</v>
      </c>
      <c r="F2628" t="s">
        <v>2003</v>
      </c>
      <c r="G2628" t="s">
        <v>980</v>
      </c>
      <c r="H2628" s="10">
        <v>257466</v>
      </c>
      <c r="I2628" t="str">
        <f>IFERROR(VLOOKUP(Final!F2628,'LEAID Match'!$A$2:$B$374,2,FALSE),"")</f>
        <v/>
      </c>
      <c r="K2628" s="10">
        <f t="shared" si="41"/>
        <v>257466</v>
      </c>
    </row>
    <row r="2629" spans="1:11">
      <c r="A2629" t="s">
        <v>2470</v>
      </c>
      <c r="B2629" s="10">
        <v>2017</v>
      </c>
      <c r="C2629" t="s">
        <v>1035</v>
      </c>
      <c r="D2629" t="s">
        <v>2472</v>
      </c>
      <c r="E2629" t="s">
        <v>2474</v>
      </c>
      <c r="F2629" t="s">
        <v>2003</v>
      </c>
      <c r="G2629" t="s">
        <v>2003</v>
      </c>
      <c r="H2629" s="10">
        <v>260347</v>
      </c>
      <c r="I2629" t="str">
        <f>IFERROR(VLOOKUP(Final!F2629,'LEAID Match'!$A$2:$B$374,2,FALSE),"")</f>
        <v/>
      </c>
      <c r="K2629" s="10">
        <f t="shared" si="41"/>
        <v>260347</v>
      </c>
    </row>
    <row r="2630" spans="1:11">
      <c r="A2630" t="s">
        <v>2470</v>
      </c>
      <c r="B2630" s="10">
        <v>2018</v>
      </c>
      <c r="C2630" t="s">
        <v>1035</v>
      </c>
      <c r="D2630" t="s">
        <v>2472</v>
      </c>
      <c r="E2630" t="s">
        <v>2474</v>
      </c>
      <c r="F2630" t="s">
        <v>2003</v>
      </c>
      <c r="G2630" t="s">
        <v>2003</v>
      </c>
      <c r="H2630" s="10">
        <v>273135</v>
      </c>
      <c r="I2630" t="str">
        <f>IFERROR(VLOOKUP(Final!F2630,'LEAID Match'!$A$2:$B$374,2,FALSE),"")</f>
        <v/>
      </c>
      <c r="K2630" s="10">
        <f t="shared" si="41"/>
        <v>273135</v>
      </c>
    </row>
    <row r="2631" spans="1:11">
      <c r="A2631" t="s">
        <v>2470</v>
      </c>
      <c r="B2631" s="10">
        <v>2019</v>
      </c>
      <c r="C2631" t="s">
        <v>1035</v>
      </c>
      <c r="D2631" t="s">
        <v>2472</v>
      </c>
      <c r="E2631" t="s">
        <v>2474</v>
      </c>
      <c r="F2631" t="s">
        <v>2003</v>
      </c>
      <c r="G2631" t="s">
        <v>2003</v>
      </c>
      <c r="H2631" s="10">
        <v>291629</v>
      </c>
      <c r="I2631" t="str">
        <f>IFERROR(VLOOKUP(Final!F2631,'LEAID Match'!$A$2:$B$374,2,FALSE),"")</f>
        <v/>
      </c>
      <c r="K2631" s="10">
        <f t="shared" si="41"/>
        <v>291629</v>
      </c>
    </row>
    <row r="2632" spans="1:11">
      <c r="A2632" t="s">
        <v>2470</v>
      </c>
      <c r="B2632" s="10">
        <v>2020</v>
      </c>
      <c r="C2632" t="s">
        <v>1035</v>
      </c>
      <c r="D2632" t="s">
        <v>2472</v>
      </c>
      <c r="E2632" t="s">
        <v>2474</v>
      </c>
      <c r="F2632" t="s">
        <v>2003</v>
      </c>
      <c r="G2632" t="s">
        <v>2003</v>
      </c>
      <c r="H2632" s="10">
        <v>300937</v>
      </c>
      <c r="I2632" t="str">
        <f>IFERROR(VLOOKUP(Final!F2632,'LEAID Match'!$A$2:$B$374,2,FALSE),"")</f>
        <v/>
      </c>
      <c r="K2632" s="10">
        <f t="shared" si="41"/>
        <v>300937</v>
      </c>
    </row>
    <row r="2633" spans="1:11">
      <c r="A2633" t="s">
        <v>2470</v>
      </c>
      <c r="B2633" s="10">
        <v>2021</v>
      </c>
      <c r="C2633" t="s">
        <v>1035</v>
      </c>
      <c r="D2633" t="s">
        <v>2472</v>
      </c>
      <c r="E2633" t="s">
        <v>2474</v>
      </c>
      <c r="F2633" t="s">
        <v>2003</v>
      </c>
      <c r="G2633" t="s">
        <v>2003</v>
      </c>
      <c r="H2633" s="10">
        <v>321164</v>
      </c>
      <c r="I2633" t="str">
        <f>IFERROR(VLOOKUP(Final!F2633,'LEAID Match'!$A$2:$B$374,2,FALSE),"")</f>
        <v/>
      </c>
      <c r="K2633" s="10">
        <f t="shared" si="41"/>
        <v>321164</v>
      </c>
    </row>
    <row r="2634" spans="1:11">
      <c r="A2634" t="s">
        <v>2470</v>
      </c>
      <c r="B2634" s="10">
        <v>2022</v>
      </c>
      <c r="C2634" t="s">
        <v>1035</v>
      </c>
      <c r="D2634" t="s">
        <v>2472</v>
      </c>
      <c r="E2634" t="s">
        <v>2474</v>
      </c>
      <c r="F2634" t="s">
        <v>2003</v>
      </c>
      <c r="G2634" t="s">
        <v>2003</v>
      </c>
      <c r="H2634" s="10">
        <v>331252</v>
      </c>
      <c r="I2634" t="str">
        <f>IFERROR(VLOOKUP(Final!F2634,'LEAID Match'!$A$2:$B$374,2,FALSE),"")</f>
        <v/>
      </c>
      <c r="K2634" s="10">
        <f t="shared" si="41"/>
        <v>331252</v>
      </c>
    </row>
    <row r="2635" spans="1:11">
      <c r="A2635" t="s">
        <v>2470</v>
      </c>
      <c r="B2635" s="10">
        <v>2023</v>
      </c>
      <c r="C2635" t="s">
        <v>1035</v>
      </c>
      <c r="D2635" t="s">
        <v>2472</v>
      </c>
      <c r="E2635" t="s">
        <v>2474</v>
      </c>
      <c r="F2635" t="s">
        <v>2003</v>
      </c>
      <c r="G2635" t="s">
        <v>2003</v>
      </c>
      <c r="H2635" s="10">
        <v>354047</v>
      </c>
      <c r="I2635" t="str">
        <f>IFERROR(VLOOKUP(Final!F2635,'LEAID Match'!$A$2:$B$374,2,FALSE),"")</f>
        <v/>
      </c>
      <c r="K2635" s="10">
        <f t="shared" si="41"/>
        <v>354047</v>
      </c>
    </row>
    <row r="2636" spans="1:11">
      <c r="A2636">
        <v>400043</v>
      </c>
      <c r="B2636" s="10">
        <v>2015</v>
      </c>
      <c r="C2636" t="s">
        <v>887</v>
      </c>
      <c r="D2636" t="s">
        <v>2472</v>
      </c>
      <c r="E2636" t="s">
        <v>2474</v>
      </c>
      <c r="F2636" t="s">
        <v>1830</v>
      </c>
      <c r="G2636" t="s">
        <v>832</v>
      </c>
      <c r="H2636" s="10">
        <v>50398</v>
      </c>
      <c r="I2636">
        <f>IFERROR(VLOOKUP(Final!F2636,'LEAID Match'!$A$2:$B$374,2,FALSE),"")</f>
        <v>400043</v>
      </c>
      <c r="K2636" s="10">
        <f t="shared" si="41"/>
        <v>50398</v>
      </c>
    </row>
    <row r="2637" spans="1:11">
      <c r="A2637">
        <v>400043</v>
      </c>
      <c r="B2637" s="10">
        <v>2016</v>
      </c>
      <c r="C2637" t="s">
        <v>887</v>
      </c>
      <c r="D2637" t="s">
        <v>2472</v>
      </c>
      <c r="E2637" t="s">
        <v>2474</v>
      </c>
      <c r="F2637" t="s">
        <v>1830</v>
      </c>
      <c r="G2637" t="s">
        <v>1471</v>
      </c>
      <c r="H2637" s="10">
        <v>56479</v>
      </c>
      <c r="I2637">
        <f>IFERROR(VLOOKUP(Final!F2637,'LEAID Match'!$A$2:$B$374,2,FALSE),"")</f>
        <v>400043</v>
      </c>
      <c r="K2637" s="10">
        <f t="shared" si="41"/>
        <v>56479</v>
      </c>
    </row>
    <row r="2638" spans="1:11">
      <c r="A2638">
        <v>400043</v>
      </c>
      <c r="B2638" s="10">
        <v>2017</v>
      </c>
      <c r="C2638" t="s">
        <v>887</v>
      </c>
      <c r="D2638" t="s">
        <v>2472</v>
      </c>
      <c r="E2638" t="s">
        <v>2474</v>
      </c>
      <c r="F2638" t="s">
        <v>1830</v>
      </c>
      <c r="G2638" t="s">
        <v>1830</v>
      </c>
      <c r="H2638" s="10">
        <v>55850</v>
      </c>
      <c r="I2638">
        <f>IFERROR(VLOOKUP(Final!F2638,'LEAID Match'!$A$2:$B$374,2,FALSE),"")</f>
        <v>400043</v>
      </c>
      <c r="K2638" s="10">
        <f t="shared" si="41"/>
        <v>55850</v>
      </c>
    </row>
    <row r="2639" spans="1:11">
      <c r="A2639">
        <v>400043</v>
      </c>
      <c r="B2639" s="10">
        <v>2018</v>
      </c>
      <c r="C2639" t="s">
        <v>887</v>
      </c>
      <c r="D2639" t="s">
        <v>2472</v>
      </c>
      <c r="E2639" t="s">
        <v>2474</v>
      </c>
      <c r="F2639" t="s">
        <v>1830</v>
      </c>
      <c r="G2639" t="s">
        <v>1830</v>
      </c>
      <c r="H2639" s="10">
        <v>62586</v>
      </c>
      <c r="I2639">
        <f>IFERROR(VLOOKUP(Final!F2639,'LEAID Match'!$A$2:$B$374,2,FALSE),"")</f>
        <v>400043</v>
      </c>
      <c r="K2639" s="10">
        <f t="shared" si="41"/>
        <v>62586</v>
      </c>
    </row>
    <row r="2640" spans="1:11">
      <c r="A2640">
        <v>400043</v>
      </c>
      <c r="B2640" s="10">
        <v>2019</v>
      </c>
      <c r="C2640" t="s">
        <v>887</v>
      </c>
      <c r="D2640" t="s">
        <v>2472</v>
      </c>
      <c r="E2640" t="s">
        <v>2474</v>
      </c>
      <c r="F2640" t="s">
        <v>1830</v>
      </c>
      <c r="G2640" t="s">
        <v>1830</v>
      </c>
      <c r="H2640" s="10">
        <v>70430</v>
      </c>
      <c r="I2640">
        <f>IFERROR(VLOOKUP(Final!F2640,'LEAID Match'!$A$2:$B$374,2,FALSE),"")</f>
        <v>400043</v>
      </c>
      <c r="K2640" s="10">
        <f t="shared" si="41"/>
        <v>70430</v>
      </c>
    </row>
    <row r="2641" spans="1:11">
      <c r="A2641">
        <v>400043</v>
      </c>
      <c r="B2641" s="10">
        <v>2020</v>
      </c>
      <c r="C2641" t="s">
        <v>887</v>
      </c>
      <c r="D2641" t="s">
        <v>2472</v>
      </c>
      <c r="E2641" t="s">
        <v>2474</v>
      </c>
      <c r="F2641" t="s">
        <v>1830</v>
      </c>
      <c r="G2641" t="s">
        <v>1830</v>
      </c>
      <c r="H2641" s="10">
        <v>74236</v>
      </c>
      <c r="I2641">
        <f>IFERROR(VLOOKUP(Final!F2641,'LEAID Match'!$A$2:$B$374,2,FALSE),"")</f>
        <v>400043</v>
      </c>
      <c r="K2641" s="10">
        <f t="shared" si="41"/>
        <v>74236</v>
      </c>
    </row>
    <row r="2642" spans="1:11">
      <c r="A2642">
        <v>400043</v>
      </c>
      <c r="B2642" s="10">
        <v>2021</v>
      </c>
      <c r="C2642" t="s">
        <v>887</v>
      </c>
      <c r="D2642" t="s">
        <v>2472</v>
      </c>
      <c r="E2642" t="s">
        <v>2474</v>
      </c>
      <c r="F2642" t="s">
        <v>1830</v>
      </c>
      <c r="G2642" t="s">
        <v>1830</v>
      </c>
      <c r="H2642" s="10">
        <v>74593</v>
      </c>
      <c r="I2642">
        <f>IFERROR(VLOOKUP(Final!F2642,'LEAID Match'!$A$2:$B$374,2,FALSE),"")</f>
        <v>400043</v>
      </c>
      <c r="K2642" s="10">
        <f t="shared" si="41"/>
        <v>74593</v>
      </c>
    </row>
    <row r="2643" spans="1:11">
      <c r="A2643">
        <v>400043</v>
      </c>
      <c r="B2643" s="10">
        <v>2022</v>
      </c>
      <c r="C2643" t="s">
        <v>887</v>
      </c>
      <c r="D2643" t="s">
        <v>2472</v>
      </c>
      <c r="E2643" t="s">
        <v>2474</v>
      </c>
      <c r="F2643" t="s">
        <v>1830</v>
      </c>
      <c r="G2643" t="s">
        <v>1830</v>
      </c>
      <c r="H2643" s="10">
        <v>99258</v>
      </c>
      <c r="I2643">
        <f>IFERROR(VLOOKUP(Final!F2643,'LEAID Match'!$A$2:$B$374,2,FALSE),"")</f>
        <v>400043</v>
      </c>
      <c r="K2643" s="10">
        <f t="shared" si="41"/>
        <v>99258</v>
      </c>
    </row>
    <row r="2644" spans="1:11">
      <c r="A2644">
        <v>400043</v>
      </c>
      <c r="B2644" s="10">
        <v>2023</v>
      </c>
      <c r="C2644" t="s">
        <v>887</v>
      </c>
      <c r="D2644" t="s">
        <v>2472</v>
      </c>
      <c r="E2644" t="s">
        <v>2474</v>
      </c>
      <c r="F2644" t="s">
        <v>1830</v>
      </c>
      <c r="G2644" t="s">
        <v>1830</v>
      </c>
      <c r="H2644" s="10">
        <v>88531</v>
      </c>
      <c r="I2644">
        <f>IFERROR(VLOOKUP(Final!F2644,'LEAID Match'!$A$2:$B$374,2,FALSE),"")</f>
        <v>400043</v>
      </c>
      <c r="K2644" s="10">
        <f t="shared" si="41"/>
        <v>88531</v>
      </c>
    </row>
    <row r="2645" spans="1:11">
      <c r="A2645">
        <v>400031</v>
      </c>
      <c r="B2645" s="10">
        <v>2015</v>
      </c>
      <c r="C2645" t="s">
        <v>1036</v>
      </c>
      <c r="D2645" t="s">
        <v>2472</v>
      </c>
      <c r="E2645" t="s">
        <v>2474</v>
      </c>
      <c r="F2645" t="s">
        <v>1913</v>
      </c>
      <c r="G2645" t="s">
        <v>981</v>
      </c>
      <c r="H2645" s="10"/>
      <c r="I2645">
        <f>IFERROR(VLOOKUP(Final!F2645,'LEAID Match'!$A$2:$B$374,2,FALSE),"")</f>
        <v>400031</v>
      </c>
      <c r="K2645" s="10">
        <f t="shared" si="41"/>
        <v>0</v>
      </c>
    </row>
    <row r="2646" spans="1:11">
      <c r="A2646">
        <v>400031</v>
      </c>
      <c r="B2646" s="10">
        <v>2016</v>
      </c>
      <c r="C2646" t="s">
        <v>1036</v>
      </c>
      <c r="D2646" t="s">
        <v>2472</v>
      </c>
      <c r="E2646" t="s">
        <v>2474</v>
      </c>
      <c r="F2646" t="s">
        <v>1913</v>
      </c>
      <c r="G2646" t="s">
        <v>981</v>
      </c>
      <c r="H2646" s="10"/>
      <c r="I2646">
        <f>IFERROR(VLOOKUP(Final!F2646,'LEAID Match'!$A$2:$B$374,2,FALSE),"")</f>
        <v>400031</v>
      </c>
      <c r="K2646" s="10">
        <f t="shared" si="41"/>
        <v>0</v>
      </c>
    </row>
    <row r="2647" spans="1:11">
      <c r="A2647">
        <v>400031</v>
      </c>
      <c r="B2647" s="10">
        <v>2017</v>
      </c>
      <c r="C2647" t="s">
        <v>1036</v>
      </c>
      <c r="D2647" t="s">
        <v>2472</v>
      </c>
      <c r="E2647" t="s">
        <v>2474</v>
      </c>
      <c r="F2647" t="s">
        <v>1913</v>
      </c>
      <c r="G2647" t="s">
        <v>1913</v>
      </c>
      <c r="H2647" s="10"/>
      <c r="I2647">
        <f>IFERROR(VLOOKUP(Final!F2647,'LEAID Match'!$A$2:$B$374,2,FALSE),"")</f>
        <v>400031</v>
      </c>
      <c r="K2647" s="10">
        <f t="shared" si="41"/>
        <v>0</v>
      </c>
    </row>
    <row r="2648" spans="1:11">
      <c r="A2648">
        <v>400031</v>
      </c>
      <c r="B2648" s="10">
        <v>2018</v>
      </c>
      <c r="C2648" t="s">
        <v>1036</v>
      </c>
      <c r="D2648" t="s">
        <v>2472</v>
      </c>
      <c r="E2648" t="s">
        <v>2474</v>
      </c>
      <c r="F2648" t="s">
        <v>1913</v>
      </c>
      <c r="G2648" t="s">
        <v>1913</v>
      </c>
      <c r="H2648" s="10"/>
      <c r="I2648">
        <f>IFERROR(VLOOKUP(Final!F2648,'LEAID Match'!$A$2:$B$374,2,FALSE),"")</f>
        <v>400031</v>
      </c>
      <c r="K2648" s="10">
        <f t="shared" si="41"/>
        <v>0</v>
      </c>
    </row>
    <row r="2649" spans="1:11">
      <c r="A2649">
        <v>400090</v>
      </c>
      <c r="B2649" s="10">
        <v>2015</v>
      </c>
      <c r="C2649" t="s">
        <v>800</v>
      </c>
      <c r="D2649" t="s">
        <v>2472</v>
      </c>
      <c r="E2649" t="s">
        <v>2474</v>
      </c>
      <c r="F2649" t="s">
        <v>745</v>
      </c>
      <c r="G2649" t="s">
        <v>745</v>
      </c>
      <c r="H2649" s="10">
        <v>61553</v>
      </c>
      <c r="I2649">
        <f>IFERROR(VLOOKUP(Final!F2649,'LEAID Match'!$A$2:$B$374,2,FALSE),"")</f>
        <v>400090</v>
      </c>
      <c r="K2649" s="10">
        <f t="shared" si="41"/>
        <v>61553</v>
      </c>
    </row>
    <row r="2650" spans="1:11">
      <c r="A2650">
        <v>400090</v>
      </c>
      <c r="B2650" s="10">
        <v>2016</v>
      </c>
      <c r="C2650" t="s">
        <v>800</v>
      </c>
      <c r="D2650" t="s">
        <v>2472</v>
      </c>
      <c r="E2650" t="s">
        <v>2474</v>
      </c>
      <c r="F2650" t="s">
        <v>745</v>
      </c>
      <c r="G2650" t="s">
        <v>745</v>
      </c>
      <c r="H2650" s="10">
        <v>64222</v>
      </c>
      <c r="I2650">
        <f>IFERROR(VLOOKUP(Final!F2650,'LEAID Match'!$A$2:$B$374,2,FALSE),"")</f>
        <v>400090</v>
      </c>
      <c r="K2650" s="10">
        <f t="shared" si="41"/>
        <v>64222</v>
      </c>
    </row>
    <row r="2651" spans="1:11">
      <c r="A2651">
        <v>400090</v>
      </c>
      <c r="B2651" s="10">
        <v>2017</v>
      </c>
      <c r="C2651" t="s">
        <v>800</v>
      </c>
      <c r="D2651" t="s">
        <v>2472</v>
      </c>
      <c r="E2651" t="s">
        <v>2474</v>
      </c>
      <c r="F2651" t="s">
        <v>745</v>
      </c>
      <c r="G2651" t="s">
        <v>745</v>
      </c>
      <c r="H2651" s="10">
        <v>67937</v>
      </c>
      <c r="I2651">
        <f>IFERROR(VLOOKUP(Final!F2651,'LEAID Match'!$A$2:$B$374,2,FALSE),"")</f>
        <v>400090</v>
      </c>
      <c r="K2651" s="10">
        <f t="shared" si="41"/>
        <v>67937</v>
      </c>
    </row>
    <row r="2652" spans="1:11">
      <c r="A2652">
        <v>400090</v>
      </c>
      <c r="B2652" s="10">
        <v>2018</v>
      </c>
      <c r="C2652" t="s">
        <v>800</v>
      </c>
      <c r="D2652" t="s">
        <v>2472</v>
      </c>
      <c r="E2652" t="s">
        <v>2474</v>
      </c>
      <c r="F2652" t="s">
        <v>745</v>
      </c>
      <c r="G2652" t="s">
        <v>745</v>
      </c>
      <c r="H2652" s="10">
        <v>71259</v>
      </c>
      <c r="I2652">
        <f>IFERROR(VLOOKUP(Final!F2652,'LEAID Match'!$A$2:$B$374,2,FALSE),"")</f>
        <v>400090</v>
      </c>
      <c r="K2652" s="10">
        <f t="shared" si="41"/>
        <v>71259</v>
      </c>
    </row>
    <row r="2653" spans="1:11">
      <c r="A2653">
        <v>400090</v>
      </c>
      <c r="B2653" s="10">
        <v>2019</v>
      </c>
      <c r="C2653" t="s">
        <v>800</v>
      </c>
      <c r="D2653" t="s">
        <v>2472</v>
      </c>
      <c r="E2653" t="s">
        <v>2474</v>
      </c>
      <c r="F2653" t="s">
        <v>745</v>
      </c>
      <c r="G2653" t="s">
        <v>745</v>
      </c>
      <c r="H2653" s="10">
        <v>75725</v>
      </c>
      <c r="I2653">
        <f>IFERROR(VLOOKUP(Final!F2653,'LEAID Match'!$A$2:$B$374,2,FALSE),"")</f>
        <v>400090</v>
      </c>
      <c r="K2653" s="10">
        <f t="shared" si="41"/>
        <v>75725</v>
      </c>
    </row>
    <row r="2654" spans="1:11">
      <c r="A2654">
        <v>400090</v>
      </c>
      <c r="B2654" s="10">
        <v>2020</v>
      </c>
      <c r="C2654" t="s">
        <v>800</v>
      </c>
      <c r="D2654" t="s">
        <v>2472</v>
      </c>
      <c r="E2654" t="s">
        <v>2474</v>
      </c>
      <c r="F2654" t="s">
        <v>745</v>
      </c>
      <c r="G2654" t="s">
        <v>745</v>
      </c>
      <c r="H2654" s="10">
        <v>80817</v>
      </c>
      <c r="I2654">
        <f>IFERROR(VLOOKUP(Final!F2654,'LEAID Match'!$A$2:$B$374,2,FALSE),"")</f>
        <v>400090</v>
      </c>
      <c r="K2654" s="10">
        <f t="shared" si="41"/>
        <v>80817</v>
      </c>
    </row>
    <row r="2655" spans="1:11">
      <c r="A2655">
        <v>400090</v>
      </c>
      <c r="B2655" s="10">
        <v>2021</v>
      </c>
      <c r="C2655" t="s">
        <v>800</v>
      </c>
      <c r="D2655" t="s">
        <v>2472</v>
      </c>
      <c r="E2655" t="s">
        <v>2474</v>
      </c>
      <c r="F2655" t="s">
        <v>745</v>
      </c>
      <c r="G2655" t="s">
        <v>745</v>
      </c>
      <c r="H2655" s="10">
        <v>91260</v>
      </c>
      <c r="I2655">
        <f>IFERROR(VLOOKUP(Final!F2655,'LEAID Match'!$A$2:$B$374,2,FALSE),"")</f>
        <v>400090</v>
      </c>
      <c r="K2655" s="10">
        <f t="shared" si="41"/>
        <v>91260</v>
      </c>
    </row>
    <row r="2656" spans="1:11">
      <c r="A2656">
        <v>400090</v>
      </c>
      <c r="B2656" s="10">
        <v>2022</v>
      </c>
      <c r="C2656" t="s">
        <v>800</v>
      </c>
      <c r="D2656" t="s">
        <v>2472</v>
      </c>
      <c r="E2656" t="s">
        <v>2474</v>
      </c>
      <c r="F2656" t="s">
        <v>745</v>
      </c>
      <c r="G2656" t="s">
        <v>745</v>
      </c>
      <c r="H2656" s="10">
        <v>93201</v>
      </c>
      <c r="I2656">
        <f>IFERROR(VLOOKUP(Final!F2656,'LEAID Match'!$A$2:$B$374,2,FALSE),"")</f>
        <v>400090</v>
      </c>
      <c r="K2656" s="10">
        <f t="shared" si="41"/>
        <v>93201</v>
      </c>
    </row>
    <row r="2657" spans="1:11">
      <c r="A2657">
        <v>400090</v>
      </c>
      <c r="B2657" s="10">
        <v>2023</v>
      </c>
      <c r="C2657" t="s">
        <v>800</v>
      </c>
      <c r="D2657" t="s">
        <v>2472</v>
      </c>
      <c r="E2657" t="s">
        <v>2474</v>
      </c>
      <c r="F2657" t="s">
        <v>745</v>
      </c>
      <c r="G2657" t="s">
        <v>745</v>
      </c>
      <c r="H2657" s="10">
        <v>120425</v>
      </c>
      <c r="I2657">
        <f>IFERROR(VLOOKUP(Final!F2657,'LEAID Match'!$A$2:$B$374,2,FALSE),"")</f>
        <v>400090</v>
      </c>
      <c r="K2657" s="10">
        <f t="shared" si="41"/>
        <v>120425</v>
      </c>
    </row>
    <row r="2658" spans="1:11">
      <c r="A2658" t="s">
        <v>2470</v>
      </c>
      <c r="B2658" s="10">
        <v>2015</v>
      </c>
      <c r="C2658" t="s">
        <v>896</v>
      </c>
      <c r="D2658" t="s">
        <v>2472</v>
      </c>
      <c r="E2658" t="s">
        <v>2474</v>
      </c>
      <c r="F2658" t="s">
        <v>1837</v>
      </c>
      <c r="G2658" t="s">
        <v>841</v>
      </c>
      <c r="H2658" s="10">
        <v>66594</v>
      </c>
      <c r="I2658" t="str">
        <f>IFERROR(VLOOKUP(Final!F2658,'LEAID Match'!$A$2:$B$374,2,FALSE),"")</f>
        <v/>
      </c>
      <c r="K2658" s="10">
        <f t="shared" si="41"/>
        <v>66594</v>
      </c>
    </row>
    <row r="2659" spans="1:11">
      <c r="A2659" t="s">
        <v>2470</v>
      </c>
      <c r="B2659" s="10">
        <v>2016</v>
      </c>
      <c r="C2659" t="s">
        <v>896</v>
      </c>
      <c r="D2659" t="s">
        <v>2472</v>
      </c>
      <c r="E2659" t="s">
        <v>2474</v>
      </c>
      <c r="F2659" t="s">
        <v>1837</v>
      </c>
      <c r="G2659" t="s">
        <v>841</v>
      </c>
      <c r="H2659" s="10">
        <v>73277</v>
      </c>
      <c r="I2659" t="str">
        <f>IFERROR(VLOOKUP(Final!F2659,'LEAID Match'!$A$2:$B$374,2,FALSE),"")</f>
        <v/>
      </c>
      <c r="K2659" s="10">
        <f t="shared" si="41"/>
        <v>73277</v>
      </c>
    </row>
    <row r="2660" spans="1:11">
      <c r="A2660" t="s">
        <v>2470</v>
      </c>
      <c r="B2660" s="10">
        <v>2017</v>
      </c>
      <c r="C2660" t="s">
        <v>896</v>
      </c>
      <c r="D2660" t="s">
        <v>2472</v>
      </c>
      <c r="E2660" t="s">
        <v>2474</v>
      </c>
      <c r="F2660" t="s">
        <v>1837</v>
      </c>
      <c r="G2660" t="s">
        <v>1837</v>
      </c>
      <c r="H2660" s="10">
        <v>47339</v>
      </c>
      <c r="I2660" t="str">
        <f>IFERROR(VLOOKUP(Final!F2660,'LEAID Match'!$A$2:$B$374,2,FALSE),"")</f>
        <v/>
      </c>
      <c r="K2660" s="10">
        <f t="shared" si="41"/>
        <v>47339</v>
      </c>
    </row>
    <row r="2661" spans="1:11">
      <c r="A2661" t="s">
        <v>2470</v>
      </c>
      <c r="B2661" s="10">
        <v>2018</v>
      </c>
      <c r="C2661" t="s">
        <v>896</v>
      </c>
      <c r="D2661" t="s">
        <v>2472</v>
      </c>
      <c r="E2661" t="s">
        <v>2474</v>
      </c>
      <c r="F2661" t="s">
        <v>1837</v>
      </c>
      <c r="G2661" t="s">
        <v>2257</v>
      </c>
      <c r="H2661" s="10">
        <v>34566</v>
      </c>
      <c r="I2661" t="str">
        <f>IFERROR(VLOOKUP(Final!F2661,'LEAID Match'!$A$2:$B$374,2,FALSE),"")</f>
        <v/>
      </c>
      <c r="K2661" s="10">
        <f t="shared" si="41"/>
        <v>34566</v>
      </c>
    </row>
    <row r="2662" spans="1:11">
      <c r="A2662" t="s">
        <v>2470</v>
      </c>
      <c r="B2662" s="10">
        <v>2019</v>
      </c>
      <c r="C2662" t="s">
        <v>896</v>
      </c>
      <c r="D2662" t="s">
        <v>2472</v>
      </c>
      <c r="E2662" t="s">
        <v>2474</v>
      </c>
      <c r="F2662" t="s">
        <v>1837</v>
      </c>
      <c r="G2662" t="s">
        <v>2257</v>
      </c>
      <c r="H2662" s="10">
        <v>43471</v>
      </c>
      <c r="I2662" t="str">
        <f>IFERROR(VLOOKUP(Final!F2662,'LEAID Match'!$A$2:$B$374,2,FALSE),"")</f>
        <v/>
      </c>
      <c r="K2662" s="10">
        <f t="shared" si="41"/>
        <v>43471</v>
      </c>
    </row>
    <row r="2663" spans="1:11">
      <c r="A2663" t="s">
        <v>2470</v>
      </c>
      <c r="B2663" s="10">
        <v>2020</v>
      </c>
      <c r="C2663" t="s">
        <v>896</v>
      </c>
      <c r="D2663" t="s">
        <v>2472</v>
      </c>
      <c r="E2663" t="s">
        <v>2474</v>
      </c>
      <c r="F2663" t="s">
        <v>1837</v>
      </c>
      <c r="G2663" t="s">
        <v>1837</v>
      </c>
      <c r="H2663" s="10">
        <v>37263</v>
      </c>
      <c r="I2663" t="str">
        <f>IFERROR(VLOOKUP(Final!F2663,'LEAID Match'!$A$2:$B$374,2,FALSE),"")</f>
        <v/>
      </c>
      <c r="K2663" s="10">
        <f t="shared" si="41"/>
        <v>37263</v>
      </c>
    </row>
    <row r="2664" spans="1:11">
      <c r="A2664" t="s">
        <v>2470</v>
      </c>
      <c r="B2664" s="10">
        <v>2021</v>
      </c>
      <c r="C2664" t="s">
        <v>896</v>
      </c>
      <c r="D2664" t="s">
        <v>2472</v>
      </c>
      <c r="E2664" t="s">
        <v>2474</v>
      </c>
      <c r="F2664" t="s">
        <v>1837</v>
      </c>
      <c r="G2664" t="s">
        <v>2257</v>
      </c>
      <c r="H2664" s="10">
        <v>51207</v>
      </c>
      <c r="I2664" t="str">
        <f>IFERROR(VLOOKUP(Final!F2664,'LEAID Match'!$A$2:$B$374,2,FALSE),"")</f>
        <v/>
      </c>
      <c r="K2664" s="10">
        <f t="shared" si="41"/>
        <v>51207</v>
      </c>
    </row>
    <row r="2665" spans="1:11">
      <c r="A2665" t="s">
        <v>2470</v>
      </c>
      <c r="B2665" s="10">
        <v>2022</v>
      </c>
      <c r="C2665" t="s">
        <v>896</v>
      </c>
      <c r="D2665" t="s">
        <v>2472</v>
      </c>
      <c r="E2665" t="s">
        <v>2474</v>
      </c>
      <c r="F2665" t="s">
        <v>1837</v>
      </c>
      <c r="G2665" t="s">
        <v>1837</v>
      </c>
      <c r="H2665" s="10">
        <v>60141</v>
      </c>
      <c r="I2665" t="str">
        <f>IFERROR(VLOOKUP(Final!F2665,'LEAID Match'!$A$2:$B$374,2,FALSE),"")</f>
        <v/>
      </c>
      <c r="K2665" s="10">
        <f t="shared" si="41"/>
        <v>60141</v>
      </c>
    </row>
    <row r="2666" spans="1:11">
      <c r="A2666" t="s">
        <v>2470</v>
      </c>
      <c r="B2666" s="10">
        <v>2023</v>
      </c>
      <c r="C2666" t="s">
        <v>896</v>
      </c>
      <c r="D2666" t="s">
        <v>2472</v>
      </c>
      <c r="E2666" t="s">
        <v>2474</v>
      </c>
      <c r="F2666" t="s">
        <v>1837</v>
      </c>
      <c r="G2666" t="s">
        <v>1837</v>
      </c>
      <c r="H2666" s="10">
        <v>65217</v>
      </c>
      <c r="I2666" t="str">
        <f>IFERROR(VLOOKUP(Final!F2666,'LEAID Match'!$A$2:$B$374,2,FALSE),"")</f>
        <v/>
      </c>
      <c r="K2666" s="10">
        <f t="shared" si="41"/>
        <v>65217</v>
      </c>
    </row>
    <row r="2667" spans="1:11">
      <c r="A2667">
        <v>400056</v>
      </c>
      <c r="B2667" s="10">
        <v>2015</v>
      </c>
      <c r="C2667" t="s">
        <v>1403</v>
      </c>
      <c r="D2667" t="s">
        <v>2472</v>
      </c>
      <c r="E2667" t="s">
        <v>2474</v>
      </c>
      <c r="F2667" t="s">
        <v>1584</v>
      </c>
      <c r="G2667" t="s">
        <v>238</v>
      </c>
      <c r="H2667" s="10">
        <v>322471</v>
      </c>
      <c r="I2667">
        <f>IFERROR(VLOOKUP(Final!F2667,'LEAID Match'!$A$2:$B$374,2,FALSE),"")</f>
        <v>400056</v>
      </c>
      <c r="K2667" s="10">
        <f t="shared" si="41"/>
        <v>322471</v>
      </c>
    </row>
    <row r="2668" spans="1:11">
      <c r="A2668">
        <v>400056</v>
      </c>
      <c r="B2668" s="10">
        <v>2016</v>
      </c>
      <c r="C2668" t="s">
        <v>1403</v>
      </c>
      <c r="D2668" t="s">
        <v>2472</v>
      </c>
      <c r="E2668" t="s">
        <v>2474</v>
      </c>
      <c r="F2668" t="s">
        <v>1584</v>
      </c>
      <c r="G2668" t="s">
        <v>238</v>
      </c>
      <c r="H2668" s="10">
        <v>348309</v>
      </c>
      <c r="I2668">
        <f>IFERROR(VLOOKUP(Final!F2668,'LEAID Match'!$A$2:$B$374,2,FALSE),"")</f>
        <v>400056</v>
      </c>
      <c r="K2668" s="10">
        <f t="shared" si="41"/>
        <v>348309</v>
      </c>
    </row>
    <row r="2669" spans="1:11">
      <c r="A2669">
        <v>400056</v>
      </c>
      <c r="B2669" s="10">
        <v>2017</v>
      </c>
      <c r="C2669" t="s">
        <v>1403</v>
      </c>
      <c r="D2669" t="s">
        <v>2472</v>
      </c>
      <c r="E2669" t="s">
        <v>2474</v>
      </c>
      <c r="F2669" t="s">
        <v>1584</v>
      </c>
      <c r="G2669" t="s">
        <v>1584</v>
      </c>
      <c r="H2669" s="10">
        <v>379421</v>
      </c>
      <c r="I2669">
        <f>IFERROR(VLOOKUP(Final!F2669,'LEAID Match'!$A$2:$B$374,2,FALSE),"")</f>
        <v>400056</v>
      </c>
      <c r="K2669" s="10">
        <f t="shared" si="41"/>
        <v>379421</v>
      </c>
    </row>
    <row r="2670" spans="1:11">
      <c r="A2670">
        <v>400056</v>
      </c>
      <c r="B2670" s="10">
        <v>2018</v>
      </c>
      <c r="C2670" t="s">
        <v>1403</v>
      </c>
      <c r="D2670" t="s">
        <v>2472</v>
      </c>
      <c r="E2670" t="s">
        <v>2474</v>
      </c>
      <c r="F2670" t="s">
        <v>1584</v>
      </c>
      <c r="G2670" t="s">
        <v>1584</v>
      </c>
      <c r="H2670" s="10">
        <v>407114</v>
      </c>
      <c r="I2670">
        <f>IFERROR(VLOOKUP(Final!F2670,'LEAID Match'!$A$2:$B$374,2,FALSE),"")</f>
        <v>400056</v>
      </c>
      <c r="K2670" s="10">
        <f t="shared" si="41"/>
        <v>407114</v>
      </c>
    </row>
    <row r="2671" spans="1:11">
      <c r="A2671">
        <v>400056</v>
      </c>
      <c r="B2671" s="10">
        <v>2019</v>
      </c>
      <c r="C2671" t="s">
        <v>1403</v>
      </c>
      <c r="D2671" t="s">
        <v>2472</v>
      </c>
      <c r="E2671" t="s">
        <v>2474</v>
      </c>
      <c r="F2671" t="s">
        <v>1584</v>
      </c>
      <c r="G2671" t="s">
        <v>1584</v>
      </c>
      <c r="H2671" s="10">
        <v>452175</v>
      </c>
      <c r="I2671">
        <f>IFERROR(VLOOKUP(Final!F2671,'LEAID Match'!$A$2:$B$374,2,FALSE),"")</f>
        <v>400056</v>
      </c>
      <c r="K2671" s="10">
        <f t="shared" si="41"/>
        <v>452175</v>
      </c>
    </row>
    <row r="2672" spans="1:11">
      <c r="A2672">
        <v>400056</v>
      </c>
      <c r="B2672" s="10">
        <v>2020</v>
      </c>
      <c r="C2672" t="s">
        <v>1403</v>
      </c>
      <c r="D2672" t="s">
        <v>2472</v>
      </c>
      <c r="E2672" t="s">
        <v>2474</v>
      </c>
      <c r="F2672" t="s">
        <v>1584</v>
      </c>
      <c r="G2672" t="s">
        <v>1584</v>
      </c>
      <c r="H2672" s="10">
        <v>486986</v>
      </c>
      <c r="I2672">
        <f>IFERROR(VLOOKUP(Final!F2672,'LEAID Match'!$A$2:$B$374,2,FALSE),"")</f>
        <v>400056</v>
      </c>
      <c r="K2672" s="10">
        <f t="shared" si="41"/>
        <v>486986</v>
      </c>
    </row>
    <row r="2673" spans="1:11">
      <c r="A2673">
        <v>400056</v>
      </c>
      <c r="B2673" s="10">
        <v>2021</v>
      </c>
      <c r="C2673" t="s">
        <v>1403</v>
      </c>
      <c r="D2673" t="s">
        <v>2472</v>
      </c>
      <c r="E2673" t="s">
        <v>2474</v>
      </c>
      <c r="F2673" t="s">
        <v>1584</v>
      </c>
      <c r="G2673" t="s">
        <v>1584</v>
      </c>
      <c r="H2673" s="10">
        <v>499548</v>
      </c>
      <c r="I2673">
        <f>IFERROR(VLOOKUP(Final!F2673,'LEAID Match'!$A$2:$B$374,2,FALSE),"")</f>
        <v>400056</v>
      </c>
      <c r="K2673" s="10">
        <f t="shared" si="41"/>
        <v>499548</v>
      </c>
    </row>
    <row r="2674" spans="1:11">
      <c r="A2674">
        <v>400056</v>
      </c>
      <c r="B2674" s="10">
        <v>2022</v>
      </c>
      <c r="C2674" t="s">
        <v>1403</v>
      </c>
      <c r="D2674" t="s">
        <v>2472</v>
      </c>
      <c r="E2674" t="s">
        <v>2474</v>
      </c>
      <c r="F2674" t="s">
        <v>1584</v>
      </c>
      <c r="G2674" t="s">
        <v>1584</v>
      </c>
      <c r="H2674" s="10">
        <v>575576</v>
      </c>
      <c r="I2674">
        <f>IFERROR(VLOOKUP(Final!F2674,'LEAID Match'!$A$2:$B$374,2,FALSE),"")</f>
        <v>400056</v>
      </c>
      <c r="K2674" s="10">
        <f t="shared" si="41"/>
        <v>575576</v>
      </c>
    </row>
    <row r="2675" spans="1:11">
      <c r="A2675">
        <v>400056</v>
      </c>
      <c r="B2675" s="10">
        <v>2023</v>
      </c>
      <c r="C2675" t="s">
        <v>1403</v>
      </c>
      <c r="D2675" t="s">
        <v>2472</v>
      </c>
      <c r="E2675" t="s">
        <v>2474</v>
      </c>
      <c r="F2675" t="s">
        <v>1584</v>
      </c>
      <c r="G2675" t="s">
        <v>1584</v>
      </c>
      <c r="H2675" s="10">
        <v>556145</v>
      </c>
      <c r="I2675">
        <f>IFERROR(VLOOKUP(Final!F2675,'LEAID Match'!$A$2:$B$374,2,FALSE),"")</f>
        <v>400056</v>
      </c>
      <c r="K2675" s="10">
        <f t="shared" si="41"/>
        <v>556145</v>
      </c>
    </row>
    <row r="2676" spans="1:11">
      <c r="A2676">
        <v>400018</v>
      </c>
      <c r="B2676" s="10">
        <v>2015</v>
      </c>
      <c r="C2676" t="s">
        <v>1005</v>
      </c>
      <c r="D2676" t="s">
        <v>2472</v>
      </c>
      <c r="E2676" t="s">
        <v>2474</v>
      </c>
      <c r="F2676" t="s">
        <v>1888</v>
      </c>
      <c r="G2676" t="s">
        <v>950</v>
      </c>
      <c r="H2676" s="10">
        <v>126746</v>
      </c>
      <c r="I2676">
        <f>IFERROR(VLOOKUP(Final!F2676,'LEAID Match'!$A$2:$B$374,2,FALSE),"")</f>
        <v>400018</v>
      </c>
      <c r="K2676" s="10">
        <f t="shared" si="41"/>
        <v>126746</v>
      </c>
    </row>
    <row r="2677" spans="1:11">
      <c r="A2677">
        <v>400018</v>
      </c>
      <c r="B2677" s="10">
        <v>2016</v>
      </c>
      <c r="C2677" t="s">
        <v>1005</v>
      </c>
      <c r="D2677" t="s">
        <v>2472</v>
      </c>
      <c r="E2677" t="s">
        <v>2474</v>
      </c>
      <c r="F2677" t="s">
        <v>1888</v>
      </c>
      <c r="G2677" t="s">
        <v>950</v>
      </c>
      <c r="H2677" s="10">
        <v>124419</v>
      </c>
      <c r="I2677">
        <f>IFERROR(VLOOKUP(Final!F2677,'LEAID Match'!$A$2:$B$374,2,FALSE),"")</f>
        <v>400018</v>
      </c>
      <c r="K2677" s="10">
        <f t="shared" si="41"/>
        <v>124419</v>
      </c>
    </row>
    <row r="2678" spans="1:11">
      <c r="A2678">
        <v>400018</v>
      </c>
      <c r="B2678" s="10">
        <v>2017</v>
      </c>
      <c r="C2678" t="s">
        <v>1005</v>
      </c>
      <c r="D2678" t="s">
        <v>2472</v>
      </c>
      <c r="E2678" t="s">
        <v>2474</v>
      </c>
      <c r="F2678" t="s">
        <v>1888</v>
      </c>
      <c r="G2678" t="s">
        <v>1888</v>
      </c>
      <c r="H2678" s="10">
        <v>136301</v>
      </c>
      <c r="I2678">
        <f>IFERROR(VLOOKUP(Final!F2678,'LEAID Match'!$A$2:$B$374,2,FALSE),"")</f>
        <v>400018</v>
      </c>
      <c r="K2678" s="10">
        <f t="shared" si="41"/>
        <v>136301</v>
      </c>
    </row>
    <row r="2679" spans="1:11">
      <c r="A2679">
        <v>400018</v>
      </c>
      <c r="B2679" s="10">
        <v>2018</v>
      </c>
      <c r="C2679" t="s">
        <v>1005</v>
      </c>
      <c r="D2679" t="s">
        <v>2472</v>
      </c>
      <c r="E2679" t="s">
        <v>2474</v>
      </c>
      <c r="F2679" t="s">
        <v>1888</v>
      </c>
      <c r="G2679" t="s">
        <v>1888</v>
      </c>
      <c r="H2679" s="10">
        <v>144988</v>
      </c>
      <c r="I2679">
        <f>IFERROR(VLOOKUP(Final!F2679,'LEAID Match'!$A$2:$B$374,2,FALSE),"")</f>
        <v>400018</v>
      </c>
      <c r="K2679" s="10">
        <f t="shared" si="41"/>
        <v>144988</v>
      </c>
    </row>
    <row r="2680" spans="1:11">
      <c r="A2680">
        <v>400018</v>
      </c>
      <c r="B2680" s="10">
        <v>2019</v>
      </c>
      <c r="C2680" t="s">
        <v>1005</v>
      </c>
      <c r="D2680" t="s">
        <v>2472</v>
      </c>
      <c r="E2680" t="s">
        <v>2474</v>
      </c>
      <c r="F2680" t="s">
        <v>1888</v>
      </c>
      <c r="G2680" t="s">
        <v>1888</v>
      </c>
      <c r="H2680" s="10">
        <v>144678</v>
      </c>
      <c r="I2680">
        <f>IFERROR(VLOOKUP(Final!F2680,'LEAID Match'!$A$2:$B$374,2,FALSE),"")</f>
        <v>400018</v>
      </c>
      <c r="K2680" s="10">
        <f t="shared" si="41"/>
        <v>144678</v>
      </c>
    </row>
    <row r="2681" spans="1:11">
      <c r="A2681">
        <v>400018</v>
      </c>
      <c r="B2681" s="10">
        <v>2020</v>
      </c>
      <c r="C2681" t="s">
        <v>1005</v>
      </c>
      <c r="D2681" t="s">
        <v>2472</v>
      </c>
      <c r="E2681" t="s">
        <v>2474</v>
      </c>
      <c r="F2681" t="s">
        <v>1888</v>
      </c>
      <c r="G2681" t="s">
        <v>1888</v>
      </c>
      <c r="H2681" s="10">
        <v>134325</v>
      </c>
      <c r="I2681">
        <f>IFERROR(VLOOKUP(Final!F2681,'LEAID Match'!$A$2:$B$374,2,FALSE),"")</f>
        <v>400018</v>
      </c>
      <c r="K2681" s="10">
        <f t="shared" si="41"/>
        <v>134325</v>
      </c>
    </row>
    <row r="2682" spans="1:11">
      <c r="A2682">
        <v>400018</v>
      </c>
      <c r="B2682" s="10">
        <v>2021</v>
      </c>
      <c r="C2682" t="s">
        <v>1005</v>
      </c>
      <c r="D2682" t="s">
        <v>2472</v>
      </c>
      <c r="E2682" t="s">
        <v>2474</v>
      </c>
      <c r="F2682" t="s">
        <v>1888</v>
      </c>
      <c r="G2682" t="s">
        <v>1888</v>
      </c>
      <c r="H2682" s="10">
        <v>114443</v>
      </c>
      <c r="I2682">
        <f>IFERROR(VLOOKUP(Final!F2682,'LEAID Match'!$A$2:$B$374,2,FALSE),"")</f>
        <v>400018</v>
      </c>
      <c r="K2682" s="10">
        <f t="shared" si="41"/>
        <v>114443</v>
      </c>
    </row>
    <row r="2683" spans="1:11">
      <c r="A2683">
        <v>400018</v>
      </c>
      <c r="B2683" s="10">
        <v>2022</v>
      </c>
      <c r="C2683" t="s">
        <v>1005</v>
      </c>
      <c r="D2683" t="s">
        <v>2472</v>
      </c>
      <c r="E2683" t="s">
        <v>2474</v>
      </c>
      <c r="F2683" t="s">
        <v>1888</v>
      </c>
      <c r="G2683" t="s">
        <v>1888</v>
      </c>
      <c r="H2683" s="10">
        <v>132297</v>
      </c>
      <c r="I2683">
        <f>IFERROR(VLOOKUP(Final!F2683,'LEAID Match'!$A$2:$B$374,2,FALSE),"")</f>
        <v>400018</v>
      </c>
      <c r="K2683" s="10">
        <f t="shared" si="41"/>
        <v>132297</v>
      </c>
    </row>
    <row r="2684" spans="1:11">
      <c r="A2684">
        <v>400018</v>
      </c>
      <c r="B2684" s="10">
        <v>2023</v>
      </c>
      <c r="C2684" t="s">
        <v>1005</v>
      </c>
      <c r="D2684" t="s">
        <v>2472</v>
      </c>
      <c r="E2684" t="s">
        <v>2474</v>
      </c>
      <c r="F2684" t="s">
        <v>1888</v>
      </c>
      <c r="G2684" t="s">
        <v>1888</v>
      </c>
      <c r="H2684" s="10">
        <v>151528</v>
      </c>
      <c r="I2684">
        <f>IFERROR(VLOOKUP(Final!F2684,'LEAID Match'!$A$2:$B$374,2,FALSE),"")</f>
        <v>400018</v>
      </c>
      <c r="K2684" s="10">
        <f t="shared" si="41"/>
        <v>151528</v>
      </c>
    </row>
    <row r="2685" spans="1:11">
      <c r="A2685">
        <v>400065</v>
      </c>
      <c r="B2685" s="10">
        <v>2015</v>
      </c>
      <c r="C2685" t="s">
        <v>1437</v>
      </c>
      <c r="D2685" t="s">
        <v>2472</v>
      </c>
      <c r="E2685" t="s">
        <v>2474</v>
      </c>
      <c r="F2685" t="s">
        <v>270</v>
      </c>
      <c r="G2685" t="s">
        <v>270</v>
      </c>
      <c r="H2685" s="10">
        <v>807684</v>
      </c>
      <c r="I2685">
        <f>IFERROR(VLOOKUP(Final!F2685,'LEAID Match'!$A$2:$B$374,2,FALSE),"")</f>
        <v>400065</v>
      </c>
      <c r="K2685" s="10">
        <f t="shared" si="41"/>
        <v>807684</v>
      </c>
    </row>
    <row r="2686" spans="1:11">
      <c r="A2686">
        <v>400065</v>
      </c>
      <c r="B2686" s="10">
        <v>2016</v>
      </c>
      <c r="C2686" t="s">
        <v>1437</v>
      </c>
      <c r="D2686" t="s">
        <v>2472</v>
      </c>
      <c r="E2686" t="s">
        <v>2474</v>
      </c>
      <c r="F2686" t="s">
        <v>270</v>
      </c>
      <c r="G2686" t="s">
        <v>270</v>
      </c>
      <c r="H2686" s="10">
        <v>854204</v>
      </c>
      <c r="I2686">
        <f>IFERROR(VLOOKUP(Final!F2686,'LEAID Match'!$A$2:$B$374,2,FALSE),"")</f>
        <v>400065</v>
      </c>
      <c r="K2686" s="10">
        <f t="shared" si="41"/>
        <v>854204</v>
      </c>
    </row>
    <row r="2687" spans="1:11">
      <c r="A2687">
        <v>400065</v>
      </c>
      <c r="B2687" s="10">
        <v>2017</v>
      </c>
      <c r="C2687" t="s">
        <v>1437</v>
      </c>
      <c r="D2687" t="s">
        <v>2472</v>
      </c>
      <c r="E2687" t="s">
        <v>2474</v>
      </c>
      <c r="F2687" t="s">
        <v>270</v>
      </c>
      <c r="G2687" t="s">
        <v>270</v>
      </c>
      <c r="H2687" s="10">
        <v>894972</v>
      </c>
      <c r="I2687">
        <f>IFERROR(VLOOKUP(Final!F2687,'LEAID Match'!$A$2:$B$374,2,FALSE),"")</f>
        <v>400065</v>
      </c>
      <c r="K2687" s="10">
        <f t="shared" si="41"/>
        <v>894972</v>
      </c>
    </row>
    <row r="2688" spans="1:11">
      <c r="A2688">
        <v>400065</v>
      </c>
      <c r="B2688" s="10">
        <v>2018</v>
      </c>
      <c r="C2688" t="s">
        <v>1437</v>
      </c>
      <c r="D2688" t="s">
        <v>2472</v>
      </c>
      <c r="E2688" t="s">
        <v>2474</v>
      </c>
      <c r="F2688" t="s">
        <v>270</v>
      </c>
      <c r="G2688" t="s">
        <v>270</v>
      </c>
      <c r="H2688" s="10">
        <v>970602</v>
      </c>
      <c r="I2688">
        <f>IFERROR(VLOOKUP(Final!F2688,'LEAID Match'!$A$2:$B$374,2,FALSE),"")</f>
        <v>400065</v>
      </c>
      <c r="K2688" s="10">
        <f t="shared" si="41"/>
        <v>970602</v>
      </c>
    </row>
    <row r="2689" spans="1:11">
      <c r="A2689">
        <v>400065</v>
      </c>
      <c r="B2689" s="10">
        <v>2019</v>
      </c>
      <c r="C2689" t="s">
        <v>1437</v>
      </c>
      <c r="D2689" t="s">
        <v>2472</v>
      </c>
      <c r="E2689" t="s">
        <v>2474</v>
      </c>
      <c r="F2689" t="s">
        <v>270</v>
      </c>
      <c r="G2689" t="s">
        <v>270</v>
      </c>
      <c r="H2689" s="10">
        <v>1067745</v>
      </c>
      <c r="I2689">
        <f>IFERROR(VLOOKUP(Final!F2689,'LEAID Match'!$A$2:$B$374,2,FALSE),"")</f>
        <v>400065</v>
      </c>
      <c r="K2689" s="10">
        <f t="shared" si="41"/>
        <v>1067745</v>
      </c>
    </row>
    <row r="2690" spans="1:11">
      <c r="A2690">
        <v>400065</v>
      </c>
      <c r="B2690" s="10">
        <v>2020</v>
      </c>
      <c r="C2690" t="s">
        <v>1437</v>
      </c>
      <c r="D2690" t="s">
        <v>2472</v>
      </c>
      <c r="E2690" t="s">
        <v>2474</v>
      </c>
      <c r="F2690" t="s">
        <v>270</v>
      </c>
      <c r="G2690" t="s">
        <v>270</v>
      </c>
      <c r="H2690" s="10">
        <v>1215327</v>
      </c>
      <c r="I2690">
        <f>IFERROR(VLOOKUP(Final!F2690,'LEAID Match'!$A$2:$B$374,2,FALSE),"")</f>
        <v>400065</v>
      </c>
      <c r="K2690" s="10">
        <f t="shared" si="41"/>
        <v>1215327</v>
      </c>
    </row>
    <row r="2691" spans="1:11">
      <c r="A2691">
        <v>400065</v>
      </c>
      <c r="B2691" s="10">
        <v>2021</v>
      </c>
      <c r="C2691" t="s">
        <v>1437</v>
      </c>
      <c r="D2691" t="s">
        <v>2472</v>
      </c>
      <c r="E2691" t="s">
        <v>2474</v>
      </c>
      <c r="F2691" t="s">
        <v>270</v>
      </c>
      <c r="G2691" t="s">
        <v>270</v>
      </c>
      <c r="H2691" s="10">
        <v>1347345</v>
      </c>
      <c r="I2691">
        <f>IFERROR(VLOOKUP(Final!F2691,'LEAID Match'!$A$2:$B$374,2,FALSE),"")</f>
        <v>400065</v>
      </c>
      <c r="K2691" s="10">
        <f t="shared" ref="K2691:K2754" si="42">SUM(H2691,J2691)</f>
        <v>1347345</v>
      </c>
    </row>
    <row r="2692" spans="1:11">
      <c r="A2692">
        <v>400065</v>
      </c>
      <c r="B2692" s="10">
        <v>2022</v>
      </c>
      <c r="C2692" t="s">
        <v>1437</v>
      </c>
      <c r="D2692" t="s">
        <v>2472</v>
      </c>
      <c r="E2692" t="s">
        <v>2474</v>
      </c>
      <c r="F2692" t="s">
        <v>270</v>
      </c>
      <c r="G2692" t="s">
        <v>270</v>
      </c>
      <c r="H2692" s="10">
        <v>1508493</v>
      </c>
      <c r="I2692">
        <f>IFERROR(VLOOKUP(Final!F2692,'LEAID Match'!$A$2:$B$374,2,FALSE),"")</f>
        <v>400065</v>
      </c>
      <c r="K2692" s="10">
        <f t="shared" si="42"/>
        <v>1508493</v>
      </c>
    </row>
    <row r="2693" spans="1:11">
      <c r="A2693">
        <v>400065</v>
      </c>
      <c r="B2693" s="10">
        <v>2023</v>
      </c>
      <c r="C2693" t="s">
        <v>1437</v>
      </c>
      <c r="D2693" t="s">
        <v>2472</v>
      </c>
      <c r="E2693" t="s">
        <v>2474</v>
      </c>
      <c r="F2693" t="s">
        <v>270</v>
      </c>
      <c r="G2693" t="s">
        <v>270</v>
      </c>
      <c r="H2693" s="10">
        <v>1660616</v>
      </c>
      <c r="I2693">
        <f>IFERROR(VLOOKUP(Final!F2693,'LEAID Match'!$A$2:$B$374,2,FALSE),"")</f>
        <v>400065</v>
      </c>
      <c r="K2693" s="10">
        <f t="shared" si="42"/>
        <v>1660616</v>
      </c>
    </row>
    <row r="2694" spans="1:11">
      <c r="A2694">
        <v>400225</v>
      </c>
      <c r="B2694" s="10">
        <v>2015</v>
      </c>
      <c r="C2694" t="s">
        <v>684</v>
      </c>
      <c r="D2694" t="s">
        <v>2472</v>
      </c>
      <c r="E2694" t="s">
        <v>2474</v>
      </c>
      <c r="F2694" t="s">
        <v>1754</v>
      </c>
      <c r="G2694" t="s">
        <v>629</v>
      </c>
      <c r="H2694" s="10">
        <v>318077</v>
      </c>
      <c r="I2694">
        <f>IFERROR(VLOOKUP(Final!F2694,'LEAID Match'!$A$2:$B$374,2,FALSE),"")</f>
        <v>400225</v>
      </c>
      <c r="K2694" s="10">
        <f t="shared" si="42"/>
        <v>318077</v>
      </c>
    </row>
    <row r="2695" spans="1:11">
      <c r="A2695">
        <v>400225</v>
      </c>
      <c r="B2695" s="10">
        <v>2016</v>
      </c>
      <c r="C2695" t="s">
        <v>684</v>
      </c>
      <c r="D2695" t="s">
        <v>2472</v>
      </c>
      <c r="E2695" t="s">
        <v>2474</v>
      </c>
      <c r="F2695" t="s">
        <v>1754</v>
      </c>
      <c r="G2695" t="s">
        <v>629</v>
      </c>
      <c r="H2695" s="10">
        <v>327528</v>
      </c>
      <c r="I2695">
        <f>IFERROR(VLOOKUP(Final!F2695,'LEAID Match'!$A$2:$B$374,2,FALSE),"")</f>
        <v>400225</v>
      </c>
      <c r="K2695" s="10">
        <f t="shared" si="42"/>
        <v>327528</v>
      </c>
    </row>
    <row r="2696" spans="1:11">
      <c r="A2696">
        <v>400225</v>
      </c>
      <c r="B2696" s="10">
        <v>2017</v>
      </c>
      <c r="C2696" t="s">
        <v>684</v>
      </c>
      <c r="D2696" t="s">
        <v>2472</v>
      </c>
      <c r="E2696" t="s">
        <v>2474</v>
      </c>
      <c r="F2696" t="s">
        <v>1754</v>
      </c>
      <c r="G2696" t="s">
        <v>1754</v>
      </c>
      <c r="H2696" s="10">
        <v>332436</v>
      </c>
      <c r="I2696">
        <f>IFERROR(VLOOKUP(Final!F2696,'LEAID Match'!$A$2:$B$374,2,FALSE),"")</f>
        <v>400225</v>
      </c>
      <c r="K2696" s="10">
        <f t="shared" si="42"/>
        <v>332436</v>
      </c>
    </row>
    <row r="2697" spans="1:11">
      <c r="A2697">
        <v>400225</v>
      </c>
      <c r="B2697" s="10">
        <v>2018</v>
      </c>
      <c r="C2697" t="s">
        <v>684</v>
      </c>
      <c r="D2697" t="s">
        <v>2472</v>
      </c>
      <c r="E2697" t="s">
        <v>2474</v>
      </c>
      <c r="F2697" t="s">
        <v>1754</v>
      </c>
      <c r="G2697" t="s">
        <v>2210</v>
      </c>
      <c r="H2697" s="10">
        <v>349254</v>
      </c>
      <c r="I2697">
        <f>IFERROR(VLOOKUP(Final!F2697,'LEAID Match'!$A$2:$B$374,2,FALSE),"")</f>
        <v>400225</v>
      </c>
      <c r="K2697" s="10">
        <f t="shared" si="42"/>
        <v>349254</v>
      </c>
    </row>
    <row r="2698" spans="1:11">
      <c r="A2698">
        <v>400225</v>
      </c>
      <c r="B2698" s="10">
        <v>2019</v>
      </c>
      <c r="C2698" t="s">
        <v>684</v>
      </c>
      <c r="D2698" t="s">
        <v>2472</v>
      </c>
      <c r="E2698" t="s">
        <v>2474</v>
      </c>
      <c r="F2698" t="s">
        <v>1754</v>
      </c>
      <c r="G2698" t="s">
        <v>1754</v>
      </c>
      <c r="H2698" s="10">
        <v>397485</v>
      </c>
      <c r="I2698">
        <f>IFERROR(VLOOKUP(Final!F2698,'LEAID Match'!$A$2:$B$374,2,FALSE),"")</f>
        <v>400225</v>
      </c>
      <c r="K2698" s="10">
        <f t="shared" si="42"/>
        <v>397485</v>
      </c>
    </row>
    <row r="2699" spans="1:11">
      <c r="A2699">
        <v>400225</v>
      </c>
      <c r="B2699" s="10">
        <v>2020</v>
      </c>
      <c r="C2699" t="s">
        <v>684</v>
      </c>
      <c r="D2699" t="s">
        <v>2472</v>
      </c>
      <c r="E2699" t="s">
        <v>2474</v>
      </c>
      <c r="F2699" t="s">
        <v>1754</v>
      </c>
      <c r="G2699" t="s">
        <v>1754</v>
      </c>
      <c r="H2699" s="10">
        <v>427499</v>
      </c>
      <c r="I2699">
        <f>IFERROR(VLOOKUP(Final!F2699,'LEAID Match'!$A$2:$B$374,2,FALSE),"")</f>
        <v>400225</v>
      </c>
      <c r="K2699" s="10">
        <f t="shared" si="42"/>
        <v>427499</v>
      </c>
    </row>
    <row r="2700" spans="1:11">
      <c r="A2700">
        <v>400225</v>
      </c>
      <c r="B2700" s="10">
        <v>2021</v>
      </c>
      <c r="C2700" t="s">
        <v>684</v>
      </c>
      <c r="D2700" t="s">
        <v>2472</v>
      </c>
      <c r="E2700" t="s">
        <v>2474</v>
      </c>
      <c r="F2700" t="s">
        <v>1754</v>
      </c>
      <c r="G2700" t="s">
        <v>1754</v>
      </c>
      <c r="H2700" s="10">
        <v>432655</v>
      </c>
      <c r="I2700">
        <f>IFERROR(VLOOKUP(Final!F2700,'LEAID Match'!$A$2:$B$374,2,FALSE),"")</f>
        <v>400225</v>
      </c>
      <c r="K2700" s="10">
        <f t="shared" si="42"/>
        <v>432655</v>
      </c>
    </row>
    <row r="2701" spans="1:11">
      <c r="A2701">
        <v>400225</v>
      </c>
      <c r="B2701" s="10">
        <v>2022</v>
      </c>
      <c r="C2701" t="s">
        <v>684</v>
      </c>
      <c r="D2701" t="s">
        <v>2472</v>
      </c>
      <c r="E2701" t="s">
        <v>2474</v>
      </c>
      <c r="F2701" t="s">
        <v>1754</v>
      </c>
      <c r="G2701" t="s">
        <v>1754</v>
      </c>
      <c r="H2701" s="10">
        <v>507823</v>
      </c>
      <c r="I2701">
        <f>IFERROR(VLOOKUP(Final!F2701,'LEAID Match'!$A$2:$B$374,2,FALSE),"")</f>
        <v>400225</v>
      </c>
      <c r="K2701" s="10">
        <f t="shared" si="42"/>
        <v>507823</v>
      </c>
    </row>
    <row r="2702" spans="1:11">
      <c r="A2702">
        <v>400225</v>
      </c>
      <c r="B2702" s="10">
        <v>2023</v>
      </c>
      <c r="C2702" t="s">
        <v>684</v>
      </c>
      <c r="D2702" t="s">
        <v>2472</v>
      </c>
      <c r="E2702" t="s">
        <v>2474</v>
      </c>
      <c r="F2702" t="s">
        <v>1754</v>
      </c>
      <c r="G2702" t="s">
        <v>1754</v>
      </c>
      <c r="H2702" s="10">
        <v>532838</v>
      </c>
      <c r="I2702">
        <f>IFERROR(VLOOKUP(Final!F2702,'LEAID Match'!$A$2:$B$374,2,FALSE),"")</f>
        <v>400225</v>
      </c>
      <c r="K2702" s="10">
        <f t="shared" si="42"/>
        <v>532838</v>
      </c>
    </row>
    <row r="2703" spans="1:11">
      <c r="A2703">
        <v>400093</v>
      </c>
      <c r="B2703" s="10">
        <v>2015</v>
      </c>
      <c r="C2703" t="s">
        <v>1124</v>
      </c>
      <c r="D2703" t="s">
        <v>2472</v>
      </c>
      <c r="E2703" t="s">
        <v>2474</v>
      </c>
      <c r="F2703" t="s">
        <v>1953</v>
      </c>
      <c r="G2703" t="s">
        <v>1069</v>
      </c>
      <c r="H2703" s="10">
        <v>86636</v>
      </c>
      <c r="I2703">
        <f>IFERROR(VLOOKUP(Final!F2703,'LEAID Match'!$A$2:$B$374,2,FALSE),"")</f>
        <v>400093</v>
      </c>
      <c r="K2703" s="10">
        <f t="shared" si="42"/>
        <v>86636</v>
      </c>
    </row>
    <row r="2704" spans="1:11">
      <c r="A2704">
        <v>400093</v>
      </c>
      <c r="B2704" s="10">
        <v>2016</v>
      </c>
      <c r="C2704" t="s">
        <v>1124</v>
      </c>
      <c r="D2704" t="s">
        <v>2472</v>
      </c>
      <c r="E2704" t="s">
        <v>2474</v>
      </c>
      <c r="F2704" t="s">
        <v>1953</v>
      </c>
      <c r="G2704" t="s">
        <v>1069</v>
      </c>
      <c r="H2704" s="10">
        <v>100520</v>
      </c>
      <c r="I2704">
        <f>IFERROR(VLOOKUP(Final!F2704,'LEAID Match'!$A$2:$B$374,2,FALSE),"")</f>
        <v>400093</v>
      </c>
      <c r="K2704" s="10">
        <f t="shared" si="42"/>
        <v>100520</v>
      </c>
    </row>
    <row r="2705" spans="1:11">
      <c r="A2705">
        <v>400093</v>
      </c>
      <c r="B2705" s="10">
        <v>2017</v>
      </c>
      <c r="C2705" t="s">
        <v>1124</v>
      </c>
      <c r="D2705" t="s">
        <v>2472</v>
      </c>
      <c r="E2705" t="s">
        <v>2474</v>
      </c>
      <c r="F2705" t="s">
        <v>1953</v>
      </c>
      <c r="G2705" t="s">
        <v>1953</v>
      </c>
      <c r="H2705" s="10">
        <v>102978</v>
      </c>
      <c r="I2705">
        <f>IFERROR(VLOOKUP(Final!F2705,'LEAID Match'!$A$2:$B$374,2,FALSE),"")</f>
        <v>400093</v>
      </c>
      <c r="K2705" s="10">
        <f t="shared" si="42"/>
        <v>102978</v>
      </c>
    </row>
    <row r="2706" spans="1:11">
      <c r="A2706">
        <v>400093</v>
      </c>
      <c r="B2706" s="10">
        <v>2018</v>
      </c>
      <c r="C2706" t="s">
        <v>1124</v>
      </c>
      <c r="D2706" t="s">
        <v>2472</v>
      </c>
      <c r="E2706" t="s">
        <v>2474</v>
      </c>
      <c r="F2706" t="s">
        <v>1953</v>
      </c>
      <c r="G2706" t="s">
        <v>1953</v>
      </c>
      <c r="H2706" s="10">
        <v>110646</v>
      </c>
      <c r="I2706">
        <f>IFERROR(VLOOKUP(Final!F2706,'LEAID Match'!$A$2:$B$374,2,FALSE),"")</f>
        <v>400093</v>
      </c>
      <c r="K2706" s="10">
        <f t="shared" si="42"/>
        <v>110646</v>
      </c>
    </row>
    <row r="2707" spans="1:11">
      <c r="A2707">
        <v>400093</v>
      </c>
      <c r="B2707" s="10">
        <v>2019</v>
      </c>
      <c r="C2707" t="s">
        <v>1124</v>
      </c>
      <c r="D2707" t="s">
        <v>2472</v>
      </c>
      <c r="E2707" t="s">
        <v>2474</v>
      </c>
      <c r="F2707" t="s">
        <v>1953</v>
      </c>
      <c r="G2707" t="s">
        <v>1953</v>
      </c>
      <c r="H2707" s="10">
        <v>121779</v>
      </c>
      <c r="I2707">
        <f>IFERROR(VLOOKUP(Final!F2707,'LEAID Match'!$A$2:$B$374,2,FALSE),"")</f>
        <v>400093</v>
      </c>
      <c r="K2707" s="10">
        <f t="shared" si="42"/>
        <v>121779</v>
      </c>
    </row>
    <row r="2708" spans="1:11">
      <c r="A2708">
        <v>400093</v>
      </c>
      <c r="B2708" s="10">
        <v>2020</v>
      </c>
      <c r="C2708" t="s">
        <v>1124</v>
      </c>
      <c r="D2708" t="s">
        <v>2472</v>
      </c>
      <c r="E2708" t="s">
        <v>2474</v>
      </c>
      <c r="F2708" t="s">
        <v>1953</v>
      </c>
      <c r="G2708" t="s">
        <v>1953</v>
      </c>
      <c r="H2708" s="10">
        <v>127490</v>
      </c>
      <c r="I2708">
        <f>IFERROR(VLOOKUP(Final!F2708,'LEAID Match'!$A$2:$B$374,2,FALSE),"")</f>
        <v>400093</v>
      </c>
      <c r="K2708" s="10">
        <f t="shared" si="42"/>
        <v>127490</v>
      </c>
    </row>
    <row r="2709" spans="1:11">
      <c r="A2709">
        <v>400093</v>
      </c>
      <c r="B2709" s="10">
        <v>2021</v>
      </c>
      <c r="C2709" t="s">
        <v>1124</v>
      </c>
      <c r="D2709" t="s">
        <v>2472</v>
      </c>
      <c r="E2709" t="s">
        <v>2474</v>
      </c>
      <c r="F2709" t="s">
        <v>1953</v>
      </c>
      <c r="G2709" t="s">
        <v>1953</v>
      </c>
      <c r="H2709" s="10">
        <v>135900</v>
      </c>
      <c r="I2709">
        <f>IFERROR(VLOOKUP(Final!F2709,'LEAID Match'!$A$2:$B$374,2,FALSE),"")</f>
        <v>400093</v>
      </c>
      <c r="K2709" s="10">
        <f t="shared" si="42"/>
        <v>135900</v>
      </c>
    </row>
    <row r="2710" spans="1:11">
      <c r="A2710">
        <v>400093</v>
      </c>
      <c r="B2710" s="10">
        <v>2022</v>
      </c>
      <c r="C2710" t="s">
        <v>1124</v>
      </c>
      <c r="D2710" t="s">
        <v>2472</v>
      </c>
      <c r="E2710" t="s">
        <v>2474</v>
      </c>
      <c r="F2710" t="s">
        <v>1953</v>
      </c>
      <c r="G2710" t="s">
        <v>1953</v>
      </c>
      <c r="H2710" s="10">
        <v>139467</v>
      </c>
      <c r="I2710">
        <f>IFERROR(VLOOKUP(Final!F2710,'LEAID Match'!$A$2:$B$374,2,FALSE),"")</f>
        <v>400093</v>
      </c>
      <c r="K2710" s="10">
        <f t="shared" si="42"/>
        <v>139467</v>
      </c>
    </row>
    <row r="2711" spans="1:11">
      <c r="A2711">
        <v>400093</v>
      </c>
      <c r="B2711" s="10">
        <v>2023</v>
      </c>
      <c r="C2711" t="s">
        <v>1124</v>
      </c>
      <c r="D2711" t="s">
        <v>2472</v>
      </c>
      <c r="E2711" t="s">
        <v>2474</v>
      </c>
      <c r="F2711" t="s">
        <v>1953</v>
      </c>
      <c r="G2711" t="s">
        <v>1953</v>
      </c>
      <c r="H2711" s="10">
        <v>137538</v>
      </c>
      <c r="I2711">
        <f>IFERROR(VLOOKUP(Final!F2711,'LEAID Match'!$A$2:$B$374,2,FALSE),"")</f>
        <v>400093</v>
      </c>
      <c r="K2711" s="10">
        <f t="shared" si="42"/>
        <v>137538</v>
      </c>
    </row>
    <row r="2712" spans="1:11">
      <c r="A2712">
        <v>400444</v>
      </c>
      <c r="B2712" s="10">
        <v>2015</v>
      </c>
      <c r="C2712" t="s">
        <v>1021</v>
      </c>
      <c r="D2712" t="s">
        <v>2472</v>
      </c>
      <c r="E2712" t="s">
        <v>2474</v>
      </c>
      <c r="F2712" t="s">
        <v>1902</v>
      </c>
      <c r="G2712" t="s">
        <v>966</v>
      </c>
      <c r="H2712" s="10"/>
      <c r="I2712">
        <f>IFERROR(VLOOKUP(Final!F2712,'LEAID Match'!$A$2:$B$374,2,FALSE),"")</f>
        <v>400444</v>
      </c>
      <c r="K2712" s="10">
        <f t="shared" si="42"/>
        <v>0</v>
      </c>
    </row>
    <row r="2713" spans="1:11">
      <c r="A2713">
        <v>400444</v>
      </c>
      <c r="B2713" s="10">
        <v>2016</v>
      </c>
      <c r="C2713" t="s">
        <v>1021</v>
      </c>
      <c r="D2713" t="s">
        <v>2472</v>
      </c>
      <c r="E2713" t="s">
        <v>2474</v>
      </c>
      <c r="F2713" t="s">
        <v>1902</v>
      </c>
      <c r="G2713" t="s">
        <v>966</v>
      </c>
      <c r="H2713" s="10">
        <v>11957</v>
      </c>
      <c r="I2713">
        <f>IFERROR(VLOOKUP(Final!F2713,'LEAID Match'!$A$2:$B$374,2,FALSE),"")</f>
        <v>400444</v>
      </c>
      <c r="K2713" s="10">
        <f t="shared" si="42"/>
        <v>11957</v>
      </c>
    </row>
    <row r="2714" spans="1:11">
      <c r="A2714">
        <v>400444</v>
      </c>
      <c r="B2714" s="10">
        <v>2017</v>
      </c>
      <c r="C2714" t="s">
        <v>1021</v>
      </c>
      <c r="D2714" t="s">
        <v>2472</v>
      </c>
      <c r="E2714" t="s">
        <v>2474</v>
      </c>
      <c r="F2714" t="s">
        <v>1902</v>
      </c>
      <c r="G2714" t="s">
        <v>1902</v>
      </c>
      <c r="H2714" s="10">
        <v>11879</v>
      </c>
      <c r="I2714">
        <f>IFERROR(VLOOKUP(Final!F2714,'LEAID Match'!$A$2:$B$374,2,FALSE),"")</f>
        <v>400444</v>
      </c>
      <c r="K2714" s="10">
        <f t="shared" si="42"/>
        <v>11879</v>
      </c>
    </row>
    <row r="2715" spans="1:11">
      <c r="A2715">
        <v>400444</v>
      </c>
      <c r="B2715" s="10">
        <v>2018</v>
      </c>
      <c r="C2715" t="s">
        <v>1021</v>
      </c>
      <c r="D2715" t="s">
        <v>2472</v>
      </c>
      <c r="E2715" t="s">
        <v>2474</v>
      </c>
      <c r="F2715" t="s">
        <v>1902</v>
      </c>
      <c r="G2715" t="s">
        <v>1902</v>
      </c>
      <c r="H2715" s="10">
        <v>27492</v>
      </c>
      <c r="I2715">
        <f>IFERROR(VLOOKUP(Final!F2715,'LEAID Match'!$A$2:$B$374,2,FALSE),"")</f>
        <v>400444</v>
      </c>
      <c r="K2715" s="10">
        <f t="shared" si="42"/>
        <v>27492</v>
      </c>
    </row>
    <row r="2716" spans="1:11">
      <c r="A2716">
        <v>400444</v>
      </c>
      <c r="B2716" s="10">
        <v>2019</v>
      </c>
      <c r="C2716" t="s">
        <v>1021</v>
      </c>
      <c r="D2716" t="s">
        <v>2472</v>
      </c>
      <c r="E2716" t="s">
        <v>2474</v>
      </c>
      <c r="F2716" t="s">
        <v>1902</v>
      </c>
      <c r="G2716" t="s">
        <v>1902</v>
      </c>
      <c r="H2716" s="10">
        <v>36147</v>
      </c>
      <c r="I2716">
        <f>IFERROR(VLOOKUP(Final!F2716,'LEAID Match'!$A$2:$B$374,2,FALSE),"")</f>
        <v>400444</v>
      </c>
      <c r="K2716" s="10">
        <f t="shared" si="42"/>
        <v>36147</v>
      </c>
    </row>
    <row r="2717" spans="1:11">
      <c r="A2717">
        <v>400444</v>
      </c>
      <c r="B2717" s="10">
        <v>2020</v>
      </c>
      <c r="C2717" t="s">
        <v>1021</v>
      </c>
      <c r="D2717" t="s">
        <v>2472</v>
      </c>
      <c r="E2717" t="s">
        <v>2474</v>
      </c>
      <c r="F2717" t="s">
        <v>1902</v>
      </c>
      <c r="G2717" t="s">
        <v>1902</v>
      </c>
      <c r="H2717" s="10">
        <v>41119</v>
      </c>
      <c r="I2717">
        <f>IFERROR(VLOOKUP(Final!F2717,'LEAID Match'!$A$2:$B$374,2,FALSE),"")</f>
        <v>400444</v>
      </c>
      <c r="K2717" s="10">
        <f t="shared" si="42"/>
        <v>41119</v>
      </c>
    </row>
    <row r="2718" spans="1:11">
      <c r="A2718">
        <v>400444</v>
      </c>
      <c r="B2718" s="10">
        <v>2021</v>
      </c>
      <c r="C2718" t="s">
        <v>1021</v>
      </c>
      <c r="D2718" t="s">
        <v>2472</v>
      </c>
      <c r="E2718" t="s">
        <v>2474</v>
      </c>
      <c r="F2718" t="s">
        <v>1902</v>
      </c>
      <c r="G2718" t="s">
        <v>1902</v>
      </c>
      <c r="H2718" s="10">
        <v>43823</v>
      </c>
      <c r="I2718">
        <f>IFERROR(VLOOKUP(Final!F2718,'LEAID Match'!$A$2:$B$374,2,FALSE),"")</f>
        <v>400444</v>
      </c>
      <c r="K2718" s="10">
        <f t="shared" si="42"/>
        <v>43823</v>
      </c>
    </row>
    <row r="2719" spans="1:11">
      <c r="A2719">
        <v>400444</v>
      </c>
      <c r="B2719" s="10">
        <v>2022</v>
      </c>
      <c r="C2719" t="s">
        <v>1021</v>
      </c>
      <c r="D2719" t="s">
        <v>2472</v>
      </c>
      <c r="E2719" t="s">
        <v>2474</v>
      </c>
      <c r="F2719" t="s">
        <v>1902</v>
      </c>
      <c r="G2719" t="s">
        <v>1902</v>
      </c>
      <c r="H2719" s="10">
        <v>42843</v>
      </c>
      <c r="I2719">
        <f>IFERROR(VLOOKUP(Final!F2719,'LEAID Match'!$A$2:$B$374,2,FALSE),"")</f>
        <v>400444</v>
      </c>
      <c r="K2719" s="10">
        <f t="shared" si="42"/>
        <v>42843</v>
      </c>
    </row>
    <row r="2720" spans="1:11">
      <c r="A2720">
        <v>400444</v>
      </c>
      <c r="B2720" s="10">
        <v>2023</v>
      </c>
      <c r="C2720" t="s">
        <v>1021</v>
      </c>
      <c r="D2720" t="s">
        <v>2472</v>
      </c>
      <c r="E2720" t="s">
        <v>2474</v>
      </c>
      <c r="F2720" t="s">
        <v>1902</v>
      </c>
      <c r="G2720" t="s">
        <v>1902</v>
      </c>
      <c r="H2720" s="10">
        <v>42028</v>
      </c>
      <c r="I2720">
        <f>IFERROR(VLOOKUP(Final!F2720,'LEAID Match'!$A$2:$B$374,2,FALSE),"")</f>
        <v>400444</v>
      </c>
      <c r="K2720" s="10">
        <f t="shared" si="42"/>
        <v>42028</v>
      </c>
    </row>
    <row r="2721" spans="1:11">
      <c r="A2721">
        <v>400752</v>
      </c>
      <c r="B2721" s="10">
        <v>2015</v>
      </c>
      <c r="C2721" t="s">
        <v>993</v>
      </c>
      <c r="D2721" t="s">
        <v>2472</v>
      </c>
      <c r="E2721" t="s">
        <v>2474</v>
      </c>
      <c r="F2721" t="s">
        <v>1881</v>
      </c>
      <c r="G2721" t="s">
        <v>938</v>
      </c>
      <c r="H2721" s="10">
        <v>474936</v>
      </c>
      <c r="I2721">
        <f>IFERROR(VLOOKUP(Final!F2721,'LEAID Match'!$A$2:$B$374,2,FALSE),"")</f>
        <v>400752</v>
      </c>
      <c r="K2721" s="10">
        <f t="shared" si="42"/>
        <v>474936</v>
      </c>
    </row>
    <row r="2722" spans="1:11">
      <c r="A2722">
        <v>400752</v>
      </c>
      <c r="B2722" s="10">
        <v>2016</v>
      </c>
      <c r="C2722" t="s">
        <v>993</v>
      </c>
      <c r="D2722" t="s">
        <v>2472</v>
      </c>
      <c r="E2722" t="s">
        <v>2474</v>
      </c>
      <c r="F2722" t="s">
        <v>1881</v>
      </c>
      <c r="G2722" t="s">
        <v>1477</v>
      </c>
      <c r="H2722" s="10">
        <v>495339</v>
      </c>
      <c r="I2722">
        <f>IFERROR(VLOOKUP(Final!F2722,'LEAID Match'!$A$2:$B$374,2,FALSE),"")</f>
        <v>400752</v>
      </c>
      <c r="K2722" s="10">
        <f t="shared" si="42"/>
        <v>495339</v>
      </c>
    </row>
    <row r="2723" spans="1:11">
      <c r="A2723">
        <v>400752</v>
      </c>
      <c r="B2723" s="10">
        <v>2017</v>
      </c>
      <c r="C2723" t="s">
        <v>993</v>
      </c>
      <c r="D2723" t="s">
        <v>2472</v>
      </c>
      <c r="E2723" t="s">
        <v>2474</v>
      </c>
      <c r="F2723" t="s">
        <v>1881</v>
      </c>
      <c r="G2723" t="s">
        <v>1881</v>
      </c>
      <c r="H2723" s="10">
        <v>490162</v>
      </c>
      <c r="I2723">
        <f>IFERROR(VLOOKUP(Final!F2723,'LEAID Match'!$A$2:$B$374,2,FALSE),"")</f>
        <v>400752</v>
      </c>
      <c r="K2723" s="10">
        <f t="shared" si="42"/>
        <v>490162</v>
      </c>
    </row>
    <row r="2724" spans="1:11">
      <c r="A2724">
        <v>400752</v>
      </c>
      <c r="B2724" s="10">
        <v>2018</v>
      </c>
      <c r="C2724" t="s">
        <v>993</v>
      </c>
      <c r="D2724" t="s">
        <v>2472</v>
      </c>
      <c r="E2724" t="s">
        <v>2474</v>
      </c>
      <c r="F2724" t="s">
        <v>1881</v>
      </c>
      <c r="G2724" t="s">
        <v>2280</v>
      </c>
      <c r="H2724" s="10">
        <v>526140</v>
      </c>
      <c r="I2724">
        <f>IFERROR(VLOOKUP(Final!F2724,'LEAID Match'!$A$2:$B$374,2,FALSE),"")</f>
        <v>400752</v>
      </c>
      <c r="K2724" s="10">
        <f t="shared" si="42"/>
        <v>526140</v>
      </c>
    </row>
    <row r="2725" spans="1:11">
      <c r="A2725">
        <v>400752</v>
      </c>
      <c r="B2725" s="10">
        <v>2019</v>
      </c>
      <c r="C2725" t="s">
        <v>993</v>
      </c>
      <c r="D2725" t="s">
        <v>2472</v>
      </c>
      <c r="E2725" t="s">
        <v>2474</v>
      </c>
      <c r="F2725" t="s">
        <v>1881</v>
      </c>
      <c r="G2725" t="s">
        <v>1881</v>
      </c>
      <c r="H2725" s="10">
        <v>567902</v>
      </c>
      <c r="I2725">
        <f>IFERROR(VLOOKUP(Final!F2725,'LEAID Match'!$A$2:$B$374,2,FALSE),"")</f>
        <v>400752</v>
      </c>
      <c r="K2725" s="10">
        <f t="shared" si="42"/>
        <v>567902</v>
      </c>
    </row>
    <row r="2726" spans="1:11">
      <c r="A2726">
        <v>400752</v>
      </c>
      <c r="B2726" s="10">
        <v>2020</v>
      </c>
      <c r="C2726" t="s">
        <v>993</v>
      </c>
      <c r="D2726" t="s">
        <v>2472</v>
      </c>
      <c r="E2726" t="s">
        <v>2474</v>
      </c>
      <c r="F2726" t="s">
        <v>1881</v>
      </c>
      <c r="G2726" t="s">
        <v>1881</v>
      </c>
      <c r="H2726" s="10">
        <v>578896</v>
      </c>
      <c r="I2726">
        <f>IFERROR(VLOOKUP(Final!F2726,'LEAID Match'!$A$2:$B$374,2,FALSE),"")</f>
        <v>400752</v>
      </c>
      <c r="K2726" s="10">
        <f t="shared" si="42"/>
        <v>578896</v>
      </c>
    </row>
    <row r="2727" spans="1:11">
      <c r="A2727">
        <v>400752</v>
      </c>
      <c r="B2727" s="10">
        <v>2021</v>
      </c>
      <c r="C2727" t="s">
        <v>993</v>
      </c>
      <c r="D2727" t="s">
        <v>2472</v>
      </c>
      <c r="E2727" t="s">
        <v>2474</v>
      </c>
      <c r="F2727" t="s">
        <v>1881</v>
      </c>
      <c r="G2727" t="s">
        <v>1881</v>
      </c>
      <c r="H2727" s="10">
        <v>682536</v>
      </c>
      <c r="I2727">
        <f>IFERROR(VLOOKUP(Final!F2727,'LEAID Match'!$A$2:$B$374,2,FALSE),"")</f>
        <v>400752</v>
      </c>
      <c r="K2727" s="10">
        <f t="shared" si="42"/>
        <v>682536</v>
      </c>
    </row>
    <row r="2728" spans="1:11">
      <c r="A2728">
        <v>400752</v>
      </c>
      <c r="B2728" s="10">
        <v>2022</v>
      </c>
      <c r="C2728" t="s">
        <v>993</v>
      </c>
      <c r="D2728" t="s">
        <v>2472</v>
      </c>
      <c r="E2728" t="s">
        <v>2474</v>
      </c>
      <c r="F2728" t="s">
        <v>1881</v>
      </c>
      <c r="G2728" t="s">
        <v>1881</v>
      </c>
      <c r="H2728" s="10">
        <v>735750</v>
      </c>
      <c r="I2728">
        <f>IFERROR(VLOOKUP(Final!F2728,'LEAID Match'!$A$2:$B$374,2,FALSE),"")</f>
        <v>400752</v>
      </c>
      <c r="K2728" s="10">
        <f t="shared" si="42"/>
        <v>735750</v>
      </c>
    </row>
    <row r="2729" spans="1:11">
      <c r="A2729">
        <v>400752</v>
      </c>
      <c r="B2729" s="10">
        <v>2023</v>
      </c>
      <c r="C2729" t="s">
        <v>993</v>
      </c>
      <c r="D2729" t="s">
        <v>2472</v>
      </c>
      <c r="E2729" t="s">
        <v>2474</v>
      </c>
      <c r="F2729" t="s">
        <v>1881</v>
      </c>
      <c r="G2729" t="s">
        <v>1881</v>
      </c>
      <c r="H2729" s="10">
        <v>772591</v>
      </c>
      <c r="I2729">
        <f>IFERROR(VLOOKUP(Final!F2729,'LEAID Match'!$A$2:$B$374,2,FALSE),"")</f>
        <v>400752</v>
      </c>
      <c r="K2729" s="10">
        <f t="shared" si="42"/>
        <v>772591</v>
      </c>
    </row>
    <row r="2730" spans="1:11">
      <c r="A2730">
        <v>400263</v>
      </c>
      <c r="B2730" s="10">
        <v>2015</v>
      </c>
      <c r="C2730" t="s">
        <v>918</v>
      </c>
      <c r="D2730" t="s">
        <v>2472</v>
      </c>
      <c r="E2730" t="s">
        <v>2474</v>
      </c>
      <c r="F2730" t="s">
        <v>863</v>
      </c>
      <c r="G2730" t="s">
        <v>863</v>
      </c>
      <c r="H2730" s="10">
        <v>15094</v>
      </c>
      <c r="I2730">
        <f>IFERROR(VLOOKUP(Final!F2730,'LEAID Match'!$A$2:$B$374,2,FALSE),"")</f>
        <v>400263</v>
      </c>
      <c r="K2730" s="10">
        <f t="shared" si="42"/>
        <v>15094</v>
      </c>
    </row>
    <row r="2731" spans="1:11">
      <c r="A2731">
        <v>400263</v>
      </c>
      <c r="B2731" s="10">
        <v>2016</v>
      </c>
      <c r="C2731" t="s">
        <v>918</v>
      </c>
      <c r="D2731" t="s">
        <v>2472</v>
      </c>
      <c r="E2731" t="s">
        <v>2474</v>
      </c>
      <c r="F2731" t="s">
        <v>863</v>
      </c>
      <c r="G2731" t="s">
        <v>863</v>
      </c>
      <c r="H2731" s="10">
        <v>13726</v>
      </c>
      <c r="I2731">
        <f>IFERROR(VLOOKUP(Final!F2731,'LEAID Match'!$A$2:$B$374,2,FALSE),"")</f>
        <v>400263</v>
      </c>
      <c r="K2731" s="10">
        <f t="shared" si="42"/>
        <v>13726</v>
      </c>
    </row>
    <row r="2732" spans="1:11">
      <c r="A2732">
        <v>400263</v>
      </c>
      <c r="B2732" s="10">
        <v>2017</v>
      </c>
      <c r="C2732" t="s">
        <v>918</v>
      </c>
      <c r="D2732" t="s">
        <v>2472</v>
      </c>
      <c r="E2732" t="s">
        <v>2474</v>
      </c>
      <c r="F2732" t="s">
        <v>863</v>
      </c>
      <c r="G2732" t="s">
        <v>863</v>
      </c>
      <c r="H2732" s="10">
        <v>15106</v>
      </c>
      <c r="I2732">
        <f>IFERROR(VLOOKUP(Final!F2732,'LEAID Match'!$A$2:$B$374,2,FALSE),"")</f>
        <v>400263</v>
      </c>
      <c r="K2732" s="10">
        <f t="shared" si="42"/>
        <v>15106</v>
      </c>
    </row>
    <row r="2733" spans="1:11">
      <c r="A2733">
        <v>400263</v>
      </c>
      <c r="B2733" s="10">
        <v>2018</v>
      </c>
      <c r="C2733" t="s">
        <v>918</v>
      </c>
      <c r="D2733" t="s">
        <v>2472</v>
      </c>
      <c r="E2733" t="s">
        <v>2474</v>
      </c>
      <c r="F2733" t="s">
        <v>863</v>
      </c>
      <c r="G2733" t="s">
        <v>2269</v>
      </c>
      <c r="H2733" s="10">
        <v>17503</v>
      </c>
      <c r="I2733">
        <f>IFERROR(VLOOKUP(Final!F2733,'LEAID Match'!$A$2:$B$374,2,FALSE),"")</f>
        <v>400263</v>
      </c>
      <c r="K2733" s="10">
        <f t="shared" si="42"/>
        <v>17503</v>
      </c>
    </row>
    <row r="2734" spans="1:11">
      <c r="A2734">
        <v>400263</v>
      </c>
      <c r="B2734" s="10">
        <v>2019</v>
      </c>
      <c r="C2734" t="s">
        <v>918</v>
      </c>
      <c r="D2734" t="s">
        <v>2472</v>
      </c>
      <c r="E2734" t="s">
        <v>2474</v>
      </c>
      <c r="F2734" t="s">
        <v>863</v>
      </c>
      <c r="G2734" t="s">
        <v>863</v>
      </c>
      <c r="H2734" s="10">
        <v>19993</v>
      </c>
      <c r="I2734">
        <f>IFERROR(VLOOKUP(Final!F2734,'LEAID Match'!$A$2:$B$374,2,FALSE),"")</f>
        <v>400263</v>
      </c>
      <c r="K2734" s="10">
        <f t="shared" si="42"/>
        <v>19993</v>
      </c>
    </row>
    <row r="2735" spans="1:11">
      <c r="A2735">
        <v>400263</v>
      </c>
      <c r="B2735" s="10">
        <v>2020</v>
      </c>
      <c r="C2735" t="s">
        <v>918</v>
      </c>
      <c r="D2735" t="s">
        <v>2472</v>
      </c>
      <c r="E2735" t="s">
        <v>2474</v>
      </c>
      <c r="F2735" t="s">
        <v>863</v>
      </c>
      <c r="G2735" t="s">
        <v>863</v>
      </c>
      <c r="H2735" s="10">
        <v>18492</v>
      </c>
      <c r="I2735">
        <f>IFERROR(VLOOKUP(Final!F2735,'LEAID Match'!$A$2:$B$374,2,FALSE),"")</f>
        <v>400263</v>
      </c>
      <c r="K2735" s="10">
        <f t="shared" si="42"/>
        <v>18492</v>
      </c>
    </row>
    <row r="2736" spans="1:11">
      <c r="A2736">
        <v>400263</v>
      </c>
      <c r="B2736" s="10">
        <v>2021</v>
      </c>
      <c r="C2736" t="s">
        <v>918</v>
      </c>
      <c r="D2736" t="s">
        <v>2472</v>
      </c>
      <c r="E2736" t="s">
        <v>2474</v>
      </c>
      <c r="F2736" t="s">
        <v>863</v>
      </c>
      <c r="G2736" t="s">
        <v>863</v>
      </c>
      <c r="H2736" s="10">
        <v>18435</v>
      </c>
      <c r="I2736">
        <f>IFERROR(VLOOKUP(Final!F2736,'LEAID Match'!$A$2:$B$374,2,FALSE),"")</f>
        <v>400263</v>
      </c>
      <c r="K2736" s="10">
        <f t="shared" si="42"/>
        <v>18435</v>
      </c>
    </row>
    <row r="2737" spans="1:11">
      <c r="A2737">
        <v>400263</v>
      </c>
      <c r="B2737" s="10">
        <v>2022</v>
      </c>
      <c r="C2737" t="s">
        <v>918</v>
      </c>
      <c r="D2737" t="s">
        <v>2472</v>
      </c>
      <c r="E2737" t="s">
        <v>2474</v>
      </c>
      <c r="F2737" t="s">
        <v>863</v>
      </c>
      <c r="G2737" t="s">
        <v>863</v>
      </c>
      <c r="H2737" s="10">
        <v>24053</v>
      </c>
      <c r="I2737">
        <f>IFERROR(VLOOKUP(Final!F2737,'LEAID Match'!$A$2:$B$374,2,FALSE),"")</f>
        <v>400263</v>
      </c>
      <c r="K2737" s="10">
        <f t="shared" si="42"/>
        <v>24053</v>
      </c>
    </row>
    <row r="2738" spans="1:11">
      <c r="A2738">
        <v>400263</v>
      </c>
      <c r="B2738" s="10">
        <v>2023</v>
      </c>
      <c r="C2738" t="s">
        <v>918</v>
      </c>
      <c r="D2738" t="s">
        <v>2472</v>
      </c>
      <c r="E2738" t="s">
        <v>2474</v>
      </c>
      <c r="F2738" t="s">
        <v>863</v>
      </c>
      <c r="G2738" t="s">
        <v>863</v>
      </c>
      <c r="H2738" s="10">
        <v>24292</v>
      </c>
      <c r="I2738">
        <f>IFERROR(VLOOKUP(Final!F2738,'LEAID Match'!$A$2:$B$374,2,FALSE),"")</f>
        <v>400263</v>
      </c>
      <c r="K2738" s="10">
        <f t="shared" si="42"/>
        <v>24292</v>
      </c>
    </row>
    <row r="2739" spans="1:11">
      <c r="A2739" t="s">
        <v>2470</v>
      </c>
      <c r="B2739" s="10">
        <v>2015</v>
      </c>
      <c r="C2739" t="s">
        <v>994</v>
      </c>
      <c r="D2739" t="s">
        <v>2472</v>
      </c>
      <c r="E2739" t="s">
        <v>2474</v>
      </c>
      <c r="F2739" t="s">
        <v>939</v>
      </c>
      <c r="G2739" t="s">
        <v>939</v>
      </c>
      <c r="H2739" s="10">
        <v>60797</v>
      </c>
      <c r="I2739" t="str">
        <f>IFERROR(VLOOKUP(Final!F2739,'LEAID Match'!$A$2:$B$374,2,FALSE),"")</f>
        <v/>
      </c>
      <c r="K2739" s="10">
        <f t="shared" si="42"/>
        <v>60797</v>
      </c>
    </row>
    <row r="2740" spans="1:11">
      <c r="A2740" t="s">
        <v>2470</v>
      </c>
      <c r="B2740" s="10">
        <v>2016</v>
      </c>
      <c r="C2740" t="s">
        <v>994</v>
      </c>
      <c r="D2740" t="s">
        <v>2472</v>
      </c>
      <c r="E2740" t="s">
        <v>2474</v>
      </c>
      <c r="F2740" t="s">
        <v>939</v>
      </c>
      <c r="G2740" t="s">
        <v>939</v>
      </c>
      <c r="H2740" s="10">
        <v>49866</v>
      </c>
      <c r="I2740" t="str">
        <f>IFERROR(VLOOKUP(Final!F2740,'LEAID Match'!$A$2:$B$374,2,FALSE),"")</f>
        <v/>
      </c>
      <c r="K2740" s="10">
        <f t="shared" si="42"/>
        <v>49866</v>
      </c>
    </row>
    <row r="2741" spans="1:11">
      <c r="A2741" t="s">
        <v>2470</v>
      </c>
      <c r="B2741" s="10">
        <v>2017</v>
      </c>
      <c r="C2741" t="s">
        <v>994</v>
      </c>
      <c r="D2741" t="s">
        <v>2472</v>
      </c>
      <c r="E2741" t="s">
        <v>2474</v>
      </c>
      <c r="F2741" t="s">
        <v>939</v>
      </c>
      <c r="G2741" t="s">
        <v>939</v>
      </c>
      <c r="H2741" s="10">
        <v>49743</v>
      </c>
      <c r="I2741" t="str">
        <f>IFERROR(VLOOKUP(Final!F2741,'LEAID Match'!$A$2:$B$374,2,FALSE),"")</f>
        <v/>
      </c>
      <c r="K2741" s="10">
        <f t="shared" si="42"/>
        <v>49743</v>
      </c>
    </row>
    <row r="2742" spans="1:11">
      <c r="A2742" t="s">
        <v>2470</v>
      </c>
      <c r="B2742" s="10">
        <v>2018</v>
      </c>
      <c r="C2742" t="s">
        <v>994</v>
      </c>
      <c r="D2742" t="s">
        <v>2472</v>
      </c>
      <c r="E2742" t="s">
        <v>2474</v>
      </c>
      <c r="F2742" t="s">
        <v>939</v>
      </c>
      <c r="G2742" t="s">
        <v>939</v>
      </c>
      <c r="H2742" s="10">
        <v>39910</v>
      </c>
      <c r="I2742" t="str">
        <f>IFERROR(VLOOKUP(Final!F2742,'LEAID Match'!$A$2:$B$374,2,FALSE),"")</f>
        <v/>
      </c>
      <c r="K2742" s="10">
        <f t="shared" si="42"/>
        <v>39910</v>
      </c>
    </row>
    <row r="2743" spans="1:11">
      <c r="A2743" t="s">
        <v>2470</v>
      </c>
      <c r="B2743" s="10">
        <v>2019</v>
      </c>
      <c r="C2743" t="s">
        <v>994</v>
      </c>
      <c r="D2743" t="s">
        <v>2472</v>
      </c>
      <c r="E2743" t="s">
        <v>2474</v>
      </c>
      <c r="F2743" t="s">
        <v>939</v>
      </c>
      <c r="G2743" t="s">
        <v>939</v>
      </c>
      <c r="H2743" s="10">
        <v>30446</v>
      </c>
      <c r="I2743" t="str">
        <f>IFERROR(VLOOKUP(Final!F2743,'LEAID Match'!$A$2:$B$374,2,FALSE),"")</f>
        <v/>
      </c>
      <c r="K2743" s="10">
        <f t="shared" si="42"/>
        <v>30446</v>
      </c>
    </row>
    <row r="2744" spans="1:11">
      <c r="A2744" t="s">
        <v>2470</v>
      </c>
      <c r="B2744" s="10">
        <v>2020</v>
      </c>
      <c r="C2744" t="s">
        <v>994</v>
      </c>
      <c r="D2744" t="s">
        <v>2472</v>
      </c>
      <c r="E2744" t="s">
        <v>2474</v>
      </c>
      <c r="F2744" t="s">
        <v>939</v>
      </c>
      <c r="G2744" t="s">
        <v>939</v>
      </c>
      <c r="H2744" s="10">
        <v>9103</v>
      </c>
      <c r="I2744" t="str">
        <f>IFERROR(VLOOKUP(Final!F2744,'LEAID Match'!$A$2:$B$374,2,FALSE),"")</f>
        <v/>
      </c>
      <c r="K2744" s="10">
        <f t="shared" si="42"/>
        <v>9103</v>
      </c>
    </row>
    <row r="2745" spans="1:11">
      <c r="A2745" t="s">
        <v>2470</v>
      </c>
      <c r="B2745" s="10">
        <v>2021</v>
      </c>
      <c r="C2745" t="s">
        <v>994</v>
      </c>
      <c r="D2745" t="s">
        <v>2472</v>
      </c>
      <c r="E2745" t="s">
        <v>2474</v>
      </c>
      <c r="F2745" t="s">
        <v>939</v>
      </c>
      <c r="G2745" t="s">
        <v>939</v>
      </c>
      <c r="H2745" s="10">
        <v>3710</v>
      </c>
      <c r="I2745" t="str">
        <f>IFERROR(VLOOKUP(Final!F2745,'LEAID Match'!$A$2:$B$374,2,FALSE),"")</f>
        <v/>
      </c>
      <c r="K2745" s="10">
        <f t="shared" si="42"/>
        <v>3710</v>
      </c>
    </row>
    <row r="2746" spans="1:11">
      <c r="A2746" t="s">
        <v>2470</v>
      </c>
      <c r="B2746" s="10">
        <v>2022</v>
      </c>
      <c r="C2746" t="s">
        <v>994</v>
      </c>
      <c r="D2746" t="s">
        <v>2472</v>
      </c>
      <c r="E2746" t="s">
        <v>2474</v>
      </c>
      <c r="F2746" t="s">
        <v>939</v>
      </c>
      <c r="G2746" t="s">
        <v>939</v>
      </c>
      <c r="H2746" s="10">
        <v>7484</v>
      </c>
      <c r="I2746" t="str">
        <f>IFERROR(VLOOKUP(Final!F2746,'LEAID Match'!$A$2:$B$374,2,FALSE),"")</f>
        <v/>
      </c>
      <c r="K2746" s="10">
        <f t="shared" si="42"/>
        <v>7484</v>
      </c>
    </row>
    <row r="2747" spans="1:11">
      <c r="A2747" t="s">
        <v>2470</v>
      </c>
      <c r="B2747" s="10">
        <v>2023</v>
      </c>
      <c r="C2747" t="s">
        <v>994</v>
      </c>
      <c r="D2747" t="s">
        <v>2472</v>
      </c>
      <c r="E2747" t="s">
        <v>2474</v>
      </c>
      <c r="F2747" t="s">
        <v>939</v>
      </c>
      <c r="G2747" t="s">
        <v>939</v>
      </c>
      <c r="H2747" s="10">
        <v>8505</v>
      </c>
      <c r="I2747" t="str">
        <f>IFERROR(VLOOKUP(Final!F2747,'LEAID Match'!$A$2:$B$374,2,FALSE),"")</f>
        <v/>
      </c>
      <c r="K2747" s="10">
        <f t="shared" si="42"/>
        <v>8505</v>
      </c>
    </row>
    <row r="2748" spans="1:11">
      <c r="A2748">
        <v>405360</v>
      </c>
      <c r="B2748" s="10">
        <v>2015</v>
      </c>
      <c r="C2748" t="s">
        <v>992</v>
      </c>
      <c r="D2748" t="s">
        <v>2472</v>
      </c>
      <c r="E2748" t="s">
        <v>2474</v>
      </c>
      <c r="F2748" t="s">
        <v>1879</v>
      </c>
      <c r="G2748" t="s">
        <v>937</v>
      </c>
      <c r="H2748" s="10">
        <v>60242</v>
      </c>
      <c r="I2748">
        <f>IFERROR(VLOOKUP(Final!F2748,'LEAID Match'!$A$2:$B$374,2,FALSE),"")</f>
        <v>405360</v>
      </c>
      <c r="K2748" s="10">
        <f t="shared" si="42"/>
        <v>60242</v>
      </c>
    </row>
    <row r="2749" spans="1:11">
      <c r="A2749">
        <v>405360</v>
      </c>
      <c r="B2749" s="10">
        <v>2016</v>
      </c>
      <c r="C2749" t="s">
        <v>992</v>
      </c>
      <c r="D2749" t="s">
        <v>2472</v>
      </c>
      <c r="E2749" t="s">
        <v>2474</v>
      </c>
      <c r="F2749" t="s">
        <v>1879</v>
      </c>
      <c r="G2749" t="s">
        <v>937</v>
      </c>
      <c r="H2749" s="10">
        <v>62855</v>
      </c>
      <c r="I2749">
        <f>IFERROR(VLOOKUP(Final!F2749,'LEAID Match'!$A$2:$B$374,2,FALSE),"")</f>
        <v>405360</v>
      </c>
      <c r="K2749" s="10">
        <f t="shared" si="42"/>
        <v>62855</v>
      </c>
    </row>
    <row r="2750" spans="1:11">
      <c r="A2750">
        <v>405360</v>
      </c>
      <c r="B2750" s="10">
        <v>2017</v>
      </c>
      <c r="C2750" t="s">
        <v>992</v>
      </c>
      <c r="D2750" t="s">
        <v>2472</v>
      </c>
      <c r="E2750" t="s">
        <v>2474</v>
      </c>
      <c r="F2750" t="s">
        <v>1879</v>
      </c>
      <c r="G2750" t="s">
        <v>1879</v>
      </c>
      <c r="H2750" s="10">
        <v>65514</v>
      </c>
      <c r="I2750">
        <f>IFERROR(VLOOKUP(Final!F2750,'LEAID Match'!$A$2:$B$374,2,FALSE),"")</f>
        <v>405360</v>
      </c>
      <c r="K2750" s="10">
        <f t="shared" si="42"/>
        <v>65514</v>
      </c>
    </row>
    <row r="2751" spans="1:11">
      <c r="A2751">
        <v>405360</v>
      </c>
      <c r="B2751" s="10">
        <v>2018</v>
      </c>
      <c r="C2751" t="s">
        <v>992</v>
      </c>
      <c r="D2751" t="s">
        <v>2472</v>
      </c>
      <c r="E2751" t="s">
        <v>2474</v>
      </c>
      <c r="F2751" t="s">
        <v>1879</v>
      </c>
      <c r="G2751" t="s">
        <v>1879</v>
      </c>
      <c r="H2751" s="10">
        <v>68712</v>
      </c>
      <c r="I2751">
        <f>IFERROR(VLOOKUP(Final!F2751,'LEAID Match'!$A$2:$B$374,2,FALSE),"")</f>
        <v>405360</v>
      </c>
      <c r="K2751" s="10">
        <f t="shared" si="42"/>
        <v>68712</v>
      </c>
    </row>
    <row r="2752" spans="1:11">
      <c r="A2752">
        <v>405360</v>
      </c>
      <c r="B2752" s="10">
        <v>2019</v>
      </c>
      <c r="C2752" t="s">
        <v>992</v>
      </c>
      <c r="D2752" t="s">
        <v>2472</v>
      </c>
      <c r="E2752" t="s">
        <v>2474</v>
      </c>
      <c r="F2752" t="s">
        <v>1879</v>
      </c>
      <c r="G2752" t="s">
        <v>1879</v>
      </c>
      <c r="H2752" s="10">
        <v>70749</v>
      </c>
      <c r="I2752">
        <f>IFERROR(VLOOKUP(Final!F2752,'LEAID Match'!$A$2:$B$374,2,FALSE),"")</f>
        <v>405360</v>
      </c>
      <c r="K2752" s="10">
        <f t="shared" si="42"/>
        <v>70749</v>
      </c>
    </row>
    <row r="2753" spans="1:11">
      <c r="A2753">
        <v>405360</v>
      </c>
      <c r="B2753" s="10">
        <v>2020</v>
      </c>
      <c r="C2753" t="s">
        <v>992</v>
      </c>
      <c r="D2753" t="s">
        <v>2472</v>
      </c>
      <c r="E2753" t="s">
        <v>2474</v>
      </c>
      <c r="F2753" t="s">
        <v>1879</v>
      </c>
      <c r="G2753" t="s">
        <v>1879</v>
      </c>
      <c r="H2753" s="10">
        <v>79508</v>
      </c>
      <c r="I2753">
        <f>IFERROR(VLOOKUP(Final!F2753,'LEAID Match'!$A$2:$B$374,2,FALSE),"")</f>
        <v>405360</v>
      </c>
      <c r="K2753" s="10">
        <f t="shared" si="42"/>
        <v>79508</v>
      </c>
    </row>
    <row r="2754" spans="1:11">
      <c r="A2754">
        <v>405360</v>
      </c>
      <c r="B2754" s="10">
        <v>2021</v>
      </c>
      <c r="C2754" t="s">
        <v>992</v>
      </c>
      <c r="D2754" t="s">
        <v>2472</v>
      </c>
      <c r="E2754" t="s">
        <v>2474</v>
      </c>
      <c r="F2754" t="s">
        <v>1879</v>
      </c>
      <c r="G2754" t="s">
        <v>1879</v>
      </c>
      <c r="H2754" s="10">
        <v>76379</v>
      </c>
      <c r="I2754">
        <f>IFERROR(VLOOKUP(Final!F2754,'LEAID Match'!$A$2:$B$374,2,FALSE),"")</f>
        <v>405360</v>
      </c>
      <c r="K2754" s="10">
        <f t="shared" si="42"/>
        <v>76379</v>
      </c>
    </row>
    <row r="2755" spans="1:11">
      <c r="A2755">
        <v>405360</v>
      </c>
      <c r="B2755" s="10">
        <v>2022</v>
      </c>
      <c r="C2755" t="s">
        <v>992</v>
      </c>
      <c r="D2755" t="s">
        <v>2472</v>
      </c>
      <c r="E2755" t="s">
        <v>2474</v>
      </c>
      <c r="F2755" t="s">
        <v>1879</v>
      </c>
      <c r="G2755" t="s">
        <v>1879</v>
      </c>
      <c r="H2755" s="10">
        <v>77127</v>
      </c>
      <c r="I2755">
        <f>IFERROR(VLOOKUP(Final!F2755,'LEAID Match'!$A$2:$B$374,2,FALSE),"")</f>
        <v>405360</v>
      </c>
      <c r="K2755" s="10">
        <f t="shared" ref="K2755:K2818" si="43">SUM(H2755,J2755)</f>
        <v>77127</v>
      </c>
    </row>
    <row r="2756" spans="1:11">
      <c r="A2756">
        <v>405360</v>
      </c>
      <c r="B2756" s="10">
        <v>2023</v>
      </c>
      <c r="C2756" t="s">
        <v>992</v>
      </c>
      <c r="D2756" t="s">
        <v>2472</v>
      </c>
      <c r="E2756" t="s">
        <v>2474</v>
      </c>
      <c r="F2756" t="s">
        <v>1879</v>
      </c>
      <c r="G2756" t="s">
        <v>1879</v>
      </c>
      <c r="H2756" s="10">
        <v>81556</v>
      </c>
      <c r="I2756">
        <f>IFERROR(VLOOKUP(Final!F2756,'LEAID Match'!$A$2:$B$374,2,FALSE),"")</f>
        <v>405360</v>
      </c>
      <c r="K2756" s="10">
        <f t="shared" si="43"/>
        <v>81556</v>
      </c>
    </row>
    <row r="2757" spans="1:11">
      <c r="A2757">
        <v>400746</v>
      </c>
      <c r="B2757" s="10">
        <v>2015</v>
      </c>
      <c r="C2757" t="s">
        <v>578</v>
      </c>
      <c r="D2757" t="s">
        <v>2472</v>
      </c>
      <c r="E2757" t="s">
        <v>2474</v>
      </c>
      <c r="F2757" t="s">
        <v>1705</v>
      </c>
      <c r="G2757" t="s">
        <v>523</v>
      </c>
      <c r="H2757" s="10">
        <v>1217194</v>
      </c>
      <c r="I2757">
        <f>IFERROR(VLOOKUP(Final!F2757,'LEAID Match'!$A$2:$B$374,2,FALSE),"")</f>
        <v>400746</v>
      </c>
      <c r="K2757" s="10">
        <f t="shared" si="43"/>
        <v>1217194</v>
      </c>
    </row>
    <row r="2758" spans="1:11">
      <c r="A2758">
        <v>400746</v>
      </c>
      <c r="B2758" s="10">
        <v>2016</v>
      </c>
      <c r="C2758" t="s">
        <v>578</v>
      </c>
      <c r="D2758" t="s">
        <v>2472</v>
      </c>
      <c r="E2758" t="s">
        <v>2474</v>
      </c>
      <c r="F2758" t="s">
        <v>1705</v>
      </c>
      <c r="G2758" t="s">
        <v>523</v>
      </c>
      <c r="H2758" s="10">
        <v>1284975</v>
      </c>
      <c r="I2758">
        <f>IFERROR(VLOOKUP(Final!F2758,'LEAID Match'!$A$2:$B$374,2,FALSE),"")</f>
        <v>400746</v>
      </c>
      <c r="K2758" s="10">
        <f t="shared" si="43"/>
        <v>1284975</v>
      </c>
    </row>
    <row r="2759" spans="1:11">
      <c r="A2759">
        <v>400746</v>
      </c>
      <c r="B2759" s="10">
        <v>2017</v>
      </c>
      <c r="C2759" t="s">
        <v>578</v>
      </c>
      <c r="D2759" t="s">
        <v>2472</v>
      </c>
      <c r="E2759" t="s">
        <v>2474</v>
      </c>
      <c r="F2759" t="s">
        <v>1705</v>
      </c>
      <c r="G2759" t="s">
        <v>1705</v>
      </c>
      <c r="H2759" s="10">
        <v>1324010</v>
      </c>
      <c r="I2759">
        <f>IFERROR(VLOOKUP(Final!F2759,'LEAID Match'!$A$2:$B$374,2,FALSE),"")</f>
        <v>400746</v>
      </c>
      <c r="K2759" s="10">
        <f t="shared" si="43"/>
        <v>1324010</v>
      </c>
    </row>
    <row r="2760" spans="1:11">
      <c r="A2760">
        <v>400746</v>
      </c>
      <c r="B2760" s="10">
        <v>2018</v>
      </c>
      <c r="C2760" t="s">
        <v>578</v>
      </c>
      <c r="D2760" t="s">
        <v>2472</v>
      </c>
      <c r="E2760" t="s">
        <v>2474</v>
      </c>
      <c r="F2760" t="s">
        <v>1705</v>
      </c>
      <c r="G2760" t="s">
        <v>1705</v>
      </c>
      <c r="H2760" s="10">
        <v>1379109</v>
      </c>
      <c r="I2760">
        <f>IFERROR(VLOOKUP(Final!F2760,'LEAID Match'!$A$2:$B$374,2,FALSE),"")</f>
        <v>400746</v>
      </c>
      <c r="K2760" s="10">
        <f t="shared" si="43"/>
        <v>1379109</v>
      </c>
    </row>
    <row r="2761" spans="1:11">
      <c r="A2761">
        <v>400746</v>
      </c>
      <c r="B2761" s="10">
        <v>2019</v>
      </c>
      <c r="C2761" t="s">
        <v>578</v>
      </c>
      <c r="D2761" t="s">
        <v>2472</v>
      </c>
      <c r="E2761" t="s">
        <v>2474</v>
      </c>
      <c r="F2761" t="s">
        <v>1705</v>
      </c>
      <c r="G2761" t="s">
        <v>1705</v>
      </c>
      <c r="H2761" s="10">
        <v>1534064</v>
      </c>
      <c r="I2761">
        <f>IFERROR(VLOOKUP(Final!F2761,'LEAID Match'!$A$2:$B$374,2,FALSE),"")</f>
        <v>400746</v>
      </c>
      <c r="K2761" s="10">
        <f t="shared" si="43"/>
        <v>1534064</v>
      </c>
    </row>
    <row r="2762" spans="1:11">
      <c r="A2762">
        <v>400746</v>
      </c>
      <c r="B2762" s="10">
        <v>2020</v>
      </c>
      <c r="C2762" t="s">
        <v>578</v>
      </c>
      <c r="D2762" t="s">
        <v>2472</v>
      </c>
      <c r="E2762" t="s">
        <v>2474</v>
      </c>
      <c r="F2762" t="s">
        <v>1705</v>
      </c>
      <c r="G2762" t="s">
        <v>1705</v>
      </c>
      <c r="H2762" s="10">
        <v>1626447</v>
      </c>
      <c r="I2762">
        <f>IFERROR(VLOOKUP(Final!F2762,'LEAID Match'!$A$2:$B$374,2,FALSE),"")</f>
        <v>400746</v>
      </c>
      <c r="K2762" s="10">
        <f t="shared" si="43"/>
        <v>1626447</v>
      </c>
    </row>
    <row r="2763" spans="1:11">
      <c r="A2763">
        <v>400746</v>
      </c>
      <c r="B2763" s="10">
        <v>2021</v>
      </c>
      <c r="C2763" t="s">
        <v>578</v>
      </c>
      <c r="D2763" t="s">
        <v>2472</v>
      </c>
      <c r="E2763" t="s">
        <v>2474</v>
      </c>
      <c r="F2763" t="s">
        <v>1705</v>
      </c>
      <c r="G2763" t="s">
        <v>1705</v>
      </c>
      <c r="H2763" s="10">
        <v>1637099</v>
      </c>
      <c r="I2763">
        <f>IFERROR(VLOOKUP(Final!F2763,'LEAID Match'!$A$2:$B$374,2,FALSE),"")</f>
        <v>400746</v>
      </c>
      <c r="K2763" s="10">
        <f t="shared" si="43"/>
        <v>1637099</v>
      </c>
    </row>
    <row r="2764" spans="1:11">
      <c r="A2764">
        <v>400746</v>
      </c>
      <c r="B2764" s="10">
        <v>2022</v>
      </c>
      <c r="C2764" t="s">
        <v>578</v>
      </c>
      <c r="D2764" t="s">
        <v>2472</v>
      </c>
      <c r="E2764" t="s">
        <v>2474</v>
      </c>
      <c r="F2764" t="s">
        <v>1705</v>
      </c>
      <c r="G2764" t="s">
        <v>1705</v>
      </c>
      <c r="H2764" s="10">
        <v>1722950</v>
      </c>
      <c r="I2764">
        <f>IFERROR(VLOOKUP(Final!F2764,'LEAID Match'!$A$2:$B$374,2,FALSE),"")</f>
        <v>400746</v>
      </c>
      <c r="K2764" s="10">
        <f t="shared" si="43"/>
        <v>1722950</v>
      </c>
    </row>
    <row r="2765" spans="1:11">
      <c r="A2765">
        <v>400746</v>
      </c>
      <c r="B2765" s="10">
        <v>2023</v>
      </c>
      <c r="C2765" t="s">
        <v>578</v>
      </c>
      <c r="D2765" t="s">
        <v>2472</v>
      </c>
      <c r="E2765" t="s">
        <v>2474</v>
      </c>
      <c r="F2765" t="s">
        <v>1705</v>
      </c>
      <c r="G2765" t="s">
        <v>1705</v>
      </c>
      <c r="H2765" s="10">
        <v>1828568</v>
      </c>
      <c r="I2765">
        <f>IFERROR(VLOOKUP(Final!F2765,'LEAID Match'!$A$2:$B$374,2,FALSE),"")</f>
        <v>400746</v>
      </c>
      <c r="K2765" s="10">
        <f t="shared" si="43"/>
        <v>1828568</v>
      </c>
    </row>
    <row r="2766" spans="1:11">
      <c r="A2766">
        <v>400266</v>
      </c>
      <c r="B2766" s="10">
        <v>2015</v>
      </c>
      <c r="C2766" t="s">
        <v>905</v>
      </c>
      <c r="D2766" t="s">
        <v>2472</v>
      </c>
      <c r="E2766" t="s">
        <v>2474</v>
      </c>
      <c r="F2766" t="s">
        <v>1847</v>
      </c>
      <c r="G2766" t="s">
        <v>850</v>
      </c>
      <c r="H2766" s="10">
        <v>30352</v>
      </c>
      <c r="I2766">
        <f>IFERROR(VLOOKUP(Final!F2766,'LEAID Match'!$A$2:$B$374,2,FALSE),"")</f>
        <v>400266</v>
      </c>
      <c r="K2766" s="10">
        <f t="shared" si="43"/>
        <v>30352</v>
      </c>
    </row>
    <row r="2767" spans="1:11">
      <c r="A2767">
        <v>400266</v>
      </c>
      <c r="B2767" s="10">
        <v>2016</v>
      </c>
      <c r="C2767" t="s">
        <v>905</v>
      </c>
      <c r="D2767" t="s">
        <v>2472</v>
      </c>
      <c r="E2767" t="s">
        <v>2474</v>
      </c>
      <c r="F2767" t="s">
        <v>1847</v>
      </c>
      <c r="G2767" t="s">
        <v>850</v>
      </c>
      <c r="H2767" s="10">
        <v>29980</v>
      </c>
      <c r="I2767">
        <f>IFERROR(VLOOKUP(Final!F2767,'LEAID Match'!$A$2:$B$374,2,FALSE),"")</f>
        <v>400266</v>
      </c>
      <c r="K2767" s="10">
        <f t="shared" si="43"/>
        <v>29980</v>
      </c>
    </row>
    <row r="2768" spans="1:11">
      <c r="A2768">
        <v>400266</v>
      </c>
      <c r="B2768" s="10">
        <v>2017</v>
      </c>
      <c r="C2768" t="s">
        <v>905</v>
      </c>
      <c r="D2768" t="s">
        <v>2472</v>
      </c>
      <c r="E2768" t="s">
        <v>2474</v>
      </c>
      <c r="F2768" t="s">
        <v>1847</v>
      </c>
      <c r="G2768" t="s">
        <v>1847</v>
      </c>
      <c r="H2768" s="10">
        <v>35375</v>
      </c>
      <c r="I2768">
        <f>IFERROR(VLOOKUP(Final!F2768,'LEAID Match'!$A$2:$B$374,2,FALSE),"")</f>
        <v>400266</v>
      </c>
      <c r="K2768" s="10">
        <f t="shared" si="43"/>
        <v>35375</v>
      </c>
    </row>
    <row r="2769" spans="1:11">
      <c r="A2769">
        <v>400266</v>
      </c>
      <c r="B2769" s="10">
        <v>2018</v>
      </c>
      <c r="C2769" t="s">
        <v>905</v>
      </c>
      <c r="D2769" t="s">
        <v>2472</v>
      </c>
      <c r="E2769" t="s">
        <v>2474</v>
      </c>
      <c r="F2769" t="s">
        <v>1847</v>
      </c>
      <c r="G2769" t="s">
        <v>1847</v>
      </c>
      <c r="H2769" s="10">
        <v>32225</v>
      </c>
      <c r="I2769">
        <f>IFERROR(VLOOKUP(Final!F2769,'LEAID Match'!$A$2:$B$374,2,FALSE),"")</f>
        <v>400266</v>
      </c>
      <c r="K2769" s="10">
        <f t="shared" si="43"/>
        <v>32225</v>
      </c>
    </row>
    <row r="2770" spans="1:11">
      <c r="A2770">
        <v>400266</v>
      </c>
      <c r="B2770" s="10">
        <v>2019</v>
      </c>
      <c r="C2770" t="s">
        <v>905</v>
      </c>
      <c r="D2770" t="s">
        <v>2472</v>
      </c>
      <c r="E2770" t="s">
        <v>2474</v>
      </c>
      <c r="F2770" t="s">
        <v>1847</v>
      </c>
      <c r="G2770" t="s">
        <v>1847</v>
      </c>
      <c r="H2770" s="10">
        <v>35173</v>
      </c>
      <c r="I2770">
        <f>IFERROR(VLOOKUP(Final!F2770,'LEAID Match'!$A$2:$B$374,2,FALSE),"")</f>
        <v>400266</v>
      </c>
      <c r="K2770" s="10">
        <f t="shared" si="43"/>
        <v>35173</v>
      </c>
    </row>
    <row r="2771" spans="1:11">
      <c r="A2771">
        <v>400266</v>
      </c>
      <c r="B2771" s="10">
        <v>2020</v>
      </c>
      <c r="C2771" t="s">
        <v>905</v>
      </c>
      <c r="D2771" t="s">
        <v>2472</v>
      </c>
      <c r="E2771" t="s">
        <v>2474</v>
      </c>
      <c r="F2771" t="s">
        <v>1847</v>
      </c>
      <c r="G2771" t="s">
        <v>1847</v>
      </c>
      <c r="H2771" s="10">
        <v>40367</v>
      </c>
      <c r="I2771">
        <f>IFERROR(VLOOKUP(Final!F2771,'LEAID Match'!$A$2:$B$374,2,FALSE),"")</f>
        <v>400266</v>
      </c>
      <c r="K2771" s="10">
        <f t="shared" si="43"/>
        <v>40367</v>
      </c>
    </row>
    <row r="2772" spans="1:11">
      <c r="A2772">
        <v>400266</v>
      </c>
      <c r="B2772" s="10">
        <v>2021</v>
      </c>
      <c r="C2772" t="s">
        <v>905</v>
      </c>
      <c r="D2772" t="s">
        <v>2472</v>
      </c>
      <c r="E2772" t="s">
        <v>2474</v>
      </c>
      <c r="F2772" t="s">
        <v>1847</v>
      </c>
      <c r="G2772" t="s">
        <v>1847</v>
      </c>
      <c r="H2772" s="10">
        <v>40495</v>
      </c>
      <c r="I2772">
        <f>IFERROR(VLOOKUP(Final!F2772,'LEAID Match'!$A$2:$B$374,2,FALSE),"")</f>
        <v>400266</v>
      </c>
      <c r="K2772" s="10">
        <f t="shared" si="43"/>
        <v>40495</v>
      </c>
    </row>
    <row r="2773" spans="1:11">
      <c r="A2773">
        <v>400266</v>
      </c>
      <c r="B2773" s="10">
        <v>2022</v>
      </c>
      <c r="C2773" t="s">
        <v>905</v>
      </c>
      <c r="D2773" t="s">
        <v>2472</v>
      </c>
      <c r="E2773" t="s">
        <v>2474</v>
      </c>
      <c r="F2773" t="s">
        <v>1847</v>
      </c>
      <c r="G2773" t="s">
        <v>1847</v>
      </c>
      <c r="H2773" s="10">
        <v>60124</v>
      </c>
      <c r="I2773">
        <f>IFERROR(VLOOKUP(Final!F2773,'LEAID Match'!$A$2:$B$374,2,FALSE),"")</f>
        <v>400266</v>
      </c>
      <c r="K2773" s="10">
        <f t="shared" si="43"/>
        <v>60124</v>
      </c>
    </row>
    <row r="2774" spans="1:11">
      <c r="A2774">
        <v>400266</v>
      </c>
      <c r="B2774" s="10">
        <v>2023</v>
      </c>
      <c r="C2774" t="s">
        <v>905</v>
      </c>
      <c r="D2774" t="s">
        <v>2472</v>
      </c>
      <c r="E2774" t="s">
        <v>2474</v>
      </c>
      <c r="F2774" t="s">
        <v>1847</v>
      </c>
      <c r="G2774" t="s">
        <v>1847</v>
      </c>
      <c r="H2774" s="10">
        <v>57198</v>
      </c>
      <c r="I2774">
        <f>IFERROR(VLOOKUP(Final!F2774,'LEAID Match'!$A$2:$B$374,2,FALSE),"")</f>
        <v>400266</v>
      </c>
      <c r="K2774" s="10">
        <f t="shared" si="43"/>
        <v>57198</v>
      </c>
    </row>
    <row r="2775" spans="1:11">
      <c r="A2775" t="s">
        <v>2470</v>
      </c>
      <c r="B2775" s="10">
        <v>2015</v>
      </c>
      <c r="C2775" t="s">
        <v>784</v>
      </c>
      <c r="D2775" t="s">
        <v>2472</v>
      </c>
      <c r="E2775" t="s">
        <v>2474</v>
      </c>
      <c r="F2775" t="s">
        <v>1795</v>
      </c>
      <c r="G2775" t="s">
        <v>729</v>
      </c>
      <c r="H2775" s="10">
        <v>35693179</v>
      </c>
      <c r="I2775" t="str">
        <f>IFERROR(VLOOKUP(Final!F2775,'LEAID Match'!$A$2:$B$374,2,FALSE),"")</f>
        <v/>
      </c>
      <c r="K2775" s="10">
        <f t="shared" si="43"/>
        <v>35693179</v>
      </c>
    </row>
    <row r="2776" spans="1:11">
      <c r="A2776" t="s">
        <v>2470</v>
      </c>
      <c r="B2776" s="10">
        <v>2016</v>
      </c>
      <c r="C2776" t="s">
        <v>784</v>
      </c>
      <c r="D2776" t="s">
        <v>2472</v>
      </c>
      <c r="E2776" t="s">
        <v>2474</v>
      </c>
      <c r="F2776" t="s">
        <v>1795</v>
      </c>
      <c r="G2776" t="s">
        <v>729</v>
      </c>
      <c r="H2776" s="10">
        <v>37204006</v>
      </c>
      <c r="I2776" t="str">
        <f>IFERROR(VLOOKUP(Final!F2776,'LEAID Match'!$A$2:$B$374,2,FALSE),"")</f>
        <v/>
      </c>
      <c r="K2776" s="10">
        <f t="shared" si="43"/>
        <v>37204006</v>
      </c>
    </row>
    <row r="2777" spans="1:11">
      <c r="A2777" t="s">
        <v>2470</v>
      </c>
      <c r="B2777" s="10">
        <v>2017</v>
      </c>
      <c r="C2777" t="s">
        <v>784</v>
      </c>
      <c r="D2777" t="s">
        <v>2472</v>
      </c>
      <c r="E2777" t="s">
        <v>2474</v>
      </c>
      <c r="F2777" t="s">
        <v>1795</v>
      </c>
      <c r="G2777" t="s">
        <v>1795</v>
      </c>
      <c r="H2777" s="10">
        <v>38591304</v>
      </c>
      <c r="I2777" t="str">
        <f>IFERROR(VLOOKUP(Final!F2777,'LEAID Match'!$A$2:$B$374,2,FALSE),"")</f>
        <v/>
      </c>
      <c r="K2777" s="10">
        <f t="shared" si="43"/>
        <v>38591304</v>
      </c>
    </row>
    <row r="2778" spans="1:11">
      <c r="A2778" t="s">
        <v>2470</v>
      </c>
      <c r="B2778" s="10">
        <v>2018</v>
      </c>
      <c r="C2778" t="s">
        <v>784</v>
      </c>
      <c r="D2778" t="s">
        <v>2472</v>
      </c>
      <c r="E2778" t="s">
        <v>2474</v>
      </c>
      <c r="F2778" t="s">
        <v>1795</v>
      </c>
      <c r="G2778" t="s">
        <v>2229</v>
      </c>
      <c r="H2778" s="10">
        <v>38352260</v>
      </c>
      <c r="I2778" t="str">
        <f>IFERROR(VLOOKUP(Final!F2778,'LEAID Match'!$A$2:$B$374,2,FALSE),"")</f>
        <v/>
      </c>
      <c r="K2778" s="10">
        <f t="shared" si="43"/>
        <v>38352260</v>
      </c>
    </row>
    <row r="2779" spans="1:11">
      <c r="A2779" t="s">
        <v>2470</v>
      </c>
      <c r="B2779" s="10">
        <v>2019</v>
      </c>
      <c r="C2779" t="s">
        <v>784</v>
      </c>
      <c r="D2779" t="s">
        <v>2472</v>
      </c>
      <c r="E2779" t="s">
        <v>2474</v>
      </c>
      <c r="F2779" t="s">
        <v>1795</v>
      </c>
      <c r="G2779" t="s">
        <v>1795</v>
      </c>
      <c r="H2779" s="10">
        <v>39375707</v>
      </c>
      <c r="I2779" t="str">
        <f>IFERROR(VLOOKUP(Final!F2779,'LEAID Match'!$A$2:$B$374,2,FALSE),"")</f>
        <v/>
      </c>
      <c r="K2779" s="10">
        <f t="shared" si="43"/>
        <v>39375707</v>
      </c>
    </row>
    <row r="2780" spans="1:11">
      <c r="A2780" t="s">
        <v>2470</v>
      </c>
      <c r="B2780" s="10">
        <v>2020</v>
      </c>
      <c r="C2780" t="s">
        <v>784</v>
      </c>
      <c r="D2780" t="s">
        <v>2472</v>
      </c>
      <c r="E2780" t="s">
        <v>2474</v>
      </c>
      <c r="F2780" t="s">
        <v>1795</v>
      </c>
      <c r="G2780" t="s">
        <v>1795</v>
      </c>
      <c r="H2780" s="10">
        <v>43114786</v>
      </c>
      <c r="I2780" t="str">
        <f>IFERROR(VLOOKUP(Final!F2780,'LEAID Match'!$A$2:$B$374,2,FALSE),"")</f>
        <v/>
      </c>
      <c r="K2780" s="10">
        <f t="shared" si="43"/>
        <v>43114786</v>
      </c>
    </row>
    <row r="2781" spans="1:11">
      <c r="A2781" t="s">
        <v>2470</v>
      </c>
      <c r="B2781" s="10">
        <v>2021</v>
      </c>
      <c r="C2781" t="s">
        <v>784</v>
      </c>
      <c r="D2781" t="s">
        <v>2472</v>
      </c>
      <c r="E2781" t="s">
        <v>2474</v>
      </c>
      <c r="F2781" t="s">
        <v>1795</v>
      </c>
      <c r="G2781" t="s">
        <v>1795</v>
      </c>
      <c r="H2781" s="10">
        <v>45070367</v>
      </c>
      <c r="I2781" t="str">
        <f>IFERROR(VLOOKUP(Final!F2781,'LEAID Match'!$A$2:$B$374,2,FALSE),"")</f>
        <v/>
      </c>
      <c r="K2781" s="10">
        <f t="shared" si="43"/>
        <v>45070367</v>
      </c>
    </row>
    <row r="2782" spans="1:11">
      <c r="A2782" t="s">
        <v>2470</v>
      </c>
      <c r="B2782" s="10">
        <v>2022</v>
      </c>
      <c r="C2782" t="s">
        <v>784</v>
      </c>
      <c r="D2782" t="s">
        <v>2472</v>
      </c>
      <c r="E2782" t="s">
        <v>2474</v>
      </c>
      <c r="F2782" t="s">
        <v>1795</v>
      </c>
      <c r="G2782" t="s">
        <v>1795</v>
      </c>
      <c r="H2782" s="10">
        <v>46768324</v>
      </c>
      <c r="I2782" t="str">
        <f>IFERROR(VLOOKUP(Final!F2782,'LEAID Match'!$A$2:$B$374,2,FALSE),"")</f>
        <v/>
      </c>
      <c r="K2782" s="10">
        <f t="shared" si="43"/>
        <v>46768324</v>
      </c>
    </row>
    <row r="2783" spans="1:11">
      <c r="A2783" t="s">
        <v>2470</v>
      </c>
      <c r="B2783" s="10">
        <v>2023</v>
      </c>
      <c r="C2783" t="s">
        <v>784</v>
      </c>
      <c r="D2783" t="s">
        <v>2472</v>
      </c>
      <c r="E2783" t="s">
        <v>2474</v>
      </c>
      <c r="F2783" t="s">
        <v>1795</v>
      </c>
      <c r="G2783" t="s">
        <v>1795</v>
      </c>
      <c r="H2783" s="10">
        <v>48721245</v>
      </c>
      <c r="I2783" t="str">
        <f>IFERROR(VLOOKUP(Final!F2783,'LEAID Match'!$A$2:$B$374,2,FALSE),"")</f>
        <v/>
      </c>
      <c r="K2783" s="10">
        <f t="shared" si="43"/>
        <v>48721245</v>
      </c>
    </row>
    <row r="2784" spans="1:11">
      <c r="A2784">
        <v>400028</v>
      </c>
      <c r="B2784" s="10">
        <v>2015</v>
      </c>
      <c r="C2784" t="s">
        <v>1256</v>
      </c>
      <c r="D2784" t="s">
        <v>2472</v>
      </c>
      <c r="E2784" t="s">
        <v>2474</v>
      </c>
      <c r="F2784" t="s">
        <v>1202</v>
      </c>
      <c r="G2784" t="s">
        <v>1202</v>
      </c>
      <c r="H2784" s="10">
        <v>35883</v>
      </c>
      <c r="I2784">
        <f>IFERROR(VLOOKUP(Final!F2784,'LEAID Match'!$A$2:$B$374,2,FALSE),"")</f>
        <v>400028</v>
      </c>
      <c r="K2784" s="10">
        <f t="shared" si="43"/>
        <v>35883</v>
      </c>
    </row>
    <row r="2785" spans="1:11">
      <c r="A2785">
        <v>400028</v>
      </c>
      <c r="B2785" s="10">
        <v>2016</v>
      </c>
      <c r="C2785" t="s">
        <v>1256</v>
      </c>
      <c r="D2785" t="s">
        <v>2472</v>
      </c>
      <c r="E2785" t="s">
        <v>2474</v>
      </c>
      <c r="F2785" t="s">
        <v>1202</v>
      </c>
      <c r="G2785" t="s">
        <v>1202</v>
      </c>
      <c r="H2785" s="10">
        <v>36634</v>
      </c>
      <c r="I2785">
        <f>IFERROR(VLOOKUP(Final!F2785,'LEAID Match'!$A$2:$B$374,2,FALSE),"")</f>
        <v>400028</v>
      </c>
      <c r="K2785" s="10">
        <f t="shared" si="43"/>
        <v>36634</v>
      </c>
    </row>
    <row r="2786" spans="1:11">
      <c r="A2786">
        <v>400028</v>
      </c>
      <c r="B2786" s="10">
        <v>2017</v>
      </c>
      <c r="C2786" t="s">
        <v>1256</v>
      </c>
      <c r="D2786" t="s">
        <v>2472</v>
      </c>
      <c r="E2786" t="s">
        <v>2474</v>
      </c>
      <c r="F2786" t="s">
        <v>1202</v>
      </c>
      <c r="G2786" t="s">
        <v>1202</v>
      </c>
      <c r="H2786" s="10">
        <v>40515</v>
      </c>
      <c r="I2786">
        <f>IFERROR(VLOOKUP(Final!F2786,'LEAID Match'!$A$2:$B$374,2,FALSE),"")</f>
        <v>400028</v>
      </c>
      <c r="K2786" s="10">
        <f t="shared" si="43"/>
        <v>40515</v>
      </c>
    </row>
    <row r="2787" spans="1:11">
      <c r="A2787">
        <v>400028</v>
      </c>
      <c r="B2787" s="10">
        <v>2018</v>
      </c>
      <c r="C2787" t="s">
        <v>1256</v>
      </c>
      <c r="D2787" t="s">
        <v>2472</v>
      </c>
      <c r="E2787" t="s">
        <v>2474</v>
      </c>
      <c r="F2787" t="s">
        <v>1202</v>
      </c>
      <c r="G2787" t="s">
        <v>1202</v>
      </c>
      <c r="H2787" s="10">
        <v>45794</v>
      </c>
      <c r="I2787">
        <f>IFERROR(VLOOKUP(Final!F2787,'LEAID Match'!$A$2:$B$374,2,FALSE),"")</f>
        <v>400028</v>
      </c>
      <c r="K2787" s="10">
        <f t="shared" si="43"/>
        <v>45794</v>
      </c>
    </row>
    <row r="2788" spans="1:11">
      <c r="A2788">
        <v>400028</v>
      </c>
      <c r="B2788" s="10">
        <v>2019</v>
      </c>
      <c r="C2788" t="s">
        <v>1256</v>
      </c>
      <c r="D2788" t="s">
        <v>2472</v>
      </c>
      <c r="E2788" t="s">
        <v>2474</v>
      </c>
      <c r="F2788" t="s">
        <v>1202</v>
      </c>
      <c r="G2788" t="s">
        <v>1202</v>
      </c>
      <c r="H2788" s="10">
        <v>48762</v>
      </c>
      <c r="I2788">
        <f>IFERROR(VLOOKUP(Final!F2788,'LEAID Match'!$A$2:$B$374,2,FALSE),"")</f>
        <v>400028</v>
      </c>
      <c r="K2788" s="10">
        <f t="shared" si="43"/>
        <v>48762</v>
      </c>
    </row>
    <row r="2789" spans="1:11">
      <c r="A2789">
        <v>400028</v>
      </c>
      <c r="B2789" s="10">
        <v>2020</v>
      </c>
      <c r="C2789" t="s">
        <v>1256</v>
      </c>
      <c r="D2789" t="s">
        <v>2472</v>
      </c>
      <c r="E2789" t="s">
        <v>2474</v>
      </c>
      <c r="F2789" t="s">
        <v>1202</v>
      </c>
      <c r="G2789" t="s">
        <v>1202</v>
      </c>
      <c r="H2789" s="10">
        <v>48265</v>
      </c>
      <c r="I2789">
        <f>IFERROR(VLOOKUP(Final!F2789,'LEAID Match'!$A$2:$B$374,2,FALSE),"")</f>
        <v>400028</v>
      </c>
      <c r="K2789" s="10">
        <f t="shared" si="43"/>
        <v>48265</v>
      </c>
    </row>
    <row r="2790" spans="1:11">
      <c r="A2790">
        <v>400028</v>
      </c>
      <c r="B2790" s="10">
        <v>2021</v>
      </c>
      <c r="C2790" t="s">
        <v>1256</v>
      </c>
      <c r="D2790" t="s">
        <v>2472</v>
      </c>
      <c r="E2790" t="s">
        <v>2474</v>
      </c>
      <c r="F2790" t="s">
        <v>1202</v>
      </c>
      <c r="G2790" t="s">
        <v>1202</v>
      </c>
      <c r="H2790" s="10">
        <v>52936</v>
      </c>
      <c r="I2790">
        <f>IFERROR(VLOOKUP(Final!F2790,'LEAID Match'!$A$2:$B$374,2,FALSE),"")</f>
        <v>400028</v>
      </c>
      <c r="K2790" s="10">
        <f t="shared" si="43"/>
        <v>52936</v>
      </c>
    </row>
    <row r="2791" spans="1:11">
      <c r="A2791">
        <v>400028</v>
      </c>
      <c r="B2791" s="10">
        <v>2022</v>
      </c>
      <c r="C2791" t="s">
        <v>1256</v>
      </c>
      <c r="D2791" t="s">
        <v>2472</v>
      </c>
      <c r="E2791" t="s">
        <v>2474</v>
      </c>
      <c r="F2791" t="s">
        <v>1202</v>
      </c>
      <c r="G2791" t="s">
        <v>1202</v>
      </c>
      <c r="H2791" s="10">
        <v>54849</v>
      </c>
      <c r="I2791">
        <f>IFERROR(VLOOKUP(Final!F2791,'LEAID Match'!$A$2:$B$374,2,FALSE),"")</f>
        <v>400028</v>
      </c>
      <c r="K2791" s="10">
        <f t="shared" si="43"/>
        <v>54849</v>
      </c>
    </row>
    <row r="2792" spans="1:11">
      <c r="A2792">
        <v>400028</v>
      </c>
      <c r="B2792" s="10">
        <v>2023</v>
      </c>
      <c r="C2792" t="s">
        <v>1256</v>
      </c>
      <c r="D2792" t="s">
        <v>2472</v>
      </c>
      <c r="E2792" t="s">
        <v>2474</v>
      </c>
      <c r="F2792" t="s">
        <v>1202</v>
      </c>
      <c r="G2792" t="s">
        <v>1202</v>
      </c>
      <c r="H2792" s="10">
        <v>66476</v>
      </c>
      <c r="I2792">
        <f>IFERROR(VLOOKUP(Final!F2792,'LEAID Match'!$A$2:$B$374,2,FALSE),"")</f>
        <v>400028</v>
      </c>
      <c r="K2792" s="10">
        <f t="shared" si="43"/>
        <v>66476</v>
      </c>
    </row>
    <row r="2793" spans="1:11">
      <c r="A2793">
        <v>400092</v>
      </c>
      <c r="B2793" s="10">
        <v>2015</v>
      </c>
      <c r="C2793" t="s">
        <v>598</v>
      </c>
      <c r="D2793" t="s">
        <v>2472</v>
      </c>
      <c r="E2793" t="s">
        <v>2474</v>
      </c>
      <c r="F2793" t="s">
        <v>543</v>
      </c>
      <c r="G2793" t="s">
        <v>543</v>
      </c>
      <c r="H2793" s="10">
        <v>176889</v>
      </c>
      <c r="I2793">
        <f>IFERROR(VLOOKUP(Final!F2793,'LEAID Match'!$A$2:$B$374,2,FALSE),"")</f>
        <v>400092</v>
      </c>
      <c r="K2793" s="10">
        <f t="shared" si="43"/>
        <v>176889</v>
      </c>
    </row>
    <row r="2794" spans="1:11">
      <c r="A2794">
        <v>400092</v>
      </c>
      <c r="B2794" s="10">
        <v>2016</v>
      </c>
      <c r="C2794" t="s">
        <v>598</v>
      </c>
      <c r="D2794" t="s">
        <v>2472</v>
      </c>
      <c r="E2794" t="s">
        <v>2474</v>
      </c>
      <c r="F2794" t="s">
        <v>543</v>
      </c>
      <c r="G2794" t="s">
        <v>543</v>
      </c>
      <c r="H2794" s="10">
        <v>170545</v>
      </c>
      <c r="I2794">
        <f>IFERROR(VLOOKUP(Final!F2794,'LEAID Match'!$A$2:$B$374,2,FALSE),"")</f>
        <v>400092</v>
      </c>
      <c r="K2794" s="10">
        <f t="shared" si="43"/>
        <v>170545</v>
      </c>
    </row>
    <row r="2795" spans="1:11">
      <c r="A2795">
        <v>400092</v>
      </c>
      <c r="B2795" s="10">
        <v>2017</v>
      </c>
      <c r="C2795" t="s">
        <v>598</v>
      </c>
      <c r="D2795" t="s">
        <v>2472</v>
      </c>
      <c r="E2795" t="s">
        <v>2474</v>
      </c>
      <c r="F2795" t="s">
        <v>543</v>
      </c>
      <c r="G2795" t="s">
        <v>543</v>
      </c>
      <c r="H2795" s="10">
        <v>191031</v>
      </c>
      <c r="I2795">
        <f>IFERROR(VLOOKUP(Final!F2795,'LEAID Match'!$A$2:$B$374,2,FALSE),"")</f>
        <v>400092</v>
      </c>
      <c r="K2795" s="10">
        <f t="shared" si="43"/>
        <v>191031</v>
      </c>
    </row>
    <row r="2796" spans="1:11">
      <c r="A2796">
        <v>400092</v>
      </c>
      <c r="B2796" s="10">
        <v>2018</v>
      </c>
      <c r="C2796" t="s">
        <v>598</v>
      </c>
      <c r="D2796" t="s">
        <v>2472</v>
      </c>
      <c r="E2796" t="s">
        <v>2474</v>
      </c>
      <c r="F2796" t="s">
        <v>543</v>
      </c>
      <c r="G2796" t="s">
        <v>543</v>
      </c>
      <c r="H2796" s="10">
        <v>249793</v>
      </c>
      <c r="I2796">
        <f>IFERROR(VLOOKUP(Final!F2796,'LEAID Match'!$A$2:$B$374,2,FALSE),"")</f>
        <v>400092</v>
      </c>
      <c r="K2796" s="10">
        <f t="shared" si="43"/>
        <v>249793</v>
      </c>
    </row>
    <row r="2797" spans="1:11">
      <c r="A2797">
        <v>400092</v>
      </c>
      <c r="B2797" s="10">
        <v>2019</v>
      </c>
      <c r="C2797" t="s">
        <v>598</v>
      </c>
      <c r="D2797" t="s">
        <v>2472</v>
      </c>
      <c r="E2797" t="s">
        <v>2474</v>
      </c>
      <c r="F2797" t="s">
        <v>543</v>
      </c>
      <c r="G2797" t="s">
        <v>543</v>
      </c>
      <c r="H2797" s="10">
        <v>233392</v>
      </c>
      <c r="I2797">
        <f>IFERROR(VLOOKUP(Final!F2797,'LEAID Match'!$A$2:$B$374,2,FALSE),"")</f>
        <v>400092</v>
      </c>
      <c r="K2797" s="10">
        <f t="shared" si="43"/>
        <v>233392</v>
      </c>
    </row>
    <row r="2798" spans="1:11">
      <c r="A2798">
        <v>400092</v>
      </c>
      <c r="B2798" s="10">
        <v>2020</v>
      </c>
      <c r="C2798" t="s">
        <v>598</v>
      </c>
      <c r="D2798" t="s">
        <v>2472</v>
      </c>
      <c r="E2798" t="s">
        <v>2474</v>
      </c>
      <c r="F2798" t="s">
        <v>543</v>
      </c>
      <c r="G2798" t="s">
        <v>543</v>
      </c>
      <c r="H2798" s="10">
        <v>248190</v>
      </c>
      <c r="I2798">
        <f>IFERROR(VLOOKUP(Final!F2798,'LEAID Match'!$A$2:$B$374,2,FALSE),"")</f>
        <v>400092</v>
      </c>
      <c r="K2798" s="10">
        <f t="shared" si="43"/>
        <v>248190</v>
      </c>
    </row>
    <row r="2799" spans="1:11">
      <c r="A2799">
        <v>400092</v>
      </c>
      <c r="B2799" s="10">
        <v>2021</v>
      </c>
      <c r="C2799" t="s">
        <v>598</v>
      </c>
      <c r="D2799" t="s">
        <v>2472</v>
      </c>
      <c r="E2799" t="s">
        <v>2474</v>
      </c>
      <c r="F2799" t="s">
        <v>543</v>
      </c>
      <c r="G2799" t="s">
        <v>543</v>
      </c>
      <c r="H2799" s="10">
        <v>257764</v>
      </c>
      <c r="I2799">
        <f>IFERROR(VLOOKUP(Final!F2799,'LEAID Match'!$A$2:$B$374,2,FALSE),"")</f>
        <v>400092</v>
      </c>
      <c r="K2799" s="10">
        <f t="shared" si="43"/>
        <v>257764</v>
      </c>
    </row>
    <row r="2800" spans="1:11">
      <c r="A2800">
        <v>400092</v>
      </c>
      <c r="B2800" s="10">
        <v>2022</v>
      </c>
      <c r="C2800" t="s">
        <v>598</v>
      </c>
      <c r="D2800" t="s">
        <v>2472</v>
      </c>
      <c r="E2800" t="s">
        <v>2474</v>
      </c>
      <c r="F2800" t="s">
        <v>543</v>
      </c>
      <c r="G2800" t="s">
        <v>543</v>
      </c>
      <c r="H2800" s="10">
        <v>271110</v>
      </c>
      <c r="I2800">
        <f>IFERROR(VLOOKUP(Final!F2800,'LEAID Match'!$A$2:$B$374,2,FALSE),"")</f>
        <v>400092</v>
      </c>
      <c r="K2800" s="10">
        <f t="shared" si="43"/>
        <v>271110</v>
      </c>
    </row>
    <row r="2801" spans="1:11">
      <c r="A2801">
        <v>400092</v>
      </c>
      <c r="B2801" s="10">
        <v>2023</v>
      </c>
      <c r="C2801" t="s">
        <v>598</v>
      </c>
      <c r="D2801" t="s">
        <v>2472</v>
      </c>
      <c r="E2801" t="s">
        <v>2474</v>
      </c>
      <c r="F2801" t="s">
        <v>543</v>
      </c>
      <c r="G2801" t="s">
        <v>543</v>
      </c>
      <c r="H2801" s="10">
        <v>311433</v>
      </c>
      <c r="I2801">
        <f>IFERROR(VLOOKUP(Final!F2801,'LEAID Match'!$A$2:$B$374,2,FALSE),"")</f>
        <v>400092</v>
      </c>
      <c r="K2801" s="10">
        <f t="shared" si="43"/>
        <v>311433</v>
      </c>
    </row>
    <row r="2802" spans="1:11">
      <c r="A2802">
        <v>400075</v>
      </c>
      <c r="B2802" s="10">
        <v>2015</v>
      </c>
      <c r="C2802" t="s">
        <v>1349</v>
      </c>
      <c r="D2802" t="s">
        <v>2472</v>
      </c>
      <c r="E2802" t="s">
        <v>2474</v>
      </c>
      <c r="F2802" t="s">
        <v>2033</v>
      </c>
      <c r="G2802" t="s">
        <v>1301</v>
      </c>
      <c r="H2802" s="10">
        <v>143123</v>
      </c>
      <c r="I2802">
        <f>IFERROR(VLOOKUP(Final!F2802,'LEAID Match'!$A$2:$B$374,2,FALSE),"")</f>
        <v>400075</v>
      </c>
      <c r="K2802" s="10">
        <f t="shared" si="43"/>
        <v>143123</v>
      </c>
    </row>
    <row r="2803" spans="1:11">
      <c r="A2803">
        <v>400075</v>
      </c>
      <c r="B2803" s="10">
        <v>2016</v>
      </c>
      <c r="C2803" t="s">
        <v>1349</v>
      </c>
      <c r="D2803" t="s">
        <v>2472</v>
      </c>
      <c r="E2803" t="s">
        <v>2474</v>
      </c>
      <c r="F2803" t="s">
        <v>2033</v>
      </c>
      <c r="G2803" t="s">
        <v>1301</v>
      </c>
      <c r="H2803" s="10">
        <v>151642</v>
      </c>
      <c r="I2803">
        <f>IFERROR(VLOOKUP(Final!F2803,'LEAID Match'!$A$2:$B$374,2,FALSE),"")</f>
        <v>400075</v>
      </c>
      <c r="K2803" s="10">
        <f t="shared" si="43"/>
        <v>151642</v>
      </c>
    </row>
    <row r="2804" spans="1:11">
      <c r="A2804">
        <v>400075</v>
      </c>
      <c r="B2804" s="10">
        <v>2017</v>
      </c>
      <c r="C2804" t="s">
        <v>1349</v>
      </c>
      <c r="D2804" t="s">
        <v>2472</v>
      </c>
      <c r="E2804" t="s">
        <v>2474</v>
      </c>
      <c r="F2804" t="s">
        <v>2033</v>
      </c>
      <c r="G2804" t="s">
        <v>2033</v>
      </c>
      <c r="H2804" s="10">
        <v>157161</v>
      </c>
      <c r="I2804">
        <f>IFERROR(VLOOKUP(Final!F2804,'LEAID Match'!$A$2:$B$374,2,FALSE),"")</f>
        <v>400075</v>
      </c>
      <c r="K2804" s="10">
        <f t="shared" si="43"/>
        <v>157161</v>
      </c>
    </row>
    <row r="2805" spans="1:11">
      <c r="A2805">
        <v>400075</v>
      </c>
      <c r="B2805" s="10">
        <v>2018</v>
      </c>
      <c r="C2805" t="s">
        <v>1349</v>
      </c>
      <c r="D2805" t="s">
        <v>2472</v>
      </c>
      <c r="E2805" t="s">
        <v>2474</v>
      </c>
      <c r="F2805" t="s">
        <v>2033</v>
      </c>
      <c r="G2805" t="s">
        <v>2033</v>
      </c>
      <c r="H2805" s="10">
        <v>179996</v>
      </c>
      <c r="I2805">
        <f>IFERROR(VLOOKUP(Final!F2805,'LEAID Match'!$A$2:$B$374,2,FALSE),"")</f>
        <v>400075</v>
      </c>
      <c r="K2805" s="10">
        <f t="shared" si="43"/>
        <v>179996</v>
      </c>
    </row>
    <row r="2806" spans="1:11">
      <c r="A2806">
        <v>400075</v>
      </c>
      <c r="B2806" s="10">
        <v>2019</v>
      </c>
      <c r="C2806" t="s">
        <v>1349</v>
      </c>
      <c r="D2806" t="s">
        <v>2472</v>
      </c>
      <c r="E2806" t="s">
        <v>2474</v>
      </c>
      <c r="F2806" t="s">
        <v>2033</v>
      </c>
      <c r="G2806" t="s">
        <v>2033</v>
      </c>
      <c r="H2806" s="10">
        <v>220413</v>
      </c>
      <c r="I2806">
        <f>IFERROR(VLOOKUP(Final!F2806,'LEAID Match'!$A$2:$B$374,2,FALSE),"")</f>
        <v>400075</v>
      </c>
      <c r="K2806" s="10">
        <f t="shared" si="43"/>
        <v>220413</v>
      </c>
    </row>
    <row r="2807" spans="1:11">
      <c r="A2807">
        <v>400075</v>
      </c>
      <c r="B2807" s="10">
        <v>2020</v>
      </c>
      <c r="C2807" t="s">
        <v>1349</v>
      </c>
      <c r="D2807" t="s">
        <v>2472</v>
      </c>
      <c r="E2807" t="s">
        <v>2474</v>
      </c>
      <c r="F2807" t="s">
        <v>2033</v>
      </c>
      <c r="G2807" t="s">
        <v>2033</v>
      </c>
      <c r="H2807" s="10">
        <v>236334</v>
      </c>
      <c r="I2807">
        <f>IFERROR(VLOOKUP(Final!F2807,'LEAID Match'!$A$2:$B$374,2,FALSE),"")</f>
        <v>400075</v>
      </c>
      <c r="K2807" s="10">
        <f t="shared" si="43"/>
        <v>236334</v>
      </c>
    </row>
    <row r="2808" spans="1:11">
      <c r="A2808">
        <v>400075</v>
      </c>
      <c r="B2808" s="10">
        <v>2021</v>
      </c>
      <c r="C2808" t="s">
        <v>1349</v>
      </c>
      <c r="D2808" t="s">
        <v>2472</v>
      </c>
      <c r="E2808" t="s">
        <v>2474</v>
      </c>
      <c r="F2808" t="s">
        <v>2033</v>
      </c>
      <c r="G2808" t="s">
        <v>2033</v>
      </c>
      <c r="H2808" s="10">
        <v>251347</v>
      </c>
      <c r="I2808">
        <f>IFERROR(VLOOKUP(Final!F2808,'LEAID Match'!$A$2:$B$374,2,FALSE),"")</f>
        <v>400075</v>
      </c>
      <c r="K2808" s="10">
        <f t="shared" si="43"/>
        <v>251347</v>
      </c>
    </row>
    <row r="2809" spans="1:11">
      <c r="A2809">
        <v>400075</v>
      </c>
      <c r="B2809" s="10">
        <v>2022</v>
      </c>
      <c r="C2809" t="s">
        <v>1349</v>
      </c>
      <c r="D2809" t="s">
        <v>2472</v>
      </c>
      <c r="E2809" t="s">
        <v>2474</v>
      </c>
      <c r="F2809" t="s">
        <v>2033</v>
      </c>
      <c r="G2809" t="s">
        <v>2033</v>
      </c>
      <c r="H2809" s="10">
        <v>269850</v>
      </c>
      <c r="I2809">
        <f>IFERROR(VLOOKUP(Final!F2809,'LEAID Match'!$A$2:$B$374,2,FALSE),"")</f>
        <v>400075</v>
      </c>
      <c r="K2809" s="10">
        <f t="shared" si="43"/>
        <v>269850</v>
      </c>
    </row>
    <row r="2810" spans="1:11">
      <c r="A2810">
        <v>400075</v>
      </c>
      <c r="B2810" s="10">
        <v>2023</v>
      </c>
      <c r="C2810" t="s">
        <v>1349</v>
      </c>
      <c r="D2810" t="s">
        <v>2472</v>
      </c>
      <c r="E2810" t="s">
        <v>2474</v>
      </c>
      <c r="F2810" t="s">
        <v>2033</v>
      </c>
      <c r="G2810" t="s">
        <v>2033</v>
      </c>
      <c r="H2810" s="10">
        <v>247754</v>
      </c>
      <c r="I2810">
        <f>IFERROR(VLOOKUP(Final!F2810,'LEAID Match'!$A$2:$B$374,2,FALSE),"")</f>
        <v>400075</v>
      </c>
      <c r="K2810" s="10">
        <f t="shared" si="43"/>
        <v>247754</v>
      </c>
    </row>
    <row r="2811" spans="1:11">
      <c r="A2811">
        <v>400081</v>
      </c>
      <c r="B2811" s="10">
        <v>2015</v>
      </c>
      <c r="C2811" t="s">
        <v>1022</v>
      </c>
      <c r="D2811" t="s">
        <v>2472</v>
      </c>
      <c r="E2811" t="s">
        <v>2474</v>
      </c>
      <c r="F2811" t="s">
        <v>1904</v>
      </c>
      <c r="G2811" t="s">
        <v>967</v>
      </c>
      <c r="H2811" s="10">
        <v>135309</v>
      </c>
      <c r="I2811">
        <f>IFERROR(VLOOKUP(Final!F2811,'LEAID Match'!$A$2:$B$374,2,FALSE),"")</f>
        <v>400081</v>
      </c>
      <c r="K2811" s="10">
        <f t="shared" si="43"/>
        <v>135309</v>
      </c>
    </row>
    <row r="2812" spans="1:11">
      <c r="A2812">
        <v>400081</v>
      </c>
      <c r="B2812" s="10">
        <v>2016</v>
      </c>
      <c r="C2812" t="s">
        <v>1022</v>
      </c>
      <c r="D2812" t="s">
        <v>2472</v>
      </c>
      <c r="E2812" t="s">
        <v>2474</v>
      </c>
      <c r="F2812" t="s">
        <v>1904</v>
      </c>
      <c r="G2812" t="s">
        <v>967</v>
      </c>
      <c r="H2812" s="10">
        <v>135540</v>
      </c>
      <c r="I2812">
        <f>IFERROR(VLOOKUP(Final!F2812,'LEAID Match'!$A$2:$B$374,2,FALSE),"")</f>
        <v>400081</v>
      </c>
      <c r="K2812" s="10">
        <f t="shared" si="43"/>
        <v>135540</v>
      </c>
    </row>
    <row r="2813" spans="1:11">
      <c r="A2813">
        <v>400081</v>
      </c>
      <c r="B2813" s="10">
        <v>2017</v>
      </c>
      <c r="C2813" t="s">
        <v>1022</v>
      </c>
      <c r="D2813" t="s">
        <v>2472</v>
      </c>
      <c r="E2813" t="s">
        <v>2474</v>
      </c>
      <c r="F2813" t="s">
        <v>1904</v>
      </c>
      <c r="G2813" t="s">
        <v>1904</v>
      </c>
      <c r="H2813" s="10">
        <v>152610</v>
      </c>
      <c r="I2813">
        <f>IFERROR(VLOOKUP(Final!F2813,'LEAID Match'!$A$2:$B$374,2,FALSE),"")</f>
        <v>400081</v>
      </c>
      <c r="K2813" s="10">
        <f t="shared" si="43"/>
        <v>152610</v>
      </c>
    </row>
    <row r="2814" spans="1:11">
      <c r="A2814">
        <v>400081</v>
      </c>
      <c r="B2814" s="10">
        <v>2018</v>
      </c>
      <c r="C2814" t="s">
        <v>1022</v>
      </c>
      <c r="D2814" t="s">
        <v>2472</v>
      </c>
      <c r="E2814" t="s">
        <v>2474</v>
      </c>
      <c r="F2814" t="s">
        <v>1904</v>
      </c>
      <c r="G2814" t="s">
        <v>1904</v>
      </c>
      <c r="H2814" s="10">
        <v>161496</v>
      </c>
      <c r="I2814">
        <f>IFERROR(VLOOKUP(Final!F2814,'LEAID Match'!$A$2:$B$374,2,FALSE),"")</f>
        <v>400081</v>
      </c>
      <c r="K2814" s="10">
        <f t="shared" si="43"/>
        <v>161496</v>
      </c>
    </row>
    <row r="2815" spans="1:11">
      <c r="A2815">
        <v>400081</v>
      </c>
      <c r="B2815" s="10">
        <v>2019</v>
      </c>
      <c r="C2815" t="s">
        <v>1022</v>
      </c>
      <c r="D2815" t="s">
        <v>2472</v>
      </c>
      <c r="E2815" t="s">
        <v>2474</v>
      </c>
      <c r="F2815" t="s">
        <v>1904</v>
      </c>
      <c r="G2815" t="s">
        <v>1904</v>
      </c>
      <c r="H2815" s="10">
        <v>166899</v>
      </c>
      <c r="I2815">
        <f>IFERROR(VLOOKUP(Final!F2815,'LEAID Match'!$A$2:$B$374,2,FALSE),"")</f>
        <v>400081</v>
      </c>
      <c r="K2815" s="10">
        <f t="shared" si="43"/>
        <v>166899</v>
      </c>
    </row>
    <row r="2816" spans="1:11">
      <c r="A2816">
        <v>400081</v>
      </c>
      <c r="B2816" s="10">
        <v>2020</v>
      </c>
      <c r="C2816" t="s">
        <v>1022</v>
      </c>
      <c r="D2816" t="s">
        <v>2472</v>
      </c>
      <c r="E2816" t="s">
        <v>2474</v>
      </c>
      <c r="F2816" t="s">
        <v>1904</v>
      </c>
      <c r="G2816" t="s">
        <v>1904</v>
      </c>
      <c r="H2816" s="10">
        <v>171777</v>
      </c>
      <c r="I2816">
        <f>IFERROR(VLOOKUP(Final!F2816,'LEAID Match'!$A$2:$B$374,2,FALSE),"")</f>
        <v>400081</v>
      </c>
      <c r="K2816" s="10">
        <f t="shared" si="43"/>
        <v>171777</v>
      </c>
    </row>
    <row r="2817" spans="1:11">
      <c r="A2817">
        <v>400081</v>
      </c>
      <c r="B2817" s="10">
        <v>2021</v>
      </c>
      <c r="C2817" t="s">
        <v>1022</v>
      </c>
      <c r="D2817" t="s">
        <v>2472</v>
      </c>
      <c r="E2817" t="s">
        <v>2474</v>
      </c>
      <c r="F2817" t="s">
        <v>1904</v>
      </c>
      <c r="G2817" t="s">
        <v>1904</v>
      </c>
      <c r="H2817" s="10">
        <v>192861</v>
      </c>
      <c r="I2817">
        <f>IFERROR(VLOOKUP(Final!F2817,'LEAID Match'!$A$2:$B$374,2,FALSE),"")</f>
        <v>400081</v>
      </c>
      <c r="K2817" s="10">
        <f t="shared" si="43"/>
        <v>192861</v>
      </c>
    </row>
    <row r="2818" spans="1:11">
      <c r="A2818">
        <v>400081</v>
      </c>
      <c r="B2818" s="10">
        <v>2022</v>
      </c>
      <c r="C2818" t="s">
        <v>1022</v>
      </c>
      <c r="D2818" t="s">
        <v>2472</v>
      </c>
      <c r="E2818" t="s">
        <v>2474</v>
      </c>
      <c r="F2818" t="s">
        <v>1904</v>
      </c>
      <c r="G2818" t="s">
        <v>1904</v>
      </c>
      <c r="H2818" s="10">
        <v>221445</v>
      </c>
      <c r="I2818">
        <f>IFERROR(VLOOKUP(Final!F2818,'LEAID Match'!$A$2:$B$374,2,FALSE),"")</f>
        <v>400081</v>
      </c>
      <c r="K2818" s="10">
        <f t="shared" si="43"/>
        <v>221445</v>
      </c>
    </row>
    <row r="2819" spans="1:11">
      <c r="A2819">
        <v>400081</v>
      </c>
      <c r="B2819" s="10">
        <v>2023</v>
      </c>
      <c r="C2819" t="s">
        <v>1022</v>
      </c>
      <c r="D2819" t="s">
        <v>2472</v>
      </c>
      <c r="E2819" t="s">
        <v>2474</v>
      </c>
      <c r="F2819" t="s">
        <v>1904</v>
      </c>
      <c r="G2819" t="s">
        <v>1904</v>
      </c>
      <c r="H2819" s="10">
        <v>219793</v>
      </c>
      <c r="I2819">
        <f>IFERROR(VLOOKUP(Final!F2819,'LEAID Match'!$A$2:$B$374,2,FALSE),"")</f>
        <v>400081</v>
      </c>
      <c r="K2819" s="10">
        <f t="shared" ref="K2819:K2882" si="44">SUM(H2819,J2819)</f>
        <v>219793</v>
      </c>
    </row>
    <row r="2820" spans="1:11">
      <c r="A2820">
        <v>400124</v>
      </c>
      <c r="B2820" s="10">
        <v>2015</v>
      </c>
      <c r="C2820" t="s">
        <v>602</v>
      </c>
      <c r="D2820" t="s">
        <v>2472</v>
      </c>
      <c r="E2820" t="s">
        <v>2474</v>
      </c>
      <c r="F2820" t="s">
        <v>547</v>
      </c>
      <c r="G2820" t="s">
        <v>547</v>
      </c>
      <c r="H2820" s="10">
        <v>78496</v>
      </c>
      <c r="I2820">
        <f>IFERROR(VLOOKUP(Final!F2820,'LEAID Match'!$A$2:$B$374,2,FALSE),"")</f>
        <v>400124</v>
      </c>
      <c r="K2820" s="10">
        <f t="shared" si="44"/>
        <v>78496</v>
      </c>
    </row>
    <row r="2821" spans="1:11">
      <c r="A2821">
        <v>400124</v>
      </c>
      <c r="B2821" s="10">
        <v>2016</v>
      </c>
      <c r="C2821" t="s">
        <v>602</v>
      </c>
      <c r="D2821" t="s">
        <v>2472</v>
      </c>
      <c r="E2821" t="s">
        <v>2474</v>
      </c>
      <c r="F2821" t="s">
        <v>547</v>
      </c>
      <c r="G2821" t="s">
        <v>547</v>
      </c>
      <c r="H2821" s="10">
        <v>67245</v>
      </c>
      <c r="I2821">
        <f>IFERROR(VLOOKUP(Final!F2821,'LEAID Match'!$A$2:$B$374,2,FALSE),"")</f>
        <v>400124</v>
      </c>
      <c r="K2821" s="10">
        <f t="shared" si="44"/>
        <v>67245</v>
      </c>
    </row>
    <row r="2822" spans="1:11">
      <c r="A2822">
        <v>400124</v>
      </c>
      <c r="B2822" s="10">
        <v>2017</v>
      </c>
      <c r="C2822" t="s">
        <v>602</v>
      </c>
      <c r="D2822" t="s">
        <v>2472</v>
      </c>
      <c r="E2822" t="s">
        <v>2474</v>
      </c>
      <c r="F2822" t="s">
        <v>547</v>
      </c>
      <c r="G2822" t="s">
        <v>547</v>
      </c>
      <c r="H2822" s="10">
        <v>72683</v>
      </c>
      <c r="I2822">
        <f>IFERROR(VLOOKUP(Final!F2822,'LEAID Match'!$A$2:$B$374,2,FALSE),"")</f>
        <v>400124</v>
      </c>
      <c r="K2822" s="10">
        <f t="shared" si="44"/>
        <v>72683</v>
      </c>
    </row>
    <row r="2823" spans="1:11">
      <c r="A2823">
        <v>400124</v>
      </c>
      <c r="B2823" s="10">
        <v>2018</v>
      </c>
      <c r="C2823" t="s">
        <v>602</v>
      </c>
      <c r="D2823" t="s">
        <v>2472</v>
      </c>
      <c r="E2823" t="s">
        <v>2474</v>
      </c>
      <c r="F2823" t="s">
        <v>547</v>
      </c>
      <c r="G2823" t="s">
        <v>547</v>
      </c>
      <c r="H2823" s="10">
        <v>70929</v>
      </c>
      <c r="I2823">
        <f>IFERROR(VLOOKUP(Final!F2823,'LEAID Match'!$A$2:$B$374,2,FALSE),"")</f>
        <v>400124</v>
      </c>
      <c r="K2823" s="10">
        <f t="shared" si="44"/>
        <v>70929</v>
      </c>
    </row>
    <row r="2824" spans="1:11">
      <c r="A2824">
        <v>400124</v>
      </c>
      <c r="B2824" s="10">
        <v>2019</v>
      </c>
      <c r="C2824" t="s">
        <v>602</v>
      </c>
      <c r="D2824" t="s">
        <v>2472</v>
      </c>
      <c r="E2824" t="s">
        <v>2474</v>
      </c>
      <c r="F2824" t="s">
        <v>547</v>
      </c>
      <c r="G2824" t="s">
        <v>547</v>
      </c>
      <c r="H2824" s="10">
        <v>74482</v>
      </c>
      <c r="I2824">
        <f>IFERROR(VLOOKUP(Final!F2824,'LEAID Match'!$A$2:$B$374,2,FALSE),"")</f>
        <v>400124</v>
      </c>
      <c r="K2824" s="10">
        <f t="shared" si="44"/>
        <v>74482</v>
      </c>
    </row>
    <row r="2825" spans="1:11">
      <c r="A2825">
        <v>400124</v>
      </c>
      <c r="B2825" s="10">
        <v>2020</v>
      </c>
      <c r="C2825" t="s">
        <v>602</v>
      </c>
      <c r="D2825" t="s">
        <v>2472</v>
      </c>
      <c r="E2825" t="s">
        <v>2474</v>
      </c>
      <c r="F2825" t="s">
        <v>547</v>
      </c>
      <c r="G2825" t="s">
        <v>547</v>
      </c>
      <c r="H2825" s="10">
        <v>73745</v>
      </c>
      <c r="I2825">
        <f>IFERROR(VLOOKUP(Final!F2825,'LEAID Match'!$A$2:$B$374,2,FALSE),"")</f>
        <v>400124</v>
      </c>
      <c r="K2825" s="10">
        <f t="shared" si="44"/>
        <v>73745</v>
      </c>
    </row>
    <row r="2826" spans="1:11">
      <c r="A2826">
        <v>400124</v>
      </c>
      <c r="B2826" s="10">
        <v>2021</v>
      </c>
      <c r="C2826" t="s">
        <v>602</v>
      </c>
      <c r="D2826" t="s">
        <v>2472</v>
      </c>
      <c r="E2826" t="s">
        <v>2474</v>
      </c>
      <c r="F2826" t="s">
        <v>547</v>
      </c>
      <c r="G2826" t="s">
        <v>547</v>
      </c>
      <c r="H2826" s="10">
        <v>73198</v>
      </c>
      <c r="I2826">
        <f>IFERROR(VLOOKUP(Final!F2826,'LEAID Match'!$A$2:$B$374,2,FALSE),"")</f>
        <v>400124</v>
      </c>
      <c r="K2826" s="10">
        <f t="shared" si="44"/>
        <v>73198</v>
      </c>
    </row>
    <row r="2827" spans="1:11">
      <c r="A2827">
        <v>400124</v>
      </c>
      <c r="B2827" s="10">
        <v>2022</v>
      </c>
      <c r="C2827" t="s">
        <v>602</v>
      </c>
      <c r="D2827" t="s">
        <v>2472</v>
      </c>
      <c r="E2827" t="s">
        <v>2474</v>
      </c>
      <c r="F2827" t="s">
        <v>547</v>
      </c>
      <c r="G2827" t="s">
        <v>547</v>
      </c>
      <c r="H2827" s="10">
        <v>75521</v>
      </c>
      <c r="I2827">
        <f>IFERROR(VLOOKUP(Final!F2827,'LEAID Match'!$A$2:$B$374,2,FALSE),"")</f>
        <v>400124</v>
      </c>
      <c r="K2827" s="10">
        <f t="shared" si="44"/>
        <v>75521</v>
      </c>
    </row>
    <row r="2828" spans="1:11">
      <c r="A2828">
        <v>400124</v>
      </c>
      <c r="B2828" s="10">
        <v>2023</v>
      </c>
      <c r="C2828" t="s">
        <v>602</v>
      </c>
      <c r="D2828" t="s">
        <v>2472</v>
      </c>
      <c r="E2828" t="s">
        <v>2474</v>
      </c>
      <c r="F2828" t="s">
        <v>547</v>
      </c>
      <c r="G2828" t="s">
        <v>547</v>
      </c>
      <c r="H2828" s="10">
        <v>63497</v>
      </c>
      <c r="I2828">
        <f>IFERROR(VLOOKUP(Final!F2828,'LEAID Match'!$A$2:$B$374,2,FALSE),"")</f>
        <v>400124</v>
      </c>
      <c r="K2828" s="10">
        <f t="shared" si="44"/>
        <v>63497</v>
      </c>
    </row>
    <row r="2829" spans="1:11">
      <c r="A2829">
        <v>400100</v>
      </c>
      <c r="B2829" s="10">
        <v>2015</v>
      </c>
      <c r="C2829" t="s">
        <v>1432</v>
      </c>
      <c r="D2829" t="s">
        <v>2472</v>
      </c>
      <c r="E2829" t="s">
        <v>2474</v>
      </c>
      <c r="F2829" t="s">
        <v>265</v>
      </c>
      <c r="G2829" t="s">
        <v>265</v>
      </c>
      <c r="H2829" s="10">
        <v>257980</v>
      </c>
      <c r="I2829">
        <f>IFERROR(VLOOKUP(Final!F2829,'LEAID Match'!$A$2:$B$374,2,FALSE),"")</f>
        <v>400100</v>
      </c>
      <c r="K2829" s="10">
        <f t="shared" si="44"/>
        <v>257980</v>
      </c>
    </row>
    <row r="2830" spans="1:11">
      <c r="A2830">
        <v>400100</v>
      </c>
      <c r="B2830" s="10">
        <v>2016</v>
      </c>
      <c r="C2830" t="s">
        <v>1432</v>
      </c>
      <c r="D2830" t="s">
        <v>2472</v>
      </c>
      <c r="E2830" t="s">
        <v>2474</v>
      </c>
      <c r="F2830" t="s">
        <v>265</v>
      </c>
      <c r="G2830" t="s">
        <v>265</v>
      </c>
      <c r="H2830" s="10">
        <v>249840</v>
      </c>
      <c r="I2830">
        <f>IFERROR(VLOOKUP(Final!F2830,'LEAID Match'!$A$2:$B$374,2,FALSE),"")</f>
        <v>400100</v>
      </c>
      <c r="K2830" s="10">
        <f t="shared" si="44"/>
        <v>249840</v>
      </c>
    </row>
    <row r="2831" spans="1:11">
      <c r="A2831">
        <v>400100</v>
      </c>
      <c r="B2831" s="10">
        <v>2017</v>
      </c>
      <c r="C2831" t="s">
        <v>1432</v>
      </c>
      <c r="D2831" t="s">
        <v>2472</v>
      </c>
      <c r="E2831" t="s">
        <v>2474</v>
      </c>
      <c r="F2831" t="s">
        <v>265</v>
      </c>
      <c r="G2831" t="s">
        <v>265</v>
      </c>
      <c r="H2831" s="10">
        <v>262781</v>
      </c>
      <c r="I2831">
        <f>IFERROR(VLOOKUP(Final!F2831,'LEAID Match'!$A$2:$B$374,2,FALSE),"")</f>
        <v>400100</v>
      </c>
      <c r="K2831" s="10">
        <f t="shared" si="44"/>
        <v>262781</v>
      </c>
    </row>
    <row r="2832" spans="1:11">
      <c r="A2832">
        <v>400100</v>
      </c>
      <c r="B2832" s="10">
        <v>2018</v>
      </c>
      <c r="C2832" t="s">
        <v>1432</v>
      </c>
      <c r="D2832" t="s">
        <v>2472</v>
      </c>
      <c r="E2832" t="s">
        <v>2474</v>
      </c>
      <c r="F2832" t="s">
        <v>265</v>
      </c>
      <c r="G2832" t="s">
        <v>2124</v>
      </c>
      <c r="H2832" s="10">
        <v>292517</v>
      </c>
      <c r="I2832">
        <f>IFERROR(VLOOKUP(Final!F2832,'LEAID Match'!$A$2:$B$374,2,FALSE),"")</f>
        <v>400100</v>
      </c>
      <c r="K2832" s="10">
        <f t="shared" si="44"/>
        <v>292517</v>
      </c>
    </row>
    <row r="2833" spans="1:11">
      <c r="A2833">
        <v>400100</v>
      </c>
      <c r="B2833" s="10">
        <v>2019</v>
      </c>
      <c r="C2833" t="s">
        <v>1432</v>
      </c>
      <c r="D2833" t="s">
        <v>2472</v>
      </c>
      <c r="E2833" t="s">
        <v>2474</v>
      </c>
      <c r="F2833" t="s">
        <v>265</v>
      </c>
      <c r="G2833" t="s">
        <v>265</v>
      </c>
      <c r="H2833" s="10">
        <v>297550</v>
      </c>
      <c r="I2833">
        <f>IFERROR(VLOOKUP(Final!F2833,'LEAID Match'!$A$2:$B$374,2,FALSE),"")</f>
        <v>400100</v>
      </c>
      <c r="K2833" s="10">
        <f t="shared" si="44"/>
        <v>297550</v>
      </c>
    </row>
    <row r="2834" spans="1:11">
      <c r="A2834">
        <v>400100</v>
      </c>
      <c r="B2834" s="10">
        <v>2020</v>
      </c>
      <c r="C2834" t="s">
        <v>1432</v>
      </c>
      <c r="D2834" t="s">
        <v>2472</v>
      </c>
      <c r="E2834" t="s">
        <v>2474</v>
      </c>
      <c r="F2834" t="s">
        <v>265</v>
      </c>
      <c r="G2834" t="s">
        <v>265</v>
      </c>
      <c r="H2834" s="10">
        <v>342649</v>
      </c>
      <c r="I2834">
        <f>IFERROR(VLOOKUP(Final!F2834,'LEAID Match'!$A$2:$B$374,2,FALSE),"")</f>
        <v>400100</v>
      </c>
      <c r="K2834" s="10">
        <f t="shared" si="44"/>
        <v>342649</v>
      </c>
    </row>
    <row r="2835" spans="1:11">
      <c r="A2835">
        <v>400100</v>
      </c>
      <c r="B2835" s="10">
        <v>2021</v>
      </c>
      <c r="C2835" t="s">
        <v>1432</v>
      </c>
      <c r="D2835" t="s">
        <v>2472</v>
      </c>
      <c r="E2835" t="s">
        <v>2474</v>
      </c>
      <c r="F2835" t="s">
        <v>265</v>
      </c>
      <c r="G2835" t="s">
        <v>265</v>
      </c>
      <c r="H2835" s="10">
        <v>355979</v>
      </c>
      <c r="I2835">
        <f>IFERROR(VLOOKUP(Final!F2835,'LEAID Match'!$A$2:$B$374,2,FALSE),"")</f>
        <v>400100</v>
      </c>
      <c r="K2835" s="10">
        <f t="shared" si="44"/>
        <v>355979</v>
      </c>
    </row>
    <row r="2836" spans="1:11">
      <c r="A2836">
        <v>400100</v>
      </c>
      <c r="B2836" s="10">
        <v>2022</v>
      </c>
      <c r="C2836" t="s">
        <v>1432</v>
      </c>
      <c r="D2836" t="s">
        <v>2472</v>
      </c>
      <c r="E2836" t="s">
        <v>2474</v>
      </c>
      <c r="F2836" t="s">
        <v>265</v>
      </c>
      <c r="G2836" t="s">
        <v>265</v>
      </c>
      <c r="H2836" s="10">
        <v>383578</v>
      </c>
      <c r="I2836">
        <f>IFERROR(VLOOKUP(Final!F2836,'LEAID Match'!$A$2:$B$374,2,FALSE),"")</f>
        <v>400100</v>
      </c>
      <c r="K2836" s="10">
        <f t="shared" si="44"/>
        <v>383578</v>
      </c>
    </row>
    <row r="2837" spans="1:11">
      <c r="A2837">
        <v>400100</v>
      </c>
      <c r="B2837" s="10">
        <v>2023</v>
      </c>
      <c r="C2837" t="s">
        <v>1432</v>
      </c>
      <c r="D2837" t="s">
        <v>2472</v>
      </c>
      <c r="E2837" t="s">
        <v>2474</v>
      </c>
      <c r="F2837" t="s">
        <v>265</v>
      </c>
      <c r="G2837" t="s">
        <v>265</v>
      </c>
      <c r="H2837" s="10">
        <v>408428</v>
      </c>
      <c r="I2837">
        <f>IFERROR(VLOOKUP(Final!F2837,'LEAID Match'!$A$2:$B$374,2,FALSE),"")</f>
        <v>400100</v>
      </c>
      <c r="K2837" s="10">
        <f t="shared" si="44"/>
        <v>408428</v>
      </c>
    </row>
    <row r="2838" spans="1:11">
      <c r="A2838">
        <v>400099</v>
      </c>
      <c r="B2838" s="10">
        <v>2015</v>
      </c>
      <c r="C2838" t="s">
        <v>770</v>
      </c>
      <c r="D2838" t="s">
        <v>2472</v>
      </c>
      <c r="E2838" t="s">
        <v>2474</v>
      </c>
      <c r="F2838" t="s">
        <v>715</v>
      </c>
      <c r="G2838" t="s">
        <v>715</v>
      </c>
      <c r="H2838" s="10">
        <v>37550</v>
      </c>
      <c r="I2838">
        <f>IFERROR(VLOOKUP(Final!F2838,'LEAID Match'!$A$2:$B$374,2,FALSE),"")</f>
        <v>400099</v>
      </c>
      <c r="K2838" s="10">
        <f t="shared" si="44"/>
        <v>37550</v>
      </c>
    </row>
    <row r="2839" spans="1:11">
      <c r="A2839">
        <v>400099</v>
      </c>
      <c r="B2839" s="10">
        <v>2016</v>
      </c>
      <c r="C2839" t="s">
        <v>770</v>
      </c>
      <c r="D2839" t="s">
        <v>2472</v>
      </c>
      <c r="E2839" t="s">
        <v>2474</v>
      </c>
      <c r="F2839" t="s">
        <v>715</v>
      </c>
      <c r="G2839" t="s">
        <v>715</v>
      </c>
      <c r="H2839" s="10">
        <v>40401</v>
      </c>
      <c r="I2839">
        <f>IFERROR(VLOOKUP(Final!F2839,'LEAID Match'!$A$2:$B$374,2,FALSE),"")</f>
        <v>400099</v>
      </c>
      <c r="K2839" s="10">
        <f t="shared" si="44"/>
        <v>40401</v>
      </c>
    </row>
    <row r="2840" spans="1:11">
      <c r="A2840">
        <v>400099</v>
      </c>
      <c r="B2840" s="10">
        <v>2017</v>
      </c>
      <c r="C2840" t="s">
        <v>770</v>
      </c>
      <c r="D2840" t="s">
        <v>2472</v>
      </c>
      <c r="E2840" t="s">
        <v>2474</v>
      </c>
      <c r="F2840" t="s">
        <v>715</v>
      </c>
      <c r="G2840" t="s">
        <v>715</v>
      </c>
      <c r="H2840" s="10">
        <v>43545</v>
      </c>
      <c r="I2840">
        <f>IFERROR(VLOOKUP(Final!F2840,'LEAID Match'!$A$2:$B$374,2,FALSE),"")</f>
        <v>400099</v>
      </c>
      <c r="K2840" s="10">
        <f t="shared" si="44"/>
        <v>43545</v>
      </c>
    </row>
    <row r="2841" spans="1:11">
      <c r="A2841">
        <v>400099</v>
      </c>
      <c r="B2841" s="10">
        <v>2018</v>
      </c>
      <c r="C2841" t="s">
        <v>770</v>
      </c>
      <c r="D2841" t="s">
        <v>2472</v>
      </c>
      <c r="E2841" t="s">
        <v>2474</v>
      </c>
      <c r="F2841" t="s">
        <v>715</v>
      </c>
      <c r="G2841" t="s">
        <v>715</v>
      </c>
      <c r="H2841" s="10">
        <v>50574</v>
      </c>
      <c r="I2841">
        <f>IFERROR(VLOOKUP(Final!F2841,'LEAID Match'!$A$2:$B$374,2,FALSE),"")</f>
        <v>400099</v>
      </c>
      <c r="K2841" s="10">
        <f t="shared" si="44"/>
        <v>50574</v>
      </c>
    </row>
    <row r="2842" spans="1:11">
      <c r="A2842">
        <v>400099</v>
      </c>
      <c r="B2842" s="10">
        <v>2019</v>
      </c>
      <c r="C2842" t="s">
        <v>770</v>
      </c>
      <c r="D2842" t="s">
        <v>2472</v>
      </c>
      <c r="E2842" t="s">
        <v>2474</v>
      </c>
      <c r="F2842" t="s">
        <v>715</v>
      </c>
      <c r="G2842" t="s">
        <v>715</v>
      </c>
      <c r="H2842" s="10">
        <v>49848</v>
      </c>
      <c r="I2842">
        <f>IFERROR(VLOOKUP(Final!F2842,'LEAID Match'!$A$2:$B$374,2,FALSE),"")</f>
        <v>400099</v>
      </c>
      <c r="K2842" s="10">
        <f t="shared" si="44"/>
        <v>49848</v>
      </c>
    </row>
    <row r="2843" spans="1:11">
      <c r="A2843">
        <v>400099</v>
      </c>
      <c r="B2843" s="10">
        <v>2020</v>
      </c>
      <c r="C2843" t="s">
        <v>770</v>
      </c>
      <c r="D2843" t="s">
        <v>2472</v>
      </c>
      <c r="E2843" t="s">
        <v>2474</v>
      </c>
      <c r="F2843" t="s">
        <v>715</v>
      </c>
      <c r="G2843" t="s">
        <v>715</v>
      </c>
      <c r="H2843" s="10">
        <v>47970</v>
      </c>
      <c r="I2843">
        <f>IFERROR(VLOOKUP(Final!F2843,'LEAID Match'!$A$2:$B$374,2,FALSE),"")</f>
        <v>400099</v>
      </c>
      <c r="K2843" s="10">
        <f t="shared" si="44"/>
        <v>47970</v>
      </c>
    </row>
    <row r="2844" spans="1:11">
      <c r="A2844">
        <v>400099</v>
      </c>
      <c r="B2844" s="10">
        <v>2021</v>
      </c>
      <c r="C2844" t="s">
        <v>770</v>
      </c>
      <c r="D2844" t="s">
        <v>2472</v>
      </c>
      <c r="E2844" t="s">
        <v>2474</v>
      </c>
      <c r="F2844" t="s">
        <v>715</v>
      </c>
      <c r="G2844" t="s">
        <v>715</v>
      </c>
      <c r="H2844" s="10">
        <v>52339</v>
      </c>
      <c r="I2844">
        <f>IFERROR(VLOOKUP(Final!F2844,'LEAID Match'!$A$2:$B$374,2,FALSE),"")</f>
        <v>400099</v>
      </c>
      <c r="K2844" s="10">
        <f t="shared" si="44"/>
        <v>52339</v>
      </c>
    </row>
    <row r="2845" spans="1:11">
      <c r="A2845">
        <v>400099</v>
      </c>
      <c r="B2845" s="10">
        <v>2022</v>
      </c>
      <c r="C2845" t="s">
        <v>770</v>
      </c>
      <c r="D2845" t="s">
        <v>2472</v>
      </c>
      <c r="E2845" t="s">
        <v>2474</v>
      </c>
      <c r="F2845" t="s">
        <v>715</v>
      </c>
      <c r="G2845" t="s">
        <v>715</v>
      </c>
      <c r="H2845" s="10">
        <v>49675</v>
      </c>
      <c r="I2845">
        <f>IFERROR(VLOOKUP(Final!F2845,'LEAID Match'!$A$2:$B$374,2,FALSE),"")</f>
        <v>400099</v>
      </c>
      <c r="K2845" s="10">
        <f t="shared" si="44"/>
        <v>49675</v>
      </c>
    </row>
    <row r="2846" spans="1:11">
      <c r="A2846">
        <v>400099</v>
      </c>
      <c r="B2846" s="10">
        <v>2023</v>
      </c>
      <c r="C2846" t="s">
        <v>770</v>
      </c>
      <c r="D2846" t="s">
        <v>2472</v>
      </c>
      <c r="E2846" t="s">
        <v>2474</v>
      </c>
      <c r="F2846" t="s">
        <v>715</v>
      </c>
      <c r="G2846" t="s">
        <v>715</v>
      </c>
      <c r="H2846" s="10">
        <v>52112</v>
      </c>
      <c r="I2846">
        <f>IFERROR(VLOOKUP(Final!F2846,'LEAID Match'!$A$2:$B$374,2,FALSE),"")</f>
        <v>400099</v>
      </c>
      <c r="K2846" s="10">
        <f t="shared" si="44"/>
        <v>52112</v>
      </c>
    </row>
    <row r="2847" spans="1:11">
      <c r="A2847">
        <v>409030</v>
      </c>
      <c r="B2847" s="10">
        <v>2015</v>
      </c>
      <c r="C2847" t="s">
        <v>1322</v>
      </c>
      <c r="D2847" t="s">
        <v>2472</v>
      </c>
      <c r="E2847" t="s">
        <v>2474</v>
      </c>
      <c r="F2847" t="s">
        <v>2333</v>
      </c>
      <c r="G2847" t="s">
        <v>1274</v>
      </c>
      <c r="H2847" s="10"/>
      <c r="I2847">
        <f>IFERROR(VLOOKUP(Final!F2847,'LEAID Match'!$A$2:$B$374,2,FALSE),"")</f>
        <v>409030</v>
      </c>
      <c r="K2847" s="10">
        <f t="shared" si="44"/>
        <v>0</v>
      </c>
    </row>
    <row r="2848" spans="1:11">
      <c r="A2848">
        <v>409030</v>
      </c>
      <c r="B2848" s="10">
        <v>2016</v>
      </c>
      <c r="C2848" t="s">
        <v>1322</v>
      </c>
      <c r="D2848" t="s">
        <v>2472</v>
      </c>
      <c r="E2848" t="s">
        <v>2474</v>
      </c>
      <c r="F2848" t="s">
        <v>2333</v>
      </c>
      <c r="G2848" t="s">
        <v>1274</v>
      </c>
      <c r="H2848" s="10"/>
      <c r="I2848">
        <f>IFERROR(VLOOKUP(Final!F2848,'LEAID Match'!$A$2:$B$374,2,FALSE),"")</f>
        <v>409030</v>
      </c>
      <c r="K2848" s="10">
        <f t="shared" si="44"/>
        <v>0</v>
      </c>
    </row>
    <row r="2849" spans="1:11">
      <c r="A2849">
        <v>409030</v>
      </c>
      <c r="B2849" s="10">
        <v>2017</v>
      </c>
      <c r="C2849" t="s">
        <v>1322</v>
      </c>
      <c r="D2849" t="s">
        <v>2472</v>
      </c>
      <c r="E2849" t="s">
        <v>2474</v>
      </c>
      <c r="F2849" t="s">
        <v>2333</v>
      </c>
      <c r="G2849" t="s">
        <v>2010</v>
      </c>
      <c r="H2849" s="10"/>
      <c r="I2849">
        <f>IFERROR(VLOOKUP(Final!F2849,'LEAID Match'!$A$2:$B$374,2,FALSE),"")</f>
        <v>409030</v>
      </c>
      <c r="K2849" s="10">
        <f t="shared" si="44"/>
        <v>0</v>
      </c>
    </row>
    <row r="2850" spans="1:11">
      <c r="A2850">
        <v>409030</v>
      </c>
      <c r="B2850" s="10">
        <v>2018</v>
      </c>
      <c r="C2850" t="s">
        <v>1322</v>
      </c>
      <c r="D2850" t="s">
        <v>2472</v>
      </c>
      <c r="E2850" t="s">
        <v>2474</v>
      </c>
      <c r="F2850" t="s">
        <v>2333</v>
      </c>
      <c r="G2850" t="s">
        <v>2333</v>
      </c>
      <c r="H2850" s="10"/>
      <c r="I2850">
        <f>IFERROR(VLOOKUP(Final!F2850,'LEAID Match'!$A$2:$B$374,2,FALSE),"")</f>
        <v>409030</v>
      </c>
      <c r="K2850" s="10">
        <f t="shared" si="44"/>
        <v>0</v>
      </c>
    </row>
    <row r="2851" spans="1:11">
      <c r="A2851">
        <v>400122</v>
      </c>
      <c r="B2851" s="10">
        <v>2015</v>
      </c>
      <c r="C2851" t="s">
        <v>63</v>
      </c>
      <c r="D2851" t="s">
        <v>2472</v>
      </c>
      <c r="E2851" t="s">
        <v>2474</v>
      </c>
      <c r="F2851" t="s">
        <v>1488</v>
      </c>
      <c r="G2851" t="s">
        <v>10</v>
      </c>
      <c r="H2851" s="10">
        <v>134215</v>
      </c>
      <c r="I2851">
        <f>IFERROR(VLOOKUP(Final!F2851,'LEAID Match'!$A$2:$B$374,2,FALSE),"")</f>
        <v>400122</v>
      </c>
      <c r="K2851" s="10">
        <f t="shared" si="44"/>
        <v>134215</v>
      </c>
    </row>
    <row r="2852" spans="1:11">
      <c r="A2852">
        <v>400122</v>
      </c>
      <c r="B2852" s="10">
        <v>2016</v>
      </c>
      <c r="C2852" t="s">
        <v>63</v>
      </c>
      <c r="D2852" t="s">
        <v>2472</v>
      </c>
      <c r="E2852" t="s">
        <v>2474</v>
      </c>
      <c r="F2852" t="s">
        <v>1488</v>
      </c>
      <c r="G2852" t="s">
        <v>10</v>
      </c>
      <c r="H2852" s="10">
        <v>154792</v>
      </c>
      <c r="I2852">
        <f>IFERROR(VLOOKUP(Final!F2852,'LEAID Match'!$A$2:$B$374,2,FALSE),"")</f>
        <v>400122</v>
      </c>
      <c r="K2852" s="10">
        <f t="shared" si="44"/>
        <v>154792</v>
      </c>
    </row>
    <row r="2853" spans="1:11">
      <c r="A2853">
        <v>400122</v>
      </c>
      <c r="B2853" s="10">
        <v>2017</v>
      </c>
      <c r="C2853" t="s">
        <v>63</v>
      </c>
      <c r="D2853" t="s">
        <v>2472</v>
      </c>
      <c r="E2853" t="s">
        <v>2474</v>
      </c>
      <c r="F2853" t="s">
        <v>1488</v>
      </c>
      <c r="G2853" t="s">
        <v>1488</v>
      </c>
      <c r="H2853" s="10">
        <v>167898</v>
      </c>
      <c r="I2853">
        <f>IFERROR(VLOOKUP(Final!F2853,'LEAID Match'!$A$2:$B$374,2,FALSE),"")</f>
        <v>400122</v>
      </c>
      <c r="K2853" s="10">
        <f t="shared" si="44"/>
        <v>167898</v>
      </c>
    </row>
    <row r="2854" spans="1:11">
      <c r="A2854">
        <v>400122</v>
      </c>
      <c r="B2854" s="10">
        <v>2018</v>
      </c>
      <c r="C2854" t="s">
        <v>63</v>
      </c>
      <c r="D2854" t="s">
        <v>2472</v>
      </c>
      <c r="E2854" t="s">
        <v>2474</v>
      </c>
      <c r="F2854" t="s">
        <v>1488</v>
      </c>
      <c r="G2854" t="s">
        <v>1488</v>
      </c>
      <c r="H2854" s="10">
        <v>144687</v>
      </c>
      <c r="I2854">
        <f>IFERROR(VLOOKUP(Final!F2854,'LEAID Match'!$A$2:$B$374,2,FALSE),"")</f>
        <v>400122</v>
      </c>
      <c r="K2854" s="10">
        <f t="shared" si="44"/>
        <v>144687</v>
      </c>
    </row>
    <row r="2855" spans="1:11">
      <c r="A2855">
        <v>400122</v>
      </c>
      <c r="B2855" s="10">
        <v>2019</v>
      </c>
      <c r="C2855" t="s">
        <v>63</v>
      </c>
      <c r="D2855" t="s">
        <v>2472</v>
      </c>
      <c r="E2855" t="s">
        <v>2474</v>
      </c>
      <c r="F2855" t="s">
        <v>1488</v>
      </c>
      <c r="G2855" t="s">
        <v>1488</v>
      </c>
      <c r="H2855" s="10">
        <v>115199</v>
      </c>
      <c r="I2855">
        <f>IFERROR(VLOOKUP(Final!F2855,'LEAID Match'!$A$2:$B$374,2,FALSE),"")</f>
        <v>400122</v>
      </c>
      <c r="K2855" s="10">
        <f t="shared" si="44"/>
        <v>115199</v>
      </c>
    </row>
    <row r="2856" spans="1:11">
      <c r="A2856">
        <v>400122</v>
      </c>
      <c r="B2856" s="10">
        <v>2020</v>
      </c>
      <c r="C2856" t="s">
        <v>63</v>
      </c>
      <c r="D2856" t="s">
        <v>2472</v>
      </c>
      <c r="E2856" t="s">
        <v>2474</v>
      </c>
      <c r="F2856" t="s">
        <v>1488</v>
      </c>
      <c r="G2856" t="s">
        <v>1488</v>
      </c>
      <c r="H2856" s="10">
        <v>123417</v>
      </c>
      <c r="I2856">
        <f>IFERROR(VLOOKUP(Final!F2856,'LEAID Match'!$A$2:$B$374,2,FALSE),"")</f>
        <v>400122</v>
      </c>
      <c r="K2856" s="10">
        <f t="shared" si="44"/>
        <v>123417</v>
      </c>
    </row>
    <row r="2857" spans="1:11">
      <c r="A2857">
        <v>400122</v>
      </c>
      <c r="B2857" s="10">
        <v>2021</v>
      </c>
      <c r="C2857" t="s">
        <v>63</v>
      </c>
      <c r="D2857" t="s">
        <v>2472</v>
      </c>
      <c r="E2857" t="s">
        <v>2474</v>
      </c>
      <c r="F2857" t="s">
        <v>1488</v>
      </c>
      <c r="G2857" t="s">
        <v>1488</v>
      </c>
      <c r="H2857" s="10">
        <v>142289</v>
      </c>
      <c r="I2857">
        <f>IFERROR(VLOOKUP(Final!F2857,'LEAID Match'!$A$2:$B$374,2,FALSE),"")</f>
        <v>400122</v>
      </c>
      <c r="K2857" s="10">
        <f t="shared" si="44"/>
        <v>142289</v>
      </c>
    </row>
    <row r="2858" spans="1:11">
      <c r="A2858">
        <v>400122</v>
      </c>
      <c r="B2858" s="10">
        <v>2022</v>
      </c>
      <c r="C2858" t="s">
        <v>63</v>
      </c>
      <c r="D2858" t="s">
        <v>2472</v>
      </c>
      <c r="E2858" t="s">
        <v>2474</v>
      </c>
      <c r="F2858" t="s">
        <v>1488</v>
      </c>
      <c r="G2858" t="s">
        <v>1488</v>
      </c>
      <c r="H2858" s="10">
        <v>171932</v>
      </c>
      <c r="I2858">
        <f>IFERROR(VLOOKUP(Final!F2858,'LEAID Match'!$A$2:$B$374,2,FALSE),"")</f>
        <v>400122</v>
      </c>
      <c r="K2858" s="10">
        <f t="shared" si="44"/>
        <v>171932</v>
      </c>
    </row>
    <row r="2859" spans="1:11">
      <c r="A2859">
        <v>400122</v>
      </c>
      <c r="B2859" s="10">
        <v>2023</v>
      </c>
      <c r="C2859" t="s">
        <v>63</v>
      </c>
      <c r="D2859" t="s">
        <v>2472</v>
      </c>
      <c r="E2859" t="s">
        <v>2474</v>
      </c>
      <c r="F2859" t="s">
        <v>1488</v>
      </c>
      <c r="G2859" t="s">
        <v>1488</v>
      </c>
      <c r="H2859" s="10">
        <v>158368</v>
      </c>
      <c r="I2859">
        <f>IFERROR(VLOOKUP(Final!F2859,'LEAID Match'!$A$2:$B$374,2,FALSE),"")</f>
        <v>400122</v>
      </c>
      <c r="K2859" s="10">
        <f t="shared" si="44"/>
        <v>158368</v>
      </c>
    </row>
    <row r="2860" spans="1:11">
      <c r="A2860">
        <v>400097</v>
      </c>
      <c r="B2860" s="10">
        <v>2015</v>
      </c>
      <c r="C2860" t="s">
        <v>899</v>
      </c>
      <c r="D2860" t="s">
        <v>2472</v>
      </c>
      <c r="E2860" t="s">
        <v>2474</v>
      </c>
      <c r="F2860" t="s">
        <v>844</v>
      </c>
      <c r="G2860" t="s">
        <v>844</v>
      </c>
      <c r="H2860" s="10">
        <v>276788</v>
      </c>
      <c r="I2860">
        <f>IFERROR(VLOOKUP(Final!F2860,'LEAID Match'!$A$2:$B$374,2,FALSE),"")</f>
        <v>400097</v>
      </c>
      <c r="K2860" s="10">
        <f t="shared" si="44"/>
        <v>276788</v>
      </c>
    </row>
    <row r="2861" spans="1:11">
      <c r="A2861">
        <v>400097</v>
      </c>
      <c r="B2861" s="10">
        <v>2016</v>
      </c>
      <c r="C2861" t="s">
        <v>899</v>
      </c>
      <c r="D2861" t="s">
        <v>2472</v>
      </c>
      <c r="E2861" t="s">
        <v>2474</v>
      </c>
      <c r="F2861" t="s">
        <v>844</v>
      </c>
      <c r="G2861" t="s">
        <v>844</v>
      </c>
      <c r="H2861" s="10">
        <v>311099</v>
      </c>
      <c r="I2861">
        <f>IFERROR(VLOOKUP(Final!F2861,'LEAID Match'!$A$2:$B$374,2,FALSE),"")</f>
        <v>400097</v>
      </c>
      <c r="K2861" s="10">
        <f t="shared" si="44"/>
        <v>311099</v>
      </c>
    </row>
    <row r="2862" spans="1:11">
      <c r="A2862">
        <v>400097</v>
      </c>
      <c r="B2862" s="10">
        <v>2017</v>
      </c>
      <c r="C2862" t="s">
        <v>899</v>
      </c>
      <c r="D2862" t="s">
        <v>2472</v>
      </c>
      <c r="E2862" t="s">
        <v>2474</v>
      </c>
      <c r="F2862" t="s">
        <v>844</v>
      </c>
      <c r="G2862" t="s">
        <v>844</v>
      </c>
      <c r="H2862" s="10">
        <v>311493</v>
      </c>
      <c r="I2862">
        <f>IFERROR(VLOOKUP(Final!F2862,'LEAID Match'!$A$2:$B$374,2,FALSE),"")</f>
        <v>400097</v>
      </c>
      <c r="K2862" s="10">
        <f t="shared" si="44"/>
        <v>311493</v>
      </c>
    </row>
    <row r="2863" spans="1:11">
      <c r="A2863">
        <v>400097</v>
      </c>
      <c r="B2863" s="10">
        <v>2018</v>
      </c>
      <c r="C2863" t="s">
        <v>899</v>
      </c>
      <c r="D2863" t="s">
        <v>2472</v>
      </c>
      <c r="E2863" t="s">
        <v>2474</v>
      </c>
      <c r="F2863" t="s">
        <v>844</v>
      </c>
      <c r="G2863" t="s">
        <v>844</v>
      </c>
      <c r="H2863" s="10">
        <v>341387</v>
      </c>
      <c r="I2863">
        <f>IFERROR(VLOOKUP(Final!F2863,'LEAID Match'!$A$2:$B$374,2,FALSE),"")</f>
        <v>400097</v>
      </c>
      <c r="K2863" s="10">
        <f t="shared" si="44"/>
        <v>341387</v>
      </c>
    </row>
    <row r="2864" spans="1:11">
      <c r="A2864">
        <v>400097</v>
      </c>
      <c r="B2864" s="10">
        <v>2019</v>
      </c>
      <c r="C2864" t="s">
        <v>899</v>
      </c>
      <c r="D2864" t="s">
        <v>2472</v>
      </c>
      <c r="E2864" t="s">
        <v>2474</v>
      </c>
      <c r="F2864" t="s">
        <v>844</v>
      </c>
      <c r="G2864" t="s">
        <v>844</v>
      </c>
      <c r="H2864" s="10">
        <v>354664</v>
      </c>
      <c r="I2864">
        <f>IFERROR(VLOOKUP(Final!F2864,'LEAID Match'!$A$2:$B$374,2,FALSE),"")</f>
        <v>400097</v>
      </c>
      <c r="K2864" s="10">
        <f t="shared" si="44"/>
        <v>354664</v>
      </c>
    </row>
    <row r="2865" spans="1:11">
      <c r="A2865">
        <v>400097</v>
      </c>
      <c r="B2865" s="10">
        <v>2020</v>
      </c>
      <c r="C2865" t="s">
        <v>899</v>
      </c>
      <c r="D2865" t="s">
        <v>2472</v>
      </c>
      <c r="E2865" t="s">
        <v>2474</v>
      </c>
      <c r="F2865" t="s">
        <v>844</v>
      </c>
      <c r="G2865" t="s">
        <v>844</v>
      </c>
      <c r="H2865" s="10">
        <v>384089</v>
      </c>
      <c r="I2865">
        <f>IFERROR(VLOOKUP(Final!F2865,'LEAID Match'!$A$2:$B$374,2,FALSE),"")</f>
        <v>400097</v>
      </c>
      <c r="K2865" s="10">
        <f t="shared" si="44"/>
        <v>384089</v>
      </c>
    </row>
    <row r="2866" spans="1:11">
      <c r="A2866">
        <v>400097</v>
      </c>
      <c r="B2866" s="10">
        <v>2021</v>
      </c>
      <c r="C2866" t="s">
        <v>899</v>
      </c>
      <c r="D2866" t="s">
        <v>2472</v>
      </c>
      <c r="E2866" t="s">
        <v>2474</v>
      </c>
      <c r="F2866" t="s">
        <v>844</v>
      </c>
      <c r="G2866" t="s">
        <v>844</v>
      </c>
      <c r="H2866" s="10">
        <v>407043</v>
      </c>
      <c r="I2866">
        <f>IFERROR(VLOOKUP(Final!F2866,'LEAID Match'!$A$2:$B$374,2,FALSE),"")</f>
        <v>400097</v>
      </c>
      <c r="K2866" s="10">
        <f t="shared" si="44"/>
        <v>407043</v>
      </c>
    </row>
    <row r="2867" spans="1:11">
      <c r="A2867">
        <v>400097</v>
      </c>
      <c r="B2867" s="10">
        <v>2022</v>
      </c>
      <c r="C2867" t="s">
        <v>899</v>
      </c>
      <c r="D2867" t="s">
        <v>2472</v>
      </c>
      <c r="E2867" t="s">
        <v>2474</v>
      </c>
      <c r="F2867" t="s">
        <v>844</v>
      </c>
      <c r="G2867" t="s">
        <v>844</v>
      </c>
      <c r="H2867" s="10">
        <v>426415</v>
      </c>
      <c r="I2867">
        <f>IFERROR(VLOOKUP(Final!F2867,'LEAID Match'!$A$2:$B$374,2,FALSE),"")</f>
        <v>400097</v>
      </c>
      <c r="K2867" s="10">
        <f t="shared" si="44"/>
        <v>426415</v>
      </c>
    </row>
    <row r="2868" spans="1:11">
      <c r="A2868">
        <v>400097</v>
      </c>
      <c r="B2868" s="10">
        <v>2023</v>
      </c>
      <c r="C2868" t="s">
        <v>899</v>
      </c>
      <c r="D2868" t="s">
        <v>2472</v>
      </c>
      <c r="E2868" t="s">
        <v>2474</v>
      </c>
      <c r="F2868" t="s">
        <v>844</v>
      </c>
      <c r="G2868" t="s">
        <v>844</v>
      </c>
      <c r="H2868" s="10">
        <v>469167</v>
      </c>
      <c r="I2868">
        <f>IFERROR(VLOOKUP(Final!F2868,'LEAID Match'!$A$2:$B$374,2,FALSE),"")</f>
        <v>400097</v>
      </c>
      <c r="K2868" s="10">
        <f t="shared" si="44"/>
        <v>469167</v>
      </c>
    </row>
    <row r="2869" spans="1:11">
      <c r="A2869">
        <v>400135</v>
      </c>
      <c r="B2869" s="10">
        <v>2015</v>
      </c>
      <c r="C2869" t="s">
        <v>359</v>
      </c>
      <c r="D2869" t="s">
        <v>2472</v>
      </c>
      <c r="E2869" t="s">
        <v>2474</v>
      </c>
      <c r="F2869" t="s">
        <v>305</v>
      </c>
      <c r="G2869" t="s">
        <v>305</v>
      </c>
      <c r="H2869" s="10">
        <v>203952</v>
      </c>
      <c r="I2869">
        <f>IFERROR(VLOOKUP(Final!F2869,'LEAID Match'!$A$2:$B$374,2,FALSE),"")</f>
        <v>400135</v>
      </c>
      <c r="K2869" s="10">
        <f t="shared" si="44"/>
        <v>203952</v>
      </c>
    </row>
    <row r="2870" spans="1:11">
      <c r="A2870">
        <v>400135</v>
      </c>
      <c r="B2870" s="10">
        <v>2016</v>
      </c>
      <c r="C2870" t="s">
        <v>359</v>
      </c>
      <c r="D2870" t="s">
        <v>2472</v>
      </c>
      <c r="E2870" t="s">
        <v>2474</v>
      </c>
      <c r="F2870" t="s">
        <v>305</v>
      </c>
      <c r="G2870" t="s">
        <v>305</v>
      </c>
      <c r="H2870" s="10">
        <v>216884</v>
      </c>
      <c r="I2870">
        <f>IFERROR(VLOOKUP(Final!F2870,'LEAID Match'!$A$2:$B$374,2,FALSE),"")</f>
        <v>400135</v>
      </c>
      <c r="K2870" s="10">
        <f t="shared" si="44"/>
        <v>216884</v>
      </c>
    </row>
    <row r="2871" spans="1:11">
      <c r="A2871">
        <v>400135</v>
      </c>
      <c r="B2871" s="10">
        <v>2017</v>
      </c>
      <c r="C2871" t="s">
        <v>359</v>
      </c>
      <c r="D2871" t="s">
        <v>2472</v>
      </c>
      <c r="E2871" t="s">
        <v>2474</v>
      </c>
      <c r="F2871" t="s">
        <v>305</v>
      </c>
      <c r="G2871" t="s">
        <v>305</v>
      </c>
      <c r="H2871" s="10">
        <v>238916</v>
      </c>
      <c r="I2871">
        <f>IFERROR(VLOOKUP(Final!F2871,'LEAID Match'!$A$2:$B$374,2,FALSE),"")</f>
        <v>400135</v>
      </c>
      <c r="K2871" s="10">
        <f t="shared" si="44"/>
        <v>238916</v>
      </c>
    </row>
    <row r="2872" spans="1:11">
      <c r="A2872">
        <v>400135</v>
      </c>
      <c r="B2872" s="10">
        <v>2018</v>
      </c>
      <c r="C2872" t="s">
        <v>359</v>
      </c>
      <c r="D2872" t="s">
        <v>2472</v>
      </c>
      <c r="E2872" t="s">
        <v>2474</v>
      </c>
      <c r="F2872" t="s">
        <v>305</v>
      </c>
      <c r="G2872" t="s">
        <v>305</v>
      </c>
      <c r="H2872" s="10">
        <v>226611</v>
      </c>
      <c r="I2872">
        <f>IFERROR(VLOOKUP(Final!F2872,'LEAID Match'!$A$2:$B$374,2,FALSE),"")</f>
        <v>400135</v>
      </c>
      <c r="K2872" s="10">
        <f t="shared" si="44"/>
        <v>226611</v>
      </c>
    </row>
    <row r="2873" spans="1:11">
      <c r="A2873">
        <v>400135</v>
      </c>
      <c r="B2873" s="10">
        <v>2019</v>
      </c>
      <c r="C2873" t="s">
        <v>359</v>
      </c>
      <c r="D2873" t="s">
        <v>2472</v>
      </c>
      <c r="E2873" t="s">
        <v>2474</v>
      </c>
      <c r="F2873" t="s">
        <v>305</v>
      </c>
      <c r="G2873" t="s">
        <v>305</v>
      </c>
      <c r="H2873" s="10">
        <v>232570</v>
      </c>
      <c r="I2873">
        <f>IFERROR(VLOOKUP(Final!F2873,'LEAID Match'!$A$2:$B$374,2,FALSE),"")</f>
        <v>400135</v>
      </c>
      <c r="K2873" s="10">
        <f t="shared" si="44"/>
        <v>232570</v>
      </c>
    </row>
    <row r="2874" spans="1:11">
      <c r="A2874">
        <v>400135</v>
      </c>
      <c r="B2874" s="10">
        <v>2020</v>
      </c>
      <c r="C2874" t="s">
        <v>359</v>
      </c>
      <c r="D2874" t="s">
        <v>2472</v>
      </c>
      <c r="E2874" t="s">
        <v>2474</v>
      </c>
      <c r="F2874" t="s">
        <v>305</v>
      </c>
      <c r="G2874" t="s">
        <v>305</v>
      </c>
      <c r="H2874" s="10">
        <v>233999</v>
      </c>
      <c r="I2874">
        <f>IFERROR(VLOOKUP(Final!F2874,'LEAID Match'!$A$2:$B$374,2,FALSE),"")</f>
        <v>400135</v>
      </c>
      <c r="K2874" s="10">
        <f t="shared" si="44"/>
        <v>233999</v>
      </c>
    </row>
    <row r="2875" spans="1:11">
      <c r="A2875">
        <v>400135</v>
      </c>
      <c r="B2875" s="10">
        <v>2021</v>
      </c>
      <c r="C2875" t="s">
        <v>359</v>
      </c>
      <c r="D2875" t="s">
        <v>2472</v>
      </c>
      <c r="E2875" t="s">
        <v>2474</v>
      </c>
      <c r="F2875" t="s">
        <v>305</v>
      </c>
      <c r="G2875" t="s">
        <v>305</v>
      </c>
      <c r="H2875" s="10">
        <v>241349</v>
      </c>
      <c r="I2875">
        <f>IFERROR(VLOOKUP(Final!F2875,'LEAID Match'!$A$2:$B$374,2,FALSE),"")</f>
        <v>400135</v>
      </c>
      <c r="K2875" s="10">
        <f t="shared" si="44"/>
        <v>241349</v>
      </c>
    </row>
    <row r="2876" spans="1:11">
      <c r="A2876">
        <v>400135</v>
      </c>
      <c r="B2876" s="10">
        <v>2022</v>
      </c>
      <c r="C2876" t="s">
        <v>359</v>
      </c>
      <c r="D2876" t="s">
        <v>2472</v>
      </c>
      <c r="E2876" t="s">
        <v>2474</v>
      </c>
      <c r="F2876" t="s">
        <v>305</v>
      </c>
      <c r="G2876" t="s">
        <v>305</v>
      </c>
      <c r="H2876" s="10">
        <v>260774</v>
      </c>
      <c r="I2876">
        <f>IFERROR(VLOOKUP(Final!F2876,'LEAID Match'!$A$2:$B$374,2,FALSE),"")</f>
        <v>400135</v>
      </c>
      <c r="K2876" s="10">
        <f t="shared" si="44"/>
        <v>260774</v>
      </c>
    </row>
    <row r="2877" spans="1:11">
      <c r="A2877">
        <v>400135</v>
      </c>
      <c r="B2877" s="10">
        <v>2023</v>
      </c>
      <c r="C2877" t="s">
        <v>359</v>
      </c>
      <c r="D2877" t="s">
        <v>2472</v>
      </c>
      <c r="E2877" t="s">
        <v>2474</v>
      </c>
      <c r="F2877" t="s">
        <v>305</v>
      </c>
      <c r="G2877" t="s">
        <v>305</v>
      </c>
      <c r="H2877" s="10">
        <v>258912</v>
      </c>
      <c r="I2877">
        <f>IFERROR(VLOOKUP(Final!F2877,'LEAID Match'!$A$2:$B$374,2,FALSE),"")</f>
        <v>400135</v>
      </c>
      <c r="K2877" s="10">
        <f t="shared" si="44"/>
        <v>258912</v>
      </c>
    </row>
    <row r="2878" spans="1:11">
      <c r="A2878" t="s">
        <v>2470</v>
      </c>
      <c r="B2878" s="10">
        <v>2015</v>
      </c>
      <c r="C2878" t="s">
        <v>671</v>
      </c>
      <c r="D2878" t="s">
        <v>2472</v>
      </c>
      <c r="E2878" t="s">
        <v>2474</v>
      </c>
      <c r="F2878" t="s">
        <v>1738</v>
      </c>
      <c r="G2878" t="s">
        <v>616</v>
      </c>
      <c r="H2878" s="10">
        <v>720</v>
      </c>
      <c r="I2878" t="str">
        <f>IFERROR(VLOOKUP(Final!F2878,'LEAID Match'!$A$2:$B$374,2,FALSE),"")</f>
        <v/>
      </c>
      <c r="K2878" s="10">
        <f t="shared" si="44"/>
        <v>720</v>
      </c>
    </row>
    <row r="2879" spans="1:11">
      <c r="A2879" t="s">
        <v>2470</v>
      </c>
      <c r="B2879" s="10">
        <v>2016</v>
      </c>
      <c r="C2879" t="s">
        <v>671</v>
      </c>
      <c r="D2879" t="s">
        <v>2472</v>
      </c>
      <c r="E2879" t="s">
        <v>2474</v>
      </c>
      <c r="F2879" t="s">
        <v>1738</v>
      </c>
      <c r="G2879" t="s">
        <v>616</v>
      </c>
      <c r="H2879" s="10"/>
      <c r="I2879" t="str">
        <f>IFERROR(VLOOKUP(Final!F2879,'LEAID Match'!$A$2:$B$374,2,FALSE),"")</f>
        <v/>
      </c>
      <c r="K2879" s="10">
        <f t="shared" si="44"/>
        <v>0</v>
      </c>
    </row>
    <row r="2880" spans="1:11">
      <c r="A2880" t="s">
        <v>2470</v>
      </c>
      <c r="B2880" s="10">
        <v>2017</v>
      </c>
      <c r="C2880" t="s">
        <v>671</v>
      </c>
      <c r="D2880" t="s">
        <v>2472</v>
      </c>
      <c r="E2880" t="s">
        <v>2474</v>
      </c>
      <c r="F2880" t="s">
        <v>1738</v>
      </c>
      <c r="G2880" t="s">
        <v>1738</v>
      </c>
      <c r="H2880" s="10"/>
      <c r="I2880" t="str">
        <f>IFERROR(VLOOKUP(Final!F2880,'LEAID Match'!$A$2:$B$374,2,FALSE),"")</f>
        <v/>
      </c>
      <c r="K2880" s="10">
        <f t="shared" si="44"/>
        <v>0</v>
      </c>
    </row>
    <row r="2881" spans="1:11">
      <c r="A2881" t="s">
        <v>2470</v>
      </c>
      <c r="B2881" s="10">
        <v>2018</v>
      </c>
      <c r="C2881" t="s">
        <v>671</v>
      </c>
      <c r="D2881" t="s">
        <v>2472</v>
      </c>
      <c r="E2881" t="s">
        <v>2474</v>
      </c>
      <c r="F2881" t="s">
        <v>1738</v>
      </c>
      <c r="G2881" t="s">
        <v>2200</v>
      </c>
      <c r="H2881" s="10"/>
      <c r="I2881" t="str">
        <f>IFERROR(VLOOKUP(Final!F2881,'LEAID Match'!$A$2:$B$374,2,FALSE),"")</f>
        <v/>
      </c>
      <c r="K2881" s="10">
        <f t="shared" si="44"/>
        <v>0</v>
      </c>
    </row>
    <row r="2882" spans="1:11">
      <c r="A2882" t="s">
        <v>2470</v>
      </c>
      <c r="B2882" s="10">
        <v>2019</v>
      </c>
      <c r="C2882" t="s">
        <v>671</v>
      </c>
      <c r="D2882" t="s">
        <v>2472</v>
      </c>
      <c r="E2882" t="s">
        <v>2474</v>
      </c>
      <c r="F2882" t="s">
        <v>1738</v>
      </c>
      <c r="G2882" t="s">
        <v>1738</v>
      </c>
      <c r="H2882" s="10"/>
      <c r="I2882" t="str">
        <f>IFERROR(VLOOKUP(Final!F2882,'LEAID Match'!$A$2:$B$374,2,FALSE),"")</f>
        <v/>
      </c>
      <c r="K2882" s="10">
        <f t="shared" si="44"/>
        <v>0</v>
      </c>
    </row>
    <row r="2883" spans="1:11">
      <c r="A2883" t="s">
        <v>2470</v>
      </c>
      <c r="B2883" s="10">
        <v>2015</v>
      </c>
      <c r="C2883" t="s">
        <v>58</v>
      </c>
      <c r="D2883" t="s">
        <v>2472</v>
      </c>
      <c r="E2883" t="s">
        <v>2474</v>
      </c>
      <c r="F2883" t="s">
        <v>1508</v>
      </c>
      <c r="G2883" t="s">
        <v>5</v>
      </c>
      <c r="H2883" s="10">
        <v>478197</v>
      </c>
      <c r="I2883" t="str">
        <f>IFERROR(VLOOKUP(Final!F2883,'LEAID Match'!$A$2:$B$374,2,FALSE),"")</f>
        <v/>
      </c>
      <c r="K2883" s="10">
        <f t="shared" ref="K2883:K2946" si="45">SUM(H2883,J2883)</f>
        <v>478197</v>
      </c>
    </row>
    <row r="2884" spans="1:11">
      <c r="A2884" t="s">
        <v>2470</v>
      </c>
      <c r="B2884" s="10">
        <v>2016</v>
      </c>
      <c r="C2884" t="s">
        <v>58</v>
      </c>
      <c r="D2884" t="s">
        <v>2472</v>
      </c>
      <c r="E2884" t="s">
        <v>2474</v>
      </c>
      <c r="F2884" t="s">
        <v>1508</v>
      </c>
      <c r="G2884" t="s">
        <v>5</v>
      </c>
      <c r="H2884" s="10">
        <v>499944</v>
      </c>
      <c r="I2884" t="str">
        <f>IFERROR(VLOOKUP(Final!F2884,'LEAID Match'!$A$2:$B$374,2,FALSE),"")</f>
        <v/>
      </c>
      <c r="K2884" s="10">
        <f t="shared" si="45"/>
        <v>499944</v>
      </c>
    </row>
    <row r="2885" spans="1:11">
      <c r="A2885" t="s">
        <v>2470</v>
      </c>
      <c r="B2885" s="10">
        <v>2017</v>
      </c>
      <c r="C2885" t="s">
        <v>58</v>
      </c>
      <c r="D2885" t="s">
        <v>2472</v>
      </c>
      <c r="E2885" t="s">
        <v>2474</v>
      </c>
      <c r="F2885" t="s">
        <v>1508</v>
      </c>
      <c r="G2885" t="s">
        <v>1508</v>
      </c>
      <c r="H2885" s="10">
        <v>563311</v>
      </c>
      <c r="I2885" t="str">
        <f>IFERROR(VLOOKUP(Final!F2885,'LEAID Match'!$A$2:$B$374,2,FALSE),"")</f>
        <v/>
      </c>
      <c r="K2885" s="10">
        <f t="shared" si="45"/>
        <v>563311</v>
      </c>
    </row>
    <row r="2886" spans="1:11">
      <c r="A2886" t="s">
        <v>2470</v>
      </c>
      <c r="B2886" s="10">
        <v>2018</v>
      </c>
      <c r="C2886" t="s">
        <v>58</v>
      </c>
      <c r="D2886" t="s">
        <v>2472</v>
      </c>
      <c r="E2886" t="s">
        <v>2474</v>
      </c>
      <c r="F2886" t="s">
        <v>1508</v>
      </c>
      <c r="G2886" t="s">
        <v>2054</v>
      </c>
      <c r="H2886" s="10">
        <v>606855</v>
      </c>
      <c r="I2886" t="str">
        <f>IFERROR(VLOOKUP(Final!F2886,'LEAID Match'!$A$2:$B$374,2,FALSE),"")</f>
        <v/>
      </c>
      <c r="K2886" s="10">
        <f t="shared" si="45"/>
        <v>606855</v>
      </c>
    </row>
    <row r="2887" spans="1:11">
      <c r="A2887" t="s">
        <v>2470</v>
      </c>
      <c r="B2887" s="10">
        <v>2019</v>
      </c>
      <c r="C2887" t="s">
        <v>58</v>
      </c>
      <c r="D2887" t="s">
        <v>2472</v>
      </c>
      <c r="E2887" t="s">
        <v>2474</v>
      </c>
      <c r="F2887" t="s">
        <v>1508</v>
      </c>
      <c r="G2887" t="s">
        <v>1508</v>
      </c>
      <c r="H2887" s="10">
        <v>651414</v>
      </c>
      <c r="I2887" t="str">
        <f>IFERROR(VLOOKUP(Final!F2887,'LEAID Match'!$A$2:$B$374,2,FALSE),"")</f>
        <v/>
      </c>
      <c r="K2887" s="10">
        <f t="shared" si="45"/>
        <v>651414</v>
      </c>
    </row>
    <row r="2888" spans="1:11">
      <c r="A2888" t="s">
        <v>2470</v>
      </c>
      <c r="B2888" s="10">
        <v>2020</v>
      </c>
      <c r="C2888" t="s">
        <v>58</v>
      </c>
      <c r="D2888" t="s">
        <v>2472</v>
      </c>
      <c r="E2888" t="s">
        <v>2474</v>
      </c>
      <c r="F2888" t="s">
        <v>1508</v>
      </c>
      <c r="G2888" t="s">
        <v>1508</v>
      </c>
      <c r="H2888" s="10">
        <v>739123</v>
      </c>
      <c r="I2888" t="str">
        <f>IFERROR(VLOOKUP(Final!F2888,'LEAID Match'!$A$2:$B$374,2,FALSE),"")</f>
        <v/>
      </c>
      <c r="K2888" s="10">
        <f t="shared" si="45"/>
        <v>739123</v>
      </c>
    </row>
    <row r="2889" spans="1:11">
      <c r="A2889" t="s">
        <v>2470</v>
      </c>
      <c r="B2889" s="10">
        <v>2021</v>
      </c>
      <c r="C2889" t="s">
        <v>58</v>
      </c>
      <c r="D2889" t="s">
        <v>2472</v>
      </c>
      <c r="E2889" t="s">
        <v>2474</v>
      </c>
      <c r="F2889" t="s">
        <v>1508</v>
      </c>
      <c r="G2889" t="s">
        <v>1508</v>
      </c>
      <c r="H2889" s="10">
        <v>812407</v>
      </c>
      <c r="I2889" t="str">
        <f>IFERROR(VLOOKUP(Final!F2889,'LEAID Match'!$A$2:$B$374,2,FALSE),"")</f>
        <v/>
      </c>
      <c r="K2889" s="10">
        <f t="shared" si="45"/>
        <v>812407</v>
      </c>
    </row>
    <row r="2890" spans="1:11">
      <c r="A2890" t="s">
        <v>2470</v>
      </c>
      <c r="B2890" s="10">
        <v>2022</v>
      </c>
      <c r="C2890" t="s">
        <v>58</v>
      </c>
      <c r="D2890" t="s">
        <v>2472</v>
      </c>
      <c r="E2890" t="s">
        <v>2474</v>
      </c>
      <c r="F2890" t="s">
        <v>1508</v>
      </c>
      <c r="G2890" t="s">
        <v>1508</v>
      </c>
      <c r="H2890" s="10">
        <v>791560</v>
      </c>
      <c r="I2890" t="str">
        <f>IFERROR(VLOOKUP(Final!F2890,'LEAID Match'!$A$2:$B$374,2,FALSE),"")</f>
        <v/>
      </c>
      <c r="K2890" s="10">
        <f t="shared" si="45"/>
        <v>791560</v>
      </c>
    </row>
    <row r="2891" spans="1:11">
      <c r="A2891" t="s">
        <v>2470</v>
      </c>
      <c r="B2891" s="10">
        <v>2023</v>
      </c>
      <c r="C2891" t="s">
        <v>58</v>
      </c>
      <c r="D2891" t="s">
        <v>2472</v>
      </c>
      <c r="E2891" t="s">
        <v>2474</v>
      </c>
      <c r="F2891" t="s">
        <v>1508</v>
      </c>
      <c r="G2891" t="s">
        <v>1508</v>
      </c>
      <c r="H2891" s="10">
        <v>853710</v>
      </c>
      <c r="I2891" t="str">
        <f>IFERROR(VLOOKUP(Final!F2891,'LEAID Match'!$A$2:$B$374,2,FALSE),"")</f>
        <v/>
      </c>
      <c r="K2891" s="10">
        <f t="shared" si="45"/>
        <v>853710</v>
      </c>
    </row>
    <row r="2892" spans="1:11">
      <c r="A2892">
        <v>400107</v>
      </c>
      <c r="B2892" s="10">
        <v>2015</v>
      </c>
      <c r="C2892" t="s">
        <v>697</v>
      </c>
      <c r="D2892" t="s">
        <v>2472</v>
      </c>
      <c r="E2892" t="s">
        <v>2474</v>
      </c>
      <c r="F2892" t="s">
        <v>1761</v>
      </c>
      <c r="G2892" t="s">
        <v>642</v>
      </c>
      <c r="H2892" s="10">
        <v>127152</v>
      </c>
      <c r="I2892">
        <f>IFERROR(VLOOKUP(Final!F2892,'LEAID Match'!$A$2:$B$374,2,FALSE),"")</f>
        <v>400107</v>
      </c>
      <c r="K2892" s="10">
        <f t="shared" si="45"/>
        <v>127152</v>
      </c>
    </row>
    <row r="2893" spans="1:11">
      <c r="A2893">
        <v>400107</v>
      </c>
      <c r="B2893" s="10">
        <v>2016</v>
      </c>
      <c r="C2893" t="s">
        <v>697</v>
      </c>
      <c r="D2893" t="s">
        <v>2472</v>
      </c>
      <c r="E2893" t="s">
        <v>2474</v>
      </c>
      <c r="F2893" t="s">
        <v>1761</v>
      </c>
      <c r="G2893" t="s">
        <v>1462</v>
      </c>
      <c r="H2893" s="10">
        <v>141122</v>
      </c>
      <c r="I2893">
        <f>IFERROR(VLOOKUP(Final!F2893,'LEAID Match'!$A$2:$B$374,2,FALSE),"")</f>
        <v>400107</v>
      </c>
      <c r="K2893" s="10">
        <f t="shared" si="45"/>
        <v>141122</v>
      </c>
    </row>
    <row r="2894" spans="1:11">
      <c r="A2894">
        <v>400107</v>
      </c>
      <c r="B2894" s="10">
        <v>2017</v>
      </c>
      <c r="C2894" t="s">
        <v>697</v>
      </c>
      <c r="D2894" t="s">
        <v>2472</v>
      </c>
      <c r="E2894" t="s">
        <v>2474</v>
      </c>
      <c r="F2894" t="s">
        <v>1761</v>
      </c>
      <c r="G2894" t="s">
        <v>1761</v>
      </c>
      <c r="H2894" s="10">
        <v>139519</v>
      </c>
      <c r="I2894">
        <f>IFERROR(VLOOKUP(Final!F2894,'LEAID Match'!$A$2:$B$374,2,FALSE),"")</f>
        <v>400107</v>
      </c>
      <c r="K2894" s="10">
        <f t="shared" si="45"/>
        <v>139519</v>
      </c>
    </row>
    <row r="2895" spans="1:11">
      <c r="A2895">
        <v>400107</v>
      </c>
      <c r="B2895" s="10">
        <v>2018</v>
      </c>
      <c r="C2895" t="s">
        <v>697</v>
      </c>
      <c r="D2895" t="s">
        <v>2472</v>
      </c>
      <c r="E2895" t="s">
        <v>2474</v>
      </c>
      <c r="F2895" t="s">
        <v>1761</v>
      </c>
      <c r="G2895" t="s">
        <v>2216</v>
      </c>
      <c r="H2895" s="10">
        <v>139015</v>
      </c>
      <c r="I2895">
        <f>IFERROR(VLOOKUP(Final!F2895,'LEAID Match'!$A$2:$B$374,2,FALSE),"")</f>
        <v>400107</v>
      </c>
      <c r="K2895" s="10">
        <f t="shared" si="45"/>
        <v>139015</v>
      </c>
    </row>
    <row r="2896" spans="1:11">
      <c r="A2896">
        <v>400107</v>
      </c>
      <c r="B2896" s="10">
        <v>2019</v>
      </c>
      <c r="C2896" t="s">
        <v>697</v>
      </c>
      <c r="D2896" t="s">
        <v>2472</v>
      </c>
      <c r="E2896" t="s">
        <v>2474</v>
      </c>
      <c r="F2896" t="s">
        <v>1761</v>
      </c>
      <c r="G2896" t="s">
        <v>2373</v>
      </c>
      <c r="H2896" s="10">
        <v>156826</v>
      </c>
      <c r="I2896">
        <f>IFERROR(VLOOKUP(Final!F2896,'LEAID Match'!$A$2:$B$374,2,FALSE),"")</f>
        <v>400107</v>
      </c>
      <c r="K2896" s="10">
        <f t="shared" si="45"/>
        <v>156826</v>
      </c>
    </row>
    <row r="2897" spans="1:11">
      <c r="A2897">
        <v>400107</v>
      </c>
      <c r="B2897" s="10">
        <v>2020</v>
      </c>
      <c r="C2897" t="s">
        <v>697</v>
      </c>
      <c r="D2897" t="s">
        <v>2472</v>
      </c>
      <c r="E2897" t="s">
        <v>2474</v>
      </c>
      <c r="F2897" t="s">
        <v>1761</v>
      </c>
      <c r="G2897" t="s">
        <v>1761</v>
      </c>
      <c r="H2897" s="10">
        <v>178345</v>
      </c>
      <c r="I2897">
        <f>IFERROR(VLOOKUP(Final!F2897,'LEAID Match'!$A$2:$B$374,2,FALSE),"")</f>
        <v>400107</v>
      </c>
      <c r="K2897" s="10">
        <f t="shared" si="45"/>
        <v>178345</v>
      </c>
    </row>
    <row r="2898" spans="1:11">
      <c r="A2898">
        <v>400107</v>
      </c>
      <c r="B2898" s="10">
        <v>2021</v>
      </c>
      <c r="C2898" t="s">
        <v>697</v>
      </c>
      <c r="D2898" t="s">
        <v>2472</v>
      </c>
      <c r="E2898" t="s">
        <v>2474</v>
      </c>
      <c r="F2898" t="s">
        <v>1761</v>
      </c>
      <c r="G2898" t="s">
        <v>2373</v>
      </c>
      <c r="H2898" s="10">
        <v>186748</v>
      </c>
      <c r="I2898">
        <f>IFERROR(VLOOKUP(Final!F2898,'LEAID Match'!$A$2:$B$374,2,FALSE),"")</f>
        <v>400107</v>
      </c>
      <c r="K2898" s="10">
        <f t="shared" si="45"/>
        <v>186748</v>
      </c>
    </row>
    <row r="2899" spans="1:11">
      <c r="A2899">
        <v>400107</v>
      </c>
      <c r="B2899" s="10">
        <v>2022</v>
      </c>
      <c r="C2899" t="s">
        <v>697</v>
      </c>
      <c r="D2899" t="s">
        <v>2472</v>
      </c>
      <c r="E2899" t="s">
        <v>2474</v>
      </c>
      <c r="F2899" t="s">
        <v>1761</v>
      </c>
      <c r="G2899" t="s">
        <v>2373</v>
      </c>
      <c r="H2899" s="10">
        <v>187149</v>
      </c>
      <c r="I2899">
        <f>IFERROR(VLOOKUP(Final!F2899,'LEAID Match'!$A$2:$B$374,2,FALSE),"")</f>
        <v>400107</v>
      </c>
      <c r="K2899" s="10">
        <f t="shared" si="45"/>
        <v>187149</v>
      </c>
    </row>
    <row r="2900" spans="1:11">
      <c r="A2900">
        <v>400107</v>
      </c>
      <c r="B2900" s="10">
        <v>2023</v>
      </c>
      <c r="C2900" t="s">
        <v>697</v>
      </c>
      <c r="D2900" t="s">
        <v>2472</v>
      </c>
      <c r="E2900" t="s">
        <v>2474</v>
      </c>
      <c r="F2900" t="s">
        <v>1761</v>
      </c>
      <c r="G2900" t="s">
        <v>1761</v>
      </c>
      <c r="H2900" s="10">
        <v>174555</v>
      </c>
      <c r="I2900">
        <f>IFERROR(VLOOKUP(Final!F2900,'LEAID Match'!$A$2:$B$374,2,FALSE),"")</f>
        <v>400107</v>
      </c>
      <c r="K2900" s="10">
        <f t="shared" si="45"/>
        <v>174555</v>
      </c>
    </row>
    <row r="2901" spans="1:11">
      <c r="A2901">
        <v>400108</v>
      </c>
      <c r="B2901" s="10">
        <v>2015</v>
      </c>
      <c r="C2901" t="s">
        <v>693</v>
      </c>
      <c r="D2901" t="s">
        <v>2472</v>
      </c>
      <c r="E2901" t="s">
        <v>2474</v>
      </c>
      <c r="F2901" t="s">
        <v>2442</v>
      </c>
      <c r="G2901" t="s">
        <v>638</v>
      </c>
      <c r="H2901" s="10">
        <v>49357</v>
      </c>
      <c r="I2901">
        <f>IFERROR(VLOOKUP(Final!F2901,'LEAID Match'!$A$2:$B$374,2,FALSE),"")</f>
        <v>400108</v>
      </c>
      <c r="K2901" s="10">
        <f t="shared" si="45"/>
        <v>49357</v>
      </c>
    </row>
    <row r="2902" spans="1:11">
      <c r="A2902">
        <v>400108</v>
      </c>
      <c r="B2902" s="10">
        <v>2016</v>
      </c>
      <c r="C2902" t="s">
        <v>693</v>
      </c>
      <c r="D2902" t="s">
        <v>2472</v>
      </c>
      <c r="E2902" t="s">
        <v>2474</v>
      </c>
      <c r="F2902" t="s">
        <v>2442</v>
      </c>
      <c r="G2902" t="s">
        <v>638</v>
      </c>
      <c r="H2902" s="10">
        <v>64755</v>
      </c>
      <c r="I2902">
        <f>IFERROR(VLOOKUP(Final!F2902,'LEAID Match'!$A$2:$B$374,2,FALSE),"")</f>
        <v>400108</v>
      </c>
      <c r="K2902" s="10">
        <f t="shared" si="45"/>
        <v>64755</v>
      </c>
    </row>
    <row r="2903" spans="1:11">
      <c r="A2903">
        <v>400108</v>
      </c>
      <c r="B2903" s="10">
        <v>2017</v>
      </c>
      <c r="C2903" t="s">
        <v>693</v>
      </c>
      <c r="D2903" t="s">
        <v>2472</v>
      </c>
      <c r="E2903" t="s">
        <v>2474</v>
      </c>
      <c r="F2903" t="s">
        <v>2442</v>
      </c>
      <c r="G2903" t="s">
        <v>1756</v>
      </c>
      <c r="H2903" s="10">
        <v>69596</v>
      </c>
      <c r="I2903">
        <f>IFERROR(VLOOKUP(Final!F2903,'LEAID Match'!$A$2:$B$374,2,FALSE),"")</f>
        <v>400108</v>
      </c>
      <c r="K2903" s="10">
        <f t="shared" si="45"/>
        <v>69596</v>
      </c>
    </row>
    <row r="2904" spans="1:11">
      <c r="A2904">
        <v>400108</v>
      </c>
      <c r="B2904" s="10">
        <v>2018</v>
      </c>
      <c r="C2904" t="s">
        <v>693</v>
      </c>
      <c r="D2904" t="s">
        <v>2472</v>
      </c>
      <c r="E2904" t="s">
        <v>2474</v>
      </c>
      <c r="F2904" t="s">
        <v>2442</v>
      </c>
      <c r="G2904" t="s">
        <v>2213</v>
      </c>
      <c r="H2904" s="10">
        <v>87927</v>
      </c>
      <c r="I2904">
        <f>IFERROR(VLOOKUP(Final!F2904,'LEAID Match'!$A$2:$B$374,2,FALSE),"")</f>
        <v>400108</v>
      </c>
      <c r="K2904" s="10">
        <f t="shared" si="45"/>
        <v>87927</v>
      </c>
    </row>
    <row r="2905" spans="1:11">
      <c r="A2905">
        <v>400108</v>
      </c>
      <c r="B2905" s="10">
        <v>2019</v>
      </c>
      <c r="C2905" t="s">
        <v>693</v>
      </c>
      <c r="D2905" t="s">
        <v>2472</v>
      </c>
      <c r="E2905" t="s">
        <v>2474</v>
      </c>
      <c r="F2905" t="s">
        <v>2442</v>
      </c>
      <c r="G2905" t="s">
        <v>1756</v>
      </c>
      <c r="H2905" s="10">
        <v>124499</v>
      </c>
      <c r="I2905">
        <f>IFERROR(VLOOKUP(Final!F2905,'LEAID Match'!$A$2:$B$374,2,FALSE),"")</f>
        <v>400108</v>
      </c>
      <c r="K2905" s="10">
        <f t="shared" si="45"/>
        <v>124499</v>
      </c>
    </row>
    <row r="2906" spans="1:11">
      <c r="A2906">
        <v>400108</v>
      </c>
      <c r="B2906" s="10">
        <v>2020</v>
      </c>
      <c r="C2906" t="s">
        <v>693</v>
      </c>
      <c r="D2906" t="s">
        <v>2472</v>
      </c>
      <c r="E2906" t="s">
        <v>2474</v>
      </c>
      <c r="F2906" t="s">
        <v>2442</v>
      </c>
      <c r="G2906" t="s">
        <v>1756</v>
      </c>
      <c r="H2906" s="10">
        <v>119681</v>
      </c>
      <c r="I2906">
        <f>IFERROR(VLOOKUP(Final!F2906,'LEAID Match'!$A$2:$B$374,2,FALSE),"")</f>
        <v>400108</v>
      </c>
      <c r="K2906" s="10">
        <f t="shared" si="45"/>
        <v>119681</v>
      </c>
    </row>
    <row r="2907" spans="1:11">
      <c r="A2907">
        <v>400108</v>
      </c>
      <c r="B2907" s="10">
        <v>2021</v>
      </c>
      <c r="C2907" t="s">
        <v>693</v>
      </c>
      <c r="D2907" t="s">
        <v>2472</v>
      </c>
      <c r="E2907" t="s">
        <v>2474</v>
      </c>
      <c r="F2907" t="s">
        <v>2442</v>
      </c>
      <c r="G2907" t="s">
        <v>1756</v>
      </c>
      <c r="H2907" s="10">
        <v>124061</v>
      </c>
      <c r="I2907">
        <f>IFERROR(VLOOKUP(Final!F2907,'LEAID Match'!$A$2:$B$374,2,FALSE),"")</f>
        <v>400108</v>
      </c>
      <c r="K2907" s="10">
        <f t="shared" si="45"/>
        <v>124061</v>
      </c>
    </row>
    <row r="2908" spans="1:11">
      <c r="A2908">
        <v>400108</v>
      </c>
      <c r="B2908" s="10">
        <v>2022</v>
      </c>
      <c r="C2908" t="s">
        <v>693</v>
      </c>
      <c r="D2908" t="s">
        <v>2472</v>
      </c>
      <c r="E2908" t="s">
        <v>2474</v>
      </c>
      <c r="F2908" t="s">
        <v>2442</v>
      </c>
      <c r="G2908" t="s">
        <v>2442</v>
      </c>
      <c r="H2908" s="10">
        <v>148138</v>
      </c>
      <c r="I2908">
        <f>IFERROR(VLOOKUP(Final!F2908,'LEAID Match'!$A$2:$B$374,2,FALSE),"")</f>
        <v>400108</v>
      </c>
      <c r="K2908" s="10">
        <f t="shared" si="45"/>
        <v>148138</v>
      </c>
    </row>
    <row r="2909" spans="1:11">
      <c r="A2909">
        <v>400108</v>
      </c>
      <c r="B2909" s="10">
        <v>2023</v>
      </c>
      <c r="C2909" t="s">
        <v>693</v>
      </c>
      <c r="D2909" t="s">
        <v>2472</v>
      </c>
      <c r="E2909" t="s">
        <v>2474</v>
      </c>
      <c r="F2909" t="s">
        <v>2442</v>
      </c>
      <c r="G2909" t="s">
        <v>2442</v>
      </c>
      <c r="H2909" s="10">
        <v>147943</v>
      </c>
      <c r="I2909">
        <f>IFERROR(VLOOKUP(Final!F2909,'LEAID Match'!$A$2:$B$374,2,FALSE),"")</f>
        <v>400108</v>
      </c>
      <c r="K2909" s="10">
        <f t="shared" si="45"/>
        <v>147943</v>
      </c>
    </row>
    <row r="2910" spans="1:11">
      <c r="A2910">
        <v>400128</v>
      </c>
      <c r="B2910" s="10">
        <v>2015</v>
      </c>
      <c r="C2910" t="s">
        <v>59</v>
      </c>
      <c r="D2910" t="s">
        <v>2472</v>
      </c>
      <c r="E2910" t="s">
        <v>2474</v>
      </c>
      <c r="F2910" t="s">
        <v>6</v>
      </c>
      <c r="G2910" t="s">
        <v>6</v>
      </c>
      <c r="H2910" s="10">
        <v>28397</v>
      </c>
      <c r="I2910">
        <f>IFERROR(VLOOKUP(Final!F2910,'LEAID Match'!$A$2:$B$374,2,FALSE),"")</f>
        <v>400128</v>
      </c>
      <c r="K2910" s="10">
        <f t="shared" si="45"/>
        <v>28397</v>
      </c>
    </row>
    <row r="2911" spans="1:11">
      <c r="A2911">
        <v>400128</v>
      </c>
      <c r="B2911" s="10">
        <v>2016</v>
      </c>
      <c r="C2911" t="s">
        <v>59</v>
      </c>
      <c r="D2911" t="s">
        <v>2472</v>
      </c>
      <c r="E2911" t="s">
        <v>2474</v>
      </c>
      <c r="F2911" t="s">
        <v>6</v>
      </c>
      <c r="G2911" t="s">
        <v>6</v>
      </c>
      <c r="H2911" s="10">
        <v>35801</v>
      </c>
      <c r="I2911">
        <f>IFERROR(VLOOKUP(Final!F2911,'LEAID Match'!$A$2:$B$374,2,FALSE),"")</f>
        <v>400128</v>
      </c>
      <c r="K2911" s="10">
        <f t="shared" si="45"/>
        <v>35801</v>
      </c>
    </row>
    <row r="2912" spans="1:11">
      <c r="A2912">
        <v>400128</v>
      </c>
      <c r="B2912" s="10">
        <v>2017</v>
      </c>
      <c r="C2912" t="s">
        <v>59</v>
      </c>
      <c r="D2912" t="s">
        <v>2472</v>
      </c>
      <c r="E2912" t="s">
        <v>2474</v>
      </c>
      <c r="F2912" t="s">
        <v>6</v>
      </c>
      <c r="G2912" t="s">
        <v>6</v>
      </c>
      <c r="H2912" s="10">
        <v>35344</v>
      </c>
      <c r="I2912">
        <f>IFERROR(VLOOKUP(Final!F2912,'LEAID Match'!$A$2:$B$374,2,FALSE),"")</f>
        <v>400128</v>
      </c>
      <c r="K2912" s="10">
        <f t="shared" si="45"/>
        <v>35344</v>
      </c>
    </row>
    <row r="2913" spans="1:11">
      <c r="A2913">
        <v>400128</v>
      </c>
      <c r="B2913" s="10">
        <v>2018</v>
      </c>
      <c r="C2913" t="s">
        <v>59</v>
      </c>
      <c r="D2913" t="s">
        <v>2472</v>
      </c>
      <c r="E2913" t="s">
        <v>2474</v>
      </c>
      <c r="F2913" t="s">
        <v>6</v>
      </c>
      <c r="G2913" t="s">
        <v>6</v>
      </c>
      <c r="H2913" s="10"/>
      <c r="I2913">
        <f>IFERROR(VLOOKUP(Final!F2913,'LEAID Match'!$A$2:$B$374,2,FALSE),"")</f>
        <v>400128</v>
      </c>
      <c r="K2913" s="10">
        <f t="shared" si="45"/>
        <v>0</v>
      </c>
    </row>
    <row r="2914" spans="1:11">
      <c r="A2914">
        <v>400128</v>
      </c>
      <c r="B2914" s="10">
        <v>2019</v>
      </c>
      <c r="C2914" t="s">
        <v>59</v>
      </c>
      <c r="D2914" t="s">
        <v>2472</v>
      </c>
      <c r="E2914" t="s">
        <v>2474</v>
      </c>
      <c r="F2914" t="s">
        <v>6</v>
      </c>
      <c r="G2914" t="s">
        <v>6</v>
      </c>
      <c r="H2914" s="10"/>
      <c r="I2914">
        <f>IFERROR(VLOOKUP(Final!F2914,'LEAID Match'!$A$2:$B$374,2,FALSE),"")</f>
        <v>400128</v>
      </c>
      <c r="K2914" s="10">
        <f t="shared" si="45"/>
        <v>0</v>
      </c>
    </row>
    <row r="2915" spans="1:11">
      <c r="A2915">
        <v>400128</v>
      </c>
      <c r="B2915" s="10">
        <v>2020</v>
      </c>
      <c r="C2915" t="s">
        <v>59</v>
      </c>
      <c r="D2915" t="s">
        <v>2472</v>
      </c>
      <c r="E2915" t="s">
        <v>2474</v>
      </c>
      <c r="F2915" t="s">
        <v>6</v>
      </c>
      <c r="G2915" t="s">
        <v>6</v>
      </c>
      <c r="H2915" s="10"/>
      <c r="I2915">
        <f>IFERROR(VLOOKUP(Final!F2915,'LEAID Match'!$A$2:$B$374,2,FALSE),"")</f>
        <v>400128</v>
      </c>
      <c r="K2915" s="10">
        <f t="shared" si="45"/>
        <v>0</v>
      </c>
    </row>
    <row r="2916" spans="1:11">
      <c r="A2916">
        <v>400128</v>
      </c>
      <c r="B2916" s="10">
        <v>2021</v>
      </c>
      <c r="C2916" t="s">
        <v>59</v>
      </c>
      <c r="D2916" t="s">
        <v>2472</v>
      </c>
      <c r="E2916" t="s">
        <v>2474</v>
      </c>
      <c r="F2916" t="s">
        <v>6</v>
      </c>
      <c r="G2916" t="s">
        <v>6</v>
      </c>
      <c r="H2916" s="10"/>
      <c r="I2916">
        <f>IFERROR(VLOOKUP(Final!F2916,'LEAID Match'!$A$2:$B$374,2,FALSE),"")</f>
        <v>400128</v>
      </c>
      <c r="K2916" s="10">
        <f t="shared" si="45"/>
        <v>0</v>
      </c>
    </row>
    <row r="2917" spans="1:11">
      <c r="A2917">
        <v>400128</v>
      </c>
      <c r="B2917" s="10">
        <v>2022</v>
      </c>
      <c r="C2917" t="s">
        <v>59</v>
      </c>
      <c r="D2917" t="s">
        <v>2472</v>
      </c>
      <c r="E2917" t="s">
        <v>2474</v>
      </c>
      <c r="F2917" t="s">
        <v>6</v>
      </c>
      <c r="G2917" t="s">
        <v>6</v>
      </c>
      <c r="H2917" s="10"/>
      <c r="I2917">
        <f>IFERROR(VLOOKUP(Final!F2917,'LEAID Match'!$A$2:$B$374,2,FALSE),"")</f>
        <v>400128</v>
      </c>
      <c r="K2917" s="10">
        <f t="shared" si="45"/>
        <v>0</v>
      </c>
    </row>
    <row r="2918" spans="1:11">
      <c r="A2918">
        <v>400128</v>
      </c>
      <c r="B2918" s="10">
        <v>2023</v>
      </c>
      <c r="C2918" t="s">
        <v>59</v>
      </c>
      <c r="D2918" t="s">
        <v>2472</v>
      </c>
      <c r="E2918" t="s">
        <v>2474</v>
      </c>
      <c r="F2918" t="s">
        <v>6</v>
      </c>
      <c r="G2918" t="s">
        <v>6</v>
      </c>
      <c r="H2918" s="10"/>
      <c r="I2918">
        <f>IFERROR(VLOOKUP(Final!F2918,'LEAID Match'!$A$2:$B$374,2,FALSE),"")</f>
        <v>400128</v>
      </c>
      <c r="K2918" s="10">
        <f t="shared" si="45"/>
        <v>0</v>
      </c>
    </row>
    <row r="2919" spans="1:11">
      <c r="A2919">
        <v>400112</v>
      </c>
      <c r="B2919" s="10">
        <v>2015</v>
      </c>
      <c r="C2919" t="s">
        <v>75</v>
      </c>
      <c r="D2919" t="s">
        <v>2472</v>
      </c>
      <c r="E2919" t="s">
        <v>2474</v>
      </c>
      <c r="F2919" t="s">
        <v>1365</v>
      </c>
      <c r="G2919" t="s">
        <v>22</v>
      </c>
      <c r="H2919" s="10">
        <v>44520</v>
      </c>
      <c r="I2919">
        <f>IFERROR(VLOOKUP(Final!F2919,'LEAID Match'!$A$2:$B$374,2,FALSE),"")</f>
        <v>400112</v>
      </c>
      <c r="K2919" s="10">
        <f t="shared" si="45"/>
        <v>44520</v>
      </c>
    </row>
    <row r="2920" spans="1:11">
      <c r="A2920">
        <v>400112</v>
      </c>
      <c r="B2920" s="10">
        <v>2016</v>
      </c>
      <c r="C2920" t="s">
        <v>75</v>
      </c>
      <c r="D2920" t="s">
        <v>2472</v>
      </c>
      <c r="E2920" t="s">
        <v>2474</v>
      </c>
      <c r="F2920" t="s">
        <v>1365</v>
      </c>
      <c r="G2920" t="s">
        <v>1365</v>
      </c>
      <c r="H2920" s="10">
        <v>25799</v>
      </c>
      <c r="I2920">
        <f>IFERROR(VLOOKUP(Final!F2920,'LEAID Match'!$A$2:$B$374,2,FALSE),"")</f>
        <v>400112</v>
      </c>
      <c r="K2920" s="10">
        <f t="shared" si="45"/>
        <v>25799</v>
      </c>
    </row>
    <row r="2921" spans="1:11">
      <c r="A2921">
        <v>400112</v>
      </c>
      <c r="B2921" s="10">
        <v>2017</v>
      </c>
      <c r="C2921" t="s">
        <v>75</v>
      </c>
      <c r="D2921" t="s">
        <v>2472</v>
      </c>
      <c r="E2921" t="s">
        <v>2474</v>
      </c>
      <c r="F2921" t="s">
        <v>1365</v>
      </c>
      <c r="G2921" t="s">
        <v>1365</v>
      </c>
      <c r="H2921" s="10">
        <v>25365</v>
      </c>
      <c r="I2921">
        <f>IFERROR(VLOOKUP(Final!F2921,'LEAID Match'!$A$2:$B$374,2,FALSE),"")</f>
        <v>400112</v>
      </c>
      <c r="K2921" s="10">
        <f t="shared" si="45"/>
        <v>25365</v>
      </c>
    </row>
    <row r="2922" spans="1:11">
      <c r="A2922">
        <v>400112</v>
      </c>
      <c r="B2922" s="10">
        <v>2018</v>
      </c>
      <c r="C2922" t="s">
        <v>75</v>
      </c>
      <c r="D2922" t="s">
        <v>2472</v>
      </c>
      <c r="E2922" t="s">
        <v>2474</v>
      </c>
      <c r="F2922" t="s">
        <v>1365</v>
      </c>
      <c r="G2922" t="s">
        <v>1365</v>
      </c>
      <c r="H2922" s="10">
        <v>29089</v>
      </c>
      <c r="I2922">
        <f>IFERROR(VLOOKUP(Final!F2922,'LEAID Match'!$A$2:$B$374,2,FALSE),"")</f>
        <v>400112</v>
      </c>
      <c r="K2922" s="10">
        <f t="shared" si="45"/>
        <v>29089</v>
      </c>
    </row>
    <row r="2923" spans="1:11">
      <c r="A2923">
        <v>400112</v>
      </c>
      <c r="B2923" s="10">
        <v>2019</v>
      </c>
      <c r="C2923" t="s">
        <v>75</v>
      </c>
      <c r="D2923" t="s">
        <v>2472</v>
      </c>
      <c r="E2923" t="s">
        <v>2474</v>
      </c>
      <c r="F2923" t="s">
        <v>1365</v>
      </c>
      <c r="G2923" t="s">
        <v>1365</v>
      </c>
      <c r="H2923" s="10">
        <v>9067</v>
      </c>
      <c r="I2923">
        <f>IFERROR(VLOOKUP(Final!F2923,'LEAID Match'!$A$2:$B$374,2,FALSE),"")</f>
        <v>400112</v>
      </c>
      <c r="K2923" s="10">
        <f t="shared" si="45"/>
        <v>9067</v>
      </c>
    </row>
    <row r="2924" spans="1:11">
      <c r="A2924">
        <v>400112</v>
      </c>
      <c r="B2924" s="10">
        <v>2020</v>
      </c>
      <c r="C2924" t="s">
        <v>75</v>
      </c>
      <c r="D2924" t="s">
        <v>2472</v>
      </c>
      <c r="E2924" t="s">
        <v>2474</v>
      </c>
      <c r="F2924" t="s">
        <v>1365</v>
      </c>
      <c r="G2924" t="s">
        <v>1365</v>
      </c>
      <c r="H2924" s="10">
        <v>6989</v>
      </c>
      <c r="I2924">
        <f>IFERROR(VLOOKUP(Final!F2924,'LEAID Match'!$A$2:$B$374,2,FALSE),"")</f>
        <v>400112</v>
      </c>
      <c r="K2924" s="10">
        <f t="shared" si="45"/>
        <v>6989</v>
      </c>
    </row>
    <row r="2925" spans="1:11">
      <c r="A2925">
        <v>400112</v>
      </c>
      <c r="B2925" s="10">
        <v>2021</v>
      </c>
      <c r="C2925" t="s">
        <v>75</v>
      </c>
      <c r="D2925" t="s">
        <v>2472</v>
      </c>
      <c r="E2925" t="s">
        <v>2474</v>
      </c>
      <c r="F2925" t="s">
        <v>1365</v>
      </c>
      <c r="G2925" t="s">
        <v>1365</v>
      </c>
      <c r="H2925" s="10">
        <v>7331</v>
      </c>
      <c r="I2925">
        <f>IFERROR(VLOOKUP(Final!F2925,'LEAID Match'!$A$2:$B$374,2,FALSE),"")</f>
        <v>400112</v>
      </c>
      <c r="K2925" s="10">
        <f t="shared" si="45"/>
        <v>7331</v>
      </c>
    </row>
    <row r="2926" spans="1:11">
      <c r="A2926">
        <v>400112</v>
      </c>
      <c r="B2926" s="10">
        <v>2022</v>
      </c>
      <c r="C2926" t="s">
        <v>75</v>
      </c>
      <c r="D2926" t="s">
        <v>2472</v>
      </c>
      <c r="E2926" t="s">
        <v>2474</v>
      </c>
      <c r="F2926" t="s">
        <v>1365</v>
      </c>
      <c r="G2926" t="s">
        <v>1365</v>
      </c>
      <c r="H2926" s="10">
        <v>973</v>
      </c>
      <c r="I2926">
        <f>IFERROR(VLOOKUP(Final!F2926,'LEAID Match'!$A$2:$B$374,2,FALSE),"")</f>
        <v>400112</v>
      </c>
      <c r="K2926" s="10">
        <f t="shared" si="45"/>
        <v>973</v>
      </c>
    </row>
    <row r="2927" spans="1:11">
      <c r="A2927">
        <v>400112</v>
      </c>
      <c r="B2927" s="10">
        <v>2023</v>
      </c>
      <c r="C2927" t="s">
        <v>75</v>
      </c>
      <c r="D2927" t="s">
        <v>2472</v>
      </c>
      <c r="E2927" t="s">
        <v>2474</v>
      </c>
      <c r="F2927" t="s">
        <v>1365</v>
      </c>
      <c r="G2927" t="s">
        <v>1365</v>
      </c>
      <c r="H2927" s="10"/>
      <c r="I2927">
        <f>IFERROR(VLOOKUP(Final!F2927,'LEAID Match'!$A$2:$B$374,2,FALSE),"")</f>
        <v>400112</v>
      </c>
      <c r="K2927" s="10">
        <f t="shared" si="45"/>
        <v>0</v>
      </c>
    </row>
    <row r="2928" spans="1:11">
      <c r="A2928">
        <v>400339</v>
      </c>
      <c r="B2928" s="10">
        <v>2015</v>
      </c>
      <c r="C2928" t="s">
        <v>555</v>
      </c>
      <c r="D2928" t="s">
        <v>2472</v>
      </c>
      <c r="E2928" t="s">
        <v>2474</v>
      </c>
      <c r="F2928" t="s">
        <v>500</v>
      </c>
      <c r="G2928" t="s">
        <v>500</v>
      </c>
      <c r="H2928" s="10">
        <v>162781</v>
      </c>
      <c r="I2928">
        <f>IFERROR(VLOOKUP(Final!F2928,'LEAID Match'!$A$2:$B$374,2,FALSE),"")</f>
        <v>400339</v>
      </c>
      <c r="K2928" s="10">
        <f t="shared" si="45"/>
        <v>162781</v>
      </c>
    </row>
    <row r="2929" spans="1:11">
      <c r="A2929">
        <v>400339</v>
      </c>
      <c r="B2929" s="10">
        <v>2016</v>
      </c>
      <c r="C2929" t="s">
        <v>555</v>
      </c>
      <c r="D2929" t="s">
        <v>2472</v>
      </c>
      <c r="E2929" t="s">
        <v>2474</v>
      </c>
      <c r="F2929" t="s">
        <v>500</v>
      </c>
      <c r="G2929" t="s">
        <v>500</v>
      </c>
      <c r="H2929" s="10">
        <v>159174</v>
      </c>
      <c r="I2929">
        <f>IFERROR(VLOOKUP(Final!F2929,'LEAID Match'!$A$2:$B$374,2,FALSE),"")</f>
        <v>400339</v>
      </c>
      <c r="K2929" s="10">
        <f t="shared" si="45"/>
        <v>159174</v>
      </c>
    </row>
    <row r="2930" spans="1:11">
      <c r="A2930">
        <v>400339</v>
      </c>
      <c r="B2930" s="10">
        <v>2017</v>
      </c>
      <c r="C2930" t="s">
        <v>555</v>
      </c>
      <c r="D2930" t="s">
        <v>2472</v>
      </c>
      <c r="E2930" t="s">
        <v>2474</v>
      </c>
      <c r="F2930" t="s">
        <v>500</v>
      </c>
      <c r="G2930" t="s">
        <v>500</v>
      </c>
      <c r="H2930" s="10">
        <v>156207</v>
      </c>
      <c r="I2930">
        <f>IFERROR(VLOOKUP(Final!F2930,'LEAID Match'!$A$2:$B$374,2,FALSE),"")</f>
        <v>400339</v>
      </c>
      <c r="K2930" s="10">
        <f t="shared" si="45"/>
        <v>156207</v>
      </c>
    </row>
    <row r="2931" spans="1:11">
      <c r="A2931">
        <v>400339</v>
      </c>
      <c r="B2931" s="10">
        <v>2018</v>
      </c>
      <c r="C2931" t="s">
        <v>555</v>
      </c>
      <c r="D2931" t="s">
        <v>2472</v>
      </c>
      <c r="E2931" t="s">
        <v>2474</v>
      </c>
      <c r="F2931" t="s">
        <v>500</v>
      </c>
      <c r="G2931" t="s">
        <v>500</v>
      </c>
      <c r="H2931" s="10">
        <v>169337</v>
      </c>
      <c r="I2931">
        <f>IFERROR(VLOOKUP(Final!F2931,'LEAID Match'!$A$2:$B$374,2,FALSE),"")</f>
        <v>400339</v>
      </c>
      <c r="K2931" s="10">
        <f t="shared" si="45"/>
        <v>169337</v>
      </c>
    </row>
    <row r="2932" spans="1:11">
      <c r="A2932">
        <v>400339</v>
      </c>
      <c r="B2932" s="10">
        <v>2019</v>
      </c>
      <c r="C2932" t="s">
        <v>555</v>
      </c>
      <c r="D2932" t="s">
        <v>2472</v>
      </c>
      <c r="E2932" t="s">
        <v>2474</v>
      </c>
      <c r="F2932" t="s">
        <v>500</v>
      </c>
      <c r="G2932" t="s">
        <v>500</v>
      </c>
      <c r="H2932" s="10">
        <v>193306</v>
      </c>
      <c r="I2932">
        <f>IFERROR(VLOOKUP(Final!F2932,'LEAID Match'!$A$2:$B$374,2,FALSE),"")</f>
        <v>400339</v>
      </c>
      <c r="K2932" s="10">
        <f t="shared" si="45"/>
        <v>193306</v>
      </c>
    </row>
    <row r="2933" spans="1:11">
      <c r="A2933">
        <v>400339</v>
      </c>
      <c r="B2933" s="10">
        <v>2020</v>
      </c>
      <c r="C2933" t="s">
        <v>555</v>
      </c>
      <c r="D2933" t="s">
        <v>2472</v>
      </c>
      <c r="E2933" t="s">
        <v>2474</v>
      </c>
      <c r="F2933" t="s">
        <v>500</v>
      </c>
      <c r="G2933" t="s">
        <v>500</v>
      </c>
      <c r="H2933" s="10">
        <v>199411</v>
      </c>
      <c r="I2933">
        <f>IFERROR(VLOOKUP(Final!F2933,'LEAID Match'!$A$2:$B$374,2,FALSE),"")</f>
        <v>400339</v>
      </c>
      <c r="K2933" s="10">
        <f t="shared" si="45"/>
        <v>199411</v>
      </c>
    </row>
    <row r="2934" spans="1:11">
      <c r="A2934">
        <v>400339</v>
      </c>
      <c r="B2934" s="10">
        <v>2021</v>
      </c>
      <c r="C2934" t="s">
        <v>555</v>
      </c>
      <c r="D2934" t="s">
        <v>2472</v>
      </c>
      <c r="E2934" t="s">
        <v>2474</v>
      </c>
      <c r="F2934" t="s">
        <v>500</v>
      </c>
      <c r="G2934" t="s">
        <v>500</v>
      </c>
      <c r="H2934" s="10">
        <v>196869</v>
      </c>
      <c r="I2934">
        <f>IFERROR(VLOOKUP(Final!F2934,'LEAID Match'!$A$2:$B$374,2,FALSE),"")</f>
        <v>400339</v>
      </c>
      <c r="K2934" s="10">
        <f t="shared" si="45"/>
        <v>196869</v>
      </c>
    </row>
    <row r="2935" spans="1:11">
      <c r="A2935">
        <v>400339</v>
      </c>
      <c r="B2935" s="10">
        <v>2022</v>
      </c>
      <c r="C2935" t="s">
        <v>555</v>
      </c>
      <c r="D2935" t="s">
        <v>2472</v>
      </c>
      <c r="E2935" t="s">
        <v>2474</v>
      </c>
      <c r="F2935" t="s">
        <v>500</v>
      </c>
      <c r="G2935" t="s">
        <v>500</v>
      </c>
      <c r="H2935" s="10">
        <v>251268</v>
      </c>
      <c r="I2935">
        <f>IFERROR(VLOOKUP(Final!F2935,'LEAID Match'!$A$2:$B$374,2,FALSE),"")</f>
        <v>400339</v>
      </c>
      <c r="K2935" s="10">
        <f t="shared" si="45"/>
        <v>251268</v>
      </c>
    </row>
    <row r="2936" spans="1:11">
      <c r="A2936">
        <v>400339</v>
      </c>
      <c r="B2936" s="10">
        <v>2023</v>
      </c>
      <c r="C2936" t="s">
        <v>555</v>
      </c>
      <c r="D2936" t="s">
        <v>2472</v>
      </c>
      <c r="E2936" t="s">
        <v>2474</v>
      </c>
      <c r="F2936" t="s">
        <v>500</v>
      </c>
      <c r="G2936" t="s">
        <v>500</v>
      </c>
      <c r="H2936" s="10">
        <v>252766</v>
      </c>
      <c r="I2936">
        <f>IFERROR(VLOOKUP(Final!F2936,'LEAID Match'!$A$2:$B$374,2,FALSE),"")</f>
        <v>400339</v>
      </c>
      <c r="K2936" s="10">
        <f t="shared" si="45"/>
        <v>252766</v>
      </c>
    </row>
    <row r="2937" spans="1:11">
      <c r="A2937">
        <v>400130</v>
      </c>
      <c r="B2937" s="10">
        <v>2015</v>
      </c>
      <c r="C2937" t="s">
        <v>569</v>
      </c>
      <c r="D2937" t="s">
        <v>2472</v>
      </c>
      <c r="E2937" t="s">
        <v>2474</v>
      </c>
      <c r="F2937" t="s">
        <v>1446</v>
      </c>
      <c r="G2937" t="s">
        <v>514</v>
      </c>
      <c r="H2937" s="10">
        <v>157915</v>
      </c>
      <c r="I2937">
        <f>IFERROR(VLOOKUP(Final!F2937,'LEAID Match'!$A$2:$B$374,2,FALSE),"")</f>
        <v>400130</v>
      </c>
      <c r="K2937" s="10">
        <f t="shared" si="45"/>
        <v>157915</v>
      </c>
    </row>
    <row r="2938" spans="1:11">
      <c r="A2938">
        <v>400130</v>
      </c>
      <c r="B2938" s="10">
        <v>2016</v>
      </c>
      <c r="C2938" t="s">
        <v>569</v>
      </c>
      <c r="D2938" t="s">
        <v>2472</v>
      </c>
      <c r="E2938" t="s">
        <v>2474</v>
      </c>
      <c r="F2938" t="s">
        <v>1446</v>
      </c>
      <c r="G2938" t="s">
        <v>1446</v>
      </c>
      <c r="H2938" s="10">
        <v>166854</v>
      </c>
      <c r="I2938">
        <f>IFERROR(VLOOKUP(Final!F2938,'LEAID Match'!$A$2:$B$374,2,FALSE),"")</f>
        <v>400130</v>
      </c>
      <c r="K2938" s="10">
        <f t="shared" si="45"/>
        <v>166854</v>
      </c>
    </row>
    <row r="2939" spans="1:11">
      <c r="A2939">
        <v>400130</v>
      </c>
      <c r="B2939" s="10">
        <v>2017</v>
      </c>
      <c r="C2939" t="s">
        <v>569</v>
      </c>
      <c r="D2939" t="s">
        <v>2472</v>
      </c>
      <c r="E2939" t="s">
        <v>2474</v>
      </c>
      <c r="F2939" t="s">
        <v>1446</v>
      </c>
      <c r="G2939" t="s">
        <v>1446</v>
      </c>
      <c r="H2939" s="10">
        <v>167893</v>
      </c>
      <c r="I2939">
        <f>IFERROR(VLOOKUP(Final!F2939,'LEAID Match'!$A$2:$B$374,2,FALSE),"")</f>
        <v>400130</v>
      </c>
      <c r="K2939" s="10">
        <f t="shared" si="45"/>
        <v>167893</v>
      </c>
    </row>
    <row r="2940" spans="1:11">
      <c r="A2940">
        <v>400130</v>
      </c>
      <c r="B2940" s="10">
        <v>2018</v>
      </c>
      <c r="C2940" t="s">
        <v>569</v>
      </c>
      <c r="D2940" t="s">
        <v>2472</v>
      </c>
      <c r="E2940" t="s">
        <v>2474</v>
      </c>
      <c r="F2940" t="s">
        <v>1446</v>
      </c>
      <c r="G2940" t="s">
        <v>1446</v>
      </c>
      <c r="H2940" s="10">
        <v>172374</v>
      </c>
      <c r="I2940">
        <f>IFERROR(VLOOKUP(Final!F2940,'LEAID Match'!$A$2:$B$374,2,FALSE),"")</f>
        <v>400130</v>
      </c>
      <c r="K2940" s="10">
        <f t="shared" si="45"/>
        <v>172374</v>
      </c>
    </row>
    <row r="2941" spans="1:11">
      <c r="A2941">
        <v>400130</v>
      </c>
      <c r="B2941" s="10">
        <v>2019</v>
      </c>
      <c r="C2941" t="s">
        <v>569</v>
      </c>
      <c r="D2941" t="s">
        <v>2472</v>
      </c>
      <c r="E2941" t="s">
        <v>2474</v>
      </c>
      <c r="F2941" t="s">
        <v>1446</v>
      </c>
      <c r="G2941" t="s">
        <v>1446</v>
      </c>
      <c r="H2941" s="10">
        <v>177364</v>
      </c>
      <c r="I2941">
        <f>IFERROR(VLOOKUP(Final!F2941,'LEAID Match'!$A$2:$B$374,2,FALSE),"")</f>
        <v>400130</v>
      </c>
      <c r="K2941" s="10">
        <f t="shared" si="45"/>
        <v>177364</v>
      </c>
    </row>
    <row r="2942" spans="1:11">
      <c r="A2942">
        <v>400130</v>
      </c>
      <c r="B2942" s="10">
        <v>2020</v>
      </c>
      <c r="C2942" t="s">
        <v>569</v>
      </c>
      <c r="D2942" t="s">
        <v>2472</v>
      </c>
      <c r="E2942" t="s">
        <v>2474</v>
      </c>
      <c r="F2942" t="s">
        <v>1446</v>
      </c>
      <c r="G2942" t="s">
        <v>1446</v>
      </c>
      <c r="H2942" s="10">
        <v>184794</v>
      </c>
      <c r="I2942">
        <f>IFERROR(VLOOKUP(Final!F2942,'LEAID Match'!$A$2:$B$374,2,FALSE),"")</f>
        <v>400130</v>
      </c>
      <c r="K2942" s="10">
        <f t="shared" si="45"/>
        <v>184794</v>
      </c>
    </row>
    <row r="2943" spans="1:11">
      <c r="A2943">
        <v>400130</v>
      </c>
      <c r="B2943" s="10">
        <v>2021</v>
      </c>
      <c r="C2943" t="s">
        <v>569</v>
      </c>
      <c r="D2943" t="s">
        <v>2472</v>
      </c>
      <c r="E2943" t="s">
        <v>2474</v>
      </c>
      <c r="F2943" t="s">
        <v>1446</v>
      </c>
      <c r="G2943" t="s">
        <v>1446</v>
      </c>
      <c r="H2943" s="10">
        <v>196996</v>
      </c>
      <c r="I2943">
        <f>IFERROR(VLOOKUP(Final!F2943,'LEAID Match'!$A$2:$B$374,2,FALSE),"")</f>
        <v>400130</v>
      </c>
      <c r="K2943" s="10">
        <f t="shared" si="45"/>
        <v>196996</v>
      </c>
    </row>
    <row r="2944" spans="1:11">
      <c r="A2944">
        <v>400130</v>
      </c>
      <c r="B2944" s="10">
        <v>2022</v>
      </c>
      <c r="C2944" t="s">
        <v>569</v>
      </c>
      <c r="D2944" t="s">
        <v>2472</v>
      </c>
      <c r="E2944" t="s">
        <v>2474</v>
      </c>
      <c r="F2944" t="s">
        <v>1446</v>
      </c>
      <c r="G2944" t="s">
        <v>1446</v>
      </c>
      <c r="H2944" s="10">
        <v>212694</v>
      </c>
      <c r="I2944">
        <f>IFERROR(VLOOKUP(Final!F2944,'LEAID Match'!$A$2:$B$374,2,FALSE),"")</f>
        <v>400130</v>
      </c>
      <c r="K2944" s="10">
        <f t="shared" si="45"/>
        <v>212694</v>
      </c>
    </row>
    <row r="2945" spans="1:11">
      <c r="A2945">
        <v>400130</v>
      </c>
      <c r="B2945" s="10">
        <v>2023</v>
      </c>
      <c r="C2945" t="s">
        <v>569</v>
      </c>
      <c r="D2945" t="s">
        <v>2472</v>
      </c>
      <c r="E2945" t="s">
        <v>2474</v>
      </c>
      <c r="F2945" t="s">
        <v>1446</v>
      </c>
      <c r="G2945" t="s">
        <v>1446</v>
      </c>
      <c r="H2945" s="10">
        <v>223806</v>
      </c>
      <c r="I2945">
        <f>IFERROR(VLOOKUP(Final!F2945,'LEAID Match'!$A$2:$B$374,2,FALSE),"")</f>
        <v>400130</v>
      </c>
      <c r="K2945" s="10">
        <f t="shared" si="45"/>
        <v>223806</v>
      </c>
    </row>
    <row r="2946" spans="1:11">
      <c r="A2946">
        <v>400141</v>
      </c>
      <c r="B2946" s="10">
        <v>2015</v>
      </c>
      <c r="C2946" t="s">
        <v>557</v>
      </c>
      <c r="D2946" t="s">
        <v>2472</v>
      </c>
      <c r="E2946" t="s">
        <v>2474</v>
      </c>
      <c r="F2946" t="s">
        <v>502</v>
      </c>
      <c r="G2946" t="s">
        <v>502</v>
      </c>
      <c r="H2946" s="10">
        <v>41411</v>
      </c>
      <c r="I2946">
        <f>IFERROR(VLOOKUP(Final!F2946,'LEAID Match'!$A$2:$B$374,2,FALSE),"")</f>
        <v>400141</v>
      </c>
      <c r="K2946" s="10">
        <f t="shared" si="45"/>
        <v>41411</v>
      </c>
    </row>
    <row r="2947" spans="1:11">
      <c r="A2947">
        <v>400141</v>
      </c>
      <c r="B2947" s="10">
        <v>2016</v>
      </c>
      <c r="C2947" t="s">
        <v>557</v>
      </c>
      <c r="D2947" t="s">
        <v>2472</v>
      </c>
      <c r="E2947" t="s">
        <v>2474</v>
      </c>
      <c r="F2947" t="s">
        <v>502</v>
      </c>
      <c r="G2947" t="s">
        <v>502</v>
      </c>
      <c r="H2947" s="10">
        <v>43974</v>
      </c>
      <c r="I2947">
        <f>IFERROR(VLOOKUP(Final!F2947,'LEAID Match'!$A$2:$B$374,2,FALSE),"")</f>
        <v>400141</v>
      </c>
      <c r="K2947" s="10">
        <f t="shared" ref="K2947:K3010" si="46">SUM(H2947,J2947)</f>
        <v>43974</v>
      </c>
    </row>
    <row r="2948" spans="1:11">
      <c r="A2948">
        <v>400141</v>
      </c>
      <c r="B2948" s="10">
        <v>2017</v>
      </c>
      <c r="C2948" t="s">
        <v>557</v>
      </c>
      <c r="D2948" t="s">
        <v>2472</v>
      </c>
      <c r="E2948" t="s">
        <v>2474</v>
      </c>
      <c r="F2948" t="s">
        <v>502</v>
      </c>
      <c r="G2948" t="s">
        <v>502</v>
      </c>
      <c r="H2948" s="10">
        <v>45754</v>
      </c>
      <c r="I2948">
        <f>IFERROR(VLOOKUP(Final!F2948,'LEAID Match'!$A$2:$B$374,2,FALSE),"")</f>
        <v>400141</v>
      </c>
      <c r="K2948" s="10">
        <f t="shared" si="46"/>
        <v>45754</v>
      </c>
    </row>
    <row r="2949" spans="1:11">
      <c r="A2949">
        <v>400141</v>
      </c>
      <c r="B2949" s="10">
        <v>2018</v>
      </c>
      <c r="C2949" t="s">
        <v>557</v>
      </c>
      <c r="D2949" t="s">
        <v>2472</v>
      </c>
      <c r="E2949" t="s">
        <v>2474</v>
      </c>
      <c r="F2949" t="s">
        <v>502</v>
      </c>
      <c r="G2949" t="s">
        <v>502</v>
      </c>
      <c r="H2949" s="10">
        <v>46253</v>
      </c>
      <c r="I2949">
        <f>IFERROR(VLOOKUP(Final!F2949,'LEAID Match'!$A$2:$B$374,2,FALSE),"")</f>
        <v>400141</v>
      </c>
      <c r="K2949" s="10">
        <f t="shared" si="46"/>
        <v>46253</v>
      </c>
    </row>
    <row r="2950" spans="1:11">
      <c r="A2950">
        <v>400141</v>
      </c>
      <c r="B2950" s="10">
        <v>2019</v>
      </c>
      <c r="C2950" t="s">
        <v>557</v>
      </c>
      <c r="D2950" t="s">
        <v>2472</v>
      </c>
      <c r="E2950" t="s">
        <v>2474</v>
      </c>
      <c r="F2950" t="s">
        <v>502</v>
      </c>
      <c r="G2950" t="s">
        <v>502</v>
      </c>
      <c r="H2950" s="10">
        <v>56384</v>
      </c>
      <c r="I2950">
        <f>IFERROR(VLOOKUP(Final!F2950,'LEAID Match'!$A$2:$B$374,2,FALSE),"")</f>
        <v>400141</v>
      </c>
      <c r="K2950" s="10">
        <f t="shared" si="46"/>
        <v>56384</v>
      </c>
    </row>
    <row r="2951" spans="1:11">
      <c r="A2951">
        <v>400141</v>
      </c>
      <c r="B2951" s="10">
        <v>2020</v>
      </c>
      <c r="C2951" t="s">
        <v>557</v>
      </c>
      <c r="D2951" t="s">
        <v>2472</v>
      </c>
      <c r="E2951" t="s">
        <v>2474</v>
      </c>
      <c r="F2951" t="s">
        <v>502</v>
      </c>
      <c r="G2951" t="s">
        <v>502</v>
      </c>
      <c r="H2951" s="10">
        <v>56202</v>
      </c>
      <c r="I2951">
        <f>IFERROR(VLOOKUP(Final!F2951,'LEAID Match'!$A$2:$B$374,2,FALSE),"")</f>
        <v>400141</v>
      </c>
      <c r="K2951" s="10">
        <f t="shared" si="46"/>
        <v>56202</v>
      </c>
    </row>
    <row r="2952" spans="1:11">
      <c r="A2952">
        <v>400141</v>
      </c>
      <c r="B2952" s="10">
        <v>2021</v>
      </c>
      <c r="C2952" t="s">
        <v>557</v>
      </c>
      <c r="D2952" t="s">
        <v>2472</v>
      </c>
      <c r="E2952" t="s">
        <v>2474</v>
      </c>
      <c r="F2952" t="s">
        <v>502</v>
      </c>
      <c r="G2952" t="s">
        <v>502</v>
      </c>
      <c r="H2952" s="10">
        <v>61785</v>
      </c>
      <c r="I2952">
        <f>IFERROR(VLOOKUP(Final!F2952,'LEAID Match'!$A$2:$B$374,2,FALSE),"")</f>
        <v>400141</v>
      </c>
      <c r="K2952" s="10">
        <f t="shared" si="46"/>
        <v>61785</v>
      </c>
    </row>
    <row r="2953" spans="1:11">
      <c r="A2953">
        <v>400141</v>
      </c>
      <c r="B2953" s="10">
        <v>2022</v>
      </c>
      <c r="C2953" t="s">
        <v>557</v>
      </c>
      <c r="D2953" t="s">
        <v>2472</v>
      </c>
      <c r="E2953" t="s">
        <v>2474</v>
      </c>
      <c r="F2953" t="s">
        <v>502</v>
      </c>
      <c r="G2953" t="s">
        <v>502</v>
      </c>
      <c r="H2953" s="10">
        <v>72171</v>
      </c>
      <c r="I2953">
        <f>IFERROR(VLOOKUP(Final!F2953,'LEAID Match'!$A$2:$B$374,2,FALSE),"")</f>
        <v>400141</v>
      </c>
      <c r="K2953" s="10">
        <f t="shared" si="46"/>
        <v>72171</v>
      </c>
    </row>
    <row r="2954" spans="1:11">
      <c r="A2954">
        <v>400141</v>
      </c>
      <c r="B2954" s="10">
        <v>2023</v>
      </c>
      <c r="C2954" t="s">
        <v>557</v>
      </c>
      <c r="D2954" t="s">
        <v>2472</v>
      </c>
      <c r="E2954" t="s">
        <v>2474</v>
      </c>
      <c r="F2954" t="s">
        <v>502</v>
      </c>
      <c r="G2954" t="s">
        <v>502</v>
      </c>
      <c r="H2954" s="10">
        <v>74498</v>
      </c>
      <c r="I2954">
        <f>IFERROR(VLOOKUP(Final!F2954,'LEAID Match'!$A$2:$B$374,2,FALSE),"")</f>
        <v>400141</v>
      </c>
      <c r="K2954" s="10">
        <f t="shared" si="46"/>
        <v>74498</v>
      </c>
    </row>
    <row r="2955" spans="1:11">
      <c r="A2955">
        <v>400152</v>
      </c>
      <c r="B2955" s="10">
        <v>2015</v>
      </c>
      <c r="C2955" t="s">
        <v>889</v>
      </c>
      <c r="D2955" t="s">
        <v>2472</v>
      </c>
      <c r="E2955" t="s">
        <v>2474</v>
      </c>
      <c r="F2955" t="s">
        <v>834</v>
      </c>
      <c r="G2955" t="s">
        <v>834</v>
      </c>
      <c r="H2955" s="10">
        <v>586</v>
      </c>
      <c r="I2955">
        <f>IFERROR(VLOOKUP(Final!F2955,'LEAID Match'!$A$2:$B$374,2,FALSE),"")</f>
        <v>400152</v>
      </c>
      <c r="K2955" s="10">
        <f t="shared" si="46"/>
        <v>586</v>
      </c>
    </row>
    <row r="2956" spans="1:11">
      <c r="A2956">
        <v>400152</v>
      </c>
      <c r="B2956" s="10">
        <v>2016</v>
      </c>
      <c r="C2956" t="s">
        <v>889</v>
      </c>
      <c r="D2956" t="s">
        <v>2472</v>
      </c>
      <c r="E2956" t="s">
        <v>2474</v>
      </c>
      <c r="F2956" t="s">
        <v>834</v>
      </c>
      <c r="G2956" t="s">
        <v>834</v>
      </c>
      <c r="H2956" s="10"/>
      <c r="I2956">
        <f>IFERROR(VLOOKUP(Final!F2956,'LEAID Match'!$A$2:$B$374,2,FALSE),"")</f>
        <v>400152</v>
      </c>
      <c r="K2956" s="10">
        <f t="shared" si="46"/>
        <v>0</v>
      </c>
    </row>
    <row r="2957" spans="1:11">
      <c r="A2957">
        <v>400152</v>
      </c>
      <c r="B2957" s="10">
        <v>2017</v>
      </c>
      <c r="C2957" t="s">
        <v>889</v>
      </c>
      <c r="D2957" t="s">
        <v>2472</v>
      </c>
      <c r="E2957" t="s">
        <v>2474</v>
      </c>
      <c r="F2957" t="s">
        <v>834</v>
      </c>
      <c r="G2957" t="s">
        <v>834</v>
      </c>
      <c r="H2957" s="10"/>
      <c r="I2957">
        <f>IFERROR(VLOOKUP(Final!F2957,'LEAID Match'!$A$2:$B$374,2,FALSE),"")</f>
        <v>400152</v>
      </c>
      <c r="K2957" s="10">
        <f t="shared" si="46"/>
        <v>0</v>
      </c>
    </row>
    <row r="2958" spans="1:11">
      <c r="A2958">
        <v>400152</v>
      </c>
      <c r="B2958" s="10">
        <v>2018</v>
      </c>
      <c r="C2958" t="s">
        <v>889</v>
      </c>
      <c r="D2958" t="s">
        <v>2472</v>
      </c>
      <c r="E2958" t="s">
        <v>2474</v>
      </c>
      <c r="F2958" t="s">
        <v>834</v>
      </c>
      <c r="G2958" t="s">
        <v>834</v>
      </c>
      <c r="H2958" s="10"/>
      <c r="I2958">
        <f>IFERROR(VLOOKUP(Final!F2958,'LEAID Match'!$A$2:$B$374,2,FALSE),"")</f>
        <v>400152</v>
      </c>
      <c r="K2958" s="10">
        <f t="shared" si="46"/>
        <v>0</v>
      </c>
    </row>
    <row r="2959" spans="1:11">
      <c r="A2959">
        <v>400152</v>
      </c>
      <c r="B2959" s="10">
        <v>2019</v>
      </c>
      <c r="C2959" t="s">
        <v>889</v>
      </c>
      <c r="D2959" t="s">
        <v>2472</v>
      </c>
      <c r="E2959" t="s">
        <v>2474</v>
      </c>
      <c r="F2959" t="s">
        <v>834</v>
      </c>
      <c r="G2959" t="s">
        <v>834</v>
      </c>
      <c r="H2959" s="10"/>
      <c r="I2959">
        <f>IFERROR(VLOOKUP(Final!F2959,'LEAID Match'!$A$2:$B$374,2,FALSE),"")</f>
        <v>400152</v>
      </c>
      <c r="K2959" s="10">
        <f t="shared" si="46"/>
        <v>0</v>
      </c>
    </row>
    <row r="2960" spans="1:11">
      <c r="A2960">
        <v>400129</v>
      </c>
      <c r="B2960" s="10">
        <v>2015</v>
      </c>
      <c r="C2960" t="s">
        <v>61</v>
      </c>
      <c r="D2960" t="s">
        <v>2472</v>
      </c>
      <c r="E2960" t="s">
        <v>2474</v>
      </c>
      <c r="F2960" t="s">
        <v>1487</v>
      </c>
      <c r="G2960" t="s">
        <v>8</v>
      </c>
      <c r="H2960" s="10">
        <v>66764</v>
      </c>
      <c r="I2960">
        <f>IFERROR(VLOOKUP(Final!F2960,'LEAID Match'!$A$2:$B$374,2,FALSE),"")</f>
        <v>400129</v>
      </c>
      <c r="K2960" s="10">
        <f t="shared" si="46"/>
        <v>66764</v>
      </c>
    </row>
    <row r="2961" spans="1:11">
      <c r="A2961">
        <v>400129</v>
      </c>
      <c r="B2961" s="10">
        <v>2016</v>
      </c>
      <c r="C2961" t="s">
        <v>61</v>
      </c>
      <c r="D2961" t="s">
        <v>2472</v>
      </c>
      <c r="E2961" t="s">
        <v>2474</v>
      </c>
      <c r="F2961" t="s">
        <v>1487</v>
      </c>
      <c r="G2961" t="s">
        <v>8</v>
      </c>
      <c r="H2961" s="10">
        <v>66646</v>
      </c>
      <c r="I2961">
        <f>IFERROR(VLOOKUP(Final!F2961,'LEAID Match'!$A$2:$B$374,2,FALSE),"")</f>
        <v>400129</v>
      </c>
      <c r="K2961" s="10">
        <f t="shared" si="46"/>
        <v>66646</v>
      </c>
    </row>
    <row r="2962" spans="1:11">
      <c r="A2962">
        <v>400129</v>
      </c>
      <c r="B2962" s="10">
        <v>2017</v>
      </c>
      <c r="C2962" t="s">
        <v>61</v>
      </c>
      <c r="D2962" t="s">
        <v>2472</v>
      </c>
      <c r="E2962" t="s">
        <v>2474</v>
      </c>
      <c r="F2962" t="s">
        <v>1487</v>
      </c>
      <c r="G2962" t="s">
        <v>1487</v>
      </c>
      <c r="H2962" s="10">
        <v>68676</v>
      </c>
      <c r="I2962">
        <f>IFERROR(VLOOKUP(Final!F2962,'LEAID Match'!$A$2:$B$374,2,FALSE),"")</f>
        <v>400129</v>
      </c>
      <c r="K2962" s="10">
        <f t="shared" si="46"/>
        <v>68676</v>
      </c>
    </row>
    <row r="2963" spans="1:11">
      <c r="A2963">
        <v>400129</v>
      </c>
      <c r="B2963" s="10">
        <v>2018</v>
      </c>
      <c r="C2963" t="s">
        <v>61</v>
      </c>
      <c r="D2963" t="s">
        <v>2472</v>
      </c>
      <c r="E2963" t="s">
        <v>2474</v>
      </c>
      <c r="F2963" t="s">
        <v>1487</v>
      </c>
      <c r="G2963" t="s">
        <v>2044</v>
      </c>
      <c r="H2963" s="10">
        <v>72857</v>
      </c>
      <c r="I2963">
        <f>IFERROR(VLOOKUP(Final!F2963,'LEAID Match'!$A$2:$B$374,2,FALSE),"")</f>
        <v>400129</v>
      </c>
      <c r="K2963" s="10">
        <f t="shared" si="46"/>
        <v>72857</v>
      </c>
    </row>
    <row r="2964" spans="1:11">
      <c r="A2964">
        <v>400129</v>
      </c>
      <c r="B2964" s="10">
        <v>2019</v>
      </c>
      <c r="C2964" t="s">
        <v>61</v>
      </c>
      <c r="D2964" t="s">
        <v>2472</v>
      </c>
      <c r="E2964" t="s">
        <v>2474</v>
      </c>
      <c r="F2964" t="s">
        <v>1487</v>
      </c>
      <c r="G2964" t="s">
        <v>1487</v>
      </c>
      <c r="H2964" s="10">
        <v>68051</v>
      </c>
      <c r="I2964">
        <f>IFERROR(VLOOKUP(Final!F2964,'LEAID Match'!$A$2:$B$374,2,FALSE),"")</f>
        <v>400129</v>
      </c>
      <c r="K2964" s="10">
        <f t="shared" si="46"/>
        <v>68051</v>
      </c>
    </row>
    <row r="2965" spans="1:11">
      <c r="A2965">
        <v>400129</v>
      </c>
      <c r="B2965" s="10">
        <v>2020</v>
      </c>
      <c r="C2965" t="s">
        <v>61</v>
      </c>
      <c r="D2965" t="s">
        <v>2472</v>
      </c>
      <c r="E2965" t="s">
        <v>2474</v>
      </c>
      <c r="F2965" t="s">
        <v>1487</v>
      </c>
      <c r="G2965" t="s">
        <v>1487</v>
      </c>
      <c r="H2965" s="10">
        <v>86767</v>
      </c>
      <c r="I2965">
        <f>IFERROR(VLOOKUP(Final!F2965,'LEAID Match'!$A$2:$B$374,2,FALSE),"")</f>
        <v>400129</v>
      </c>
      <c r="K2965" s="10">
        <f t="shared" si="46"/>
        <v>86767</v>
      </c>
    </row>
    <row r="2966" spans="1:11">
      <c r="A2966">
        <v>400129</v>
      </c>
      <c r="B2966" s="10">
        <v>2021</v>
      </c>
      <c r="C2966" t="s">
        <v>61</v>
      </c>
      <c r="D2966" t="s">
        <v>2472</v>
      </c>
      <c r="E2966" t="s">
        <v>2474</v>
      </c>
      <c r="F2966" t="s">
        <v>1487</v>
      </c>
      <c r="G2966" t="s">
        <v>1487</v>
      </c>
      <c r="H2966" s="10">
        <v>90338</v>
      </c>
      <c r="I2966">
        <f>IFERROR(VLOOKUP(Final!F2966,'LEAID Match'!$A$2:$B$374,2,FALSE),"")</f>
        <v>400129</v>
      </c>
      <c r="K2966" s="10">
        <f t="shared" si="46"/>
        <v>90338</v>
      </c>
    </row>
    <row r="2967" spans="1:11">
      <c r="A2967">
        <v>400129</v>
      </c>
      <c r="B2967" s="10">
        <v>2022</v>
      </c>
      <c r="C2967" t="s">
        <v>61</v>
      </c>
      <c r="D2967" t="s">
        <v>2472</v>
      </c>
      <c r="E2967" t="s">
        <v>2474</v>
      </c>
      <c r="F2967" t="s">
        <v>1487</v>
      </c>
      <c r="G2967" t="s">
        <v>1487</v>
      </c>
      <c r="H2967" s="10">
        <v>94214</v>
      </c>
      <c r="I2967">
        <f>IFERROR(VLOOKUP(Final!F2967,'LEAID Match'!$A$2:$B$374,2,FALSE),"")</f>
        <v>400129</v>
      </c>
      <c r="K2967" s="10">
        <f t="shared" si="46"/>
        <v>94214</v>
      </c>
    </row>
    <row r="2968" spans="1:11">
      <c r="A2968">
        <v>400129</v>
      </c>
      <c r="B2968" s="10">
        <v>2023</v>
      </c>
      <c r="C2968" t="s">
        <v>61</v>
      </c>
      <c r="D2968" t="s">
        <v>2472</v>
      </c>
      <c r="E2968" t="s">
        <v>2474</v>
      </c>
      <c r="F2968" t="s">
        <v>1487</v>
      </c>
      <c r="G2968" t="s">
        <v>1487</v>
      </c>
      <c r="H2968" s="10"/>
      <c r="I2968">
        <f>IFERROR(VLOOKUP(Final!F2968,'LEAID Match'!$A$2:$B$374,2,FALSE),"")</f>
        <v>400129</v>
      </c>
      <c r="K2968" s="10">
        <f t="shared" si="46"/>
        <v>0</v>
      </c>
    </row>
    <row r="2969" spans="1:11">
      <c r="A2969">
        <v>400416</v>
      </c>
      <c r="B2969" s="10">
        <v>2015</v>
      </c>
      <c r="C2969" t="s">
        <v>1138</v>
      </c>
      <c r="D2969" t="s">
        <v>2472</v>
      </c>
      <c r="E2969" t="s">
        <v>2474</v>
      </c>
      <c r="F2969" t="s">
        <v>1083</v>
      </c>
      <c r="G2969" t="s">
        <v>1083</v>
      </c>
      <c r="H2969" s="10">
        <v>88343</v>
      </c>
      <c r="I2969">
        <f>IFERROR(VLOOKUP(Final!F2969,'LEAID Match'!$A$2:$B$374,2,FALSE),"")</f>
        <v>400416</v>
      </c>
      <c r="K2969" s="10">
        <f t="shared" si="46"/>
        <v>88343</v>
      </c>
    </row>
    <row r="2970" spans="1:11">
      <c r="A2970">
        <v>400416</v>
      </c>
      <c r="B2970" s="10">
        <v>2016</v>
      </c>
      <c r="C2970" t="s">
        <v>1138</v>
      </c>
      <c r="D2970" t="s">
        <v>2472</v>
      </c>
      <c r="E2970" t="s">
        <v>2474</v>
      </c>
      <c r="F2970" t="s">
        <v>1083</v>
      </c>
      <c r="G2970" t="s">
        <v>1083</v>
      </c>
      <c r="H2970" s="10">
        <v>39206</v>
      </c>
      <c r="I2970">
        <f>IFERROR(VLOOKUP(Final!F2970,'LEAID Match'!$A$2:$B$374,2,FALSE),"")</f>
        <v>400416</v>
      </c>
      <c r="K2970" s="10">
        <f t="shared" si="46"/>
        <v>39206</v>
      </c>
    </row>
    <row r="2971" spans="1:11">
      <c r="A2971">
        <v>400416</v>
      </c>
      <c r="B2971" s="10">
        <v>2017</v>
      </c>
      <c r="C2971" t="s">
        <v>1138</v>
      </c>
      <c r="D2971" t="s">
        <v>2472</v>
      </c>
      <c r="E2971" t="s">
        <v>2474</v>
      </c>
      <c r="F2971" t="s">
        <v>1083</v>
      </c>
      <c r="G2971" t="s">
        <v>1083</v>
      </c>
      <c r="H2971" s="10">
        <v>9179</v>
      </c>
      <c r="I2971">
        <f>IFERROR(VLOOKUP(Final!F2971,'LEAID Match'!$A$2:$B$374,2,FALSE),"")</f>
        <v>400416</v>
      </c>
      <c r="K2971" s="10">
        <f t="shared" si="46"/>
        <v>9179</v>
      </c>
    </row>
    <row r="2972" spans="1:11">
      <c r="A2972">
        <v>400416</v>
      </c>
      <c r="B2972" s="10">
        <v>2018</v>
      </c>
      <c r="C2972" t="s">
        <v>1138</v>
      </c>
      <c r="D2972" t="s">
        <v>2472</v>
      </c>
      <c r="E2972" t="s">
        <v>2474</v>
      </c>
      <c r="F2972" t="s">
        <v>1083</v>
      </c>
      <c r="G2972" t="s">
        <v>1083</v>
      </c>
      <c r="H2972" s="10">
        <v>24538</v>
      </c>
      <c r="I2972">
        <f>IFERROR(VLOOKUP(Final!F2972,'LEAID Match'!$A$2:$B$374,2,FALSE),"")</f>
        <v>400416</v>
      </c>
      <c r="K2972" s="10">
        <f t="shared" si="46"/>
        <v>24538</v>
      </c>
    </row>
    <row r="2973" spans="1:11">
      <c r="A2973">
        <v>400416</v>
      </c>
      <c r="B2973" s="10">
        <v>2019</v>
      </c>
      <c r="C2973" t="s">
        <v>1138</v>
      </c>
      <c r="D2973" t="s">
        <v>2472</v>
      </c>
      <c r="E2973" t="s">
        <v>2474</v>
      </c>
      <c r="F2973" t="s">
        <v>1083</v>
      </c>
      <c r="G2973" t="s">
        <v>1083</v>
      </c>
      <c r="H2973" s="10"/>
      <c r="I2973">
        <f>IFERROR(VLOOKUP(Final!F2973,'LEAID Match'!$A$2:$B$374,2,FALSE),"")</f>
        <v>400416</v>
      </c>
      <c r="K2973" s="10">
        <f t="shared" si="46"/>
        <v>0</v>
      </c>
    </row>
    <row r="2974" spans="1:11">
      <c r="A2974">
        <v>400416</v>
      </c>
      <c r="B2974" s="10">
        <v>2020</v>
      </c>
      <c r="C2974" t="s">
        <v>1138</v>
      </c>
      <c r="D2974" t="s">
        <v>2472</v>
      </c>
      <c r="E2974" t="s">
        <v>2474</v>
      </c>
      <c r="F2974" t="s">
        <v>1083</v>
      </c>
      <c r="G2974" t="s">
        <v>1083</v>
      </c>
      <c r="H2974" s="10"/>
      <c r="I2974">
        <f>IFERROR(VLOOKUP(Final!F2974,'LEAID Match'!$A$2:$B$374,2,FALSE),"")</f>
        <v>400416</v>
      </c>
      <c r="K2974" s="10">
        <f t="shared" si="46"/>
        <v>0</v>
      </c>
    </row>
    <row r="2975" spans="1:11">
      <c r="A2975">
        <v>400416</v>
      </c>
      <c r="B2975" s="10">
        <v>2021</v>
      </c>
      <c r="C2975" t="s">
        <v>1138</v>
      </c>
      <c r="D2975" t="s">
        <v>2472</v>
      </c>
      <c r="E2975" t="s">
        <v>2474</v>
      </c>
      <c r="F2975" t="s">
        <v>1083</v>
      </c>
      <c r="G2975" t="s">
        <v>1083</v>
      </c>
      <c r="H2975" s="10"/>
      <c r="I2975">
        <f>IFERROR(VLOOKUP(Final!F2975,'LEAID Match'!$A$2:$B$374,2,FALSE),"")</f>
        <v>400416</v>
      </c>
      <c r="K2975" s="10">
        <f t="shared" si="46"/>
        <v>0</v>
      </c>
    </row>
    <row r="2976" spans="1:11">
      <c r="A2976">
        <v>400416</v>
      </c>
      <c r="B2976" s="10">
        <v>2022</v>
      </c>
      <c r="C2976" t="s">
        <v>1138</v>
      </c>
      <c r="D2976" t="s">
        <v>2472</v>
      </c>
      <c r="E2976" t="s">
        <v>2474</v>
      </c>
      <c r="F2976" t="s">
        <v>1083</v>
      </c>
      <c r="G2976" t="s">
        <v>1083</v>
      </c>
      <c r="H2976" s="10"/>
      <c r="I2976">
        <f>IFERROR(VLOOKUP(Final!F2976,'LEAID Match'!$A$2:$B$374,2,FALSE),"")</f>
        <v>400416</v>
      </c>
      <c r="K2976" s="10">
        <f t="shared" si="46"/>
        <v>0</v>
      </c>
    </row>
    <row r="2977" spans="1:11">
      <c r="A2977">
        <v>400416</v>
      </c>
      <c r="B2977" s="10">
        <v>2023</v>
      </c>
      <c r="C2977" t="s">
        <v>1138</v>
      </c>
      <c r="D2977" t="s">
        <v>2472</v>
      </c>
      <c r="E2977" t="s">
        <v>2474</v>
      </c>
      <c r="F2977" t="s">
        <v>1083</v>
      </c>
      <c r="G2977" t="s">
        <v>1083</v>
      </c>
      <c r="H2977" s="10"/>
      <c r="I2977">
        <f>IFERROR(VLOOKUP(Final!F2977,'LEAID Match'!$A$2:$B$374,2,FALSE),"")</f>
        <v>400416</v>
      </c>
      <c r="K2977" s="10">
        <f t="shared" si="46"/>
        <v>0</v>
      </c>
    </row>
    <row r="2978" spans="1:11">
      <c r="A2978" t="s">
        <v>2470</v>
      </c>
      <c r="B2978" s="10">
        <v>2015</v>
      </c>
      <c r="C2978" t="s">
        <v>883</v>
      </c>
      <c r="D2978" t="s">
        <v>2472</v>
      </c>
      <c r="E2978" t="s">
        <v>2474</v>
      </c>
      <c r="F2978" t="s">
        <v>2418</v>
      </c>
      <c r="G2978" t="s">
        <v>828</v>
      </c>
      <c r="H2978" s="10">
        <v>159942</v>
      </c>
      <c r="I2978" t="str">
        <f>IFERROR(VLOOKUP(Final!F2978,'LEAID Match'!$A$2:$B$374,2,FALSE),"")</f>
        <v/>
      </c>
      <c r="K2978" s="10">
        <f t="shared" si="46"/>
        <v>159942</v>
      </c>
    </row>
    <row r="2979" spans="1:11">
      <c r="A2979" t="s">
        <v>2470</v>
      </c>
      <c r="B2979" s="10">
        <v>2016</v>
      </c>
      <c r="C2979" t="s">
        <v>883</v>
      </c>
      <c r="D2979" t="s">
        <v>2472</v>
      </c>
      <c r="E2979" t="s">
        <v>2474</v>
      </c>
      <c r="F2979" t="s">
        <v>2418</v>
      </c>
      <c r="G2979" t="s">
        <v>828</v>
      </c>
      <c r="H2979" s="10">
        <v>152203</v>
      </c>
      <c r="I2979" t="str">
        <f>IFERROR(VLOOKUP(Final!F2979,'LEAID Match'!$A$2:$B$374,2,FALSE),"")</f>
        <v/>
      </c>
      <c r="K2979" s="10">
        <f t="shared" si="46"/>
        <v>152203</v>
      </c>
    </row>
    <row r="2980" spans="1:11">
      <c r="A2980" t="s">
        <v>2470</v>
      </c>
      <c r="B2980" s="10">
        <v>2017</v>
      </c>
      <c r="C2980" t="s">
        <v>883</v>
      </c>
      <c r="D2980" t="s">
        <v>2472</v>
      </c>
      <c r="E2980" t="s">
        <v>2474</v>
      </c>
      <c r="F2980" t="s">
        <v>2418</v>
      </c>
      <c r="G2980" t="s">
        <v>1826</v>
      </c>
      <c r="H2980" s="10"/>
      <c r="I2980" t="str">
        <f>IFERROR(VLOOKUP(Final!F2980,'LEAID Match'!$A$2:$B$374,2,FALSE),"")</f>
        <v/>
      </c>
      <c r="K2980" s="10">
        <f t="shared" si="46"/>
        <v>0</v>
      </c>
    </row>
    <row r="2981" spans="1:11">
      <c r="A2981" t="s">
        <v>2470</v>
      </c>
      <c r="B2981" s="10">
        <v>2018</v>
      </c>
      <c r="C2981" t="s">
        <v>883</v>
      </c>
      <c r="D2981" t="s">
        <v>2472</v>
      </c>
      <c r="E2981" t="s">
        <v>2474</v>
      </c>
      <c r="F2981" t="s">
        <v>2418</v>
      </c>
      <c r="G2981" t="s">
        <v>2251</v>
      </c>
      <c r="H2981" s="10"/>
      <c r="I2981" t="str">
        <f>IFERROR(VLOOKUP(Final!F2981,'LEAID Match'!$A$2:$B$374,2,FALSE),"")</f>
        <v/>
      </c>
      <c r="K2981" s="10">
        <f t="shared" si="46"/>
        <v>0</v>
      </c>
    </row>
    <row r="2982" spans="1:11">
      <c r="A2982" t="s">
        <v>2470</v>
      </c>
      <c r="B2982" s="10">
        <v>2019</v>
      </c>
      <c r="C2982" t="s">
        <v>883</v>
      </c>
      <c r="D2982" t="s">
        <v>2472</v>
      </c>
      <c r="E2982" t="s">
        <v>2474</v>
      </c>
      <c r="F2982" t="s">
        <v>2418</v>
      </c>
      <c r="G2982" t="s">
        <v>2377</v>
      </c>
      <c r="H2982" s="10"/>
      <c r="I2982" t="str">
        <f>IFERROR(VLOOKUP(Final!F2982,'LEAID Match'!$A$2:$B$374,2,FALSE),"")</f>
        <v/>
      </c>
      <c r="K2982" s="10">
        <f t="shared" si="46"/>
        <v>0</v>
      </c>
    </row>
    <row r="2983" spans="1:11">
      <c r="A2983" t="s">
        <v>2470</v>
      </c>
      <c r="B2983" s="10">
        <v>2020</v>
      </c>
      <c r="C2983" t="s">
        <v>883</v>
      </c>
      <c r="D2983" t="s">
        <v>2472</v>
      </c>
      <c r="E2983" t="s">
        <v>2474</v>
      </c>
      <c r="F2983" t="s">
        <v>2418</v>
      </c>
      <c r="G2983" t="s">
        <v>2418</v>
      </c>
      <c r="H2983" s="10"/>
      <c r="I2983" t="str">
        <f>IFERROR(VLOOKUP(Final!F2983,'LEAID Match'!$A$2:$B$374,2,FALSE),"")</f>
        <v/>
      </c>
      <c r="K2983" s="10">
        <f t="shared" si="46"/>
        <v>0</v>
      </c>
    </row>
    <row r="2984" spans="1:11">
      <c r="A2984">
        <v>400774</v>
      </c>
      <c r="B2984" s="10">
        <v>2015</v>
      </c>
      <c r="C2984" t="s">
        <v>1131</v>
      </c>
      <c r="D2984" t="s">
        <v>2472</v>
      </c>
      <c r="E2984" t="s">
        <v>2474</v>
      </c>
      <c r="F2984" t="s">
        <v>1960</v>
      </c>
      <c r="G2984" t="s">
        <v>1076</v>
      </c>
      <c r="H2984" s="10">
        <v>31360</v>
      </c>
      <c r="I2984">
        <f>IFERROR(VLOOKUP(Final!F2984,'LEAID Match'!$A$2:$B$374,2,FALSE),"")</f>
        <v>400774</v>
      </c>
      <c r="K2984" s="10">
        <f t="shared" si="46"/>
        <v>31360</v>
      </c>
    </row>
    <row r="2985" spans="1:11">
      <c r="A2985">
        <v>400774</v>
      </c>
      <c r="B2985" s="10">
        <v>2016</v>
      </c>
      <c r="C2985" t="s">
        <v>1131</v>
      </c>
      <c r="D2985" t="s">
        <v>2472</v>
      </c>
      <c r="E2985" t="s">
        <v>2474</v>
      </c>
      <c r="F2985" t="s">
        <v>1960</v>
      </c>
      <c r="G2985" t="s">
        <v>1076</v>
      </c>
      <c r="H2985" s="10">
        <v>27191</v>
      </c>
      <c r="I2985">
        <f>IFERROR(VLOOKUP(Final!F2985,'LEAID Match'!$A$2:$B$374,2,FALSE),"")</f>
        <v>400774</v>
      </c>
      <c r="K2985" s="10">
        <f t="shared" si="46"/>
        <v>27191</v>
      </c>
    </row>
    <row r="2986" spans="1:11">
      <c r="A2986">
        <v>400774</v>
      </c>
      <c r="B2986" s="10">
        <v>2017</v>
      </c>
      <c r="C2986" t="s">
        <v>1131</v>
      </c>
      <c r="D2986" t="s">
        <v>2472</v>
      </c>
      <c r="E2986" t="s">
        <v>2474</v>
      </c>
      <c r="F2986" t="s">
        <v>1960</v>
      </c>
      <c r="G2986" t="s">
        <v>1960</v>
      </c>
      <c r="H2986" s="10">
        <v>18608</v>
      </c>
      <c r="I2986">
        <f>IFERROR(VLOOKUP(Final!F2986,'LEAID Match'!$A$2:$B$374,2,FALSE),"")</f>
        <v>400774</v>
      </c>
      <c r="K2986" s="10">
        <f t="shared" si="46"/>
        <v>18608</v>
      </c>
    </row>
    <row r="2987" spans="1:11">
      <c r="A2987">
        <v>400774</v>
      </c>
      <c r="B2987" s="10">
        <v>2018</v>
      </c>
      <c r="C2987" t="s">
        <v>1131</v>
      </c>
      <c r="D2987" t="s">
        <v>2472</v>
      </c>
      <c r="E2987" t="s">
        <v>2474</v>
      </c>
      <c r="F2987" t="s">
        <v>1960</v>
      </c>
      <c r="G2987" t="s">
        <v>2314</v>
      </c>
      <c r="H2987" s="10">
        <v>21257</v>
      </c>
      <c r="I2987">
        <f>IFERROR(VLOOKUP(Final!F2987,'LEAID Match'!$A$2:$B$374,2,FALSE),"")</f>
        <v>400774</v>
      </c>
      <c r="K2987" s="10">
        <f t="shared" si="46"/>
        <v>21257</v>
      </c>
    </row>
    <row r="2988" spans="1:11">
      <c r="A2988">
        <v>400774</v>
      </c>
      <c r="B2988" s="10">
        <v>2019</v>
      </c>
      <c r="C2988" t="s">
        <v>1131</v>
      </c>
      <c r="D2988" t="s">
        <v>2472</v>
      </c>
      <c r="E2988" t="s">
        <v>2474</v>
      </c>
      <c r="F2988" t="s">
        <v>1960</v>
      </c>
      <c r="G2988" t="s">
        <v>1960</v>
      </c>
      <c r="H2988" s="10">
        <v>23580</v>
      </c>
      <c r="I2988">
        <f>IFERROR(VLOOKUP(Final!F2988,'LEAID Match'!$A$2:$B$374,2,FALSE),"")</f>
        <v>400774</v>
      </c>
      <c r="K2988" s="10">
        <f t="shared" si="46"/>
        <v>23580</v>
      </c>
    </row>
    <row r="2989" spans="1:11">
      <c r="A2989">
        <v>400774</v>
      </c>
      <c r="B2989" s="10">
        <v>2020</v>
      </c>
      <c r="C2989" t="s">
        <v>1131</v>
      </c>
      <c r="D2989" t="s">
        <v>2472</v>
      </c>
      <c r="E2989" t="s">
        <v>2474</v>
      </c>
      <c r="F2989" t="s">
        <v>1960</v>
      </c>
      <c r="G2989" t="s">
        <v>1960</v>
      </c>
      <c r="H2989" s="10">
        <v>25560</v>
      </c>
      <c r="I2989">
        <f>IFERROR(VLOOKUP(Final!F2989,'LEAID Match'!$A$2:$B$374,2,FALSE),"")</f>
        <v>400774</v>
      </c>
      <c r="K2989" s="10">
        <f t="shared" si="46"/>
        <v>25560</v>
      </c>
    </row>
    <row r="2990" spans="1:11">
      <c r="A2990">
        <v>400774</v>
      </c>
      <c r="B2990" s="10">
        <v>2021</v>
      </c>
      <c r="C2990" t="s">
        <v>1131</v>
      </c>
      <c r="D2990" t="s">
        <v>2472</v>
      </c>
      <c r="E2990" t="s">
        <v>2474</v>
      </c>
      <c r="F2990" t="s">
        <v>1960</v>
      </c>
      <c r="G2990" t="s">
        <v>1960</v>
      </c>
      <c r="H2990" s="10">
        <v>21560</v>
      </c>
      <c r="I2990">
        <f>IFERROR(VLOOKUP(Final!F2990,'LEAID Match'!$A$2:$B$374,2,FALSE),"")</f>
        <v>400774</v>
      </c>
      <c r="K2990" s="10">
        <f t="shared" si="46"/>
        <v>21560</v>
      </c>
    </row>
    <row r="2991" spans="1:11">
      <c r="A2991">
        <v>400774</v>
      </c>
      <c r="B2991" s="10">
        <v>2022</v>
      </c>
      <c r="C2991" t="s">
        <v>1131</v>
      </c>
      <c r="D2991" t="s">
        <v>2472</v>
      </c>
      <c r="E2991" t="s">
        <v>2474</v>
      </c>
      <c r="F2991" t="s">
        <v>1960</v>
      </c>
      <c r="G2991" t="s">
        <v>1960</v>
      </c>
      <c r="H2991" s="10">
        <v>16582</v>
      </c>
      <c r="I2991">
        <f>IFERROR(VLOOKUP(Final!F2991,'LEAID Match'!$A$2:$B$374,2,FALSE),"")</f>
        <v>400774</v>
      </c>
      <c r="K2991" s="10">
        <f t="shared" si="46"/>
        <v>16582</v>
      </c>
    </row>
    <row r="2992" spans="1:11">
      <c r="A2992">
        <v>400774</v>
      </c>
      <c r="B2992" s="10">
        <v>2023</v>
      </c>
      <c r="C2992" t="s">
        <v>1131</v>
      </c>
      <c r="D2992" t="s">
        <v>2472</v>
      </c>
      <c r="E2992" t="s">
        <v>2474</v>
      </c>
      <c r="F2992" t="s">
        <v>1960</v>
      </c>
      <c r="G2992" t="s">
        <v>1960</v>
      </c>
      <c r="H2992" s="10">
        <v>10472</v>
      </c>
      <c r="I2992">
        <f>IFERROR(VLOOKUP(Final!F2992,'LEAID Match'!$A$2:$B$374,2,FALSE),"")</f>
        <v>400774</v>
      </c>
      <c r="K2992" s="10">
        <f t="shared" si="46"/>
        <v>10472</v>
      </c>
    </row>
    <row r="2993" spans="1:11">
      <c r="A2993">
        <v>400807</v>
      </c>
      <c r="B2993" s="10">
        <v>2015</v>
      </c>
      <c r="C2993" t="s">
        <v>550</v>
      </c>
      <c r="D2993" t="s">
        <v>2472</v>
      </c>
      <c r="E2993" t="s">
        <v>2474</v>
      </c>
      <c r="F2993" t="s">
        <v>1686</v>
      </c>
      <c r="G2993" t="s">
        <v>495</v>
      </c>
      <c r="H2993" s="10">
        <v>69882</v>
      </c>
      <c r="I2993">
        <f>IFERROR(VLOOKUP(Final!F2993,'LEAID Match'!$A$2:$B$374,2,FALSE),"")</f>
        <v>400807</v>
      </c>
      <c r="K2993" s="10">
        <f t="shared" si="46"/>
        <v>69882</v>
      </c>
    </row>
    <row r="2994" spans="1:11">
      <c r="A2994">
        <v>400807</v>
      </c>
      <c r="B2994" s="10">
        <v>2016</v>
      </c>
      <c r="C2994" t="s">
        <v>550</v>
      </c>
      <c r="D2994" t="s">
        <v>2472</v>
      </c>
      <c r="E2994" t="s">
        <v>2474</v>
      </c>
      <c r="F2994" t="s">
        <v>1686</v>
      </c>
      <c r="G2994" t="s">
        <v>495</v>
      </c>
      <c r="H2994" s="10">
        <v>72738</v>
      </c>
      <c r="I2994">
        <f>IFERROR(VLOOKUP(Final!F2994,'LEAID Match'!$A$2:$B$374,2,FALSE),"")</f>
        <v>400807</v>
      </c>
      <c r="K2994" s="10">
        <f t="shared" si="46"/>
        <v>72738</v>
      </c>
    </row>
    <row r="2995" spans="1:11">
      <c r="A2995">
        <v>400807</v>
      </c>
      <c r="B2995" s="10">
        <v>2017</v>
      </c>
      <c r="C2995" t="s">
        <v>550</v>
      </c>
      <c r="D2995" t="s">
        <v>2472</v>
      </c>
      <c r="E2995" t="s">
        <v>2474</v>
      </c>
      <c r="F2995" t="s">
        <v>1686</v>
      </c>
      <c r="G2995" t="s">
        <v>1686</v>
      </c>
      <c r="H2995" s="10">
        <v>60354</v>
      </c>
      <c r="I2995">
        <f>IFERROR(VLOOKUP(Final!F2995,'LEAID Match'!$A$2:$B$374,2,FALSE),"")</f>
        <v>400807</v>
      </c>
      <c r="K2995" s="10">
        <f t="shared" si="46"/>
        <v>60354</v>
      </c>
    </row>
    <row r="2996" spans="1:11">
      <c r="A2996">
        <v>400807</v>
      </c>
      <c r="B2996" s="10">
        <v>2018</v>
      </c>
      <c r="C2996" t="s">
        <v>550</v>
      </c>
      <c r="D2996" t="s">
        <v>2472</v>
      </c>
      <c r="E2996" t="s">
        <v>2474</v>
      </c>
      <c r="F2996" t="s">
        <v>1686</v>
      </c>
      <c r="G2996" t="s">
        <v>2169</v>
      </c>
      <c r="H2996" s="10">
        <v>63388</v>
      </c>
      <c r="I2996">
        <f>IFERROR(VLOOKUP(Final!F2996,'LEAID Match'!$A$2:$B$374,2,FALSE),"")</f>
        <v>400807</v>
      </c>
      <c r="K2996" s="10">
        <f t="shared" si="46"/>
        <v>63388</v>
      </c>
    </row>
    <row r="2997" spans="1:11">
      <c r="A2997">
        <v>400807</v>
      </c>
      <c r="B2997" s="10">
        <v>2019</v>
      </c>
      <c r="C2997" t="s">
        <v>550</v>
      </c>
      <c r="D2997" t="s">
        <v>2472</v>
      </c>
      <c r="E2997" t="s">
        <v>2474</v>
      </c>
      <c r="F2997" t="s">
        <v>1686</v>
      </c>
      <c r="G2997" t="s">
        <v>2366</v>
      </c>
      <c r="H2997" s="10">
        <v>63884</v>
      </c>
      <c r="I2997">
        <f>IFERROR(VLOOKUP(Final!F2997,'LEAID Match'!$A$2:$B$374,2,FALSE),"")</f>
        <v>400807</v>
      </c>
      <c r="K2997" s="10">
        <f t="shared" si="46"/>
        <v>63884</v>
      </c>
    </row>
    <row r="2998" spans="1:11">
      <c r="A2998">
        <v>400807</v>
      </c>
      <c r="B2998" s="10">
        <v>2020</v>
      </c>
      <c r="C2998" t="s">
        <v>550</v>
      </c>
      <c r="D2998" t="s">
        <v>2472</v>
      </c>
      <c r="E2998" t="s">
        <v>2474</v>
      </c>
      <c r="F2998" t="s">
        <v>1686</v>
      </c>
      <c r="G2998" t="s">
        <v>1686</v>
      </c>
      <c r="H2998" s="10">
        <v>63729</v>
      </c>
      <c r="I2998">
        <f>IFERROR(VLOOKUP(Final!F2998,'LEAID Match'!$A$2:$B$374,2,FALSE),"")</f>
        <v>400807</v>
      </c>
      <c r="K2998" s="10">
        <f t="shared" si="46"/>
        <v>63729</v>
      </c>
    </row>
    <row r="2999" spans="1:11">
      <c r="A2999">
        <v>400807</v>
      </c>
      <c r="B2999" s="10">
        <v>2021</v>
      </c>
      <c r="C2999" t="s">
        <v>550</v>
      </c>
      <c r="D2999" t="s">
        <v>2472</v>
      </c>
      <c r="E2999" t="s">
        <v>2474</v>
      </c>
      <c r="F2999" t="s">
        <v>1686</v>
      </c>
      <c r="G2999" t="s">
        <v>1686</v>
      </c>
      <c r="H2999" s="10">
        <v>53083</v>
      </c>
      <c r="I2999">
        <f>IFERROR(VLOOKUP(Final!F2999,'LEAID Match'!$A$2:$B$374,2,FALSE),"")</f>
        <v>400807</v>
      </c>
      <c r="K2999" s="10">
        <f t="shared" si="46"/>
        <v>53083</v>
      </c>
    </row>
    <row r="3000" spans="1:11">
      <c r="A3000">
        <v>400807</v>
      </c>
      <c r="B3000" s="10">
        <v>2022</v>
      </c>
      <c r="C3000" t="s">
        <v>550</v>
      </c>
      <c r="D3000" t="s">
        <v>2472</v>
      </c>
      <c r="E3000" t="s">
        <v>2474</v>
      </c>
      <c r="F3000" t="s">
        <v>1686</v>
      </c>
      <c r="G3000" t="s">
        <v>1686</v>
      </c>
      <c r="H3000" s="10">
        <v>49293</v>
      </c>
      <c r="I3000">
        <f>IFERROR(VLOOKUP(Final!F3000,'LEAID Match'!$A$2:$B$374,2,FALSE),"")</f>
        <v>400807</v>
      </c>
      <c r="K3000" s="10">
        <f t="shared" si="46"/>
        <v>49293</v>
      </c>
    </row>
    <row r="3001" spans="1:11">
      <c r="A3001">
        <v>400807</v>
      </c>
      <c r="B3001" s="10">
        <v>2023</v>
      </c>
      <c r="C3001" t="s">
        <v>550</v>
      </c>
      <c r="D3001" t="s">
        <v>2472</v>
      </c>
      <c r="E3001" t="s">
        <v>2474</v>
      </c>
      <c r="F3001" t="s">
        <v>1686</v>
      </c>
      <c r="G3001" t="s">
        <v>1686</v>
      </c>
      <c r="H3001" s="10">
        <v>44032</v>
      </c>
      <c r="I3001">
        <f>IFERROR(VLOOKUP(Final!F3001,'LEAID Match'!$A$2:$B$374,2,FALSE),"")</f>
        <v>400807</v>
      </c>
      <c r="K3001" s="10">
        <f t="shared" si="46"/>
        <v>44032</v>
      </c>
    </row>
    <row r="3002" spans="1:11">
      <c r="A3002">
        <v>400776</v>
      </c>
      <c r="B3002" s="10">
        <v>2015</v>
      </c>
      <c r="C3002" t="s">
        <v>494</v>
      </c>
      <c r="D3002" t="s">
        <v>2472</v>
      </c>
      <c r="E3002" t="s">
        <v>2474</v>
      </c>
      <c r="F3002" t="s">
        <v>1685</v>
      </c>
      <c r="G3002" t="s">
        <v>439</v>
      </c>
      <c r="H3002" s="10">
        <v>23869</v>
      </c>
      <c r="I3002">
        <f>IFERROR(VLOOKUP(Final!F3002,'LEAID Match'!$A$2:$B$374,2,FALSE),"")</f>
        <v>400776</v>
      </c>
      <c r="K3002" s="10">
        <f t="shared" si="46"/>
        <v>23869</v>
      </c>
    </row>
    <row r="3003" spans="1:11">
      <c r="A3003">
        <v>400776</v>
      </c>
      <c r="B3003" s="10">
        <v>2016</v>
      </c>
      <c r="C3003" t="s">
        <v>494</v>
      </c>
      <c r="D3003" t="s">
        <v>2472</v>
      </c>
      <c r="E3003" t="s">
        <v>2474</v>
      </c>
      <c r="F3003" t="s">
        <v>1685</v>
      </c>
      <c r="G3003" t="s">
        <v>439</v>
      </c>
      <c r="H3003" s="10">
        <v>17422</v>
      </c>
      <c r="I3003">
        <f>IFERROR(VLOOKUP(Final!F3003,'LEAID Match'!$A$2:$B$374,2,FALSE),"")</f>
        <v>400776</v>
      </c>
      <c r="K3003" s="10">
        <f t="shared" si="46"/>
        <v>17422</v>
      </c>
    </row>
    <row r="3004" spans="1:11">
      <c r="A3004">
        <v>400776</v>
      </c>
      <c r="B3004" s="10">
        <v>2017</v>
      </c>
      <c r="C3004" t="s">
        <v>494</v>
      </c>
      <c r="D3004" t="s">
        <v>2472</v>
      </c>
      <c r="E3004" t="s">
        <v>2474</v>
      </c>
      <c r="F3004" t="s">
        <v>1685</v>
      </c>
      <c r="G3004" t="s">
        <v>1685</v>
      </c>
      <c r="H3004" s="10">
        <v>10421</v>
      </c>
      <c r="I3004">
        <f>IFERROR(VLOOKUP(Final!F3004,'LEAID Match'!$A$2:$B$374,2,FALSE),"")</f>
        <v>400776</v>
      </c>
      <c r="K3004" s="10">
        <f t="shared" si="46"/>
        <v>10421</v>
      </c>
    </row>
    <row r="3005" spans="1:11">
      <c r="A3005">
        <v>400776</v>
      </c>
      <c r="B3005" s="10">
        <v>2018</v>
      </c>
      <c r="C3005" t="s">
        <v>494</v>
      </c>
      <c r="D3005" t="s">
        <v>2472</v>
      </c>
      <c r="E3005" t="s">
        <v>2474</v>
      </c>
      <c r="F3005" t="s">
        <v>1685</v>
      </c>
      <c r="G3005" t="s">
        <v>2169</v>
      </c>
      <c r="H3005" s="10">
        <v>7578</v>
      </c>
      <c r="I3005">
        <f>IFERROR(VLOOKUP(Final!F3005,'LEAID Match'!$A$2:$B$374,2,FALSE),"")</f>
        <v>400776</v>
      </c>
      <c r="K3005" s="10">
        <f t="shared" si="46"/>
        <v>7578</v>
      </c>
    </row>
    <row r="3006" spans="1:11">
      <c r="A3006">
        <v>400776</v>
      </c>
      <c r="B3006" s="10">
        <v>2019</v>
      </c>
      <c r="C3006" t="s">
        <v>494</v>
      </c>
      <c r="D3006" t="s">
        <v>2472</v>
      </c>
      <c r="E3006" t="s">
        <v>2474</v>
      </c>
      <c r="F3006" t="s">
        <v>1685</v>
      </c>
      <c r="G3006" t="s">
        <v>1685</v>
      </c>
      <c r="H3006" s="10">
        <v>7851</v>
      </c>
      <c r="I3006">
        <f>IFERROR(VLOOKUP(Final!F3006,'LEAID Match'!$A$2:$B$374,2,FALSE),"")</f>
        <v>400776</v>
      </c>
      <c r="K3006" s="10">
        <f t="shared" si="46"/>
        <v>7851</v>
      </c>
    </row>
    <row r="3007" spans="1:11">
      <c r="A3007">
        <v>400776</v>
      </c>
      <c r="B3007" s="10">
        <v>2020</v>
      </c>
      <c r="C3007" t="s">
        <v>494</v>
      </c>
      <c r="D3007" t="s">
        <v>2472</v>
      </c>
      <c r="E3007" t="s">
        <v>2474</v>
      </c>
      <c r="F3007" t="s">
        <v>1685</v>
      </c>
      <c r="G3007" t="s">
        <v>1685</v>
      </c>
      <c r="H3007" s="10">
        <v>8303</v>
      </c>
      <c r="I3007">
        <f>IFERROR(VLOOKUP(Final!F3007,'LEAID Match'!$A$2:$B$374,2,FALSE),"")</f>
        <v>400776</v>
      </c>
      <c r="K3007" s="10">
        <f t="shared" si="46"/>
        <v>8303</v>
      </c>
    </row>
    <row r="3008" spans="1:11">
      <c r="A3008">
        <v>400776</v>
      </c>
      <c r="B3008" s="10">
        <v>2021</v>
      </c>
      <c r="C3008" t="s">
        <v>494</v>
      </c>
      <c r="D3008" t="s">
        <v>2472</v>
      </c>
      <c r="E3008" t="s">
        <v>2474</v>
      </c>
      <c r="F3008" t="s">
        <v>1685</v>
      </c>
      <c r="G3008" t="s">
        <v>1685</v>
      </c>
      <c r="H3008" s="10">
        <v>815</v>
      </c>
      <c r="I3008">
        <f>IFERROR(VLOOKUP(Final!F3008,'LEAID Match'!$A$2:$B$374,2,FALSE),"")</f>
        <v>400776</v>
      </c>
      <c r="K3008" s="10">
        <f t="shared" si="46"/>
        <v>815</v>
      </c>
    </row>
    <row r="3009" spans="1:11">
      <c r="A3009">
        <v>400776</v>
      </c>
      <c r="B3009" s="10">
        <v>2022</v>
      </c>
      <c r="C3009" t="s">
        <v>494</v>
      </c>
      <c r="D3009" t="s">
        <v>2472</v>
      </c>
      <c r="E3009" t="s">
        <v>2474</v>
      </c>
      <c r="F3009" t="s">
        <v>1685</v>
      </c>
      <c r="G3009" t="s">
        <v>1685</v>
      </c>
      <c r="H3009" s="10"/>
      <c r="I3009">
        <f>IFERROR(VLOOKUP(Final!F3009,'LEAID Match'!$A$2:$B$374,2,FALSE),"")</f>
        <v>400776</v>
      </c>
      <c r="K3009" s="10">
        <f t="shared" si="46"/>
        <v>0</v>
      </c>
    </row>
    <row r="3010" spans="1:11">
      <c r="A3010">
        <v>400776</v>
      </c>
      <c r="B3010" s="10">
        <v>2023</v>
      </c>
      <c r="C3010" t="s">
        <v>494</v>
      </c>
      <c r="D3010" t="s">
        <v>2472</v>
      </c>
      <c r="E3010" t="s">
        <v>2474</v>
      </c>
      <c r="F3010" t="s">
        <v>1685</v>
      </c>
      <c r="G3010" t="s">
        <v>1685</v>
      </c>
      <c r="H3010" s="10"/>
      <c r="I3010">
        <f>IFERROR(VLOOKUP(Final!F3010,'LEAID Match'!$A$2:$B$374,2,FALSE),"")</f>
        <v>400776</v>
      </c>
      <c r="K3010" s="10">
        <f t="shared" si="46"/>
        <v>0</v>
      </c>
    </row>
    <row r="3011" spans="1:11">
      <c r="A3011">
        <v>400764</v>
      </c>
      <c r="B3011" s="10">
        <v>2015</v>
      </c>
      <c r="C3011" t="s">
        <v>1423</v>
      </c>
      <c r="D3011" t="s">
        <v>2472</v>
      </c>
      <c r="E3011" t="s">
        <v>2474</v>
      </c>
      <c r="F3011" t="s">
        <v>256</v>
      </c>
      <c r="G3011" t="s">
        <v>256</v>
      </c>
      <c r="H3011" s="10">
        <v>883056</v>
      </c>
      <c r="I3011">
        <f>IFERROR(VLOOKUP(Final!F3011,'LEAID Match'!$A$2:$B$374,2,FALSE),"")</f>
        <v>400764</v>
      </c>
      <c r="K3011" s="10">
        <f t="shared" ref="K3011:K3074" si="47">SUM(H3011,J3011)</f>
        <v>883056</v>
      </c>
    </row>
    <row r="3012" spans="1:11">
      <c r="A3012">
        <v>400764</v>
      </c>
      <c r="B3012" s="10">
        <v>2016</v>
      </c>
      <c r="C3012" t="s">
        <v>1423</v>
      </c>
      <c r="D3012" t="s">
        <v>2472</v>
      </c>
      <c r="E3012" t="s">
        <v>2474</v>
      </c>
      <c r="F3012" t="s">
        <v>256</v>
      </c>
      <c r="G3012" t="s">
        <v>256</v>
      </c>
      <c r="H3012" s="10">
        <v>1030715</v>
      </c>
      <c r="I3012">
        <f>IFERROR(VLOOKUP(Final!F3012,'LEAID Match'!$A$2:$B$374,2,FALSE),"")</f>
        <v>400764</v>
      </c>
      <c r="K3012" s="10">
        <f t="shared" si="47"/>
        <v>1030715</v>
      </c>
    </row>
    <row r="3013" spans="1:11">
      <c r="A3013">
        <v>400764</v>
      </c>
      <c r="B3013" s="10">
        <v>2017</v>
      </c>
      <c r="C3013" t="s">
        <v>1423</v>
      </c>
      <c r="D3013" t="s">
        <v>2472</v>
      </c>
      <c r="E3013" t="s">
        <v>2474</v>
      </c>
      <c r="F3013" t="s">
        <v>256</v>
      </c>
      <c r="G3013" t="s">
        <v>256</v>
      </c>
      <c r="H3013" s="10">
        <v>1260763</v>
      </c>
      <c r="I3013">
        <f>IFERROR(VLOOKUP(Final!F3013,'LEAID Match'!$A$2:$B$374,2,FALSE),"")</f>
        <v>400764</v>
      </c>
      <c r="K3013" s="10">
        <f t="shared" si="47"/>
        <v>1260763</v>
      </c>
    </row>
    <row r="3014" spans="1:11">
      <c r="A3014">
        <v>400764</v>
      </c>
      <c r="B3014" s="10">
        <v>2018</v>
      </c>
      <c r="C3014" t="s">
        <v>1423</v>
      </c>
      <c r="D3014" t="s">
        <v>2472</v>
      </c>
      <c r="E3014" t="s">
        <v>2474</v>
      </c>
      <c r="F3014" t="s">
        <v>256</v>
      </c>
      <c r="G3014" t="s">
        <v>256</v>
      </c>
      <c r="H3014" s="10">
        <v>1670923</v>
      </c>
      <c r="I3014">
        <f>IFERROR(VLOOKUP(Final!F3014,'LEAID Match'!$A$2:$B$374,2,FALSE),"")</f>
        <v>400764</v>
      </c>
      <c r="K3014" s="10">
        <f t="shared" si="47"/>
        <v>1670923</v>
      </c>
    </row>
    <row r="3015" spans="1:11">
      <c r="A3015">
        <v>400764</v>
      </c>
      <c r="B3015" s="10">
        <v>2019</v>
      </c>
      <c r="C3015" t="s">
        <v>1423</v>
      </c>
      <c r="D3015" t="s">
        <v>2472</v>
      </c>
      <c r="E3015" t="s">
        <v>2474</v>
      </c>
      <c r="F3015" t="s">
        <v>256</v>
      </c>
      <c r="G3015" t="s">
        <v>256</v>
      </c>
      <c r="H3015" s="10">
        <v>2409595</v>
      </c>
      <c r="I3015">
        <f>IFERROR(VLOOKUP(Final!F3015,'LEAID Match'!$A$2:$B$374,2,FALSE),"")</f>
        <v>400764</v>
      </c>
      <c r="K3015" s="10">
        <f t="shared" si="47"/>
        <v>2409595</v>
      </c>
    </row>
    <row r="3016" spans="1:11">
      <c r="A3016">
        <v>400764</v>
      </c>
      <c r="B3016" s="10">
        <v>2020</v>
      </c>
      <c r="C3016" t="s">
        <v>1423</v>
      </c>
      <c r="D3016" t="s">
        <v>2472</v>
      </c>
      <c r="E3016" t="s">
        <v>2474</v>
      </c>
      <c r="F3016" t="s">
        <v>256</v>
      </c>
      <c r="G3016" t="s">
        <v>256</v>
      </c>
      <c r="H3016" s="10">
        <v>2227352</v>
      </c>
      <c r="I3016">
        <f>IFERROR(VLOOKUP(Final!F3016,'LEAID Match'!$A$2:$B$374,2,FALSE),"")</f>
        <v>400764</v>
      </c>
      <c r="K3016" s="10">
        <f t="shared" si="47"/>
        <v>2227352</v>
      </c>
    </row>
    <row r="3017" spans="1:11">
      <c r="A3017">
        <v>400764</v>
      </c>
      <c r="B3017" s="10">
        <v>2021</v>
      </c>
      <c r="C3017" t="s">
        <v>1423</v>
      </c>
      <c r="D3017" t="s">
        <v>2472</v>
      </c>
      <c r="E3017" t="s">
        <v>2474</v>
      </c>
      <c r="F3017" t="s">
        <v>256</v>
      </c>
      <c r="G3017" t="s">
        <v>256</v>
      </c>
      <c r="H3017" s="10">
        <v>3436427</v>
      </c>
      <c r="I3017">
        <f>IFERROR(VLOOKUP(Final!F3017,'LEAID Match'!$A$2:$B$374,2,FALSE),"")</f>
        <v>400764</v>
      </c>
      <c r="K3017" s="10">
        <f t="shared" si="47"/>
        <v>3436427</v>
      </c>
    </row>
    <row r="3018" spans="1:11">
      <c r="A3018">
        <v>400764</v>
      </c>
      <c r="B3018" s="10">
        <v>2022</v>
      </c>
      <c r="C3018" t="s">
        <v>1423</v>
      </c>
      <c r="D3018" t="s">
        <v>2472</v>
      </c>
      <c r="E3018" t="s">
        <v>2474</v>
      </c>
      <c r="F3018" t="s">
        <v>256</v>
      </c>
      <c r="G3018" t="s">
        <v>256</v>
      </c>
      <c r="H3018" s="10">
        <v>4622242</v>
      </c>
      <c r="I3018">
        <f>IFERROR(VLOOKUP(Final!F3018,'LEAID Match'!$A$2:$B$374,2,FALSE),"")</f>
        <v>400764</v>
      </c>
      <c r="K3018" s="10">
        <f t="shared" si="47"/>
        <v>4622242</v>
      </c>
    </row>
    <row r="3019" spans="1:11">
      <c r="A3019">
        <v>400764</v>
      </c>
      <c r="B3019" s="10">
        <v>2023</v>
      </c>
      <c r="C3019" t="s">
        <v>1423</v>
      </c>
      <c r="D3019" t="s">
        <v>2472</v>
      </c>
      <c r="E3019" t="s">
        <v>2474</v>
      </c>
      <c r="F3019" t="s">
        <v>256</v>
      </c>
      <c r="G3019" t="s">
        <v>256</v>
      </c>
      <c r="H3019" s="10">
        <v>5128221</v>
      </c>
      <c r="I3019">
        <f>IFERROR(VLOOKUP(Final!F3019,'LEAID Match'!$A$2:$B$374,2,FALSE),"")</f>
        <v>400764</v>
      </c>
      <c r="K3019" s="10">
        <f t="shared" si="47"/>
        <v>5128221</v>
      </c>
    </row>
    <row r="3020" spans="1:11">
      <c r="A3020">
        <v>400147</v>
      </c>
      <c r="B3020" s="10">
        <v>2015</v>
      </c>
      <c r="C3020" t="s">
        <v>679</v>
      </c>
      <c r="D3020" t="s">
        <v>2472</v>
      </c>
      <c r="E3020" t="s">
        <v>2474</v>
      </c>
      <c r="F3020" t="s">
        <v>1459</v>
      </c>
      <c r="G3020" t="s">
        <v>624</v>
      </c>
      <c r="H3020" s="10"/>
      <c r="I3020">
        <f>IFERROR(VLOOKUP(Final!F3020,'LEAID Match'!$A$2:$B$374,2,FALSE),"")</f>
        <v>400147</v>
      </c>
      <c r="K3020" s="10">
        <f t="shared" si="47"/>
        <v>0</v>
      </c>
    </row>
    <row r="3021" spans="1:11">
      <c r="A3021">
        <v>400147</v>
      </c>
      <c r="B3021" s="10">
        <v>2016</v>
      </c>
      <c r="C3021" t="s">
        <v>679</v>
      </c>
      <c r="D3021" t="s">
        <v>2472</v>
      </c>
      <c r="E3021" t="s">
        <v>2474</v>
      </c>
      <c r="F3021" t="s">
        <v>1459</v>
      </c>
      <c r="G3021" t="s">
        <v>1459</v>
      </c>
      <c r="H3021" s="10"/>
      <c r="I3021">
        <f>IFERROR(VLOOKUP(Final!F3021,'LEAID Match'!$A$2:$B$374,2,FALSE),"")</f>
        <v>400147</v>
      </c>
      <c r="K3021" s="10">
        <f t="shared" si="47"/>
        <v>0</v>
      </c>
    </row>
    <row r="3022" spans="1:11">
      <c r="A3022">
        <v>400147</v>
      </c>
      <c r="B3022" s="10">
        <v>2017</v>
      </c>
      <c r="C3022" t="s">
        <v>679</v>
      </c>
      <c r="D3022" t="s">
        <v>2472</v>
      </c>
      <c r="E3022" t="s">
        <v>2474</v>
      </c>
      <c r="F3022" t="s">
        <v>1459</v>
      </c>
      <c r="G3022" t="s">
        <v>1459</v>
      </c>
      <c r="H3022" s="10"/>
      <c r="I3022">
        <f>IFERROR(VLOOKUP(Final!F3022,'LEAID Match'!$A$2:$B$374,2,FALSE),"")</f>
        <v>400147</v>
      </c>
      <c r="K3022" s="10">
        <f t="shared" si="47"/>
        <v>0</v>
      </c>
    </row>
    <row r="3023" spans="1:11">
      <c r="A3023">
        <v>400147</v>
      </c>
      <c r="B3023" s="10">
        <v>2018</v>
      </c>
      <c r="C3023" t="s">
        <v>679</v>
      </c>
      <c r="D3023" t="s">
        <v>2472</v>
      </c>
      <c r="E3023" t="s">
        <v>2474</v>
      </c>
      <c r="F3023" t="s">
        <v>1459</v>
      </c>
      <c r="G3023" t="s">
        <v>1459</v>
      </c>
      <c r="H3023" s="10"/>
      <c r="I3023">
        <f>IFERROR(VLOOKUP(Final!F3023,'LEAID Match'!$A$2:$B$374,2,FALSE),"")</f>
        <v>400147</v>
      </c>
      <c r="K3023" s="10">
        <f t="shared" si="47"/>
        <v>0</v>
      </c>
    </row>
    <row r="3024" spans="1:11">
      <c r="A3024">
        <v>400153</v>
      </c>
      <c r="B3024" s="10">
        <v>2015</v>
      </c>
      <c r="C3024" t="s">
        <v>930</v>
      </c>
      <c r="D3024" t="s">
        <v>2472</v>
      </c>
      <c r="E3024" t="s">
        <v>2474</v>
      </c>
      <c r="F3024" t="s">
        <v>1873</v>
      </c>
      <c r="G3024" t="s">
        <v>875</v>
      </c>
      <c r="H3024" s="10">
        <v>47955</v>
      </c>
      <c r="I3024">
        <f>IFERROR(VLOOKUP(Final!F3024,'LEAID Match'!$A$2:$B$374,2,FALSE),"")</f>
        <v>400153</v>
      </c>
      <c r="K3024" s="10">
        <f t="shared" si="47"/>
        <v>47955</v>
      </c>
    </row>
    <row r="3025" spans="1:11">
      <c r="A3025">
        <v>400153</v>
      </c>
      <c r="B3025" s="10">
        <v>2016</v>
      </c>
      <c r="C3025" t="s">
        <v>930</v>
      </c>
      <c r="D3025" t="s">
        <v>2472</v>
      </c>
      <c r="E3025" t="s">
        <v>2474</v>
      </c>
      <c r="F3025" t="s">
        <v>1873</v>
      </c>
      <c r="G3025" t="s">
        <v>1476</v>
      </c>
      <c r="H3025" s="10">
        <v>48618</v>
      </c>
      <c r="I3025">
        <f>IFERROR(VLOOKUP(Final!F3025,'LEAID Match'!$A$2:$B$374,2,FALSE),"")</f>
        <v>400153</v>
      </c>
      <c r="K3025" s="10">
        <f t="shared" si="47"/>
        <v>48618</v>
      </c>
    </row>
    <row r="3026" spans="1:11">
      <c r="A3026">
        <v>400153</v>
      </c>
      <c r="B3026" s="10">
        <v>2017</v>
      </c>
      <c r="C3026" t="s">
        <v>930</v>
      </c>
      <c r="D3026" t="s">
        <v>2472</v>
      </c>
      <c r="E3026" t="s">
        <v>2474</v>
      </c>
      <c r="F3026" t="s">
        <v>1873</v>
      </c>
      <c r="G3026" t="s">
        <v>1873</v>
      </c>
      <c r="H3026" s="10">
        <v>59124</v>
      </c>
      <c r="I3026">
        <f>IFERROR(VLOOKUP(Final!F3026,'LEAID Match'!$A$2:$B$374,2,FALSE),"")</f>
        <v>400153</v>
      </c>
      <c r="K3026" s="10">
        <f t="shared" si="47"/>
        <v>59124</v>
      </c>
    </row>
    <row r="3027" spans="1:11">
      <c r="A3027">
        <v>400153</v>
      </c>
      <c r="B3027" s="10">
        <v>2018</v>
      </c>
      <c r="C3027" t="s">
        <v>930</v>
      </c>
      <c r="D3027" t="s">
        <v>2472</v>
      </c>
      <c r="E3027" t="s">
        <v>2474</v>
      </c>
      <c r="F3027" t="s">
        <v>1873</v>
      </c>
      <c r="G3027" t="s">
        <v>2275</v>
      </c>
      <c r="H3027" s="10">
        <v>52283</v>
      </c>
      <c r="I3027">
        <f>IFERROR(VLOOKUP(Final!F3027,'LEAID Match'!$A$2:$B$374,2,FALSE),"")</f>
        <v>400153</v>
      </c>
      <c r="K3027" s="10">
        <f t="shared" si="47"/>
        <v>52283</v>
      </c>
    </row>
    <row r="3028" spans="1:11">
      <c r="A3028">
        <v>400153</v>
      </c>
      <c r="B3028" s="10">
        <v>2019</v>
      </c>
      <c r="C3028" t="s">
        <v>930</v>
      </c>
      <c r="D3028" t="s">
        <v>2472</v>
      </c>
      <c r="E3028" t="s">
        <v>2474</v>
      </c>
      <c r="F3028" t="s">
        <v>1873</v>
      </c>
      <c r="G3028" t="s">
        <v>1873</v>
      </c>
      <c r="H3028" s="10">
        <v>55115</v>
      </c>
      <c r="I3028">
        <f>IFERROR(VLOOKUP(Final!F3028,'LEAID Match'!$A$2:$B$374,2,FALSE),"")</f>
        <v>400153</v>
      </c>
      <c r="K3028" s="10">
        <f t="shared" si="47"/>
        <v>55115</v>
      </c>
    </row>
    <row r="3029" spans="1:11">
      <c r="A3029">
        <v>400153</v>
      </c>
      <c r="B3029" s="10">
        <v>2020</v>
      </c>
      <c r="C3029" t="s">
        <v>930</v>
      </c>
      <c r="D3029" t="s">
        <v>2472</v>
      </c>
      <c r="E3029" t="s">
        <v>2474</v>
      </c>
      <c r="F3029" t="s">
        <v>1873</v>
      </c>
      <c r="G3029" t="s">
        <v>1873</v>
      </c>
      <c r="H3029" s="10">
        <v>48935</v>
      </c>
      <c r="I3029">
        <f>IFERROR(VLOOKUP(Final!F3029,'LEAID Match'!$A$2:$B$374,2,FALSE),"")</f>
        <v>400153</v>
      </c>
      <c r="K3029" s="10">
        <f t="shared" si="47"/>
        <v>48935</v>
      </c>
    </row>
    <row r="3030" spans="1:11">
      <c r="A3030">
        <v>400153</v>
      </c>
      <c r="B3030" s="10">
        <v>2021</v>
      </c>
      <c r="C3030" t="s">
        <v>930</v>
      </c>
      <c r="D3030" t="s">
        <v>2472</v>
      </c>
      <c r="E3030" t="s">
        <v>2474</v>
      </c>
      <c r="F3030" t="s">
        <v>1873</v>
      </c>
      <c r="G3030" t="s">
        <v>1873</v>
      </c>
      <c r="H3030" s="10">
        <v>48292</v>
      </c>
      <c r="I3030">
        <f>IFERROR(VLOOKUP(Final!F3030,'LEAID Match'!$A$2:$B$374,2,FALSE),"")</f>
        <v>400153</v>
      </c>
      <c r="K3030" s="10">
        <f t="shared" si="47"/>
        <v>48292</v>
      </c>
    </row>
    <row r="3031" spans="1:11">
      <c r="A3031">
        <v>400153</v>
      </c>
      <c r="B3031" s="10">
        <v>2022</v>
      </c>
      <c r="C3031" t="s">
        <v>930</v>
      </c>
      <c r="D3031" t="s">
        <v>2472</v>
      </c>
      <c r="E3031" t="s">
        <v>2474</v>
      </c>
      <c r="F3031" t="s">
        <v>1873</v>
      </c>
      <c r="G3031" t="s">
        <v>1873</v>
      </c>
      <c r="H3031" s="10">
        <v>58058</v>
      </c>
      <c r="I3031">
        <f>IFERROR(VLOOKUP(Final!F3031,'LEAID Match'!$A$2:$B$374,2,FALSE),"")</f>
        <v>400153</v>
      </c>
      <c r="K3031" s="10">
        <f t="shared" si="47"/>
        <v>58058</v>
      </c>
    </row>
    <row r="3032" spans="1:11">
      <c r="A3032">
        <v>400153</v>
      </c>
      <c r="B3032" s="10">
        <v>2023</v>
      </c>
      <c r="C3032" t="s">
        <v>930</v>
      </c>
      <c r="D3032" t="s">
        <v>2472</v>
      </c>
      <c r="E3032" t="s">
        <v>2474</v>
      </c>
      <c r="F3032" t="s">
        <v>1873</v>
      </c>
      <c r="G3032" t="s">
        <v>1873</v>
      </c>
      <c r="H3032" s="10">
        <v>71142</v>
      </c>
      <c r="I3032">
        <f>IFERROR(VLOOKUP(Final!F3032,'LEAID Match'!$A$2:$B$374,2,FALSE),"")</f>
        <v>400153</v>
      </c>
      <c r="K3032" s="10">
        <f t="shared" si="47"/>
        <v>71142</v>
      </c>
    </row>
    <row r="3033" spans="1:11">
      <c r="A3033" t="s">
        <v>2470</v>
      </c>
      <c r="B3033" s="10">
        <v>2015</v>
      </c>
      <c r="C3033" t="s">
        <v>1015</v>
      </c>
      <c r="D3033" t="s">
        <v>2472</v>
      </c>
      <c r="E3033" t="s">
        <v>2474</v>
      </c>
      <c r="F3033" t="s">
        <v>1613</v>
      </c>
      <c r="G3033" t="s">
        <v>960</v>
      </c>
      <c r="H3033" s="10">
        <v>369123</v>
      </c>
      <c r="I3033" t="str">
        <f>IFERROR(VLOOKUP(Final!F3033,'LEAID Match'!$A$2:$B$374,2,FALSE),"")</f>
        <v/>
      </c>
      <c r="K3033" s="10">
        <f t="shared" si="47"/>
        <v>369123</v>
      </c>
    </row>
    <row r="3034" spans="1:11">
      <c r="A3034" t="s">
        <v>2470</v>
      </c>
      <c r="B3034" s="10">
        <v>2016</v>
      </c>
      <c r="C3034" t="s">
        <v>1015</v>
      </c>
      <c r="D3034" t="s">
        <v>2472</v>
      </c>
      <c r="E3034" t="s">
        <v>2474</v>
      </c>
      <c r="F3034" t="s">
        <v>1613</v>
      </c>
      <c r="G3034" t="s">
        <v>960</v>
      </c>
      <c r="H3034" s="10">
        <v>360364</v>
      </c>
      <c r="I3034" t="str">
        <f>IFERROR(VLOOKUP(Final!F3034,'LEAID Match'!$A$2:$B$374,2,FALSE),"")</f>
        <v/>
      </c>
      <c r="K3034" s="10">
        <f t="shared" si="47"/>
        <v>360364</v>
      </c>
    </row>
    <row r="3035" spans="1:11">
      <c r="A3035" t="s">
        <v>2470</v>
      </c>
      <c r="B3035" s="10">
        <v>2017</v>
      </c>
      <c r="C3035" t="s">
        <v>1015</v>
      </c>
      <c r="D3035" t="s">
        <v>2472</v>
      </c>
      <c r="E3035" t="s">
        <v>2474</v>
      </c>
      <c r="F3035" t="s">
        <v>1613</v>
      </c>
      <c r="G3035" t="s">
        <v>1613</v>
      </c>
      <c r="H3035" s="10">
        <v>390507</v>
      </c>
      <c r="I3035" t="str">
        <f>IFERROR(VLOOKUP(Final!F3035,'LEAID Match'!$A$2:$B$374,2,FALSE),"")</f>
        <v/>
      </c>
      <c r="K3035" s="10">
        <f t="shared" si="47"/>
        <v>390507</v>
      </c>
    </row>
    <row r="3036" spans="1:11">
      <c r="A3036" t="s">
        <v>2470</v>
      </c>
      <c r="B3036" s="10">
        <v>2018</v>
      </c>
      <c r="C3036" t="s">
        <v>1015</v>
      </c>
      <c r="D3036" t="s">
        <v>2472</v>
      </c>
      <c r="E3036" t="s">
        <v>2474</v>
      </c>
      <c r="F3036" t="s">
        <v>1613</v>
      </c>
      <c r="G3036" t="s">
        <v>1613</v>
      </c>
      <c r="H3036" s="10">
        <v>480898</v>
      </c>
      <c r="I3036" t="str">
        <f>IFERROR(VLOOKUP(Final!F3036,'LEAID Match'!$A$2:$B$374,2,FALSE),"")</f>
        <v/>
      </c>
      <c r="K3036" s="10">
        <f t="shared" si="47"/>
        <v>480898</v>
      </c>
    </row>
    <row r="3037" spans="1:11">
      <c r="A3037" t="s">
        <v>2470</v>
      </c>
      <c r="B3037" s="10">
        <v>2019</v>
      </c>
      <c r="C3037" t="s">
        <v>1015</v>
      </c>
      <c r="D3037" t="s">
        <v>2472</v>
      </c>
      <c r="E3037" t="s">
        <v>2474</v>
      </c>
      <c r="F3037" t="s">
        <v>1613</v>
      </c>
      <c r="G3037" t="s">
        <v>1613</v>
      </c>
      <c r="H3037" s="10">
        <v>534783</v>
      </c>
      <c r="I3037" t="str">
        <f>IFERROR(VLOOKUP(Final!F3037,'LEAID Match'!$A$2:$B$374,2,FALSE),"")</f>
        <v/>
      </c>
      <c r="K3037" s="10">
        <f t="shared" si="47"/>
        <v>534783</v>
      </c>
    </row>
    <row r="3038" spans="1:11">
      <c r="A3038" t="s">
        <v>2470</v>
      </c>
      <c r="B3038" s="10">
        <v>2020</v>
      </c>
      <c r="C3038" t="s">
        <v>1015</v>
      </c>
      <c r="D3038" t="s">
        <v>2472</v>
      </c>
      <c r="E3038" t="s">
        <v>2474</v>
      </c>
      <c r="F3038" t="s">
        <v>1613</v>
      </c>
      <c r="G3038" t="s">
        <v>1613</v>
      </c>
      <c r="H3038" s="10">
        <v>558050</v>
      </c>
      <c r="I3038" t="str">
        <f>IFERROR(VLOOKUP(Final!F3038,'LEAID Match'!$A$2:$B$374,2,FALSE),"")</f>
        <v/>
      </c>
      <c r="K3038" s="10">
        <f t="shared" si="47"/>
        <v>558050</v>
      </c>
    </row>
    <row r="3039" spans="1:11">
      <c r="A3039" t="s">
        <v>2470</v>
      </c>
      <c r="B3039" s="10">
        <v>2021</v>
      </c>
      <c r="C3039" t="s">
        <v>1015</v>
      </c>
      <c r="D3039" t="s">
        <v>2472</v>
      </c>
      <c r="E3039" t="s">
        <v>2474</v>
      </c>
      <c r="F3039" t="s">
        <v>1613</v>
      </c>
      <c r="G3039" t="s">
        <v>1613</v>
      </c>
      <c r="H3039" s="10">
        <v>535417</v>
      </c>
      <c r="I3039" t="str">
        <f>IFERROR(VLOOKUP(Final!F3039,'LEAID Match'!$A$2:$B$374,2,FALSE),"")</f>
        <v/>
      </c>
      <c r="K3039" s="10">
        <f t="shared" si="47"/>
        <v>535417</v>
      </c>
    </row>
    <row r="3040" spans="1:11">
      <c r="A3040" t="s">
        <v>2470</v>
      </c>
      <c r="B3040" s="10">
        <v>2022</v>
      </c>
      <c r="C3040" t="s">
        <v>1015</v>
      </c>
      <c r="D3040" t="s">
        <v>2472</v>
      </c>
      <c r="E3040" t="s">
        <v>2474</v>
      </c>
      <c r="F3040" t="s">
        <v>1613</v>
      </c>
      <c r="G3040" t="s">
        <v>1613</v>
      </c>
      <c r="H3040" s="10">
        <v>585221</v>
      </c>
      <c r="I3040" t="str">
        <f>IFERROR(VLOOKUP(Final!F3040,'LEAID Match'!$A$2:$B$374,2,FALSE),"")</f>
        <v/>
      </c>
      <c r="K3040" s="10">
        <f t="shared" si="47"/>
        <v>585221</v>
      </c>
    </row>
    <row r="3041" spans="1:11">
      <c r="A3041" t="s">
        <v>2470</v>
      </c>
      <c r="B3041" s="10">
        <v>2023</v>
      </c>
      <c r="C3041" t="s">
        <v>1015</v>
      </c>
      <c r="D3041" t="s">
        <v>2472</v>
      </c>
      <c r="E3041" t="s">
        <v>2474</v>
      </c>
      <c r="F3041" t="s">
        <v>1613</v>
      </c>
      <c r="G3041" t="s">
        <v>1613</v>
      </c>
      <c r="H3041" s="10">
        <v>534040</v>
      </c>
      <c r="I3041" t="str">
        <f>IFERROR(VLOOKUP(Final!F3041,'LEAID Match'!$A$2:$B$374,2,FALSE),"")</f>
        <v/>
      </c>
      <c r="K3041" s="10">
        <f t="shared" si="47"/>
        <v>534040</v>
      </c>
    </row>
    <row r="3042" spans="1:11">
      <c r="A3042">
        <v>400238</v>
      </c>
      <c r="B3042" s="10">
        <v>2015</v>
      </c>
      <c r="C3042" t="s">
        <v>796</v>
      </c>
      <c r="D3042" t="s">
        <v>2472</v>
      </c>
      <c r="E3042" t="s">
        <v>2474</v>
      </c>
      <c r="F3042" t="s">
        <v>741</v>
      </c>
      <c r="G3042" t="s">
        <v>741</v>
      </c>
      <c r="H3042" s="10">
        <v>101392</v>
      </c>
      <c r="I3042">
        <f>IFERROR(VLOOKUP(Final!F3042,'LEAID Match'!$A$2:$B$374,2,FALSE),"")</f>
        <v>400238</v>
      </c>
      <c r="K3042" s="10">
        <f t="shared" si="47"/>
        <v>101392</v>
      </c>
    </row>
    <row r="3043" spans="1:11">
      <c r="A3043">
        <v>400238</v>
      </c>
      <c r="B3043" s="10">
        <v>2016</v>
      </c>
      <c r="C3043" t="s">
        <v>796</v>
      </c>
      <c r="D3043" t="s">
        <v>2472</v>
      </c>
      <c r="E3043" t="s">
        <v>2474</v>
      </c>
      <c r="F3043" t="s">
        <v>741</v>
      </c>
      <c r="G3043" t="s">
        <v>741</v>
      </c>
      <c r="H3043" s="10">
        <v>108400</v>
      </c>
      <c r="I3043">
        <f>IFERROR(VLOOKUP(Final!F3043,'LEAID Match'!$A$2:$B$374,2,FALSE),"")</f>
        <v>400238</v>
      </c>
      <c r="K3043" s="10">
        <f t="shared" si="47"/>
        <v>108400</v>
      </c>
    </row>
    <row r="3044" spans="1:11">
      <c r="A3044">
        <v>400238</v>
      </c>
      <c r="B3044" s="10">
        <v>2017</v>
      </c>
      <c r="C3044" t="s">
        <v>796</v>
      </c>
      <c r="D3044" t="s">
        <v>2472</v>
      </c>
      <c r="E3044" t="s">
        <v>2474</v>
      </c>
      <c r="F3044" t="s">
        <v>741</v>
      </c>
      <c r="G3044" t="s">
        <v>741</v>
      </c>
      <c r="H3044" s="10">
        <v>109113</v>
      </c>
      <c r="I3044">
        <f>IFERROR(VLOOKUP(Final!F3044,'LEAID Match'!$A$2:$B$374,2,FALSE),"")</f>
        <v>400238</v>
      </c>
      <c r="K3044" s="10">
        <f t="shared" si="47"/>
        <v>109113</v>
      </c>
    </row>
    <row r="3045" spans="1:11">
      <c r="A3045">
        <v>400238</v>
      </c>
      <c r="B3045" s="10">
        <v>2018</v>
      </c>
      <c r="C3045" t="s">
        <v>796</v>
      </c>
      <c r="D3045" t="s">
        <v>2472</v>
      </c>
      <c r="E3045" t="s">
        <v>2474</v>
      </c>
      <c r="F3045" t="s">
        <v>741</v>
      </c>
      <c r="G3045" t="s">
        <v>741</v>
      </c>
      <c r="H3045" s="10">
        <v>118958</v>
      </c>
      <c r="I3045">
        <f>IFERROR(VLOOKUP(Final!F3045,'LEAID Match'!$A$2:$B$374,2,FALSE),"")</f>
        <v>400238</v>
      </c>
      <c r="K3045" s="10">
        <f t="shared" si="47"/>
        <v>118958</v>
      </c>
    </row>
    <row r="3046" spans="1:11">
      <c r="A3046">
        <v>400238</v>
      </c>
      <c r="B3046" s="10">
        <v>2019</v>
      </c>
      <c r="C3046" t="s">
        <v>796</v>
      </c>
      <c r="D3046" t="s">
        <v>2472</v>
      </c>
      <c r="E3046" t="s">
        <v>2474</v>
      </c>
      <c r="F3046" t="s">
        <v>741</v>
      </c>
      <c r="G3046" t="s">
        <v>741</v>
      </c>
      <c r="H3046" s="10">
        <v>121545</v>
      </c>
      <c r="I3046">
        <f>IFERROR(VLOOKUP(Final!F3046,'LEAID Match'!$A$2:$B$374,2,FALSE),"")</f>
        <v>400238</v>
      </c>
      <c r="K3046" s="10">
        <f t="shared" si="47"/>
        <v>121545</v>
      </c>
    </row>
    <row r="3047" spans="1:11">
      <c r="A3047">
        <v>400238</v>
      </c>
      <c r="B3047" s="10">
        <v>2020</v>
      </c>
      <c r="C3047" t="s">
        <v>796</v>
      </c>
      <c r="D3047" t="s">
        <v>2472</v>
      </c>
      <c r="E3047" t="s">
        <v>2474</v>
      </c>
      <c r="F3047" t="s">
        <v>741</v>
      </c>
      <c r="G3047" t="s">
        <v>741</v>
      </c>
      <c r="H3047" s="10">
        <v>128616</v>
      </c>
      <c r="I3047">
        <f>IFERROR(VLOOKUP(Final!F3047,'LEAID Match'!$A$2:$B$374,2,FALSE),"")</f>
        <v>400238</v>
      </c>
      <c r="K3047" s="10">
        <f t="shared" si="47"/>
        <v>128616</v>
      </c>
    </row>
    <row r="3048" spans="1:11">
      <c r="A3048">
        <v>400238</v>
      </c>
      <c r="B3048" s="10">
        <v>2021</v>
      </c>
      <c r="C3048" t="s">
        <v>796</v>
      </c>
      <c r="D3048" t="s">
        <v>2472</v>
      </c>
      <c r="E3048" t="s">
        <v>2474</v>
      </c>
      <c r="F3048" t="s">
        <v>741</v>
      </c>
      <c r="G3048" t="s">
        <v>741</v>
      </c>
      <c r="H3048" s="10">
        <v>147164</v>
      </c>
      <c r="I3048">
        <f>IFERROR(VLOOKUP(Final!F3048,'LEAID Match'!$A$2:$B$374,2,FALSE),"")</f>
        <v>400238</v>
      </c>
      <c r="K3048" s="10">
        <f t="shared" si="47"/>
        <v>147164</v>
      </c>
    </row>
    <row r="3049" spans="1:11">
      <c r="A3049">
        <v>400238</v>
      </c>
      <c r="B3049" s="10">
        <v>2022</v>
      </c>
      <c r="C3049" t="s">
        <v>796</v>
      </c>
      <c r="D3049" t="s">
        <v>2472</v>
      </c>
      <c r="E3049" t="s">
        <v>2474</v>
      </c>
      <c r="F3049" t="s">
        <v>741</v>
      </c>
      <c r="G3049" t="s">
        <v>741</v>
      </c>
      <c r="H3049" s="10">
        <v>154778</v>
      </c>
      <c r="I3049">
        <f>IFERROR(VLOOKUP(Final!F3049,'LEAID Match'!$A$2:$B$374,2,FALSE),"")</f>
        <v>400238</v>
      </c>
      <c r="K3049" s="10">
        <f t="shared" si="47"/>
        <v>154778</v>
      </c>
    </row>
    <row r="3050" spans="1:11">
      <c r="A3050">
        <v>400238</v>
      </c>
      <c r="B3050" s="10">
        <v>2023</v>
      </c>
      <c r="C3050" t="s">
        <v>796</v>
      </c>
      <c r="D3050" t="s">
        <v>2472</v>
      </c>
      <c r="E3050" t="s">
        <v>2474</v>
      </c>
      <c r="F3050" t="s">
        <v>741</v>
      </c>
      <c r="G3050" t="s">
        <v>741</v>
      </c>
      <c r="H3050" s="10">
        <v>165818</v>
      </c>
      <c r="I3050">
        <f>IFERROR(VLOOKUP(Final!F3050,'LEAID Match'!$A$2:$B$374,2,FALSE),"")</f>
        <v>400238</v>
      </c>
      <c r="K3050" s="10">
        <f t="shared" si="47"/>
        <v>165818</v>
      </c>
    </row>
    <row r="3051" spans="1:11">
      <c r="A3051">
        <v>400150</v>
      </c>
      <c r="B3051" s="10">
        <v>2015</v>
      </c>
      <c r="C3051" t="s">
        <v>798</v>
      </c>
      <c r="D3051" t="s">
        <v>2472</v>
      </c>
      <c r="E3051" t="s">
        <v>2474</v>
      </c>
      <c r="F3051" t="s">
        <v>743</v>
      </c>
      <c r="G3051" t="s">
        <v>743</v>
      </c>
      <c r="H3051" s="10">
        <v>85479</v>
      </c>
      <c r="I3051">
        <f>IFERROR(VLOOKUP(Final!F3051,'LEAID Match'!$A$2:$B$374,2,FALSE),"")</f>
        <v>400150</v>
      </c>
      <c r="K3051" s="10">
        <f t="shared" si="47"/>
        <v>85479</v>
      </c>
    </row>
    <row r="3052" spans="1:11">
      <c r="A3052">
        <v>400150</v>
      </c>
      <c r="B3052" s="10">
        <v>2016</v>
      </c>
      <c r="C3052" t="s">
        <v>798</v>
      </c>
      <c r="D3052" t="s">
        <v>2472</v>
      </c>
      <c r="E3052" t="s">
        <v>2474</v>
      </c>
      <c r="F3052" t="s">
        <v>743</v>
      </c>
      <c r="G3052" t="s">
        <v>743</v>
      </c>
      <c r="H3052" s="10">
        <v>85759</v>
      </c>
      <c r="I3052">
        <f>IFERROR(VLOOKUP(Final!F3052,'LEAID Match'!$A$2:$B$374,2,FALSE),"")</f>
        <v>400150</v>
      </c>
      <c r="K3052" s="10">
        <f t="shared" si="47"/>
        <v>85759</v>
      </c>
    </row>
    <row r="3053" spans="1:11">
      <c r="A3053">
        <v>400150</v>
      </c>
      <c r="B3053" s="10">
        <v>2017</v>
      </c>
      <c r="C3053" t="s">
        <v>798</v>
      </c>
      <c r="D3053" t="s">
        <v>2472</v>
      </c>
      <c r="E3053" t="s">
        <v>2474</v>
      </c>
      <c r="F3053" t="s">
        <v>743</v>
      </c>
      <c r="G3053" t="s">
        <v>743</v>
      </c>
      <c r="H3053" s="10">
        <v>107963</v>
      </c>
      <c r="I3053">
        <f>IFERROR(VLOOKUP(Final!F3053,'LEAID Match'!$A$2:$B$374,2,FALSE),"")</f>
        <v>400150</v>
      </c>
      <c r="K3053" s="10">
        <f t="shared" si="47"/>
        <v>107963</v>
      </c>
    </row>
    <row r="3054" spans="1:11">
      <c r="A3054">
        <v>400150</v>
      </c>
      <c r="B3054" s="10">
        <v>2018</v>
      </c>
      <c r="C3054" t="s">
        <v>798</v>
      </c>
      <c r="D3054" t="s">
        <v>2472</v>
      </c>
      <c r="E3054" t="s">
        <v>2474</v>
      </c>
      <c r="F3054" t="s">
        <v>743</v>
      </c>
      <c r="G3054" t="s">
        <v>743</v>
      </c>
      <c r="H3054" s="10">
        <v>128789</v>
      </c>
      <c r="I3054">
        <f>IFERROR(VLOOKUP(Final!F3054,'LEAID Match'!$A$2:$B$374,2,FALSE),"")</f>
        <v>400150</v>
      </c>
      <c r="K3054" s="10">
        <f t="shared" si="47"/>
        <v>128789</v>
      </c>
    </row>
    <row r="3055" spans="1:11">
      <c r="A3055">
        <v>400150</v>
      </c>
      <c r="B3055" s="10">
        <v>2019</v>
      </c>
      <c r="C3055" t="s">
        <v>798</v>
      </c>
      <c r="D3055" t="s">
        <v>2472</v>
      </c>
      <c r="E3055" t="s">
        <v>2474</v>
      </c>
      <c r="F3055" t="s">
        <v>743</v>
      </c>
      <c r="G3055" t="s">
        <v>743</v>
      </c>
      <c r="H3055" s="10">
        <v>121164</v>
      </c>
      <c r="I3055">
        <f>IFERROR(VLOOKUP(Final!F3055,'LEAID Match'!$A$2:$B$374,2,FALSE),"")</f>
        <v>400150</v>
      </c>
      <c r="K3055" s="10">
        <f t="shared" si="47"/>
        <v>121164</v>
      </c>
    </row>
    <row r="3056" spans="1:11">
      <c r="A3056">
        <v>400150</v>
      </c>
      <c r="B3056" s="10">
        <v>2020</v>
      </c>
      <c r="C3056" t="s">
        <v>798</v>
      </c>
      <c r="D3056" t="s">
        <v>2472</v>
      </c>
      <c r="E3056" t="s">
        <v>2474</v>
      </c>
      <c r="F3056" t="s">
        <v>743</v>
      </c>
      <c r="G3056" t="s">
        <v>743</v>
      </c>
      <c r="H3056" s="10">
        <v>130130</v>
      </c>
      <c r="I3056">
        <f>IFERROR(VLOOKUP(Final!F3056,'LEAID Match'!$A$2:$B$374,2,FALSE),"")</f>
        <v>400150</v>
      </c>
      <c r="K3056" s="10">
        <f t="shared" si="47"/>
        <v>130130</v>
      </c>
    </row>
    <row r="3057" spans="1:11">
      <c r="A3057">
        <v>400150</v>
      </c>
      <c r="B3057" s="10">
        <v>2021</v>
      </c>
      <c r="C3057" t="s">
        <v>798</v>
      </c>
      <c r="D3057" t="s">
        <v>2472</v>
      </c>
      <c r="E3057" t="s">
        <v>2474</v>
      </c>
      <c r="F3057" t="s">
        <v>743</v>
      </c>
      <c r="G3057" t="s">
        <v>743</v>
      </c>
      <c r="H3057" s="10">
        <v>118664</v>
      </c>
      <c r="I3057">
        <f>IFERROR(VLOOKUP(Final!F3057,'LEAID Match'!$A$2:$B$374,2,FALSE),"")</f>
        <v>400150</v>
      </c>
      <c r="K3057" s="10">
        <f t="shared" si="47"/>
        <v>118664</v>
      </c>
    </row>
    <row r="3058" spans="1:11">
      <c r="A3058">
        <v>400150</v>
      </c>
      <c r="B3058" s="10">
        <v>2022</v>
      </c>
      <c r="C3058" t="s">
        <v>798</v>
      </c>
      <c r="D3058" t="s">
        <v>2472</v>
      </c>
      <c r="E3058" t="s">
        <v>2474</v>
      </c>
      <c r="F3058" t="s">
        <v>743</v>
      </c>
      <c r="G3058" t="s">
        <v>743</v>
      </c>
      <c r="H3058" s="10">
        <v>125556</v>
      </c>
      <c r="I3058">
        <f>IFERROR(VLOOKUP(Final!F3058,'LEAID Match'!$A$2:$B$374,2,FALSE),"")</f>
        <v>400150</v>
      </c>
      <c r="K3058" s="10">
        <f t="shared" si="47"/>
        <v>125556</v>
      </c>
    </row>
    <row r="3059" spans="1:11">
      <c r="A3059">
        <v>400150</v>
      </c>
      <c r="B3059" s="10">
        <v>2023</v>
      </c>
      <c r="C3059" t="s">
        <v>798</v>
      </c>
      <c r="D3059" t="s">
        <v>2472</v>
      </c>
      <c r="E3059" t="s">
        <v>2474</v>
      </c>
      <c r="F3059" t="s">
        <v>743</v>
      </c>
      <c r="G3059" t="s">
        <v>743</v>
      </c>
      <c r="H3059" s="10">
        <v>117773</v>
      </c>
      <c r="I3059">
        <f>IFERROR(VLOOKUP(Final!F3059,'LEAID Match'!$A$2:$B$374,2,FALSE),"")</f>
        <v>400150</v>
      </c>
      <c r="K3059" s="10">
        <f t="shared" si="47"/>
        <v>117773</v>
      </c>
    </row>
    <row r="3060" spans="1:11">
      <c r="A3060">
        <v>400161</v>
      </c>
      <c r="B3060" s="10">
        <v>2015</v>
      </c>
      <c r="C3060" t="s">
        <v>1330</v>
      </c>
      <c r="D3060" t="s">
        <v>2472</v>
      </c>
      <c r="E3060" t="s">
        <v>2474</v>
      </c>
      <c r="F3060" t="s">
        <v>1282</v>
      </c>
      <c r="G3060" t="s">
        <v>1282</v>
      </c>
      <c r="H3060" s="10"/>
      <c r="I3060">
        <f>IFERROR(VLOOKUP(Final!F3060,'LEAID Match'!$A$2:$B$374,2,FALSE),"")</f>
        <v>400161</v>
      </c>
      <c r="K3060" s="10">
        <f t="shared" si="47"/>
        <v>0</v>
      </c>
    </row>
    <row r="3061" spans="1:11">
      <c r="A3061">
        <v>400161</v>
      </c>
      <c r="B3061" s="10">
        <v>2016</v>
      </c>
      <c r="C3061" t="s">
        <v>1330</v>
      </c>
      <c r="D3061" t="s">
        <v>2472</v>
      </c>
      <c r="E3061" t="s">
        <v>2474</v>
      </c>
      <c r="F3061" t="s">
        <v>1282</v>
      </c>
      <c r="G3061" t="s">
        <v>1282</v>
      </c>
      <c r="H3061" s="10"/>
      <c r="I3061">
        <f>IFERROR(VLOOKUP(Final!F3061,'LEAID Match'!$A$2:$B$374,2,FALSE),"")</f>
        <v>400161</v>
      </c>
      <c r="K3061" s="10">
        <f t="shared" si="47"/>
        <v>0</v>
      </c>
    </row>
    <row r="3062" spans="1:11">
      <c r="A3062">
        <v>400161</v>
      </c>
      <c r="B3062" s="10">
        <v>2017</v>
      </c>
      <c r="C3062" t="s">
        <v>1330</v>
      </c>
      <c r="D3062" t="s">
        <v>2472</v>
      </c>
      <c r="E3062" t="s">
        <v>2474</v>
      </c>
      <c r="F3062" t="s">
        <v>1282</v>
      </c>
      <c r="G3062" t="s">
        <v>1282</v>
      </c>
      <c r="H3062" s="10"/>
      <c r="I3062">
        <f>IFERROR(VLOOKUP(Final!F3062,'LEAID Match'!$A$2:$B$374,2,FALSE),"")</f>
        <v>400161</v>
      </c>
      <c r="K3062" s="10">
        <f t="shared" si="47"/>
        <v>0</v>
      </c>
    </row>
    <row r="3063" spans="1:11">
      <c r="A3063">
        <v>400161</v>
      </c>
      <c r="B3063" s="10">
        <v>2018</v>
      </c>
      <c r="C3063" t="s">
        <v>1330</v>
      </c>
      <c r="D3063" t="s">
        <v>2472</v>
      </c>
      <c r="E3063" t="s">
        <v>2474</v>
      </c>
      <c r="F3063" t="s">
        <v>1282</v>
      </c>
      <c r="G3063" t="s">
        <v>1282</v>
      </c>
      <c r="H3063" s="10"/>
      <c r="I3063">
        <f>IFERROR(VLOOKUP(Final!F3063,'LEAID Match'!$A$2:$B$374,2,FALSE),"")</f>
        <v>400161</v>
      </c>
      <c r="K3063" s="10">
        <f t="shared" si="47"/>
        <v>0</v>
      </c>
    </row>
    <row r="3064" spans="1:11">
      <c r="A3064">
        <v>400192</v>
      </c>
      <c r="B3064" s="10">
        <v>2015</v>
      </c>
      <c r="C3064" t="s">
        <v>1130</v>
      </c>
      <c r="D3064" t="s">
        <v>2472</v>
      </c>
      <c r="E3064" t="s">
        <v>2474</v>
      </c>
      <c r="F3064" t="s">
        <v>1075</v>
      </c>
      <c r="G3064" t="s">
        <v>1075</v>
      </c>
      <c r="H3064" s="10">
        <v>14165</v>
      </c>
      <c r="I3064">
        <f>IFERROR(VLOOKUP(Final!F3064,'LEAID Match'!$A$2:$B$374,2,FALSE),"")</f>
        <v>400192</v>
      </c>
      <c r="K3064" s="10">
        <f t="shared" si="47"/>
        <v>14165</v>
      </c>
    </row>
    <row r="3065" spans="1:11">
      <c r="A3065">
        <v>400192</v>
      </c>
      <c r="B3065" s="10">
        <v>2016</v>
      </c>
      <c r="C3065" t="s">
        <v>1130</v>
      </c>
      <c r="D3065" t="s">
        <v>2472</v>
      </c>
      <c r="E3065" t="s">
        <v>2474</v>
      </c>
      <c r="F3065" t="s">
        <v>1075</v>
      </c>
      <c r="G3065" t="s">
        <v>1075</v>
      </c>
      <c r="H3065" s="10">
        <v>11100</v>
      </c>
      <c r="I3065">
        <f>IFERROR(VLOOKUP(Final!F3065,'LEAID Match'!$A$2:$B$374,2,FALSE),"")</f>
        <v>400192</v>
      </c>
      <c r="K3065" s="10">
        <f t="shared" si="47"/>
        <v>11100</v>
      </c>
    </row>
    <row r="3066" spans="1:11">
      <c r="A3066">
        <v>400192</v>
      </c>
      <c r="B3066" s="10">
        <v>2017</v>
      </c>
      <c r="C3066" t="s">
        <v>1130</v>
      </c>
      <c r="D3066" t="s">
        <v>2472</v>
      </c>
      <c r="E3066" t="s">
        <v>2474</v>
      </c>
      <c r="F3066" t="s">
        <v>1075</v>
      </c>
      <c r="G3066" t="s">
        <v>1075</v>
      </c>
      <c r="H3066" s="10">
        <v>10392</v>
      </c>
      <c r="I3066">
        <f>IFERROR(VLOOKUP(Final!F3066,'LEAID Match'!$A$2:$B$374,2,FALSE),"")</f>
        <v>400192</v>
      </c>
      <c r="K3066" s="10">
        <f t="shared" si="47"/>
        <v>10392</v>
      </c>
    </row>
    <row r="3067" spans="1:11">
      <c r="A3067">
        <v>400192</v>
      </c>
      <c r="B3067" s="10">
        <v>2018</v>
      </c>
      <c r="C3067" t="s">
        <v>1130</v>
      </c>
      <c r="D3067" t="s">
        <v>2472</v>
      </c>
      <c r="E3067" t="s">
        <v>2474</v>
      </c>
      <c r="F3067" t="s">
        <v>1075</v>
      </c>
      <c r="G3067" t="s">
        <v>1075</v>
      </c>
      <c r="H3067" s="10">
        <v>12220</v>
      </c>
      <c r="I3067">
        <f>IFERROR(VLOOKUP(Final!F3067,'LEAID Match'!$A$2:$B$374,2,FALSE),"")</f>
        <v>400192</v>
      </c>
      <c r="K3067" s="10">
        <f t="shared" si="47"/>
        <v>12220</v>
      </c>
    </row>
    <row r="3068" spans="1:11">
      <c r="A3068">
        <v>400192</v>
      </c>
      <c r="B3068" s="10">
        <v>2019</v>
      </c>
      <c r="C3068" t="s">
        <v>1130</v>
      </c>
      <c r="D3068" t="s">
        <v>2472</v>
      </c>
      <c r="E3068" t="s">
        <v>2474</v>
      </c>
      <c r="F3068" t="s">
        <v>1075</v>
      </c>
      <c r="G3068" t="s">
        <v>1075</v>
      </c>
      <c r="H3068" s="10"/>
      <c r="I3068">
        <f>IFERROR(VLOOKUP(Final!F3068,'LEAID Match'!$A$2:$B$374,2,FALSE),"")</f>
        <v>400192</v>
      </c>
      <c r="K3068" s="10">
        <f t="shared" si="47"/>
        <v>0</v>
      </c>
    </row>
    <row r="3069" spans="1:11">
      <c r="A3069">
        <v>400192</v>
      </c>
      <c r="B3069" s="10">
        <v>2020</v>
      </c>
      <c r="C3069" t="s">
        <v>1130</v>
      </c>
      <c r="D3069" t="s">
        <v>2472</v>
      </c>
      <c r="E3069" t="s">
        <v>2474</v>
      </c>
      <c r="F3069" t="s">
        <v>1075</v>
      </c>
      <c r="G3069" t="s">
        <v>1075</v>
      </c>
      <c r="H3069" s="10"/>
      <c r="I3069">
        <f>IFERROR(VLOOKUP(Final!F3069,'LEAID Match'!$A$2:$B$374,2,FALSE),"")</f>
        <v>400192</v>
      </c>
      <c r="K3069" s="10">
        <f t="shared" si="47"/>
        <v>0</v>
      </c>
    </row>
    <row r="3070" spans="1:11">
      <c r="A3070">
        <v>400192</v>
      </c>
      <c r="B3070" s="10">
        <v>2021</v>
      </c>
      <c r="C3070" t="s">
        <v>1130</v>
      </c>
      <c r="D3070" t="s">
        <v>2472</v>
      </c>
      <c r="E3070" t="s">
        <v>2474</v>
      </c>
      <c r="F3070" t="s">
        <v>1075</v>
      </c>
      <c r="G3070" t="s">
        <v>1075</v>
      </c>
      <c r="H3070" s="10"/>
      <c r="I3070">
        <f>IFERROR(VLOOKUP(Final!F3070,'LEAID Match'!$A$2:$B$374,2,FALSE),"")</f>
        <v>400192</v>
      </c>
      <c r="K3070" s="10">
        <f t="shared" si="47"/>
        <v>0</v>
      </c>
    </row>
    <row r="3071" spans="1:11">
      <c r="A3071">
        <v>400192</v>
      </c>
      <c r="B3071" s="10">
        <v>2022</v>
      </c>
      <c r="C3071" t="s">
        <v>1130</v>
      </c>
      <c r="D3071" t="s">
        <v>2472</v>
      </c>
      <c r="E3071" t="s">
        <v>2474</v>
      </c>
      <c r="F3071" t="s">
        <v>1075</v>
      </c>
      <c r="G3071" t="s">
        <v>1075</v>
      </c>
      <c r="H3071" s="10"/>
      <c r="I3071">
        <f>IFERROR(VLOOKUP(Final!F3071,'LEAID Match'!$A$2:$B$374,2,FALSE),"")</f>
        <v>400192</v>
      </c>
      <c r="K3071" s="10">
        <f t="shared" si="47"/>
        <v>0</v>
      </c>
    </row>
    <row r="3072" spans="1:11">
      <c r="A3072">
        <v>400192</v>
      </c>
      <c r="B3072" s="10">
        <v>2023</v>
      </c>
      <c r="C3072" t="s">
        <v>1130</v>
      </c>
      <c r="D3072" t="s">
        <v>2472</v>
      </c>
      <c r="E3072" t="s">
        <v>2474</v>
      </c>
      <c r="F3072" t="s">
        <v>1075</v>
      </c>
      <c r="G3072" t="s">
        <v>1075</v>
      </c>
      <c r="H3072" s="10"/>
      <c r="I3072">
        <f>IFERROR(VLOOKUP(Final!F3072,'LEAID Match'!$A$2:$B$374,2,FALSE),"")</f>
        <v>400192</v>
      </c>
      <c r="K3072" s="10">
        <f t="shared" si="47"/>
        <v>0</v>
      </c>
    </row>
    <row r="3073" spans="1:11">
      <c r="A3073">
        <v>400218</v>
      </c>
      <c r="B3073" s="10">
        <v>2015</v>
      </c>
      <c r="C3073" t="s">
        <v>74</v>
      </c>
      <c r="D3073" t="s">
        <v>2472</v>
      </c>
      <c r="E3073" t="s">
        <v>2474</v>
      </c>
      <c r="F3073" t="s">
        <v>1498</v>
      </c>
      <c r="G3073" t="s">
        <v>21</v>
      </c>
      <c r="H3073" s="10">
        <v>52516</v>
      </c>
      <c r="I3073">
        <f>IFERROR(VLOOKUP(Final!F3073,'LEAID Match'!$A$2:$B$374,2,FALSE),"")</f>
        <v>400218</v>
      </c>
      <c r="K3073" s="10">
        <f t="shared" si="47"/>
        <v>52516</v>
      </c>
    </row>
    <row r="3074" spans="1:11">
      <c r="A3074">
        <v>400218</v>
      </c>
      <c r="B3074" s="10">
        <v>2016</v>
      </c>
      <c r="C3074" t="s">
        <v>74</v>
      </c>
      <c r="D3074" t="s">
        <v>2472</v>
      </c>
      <c r="E3074" t="s">
        <v>2474</v>
      </c>
      <c r="F3074" t="s">
        <v>1498</v>
      </c>
      <c r="G3074" t="s">
        <v>1364</v>
      </c>
      <c r="H3074" s="10">
        <v>41599</v>
      </c>
      <c r="I3074">
        <f>IFERROR(VLOOKUP(Final!F3074,'LEAID Match'!$A$2:$B$374,2,FALSE),"")</f>
        <v>400218</v>
      </c>
      <c r="K3074" s="10">
        <f t="shared" si="47"/>
        <v>41599</v>
      </c>
    </row>
    <row r="3075" spans="1:11">
      <c r="A3075">
        <v>400218</v>
      </c>
      <c r="B3075" s="10">
        <v>2017</v>
      </c>
      <c r="C3075" t="s">
        <v>74</v>
      </c>
      <c r="D3075" t="s">
        <v>2472</v>
      </c>
      <c r="E3075" t="s">
        <v>2474</v>
      </c>
      <c r="F3075" t="s">
        <v>1498</v>
      </c>
      <c r="G3075" t="s">
        <v>1498</v>
      </c>
      <c r="H3075" s="10">
        <v>32923</v>
      </c>
      <c r="I3075">
        <f>IFERROR(VLOOKUP(Final!F3075,'LEAID Match'!$A$2:$B$374,2,FALSE),"")</f>
        <v>400218</v>
      </c>
      <c r="K3075" s="10">
        <f t="shared" ref="K3075:K3138" si="48">SUM(H3075,J3075)</f>
        <v>32923</v>
      </c>
    </row>
    <row r="3076" spans="1:11">
      <c r="A3076">
        <v>400218</v>
      </c>
      <c r="B3076" s="10">
        <v>2018</v>
      </c>
      <c r="C3076" t="s">
        <v>74</v>
      </c>
      <c r="D3076" t="s">
        <v>2472</v>
      </c>
      <c r="E3076" t="s">
        <v>2474</v>
      </c>
      <c r="F3076" t="s">
        <v>1498</v>
      </c>
      <c r="G3076" t="s">
        <v>1498</v>
      </c>
      <c r="H3076" s="10">
        <v>32906</v>
      </c>
      <c r="I3076">
        <f>IFERROR(VLOOKUP(Final!F3076,'LEAID Match'!$A$2:$B$374,2,FALSE),"")</f>
        <v>400218</v>
      </c>
      <c r="K3076" s="10">
        <f t="shared" si="48"/>
        <v>32906</v>
      </c>
    </row>
    <row r="3077" spans="1:11">
      <c r="A3077">
        <v>400218</v>
      </c>
      <c r="B3077" s="10">
        <v>2019</v>
      </c>
      <c r="C3077" t="s">
        <v>74</v>
      </c>
      <c r="D3077" t="s">
        <v>2472</v>
      </c>
      <c r="E3077" t="s">
        <v>2474</v>
      </c>
      <c r="F3077" t="s">
        <v>1498</v>
      </c>
      <c r="G3077" t="s">
        <v>1498</v>
      </c>
      <c r="H3077" s="10">
        <v>35564</v>
      </c>
      <c r="I3077">
        <f>IFERROR(VLOOKUP(Final!F3077,'LEAID Match'!$A$2:$B$374,2,FALSE),"")</f>
        <v>400218</v>
      </c>
      <c r="K3077" s="10">
        <f t="shared" si="48"/>
        <v>35564</v>
      </c>
    </row>
    <row r="3078" spans="1:11">
      <c r="A3078">
        <v>400218</v>
      </c>
      <c r="B3078" s="10">
        <v>2020</v>
      </c>
      <c r="C3078" t="s">
        <v>74</v>
      </c>
      <c r="D3078" t="s">
        <v>2472</v>
      </c>
      <c r="E3078" t="s">
        <v>2474</v>
      </c>
      <c r="F3078" t="s">
        <v>1498</v>
      </c>
      <c r="G3078" t="s">
        <v>1498</v>
      </c>
      <c r="H3078" s="10">
        <v>38468</v>
      </c>
      <c r="I3078">
        <f>IFERROR(VLOOKUP(Final!F3078,'LEAID Match'!$A$2:$B$374,2,FALSE),"")</f>
        <v>400218</v>
      </c>
      <c r="K3078" s="10">
        <f t="shared" si="48"/>
        <v>38468</v>
      </c>
    </row>
    <row r="3079" spans="1:11">
      <c r="A3079">
        <v>400218</v>
      </c>
      <c r="B3079" s="10">
        <v>2021</v>
      </c>
      <c r="C3079" t="s">
        <v>74</v>
      </c>
      <c r="D3079" t="s">
        <v>2472</v>
      </c>
      <c r="E3079" t="s">
        <v>2474</v>
      </c>
      <c r="F3079" t="s">
        <v>1498</v>
      </c>
      <c r="G3079" t="s">
        <v>1498</v>
      </c>
      <c r="H3079" s="10">
        <v>31442</v>
      </c>
      <c r="I3079">
        <f>IFERROR(VLOOKUP(Final!F3079,'LEAID Match'!$A$2:$B$374,2,FALSE),"")</f>
        <v>400218</v>
      </c>
      <c r="K3079" s="10">
        <f t="shared" si="48"/>
        <v>31442</v>
      </c>
    </row>
    <row r="3080" spans="1:11">
      <c r="A3080">
        <v>400218</v>
      </c>
      <c r="B3080" s="10">
        <v>2022</v>
      </c>
      <c r="C3080" t="s">
        <v>74</v>
      </c>
      <c r="D3080" t="s">
        <v>2472</v>
      </c>
      <c r="E3080" t="s">
        <v>2474</v>
      </c>
      <c r="F3080" t="s">
        <v>1498</v>
      </c>
      <c r="G3080" t="s">
        <v>1498</v>
      </c>
      <c r="H3080" s="10">
        <v>32237</v>
      </c>
      <c r="I3080">
        <f>IFERROR(VLOOKUP(Final!F3080,'LEAID Match'!$A$2:$B$374,2,FALSE),"")</f>
        <v>400218</v>
      </c>
      <c r="K3080" s="10">
        <f t="shared" si="48"/>
        <v>32237</v>
      </c>
    </row>
    <row r="3081" spans="1:11">
      <c r="A3081">
        <v>400218</v>
      </c>
      <c r="B3081" s="10">
        <v>2023</v>
      </c>
      <c r="C3081" t="s">
        <v>74</v>
      </c>
      <c r="D3081" t="s">
        <v>2472</v>
      </c>
      <c r="E3081" t="s">
        <v>2474</v>
      </c>
      <c r="F3081" t="s">
        <v>1498</v>
      </c>
      <c r="G3081" t="s">
        <v>1498</v>
      </c>
      <c r="H3081" s="10">
        <v>13573</v>
      </c>
      <c r="I3081">
        <f>IFERROR(VLOOKUP(Final!F3081,'LEAID Match'!$A$2:$B$374,2,FALSE),"")</f>
        <v>400218</v>
      </c>
      <c r="K3081" s="10">
        <f t="shared" si="48"/>
        <v>13573</v>
      </c>
    </row>
    <row r="3082" spans="1:11">
      <c r="A3082">
        <v>400189</v>
      </c>
      <c r="B3082" s="10">
        <v>2015</v>
      </c>
      <c r="C3082" t="s">
        <v>563</v>
      </c>
      <c r="D3082" t="s">
        <v>2472</v>
      </c>
      <c r="E3082" t="s">
        <v>2474</v>
      </c>
      <c r="F3082" t="s">
        <v>1698</v>
      </c>
      <c r="G3082" t="s">
        <v>508</v>
      </c>
      <c r="H3082" s="10">
        <v>7702</v>
      </c>
      <c r="I3082">
        <f>IFERROR(VLOOKUP(Final!F3082,'LEAID Match'!$A$2:$B$374,2,FALSE),"")</f>
        <v>400189</v>
      </c>
      <c r="K3082" s="10">
        <f t="shared" si="48"/>
        <v>7702</v>
      </c>
    </row>
    <row r="3083" spans="1:11">
      <c r="A3083">
        <v>400189</v>
      </c>
      <c r="B3083" s="10">
        <v>2016</v>
      </c>
      <c r="C3083" t="s">
        <v>563</v>
      </c>
      <c r="D3083" t="s">
        <v>2472</v>
      </c>
      <c r="E3083" t="s">
        <v>2474</v>
      </c>
      <c r="F3083" t="s">
        <v>1698</v>
      </c>
      <c r="G3083" t="s">
        <v>508</v>
      </c>
      <c r="H3083" s="10">
        <v>4200</v>
      </c>
      <c r="I3083">
        <f>IFERROR(VLOOKUP(Final!F3083,'LEAID Match'!$A$2:$B$374,2,FALSE),"")</f>
        <v>400189</v>
      </c>
      <c r="K3083" s="10">
        <f t="shared" si="48"/>
        <v>4200</v>
      </c>
    </row>
    <row r="3084" spans="1:11">
      <c r="A3084">
        <v>400189</v>
      </c>
      <c r="B3084" s="10">
        <v>2017</v>
      </c>
      <c r="C3084" t="s">
        <v>563</v>
      </c>
      <c r="D3084" t="s">
        <v>2472</v>
      </c>
      <c r="E3084" t="s">
        <v>2474</v>
      </c>
      <c r="F3084" t="s">
        <v>1698</v>
      </c>
      <c r="G3084" t="s">
        <v>1698</v>
      </c>
      <c r="H3084" s="10">
        <v>3961</v>
      </c>
      <c r="I3084">
        <f>IFERROR(VLOOKUP(Final!F3084,'LEAID Match'!$A$2:$B$374,2,FALSE),"")</f>
        <v>400189</v>
      </c>
      <c r="K3084" s="10">
        <f t="shared" si="48"/>
        <v>3961</v>
      </c>
    </row>
    <row r="3085" spans="1:11">
      <c r="A3085">
        <v>400189</v>
      </c>
      <c r="B3085" s="10">
        <v>2018</v>
      </c>
      <c r="C3085" t="s">
        <v>563</v>
      </c>
      <c r="D3085" t="s">
        <v>2472</v>
      </c>
      <c r="E3085" t="s">
        <v>2474</v>
      </c>
      <c r="F3085" t="s">
        <v>1698</v>
      </c>
      <c r="G3085" t="s">
        <v>2173</v>
      </c>
      <c r="H3085" s="10">
        <v>6022</v>
      </c>
      <c r="I3085">
        <f>IFERROR(VLOOKUP(Final!F3085,'LEAID Match'!$A$2:$B$374,2,FALSE),"")</f>
        <v>400189</v>
      </c>
      <c r="K3085" s="10">
        <f t="shared" si="48"/>
        <v>6022</v>
      </c>
    </row>
    <row r="3086" spans="1:11">
      <c r="A3086">
        <v>400189</v>
      </c>
      <c r="B3086" s="10">
        <v>2019</v>
      </c>
      <c r="C3086" t="s">
        <v>563</v>
      </c>
      <c r="D3086" t="s">
        <v>2472</v>
      </c>
      <c r="E3086" t="s">
        <v>2474</v>
      </c>
      <c r="F3086" t="s">
        <v>1698</v>
      </c>
      <c r="G3086" t="s">
        <v>1698</v>
      </c>
      <c r="H3086" s="10">
        <v>4919</v>
      </c>
      <c r="I3086">
        <f>IFERROR(VLOOKUP(Final!F3086,'LEAID Match'!$A$2:$B$374,2,FALSE),"")</f>
        <v>400189</v>
      </c>
      <c r="K3086" s="10">
        <f t="shared" si="48"/>
        <v>4919</v>
      </c>
    </row>
    <row r="3087" spans="1:11">
      <c r="A3087">
        <v>400189</v>
      </c>
      <c r="B3087" s="10">
        <v>2020</v>
      </c>
      <c r="C3087" t="s">
        <v>563</v>
      </c>
      <c r="D3087" t="s">
        <v>2472</v>
      </c>
      <c r="E3087" t="s">
        <v>2474</v>
      </c>
      <c r="F3087" t="s">
        <v>1698</v>
      </c>
      <c r="G3087" t="s">
        <v>1698</v>
      </c>
      <c r="H3087" s="10"/>
      <c r="I3087">
        <f>IFERROR(VLOOKUP(Final!F3087,'LEAID Match'!$A$2:$B$374,2,FALSE),"")</f>
        <v>400189</v>
      </c>
      <c r="K3087" s="10">
        <f t="shared" si="48"/>
        <v>0</v>
      </c>
    </row>
    <row r="3088" spans="1:11">
      <c r="A3088">
        <v>400189</v>
      </c>
      <c r="B3088" s="10">
        <v>2021</v>
      </c>
      <c r="C3088" t="s">
        <v>563</v>
      </c>
      <c r="D3088" t="s">
        <v>2472</v>
      </c>
      <c r="E3088" t="s">
        <v>2474</v>
      </c>
      <c r="F3088" t="s">
        <v>1698</v>
      </c>
      <c r="G3088" t="s">
        <v>1698</v>
      </c>
      <c r="H3088" s="10"/>
      <c r="I3088">
        <f>IFERROR(VLOOKUP(Final!F3088,'LEAID Match'!$A$2:$B$374,2,FALSE),"")</f>
        <v>400189</v>
      </c>
      <c r="K3088" s="10">
        <f t="shared" si="48"/>
        <v>0</v>
      </c>
    </row>
    <row r="3089" spans="1:11">
      <c r="A3089">
        <v>400189</v>
      </c>
      <c r="B3089" s="10">
        <v>2022</v>
      </c>
      <c r="C3089" t="s">
        <v>563</v>
      </c>
      <c r="D3089" t="s">
        <v>2472</v>
      </c>
      <c r="E3089" t="s">
        <v>2474</v>
      </c>
      <c r="F3089" t="s">
        <v>1698</v>
      </c>
      <c r="G3089" t="s">
        <v>1698</v>
      </c>
      <c r="H3089" s="10"/>
      <c r="I3089">
        <f>IFERROR(VLOOKUP(Final!F3089,'LEAID Match'!$A$2:$B$374,2,FALSE),"")</f>
        <v>400189</v>
      </c>
      <c r="K3089" s="10">
        <f t="shared" si="48"/>
        <v>0</v>
      </c>
    </row>
    <row r="3090" spans="1:11">
      <c r="A3090">
        <v>400189</v>
      </c>
      <c r="B3090" s="10">
        <v>2023</v>
      </c>
      <c r="C3090" t="s">
        <v>563</v>
      </c>
      <c r="D3090" t="s">
        <v>2472</v>
      </c>
      <c r="E3090" t="s">
        <v>2474</v>
      </c>
      <c r="F3090" t="s">
        <v>1698</v>
      </c>
      <c r="G3090" t="s">
        <v>1698</v>
      </c>
      <c r="H3090" s="10"/>
      <c r="I3090">
        <f>IFERROR(VLOOKUP(Final!F3090,'LEAID Match'!$A$2:$B$374,2,FALSE),"")</f>
        <v>400189</v>
      </c>
      <c r="K3090" s="10">
        <f t="shared" si="48"/>
        <v>0</v>
      </c>
    </row>
    <row r="3091" spans="1:11">
      <c r="A3091">
        <v>400204</v>
      </c>
      <c r="B3091" s="10">
        <v>2015</v>
      </c>
      <c r="C3091" t="s">
        <v>816</v>
      </c>
      <c r="D3091" t="s">
        <v>2472</v>
      </c>
      <c r="E3091" t="s">
        <v>2474</v>
      </c>
      <c r="F3091" t="s">
        <v>761</v>
      </c>
      <c r="G3091" t="s">
        <v>761</v>
      </c>
      <c r="H3091" s="10">
        <v>56949</v>
      </c>
      <c r="I3091">
        <f>IFERROR(VLOOKUP(Final!F3091,'LEAID Match'!$A$2:$B$374,2,FALSE),"")</f>
        <v>400204</v>
      </c>
      <c r="K3091" s="10">
        <f t="shared" si="48"/>
        <v>56949</v>
      </c>
    </row>
    <row r="3092" spans="1:11">
      <c r="A3092">
        <v>400204</v>
      </c>
      <c r="B3092" s="10">
        <v>2016</v>
      </c>
      <c r="C3092" t="s">
        <v>816</v>
      </c>
      <c r="D3092" t="s">
        <v>2472</v>
      </c>
      <c r="E3092" t="s">
        <v>2474</v>
      </c>
      <c r="F3092" t="s">
        <v>761</v>
      </c>
      <c r="G3092" t="s">
        <v>761</v>
      </c>
      <c r="H3092" s="10">
        <v>48930</v>
      </c>
      <c r="I3092">
        <f>IFERROR(VLOOKUP(Final!F3092,'LEAID Match'!$A$2:$B$374,2,FALSE),"")</f>
        <v>400204</v>
      </c>
      <c r="K3092" s="10">
        <f t="shared" si="48"/>
        <v>48930</v>
      </c>
    </row>
    <row r="3093" spans="1:11">
      <c r="A3093">
        <v>400204</v>
      </c>
      <c r="B3093" s="10">
        <v>2017</v>
      </c>
      <c r="C3093" t="s">
        <v>816</v>
      </c>
      <c r="D3093" t="s">
        <v>2472</v>
      </c>
      <c r="E3093" t="s">
        <v>2474</v>
      </c>
      <c r="F3093" t="s">
        <v>761</v>
      </c>
      <c r="G3093" t="s">
        <v>761</v>
      </c>
      <c r="H3093" s="10">
        <v>54055</v>
      </c>
      <c r="I3093">
        <f>IFERROR(VLOOKUP(Final!F3093,'LEAID Match'!$A$2:$B$374,2,FALSE),"")</f>
        <v>400204</v>
      </c>
      <c r="K3093" s="10">
        <f t="shared" si="48"/>
        <v>54055</v>
      </c>
    </row>
    <row r="3094" spans="1:11">
      <c r="A3094">
        <v>400204</v>
      </c>
      <c r="B3094" s="10">
        <v>2018</v>
      </c>
      <c r="C3094" t="s">
        <v>816</v>
      </c>
      <c r="D3094" t="s">
        <v>2472</v>
      </c>
      <c r="E3094" t="s">
        <v>2474</v>
      </c>
      <c r="F3094" t="s">
        <v>761</v>
      </c>
      <c r="G3094" t="s">
        <v>761</v>
      </c>
      <c r="H3094" s="10">
        <v>46130</v>
      </c>
      <c r="I3094">
        <f>IFERROR(VLOOKUP(Final!F3094,'LEAID Match'!$A$2:$B$374,2,FALSE),"")</f>
        <v>400204</v>
      </c>
      <c r="K3094" s="10">
        <f t="shared" si="48"/>
        <v>46130</v>
      </c>
    </row>
    <row r="3095" spans="1:11">
      <c r="A3095">
        <v>400204</v>
      </c>
      <c r="B3095" s="10">
        <v>2019</v>
      </c>
      <c r="C3095" t="s">
        <v>816</v>
      </c>
      <c r="D3095" t="s">
        <v>2472</v>
      </c>
      <c r="E3095" t="s">
        <v>2474</v>
      </c>
      <c r="F3095" t="s">
        <v>761</v>
      </c>
      <c r="G3095" t="s">
        <v>761</v>
      </c>
      <c r="H3095" s="10">
        <v>45224</v>
      </c>
      <c r="I3095">
        <f>IFERROR(VLOOKUP(Final!F3095,'LEAID Match'!$A$2:$B$374,2,FALSE),"")</f>
        <v>400204</v>
      </c>
      <c r="K3095" s="10">
        <f t="shared" si="48"/>
        <v>45224</v>
      </c>
    </row>
    <row r="3096" spans="1:11">
      <c r="A3096">
        <v>400204</v>
      </c>
      <c r="B3096" s="10">
        <v>2020</v>
      </c>
      <c r="C3096" t="s">
        <v>816</v>
      </c>
      <c r="D3096" t="s">
        <v>2472</v>
      </c>
      <c r="E3096" t="s">
        <v>2474</v>
      </c>
      <c r="F3096" t="s">
        <v>761</v>
      </c>
      <c r="G3096" t="s">
        <v>761</v>
      </c>
      <c r="H3096" s="10">
        <v>52478</v>
      </c>
      <c r="I3096">
        <f>IFERROR(VLOOKUP(Final!F3096,'LEAID Match'!$A$2:$B$374,2,FALSE),"")</f>
        <v>400204</v>
      </c>
      <c r="K3096" s="10">
        <f t="shared" si="48"/>
        <v>52478</v>
      </c>
    </row>
    <row r="3097" spans="1:11">
      <c r="A3097">
        <v>400204</v>
      </c>
      <c r="B3097" s="10">
        <v>2021</v>
      </c>
      <c r="C3097" t="s">
        <v>816</v>
      </c>
      <c r="D3097" t="s">
        <v>2472</v>
      </c>
      <c r="E3097" t="s">
        <v>2474</v>
      </c>
      <c r="F3097" t="s">
        <v>761</v>
      </c>
      <c r="G3097" t="s">
        <v>761</v>
      </c>
      <c r="H3097" s="10">
        <v>51004</v>
      </c>
      <c r="I3097">
        <f>IFERROR(VLOOKUP(Final!F3097,'LEAID Match'!$A$2:$B$374,2,FALSE),"")</f>
        <v>400204</v>
      </c>
      <c r="K3097" s="10">
        <f t="shared" si="48"/>
        <v>51004</v>
      </c>
    </row>
    <row r="3098" spans="1:11">
      <c r="A3098">
        <v>400204</v>
      </c>
      <c r="B3098" s="10">
        <v>2022</v>
      </c>
      <c r="C3098" t="s">
        <v>816</v>
      </c>
      <c r="D3098" t="s">
        <v>2472</v>
      </c>
      <c r="E3098" t="s">
        <v>2474</v>
      </c>
      <c r="F3098" t="s">
        <v>761</v>
      </c>
      <c r="G3098" t="s">
        <v>761</v>
      </c>
      <c r="H3098" s="10">
        <v>54394</v>
      </c>
      <c r="I3098">
        <f>IFERROR(VLOOKUP(Final!F3098,'LEAID Match'!$A$2:$B$374,2,FALSE),"")</f>
        <v>400204</v>
      </c>
      <c r="K3098" s="10">
        <f t="shared" si="48"/>
        <v>54394</v>
      </c>
    </row>
    <row r="3099" spans="1:11">
      <c r="A3099">
        <v>400204</v>
      </c>
      <c r="B3099" s="10">
        <v>2023</v>
      </c>
      <c r="C3099" t="s">
        <v>816</v>
      </c>
      <c r="D3099" t="s">
        <v>2472</v>
      </c>
      <c r="E3099" t="s">
        <v>2474</v>
      </c>
      <c r="F3099" t="s">
        <v>761</v>
      </c>
      <c r="G3099" t="s">
        <v>761</v>
      </c>
      <c r="H3099" s="10">
        <v>49814</v>
      </c>
      <c r="I3099">
        <f>IFERROR(VLOOKUP(Final!F3099,'LEAID Match'!$A$2:$B$374,2,FALSE),"")</f>
        <v>400204</v>
      </c>
      <c r="K3099" s="10">
        <f t="shared" si="48"/>
        <v>49814</v>
      </c>
    </row>
    <row r="3100" spans="1:11">
      <c r="A3100">
        <v>400209</v>
      </c>
      <c r="B3100" s="10">
        <v>2015</v>
      </c>
      <c r="C3100" t="s">
        <v>914</v>
      </c>
      <c r="D3100" t="s">
        <v>2472</v>
      </c>
      <c r="E3100" t="s">
        <v>2474</v>
      </c>
      <c r="F3100" t="s">
        <v>1858</v>
      </c>
      <c r="G3100" t="s">
        <v>859</v>
      </c>
      <c r="H3100" s="10">
        <v>31474</v>
      </c>
      <c r="I3100">
        <f>IFERROR(VLOOKUP(Final!F3100,'LEAID Match'!$A$2:$B$374,2,FALSE),"")</f>
        <v>400209</v>
      </c>
      <c r="K3100" s="10">
        <f t="shared" si="48"/>
        <v>31474</v>
      </c>
    </row>
    <row r="3101" spans="1:11">
      <c r="A3101">
        <v>400209</v>
      </c>
      <c r="B3101" s="10">
        <v>2016</v>
      </c>
      <c r="C3101" t="s">
        <v>914</v>
      </c>
      <c r="D3101" t="s">
        <v>2472</v>
      </c>
      <c r="E3101" t="s">
        <v>2474</v>
      </c>
      <c r="F3101" t="s">
        <v>1858</v>
      </c>
      <c r="G3101" t="s">
        <v>859</v>
      </c>
      <c r="H3101" s="10">
        <v>31542</v>
      </c>
      <c r="I3101">
        <f>IFERROR(VLOOKUP(Final!F3101,'LEAID Match'!$A$2:$B$374,2,FALSE),"")</f>
        <v>400209</v>
      </c>
      <c r="K3101" s="10">
        <f t="shared" si="48"/>
        <v>31542</v>
      </c>
    </row>
    <row r="3102" spans="1:11">
      <c r="A3102">
        <v>400209</v>
      </c>
      <c r="B3102" s="10">
        <v>2017</v>
      </c>
      <c r="C3102" t="s">
        <v>914</v>
      </c>
      <c r="D3102" t="s">
        <v>2472</v>
      </c>
      <c r="E3102" t="s">
        <v>2474</v>
      </c>
      <c r="F3102" t="s">
        <v>1858</v>
      </c>
      <c r="G3102" t="s">
        <v>1858</v>
      </c>
      <c r="H3102" s="10">
        <v>31114</v>
      </c>
      <c r="I3102">
        <f>IFERROR(VLOOKUP(Final!F3102,'LEAID Match'!$A$2:$B$374,2,FALSE),"")</f>
        <v>400209</v>
      </c>
      <c r="K3102" s="10">
        <f t="shared" si="48"/>
        <v>31114</v>
      </c>
    </row>
    <row r="3103" spans="1:11">
      <c r="A3103">
        <v>400209</v>
      </c>
      <c r="B3103" s="10">
        <v>2018</v>
      </c>
      <c r="C3103" t="s">
        <v>914</v>
      </c>
      <c r="D3103" t="s">
        <v>2472</v>
      </c>
      <c r="E3103" t="s">
        <v>2474</v>
      </c>
      <c r="F3103" t="s">
        <v>1858</v>
      </c>
      <c r="G3103" t="s">
        <v>1858</v>
      </c>
      <c r="H3103" s="10">
        <v>45806</v>
      </c>
      <c r="I3103">
        <f>IFERROR(VLOOKUP(Final!F3103,'LEAID Match'!$A$2:$B$374,2,FALSE),"")</f>
        <v>400209</v>
      </c>
      <c r="K3103" s="10">
        <f t="shared" si="48"/>
        <v>45806</v>
      </c>
    </row>
    <row r="3104" spans="1:11">
      <c r="A3104">
        <v>400209</v>
      </c>
      <c r="B3104" s="10">
        <v>2019</v>
      </c>
      <c r="C3104" t="s">
        <v>914</v>
      </c>
      <c r="D3104" t="s">
        <v>2472</v>
      </c>
      <c r="E3104" t="s">
        <v>2474</v>
      </c>
      <c r="F3104" t="s">
        <v>1858</v>
      </c>
      <c r="G3104" t="s">
        <v>1858</v>
      </c>
      <c r="H3104" s="10">
        <v>73459</v>
      </c>
      <c r="I3104">
        <f>IFERROR(VLOOKUP(Final!F3104,'LEAID Match'!$A$2:$B$374,2,FALSE),"")</f>
        <v>400209</v>
      </c>
      <c r="K3104" s="10">
        <f t="shared" si="48"/>
        <v>73459</v>
      </c>
    </row>
    <row r="3105" spans="1:11">
      <c r="A3105">
        <v>400209</v>
      </c>
      <c r="B3105" s="10">
        <v>2020</v>
      </c>
      <c r="C3105" t="s">
        <v>914</v>
      </c>
      <c r="D3105" t="s">
        <v>2472</v>
      </c>
      <c r="E3105" t="s">
        <v>2474</v>
      </c>
      <c r="F3105" t="s">
        <v>1858</v>
      </c>
      <c r="G3105" t="s">
        <v>1858</v>
      </c>
      <c r="H3105" s="10">
        <v>61752</v>
      </c>
      <c r="I3105">
        <f>IFERROR(VLOOKUP(Final!F3105,'LEAID Match'!$A$2:$B$374,2,FALSE),"")</f>
        <v>400209</v>
      </c>
      <c r="K3105" s="10">
        <f t="shared" si="48"/>
        <v>61752</v>
      </c>
    </row>
    <row r="3106" spans="1:11">
      <c r="A3106">
        <v>400209</v>
      </c>
      <c r="B3106" s="10">
        <v>2021</v>
      </c>
      <c r="C3106" t="s">
        <v>914</v>
      </c>
      <c r="D3106" t="s">
        <v>2472</v>
      </c>
      <c r="E3106" t="s">
        <v>2474</v>
      </c>
      <c r="F3106" t="s">
        <v>1858</v>
      </c>
      <c r="G3106" t="s">
        <v>1858</v>
      </c>
      <c r="H3106" s="10">
        <v>64217</v>
      </c>
      <c r="I3106">
        <f>IFERROR(VLOOKUP(Final!F3106,'LEAID Match'!$A$2:$B$374,2,FALSE),"")</f>
        <v>400209</v>
      </c>
      <c r="K3106" s="10">
        <f t="shared" si="48"/>
        <v>64217</v>
      </c>
    </row>
    <row r="3107" spans="1:11">
      <c r="A3107">
        <v>400209</v>
      </c>
      <c r="B3107" s="10">
        <v>2022</v>
      </c>
      <c r="C3107" t="s">
        <v>914</v>
      </c>
      <c r="D3107" t="s">
        <v>2472</v>
      </c>
      <c r="E3107" t="s">
        <v>2474</v>
      </c>
      <c r="F3107" t="s">
        <v>1858</v>
      </c>
      <c r="G3107" t="s">
        <v>1858</v>
      </c>
      <c r="H3107" s="10">
        <v>56609</v>
      </c>
      <c r="I3107">
        <f>IFERROR(VLOOKUP(Final!F3107,'LEAID Match'!$A$2:$B$374,2,FALSE),"")</f>
        <v>400209</v>
      </c>
      <c r="K3107" s="10">
        <f t="shared" si="48"/>
        <v>56609</v>
      </c>
    </row>
    <row r="3108" spans="1:11">
      <c r="A3108">
        <v>400209</v>
      </c>
      <c r="B3108" s="10">
        <v>2023</v>
      </c>
      <c r="C3108" t="s">
        <v>914</v>
      </c>
      <c r="D3108" t="s">
        <v>2472</v>
      </c>
      <c r="E3108" t="s">
        <v>2474</v>
      </c>
      <c r="F3108" t="s">
        <v>1858</v>
      </c>
      <c r="G3108" t="s">
        <v>1858</v>
      </c>
      <c r="H3108" s="10"/>
      <c r="I3108">
        <f>IFERROR(VLOOKUP(Final!F3108,'LEAID Match'!$A$2:$B$374,2,FALSE),"")</f>
        <v>400209</v>
      </c>
      <c r="K3108" s="10">
        <f t="shared" si="48"/>
        <v>0</v>
      </c>
    </row>
    <row r="3109" spans="1:11">
      <c r="A3109" t="s">
        <v>2470</v>
      </c>
      <c r="B3109" s="10">
        <v>2015</v>
      </c>
      <c r="C3109" t="s">
        <v>1327</v>
      </c>
      <c r="D3109" t="s">
        <v>2472</v>
      </c>
      <c r="E3109" t="s">
        <v>2474</v>
      </c>
      <c r="F3109" t="s">
        <v>1279</v>
      </c>
      <c r="G3109" t="s">
        <v>1279</v>
      </c>
      <c r="H3109" s="10">
        <v>699975</v>
      </c>
      <c r="I3109" t="str">
        <f>IFERROR(VLOOKUP(Final!F3109,'LEAID Match'!$A$2:$B$374,2,FALSE),"")</f>
        <v/>
      </c>
      <c r="K3109" s="10">
        <f t="shared" si="48"/>
        <v>699975</v>
      </c>
    </row>
    <row r="3110" spans="1:11">
      <c r="A3110" t="s">
        <v>2470</v>
      </c>
      <c r="B3110" s="10">
        <v>2016</v>
      </c>
      <c r="C3110" t="s">
        <v>1327</v>
      </c>
      <c r="D3110" t="s">
        <v>2472</v>
      </c>
      <c r="E3110" t="s">
        <v>2474</v>
      </c>
      <c r="F3110" t="s">
        <v>1279</v>
      </c>
      <c r="G3110" t="s">
        <v>1279</v>
      </c>
      <c r="H3110" s="10">
        <v>756816</v>
      </c>
      <c r="I3110" t="str">
        <f>IFERROR(VLOOKUP(Final!F3110,'LEAID Match'!$A$2:$B$374,2,FALSE),"")</f>
        <v/>
      </c>
      <c r="K3110" s="10">
        <f t="shared" si="48"/>
        <v>756816</v>
      </c>
    </row>
    <row r="3111" spans="1:11">
      <c r="A3111" t="s">
        <v>2470</v>
      </c>
      <c r="B3111" s="10">
        <v>2017</v>
      </c>
      <c r="C3111" t="s">
        <v>1327</v>
      </c>
      <c r="D3111" t="s">
        <v>2472</v>
      </c>
      <c r="E3111" t="s">
        <v>2474</v>
      </c>
      <c r="F3111" t="s">
        <v>1279</v>
      </c>
      <c r="G3111" t="s">
        <v>1279</v>
      </c>
      <c r="H3111" s="10">
        <v>802004</v>
      </c>
      <c r="I3111" t="str">
        <f>IFERROR(VLOOKUP(Final!F3111,'LEAID Match'!$A$2:$B$374,2,FALSE),"")</f>
        <v/>
      </c>
      <c r="K3111" s="10">
        <f t="shared" si="48"/>
        <v>802004</v>
      </c>
    </row>
    <row r="3112" spans="1:11">
      <c r="A3112" t="s">
        <v>2470</v>
      </c>
      <c r="B3112" s="10">
        <v>2018</v>
      </c>
      <c r="C3112" t="s">
        <v>1327</v>
      </c>
      <c r="D3112" t="s">
        <v>2472</v>
      </c>
      <c r="E3112" t="s">
        <v>2474</v>
      </c>
      <c r="F3112" t="s">
        <v>1279</v>
      </c>
      <c r="G3112" t="s">
        <v>2336</v>
      </c>
      <c r="H3112" s="10">
        <v>839948</v>
      </c>
      <c r="I3112" t="str">
        <f>IFERROR(VLOOKUP(Final!F3112,'LEAID Match'!$A$2:$B$374,2,FALSE),"")</f>
        <v/>
      </c>
      <c r="K3112" s="10">
        <f t="shared" si="48"/>
        <v>839948</v>
      </c>
    </row>
    <row r="3113" spans="1:11">
      <c r="A3113" t="s">
        <v>2470</v>
      </c>
      <c r="B3113" s="10">
        <v>2019</v>
      </c>
      <c r="C3113" t="s">
        <v>1327</v>
      </c>
      <c r="D3113" t="s">
        <v>2472</v>
      </c>
      <c r="E3113" t="s">
        <v>2474</v>
      </c>
      <c r="F3113" t="s">
        <v>1279</v>
      </c>
      <c r="G3113" t="s">
        <v>1279</v>
      </c>
      <c r="H3113" s="10">
        <v>937221</v>
      </c>
      <c r="I3113" t="str">
        <f>IFERROR(VLOOKUP(Final!F3113,'LEAID Match'!$A$2:$B$374,2,FALSE),"")</f>
        <v/>
      </c>
      <c r="K3113" s="10">
        <f t="shared" si="48"/>
        <v>937221</v>
      </c>
    </row>
    <row r="3114" spans="1:11">
      <c r="A3114" t="s">
        <v>2470</v>
      </c>
      <c r="B3114" s="10">
        <v>2020</v>
      </c>
      <c r="C3114" t="s">
        <v>1327</v>
      </c>
      <c r="D3114" t="s">
        <v>2472</v>
      </c>
      <c r="E3114" t="s">
        <v>2474</v>
      </c>
      <c r="F3114" t="s">
        <v>1279</v>
      </c>
      <c r="G3114" t="s">
        <v>1279</v>
      </c>
      <c r="H3114" s="10">
        <v>1043419</v>
      </c>
      <c r="I3114" t="str">
        <f>IFERROR(VLOOKUP(Final!F3114,'LEAID Match'!$A$2:$B$374,2,FALSE),"")</f>
        <v/>
      </c>
      <c r="K3114" s="10">
        <f t="shared" si="48"/>
        <v>1043419</v>
      </c>
    </row>
    <row r="3115" spans="1:11">
      <c r="A3115" t="s">
        <v>2470</v>
      </c>
      <c r="B3115" s="10">
        <v>2021</v>
      </c>
      <c r="C3115" t="s">
        <v>1327</v>
      </c>
      <c r="D3115" t="s">
        <v>2472</v>
      </c>
      <c r="E3115" t="s">
        <v>2474</v>
      </c>
      <c r="F3115" t="s">
        <v>1279</v>
      </c>
      <c r="G3115" t="s">
        <v>1279</v>
      </c>
      <c r="H3115" s="10">
        <v>1143654</v>
      </c>
      <c r="I3115" t="str">
        <f>IFERROR(VLOOKUP(Final!F3115,'LEAID Match'!$A$2:$B$374,2,FALSE),"")</f>
        <v/>
      </c>
      <c r="K3115" s="10">
        <f t="shared" si="48"/>
        <v>1143654</v>
      </c>
    </row>
    <row r="3116" spans="1:11">
      <c r="A3116" t="s">
        <v>2470</v>
      </c>
      <c r="B3116" s="10">
        <v>2022</v>
      </c>
      <c r="C3116" t="s">
        <v>1327</v>
      </c>
      <c r="D3116" t="s">
        <v>2472</v>
      </c>
      <c r="E3116" t="s">
        <v>2474</v>
      </c>
      <c r="F3116" t="s">
        <v>1279</v>
      </c>
      <c r="G3116" t="s">
        <v>1279</v>
      </c>
      <c r="H3116" s="10">
        <v>1212405</v>
      </c>
      <c r="I3116" t="str">
        <f>IFERROR(VLOOKUP(Final!F3116,'LEAID Match'!$A$2:$B$374,2,FALSE),"")</f>
        <v/>
      </c>
      <c r="K3116" s="10">
        <f t="shared" si="48"/>
        <v>1212405</v>
      </c>
    </row>
    <row r="3117" spans="1:11">
      <c r="A3117" t="s">
        <v>2470</v>
      </c>
      <c r="B3117" s="10">
        <v>2023</v>
      </c>
      <c r="C3117" t="s">
        <v>1327</v>
      </c>
      <c r="D3117" t="s">
        <v>2472</v>
      </c>
      <c r="E3117" t="s">
        <v>2474</v>
      </c>
      <c r="F3117" t="s">
        <v>1279</v>
      </c>
      <c r="G3117" t="s">
        <v>1279</v>
      </c>
      <c r="H3117" s="10">
        <v>1523298</v>
      </c>
      <c r="I3117" t="str">
        <f>IFERROR(VLOOKUP(Final!F3117,'LEAID Match'!$A$2:$B$374,2,FALSE),"")</f>
        <v/>
      </c>
      <c r="K3117" s="10">
        <f t="shared" si="48"/>
        <v>1523298</v>
      </c>
    </row>
    <row r="3118" spans="1:11">
      <c r="A3118" t="s">
        <v>2470</v>
      </c>
      <c r="B3118" s="10">
        <v>2015</v>
      </c>
      <c r="C3118" t="s">
        <v>78</v>
      </c>
      <c r="D3118" t="s">
        <v>2472</v>
      </c>
      <c r="E3118" t="s">
        <v>2474</v>
      </c>
      <c r="F3118" t="s">
        <v>25</v>
      </c>
      <c r="G3118" t="s">
        <v>25</v>
      </c>
      <c r="H3118" s="10">
        <v>1083072</v>
      </c>
      <c r="I3118" t="str">
        <f>IFERROR(VLOOKUP(Final!F3118,'LEAID Match'!$A$2:$B$374,2,FALSE),"")</f>
        <v/>
      </c>
      <c r="K3118" s="10">
        <f t="shared" si="48"/>
        <v>1083072</v>
      </c>
    </row>
    <row r="3119" spans="1:11">
      <c r="A3119" t="s">
        <v>2470</v>
      </c>
      <c r="B3119" s="10">
        <v>2016</v>
      </c>
      <c r="C3119" t="s">
        <v>78</v>
      </c>
      <c r="D3119" t="s">
        <v>2472</v>
      </c>
      <c r="E3119" t="s">
        <v>2474</v>
      </c>
      <c r="F3119" t="s">
        <v>25</v>
      </c>
      <c r="G3119" t="s">
        <v>25</v>
      </c>
      <c r="H3119" s="10">
        <v>1102419</v>
      </c>
      <c r="I3119" t="str">
        <f>IFERROR(VLOOKUP(Final!F3119,'LEAID Match'!$A$2:$B$374,2,FALSE),"")</f>
        <v/>
      </c>
      <c r="K3119" s="10">
        <f t="shared" si="48"/>
        <v>1102419</v>
      </c>
    </row>
    <row r="3120" spans="1:11">
      <c r="A3120" t="s">
        <v>2470</v>
      </c>
      <c r="B3120" s="10">
        <v>2017</v>
      </c>
      <c r="C3120" t="s">
        <v>78</v>
      </c>
      <c r="D3120" t="s">
        <v>2472</v>
      </c>
      <c r="E3120" t="s">
        <v>2474</v>
      </c>
      <c r="F3120" t="s">
        <v>25</v>
      </c>
      <c r="G3120" t="s">
        <v>25</v>
      </c>
      <c r="H3120" s="10">
        <v>1118468</v>
      </c>
      <c r="I3120" t="str">
        <f>IFERROR(VLOOKUP(Final!F3120,'LEAID Match'!$A$2:$B$374,2,FALSE),"")</f>
        <v/>
      </c>
      <c r="K3120" s="10">
        <f t="shared" si="48"/>
        <v>1118468</v>
      </c>
    </row>
    <row r="3121" spans="1:11">
      <c r="A3121" t="s">
        <v>2470</v>
      </c>
      <c r="B3121" s="10">
        <v>2018</v>
      </c>
      <c r="C3121" t="s">
        <v>78</v>
      </c>
      <c r="D3121" t="s">
        <v>2472</v>
      </c>
      <c r="E3121" t="s">
        <v>2474</v>
      </c>
      <c r="F3121" t="s">
        <v>25</v>
      </c>
      <c r="G3121" t="s">
        <v>25</v>
      </c>
      <c r="H3121" s="10">
        <v>1227703</v>
      </c>
      <c r="I3121" t="str">
        <f>IFERROR(VLOOKUP(Final!F3121,'LEAID Match'!$A$2:$B$374,2,FALSE),"")</f>
        <v/>
      </c>
      <c r="K3121" s="10">
        <f t="shared" si="48"/>
        <v>1227703</v>
      </c>
    </row>
    <row r="3122" spans="1:11">
      <c r="A3122" t="s">
        <v>2470</v>
      </c>
      <c r="B3122" s="10">
        <v>2019</v>
      </c>
      <c r="C3122" t="s">
        <v>78</v>
      </c>
      <c r="D3122" t="s">
        <v>2472</v>
      </c>
      <c r="E3122" t="s">
        <v>2474</v>
      </c>
      <c r="F3122" t="s">
        <v>25</v>
      </c>
      <c r="G3122" t="s">
        <v>25</v>
      </c>
      <c r="H3122" s="10">
        <v>1316548</v>
      </c>
      <c r="I3122" t="str">
        <f>IFERROR(VLOOKUP(Final!F3122,'LEAID Match'!$A$2:$B$374,2,FALSE),"")</f>
        <v/>
      </c>
      <c r="K3122" s="10">
        <f t="shared" si="48"/>
        <v>1316548</v>
      </c>
    </row>
    <row r="3123" spans="1:11">
      <c r="A3123" t="s">
        <v>2470</v>
      </c>
      <c r="B3123" s="10">
        <v>2020</v>
      </c>
      <c r="C3123" t="s">
        <v>78</v>
      </c>
      <c r="D3123" t="s">
        <v>2472</v>
      </c>
      <c r="E3123" t="s">
        <v>2474</v>
      </c>
      <c r="F3123" t="s">
        <v>25</v>
      </c>
      <c r="G3123" t="s">
        <v>25</v>
      </c>
      <c r="H3123" s="10">
        <v>1368105</v>
      </c>
      <c r="I3123" t="str">
        <f>IFERROR(VLOOKUP(Final!F3123,'LEAID Match'!$A$2:$B$374,2,FALSE),"")</f>
        <v/>
      </c>
      <c r="K3123" s="10">
        <f t="shared" si="48"/>
        <v>1368105</v>
      </c>
    </row>
    <row r="3124" spans="1:11">
      <c r="A3124" t="s">
        <v>2470</v>
      </c>
      <c r="B3124" s="10">
        <v>2021</v>
      </c>
      <c r="C3124" t="s">
        <v>78</v>
      </c>
      <c r="D3124" t="s">
        <v>2472</v>
      </c>
      <c r="E3124" t="s">
        <v>2474</v>
      </c>
      <c r="F3124" t="s">
        <v>25</v>
      </c>
      <c r="G3124" t="s">
        <v>25</v>
      </c>
      <c r="H3124" s="10">
        <v>1353996</v>
      </c>
      <c r="I3124" t="str">
        <f>IFERROR(VLOOKUP(Final!F3124,'LEAID Match'!$A$2:$B$374,2,FALSE),"")</f>
        <v/>
      </c>
      <c r="K3124" s="10">
        <f t="shared" si="48"/>
        <v>1353996</v>
      </c>
    </row>
    <row r="3125" spans="1:11">
      <c r="A3125" t="s">
        <v>2470</v>
      </c>
      <c r="B3125" s="10">
        <v>2022</v>
      </c>
      <c r="C3125" t="s">
        <v>78</v>
      </c>
      <c r="D3125" t="s">
        <v>2472</v>
      </c>
      <c r="E3125" t="s">
        <v>2474</v>
      </c>
      <c r="F3125" t="s">
        <v>25</v>
      </c>
      <c r="G3125" t="s">
        <v>25</v>
      </c>
      <c r="H3125" s="10">
        <v>1629631</v>
      </c>
      <c r="I3125" t="str">
        <f>IFERROR(VLOOKUP(Final!F3125,'LEAID Match'!$A$2:$B$374,2,FALSE),"")</f>
        <v/>
      </c>
      <c r="K3125" s="10">
        <f t="shared" si="48"/>
        <v>1629631</v>
      </c>
    </row>
    <row r="3126" spans="1:11">
      <c r="A3126" t="s">
        <v>2470</v>
      </c>
      <c r="B3126" s="10">
        <v>2023</v>
      </c>
      <c r="C3126" t="s">
        <v>78</v>
      </c>
      <c r="D3126" t="s">
        <v>2472</v>
      </c>
      <c r="E3126" t="s">
        <v>2474</v>
      </c>
      <c r="F3126" t="s">
        <v>25</v>
      </c>
      <c r="G3126" t="s">
        <v>25</v>
      </c>
      <c r="H3126" s="10">
        <v>1684494</v>
      </c>
      <c r="I3126" t="str">
        <f>IFERROR(VLOOKUP(Final!F3126,'LEAID Match'!$A$2:$B$374,2,FALSE),"")</f>
        <v/>
      </c>
      <c r="K3126" s="10">
        <f t="shared" si="48"/>
        <v>1684494</v>
      </c>
    </row>
    <row r="3127" spans="1:11">
      <c r="A3127" t="s">
        <v>2470</v>
      </c>
      <c r="B3127" s="10">
        <v>2015</v>
      </c>
      <c r="C3127" t="s">
        <v>472</v>
      </c>
      <c r="D3127" t="s">
        <v>2472</v>
      </c>
      <c r="E3127" t="s">
        <v>2474</v>
      </c>
      <c r="F3127" t="s">
        <v>417</v>
      </c>
      <c r="G3127" t="s">
        <v>417</v>
      </c>
      <c r="H3127" s="10">
        <v>2738855</v>
      </c>
      <c r="I3127" t="str">
        <f>IFERROR(VLOOKUP(Final!F3127,'LEAID Match'!$A$2:$B$374,2,FALSE),"")</f>
        <v/>
      </c>
      <c r="K3127" s="10">
        <f t="shared" si="48"/>
        <v>2738855</v>
      </c>
    </row>
    <row r="3128" spans="1:11">
      <c r="A3128" t="s">
        <v>2470</v>
      </c>
      <c r="B3128" s="10">
        <v>2016</v>
      </c>
      <c r="C3128" t="s">
        <v>472</v>
      </c>
      <c r="D3128" t="s">
        <v>2472</v>
      </c>
      <c r="E3128" t="s">
        <v>2474</v>
      </c>
      <c r="F3128" t="s">
        <v>417</v>
      </c>
      <c r="G3128" t="s">
        <v>417</v>
      </c>
      <c r="H3128" s="10">
        <v>2690387</v>
      </c>
      <c r="I3128" t="str">
        <f>IFERROR(VLOOKUP(Final!F3128,'LEAID Match'!$A$2:$B$374,2,FALSE),"")</f>
        <v/>
      </c>
      <c r="K3128" s="10">
        <f t="shared" si="48"/>
        <v>2690387</v>
      </c>
    </row>
    <row r="3129" spans="1:11">
      <c r="A3129" t="s">
        <v>2470</v>
      </c>
      <c r="B3129" s="10">
        <v>2017</v>
      </c>
      <c r="C3129" t="s">
        <v>472</v>
      </c>
      <c r="D3129" t="s">
        <v>2472</v>
      </c>
      <c r="E3129" t="s">
        <v>2474</v>
      </c>
      <c r="F3129" t="s">
        <v>417</v>
      </c>
      <c r="G3129" t="s">
        <v>417</v>
      </c>
      <c r="H3129" s="10">
        <v>2703540</v>
      </c>
      <c r="I3129" t="str">
        <f>IFERROR(VLOOKUP(Final!F3129,'LEAID Match'!$A$2:$B$374,2,FALSE),"")</f>
        <v/>
      </c>
      <c r="K3129" s="10">
        <f t="shared" si="48"/>
        <v>2703540</v>
      </c>
    </row>
    <row r="3130" spans="1:11">
      <c r="A3130" t="s">
        <v>2470</v>
      </c>
      <c r="B3130" s="10">
        <v>2018</v>
      </c>
      <c r="C3130" t="s">
        <v>472</v>
      </c>
      <c r="D3130" t="s">
        <v>2472</v>
      </c>
      <c r="E3130" t="s">
        <v>2474</v>
      </c>
      <c r="F3130" t="s">
        <v>417</v>
      </c>
      <c r="G3130" t="s">
        <v>417</v>
      </c>
      <c r="H3130" s="10">
        <v>2958880</v>
      </c>
      <c r="I3130" t="str">
        <f>IFERROR(VLOOKUP(Final!F3130,'LEAID Match'!$A$2:$B$374,2,FALSE),"")</f>
        <v/>
      </c>
      <c r="K3130" s="10">
        <f t="shared" si="48"/>
        <v>2958880</v>
      </c>
    </row>
    <row r="3131" spans="1:11">
      <c r="A3131" t="s">
        <v>2470</v>
      </c>
      <c r="B3131" s="10">
        <v>2019</v>
      </c>
      <c r="C3131" t="s">
        <v>472</v>
      </c>
      <c r="D3131" t="s">
        <v>2472</v>
      </c>
      <c r="E3131" t="s">
        <v>2474</v>
      </c>
      <c r="F3131" t="s">
        <v>417</v>
      </c>
      <c r="G3131" t="s">
        <v>417</v>
      </c>
      <c r="H3131" s="10">
        <v>3032411</v>
      </c>
      <c r="I3131" t="str">
        <f>IFERROR(VLOOKUP(Final!F3131,'LEAID Match'!$A$2:$B$374,2,FALSE),"")</f>
        <v/>
      </c>
      <c r="K3131" s="10">
        <f t="shared" si="48"/>
        <v>3032411</v>
      </c>
    </row>
    <row r="3132" spans="1:11">
      <c r="A3132" t="s">
        <v>2470</v>
      </c>
      <c r="B3132" s="10">
        <v>2020</v>
      </c>
      <c r="C3132" t="s">
        <v>472</v>
      </c>
      <c r="D3132" t="s">
        <v>2472</v>
      </c>
      <c r="E3132" t="s">
        <v>2474</v>
      </c>
      <c r="F3132" t="s">
        <v>417</v>
      </c>
      <c r="G3132" t="s">
        <v>417</v>
      </c>
      <c r="H3132" s="10">
        <v>3234126</v>
      </c>
      <c r="I3132" t="str">
        <f>IFERROR(VLOOKUP(Final!F3132,'LEAID Match'!$A$2:$B$374,2,FALSE),"")</f>
        <v/>
      </c>
      <c r="K3132" s="10">
        <f t="shared" si="48"/>
        <v>3234126</v>
      </c>
    </row>
    <row r="3133" spans="1:11">
      <c r="A3133" t="s">
        <v>2470</v>
      </c>
      <c r="B3133" s="10">
        <v>2021</v>
      </c>
      <c r="C3133" t="s">
        <v>472</v>
      </c>
      <c r="D3133" t="s">
        <v>2472</v>
      </c>
      <c r="E3133" t="s">
        <v>2474</v>
      </c>
      <c r="F3133" t="s">
        <v>417</v>
      </c>
      <c r="G3133" t="s">
        <v>417</v>
      </c>
      <c r="H3133" s="10">
        <v>3266320</v>
      </c>
      <c r="I3133" t="str">
        <f>IFERROR(VLOOKUP(Final!F3133,'LEAID Match'!$A$2:$B$374,2,FALSE),"")</f>
        <v/>
      </c>
      <c r="K3133" s="10">
        <f t="shared" si="48"/>
        <v>3266320</v>
      </c>
    </row>
    <row r="3134" spans="1:11">
      <c r="A3134" t="s">
        <v>2470</v>
      </c>
      <c r="B3134" s="10">
        <v>2022</v>
      </c>
      <c r="C3134" t="s">
        <v>472</v>
      </c>
      <c r="D3134" t="s">
        <v>2472</v>
      </c>
      <c r="E3134" t="s">
        <v>2474</v>
      </c>
      <c r="F3134" t="s">
        <v>417</v>
      </c>
      <c r="G3134" t="s">
        <v>417</v>
      </c>
      <c r="H3134" s="10">
        <v>3489007</v>
      </c>
      <c r="I3134" t="str">
        <f>IFERROR(VLOOKUP(Final!F3134,'LEAID Match'!$A$2:$B$374,2,FALSE),"")</f>
        <v/>
      </c>
      <c r="K3134" s="10">
        <f t="shared" si="48"/>
        <v>3489007</v>
      </c>
    </row>
    <row r="3135" spans="1:11">
      <c r="A3135" t="s">
        <v>2470</v>
      </c>
      <c r="B3135" s="10">
        <v>2023</v>
      </c>
      <c r="C3135" t="s">
        <v>472</v>
      </c>
      <c r="D3135" t="s">
        <v>2472</v>
      </c>
      <c r="E3135" t="s">
        <v>2474</v>
      </c>
      <c r="F3135" t="s">
        <v>417</v>
      </c>
      <c r="G3135" t="s">
        <v>417</v>
      </c>
      <c r="H3135" s="10">
        <v>3662910</v>
      </c>
      <c r="I3135" t="str">
        <f>IFERROR(VLOOKUP(Final!F3135,'LEAID Match'!$A$2:$B$374,2,FALSE),"")</f>
        <v/>
      </c>
      <c r="K3135" s="10">
        <f t="shared" si="48"/>
        <v>3662910</v>
      </c>
    </row>
    <row r="3136" spans="1:11">
      <c r="A3136" t="s">
        <v>2470</v>
      </c>
      <c r="B3136" s="10">
        <v>2015</v>
      </c>
      <c r="C3136" t="s">
        <v>476</v>
      </c>
      <c r="D3136" t="s">
        <v>2472</v>
      </c>
      <c r="E3136" t="s">
        <v>2474</v>
      </c>
      <c r="F3136" t="s">
        <v>421</v>
      </c>
      <c r="G3136" t="s">
        <v>421</v>
      </c>
      <c r="H3136" s="10">
        <v>3839986</v>
      </c>
      <c r="I3136" t="str">
        <f>IFERROR(VLOOKUP(Final!F3136,'LEAID Match'!$A$2:$B$374,2,FALSE),"")</f>
        <v/>
      </c>
      <c r="K3136" s="10">
        <f t="shared" si="48"/>
        <v>3839986</v>
      </c>
    </row>
    <row r="3137" spans="1:11">
      <c r="A3137" t="s">
        <v>2470</v>
      </c>
      <c r="B3137" s="10">
        <v>2016</v>
      </c>
      <c r="C3137" t="s">
        <v>476</v>
      </c>
      <c r="D3137" t="s">
        <v>2472</v>
      </c>
      <c r="E3137" t="s">
        <v>2474</v>
      </c>
      <c r="F3137" t="s">
        <v>421</v>
      </c>
      <c r="G3137" t="s">
        <v>421</v>
      </c>
      <c r="H3137" s="10">
        <v>3943391</v>
      </c>
      <c r="I3137" t="str">
        <f>IFERROR(VLOOKUP(Final!F3137,'LEAID Match'!$A$2:$B$374,2,FALSE),"")</f>
        <v/>
      </c>
      <c r="K3137" s="10">
        <f t="shared" si="48"/>
        <v>3943391</v>
      </c>
    </row>
    <row r="3138" spans="1:11">
      <c r="A3138" t="s">
        <v>2470</v>
      </c>
      <c r="B3138" s="10">
        <v>2017</v>
      </c>
      <c r="C3138" t="s">
        <v>476</v>
      </c>
      <c r="D3138" t="s">
        <v>2472</v>
      </c>
      <c r="E3138" t="s">
        <v>2474</v>
      </c>
      <c r="F3138" t="s">
        <v>421</v>
      </c>
      <c r="G3138" t="s">
        <v>421</v>
      </c>
      <c r="H3138" s="10">
        <v>4266431</v>
      </c>
      <c r="I3138" t="str">
        <f>IFERROR(VLOOKUP(Final!F3138,'LEAID Match'!$A$2:$B$374,2,FALSE),"")</f>
        <v/>
      </c>
      <c r="K3138" s="10">
        <f t="shared" si="48"/>
        <v>4266431</v>
      </c>
    </row>
    <row r="3139" spans="1:11">
      <c r="A3139" t="s">
        <v>2470</v>
      </c>
      <c r="B3139" s="10">
        <v>2018</v>
      </c>
      <c r="C3139" t="s">
        <v>476</v>
      </c>
      <c r="D3139" t="s">
        <v>2472</v>
      </c>
      <c r="E3139" t="s">
        <v>2474</v>
      </c>
      <c r="F3139" t="s">
        <v>421</v>
      </c>
      <c r="G3139" t="s">
        <v>421</v>
      </c>
      <c r="H3139" s="10">
        <v>4443252</v>
      </c>
      <c r="I3139" t="str">
        <f>IFERROR(VLOOKUP(Final!F3139,'LEAID Match'!$A$2:$B$374,2,FALSE),"")</f>
        <v/>
      </c>
      <c r="K3139" s="10">
        <f t="shared" ref="K3139:K3202" si="49">SUM(H3139,J3139)</f>
        <v>4443252</v>
      </c>
    </row>
    <row r="3140" spans="1:11">
      <c r="A3140" t="s">
        <v>2470</v>
      </c>
      <c r="B3140" s="10">
        <v>2019</v>
      </c>
      <c r="C3140" t="s">
        <v>476</v>
      </c>
      <c r="D3140" t="s">
        <v>2472</v>
      </c>
      <c r="E3140" t="s">
        <v>2474</v>
      </c>
      <c r="F3140" t="s">
        <v>421</v>
      </c>
      <c r="G3140" t="s">
        <v>421</v>
      </c>
      <c r="H3140" s="10">
        <v>4874526</v>
      </c>
      <c r="I3140" t="str">
        <f>IFERROR(VLOOKUP(Final!F3140,'LEAID Match'!$A$2:$B$374,2,FALSE),"")</f>
        <v/>
      </c>
      <c r="K3140" s="10">
        <f t="shared" si="49"/>
        <v>4874526</v>
      </c>
    </row>
    <row r="3141" spans="1:11">
      <c r="A3141" t="s">
        <v>2470</v>
      </c>
      <c r="B3141" s="10">
        <v>2020</v>
      </c>
      <c r="C3141" t="s">
        <v>476</v>
      </c>
      <c r="D3141" t="s">
        <v>2472</v>
      </c>
      <c r="E3141" t="s">
        <v>2474</v>
      </c>
      <c r="F3141" t="s">
        <v>421</v>
      </c>
      <c r="G3141" t="s">
        <v>421</v>
      </c>
      <c r="H3141" s="10">
        <v>5038039</v>
      </c>
      <c r="I3141" t="str">
        <f>IFERROR(VLOOKUP(Final!F3141,'LEAID Match'!$A$2:$B$374,2,FALSE),"")</f>
        <v/>
      </c>
      <c r="K3141" s="10">
        <f t="shared" si="49"/>
        <v>5038039</v>
      </c>
    </row>
    <row r="3142" spans="1:11">
      <c r="A3142" t="s">
        <v>2470</v>
      </c>
      <c r="B3142" s="10">
        <v>2021</v>
      </c>
      <c r="C3142" t="s">
        <v>476</v>
      </c>
      <c r="D3142" t="s">
        <v>2472</v>
      </c>
      <c r="E3142" t="s">
        <v>2474</v>
      </c>
      <c r="F3142" t="s">
        <v>421</v>
      </c>
      <c r="G3142" t="s">
        <v>421</v>
      </c>
      <c r="H3142" s="10">
        <v>5072223</v>
      </c>
      <c r="I3142" t="str">
        <f>IFERROR(VLOOKUP(Final!F3142,'LEAID Match'!$A$2:$B$374,2,FALSE),"")</f>
        <v/>
      </c>
      <c r="K3142" s="10">
        <f t="shared" si="49"/>
        <v>5072223</v>
      </c>
    </row>
    <row r="3143" spans="1:11">
      <c r="A3143" t="s">
        <v>2470</v>
      </c>
      <c r="B3143" s="10">
        <v>2022</v>
      </c>
      <c r="C3143" t="s">
        <v>476</v>
      </c>
      <c r="D3143" t="s">
        <v>2472</v>
      </c>
      <c r="E3143" t="s">
        <v>2474</v>
      </c>
      <c r="F3143" t="s">
        <v>421</v>
      </c>
      <c r="G3143" t="s">
        <v>421</v>
      </c>
      <c r="H3143" s="10">
        <v>5348546</v>
      </c>
      <c r="I3143" t="str">
        <f>IFERROR(VLOOKUP(Final!F3143,'LEAID Match'!$A$2:$B$374,2,FALSE),"")</f>
        <v/>
      </c>
      <c r="K3143" s="10">
        <f t="shared" si="49"/>
        <v>5348546</v>
      </c>
    </row>
    <row r="3144" spans="1:11">
      <c r="A3144" t="s">
        <v>2470</v>
      </c>
      <c r="B3144" s="10">
        <v>2023</v>
      </c>
      <c r="C3144" t="s">
        <v>476</v>
      </c>
      <c r="D3144" t="s">
        <v>2472</v>
      </c>
      <c r="E3144" t="s">
        <v>2474</v>
      </c>
      <c r="F3144" t="s">
        <v>421</v>
      </c>
      <c r="G3144" t="s">
        <v>421</v>
      </c>
      <c r="H3144" s="10">
        <v>6206782</v>
      </c>
      <c r="I3144" t="str">
        <f>IFERROR(VLOOKUP(Final!F3144,'LEAID Match'!$A$2:$B$374,2,FALSE),"")</f>
        <v/>
      </c>
      <c r="K3144" s="10">
        <f t="shared" si="49"/>
        <v>6206782</v>
      </c>
    </row>
    <row r="3145" spans="1:11">
      <c r="A3145" t="s">
        <v>2470</v>
      </c>
      <c r="B3145" s="10">
        <v>2015</v>
      </c>
      <c r="C3145" t="s">
        <v>660</v>
      </c>
      <c r="D3145" t="s">
        <v>2472</v>
      </c>
      <c r="E3145" t="s">
        <v>2474</v>
      </c>
      <c r="F3145" t="s">
        <v>605</v>
      </c>
      <c r="G3145" t="s">
        <v>605</v>
      </c>
      <c r="H3145" s="10">
        <v>1747197</v>
      </c>
      <c r="I3145" t="str">
        <f>IFERROR(VLOOKUP(Final!F3145,'LEAID Match'!$A$2:$B$374,2,FALSE),"")</f>
        <v/>
      </c>
      <c r="K3145" s="10">
        <f t="shared" si="49"/>
        <v>1747197</v>
      </c>
    </row>
    <row r="3146" spans="1:11">
      <c r="A3146" t="s">
        <v>2470</v>
      </c>
      <c r="B3146" s="10">
        <v>2016</v>
      </c>
      <c r="C3146" t="s">
        <v>660</v>
      </c>
      <c r="D3146" t="s">
        <v>2472</v>
      </c>
      <c r="E3146" t="s">
        <v>2474</v>
      </c>
      <c r="F3146" t="s">
        <v>605</v>
      </c>
      <c r="G3146" t="s">
        <v>605</v>
      </c>
      <c r="H3146" s="10">
        <v>1723501</v>
      </c>
      <c r="I3146" t="str">
        <f>IFERROR(VLOOKUP(Final!F3146,'LEAID Match'!$A$2:$B$374,2,FALSE),"")</f>
        <v/>
      </c>
      <c r="K3146" s="10">
        <f t="shared" si="49"/>
        <v>1723501</v>
      </c>
    </row>
    <row r="3147" spans="1:11">
      <c r="A3147" t="s">
        <v>2470</v>
      </c>
      <c r="B3147" s="10">
        <v>2017</v>
      </c>
      <c r="C3147" t="s">
        <v>660</v>
      </c>
      <c r="D3147" t="s">
        <v>2472</v>
      </c>
      <c r="E3147" t="s">
        <v>2474</v>
      </c>
      <c r="F3147" t="s">
        <v>605</v>
      </c>
      <c r="G3147" t="s">
        <v>605</v>
      </c>
      <c r="H3147" s="10">
        <v>1716124</v>
      </c>
      <c r="I3147" t="str">
        <f>IFERROR(VLOOKUP(Final!F3147,'LEAID Match'!$A$2:$B$374,2,FALSE),"")</f>
        <v/>
      </c>
      <c r="K3147" s="10">
        <f t="shared" si="49"/>
        <v>1716124</v>
      </c>
    </row>
    <row r="3148" spans="1:11">
      <c r="A3148" t="s">
        <v>2470</v>
      </c>
      <c r="B3148" s="10">
        <v>2018</v>
      </c>
      <c r="C3148" t="s">
        <v>660</v>
      </c>
      <c r="D3148" t="s">
        <v>2472</v>
      </c>
      <c r="E3148" t="s">
        <v>2474</v>
      </c>
      <c r="F3148" t="s">
        <v>605</v>
      </c>
      <c r="G3148" t="s">
        <v>605</v>
      </c>
      <c r="H3148" s="10">
        <v>1815533</v>
      </c>
      <c r="I3148" t="str">
        <f>IFERROR(VLOOKUP(Final!F3148,'LEAID Match'!$A$2:$B$374,2,FALSE),"")</f>
        <v/>
      </c>
      <c r="K3148" s="10">
        <f t="shared" si="49"/>
        <v>1815533</v>
      </c>
    </row>
    <row r="3149" spans="1:11">
      <c r="A3149" t="s">
        <v>2470</v>
      </c>
      <c r="B3149" s="10">
        <v>2019</v>
      </c>
      <c r="C3149" t="s">
        <v>660</v>
      </c>
      <c r="D3149" t="s">
        <v>2472</v>
      </c>
      <c r="E3149" t="s">
        <v>2474</v>
      </c>
      <c r="F3149" t="s">
        <v>605</v>
      </c>
      <c r="G3149" t="s">
        <v>605</v>
      </c>
      <c r="H3149" s="10">
        <v>2044155</v>
      </c>
      <c r="I3149" t="str">
        <f>IFERROR(VLOOKUP(Final!F3149,'LEAID Match'!$A$2:$B$374,2,FALSE),"")</f>
        <v/>
      </c>
      <c r="K3149" s="10">
        <f t="shared" si="49"/>
        <v>2044155</v>
      </c>
    </row>
    <row r="3150" spans="1:11">
      <c r="A3150" t="s">
        <v>2470</v>
      </c>
      <c r="B3150" s="10">
        <v>2020</v>
      </c>
      <c r="C3150" t="s">
        <v>660</v>
      </c>
      <c r="D3150" t="s">
        <v>2472</v>
      </c>
      <c r="E3150" t="s">
        <v>2474</v>
      </c>
      <c r="F3150" t="s">
        <v>605</v>
      </c>
      <c r="G3150" t="s">
        <v>605</v>
      </c>
      <c r="H3150" s="10">
        <v>2120686</v>
      </c>
      <c r="I3150" t="str">
        <f>IFERROR(VLOOKUP(Final!F3150,'LEAID Match'!$A$2:$B$374,2,FALSE),"")</f>
        <v/>
      </c>
      <c r="K3150" s="10">
        <f t="shared" si="49"/>
        <v>2120686</v>
      </c>
    </row>
    <row r="3151" spans="1:11">
      <c r="A3151" t="s">
        <v>2470</v>
      </c>
      <c r="B3151" s="10">
        <v>2021</v>
      </c>
      <c r="C3151" t="s">
        <v>660</v>
      </c>
      <c r="D3151" t="s">
        <v>2472</v>
      </c>
      <c r="E3151" t="s">
        <v>2474</v>
      </c>
      <c r="F3151" t="s">
        <v>605</v>
      </c>
      <c r="G3151" t="s">
        <v>605</v>
      </c>
      <c r="H3151" s="10">
        <v>2162871</v>
      </c>
      <c r="I3151" t="str">
        <f>IFERROR(VLOOKUP(Final!F3151,'LEAID Match'!$A$2:$B$374,2,FALSE),"")</f>
        <v/>
      </c>
      <c r="K3151" s="10">
        <f t="shared" si="49"/>
        <v>2162871</v>
      </c>
    </row>
    <row r="3152" spans="1:11">
      <c r="A3152" t="s">
        <v>2470</v>
      </c>
      <c r="B3152" s="10">
        <v>2022</v>
      </c>
      <c r="C3152" t="s">
        <v>660</v>
      </c>
      <c r="D3152" t="s">
        <v>2472</v>
      </c>
      <c r="E3152" t="s">
        <v>2474</v>
      </c>
      <c r="F3152" t="s">
        <v>605</v>
      </c>
      <c r="G3152" t="s">
        <v>605</v>
      </c>
      <c r="H3152" s="10">
        <v>2342590</v>
      </c>
      <c r="I3152" t="str">
        <f>IFERROR(VLOOKUP(Final!F3152,'LEAID Match'!$A$2:$B$374,2,FALSE),"")</f>
        <v/>
      </c>
      <c r="K3152" s="10">
        <f t="shared" si="49"/>
        <v>2342590</v>
      </c>
    </row>
    <row r="3153" spans="1:11">
      <c r="A3153" t="s">
        <v>2470</v>
      </c>
      <c r="B3153" s="10">
        <v>2023</v>
      </c>
      <c r="C3153" t="s">
        <v>660</v>
      </c>
      <c r="D3153" t="s">
        <v>2472</v>
      </c>
      <c r="E3153" t="s">
        <v>2474</v>
      </c>
      <c r="F3153" t="s">
        <v>605</v>
      </c>
      <c r="G3153" t="s">
        <v>605</v>
      </c>
      <c r="H3153" s="10">
        <v>2523645</v>
      </c>
      <c r="I3153" t="str">
        <f>IFERROR(VLOOKUP(Final!F3153,'LEAID Match'!$A$2:$B$374,2,FALSE),"")</f>
        <v/>
      </c>
      <c r="K3153" s="10">
        <f t="shared" si="49"/>
        <v>2523645</v>
      </c>
    </row>
    <row r="3154" spans="1:11">
      <c r="A3154" t="s">
        <v>2470</v>
      </c>
      <c r="B3154" s="10">
        <v>2015</v>
      </c>
      <c r="C3154" t="s">
        <v>670</v>
      </c>
      <c r="D3154" t="s">
        <v>2472</v>
      </c>
      <c r="E3154" t="s">
        <v>2474</v>
      </c>
      <c r="F3154" t="s">
        <v>615</v>
      </c>
      <c r="G3154" t="s">
        <v>615</v>
      </c>
      <c r="H3154" s="10">
        <v>666721</v>
      </c>
      <c r="I3154" t="str">
        <f>IFERROR(VLOOKUP(Final!F3154,'LEAID Match'!$A$2:$B$374,2,FALSE),"")</f>
        <v/>
      </c>
      <c r="K3154" s="10">
        <f t="shared" si="49"/>
        <v>666721</v>
      </c>
    </row>
    <row r="3155" spans="1:11">
      <c r="A3155" t="s">
        <v>2470</v>
      </c>
      <c r="B3155" s="10">
        <v>2016</v>
      </c>
      <c r="C3155" t="s">
        <v>670</v>
      </c>
      <c r="D3155" t="s">
        <v>2472</v>
      </c>
      <c r="E3155" t="s">
        <v>2474</v>
      </c>
      <c r="F3155" t="s">
        <v>615</v>
      </c>
      <c r="G3155" t="s">
        <v>615</v>
      </c>
      <c r="H3155" s="10">
        <v>668909</v>
      </c>
      <c r="I3155" t="str">
        <f>IFERROR(VLOOKUP(Final!F3155,'LEAID Match'!$A$2:$B$374,2,FALSE),"")</f>
        <v/>
      </c>
      <c r="K3155" s="10">
        <f t="shared" si="49"/>
        <v>668909</v>
      </c>
    </row>
    <row r="3156" spans="1:11">
      <c r="A3156" t="s">
        <v>2470</v>
      </c>
      <c r="B3156" s="10">
        <v>2017</v>
      </c>
      <c r="C3156" t="s">
        <v>670</v>
      </c>
      <c r="D3156" t="s">
        <v>2472</v>
      </c>
      <c r="E3156" t="s">
        <v>2474</v>
      </c>
      <c r="F3156" t="s">
        <v>615</v>
      </c>
      <c r="G3156" t="s">
        <v>615</v>
      </c>
      <c r="H3156" s="10">
        <v>657941</v>
      </c>
      <c r="I3156" t="str">
        <f>IFERROR(VLOOKUP(Final!F3156,'LEAID Match'!$A$2:$B$374,2,FALSE),"")</f>
        <v/>
      </c>
      <c r="K3156" s="10">
        <f t="shared" si="49"/>
        <v>657941</v>
      </c>
    </row>
    <row r="3157" spans="1:11">
      <c r="A3157" t="s">
        <v>2470</v>
      </c>
      <c r="B3157" s="10">
        <v>2018</v>
      </c>
      <c r="C3157" t="s">
        <v>670</v>
      </c>
      <c r="D3157" t="s">
        <v>2472</v>
      </c>
      <c r="E3157" t="s">
        <v>2474</v>
      </c>
      <c r="F3157" t="s">
        <v>615</v>
      </c>
      <c r="G3157" t="s">
        <v>615</v>
      </c>
      <c r="H3157" s="10">
        <v>655399</v>
      </c>
      <c r="I3157" t="str">
        <f>IFERROR(VLOOKUP(Final!F3157,'LEAID Match'!$A$2:$B$374,2,FALSE),"")</f>
        <v/>
      </c>
      <c r="K3157" s="10">
        <f t="shared" si="49"/>
        <v>655399</v>
      </c>
    </row>
    <row r="3158" spans="1:11">
      <c r="A3158" t="s">
        <v>2470</v>
      </c>
      <c r="B3158" s="10">
        <v>2019</v>
      </c>
      <c r="C3158" t="s">
        <v>670</v>
      </c>
      <c r="D3158" t="s">
        <v>2472</v>
      </c>
      <c r="E3158" t="s">
        <v>2474</v>
      </c>
      <c r="F3158" t="s">
        <v>615</v>
      </c>
      <c r="G3158" t="s">
        <v>615</v>
      </c>
      <c r="H3158" s="10">
        <v>676932</v>
      </c>
      <c r="I3158" t="str">
        <f>IFERROR(VLOOKUP(Final!F3158,'LEAID Match'!$A$2:$B$374,2,FALSE),"")</f>
        <v/>
      </c>
      <c r="K3158" s="10">
        <f t="shared" si="49"/>
        <v>676932</v>
      </c>
    </row>
    <row r="3159" spans="1:11">
      <c r="A3159" t="s">
        <v>2470</v>
      </c>
      <c r="B3159" s="10">
        <v>2020</v>
      </c>
      <c r="C3159" t="s">
        <v>670</v>
      </c>
      <c r="D3159" t="s">
        <v>2472</v>
      </c>
      <c r="E3159" t="s">
        <v>2474</v>
      </c>
      <c r="F3159" t="s">
        <v>615</v>
      </c>
      <c r="G3159" t="s">
        <v>615</v>
      </c>
      <c r="H3159" s="10">
        <v>708195</v>
      </c>
      <c r="I3159" t="str">
        <f>IFERROR(VLOOKUP(Final!F3159,'LEAID Match'!$A$2:$B$374,2,FALSE),"")</f>
        <v/>
      </c>
      <c r="K3159" s="10">
        <f t="shared" si="49"/>
        <v>708195</v>
      </c>
    </row>
    <row r="3160" spans="1:11">
      <c r="A3160" t="s">
        <v>2470</v>
      </c>
      <c r="B3160" s="10">
        <v>2021</v>
      </c>
      <c r="C3160" t="s">
        <v>670</v>
      </c>
      <c r="D3160" t="s">
        <v>2472</v>
      </c>
      <c r="E3160" t="s">
        <v>2474</v>
      </c>
      <c r="F3160" t="s">
        <v>615</v>
      </c>
      <c r="G3160" t="s">
        <v>615</v>
      </c>
      <c r="H3160" s="10">
        <v>771361</v>
      </c>
      <c r="I3160" t="str">
        <f>IFERROR(VLOOKUP(Final!F3160,'LEAID Match'!$A$2:$B$374,2,FALSE),"")</f>
        <v/>
      </c>
      <c r="K3160" s="10">
        <f t="shared" si="49"/>
        <v>771361</v>
      </c>
    </row>
    <row r="3161" spans="1:11">
      <c r="A3161" t="s">
        <v>2470</v>
      </c>
      <c r="B3161" s="10">
        <v>2022</v>
      </c>
      <c r="C3161" t="s">
        <v>670</v>
      </c>
      <c r="D3161" t="s">
        <v>2472</v>
      </c>
      <c r="E3161" t="s">
        <v>2474</v>
      </c>
      <c r="F3161" t="s">
        <v>615</v>
      </c>
      <c r="G3161" t="s">
        <v>615</v>
      </c>
      <c r="H3161" s="10">
        <v>904935</v>
      </c>
      <c r="I3161" t="str">
        <f>IFERROR(VLOOKUP(Final!F3161,'LEAID Match'!$A$2:$B$374,2,FALSE),"")</f>
        <v/>
      </c>
      <c r="K3161" s="10">
        <f t="shared" si="49"/>
        <v>904935</v>
      </c>
    </row>
    <row r="3162" spans="1:11">
      <c r="A3162" t="s">
        <v>2470</v>
      </c>
      <c r="B3162" s="10">
        <v>2023</v>
      </c>
      <c r="C3162" t="s">
        <v>670</v>
      </c>
      <c r="D3162" t="s">
        <v>2472</v>
      </c>
      <c r="E3162" t="s">
        <v>2474</v>
      </c>
      <c r="F3162" t="s">
        <v>615</v>
      </c>
      <c r="G3162" t="s">
        <v>615</v>
      </c>
      <c r="H3162" s="10">
        <v>978227</v>
      </c>
      <c r="I3162" t="str">
        <f>IFERROR(VLOOKUP(Final!F3162,'LEAID Match'!$A$2:$B$374,2,FALSE),"")</f>
        <v/>
      </c>
      <c r="K3162" s="10">
        <f t="shared" si="49"/>
        <v>978227</v>
      </c>
    </row>
    <row r="3163" spans="1:11">
      <c r="A3163" t="s">
        <v>2470</v>
      </c>
      <c r="B3163" s="10">
        <v>2015</v>
      </c>
      <c r="C3163" t="s">
        <v>675</v>
      </c>
      <c r="D3163" t="s">
        <v>2472</v>
      </c>
      <c r="E3163" t="s">
        <v>2474</v>
      </c>
      <c r="F3163" t="s">
        <v>620</v>
      </c>
      <c r="G3163" t="s">
        <v>620</v>
      </c>
      <c r="H3163" s="10">
        <v>531579</v>
      </c>
      <c r="I3163" t="str">
        <f>IFERROR(VLOOKUP(Final!F3163,'LEAID Match'!$A$2:$B$374,2,FALSE),"")</f>
        <v/>
      </c>
      <c r="K3163" s="10">
        <f t="shared" si="49"/>
        <v>531579</v>
      </c>
    </row>
    <row r="3164" spans="1:11">
      <c r="A3164" t="s">
        <v>2470</v>
      </c>
      <c r="B3164" s="10">
        <v>2016</v>
      </c>
      <c r="C3164" t="s">
        <v>675</v>
      </c>
      <c r="D3164" t="s">
        <v>2472</v>
      </c>
      <c r="E3164" t="s">
        <v>2474</v>
      </c>
      <c r="F3164" t="s">
        <v>620</v>
      </c>
      <c r="G3164" t="s">
        <v>620</v>
      </c>
      <c r="H3164" s="10">
        <v>561701</v>
      </c>
      <c r="I3164" t="str">
        <f>IFERROR(VLOOKUP(Final!F3164,'LEAID Match'!$A$2:$B$374,2,FALSE),"")</f>
        <v/>
      </c>
      <c r="K3164" s="10">
        <f t="shared" si="49"/>
        <v>561701</v>
      </c>
    </row>
    <row r="3165" spans="1:11">
      <c r="A3165" t="s">
        <v>2470</v>
      </c>
      <c r="B3165" s="10">
        <v>2017</v>
      </c>
      <c r="C3165" t="s">
        <v>675</v>
      </c>
      <c r="D3165" t="s">
        <v>2472</v>
      </c>
      <c r="E3165" t="s">
        <v>2474</v>
      </c>
      <c r="F3165" t="s">
        <v>620</v>
      </c>
      <c r="G3165" t="s">
        <v>620</v>
      </c>
      <c r="H3165" s="10">
        <v>594439</v>
      </c>
      <c r="I3165" t="str">
        <f>IFERROR(VLOOKUP(Final!F3165,'LEAID Match'!$A$2:$B$374,2,FALSE),"")</f>
        <v/>
      </c>
      <c r="K3165" s="10">
        <f t="shared" si="49"/>
        <v>594439</v>
      </c>
    </row>
    <row r="3166" spans="1:11">
      <c r="A3166" t="s">
        <v>2470</v>
      </c>
      <c r="B3166" s="10">
        <v>2018</v>
      </c>
      <c r="C3166" t="s">
        <v>675</v>
      </c>
      <c r="D3166" t="s">
        <v>2472</v>
      </c>
      <c r="E3166" t="s">
        <v>2474</v>
      </c>
      <c r="F3166" t="s">
        <v>620</v>
      </c>
      <c r="G3166" t="s">
        <v>620</v>
      </c>
      <c r="H3166" s="10">
        <v>630473</v>
      </c>
      <c r="I3166" t="str">
        <f>IFERROR(VLOOKUP(Final!F3166,'LEAID Match'!$A$2:$B$374,2,FALSE),"")</f>
        <v/>
      </c>
      <c r="K3166" s="10">
        <f t="shared" si="49"/>
        <v>630473</v>
      </c>
    </row>
    <row r="3167" spans="1:11">
      <c r="A3167" t="s">
        <v>2470</v>
      </c>
      <c r="B3167" s="10">
        <v>2019</v>
      </c>
      <c r="C3167" t="s">
        <v>675</v>
      </c>
      <c r="D3167" t="s">
        <v>2472</v>
      </c>
      <c r="E3167" t="s">
        <v>2474</v>
      </c>
      <c r="F3167" t="s">
        <v>620</v>
      </c>
      <c r="G3167" t="s">
        <v>620</v>
      </c>
      <c r="H3167" s="10">
        <v>641376</v>
      </c>
      <c r="I3167" t="str">
        <f>IFERROR(VLOOKUP(Final!F3167,'LEAID Match'!$A$2:$B$374,2,FALSE),"")</f>
        <v/>
      </c>
      <c r="K3167" s="10">
        <f t="shared" si="49"/>
        <v>641376</v>
      </c>
    </row>
    <row r="3168" spans="1:11">
      <c r="A3168" t="s">
        <v>2470</v>
      </c>
      <c r="B3168" s="10">
        <v>2020</v>
      </c>
      <c r="C3168" t="s">
        <v>675</v>
      </c>
      <c r="D3168" t="s">
        <v>2472</v>
      </c>
      <c r="E3168" t="s">
        <v>2474</v>
      </c>
      <c r="F3168" t="s">
        <v>620</v>
      </c>
      <c r="G3168" t="s">
        <v>620</v>
      </c>
      <c r="H3168" s="10">
        <v>690126</v>
      </c>
      <c r="I3168" t="str">
        <f>IFERROR(VLOOKUP(Final!F3168,'LEAID Match'!$A$2:$B$374,2,FALSE),"")</f>
        <v/>
      </c>
      <c r="K3168" s="10">
        <f t="shared" si="49"/>
        <v>690126</v>
      </c>
    </row>
    <row r="3169" spans="1:11">
      <c r="A3169" t="s">
        <v>2470</v>
      </c>
      <c r="B3169" s="10">
        <v>2021</v>
      </c>
      <c r="C3169" t="s">
        <v>675</v>
      </c>
      <c r="D3169" t="s">
        <v>2472</v>
      </c>
      <c r="E3169" t="s">
        <v>2474</v>
      </c>
      <c r="F3169" t="s">
        <v>620</v>
      </c>
      <c r="G3169" t="s">
        <v>620</v>
      </c>
      <c r="H3169" s="10">
        <v>678525</v>
      </c>
      <c r="I3169" t="str">
        <f>IFERROR(VLOOKUP(Final!F3169,'LEAID Match'!$A$2:$B$374,2,FALSE),"")</f>
        <v/>
      </c>
      <c r="K3169" s="10">
        <f t="shared" si="49"/>
        <v>678525</v>
      </c>
    </row>
    <row r="3170" spans="1:11">
      <c r="A3170" t="s">
        <v>2470</v>
      </c>
      <c r="B3170" s="10">
        <v>2022</v>
      </c>
      <c r="C3170" t="s">
        <v>675</v>
      </c>
      <c r="D3170" t="s">
        <v>2472</v>
      </c>
      <c r="E3170" t="s">
        <v>2474</v>
      </c>
      <c r="F3170" t="s">
        <v>620</v>
      </c>
      <c r="G3170" t="s">
        <v>620</v>
      </c>
      <c r="H3170" s="10">
        <v>771521</v>
      </c>
      <c r="I3170" t="str">
        <f>IFERROR(VLOOKUP(Final!F3170,'LEAID Match'!$A$2:$B$374,2,FALSE),"")</f>
        <v/>
      </c>
      <c r="K3170" s="10">
        <f t="shared" si="49"/>
        <v>771521</v>
      </c>
    </row>
    <row r="3171" spans="1:11">
      <c r="A3171" t="s">
        <v>2470</v>
      </c>
      <c r="B3171" s="10">
        <v>2023</v>
      </c>
      <c r="C3171" t="s">
        <v>675</v>
      </c>
      <c r="D3171" t="s">
        <v>2472</v>
      </c>
      <c r="E3171" t="s">
        <v>2474</v>
      </c>
      <c r="F3171" t="s">
        <v>620</v>
      </c>
      <c r="G3171" t="s">
        <v>620</v>
      </c>
      <c r="H3171" s="10">
        <v>764883</v>
      </c>
      <c r="I3171" t="str">
        <f>IFERROR(VLOOKUP(Final!F3171,'LEAID Match'!$A$2:$B$374,2,FALSE),"")</f>
        <v/>
      </c>
      <c r="K3171" s="10">
        <f t="shared" si="49"/>
        <v>764883</v>
      </c>
    </row>
    <row r="3172" spans="1:11">
      <c r="A3172" t="s">
        <v>2470</v>
      </c>
      <c r="B3172" s="10">
        <v>2015</v>
      </c>
      <c r="C3172" t="s">
        <v>709</v>
      </c>
      <c r="D3172" t="s">
        <v>2472</v>
      </c>
      <c r="E3172" t="s">
        <v>2474</v>
      </c>
      <c r="F3172" t="s">
        <v>654</v>
      </c>
      <c r="G3172" t="s">
        <v>654</v>
      </c>
      <c r="H3172" s="10">
        <v>946137</v>
      </c>
      <c r="I3172" t="str">
        <f>IFERROR(VLOOKUP(Final!F3172,'LEAID Match'!$A$2:$B$374,2,FALSE),"")</f>
        <v/>
      </c>
      <c r="K3172" s="10">
        <f t="shared" si="49"/>
        <v>946137</v>
      </c>
    </row>
    <row r="3173" spans="1:11">
      <c r="A3173" t="s">
        <v>2470</v>
      </c>
      <c r="B3173" s="10">
        <v>2016</v>
      </c>
      <c r="C3173" t="s">
        <v>709</v>
      </c>
      <c r="D3173" t="s">
        <v>2472</v>
      </c>
      <c r="E3173" t="s">
        <v>2474</v>
      </c>
      <c r="F3173" t="s">
        <v>654</v>
      </c>
      <c r="G3173" t="s">
        <v>654</v>
      </c>
      <c r="H3173" s="10">
        <v>975874</v>
      </c>
      <c r="I3173" t="str">
        <f>IFERROR(VLOOKUP(Final!F3173,'LEAID Match'!$A$2:$B$374,2,FALSE),"")</f>
        <v/>
      </c>
      <c r="K3173" s="10">
        <f t="shared" si="49"/>
        <v>975874</v>
      </c>
    </row>
    <row r="3174" spans="1:11">
      <c r="A3174" t="s">
        <v>2470</v>
      </c>
      <c r="B3174" s="10">
        <v>2017</v>
      </c>
      <c r="C3174" t="s">
        <v>709</v>
      </c>
      <c r="D3174" t="s">
        <v>2472</v>
      </c>
      <c r="E3174" t="s">
        <v>2474</v>
      </c>
      <c r="F3174" t="s">
        <v>654</v>
      </c>
      <c r="G3174" t="s">
        <v>654</v>
      </c>
      <c r="H3174" s="10">
        <v>856295</v>
      </c>
      <c r="I3174" t="str">
        <f>IFERROR(VLOOKUP(Final!F3174,'LEAID Match'!$A$2:$B$374,2,FALSE),"")</f>
        <v/>
      </c>
      <c r="K3174" s="10">
        <f t="shared" si="49"/>
        <v>856295</v>
      </c>
    </row>
    <row r="3175" spans="1:11">
      <c r="A3175" t="s">
        <v>2470</v>
      </c>
      <c r="B3175" s="10">
        <v>2018</v>
      </c>
      <c r="C3175" t="s">
        <v>709</v>
      </c>
      <c r="D3175" t="s">
        <v>2472</v>
      </c>
      <c r="E3175" t="s">
        <v>2474</v>
      </c>
      <c r="F3175" t="s">
        <v>654</v>
      </c>
      <c r="G3175" t="s">
        <v>654</v>
      </c>
      <c r="H3175" s="10">
        <v>737012</v>
      </c>
      <c r="I3175" t="str">
        <f>IFERROR(VLOOKUP(Final!F3175,'LEAID Match'!$A$2:$B$374,2,FALSE),"")</f>
        <v/>
      </c>
      <c r="K3175" s="10">
        <f t="shared" si="49"/>
        <v>737012</v>
      </c>
    </row>
    <row r="3176" spans="1:11">
      <c r="A3176" t="s">
        <v>2470</v>
      </c>
      <c r="B3176" s="10">
        <v>2019</v>
      </c>
      <c r="C3176" t="s">
        <v>709</v>
      </c>
      <c r="D3176" t="s">
        <v>2472</v>
      </c>
      <c r="E3176" t="s">
        <v>2474</v>
      </c>
      <c r="F3176" t="s">
        <v>654</v>
      </c>
      <c r="G3176" t="s">
        <v>654</v>
      </c>
      <c r="H3176" s="10">
        <v>798442</v>
      </c>
      <c r="I3176" t="str">
        <f>IFERROR(VLOOKUP(Final!F3176,'LEAID Match'!$A$2:$B$374,2,FALSE),"")</f>
        <v/>
      </c>
      <c r="K3176" s="10">
        <f t="shared" si="49"/>
        <v>798442</v>
      </c>
    </row>
    <row r="3177" spans="1:11">
      <c r="A3177" t="s">
        <v>2470</v>
      </c>
      <c r="B3177" s="10">
        <v>2020</v>
      </c>
      <c r="C3177" t="s">
        <v>709</v>
      </c>
      <c r="D3177" t="s">
        <v>2472</v>
      </c>
      <c r="E3177" t="s">
        <v>2474</v>
      </c>
      <c r="F3177" t="s">
        <v>654</v>
      </c>
      <c r="G3177" t="s">
        <v>654</v>
      </c>
      <c r="H3177" s="10">
        <v>873145</v>
      </c>
      <c r="I3177" t="str">
        <f>IFERROR(VLOOKUP(Final!F3177,'LEAID Match'!$A$2:$B$374,2,FALSE),"")</f>
        <v/>
      </c>
      <c r="K3177" s="10">
        <f t="shared" si="49"/>
        <v>873145</v>
      </c>
    </row>
    <row r="3178" spans="1:11">
      <c r="A3178" t="s">
        <v>2470</v>
      </c>
      <c r="B3178" s="10">
        <v>2021</v>
      </c>
      <c r="C3178" t="s">
        <v>709</v>
      </c>
      <c r="D3178" t="s">
        <v>2472</v>
      </c>
      <c r="E3178" t="s">
        <v>2474</v>
      </c>
      <c r="F3178" t="s">
        <v>654</v>
      </c>
      <c r="G3178" t="s">
        <v>654</v>
      </c>
      <c r="H3178" s="10">
        <v>952244</v>
      </c>
      <c r="I3178" t="str">
        <f>IFERROR(VLOOKUP(Final!F3178,'LEAID Match'!$A$2:$B$374,2,FALSE),"")</f>
        <v/>
      </c>
      <c r="K3178" s="10">
        <f t="shared" si="49"/>
        <v>952244</v>
      </c>
    </row>
    <row r="3179" spans="1:11">
      <c r="A3179" t="s">
        <v>2470</v>
      </c>
      <c r="B3179" s="10">
        <v>2022</v>
      </c>
      <c r="C3179" t="s">
        <v>709</v>
      </c>
      <c r="D3179" t="s">
        <v>2472</v>
      </c>
      <c r="E3179" t="s">
        <v>2474</v>
      </c>
      <c r="F3179" t="s">
        <v>654</v>
      </c>
      <c r="G3179" t="s">
        <v>654</v>
      </c>
      <c r="H3179" s="10">
        <v>908678</v>
      </c>
      <c r="I3179" t="str">
        <f>IFERROR(VLOOKUP(Final!F3179,'LEAID Match'!$A$2:$B$374,2,FALSE),"")</f>
        <v/>
      </c>
      <c r="K3179" s="10">
        <f t="shared" si="49"/>
        <v>908678</v>
      </c>
    </row>
    <row r="3180" spans="1:11">
      <c r="A3180" t="s">
        <v>2470</v>
      </c>
      <c r="B3180" s="10">
        <v>2023</v>
      </c>
      <c r="C3180" t="s">
        <v>709</v>
      </c>
      <c r="D3180" t="s">
        <v>2472</v>
      </c>
      <c r="E3180" t="s">
        <v>2474</v>
      </c>
      <c r="F3180" t="s">
        <v>654</v>
      </c>
      <c r="G3180" t="s">
        <v>654</v>
      </c>
      <c r="H3180" s="10">
        <v>991688</v>
      </c>
      <c r="I3180" t="str">
        <f>IFERROR(VLOOKUP(Final!F3180,'LEAID Match'!$A$2:$B$374,2,FALSE),"")</f>
        <v/>
      </c>
      <c r="K3180" s="10">
        <f t="shared" si="49"/>
        <v>991688</v>
      </c>
    </row>
    <row r="3181" spans="1:11">
      <c r="A3181" t="s">
        <v>2470</v>
      </c>
      <c r="B3181" s="10">
        <v>2015</v>
      </c>
      <c r="C3181" t="s">
        <v>806</v>
      </c>
      <c r="D3181" t="s">
        <v>2472</v>
      </c>
      <c r="E3181" t="s">
        <v>2474</v>
      </c>
      <c r="F3181" t="s">
        <v>751</v>
      </c>
      <c r="G3181" t="s">
        <v>751</v>
      </c>
      <c r="H3181" s="10">
        <v>3815753</v>
      </c>
      <c r="I3181" t="str">
        <f>IFERROR(VLOOKUP(Final!F3181,'LEAID Match'!$A$2:$B$374,2,FALSE),"")</f>
        <v/>
      </c>
      <c r="K3181" s="10">
        <f t="shared" si="49"/>
        <v>3815753</v>
      </c>
    </row>
    <row r="3182" spans="1:11">
      <c r="A3182" t="s">
        <v>2470</v>
      </c>
      <c r="B3182" s="10">
        <v>2016</v>
      </c>
      <c r="C3182" t="s">
        <v>806</v>
      </c>
      <c r="D3182" t="s">
        <v>2472</v>
      </c>
      <c r="E3182" t="s">
        <v>2474</v>
      </c>
      <c r="F3182" t="s">
        <v>751</v>
      </c>
      <c r="G3182" t="s">
        <v>751</v>
      </c>
      <c r="H3182" s="10">
        <v>3743545</v>
      </c>
      <c r="I3182" t="str">
        <f>IFERROR(VLOOKUP(Final!F3182,'LEAID Match'!$A$2:$B$374,2,FALSE),"")</f>
        <v/>
      </c>
      <c r="K3182" s="10">
        <f t="shared" si="49"/>
        <v>3743545</v>
      </c>
    </row>
    <row r="3183" spans="1:11">
      <c r="A3183" t="s">
        <v>2470</v>
      </c>
      <c r="B3183" s="10">
        <v>2017</v>
      </c>
      <c r="C3183" t="s">
        <v>806</v>
      </c>
      <c r="D3183" t="s">
        <v>2472</v>
      </c>
      <c r="E3183" t="s">
        <v>2474</v>
      </c>
      <c r="F3183" t="s">
        <v>751</v>
      </c>
      <c r="G3183" t="s">
        <v>751</v>
      </c>
      <c r="H3183" s="10">
        <v>3727283</v>
      </c>
      <c r="I3183" t="str">
        <f>IFERROR(VLOOKUP(Final!F3183,'LEAID Match'!$A$2:$B$374,2,FALSE),"")</f>
        <v/>
      </c>
      <c r="K3183" s="10">
        <f t="shared" si="49"/>
        <v>3727283</v>
      </c>
    </row>
    <row r="3184" spans="1:11">
      <c r="A3184" t="s">
        <v>2470</v>
      </c>
      <c r="B3184" s="10">
        <v>2018</v>
      </c>
      <c r="C3184" t="s">
        <v>806</v>
      </c>
      <c r="D3184" t="s">
        <v>2472</v>
      </c>
      <c r="E3184" t="s">
        <v>2474</v>
      </c>
      <c r="F3184" t="s">
        <v>751</v>
      </c>
      <c r="G3184" t="s">
        <v>751</v>
      </c>
      <c r="H3184" s="10">
        <v>3877116</v>
      </c>
      <c r="I3184" t="str">
        <f>IFERROR(VLOOKUP(Final!F3184,'LEAID Match'!$A$2:$B$374,2,FALSE),"")</f>
        <v/>
      </c>
      <c r="K3184" s="10">
        <f t="shared" si="49"/>
        <v>3877116</v>
      </c>
    </row>
    <row r="3185" spans="1:11">
      <c r="A3185" t="s">
        <v>2470</v>
      </c>
      <c r="B3185" s="10">
        <v>2019</v>
      </c>
      <c r="C3185" t="s">
        <v>806</v>
      </c>
      <c r="D3185" t="s">
        <v>2472</v>
      </c>
      <c r="E3185" t="s">
        <v>2474</v>
      </c>
      <c r="F3185" t="s">
        <v>751</v>
      </c>
      <c r="G3185" t="s">
        <v>751</v>
      </c>
      <c r="H3185" s="10">
        <v>4097037</v>
      </c>
      <c r="I3185" t="str">
        <f>IFERROR(VLOOKUP(Final!F3185,'LEAID Match'!$A$2:$B$374,2,FALSE),"")</f>
        <v/>
      </c>
      <c r="K3185" s="10">
        <f t="shared" si="49"/>
        <v>4097037</v>
      </c>
    </row>
    <row r="3186" spans="1:11">
      <c r="A3186" t="s">
        <v>2470</v>
      </c>
      <c r="B3186" s="10">
        <v>2020</v>
      </c>
      <c r="C3186" t="s">
        <v>806</v>
      </c>
      <c r="D3186" t="s">
        <v>2472</v>
      </c>
      <c r="E3186" t="s">
        <v>2474</v>
      </c>
      <c r="F3186" t="s">
        <v>751</v>
      </c>
      <c r="G3186" t="s">
        <v>751</v>
      </c>
      <c r="H3186" s="10">
        <v>4498333</v>
      </c>
      <c r="I3186" t="str">
        <f>IFERROR(VLOOKUP(Final!F3186,'LEAID Match'!$A$2:$B$374,2,FALSE),"")</f>
        <v/>
      </c>
      <c r="K3186" s="10">
        <f t="shared" si="49"/>
        <v>4498333</v>
      </c>
    </row>
    <row r="3187" spans="1:11">
      <c r="A3187" t="s">
        <v>2470</v>
      </c>
      <c r="B3187" s="10">
        <v>2021</v>
      </c>
      <c r="C3187" t="s">
        <v>806</v>
      </c>
      <c r="D3187" t="s">
        <v>2472</v>
      </c>
      <c r="E3187" t="s">
        <v>2474</v>
      </c>
      <c r="F3187" t="s">
        <v>751</v>
      </c>
      <c r="G3187" t="s">
        <v>751</v>
      </c>
      <c r="H3187" s="10">
        <v>4887275</v>
      </c>
      <c r="I3187" t="str">
        <f>IFERROR(VLOOKUP(Final!F3187,'LEAID Match'!$A$2:$B$374,2,FALSE),"")</f>
        <v/>
      </c>
      <c r="K3187" s="10">
        <f t="shared" si="49"/>
        <v>4887275</v>
      </c>
    </row>
    <row r="3188" spans="1:11">
      <c r="A3188" t="s">
        <v>2470</v>
      </c>
      <c r="B3188" s="10">
        <v>2022</v>
      </c>
      <c r="C3188" t="s">
        <v>806</v>
      </c>
      <c r="D3188" t="s">
        <v>2472</v>
      </c>
      <c r="E3188" t="s">
        <v>2474</v>
      </c>
      <c r="F3188" t="s">
        <v>751</v>
      </c>
      <c r="G3188" t="s">
        <v>751</v>
      </c>
      <c r="H3188" s="10">
        <v>5316823</v>
      </c>
      <c r="I3188" t="str">
        <f>IFERROR(VLOOKUP(Final!F3188,'LEAID Match'!$A$2:$B$374,2,FALSE),"")</f>
        <v/>
      </c>
      <c r="K3188" s="10">
        <f t="shared" si="49"/>
        <v>5316823</v>
      </c>
    </row>
    <row r="3189" spans="1:11">
      <c r="A3189" t="s">
        <v>2470</v>
      </c>
      <c r="B3189" s="10">
        <v>2023</v>
      </c>
      <c r="C3189" t="s">
        <v>806</v>
      </c>
      <c r="D3189" t="s">
        <v>2472</v>
      </c>
      <c r="E3189" t="s">
        <v>2474</v>
      </c>
      <c r="F3189" t="s">
        <v>751</v>
      </c>
      <c r="G3189" t="s">
        <v>751</v>
      </c>
      <c r="H3189" s="10">
        <v>6054463</v>
      </c>
      <c r="I3189" t="str">
        <f>IFERROR(VLOOKUP(Final!F3189,'LEAID Match'!$A$2:$B$374,2,FALSE),"")</f>
        <v/>
      </c>
      <c r="K3189" s="10">
        <f t="shared" si="49"/>
        <v>6054463</v>
      </c>
    </row>
    <row r="3190" spans="1:11">
      <c r="A3190" t="s">
        <v>2470</v>
      </c>
      <c r="B3190" s="10">
        <v>2015</v>
      </c>
      <c r="C3190" t="s">
        <v>884</v>
      </c>
      <c r="D3190" t="s">
        <v>2472</v>
      </c>
      <c r="E3190" t="s">
        <v>2474</v>
      </c>
      <c r="F3190" t="s">
        <v>829</v>
      </c>
      <c r="G3190" t="s">
        <v>829</v>
      </c>
      <c r="H3190" s="10">
        <v>1926909</v>
      </c>
      <c r="I3190" t="str">
        <f>IFERROR(VLOOKUP(Final!F3190,'LEAID Match'!$A$2:$B$374,2,FALSE),"")</f>
        <v/>
      </c>
      <c r="K3190" s="10">
        <f t="shared" si="49"/>
        <v>1926909</v>
      </c>
    </row>
    <row r="3191" spans="1:11">
      <c r="A3191" t="s">
        <v>2470</v>
      </c>
      <c r="B3191" s="10">
        <v>2016</v>
      </c>
      <c r="C3191" t="s">
        <v>884</v>
      </c>
      <c r="D3191" t="s">
        <v>2472</v>
      </c>
      <c r="E3191" t="s">
        <v>2474</v>
      </c>
      <c r="F3191" t="s">
        <v>829</v>
      </c>
      <c r="G3191" t="s">
        <v>829</v>
      </c>
      <c r="H3191" s="10">
        <v>1936144</v>
      </c>
      <c r="I3191" t="str">
        <f>IFERROR(VLOOKUP(Final!F3191,'LEAID Match'!$A$2:$B$374,2,FALSE),"")</f>
        <v/>
      </c>
      <c r="K3191" s="10">
        <f t="shared" si="49"/>
        <v>1936144</v>
      </c>
    </row>
    <row r="3192" spans="1:11">
      <c r="A3192" t="s">
        <v>2470</v>
      </c>
      <c r="B3192" s="10">
        <v>2017</v>
      </c>
      <c r="C3192" t="s">
        <v>884</v>
      </c>
      <c r="D3192" t="s">
        <v>2472</v>
      </c>
      <c r="E3192" t="s">
        <v>2474</v>
      </c>
      <c r="F3192" t="s">
        <v>829</v>
      </c>
      <c r="G3192" t="s">
        <v>829</v>
      </c>
      <c r="H3192" s="10">
        <v>1969320</v>
      </c>
      <c r="I3192" t="str">
        <f>IFERROR(VLOOKUP(Final!F3192,'LEAID Match'!$A$2:$B$374,2,FALSE),"")</f>
        <v/>
      </c>
      <c r="K3192" s="10">
        <f t="shared" si="49"/>
        <v>1969320</v>
      </c>
    </row>
    <row r="3193" spans="1:11">
      <c r="A3193" t="s">
        <v>2470</v>
      </c>
      <c r="B3193" s="10">
        <v>2018</v>
      </c>
      <c r="C3193" t="s">
        <v>884</v>
      </c>
      <c r="D3193" t="s">
        <v>2472</v>
      </c>
      <c r="E3193" t="s">
        <v>2474</v>
      </c>
      <c r="F3193" t="s">
        <v>829</v>
      </c>
      <c r="G3193" t="s">
        <v>829</v>
      </c>
      <c r="H3193" s="10">
        <v>1893735</v>
      </c>
      <c r="I3193" t="str">
        <f>IFERROR(VLOOKUP(Final!F3193,'LEAID Match'!$A$2:$B$374,2,FALSE),"")</f>
        <v/>
      </c>
      <c r="K3193" s="10">
        <f t="shared" si="49"/>
        <v>1893735</v>
      </c>
    </row>
    <row r="3194" spans="1:11">
      <c r="A3194" t="s">
        <v>2470</v>
      </c>
      <c r="B3194" s="10">
        <v>2019</v>
      </c>
      <c r="C3194" t="s">
        <v>884</v>
      </c>
      <c r="D3194" t="s">
        <v>2472</v>
      </c>
      <c r="E3194" t="s">
        <v>2474</v>
      </c>
      <c r="F3194" t="s">
        <v>829</v>
      </c>
      <c r="G3194" t="s">
        <v>829</v>
      </c>
      <c r="H3194" s="10">
        <v>1914452</v>
      </c>
      <c r="I3194" t="str">
        <f>IFERROR(VLOOKUP(Final!F3194,'LEAID Match'!$A$2:$B$374,2,FALSE),"")</f>
        <v/>
      </c>
      <c r="K3194" s="10">
        <f t="shared" si="49"/>
        <v>1914452</v>
      </c>
    </row>
    <row r="3195" spans="1:11">
      <c r="A3195" t="s">
        <v>2470</v>
      </c>
      <c r="B3195" s="10">
        <v>2020</v>
      </c>
      <c r="C3195" t="s">
        <v>884</v>
      </c>
      <c r="D3195" t="s">
        <v>2472</v>
      </c>
      <c r="E3195" t="s">
        <v>2474</v>
      </c>
      <c r="F3195" t="s">
        <v>829</v>
      </c>
      <c r="G3195" t="s">
        <v>829</v>
      </c>
      <c r="H3195" s="10">
        <v>1999928</v>
      </c>
      <c r="I3195" t="str">
        <f>IFERROR(VLOOKUP(Final!F3195,'LEAID Match'!$A$2:$B$374,2,FALSE),"")</f>
        <v/>
      </c>
      <c r="K3195" s="10">
        <f t="shared" si="49"/>
        <v>1999928</v>
      </c>
    </row>
    <row r="3196" spans="1:11">
      <c r="A3196" t="s">
        <v>2470</v>
      </c>
      <c r="B3196" s="10">
        <v>2021</v>
      </c>
      <c r="C3196" t="s">
        <v>884</v>
      </c>
      <c r="D3196" t="s">
        <v>2472</v>
      </c>
      <c r="E3196" t="s">
        <v>2474</v>
      </c>
      <c r="F3196" t="s">
        <v>829</v>
      </c>
      <c r="G3196" t="s">
        <v>829</v>
      </c>
      <c r="H3196" s="10">
        <v>2252771</v>
      </c>
      <c r="I3196" t="str">
        <f>IFERROR(VLOOKUP(Final!F3196,'LEAID Match'!$A$2:$B$374,2,FALSE),"")</f>
        <v/>
      </c>
      <c r="K3196" s="10">
        <f t="shared" si="49"/>
        <v>2252771</v>
      </c>
    </row>
    <row r="3197" spans="1:11">
      <c r="A3197" t="s">
        <v>2470</v>
      </c>
      <c r="B3197" s="10">
        <v>2022</v>
      </c>
      <c r="C3197" t="s">
        <v>884</v>
      </c>
      <c r="D3197" t="s">
        <v>2472</v>
      </c>
      <c r="E3197" t="s">
        <v>2474</v>
      </c>
      <c r="F3197" t="s">
        <v>829</v>
      </c>
      <c r="G3197" t="s">
        <v>829</v>
      </c>
      <c r="H3197" s="10">
        <v>2428108</v>
      </c>
      <c r="I3197" t="str">
        <f>IFERROR(VLOOKUP(Final!F3197,'LEAID Match'!$A$2:$B$374,2,FALSE),"")</f>
        <v/>
      </c>
      <c r="K3197" s="10">
        <f t="shared" si="49"/>
        <v>2428108</v>
      </c>
    </row>
    <row r="3198" spans="1:11">
      <c r="A3198" t="s">
        <v>2470</v>
      </c>
      <c r="B3198" s="10">
        <v>2023</v>
      </c>
      <c r="C3198" t="s">
        <v>884</v>
      </c>
      <c r="D3198" t="s">
        <v>2472</v>
      </c>
      <c r="E3198" t="s">
        <v>2474</v>
      </c>
      <c r="F3198" t="s">
        <v>829</v>
      </c>
      <c r="G3198" t="s">
        <v>829</v>
      </c>
      <c r="H3198" s="10">
        <v>2693458</v>
      </c>
      <c r="I3198" t="str">
        <f>IFERROR(VLOOKUP(Final!F3198,'LEAID Match'!$A$2:$B$374,2,FALSE),"")</f>
        <v/>
      </c>
      <c r="K3198" s="10">
        <f t="shared" si="49"/>
        <v>2693458</v>
      </c>
    </row>
    <row r="3199" spans="1:11">
      <c r="A3199" t="s">
        <v>2470</v>
      </c>
      <c r="B3199" s="10">
        <v>2015</v>
      </c>
      <c r="C3199" t="s">
        <v>1108</v>
      </c>
      <c r="D3199" t="s">
        <v>2472</v>
      </c>
      <c r="E3199" t="s">
        <v>2474</v>
      </c>
      <c r="F3199" t="s">
        <v>1053</v>
      </c>
      <c r="G3199" t="s">
        <v>1053</v>
      </c>
      <c r="H3199" s="10">
        <v>1003205</v>
      </c>
      <c r="I3199" t="str">
        <f>IFERROR(VLOOKUP(Final!F3199,'LEAID Match'!$A$2:$B$374,2,FALSE),"")</f>
        <v/>
      </c>
      <c r="K3199" s="10">
        <f t="shared" si="49"/>
        <v>1003205</v>
      </c>
    </row>
    <row r="3200" spans="1:11">
      <c r="A3200" t="s">
        <v>2470</v>
      </c>
      <c r="B3200" s="10">
        <v>2016</v>
      </c>
      <c r="C3200" t="s">
        <v>1108</v>
      </c>
      <c r="D3200" t="s">
        <v>2472</v>
      </c>
      <c r="E3200" t="s">
        <v>2474</v>
      </c>
      <c r="F3200" t="s">
        <v>1053</v>
      </c>
      <c r="G3200" t="s">
        <v>1053</v>
      </c>
      <c r="H3200" s="10">
        <v>1016197</v>
      </c>
      <c r="I3200" t="str">
        <f>IFERROR(VLOOKUP(Final!F3200,'LEAID Match'!$A$2:$B$374,2,FALSE),"")</f>
        <v/>
      </c>
      <c r="K3200" s="10">
        <f t="shared" si="49"/>
        <v>1016197</v>
      </c>
    </row>
    <row r="3201" spans="1:11">
      <c r="A3201" t="s">
        <v>2470</v>
      </c>
      <c r="B3201" s="10">
        <v>2017</v>
      </c>
      <c r="C3201" t="s">
        <v>1108</v>
      </c>
      <c r="D3201" t="s">
        <v>2472</v>
      </c>
      <c r="E3201" t="s">
        <v>2474</v>
      </c>
      <c r="F3201" t="s">
        <v>1053</v>
      </c>
      <c r="G3201" t="s">
        <v>1053</v>
      </c>
      <c r="H3201" s="10">
        <v>1082862</v>
      </c>
      <c r="I3201" t="str">
        <f>IFERROR(VLOOKUP(Final!F3201,'LEAID Match'!$A$2:$B$374,2,FALSE),"")</f>
        <v/>
      </c>
      <c r="K3201" s="10">
        <f t="shared" si="49"/>
        <v>1082862</v>
      </c>
    </row>
    <row r="3202" spans="1:11">
      <c r="A3202" t="s">
        <v>2470</v>
      </c>
      <c r="B3202" s="10">
        <v>2018</v>
      </c>
      <c r="C3202" t="s">
        <v>1108</v>
      </c>
      <c r="D3202" t="s">
        <v>2472</v>
      </c>
      <c r="E3202" t="s">
        <v>2474</v>
      </c>
      <c r="F3202" t="s">
        <v>1053</v>
      </c>
      <c r="G3202" t="s">
        <v>1053</v>
      </c>
      <c r="H3202" s="10">
        <v>1073247</v>
      </c>
      <c r="I3202" t="str">
        <f>IFERROR(VLOOKUP(Final!F3202,'LEAID Match'!$A$2:$B$374,2,FALSE),"")</f>
        <v/>
      </c>
      <c r="K3202" s="10">
        <f t="shared" si="49"/>
        <v>1073247</v>
      </c>
    </row>
    <row r="3203" spans="1:11">
      <c r="A3203" t="s">
        <v>2470</v>
      </c>
      <c r="B3203" s="10">
        <v>2019</v>
      </c>
      <c r="C3203" t="s">
        <v>1108</v>
      </c>
      <c r="D3203" t="s">
        <v>2472</v>
      </c>
      <c r="E3203" t="s">
        <v>2474</v>
      </c>
      <c r="F3203" t="s">
        <v>1053</v>
      </c>
      <c r="G3203" t="s">
        <v>1053</v>
      </c>
      <c r="H3203" s="10">
        <v>1098187</v>
      </c>
      <c r="I3203" t="str">
        <f>IFERROR(VLOOKUP(Final!F3203,'LEAID Match'!$A$2:$B$374,2,FALSE),"")</f>
        <v/>
      </c>
      <c r="K3203" s="10">
        <f t="shared" ref="K3203:K3266" si="50">SUM(H3203,J3203)</f>
        <v>1098187</v>
      </c>
    </row>
    <row r="3204" spans="1:11">
      <c r="A3204" t="s">
        <v>2470</v>
      </c>
      <c r="B3204" s="10">
        <v>2020</v>
      </c>
      <c r="C3204" t="s">
        <v>1108</v>
      </c>
      <c r="D3204" t="s">
        <v>2472</v>
      </c>
      <c r="E3204" t="s">
        <v>2474</v>
      </c>
      <c r="F3204" t="s">
        <v>1053</v>
      </c>
      <c r="G3204" t="s">
        <v>1053</v>
      </c>
      <c r="H3204" s="10">
        <v>1138836</v>
      </c>
      <c r="I3204" t="str">
        <f>IFERROR(VLOOKUP(Final!F3204,'LEAID Match'!$A$2:$B$374,2,FALSE),"")</f>
        <v/>
      </c>
      <c r="K3204" s="10">
        <f t="shared" si="50"/>
        <v>1138836</v>
      </c>
    </row>
    <row r="3205" spans="1:11">
      <c r="A3205" t="s">
        <v>2470</v>
      </c>
      <c r="B3205" s="10">
        <v>2021</v>
      </c>
      <c r="C3205" t="s">
        <v>1108</v>
      </c>
      <c r="D3205" t="s">
        <v>2472</v>
      </c>
      <c r="E3205" t="s">
        <v>2474</v>
      </c>
      <c r="F3205" t="s">
        <v>1053</v>
      </c>
      <c r="G3205" t="s">
        <v>1053</v>
      </c>
      <c r="H3205" s="10">
        <v>1147204</v>
      </c>
      <c r="I3205" t="str">
        <f>IFERROR(VLOOKUP(Final!F3205,'LEAID Match'!$A$2:$B$374,2,FALSE),"")</f>
        <v/>
      </c>
      <c r="K3205" s="10">
        <f t="shared" si="50"/>
        <v>1147204</v>
      </c>
    </row>
    <row r="3206" spans="1:11">
      <c r="A3206" t="s">
        <v>2470</v>
      </c>
      <c r="B3206" s="10">
        <v>2022</v>
      </c>
      <c r="C3206" t="s">
        <v>1108</v>
      </c>
      <c r="D3206" t="s">
        <v>2472</v>
      </c>
      <c r="E3206" t="s">
        <v>2474</v>
      </c>
      <c r="F3206" t="s">
        <v>1053</v>
      </c>
      <c r="G3206" t="s">
        <v>1053</v>
      </c>
      <c r="H3206" s="10">
        <v>1281586</v>
      </c>
      <c r="I3206" t="str">
        <f>IFERROR(VLOOKUP(Final!F3206,'LEAID Match'!$A$2:$B$374,2,FALSE),"")</f>
        <v/>
      </c>
      <c r="K3206" s="10">
        <f t="shared" si="50"/>
        <v>1281586</v>
      </c>
    </row>
    <row r="3207" spans="1:11">
      <c r="A3207" t="s">
        <v>2470</v>
      </c>
      <c r="B3207" s="10">
        <v>2023</v>
      </c>
      <c r="C3207" t="s">
        <v>1108</v>
      </c>
      <c r="D3207" t="s">
        <v>2472</v>
      </c>
      <c r="E3207" t="s">
        <v>2474</v>
      </c>
      <c r="F3207" t="s">
        <v>1053</v>
      </c>
      <c r="G3207" t="s">
        <v>1053</v>
      </c>
      <c r="H3207" s="10">
        <v>1392130</v>
      </c>
      <c r="I3207" t="str">
        <f>IFERROR(VLOOKUP(Final!F3207,'LEAID Match'!$A$2:$B$374,2,FALSE),"")</f>
        <v/>
      </c>
      <c r="K3207" s="10">
        <f t="shared" si="50"/>
        <v>1392130</v>
      </c>
    </row>
    <row r="3208" spans="1:11">
      <c r="A3208" t="s">
        <v>2470</v>
      </c>
      <c r="B3208" s="10">
        <v>2015</v>
      </c>
      <c r="C3208" t="s">
        <v>1347</v>
      </c>
      <c r="D3208" t="s">
        <v>2472</v>
      </c>
      <c r="E3208" t="s">
        <v>2474</v>
      </c>
      <c r="F3208" t="s">
        <v>1299</v>
      </c>
      <c r="G3208" t="s">
        <v>1299</v>
      </c>
      <c r="H3208" s="10">
        <v>5134831</v>
      </c>
      <c r="I3208" t="str">
        <f>IFERROR(VLOOKUP(Final!F3208,'LEAID Match'!$A$2:$B$374,2,FALSE),"")</f>
        <v/>
      </c>
      <c r="K3208" s="10">
        <f t="shared" si="50"/>
        <v>5134831</v>
      </c>
    </row>
    <row r="3209" spans="1:11">
      <c r="A3209" t="s">
        <v>2470</v>
      </c>
      <c r="B3209" s="10">
        <v>2016</v>
      </c>
      <c r="C3209" t="s">
        <v>1347</v>
      </c>
      <c r="D3209" t="s">
        <v>2472</v>
      </c>
      <c r="E3209" t="s">
        <v>2474</v>
      </c>
      <c r="F3209" t="s">
        <v>1299</v>
      </c>
      <c r="G3209" t="s">
        <v>1299</v>
      </c>
      <c r="H3209" s="10">
        <v>5260456</v>
      </c>
      <c r="I3209" t="str">
        <f>IFERROR(VLOOKUP(Final!F3209,'LEAID Match'!$A$2:$B$374,2,FALSE),"")</f>
        <v/>
      </c>
      <c r="K3209" s="10">
        <f t="shared" si="50"/>
        <v>5260456</v>
      </c>
    </row>
    <row r="3210" spans="1:11">
      <c r="A3210" t="s">
        <v>2470</v>
      </c>
      <c r="B3210" s="10">
        <v>2017</v>
      </c>
      <c r="C3210" t="s">
        <v>1347</v>
      </c>
      <c r="D3210" t="s">
        <v>2472</v>
      </c>
      <c r="E3210" t="s">
        <v>2474</v>
      </c>
      <c r="F3210" t="s">
        <v>1299</v>
      </c>
      <c r="G3210" t="s">
        <v>1299</v>
      </c>
      <c r="H3210" s="10">
        <v>5436322</v>
      </c>
      <c r="I3210" t="str">
        <f>IFERROR(VLOOKUP(Final!F3210,'LEAID Match'!$A$2:$B$374,2,FALSE),"")</f>
        <v/>
      </c>
      <c r="K3210" s="10">
        <f t="shared" si="50"/>
        <v>5436322</v>
      </c>
    </row>
    <row r="3211" spans="1:11">
      <c r="A3211" t="s">
        <v>2470</v>
      </c>
      <c r="B3211" s="10">
        <v>2018</v>
      </c>
      <c r="C3211" t="s">
        <v>1347</v>
      </c>
      <c r="D3211" t="s">
        <v>2472</v>
      </c>
      <c r="E3211" t="s">
        <v>2474</v>
      </c>
      <c r="F3211" t="s">
        <v>1299</v>
      </c>
      <c r="G3211" t="s">
        <v>1299</v>
      </c>
      <c r="H3211" s="10">
        <v>5815728</v>
      </c>
      <c r="I3211" t="str">
        <f>IFERROR(VLOOKUP(Final!F3211,'LEAID Match'!$A$2:$B$374,2,FALSE),"")</f>
        <v/>
      </c>
      <c r="K3211" s="10">
        <f t="shared" si="50"/>
        <v>5815728</v>
      </c>
    </row>
    <row r="3212" spans="1:11">
      <c r="A3212" t="s">
        <v>2470</v>
      </c>
      <c r="B3212" s="10">
        <v>2019</v>
      </c>
      <c r="C3212" t="s">
        <v>1347</v>
      </c>
      <c r="D3212" t="s">
        <v>2472</v>
      </c>
      <c r="E3212" t="s">
        <v>2474</v>
      </c>
      <c r="F3212" t="s">
        <v>1299</v>
      </c>
      <c r="G3212" t="s">
        <v>1299</v>
      </c>
      <c r="H3212" s="10">
        <v>6052324</v>
      </c>
      <c r="I3212" t="str">
        <f>IFERROR(VLOOKUP(Final!F3212,'LEAID Match'!$A$2:$B$374,2,FALSE),"")</f>
        <v/>
      </c>
      <c r="K3212" s="10">
        <f t="shared" si="50"/>
        <v>6052324</v>
      </c>
    </row>
    <row r="3213" spans="1:11">
      <c r="A3213" t="s">
        <v>2470</v>
      </c>
      <c r="B3213" s="10">
        <v>2020</v>
      </c>
      <c r="C3213" t="s">
        <v>1347</v>
      </c>
      <c r="D3213" t="s">
        <v>2472</v>
      </c>
      <c r="E3213" t="s">
        <v>2474</v>
      </c>
      <c r="F3213" t="s">
        <v>1299</v>
      </c>
      <c r="G3213" t="s">
        <v>1299</v>
      </c>
      <c r="H3213" s="10">
        <v>6496449</v>
      </c>
      <c r="I3213" t="str">
        <f>IFERROR(VLOOKUP(Final!F3213,'LEAID Match'!$A$2:$B$374,2,FALSE),"")</f>
        <v/>
      </c>
      <c r="K3213" s="10">
        <f t="shared" si="50"/>
        <v>6496449</v>
      </c>
    </row>
    <row r="3214" spans="1:11">
      <c r="A3214" t="s">
        <v>2470</v>
      </c>
      <c r="B3214" s="10">
        <v>2021</v>
      </c>
      <c r="C3214" t="s">
        <v>1347</v>
      </c>
      <c r="D3214" t="s">
        <v>2472</v>
      </c>
      <c r="E3214" t="s">
        <v>2474</v>
      </c>
      <c r="F3214" t="s">
        <v>1299</v>
      </c>
      <c r="G3214" t="s">
        <v>1299</v>
      </c>
      <c r="H3214" s="10">
        <v>6838833</v>
      </c>
      <c r="I3214" t="str">
        <f>IFERROR(VLOOKUP(Final!F3214,'LEAID Match'!$A$2:$B$374,2,FALSE),"")</f>
        <v/>
      </c>
      <c r="K3214" s="10">
        <f t="shared" si="50"/>
        <v>6838833</v>
      </c>
    </row>
    <row r="3215" spans="1:11">
      <c r="A3215" t="s">
        <v>2470</v>
      </c>
      <c r="B3215" s="10">
        <v>2022</v>
      </c>
      <c r="C3215" t="s">
        <v>1347</v>
      </c>
      <c r="D3215" t="s">
        <v>2472</v>
      </c>
      <c r="E3215" t="s">
        <v>2474</v>
      </c>
      <c r="F3215" t="s">
        <v>1299</v>
      </c>
      <c r="G3215" t="s">
        <v>1299</v>
      </c>
      <c r="H3215" s="10">
        <v>7270519</v>
      </c>
      <c r="I3215" t="str">
        <f>IFERROR(VLOOKUP(Final!F3215,'LEAID Match'!$A$2:$B$374,2,FALSE),"")</f>
        <v/>
      </c>
      <c r="K3215" s="10">
        <f t="shared" si="50"/>
        <v>7270519</v>
      </c>
    </row>
    <row r="3216" spans="1:11">
      <c r="A3216" t="s">
        <v>2470</v>
      </c>
      <c r="B3216" s="10">
        <v>2023</v>
      </c>
      <c r="C3216" t="s">
        <v>1347</v>
      </c>
      <c r="D3216" t="s">
        <v>2472</v>
      </c>
      <c r="E3216" t="s">
        <v>2474</v>
      </c>
      <c r="F3216" t="s">
        <v>1299</v>
      </c>
      <c r="G3216" t="s">
        <v>1299</v>
      </c>
      <c r="H3216" s="10">
        <v>7930862</v>
      </c>
      <c r="I3216" t="str">
        <f>IFERROR(VLOOKUP(Final!F3216,'LEAID Match'!$A$2:$B$374,2,FALSE),"")</f>
        <v/>
      </c>
      <c r="K3216" s="10">
        <f t="shared" si="50"/>
        <v>7930862</v>
      </c>
    </row>
    <row r="3217" spans="1:11">
      <c r="A3217" t="s">
        <v>2470</v>
      </c>
      <c r="B3217" s="10">
        <v>2015</v>
      </c>
      <c r="C3217" t="s">
        <v>1352</v>
      </c>
      <c r="D3217" t="s">
        <v>2472</v>
      </c>
      <c r="E3217" t="s">
        <v>2474</v>
      </c>
      <c r="F3217" t="s">
        <v>1304</v>
      </c>
      <c r="G3217" t="s">
        <v>1304</v>
      </c>
      <c r="H3217" s="10">
        <v>4272421</v>
      </c>
      <c r="I3217" t="str">
        <f>IFERROR(VLOOKUP(Final!F3217,'LEAID Match'!$A$2:$B$374,2,FALSE),"")</f>
        <v/>
      </c>
      <c r="K3217" s="10">
        <f t="shared" si="50"/>
        <v>4272421</v>
      </c>
    </row>
    <row r="3218" spans="1:11">
      <c r="A3218" t="s">
        <v>2470</v>
      </c>
      <c r="B3218" s="10">
        <v>2016</v>
      </c>
      <c r="C3218" t="s">
        <v>1352</v>
      </c>
      <c r="D3218" t="s">
        <v>2472</v>
      </c>
      <c r="E3218" t="s">
        <v>2474</v>
      </c>
      <c r="F3218" t="s">
        <v>1304</v>
      </c>
      <c r="G3218" t="s">
        <v>1304</v>
      </c>
      <c r="H3218" s="10">
        <v>4202363</v>
      </c>
      <c r="I3218" t="str">
        <f>IFERROR(VLOOKUP(Final!F3218,'LEAID Match'!$A$2:$B$374,2,FALSE),"")</f>
        <v/>
      </c>
      <c r="K3218" s="10">
        <f t="shared" si="50"/>
        <v>4202363</v>
      </c>
    </row>
    <row r="3219" spans="1:11">
      <c r="A3219" t="s">
        <v>2470</v>
      </c>
      <c r="B3219" s="10">
        <v>2017</v>
      </c>
      <c r="C3219" t="s">
        <v>1352</v>
      </c>
      <c r="D3219" t="s">
        <v>2472</v>
      </c>
      <c r="E3219" t="s">
        <v>2474</v>
      </c>
      <c r="F3219" t="s">
        <v>1304</v>
      </c>
      <c r="G3219" t="s">
        <v>1304</v>
      </c>
      <c r="H3219" s="10">
        <v>4338519</v>
      </c>
      <c r="I3219" t="str">
        <f>IFERROR(VLOOKUP(Final!F3219,'LEAID Match'!$A$2:$B$374,2,FALSE),"")</f>
        <v/>
      </c>
      <c r="K3219" s="10">
        <f t="shared" si="50"/>
        <v>4338519</v>
      </c>
    </row>
    <row r="3220" spans="1:11">
      <c r="A3220" t="s">
        <v>2470</v>
      </c>
      <c r="B3220" s="10">
        <v>2018</v>
      </c>
      <c r="C3220" t="s">
        <v>1352</v>
      </c>
      <c r="D3220" t="s">
        <v>2472</v>
      </c>
      <c r="E3220" t="s">
        <v>2474</v>
      </c>
      <c r="F3220" t="s">
        <v>1304</v>
      </c>
      <c r="G3220" t="s">
        <v>1304</v>
      </c>
      <c r="H3220" s="10">
        <v>4635144</v>
      </c>
      <c r="I3220" t="str">
        <f>IFERROR(VLOOKUP(Final!F3220,'LEAID Match'!$A$2:$B$374,2,FALSE),"")</f>
        <v/>
      </c>
      <c r="K3220" s="10">
        <f t="shared" si="50"/>
        <v>4635144</v>
      </c>
    </row>
    <row r="3221" spans="1:11">
      <c r="A3221" t="s">
        <v>2470</v>
      </c>
      <c r="B3221" s="10">
        <v>2019</v>
      </c>
      <c r="C3221" t="s">
        <v>1352</v>
      </c>
      <c r="D3221" t="s">
        <v>2472</v>
      </c>
      <c r="E3221" t="s">
        <v>2474</v>
      </c>
      <c r="F3221" t="s">
        <v>1304</v>
      </c>
      <c r="G3221" t="s">
        <v>1304</v>
      </c>
      <c r="H3221" s="10">
        <v>4750388</v>
      </c>
      <c r="I3221" t="str">
        <f>IFERROR(VLOOKUP(Final!F3221,'LEAID Match'!$A$2:$B$374,2,FALSE),"")</f>
        <v/>
      </c>
      <c r="K3221" s="10">
        <f t="shared" si="50"/>
        <v>4750388</v>
      </c>
    </row>
    <row r="3222" spans="1:11">
      <c r="A3222" t="s">
        <v>2470</v>
      </c>
      <c r="B3222" s="10">
        <v>2020</v>
      </c>
      <c r="C3222" t="s">
        <v>1352</v>
      </c>
      <c r="D3222" t="s">
        <v>2472</v>
      </c>
      <c r="E3222" t="s">
        <v>2474</v>
      </c>
      <c r="F3222" t="s">
        <v>1304</v>
      </c>
      <c r="G3222" t="s">
        <v>1304</v>
      </c>
      <c r="H3222" s="10">
        <v>5029971</v>
      </c>
      <c r="I3222" t="str">
        <f>IFERROR(VLOOKUP(Final!F3222,'LEAID Match'!$A$2:$B$374,2,FALSE),"")</f>
        <v/>
      </c>
      <c r="K3222" s="10">
        <f t="shared" si="50"/>
        <v>5029971</v>
      </c>
    </row>
    <row r="3223" spans="1:11">
      <c r="A3223" t="s">
        <v>2470</v>
      </c>
      <c r="B3223" s="10">
        <v>2021</v>
      </c>
      <c r="C3223" t="s">
        <v>1352</v>
      </c>
      <c r="D3223" t="s">
        <v>2472</v>
      </c>
      <c r="E3223" t="s">
        <v>2474</v>
      </c>
      <c r="F3223" t="s">
        <v>1304</v>
      </c>
      <c r="G3223" t="s">
        <v>1304</v>
      </c>
      <c r="H3223" s="10">
        <v>5209601</v>
      </c>
      <c r="I3223" t="str">
        <f>IFERROR(VLOOKUP(Final!F3223,'LEAID Match'!$A$2:$B$374,2,FALSE),"")</f>
        <v/>
      </c>
      <c r="K3223" s="10">
        <f t="shared" si="50"/>
        <v>5209601</v>
      </c>
    </row>
    <row r="3224" spans="1:11">
      <c r="A3224" t="s">
        <v>2470</v>
      </c>
      <c r="B3224" s="10">
        <v>2022</v>
      </c>
      <c r="C3224" t="s">
        <v>1352</v>
      </c>
      <c r="D3224" t="s">
        <v>2472</v>
      </c>
      <c r="E3224" t="s">
        <v>2474</v>
      </c>
      <c r="F3224" t="s">
        <v>1304</v>
      </c>
      <c r="G3224" t="s">
        <v>1304</v>
      </c>
      <c r="H3224" s="10">
        <v>5455423</v>
      </c>
      <c r="I3224" t="str">
        <f>IFERROR(VLOOKUP(Final!F3224,'LEAID Match'!$A$2:$B$374,2,FALSE),"")</f>
        <v/>
      </c>
      <c r="K3224" s="10">
        <f t="shared" si="50"/>
        <v>5455423</v>
      </c>
    </row>
    <row r="3225" spans="1:11">
      <c r="A3225" t="s">
        <v>2470</v>
      </c>
      <c r="B3225" s="10">
        <v>2023</v>
      </c>
      <c r="C3225" t="s">
        <v>1352</v>
      </c>
      <c r="D3225" t="s">
        <v>2472</v>
      </c>
      <c r="E3225" t="s">
        <v>2474</v>
      </c>
      <c r="F3225" t="s">
        <v>1304</v>
      </c>
      <c r="G3225" t="s">
        <v>1304</v>
      </c>
      <c r="H3225" s="10">
        <v>5716825</v>
      </c>
      <c r="I3225" t="str">
        <f>IFERROR(VLOOKUP(Final!F3225,'LEAID Match'!$A$2:$B$374,2,FALSE),"")</f>
        <v/>
      </c>
      <c r="K3225" s="10">
        <f t="shared" si="50"/>
        <v>5716825</v>
      </c>
    </row>
    <row r="3226" spans="1:11">
      <c r="A3226" t="s">
        <v>2470</v>
      </c>
      <c r="B3226" s="10">
        <v>2015</v>
      </c>
      <c r="C3226" t="s">
        <v>370</v>
      </c>
      <c r="D3226" t="s">
        <v>2472</v>
      </c>
      <c r="E3226" t="s">
        <v>2474</v>
      </c>
      <c r="F3226" t="s">
        <v>1617</v>
      </c>
      <c r="G3226" t="s">
        <v>316</v>
      </c>
      <c r="H3226" s="10">
        <v>2043209</v>
      </c>
      <c r="I3226" t="str">
        <f>IFERROR(VLOOKUP(Final!F3226,'LEAID Match'!$A$2:$B$374,2,FALSE),"")</f>
        <v/>
      </c>
      <c r="K3226" s="10">
        <f t="shared" si="50"/>
        <v>2043209</v>
      </c>
    </row>
    <row r="3227" spans="1:11">
      <c r="A3227" t="s">
        <v>2470</v>
      </c>
      <c r="B3227" s="10">
        <v>2016</v>
      </c>
      <c r="C3227" t="s">
        <v>370</v>
      </c>
      <c r="D3227" t="s">
        <v>2472</v>
      </c>
      <c r="E3227" t="s">
        <v>2474</v>
      </c>
      <c r="F3227" t="s">
        <v>1617</v>
      </c>
      <c r="G3227" t="s">
        <v>316</v>
      </c>
      <c r="H3227" s="10">
        <v>2132186</v>
      </c>
      <c r="I3227" t="str">
        <f>IFERROR(VLOOKUP(Final!F3227,'LEAID Match'!$A$2:$B$374,2,FALSE),"")</f>
        <v/>
      </c>
      <c r="K3227" s="10">
        <f t="shared" si="50"/>
        <v>2132186</v>
      </c>
    </row>
    <row r="3228" spans="1:11">
      <c r="A3228" t="s">
        <v>2470</v>
      </c>
      <c r="B3228" s="10">
        <v>2017</v>
      </c>
      <c r="C3228" t="s">
        <v>370</v>
      </c>
      <c r="D3228" t="s">
        <v>2472</v>
      </c>
      <c r="E3228" t="s">
        <v>2474</v>
      </c>
      <c r="F3228" t="s">
        <v>1617</v>
      </c>
      <c r="G3228" t="s">
        <v>1617</v>
      </c>
      <c r="H3228" s="10">
        <v>2216692</v>
      </c>
      <c r="I3228" t="str">
        <f>IFERROR(VLOOKUP(Final!F3228,'LEAID Match'!$A$2:$B$374,2,FALSE),"")</f>
        <v/>
      </c>
      <c r="K3228" s="10">
        <f t="shared" si="50"/>
        <v>2216692</v>
      </c>
    </row>
    <row r="3229" spans="1:11">
      <c r="A3229" t="s">
        <v>2470</v>
      </c>
      <c r="B3229" s="10">
        <v>2018</v>
      </c>
      <c r="C3229" t="s">
        <v>370</v>
      </c>
      <c r="D3229" t="s">
        <v>2472</v>
      </c>
      <c r="E3229" t="s">
        <v>2474</v>
      </c>
      <c r="F3229" t="s">
        <v>1617</v>
      </c>
      <c r="G3229" t="s">
        <v>1617</v>
      </c>
      <c r="H3229" s="10">
        <v>2396364</v>
      </c>
      <c r="I3229" t="str">
        <f>IFERROR(VLOOKUP(Final!F3229,'LEAID Match'!$A$2:$B$374,2,FALSE),"")</f>
        <v/>
      </c>
      <c r="K3229" s="10">
        <f t="shared" si="50"/>
        <v>2396364</v>
      </c>
    </row>
    <row r="3230" spans="1:11">
      <c r="A3230" t="s">
        <v>2470</v>
      </c>
      <c r="B3230" s="10">
        <v>2019</v>
      </c>
      <c r="C3230" t="s">
        <v>370</v>
      </c>
      <c r="D3230" t="s">
        <v>2472</v>
      </c>
      <c r="E3230" t="s">
        <v>2474</v>
      </c>
      <c r="F3230" t="s">
        <v>1617</v>
      </c>
      <c r="G3230" t="s">
        <v>1617</v>
      </c>
      <c r="H3230" s="10">
        <v>2718965</v>
      </c>
      <c r="I3230" t="str">
        <f>IFERROR(VLOOKUP(Final!F3230,'LEAID Match'!$A$2:$B$374,2,FALSE),"")</f>
        <v/>
      </c>
      <c r="K3230" s="10">
        <f t="shared" si="50"/>
        <v>2718965</v>
      </c>
    </row>
    <row r="3231" spans="1:11">
      <c r="A3231" t="s">
        <v>2470</v>
      </c>
      <c r="B3231" s="10">
        <v>2020</v>
      </c>
      <c r="C3231" t="s">
        <v>370</v>
      </c>
      <c r="D3231" t="s">
        <v>2472</v>
      </c>
      <c r="E3231" t="s">
        <v>2474</v>
      </c>
      <c r="F3231" t="s">
        <v>1617</v>
      </c>
      <c r="G3231" t="s">
        <v>1617</v>
      </c>
      <c r="H3231" s="10">
        <v>2920763</v>
      </c>
      <c r="I3231" t="str">
        <f>IFERROR(VLOOKUP(Final!F3231,'LEAID Match'!$A$2:$B$374,2,FALSE),"")</f>
        <v/>
      </c>
      <c r="K3231" s="10">
        <f t="shared" si="50"/>
        <v>2920763</v>
      </c>
    </row>
    <row r="3232" spans="1:11">
      <c r="A3232" t="s">
        <v>2470</v>
      </c>
      <c r="B3232" s="10">
        <v>2021</v>
      </c>
      <c r="C3232" t="s">
        <v>370</v>
      </c>
      <c r="D3232" t="s">
        <v>2472</v>
      </c>
      <c r="E3232" t="s">
        <v>2474</v>
      </c>
      <c r="F3232" t="s">
        <v>1617</v>
      </c>
      <c r="G3232" t="s">
        <v>1617</v>
      </c>
      <c r="H3232" s="10">
        <v>3290375</v>
      </c>
      <c r="I3232" t="str">
        <f>IFERROR(VLOOKUP(Final!F3232,'LEAID Match'!$A$2:$B$374,2,FALSE),"")</f>
        <v/>
      </c>
      <c r="K3232" s="10">
        <f t="shared" si="50"/>
        <v>3290375</v>
      </c>
    </row>
    <row r="3233" spans="1:11">
      <c r="A3233" t="s">
        <v>2470</v>
      </c>
      <c r="B3233" s="10">
        <v>2022</v>
      </c>
      <c r="C3233" t="s">
        <v>370</v>
      </c>
      <c r="D3233" t="s">
        <v>2472</v>
      </c>
      <c r="E3233" t="s">
        <v>2474</v>
      </c>
      <c r="F3233" t="s">
        <v>1617</v>
      </c>
      <c r="G3233" t="s">
        <v>1617</v>
      </c>
      <c r="H3233" s="10">
        <v>3829183</v>
      </c>
      <c r="I3233" t="str">
        <f>IFERROR(VLOOKUP(Final!F3233,'LEAID Match'!$A$2:$B$374,2,FALSE),"")</f>
        <v/>
      </c>
      <c r="K3233" s="10">
        <f t="shared" si="50"/>
        <v>3829183</v>
      </c>
    </row>
    <row r="3234" spans="1:11">
      <c r="A3234" t="s">
        <v>2470</v>
      </c>
      <c r="B3234" s="10">
        <v>2023</v>
      </c>
      <c r="C3234" t="s">
        <v>370</v>
      </c>
      <c r="D3234" t="s">
        <v>2472</v>
      </c>
      <c r="E3234" t="s">
        <v>2474</v>
      </c>
      <c r="F3234" t="s">
        <v>1617</v>
      </c>
      <c r="G3234" t="s">
        <v>1617</v>
      </c>
      <c r="H3234" s="10">
        <v>4129540</v>
      </c>
      <c r="I3234" t="str">
        <f>IFERROR(VLOOKUP(Final!F3234,'LEAID Match'!$A$2:$B$374,2,FALSE),"")</f>
        <v/>
      </c>
      <c r="K3234" s="10">
        <f t="shared" si="50"/>
        <v>4129540</v>
      </c>
    </row>
    <row r="3235" spans="1:11">
      <c r="A3235" t="s">
        <v>2470</v>
      </c>
      <c r="B3235" s="10">
        <v>2015</v>
      </c>
      <c r="C3235" t="s">
        <v>369</v>
      </c>
      <c r="D3235" t="s">
        <v>2472</v>
      </c>
      <c r="E3235" t="s">
        <v>2474</v>
      </c>
      <c r="F3235" t="s">
        <v>1505</v>
      </c>
      <c r="G3235" t="s">
        <v>315</v>
      </c>
      <c r="H3235" s="10">
        <v>1019295</v>
      </c>
      <c r="I3235" t="str">
        <f>IFERROR(VLOOKUP(Final!F3235,'LEAID Match'!$A$2:$B$374,2,FALSE),"")</f>
        <v/>
      </c>
      <c r="K3235" s="10">
        <f t="shared" si="50"/>
        <v>1019295</v>
      </c>
    </row>
    <row r="3236" spans="1:11">
      <c r="A3236" t="s">
        <v>2470</v>
      </c>
      <c r="B3236" s="10">
        <v>2016</v>
      </c>
      <c r="C3236" t="s">
        <v>369</v>
      </c>
      <c r="D3236" t="s">
        <v>2472</v>
      </c>
      <c r="E3236" t="s">
        <v>2474</v>
      </c>
      <c r="F3236" t="s">
        <v>1505</v>
      </c>
      <c r="G3236" t="s">
        <v>315</v>
      </c>
      <c r="H3236" s="10">
        <v>1036608</v>
      </c>
      <c r="I3236" t="str">
        <f>IFERROR(VLOOKUP(Final!F3236,'LEAID Match'!$A$2:$B$374,2,FALSE),"")</f>
        <v/>
      </c>
      <c r="K3236" s="10">
        <f t="shared" si="50"/>
        <v>1036608</v>
      </c>
    </row>
    <row r="3237" spans="1:11">
      <c r="A3237" t="s">
        <v>2470</v>
      </c>
      <c r="B3237" s="10">
        <v>2017</v>
      </c>
      <c r="C3237" t="s">
        <v>369</v>
      </c>
      <c r="D3237" t="s">
        <v>2472</v>
      </c>
      <c r="E3237" t="s">
        <v>2474</v>
      </c>
      <c r="F3237" t="s">
        <v>1505</v>
      </c>
      <c r="G3237" t="s">
        <v>1505</v>
      </c>
      <c r="H3237" s="10">
        <v>1042707</v>
      </c>
      <c r="I3237" t="str">
        <f>IFERROR(VLOOKUP(Final!F3237,'LEAID Match'!$A$2:$B$374,2,FALSE),"")</f>
        <v/>
      </c>
      <c r="K3237" s="10">
        <f t="shared" si="50"/>
        <v>1042707</v>
      </c>
    </row>
    <row r="3238" spans="1:11">
      <c r="A3238" t="s">
        <v>2470</v>
      </c>
      <c r="B3238" s="10">
        <v>2018</v>
      </c>
      <c r="C3238" t="s">
        <v>369</v>
      </c>
      <c r="D3238" t="s">
        <v>2472</v>
      </c>
      <c r="E3238" t="s">
        <v>2474</v>
      </c>
      <c r="F3238" t="s">
        <v>1505</v>
      </c>
      <c r="G3238" t="s">
        <v>1505</v>
      </c>
      <c r="H3238" s="10">
        <v>1112894</v>
      </c>
      <c r="I3238" t="str">
        <f>IFERROR(VLOOKUP(Final!F3238,'LEAID Match'!$A$2:$B$374,2,FALSE),"")</f>
        <v/>
      </c>
      <c r="K3238" s="10">
        <f t="shared" si="50"/>
        <v>1112894</v>
      </c>
    </row>
    <row r="3239" spans="1:11">
      <c r="A3239" t="s">
        <v>2470</v>
      </c>
      <c r="B3239" s="10">
        <v>2019</v>
      </c>
      <c r="C3239" t="s">
        <v>369</v>
      </c>
      <c r="D3239" t="s">
        <v>2472</v>
      </c>
      <c r="E3239" t="s">
        <v>2474</v>
      </c>
      <c r="F3239" t="s">
        <v>1505</v>
      </c>
      <c r="G3239" t="s">
        <v>1505</v>
      </c>
      <c r="H3239" s="10">
        <v>1157260</v>
      </c>
      <c r="I3239" t="str">
        <f>IFERROR(VLOOKUP(Final!F3239,'LEAID Match'!$A$2:$B$374,2,FALSE),"")</f>
        <v/>
      </c>
      <c r="K3239" s="10">
        <f t="shared" si="50"/>
        <v>1157260</v>
      </c>
    </row>
    <row r="3240" spans="1:11">
      <c r="A3240" t="s">
        <v>2470</v>
      </c>
      <c r="B3240" s="10">
        <v>2020</v>
      </c>
      <c r="C3240" t="s">
        <v>369</v>
      </c>
      <c r="D3240" t="s">
        <v>2472</v>
      </c>
      <c r="E3240" t="s">
        <v>2474</v>
      </c>
      <c r="F3240" t="s">
        <v>1505</v>
      </c>
      <c r="G3240" t="s">
        <v>1505</v>
      </c>
      <c r="H3240" s="10">
        <v>1172846</v>
      </c>
      <c r="I3240" t="str">
        <f>IFERROR(VLOOKUP(Final!F3240,'LEAID Match'!$A$2:$B$374,2,FALSE),"")</f>
        <v/>
      </c>
      <c r="K3240" s="10">
        <f t="shared" si="50"/>
        <v>1172846</v>
      </c>
    </row>
    <row r="3241" spans="1:11">
      <c r="A3241" t="s">
        <v>2470</v>
      </c>
      <c r="B3241" s="10">
        <v>2021</v>
      </c>
      <c r="C3241" t="s">
        <v>369</v>
      </c>
      <c r="D3241" t="s">
        <v>2472</v>
      </c>
      <c r="E3241" t="s">
        <v>2474</v>
      </c>
      <c r="F3241" t="s">
        <v>1505</v>
      </c>
      <c r="G3241" t="s">
        <v>1505</v>
      </c>
      <c r="H3241" s="10">
        <v>1214963</v>
      </c>
      <c r="I3241" t="str">
        <f>IFERROR(VLOOKUP(Final!F3241,'LEAID Match'!$A$2:$B$374,2,FALSE),"")</f>
        <v/>
      </c>
      <c r="K3241" s="10">
        <f t="shared" si="50"/>
        <v>1214963</v>
      </c>
    </row>
    <row r="3242" spans="1:11">
      <c r="A3242" t="s">
        <v>2470</v>
      </c>
      <c r="B3242" s="10">
        <v>2022</v>
      </c>
      <c r="C3242" t="s">
        <v>369</v>
      </c>
      <c r="D3242" t="s">
        <v>2472</v>
      </c>
      <c r="E3242" t="s">
        <v>2474</v>
      </c>
      <c r="F3242" t="s">
        <v>1505</v>
      </c>
      <c r="G3242" t="s">
        <v>1505</v>
      </c>
      <c r="H3242" s="10">
        <v>1283556</v>
      </c>
      <c r="I3242" t="str">
        <f>IFERROR(VLOOKUP(Final!F3242,'LEAID Match'!$A$2:$B$374,2,FALSE),"")</f>
        <v/>
      </c>
      <c r="K3242" s="10">
        <f t="shared" si="50"/>
        <v>1283556</v>
      </c>
    </row>
    <row r="3243" spans="1:11">
      <c r="A3243" t="s">
        <v>2470</v>
      </c>
      <c r="B3243" s="10">
        <v>2023</v>
      </c>
      <c r="C3243" t="s">
        <v>369</v>
      </c>
      <c r="D3243" t="s">
        <v>2472</v>
      </c>
      <c r="E3243" t="s">
        <v>2474</v>
      </c>
      <c r="F3243" t="s">
        <v>1505</v>
      </c>
      <c r="G3243" t="s">
        <v>1505</v>
      </c>
      <c r="H3243" s="10">
        <v>1538622</v>
      </c>
      <c r="I3243" t="str">
        <f>IFERROR(VLOOKUP(Final!F3243,'LEAID Match'!$A$2:$B$374,2,FALSE),"")</f>
        <v/>
      </c>
      <c r="K3243" s="10">
        <f t="shared" si="50"/>
        <v>1538622</v>
      </c>
    </row>
    <row r="3244" spans="1:11">
      <c r="A3244" t="s">
        <v>2470</v>
      </c>
      <c r="B3244" s="10">
        <v>2015</v>
      </c>
      <c r="C3244" t="s">
        <v>371</v>
      </c>
      <c r="D3244" t="s">
        <v>2472</v>
      </c>
      <c r="E3244" t="s">
        <v>2474</v>
      </c>
      <c r="F3244" t="s">
        <v>1623</v>
      </c>
      <c r="G3244" t="s">
        <v>317</v>
      </c>
      <c r="H3244" s="10">
        <v>248279</v>
      </c>
      <c r="I3244" t="str">
        <f>IFERROR(VLOOKUP(Final!F3244,'LEAID Match'!$A$2:$B$374,2,FALSE),"")</f>
        <v/>
      </c>
      <c r="K3244" s="10">
        <f t="shared" si="50"/>
        <v>248279</v>
      </c>
    </row>
    <row r="3245" spans="1:11">
      <c r="A3245" t="s">
        <v>2470</v>
      </c>
      <c r="B3245" s="10">
        <v>2016</v>
      </c>
      <c r="C3245" t="s">
        <v>371</v>
      </c>
      <c r="D3245" t="s">
        <v>2472</v>
      </c>
      <c r="E3245" t="s">
        <v>2474</v>
      </c>
      <c r="F3245" t="s">
        <v>1623</v>
      </c>
      <c r="G3245" t="s">
        <v>317</v>
      </c>
      <c r="H3245" s="10">
        <v>252829</v>
      </c>
      <c r="I3245" t="str">
        <f>IFERROR(VLOOKUP(Final!F3245,'LEAID Match'!$A$2:$B$374,2,FALSE),"")</f>
        <v/>
      </c>
      <c r="K3245" s="10">
        <f t="shared" si="50"/>
        <v>252829</v>
      </c>
    </row>
    <row r="3246" spans="1:11">
      <c r="A3246" t="s">
        <v>2470</v>
      </c>
      <c r="B3246" s="10">
        <v>2017</v>
      </c>
      <c r="C3246" t="s">
        <v>371</v>
      </c>
      <c r="D3246" t="s">
        <v>2472</v>
      </c>
      <c r="E3246" t="s">
        <v>2474</v>
      </c>
      <c r="F3246" t="s">
        <v>1623</v>
      </c>
      <c r="G3246" t="s">
        <v>1623</v>
      </c>
      <c r="H3246" s="10">
        <v>264488</v>
      </c>
      <c r="I3246" t="str">
        <f>IFERROR(VLOOKUP(Final!F3246,'LEAID Match'!$A$2:$B$374,2,FALSE),"")</f>
        <v/>
      </c>
      <c r="K3246" s="10">
        <f t="shared" si="50"/>
        <v>264488</v>
      </c>
    </row>
    <row r="3247" spans="1:11">
      <c r="A3247" t="s">
        <v>2470</v>
      </c>
      <c r="B3247" s="10">
        <v>2018</v>
      </c>
      <c r="C3247" t="s">
        <v>371</v>
      </c>
      <c r="D3247" t="s">
        <v>2472</v>
      </c>
      <c r="E3247" t="s">
        <v>2474</v>
      </c>
      <c r="F3247" t="s">
        <v>1623</v>
      </c>
      <c r="G3247" t="s">
        <v>1623</v>
      </c>
      <c r="H3247" s="10">
        <v>278210</v>
      </c>
      <c r="I3247" t="str">
        <f>IFERROR(VLOOKUP(Final!F3247,'LEAID Match'!$A$2:$B$374,2,FALSE),"")</f>
        <v/>
      </c>
      <c r="K3247" s="10">
        <f t="shared" si="50"/>
        <v>278210</v>
      </c>
    </row>
    <row r="3248" spans="1:11">
      <c r="A3248" t="s">
        <v>2470</v>
      </c>
      <c r="B3248" s="10">
        <v>2019</v>
      </c>
      <c r="C3248" t="s">
        <v>371</v>
      </c>
      <c r="D3248" t="s">
        <v>2472</v>
      </c>
      <c r="E3248" t="s">
        <v>2474</v>
      </c>
      <c r="F3248" t="s">
        <v>1623</v>
      </c>
      <c r="G3248" t="s">
        <v>1623</v>
      </c>
      <c r="H3248" s="10">
        <v>309062</v>
      </c>
      <c r="I3248" t="str">
        <f>IFERROR(VLOOKUP(Final!F3248,'LEAID Match'!$A$2:$B$374,2,FALSE),"")</f>
        <v/>
      </c>
      <c r="K3248" s="10">
        <f t="shared" si="50"/>
        <v>309062</v>
      </c>
    </row>
    <row r="3249" spans="1:11">
      <c r="A3249" t="s">
        <v>2470</v>
      </c>
      <c r="B3249" s="10">
        <v>2020</v>
      </c>
      <c r="C3249" t="s">
        <v>371</v>
      </c>
      <c r="D3249" t="s">
        <v>2472</v>
      </c>
      <c r="E3249" t="s">
        <v>2474</v>
      </c>
      <c r="F3249" t="s">
        <v>1623</v>
      </c>
      <c r="G3249" t="s">
        <v>1623</v>
      </c>
      <c r="H3249" s="10">
        <v>311127</v>
      </c>
      <c r="I3249" t="str">
        <f>IFERROR(VLOOKUP(Final!F3249,'LEAID Match'!$A$2:$B$374,2,FALSE),"")</f>
        <v/>
      </c>
      <c r="K3249" s="10">
        <f t="shared" si="50"/>
        <v>311127</v>
      </c>
    </row>
    <row r="3250" spans="1:11">
      <c r="A3250" t="s">
        <v>2470</v>
      </c>
      <c r="B3250" s="10">
        <v>2021</v>
      </c>
      <c r="C3250" t="s">
        <v>371</v>
      </c>
      <c r="D3250" t="s">
        <v>2472</v>
      </c>
      <c r="E3250" t="s">
        <v>2474</v>
      </c>
      <c r="F3250" t="s">
        <v>1623</v>
      </c>
      <c r="G3250" t="s">
        <v>1623</v>
      </c>
      <c r="H3250" s="10">
        <v>326000</v>
      </c>
      <c r="I3250" t="str">
        <f>IFERROR(VLOOKUP(Final!F3250,'LEAID Match'!$A$2:$B$374,2,FALSE),"")</f>
        <v/>
      </c>
      <c r="K3250" s="10">
        <f t="shared" si="50"/>
        <v>326000</v>
      </c>
    </row>
    <row r="3251" spans="1:11">
      <c r="A3251" t="s">
        <v>2470</v>
      </c>
      <c r="B3251" s="10">
        <v>2022</v>
      </c>
      <c r="C3251" t="s">
        <v>371</v>
      </c>
      <c r="D3251" t="s">
        <v>2472</v>
      </c>
      <c r="E3251" t="s">
        <v>2474</v>
      </c>
      <c r="F3251" t="s">
        <v>1623</v>
      </c>
      <c r="G3251" t="s">
        <v>1623</v>
      </c>
      <c r="H3251" s="10">
        <v>283424</v>
      </c>
      <c r="I3251" t="str">
        <f>IFERROR(VLOOKUP(Final!F3251,'LEAID Match'!$A$2:$B$374,2,FALSE),"")</f>
        <v/>
      </c>
      <c r="K3251" s="10">
        <f t="shared" si="50"/>
        <v>283424</v>
      </c>
    </row>
    <row r="3252" spans="1:11">
      <c r="A3252" t="s">
        <v>2470</v>
      </c>
      <c r="B3252" s="10">
        <v>2023</v>
      </c>
      <c r="C3252" t="s">
        <v>371</v>
      </c>
      <c r="D3252" t="s">
        <v>2472</v>
      </c>
      <c r="E3252" t="s">
        <v>2474</v>
      </c>
      <c r="F3252" t="s">
        <v>1623</v>
      </c>
      <c r="G3252" t="s">
        <v>1623</v>
      </c>
      <c r="H3252" s="10">
        <v>325877</v>
      </c>
      <c r="I3252" t="str">
        <f>IFERROR(VLOOKUP(Final!F3252,'LEAID Match'!$A$2:$B$374,2,FALSE),"")</f>
        <v/>
      </c>
      <c r="K3252" s="10">
        <f t="shared" si="50"/>
        <v>325877</v>
      </c>
    </row>
    <row r="3253" spans="1:11">
      <c r="A3253" t="s">
        <v>2470</v>
      </c>
      <c r="B3253" s="10">
        <v>2015</v>
      </c>
      <c r="C3253" t="s">
        <v>1236</v>
      </c>
      <c r="D3253" t="s">
        <v>2472</v>
      </c>
      <c r="E3253" t="s">
        <v>2474</v>
      </c>
      <c r="F3253" t="s">
        <v>1844</v>
      </c>
      <c r="G3253" t="s">
        <v>1182</v>
      </c>
      <c r="H3253" s="10">
        <v>1196155</v>
      </c>
      <c r="I3253" t="str">
        <f>IFERROR(VLOOKUP(Final!F3253,'LEAID Match'!$A$2:$B$374,2,FALSE),"")</f>
        <v/>
      </c>
      <c r="K3253" s="10">
        <f t="shared" si="50"/>
        <v>1196155</v>
      </c>
    </row>
    <row r="3254" spans="1:11">
      <c r="A3254" t="s">
        <v>2470</v>
      </c>
      <c r="B3254" s="10">
        <v>2016</v>
      </c>
      <c r="C3254" t="s">
        <v>1236</v>
      </c>
      <c r="D3254" t="s">
        <v>2472</v>
      </c>
      <c r="E3254" t="s">
        <v>2474</v>
      </c>
      <c r="F3254" t="s">
        <v>1844</v>
      </c>
      <c r="G3254" t="s">
        <v>1182</v>
      </c>
      <c r="H3254" s="10">
        <v>1261987</v>
      </c>
      <c r="I3254" t="str">
        <f>IFERROR(VLOOKUP(Final!F3254,'LEAID Match'!$A$2:$B$374,2,FALSE),"")</f>
        <v/>
      </c>
      <c r="K3254" s="10">
        <f t="shared" si="50"/>
        <v>1261987</v>
      </c>
    </row>
    <row r="3255" spans="1:11">
      <c r="A3255" t="s">
        <v>2470</v>
      </c>
      <c r="B3255" s="10">
        <v>2017</v>
      </c>
      <c r="C3255" t="s">
        <v>1236</v>
      </c>
      <c r="D3255" t="s">
        <v>2472</v>
      </c>
      <c r="E3255" t="s">
        <v>2474</v>
      </c>
      <c r="F3255" t="s">
        <v>1844</v>
      </c>
      <c r="G3255" t="s">
        <v>1844</v>
      </c>
      <c r="H3255" s="10">
        <v>1313050</v>
      </c>
      <c r="I3255" t="str">
        <f>IFERROR(VLOOKUP(Final!F3255,'LEAID Match'!$A$2:$B$374,2,FALSE),"")</f>
        <v/>
      </c>
      <c r="K3255" s="10">
        <f t="shared" si="50"/>
        <v>1313050</v>
      </c>
    </row>
    <row r="3256" spans="1:11">
      <c r="A3256" t="s">
        <v>2470</v>
      </c>
      <c r="B3256" s="10">
        <v>2018</v>
      </c>
      <c r="C3256" t="s">
        <v>1236</v>
      </c>
      <c r="D3256" t="s">
        <v>2472</v>
      </c>
      <c r="E3256" t="s">
        <v>2474</v>
      </c>
      <c r="F3256" t="s">
        <v>1844</v>
      </c>
      <c r="G3256" t="s">
        <v>1844</v>
      </c>
      <c r="H3256" s="10">
        <v>1416784</v>
      </c>
      <c r="I3256" t="str">
        <f>IFERROR(VLOOKUP(Final!F3256,'LEAID Match'!$A$2:$B$374,2,FALSE),"")</f>
        <v/>
      </c>
      <c r="K3256" s="10">
        <f t="shared" si="50"/>
        <v>1416784</v>
      </c>
    </row>
    <row r="3257" spans="1:11">
      <c r="A3257" t="s">
        <v>2470</v>
      </c>
      <c r="B3257" s="10">
        <v>2019</v>
      </c>
      <c r="C3257" t="s">
        <v>1236</v>
      </c>
      <c r="D3257" t="s">
        <v>2472</v>
      </c>
      <c r="E3257" t="s">
        <v>2474</v>
      </c>
      <c r="F3257" t="s">
        <v>1844</v>
      </c>
      <c r="G3257" t="s">
        <v>1844</v>
      </c>
      <c r="H3257" s="10">
        <v>1524064</v>
      </c>
      <c r="I3257" t="str">
        <f>IFERROR(VLOOKUP(Final!F3257,'LEAID Match'!$A$2:$B$374,2,FALSE),"")</f>
        <v/>
      </c>
      <c r="K3257" s="10">
        <f t="shared" si="50"/>
        <v>1524064</v>
      </c>
    </row>
    <row r="3258" spans="1:11">
      <c r="A3258" t="s">
        <v>2470</v>
      </c>
      <c r="B3258" s="10">
        <v>2020</v>
      </c>
      <c r="C3258" t="s">
        <v>1236</v>
      </c>
      <c r="D3258" t="s">
        <v>2472</v>
      </c>
      <c r="E3258" t="s">
        <v>2474</v>
      </c>
      <c r="F3258" t="s">
        <v>1844</v>
      </c>
      <c r="G3258" t="s">
        <v>1844</v>
      </c>
      <c r="H3258" s="10">
        <v>1550391</v>
      </c>
      <c r="I3258" t="str">
        <f>IFERROR(VLOOKUP(Final!F3258,'LEAID Match'!$A$2:$B$374,2,FALSE),"")</f>
        <v/>
      </c>
      <c r="K3258" s="10">
        <f t="shared" si="50"/>
        <v>1550391</v>
      </c>
    </row>
    <row r="3259" spans="1:11">
      <c r="A3259" t="s">
        <v>2470</v>
      </c>
      <c r="B3259" s="10">
        <v>2021</v>
      </c>
      <c r="C3259" t="s">
        <v>1236</v>
      </c>
      <c r="D3259" t="s">
        <v>2472</v>
      </c>
      <c r="E3259" t="s">
        <v>2474</v>
      </c>
      <c r="F3259" t="s">
        <v>1844</v>
      </c>
      <c r="G3259" t="s">
        <v>1844</v>
      </c>
      <c r="H3259" s="10">
        <v>1582532</v>
      </c>
      <c r="I3259" t="str">
        <f>IFERROR(VLOOKUP(Final!F3259,'LEAID Match'!$A$2:$B$374,2,FALSE),"")</f>
        <v/>
      </c>
      <c r="K3259" s="10">
        <f t="shared" si="50"/>
        <v>1582532</v>
      </c>
    </row>
    <row r="3260" spans="1:11">
      <c r="A3260" t="s">
        <v>2470</v>
      </c>
      <c r="B3260" s="10">
        <v>2022</v>
      </c>
      <c r="C3260" t="s">
        <v>1236</v>
      </c>
      <c r="D3260" t="s">
        <v>2472</v>
      </c>
      <c r="E3260" t="s">
        <v>2474</v>
      </c>
      <c r="F3260" t="s">
        <v>1844</v>
      </c>
      <c r="G3260" t="s">
        <v>1844</v>
      </c>
      <c r="H3260" s="10">
        <v>1744485</v>
      </c>
      <c r="I3260" t="str">
        <f>IFERROR(VLOOKUP(Final!F3260,'LEAID Match'!$A$2:$B$374,2,FALSE),"")</f>
        <v/>
      </c>
      <c r="K3260" s="10">
        <f t="shared" si="50"/>
        <v>1744485</v>
      </c>
    </row>
    <row r="3261" spans="1:11">
      <c r="A3261" t="s">
        <v>2470</v>
      </c>
      <c r="B3261" s="10">
        <v>2023</v>
      </c>
      <c r="C3261" t="s">
        <v>1236</v>
      </c>
      <c r="D3261" t="s">
        <v>2472</v>
      </c>
      <c r="E3261" t="s">
        <v>2474</v>
      </c>
      <c r="F3261" t="s">
        <v>1844</v>
      </c>
      <c r="G3261" t="s">
        <v>1844</v>
      </c>
      <c r="H3261" s="10">
        <v>1890060</v>
      </c>
      <c r="I3261" t="str">
        <f>IFERROR(VLOOKUP(Final!F3261,'LEAID Match'!$A$2:$B$374,2,FALSE),"")</f>
        <v/>
      </c>
      <c r="K3261" s="10">
        <f t="shared" si="50"/>
        <v>1890060</v>
      </c>
    </row>
    <row r="3262" spans="1:11">
      <c r="A3262" t="s">
        <v>2470</v>
      </c>
      <c r="B3262" s="10">
        <v>2015</v>
      </c>
      <c r="C3262" t="s">
        <v>372</v>
      </c>
      <c r="D3262" t="s">
        <v>2472</v>
      </c>
      <c r="E3262" t="s">
        <v>2474</v>
      </c>
      <c r="F3262" t="s">
        <v>1626</v>
      </c>
      <c r="G3262" t="s">
        <v>318</v>
      </c>
      <c r="H3262" s="10">
        <v>202269</v>
      </c>
      <c r="I3262" t="str">
        <f>IFERROR(VLOOKUP(Final!F3262,'LEAID Match'!$A$2:$B$374,2,FALSE),"")</f>
        <v/>
      </c>
      <c r="K3262" s="10">
        <f t="shared" si="50"/>
        <v>202269</v>
      </c>
    </row>
    <row r="3263" spans="1:11">
      <c r="A3263" t="s">
        <v>2470</v>
      </c>
      <c r="B3263" s="10">
        <v>2016</v>
      </c>
      <c r="C3263" t="s">
        <v>372</v>
      </c>
      <c r="D3263" t="s">
        <v>2472</v>
      </c>
      <c r="E3263" t="s">
        <v>2474</v>
      </c>
      <c r="F3263" t="s">
        <v>1626</v>
      </c>
      <c r="G3263" t="s">
        <v>318</v>
      </c>
      <c r="H3263" s="10">
        <v>183252</v>
      </c>
      <c r="I3263" t="str">
        <f>IFERROR(VLOOKUP(Final!F3263,'LEAID Match'!$A$2:$B$374,2,FALSE),"")</f>
        <v/>
      </c>
      <c r="K3263" s="10">
        <f t="shared" si="50"/>
        <v>183252</v>
      </c>
    </row>
    <row r="3264" spans="1:11">
      <c r="A3264" t="s">
        <v>2470</v>
      </c>
      <c r="B3264" s="10">
        <v>2017</v>
      </c>
      <c r="C3264" t="s">
        <v>372</v>
      </c>
      <c r="D3264" t="s">
        <v>2472</v>
      </c>
      <c r="E3264" t="s">
        <v>2474</v>
      </c>
      <c r="F3264" t="s">
        <v>1626</v>
      </c>
      <c r="G3264" t="s">
        <v>1626</v>
      </c>
      <c r="H3264" s="10">
        <v>207125</v>
      </c>
      <c r="I3264" t="str">
        <f>IFERROR(VLOOKUP(Final!F3264,'LEAID Match'!$A$2:$B$374,2,FALSE),"")</f>
        <v/>
      </c>
      <c r="K3264" s="10">
        <f t="shared" si="50"/>
        <v>207125</v>
      </c>
    </row>
    <row r="3265" spans="1:11">
      <c r="A3265" t="s">
        <v>2470</v>
      </c>
      <c r="B3265" s="10">
        <v>2018</v>
      </c>
      <c r="C3265" t="s">
        <v>372</v>
      </c>
      <c r="D3265" t="s">
        <v>2472</v>
      </c>
      <c r="E3265" t="s">
        <v>2474</v>
      </c>
      <c r="F3265" t="s">
        <v>1626</v>
      </c>
      <c r="G3265" t="s">
        <v>1626</v>
      </c>
      <c r="H3265" s="10">
        <v>211806</v>
      </c>
      <c r="I3265" t="str">
        <f>IFERROR(VLOOKUP(Final!F3265,'LEAID Match'!$A$2:$B$374,2,FALSE),"")</f>
        <v/>
      </c>
      <c r="K3265" s="10">
        <f t="shared" si="50"/>
        <v>211806</v>
      </c>
    </row>
    <row r="3266" spans="1:11">
      <c r="A3266" t="s">
        <v>2470</v>
      </c>
      <c r="B3266" s="10">
        <v>2019</v>
      </c>
      <c r="C3266" t="s">
        <v>372</v>
      </c>
      <c r="D3266" t="s">
        <v>2472</v>
      </c>
      <c r="E3266" t="s">
        <v>2474</v>
      </c>
      <c r="F3266" t="s">
        <v>1626</v>
      </c>
      <c r="G3266" t="s">
        <v>1626</v>
      </c>
      <c r="H3266" s="10">
        <v>196557</v>
      </c>
      <c r="I3266" t="str">
        <f>IFERROR(VLOOKUP(Final!F3266,'LEAID Match'!$A$2:$B$374,2,FALSE),"")</f>
        <v/>
      </c>
      <c r="K3266" s="10">
        <f t="shared" si="50"/>
        <v>196557</v>
      </c>
    </row>
    <row r="3267" spans="1:11">
      <c r="A3267" t="s">
        <v>2470</v>
      </c>
      <c r="B3267" s="10">
        <v>2020</v>
      </c>
      <c r="C3267" t="s">
        <v>372</v>
      </c>
      <c r="D3267" t="s">
        <v>2472</v>
      </c>
      <c r="E3267" t="s">
        <v>2474</v>
      </c>
      <c r="F3267" t="s">
        <v>1626</v>
      </c>
      <c r="G3267" t="s">
        <v>1626</v>
      </c>
      <c r="H3267" s="10">
        <v>200068</v>
      </c>
      <c r="I3267" t="str">
        <f>IFERROR(VLOOKUP(Final!F3267,'LEAID Match'!$A$2:$B$374,2,FALSE),"")</f>
        <v/>
      </c>
      <c r="K3267" s="10">
        <f t="shared" ref="K3267:K3330" si="51">SUM(H3267,J3267)</f>
        <v>200068</v>
      </c>
    </row>
    <row r="3268" spans="1:11">
      <c r="A3268" t="s">
        <v>2470</v>
      </c>
      <c r="B3268" s="10">
        <v>2021</v>
      </c>
      <c r="C3268" t="s">
        <v>372</v>
      </c>
      <c r="D3268" t="s">
        <v>2472</v>
      </c>
      <c r="E3268" t="s">
        <v>2474</v>
      </c>
      <c r="F3268" t="s">
        <v>1626</v>
      </c>
      <c r="G3268" t="s">
        <v>1626</v>
      </c>
      <c r="H3268" s="10">
        <v>204925</v>
      </c>
      <c r="I3268" t="str">
        <f>IFERROR(VLOOKUP(Final!F3268,'LEAID Match'!$A$2:$B$374,2,FALSE),"")</f>
        <v/>
      </c>
      <c r="K3268" s="10">
        <f t="shared" si="51"/>
        <v>204925</v>
      </c>
    </row>
    <row r="3269" spans="1:11">
      <c r="A3269" t="s">
        <v>2470</v>
      </c>
      <c r="B3269" s="10">
        <v>2022</v>
      </c>
      <c r="C3269" t="s">
        <v>372</v>
      </c>
      <c r="D3269" t="s">
        <v>2472</v>
      </c>
      <c r="E3269" t="s">
        <v>2474</v>
      </c>
      <c r="F3269" t="s">
        <v>1626</v>
      </c>
      <c r="G3269" t="s">
        <v>1626</v>
      </c>
      <c r="H3269" s="10">
        <v>223459</v>
      </c>
      <c r="I3269" t="str">
        <f>IFERROR(VLOOKUP(Final!F3269,'LEAID Match'!$A$2:$B$374,2,FALSE),"")</f>
        <v/>
      </c>
      <c r="K3269" s="10">
        <f t="shared" si="51"/>
        <v>223459</v>
      </c>
    </row>
    <row r="3270" spans="1:11">
      <c r="A3270" t="s">
        <v>2470</v>
      </c>
      <c r="B3270" s="10">
        <v>2023</v>
      </c>
      <c r="C3270" t="s">
        <v>372</v>
      </c>
      <c r="D3270" t="s">
        <v>2472</v>
      </c>
      <c r="E3270" t="s">
        <v>2474</v>
      </c>
      <c r="F3270" t="s">
        <v>1626</v>
      </c>
      <c r="G3270" t="s">
        <v>1626</v>
      </c>
      <c r="H3270" s="10">
        <v>240180</v>
      </c>
      <c r="I3270" t="str">
        <f>IFERROR(VLOOKUP(Final!F3270,'LEAID Match'!$A$2:$B$374,2,FALSE),"")</f>
        <v/>
      </c>
      <c r="K3270" s="10">
        <f t="shared" si="51"/>
        <v>240180</v>
      </c>
    </row>
    <row r="3271" spans="1:11">
      <c r="A3271" t="s">
        <v>2470</v>
      </c>
      <c r="B3271" s="10">
        <v>2015</v>
      </c>
      <c r="C3271" t="s">
        <v>453</v>
      </c>
      <c r="D3271" t="s">
        <v>2472</v>
      </c>
      <c r="E3271" t="s">
        <v>2474</v>
      </c>
      <c r="F3271" t="s">
        <v>1940</v>
      </c>
      <c r="G3271" t="s">
        <v>398</v>
      </c>
      <c r="H3271" s="10">
        <v>520998</v>
      </c>
      <c r="I3271" t="str">
        <f>IFERROR(VLOOKUP(Final!F3271,'LEAID Match'!$A$2:$B$374,2,FALSE),"")</f>
        <v/>
      </c>
      <c r="K3271" s="10">
        <f t="shared" si="51"/>
        <v>520998</v>
      </c>
    </row>
    <row r="3272" spans="1:11">
      <c r="A3272" t="s">
        <v>2470</v>
      </c>
      <c r="B3272" s="10">
        <v>2016</v>
      </c>
      <c r="C3272" t="s">
        <v>453</v>
      </c>
      <c r="D3272" t="s">
        <v>2472</v>
      </c>
      <c r="E3272" t="s">
        <v>2474</v>
      </c>
      <c r="F3272" t="s">
        <v>1940</v>
      </c>
      <c r="G3272" t="s">
        <v>398</v>
      </c>
      <c r="H3272" s="10">
        <v>555751</v>
      </c>
      <c r="I3272" t="str">
        <f>IFERROR(VLOOKUP(Final!F3272,'LEAID Match'!$A$2:$B$374,2,FALSE),"")</f>
        <v/>
      </c>
      <c r="K3272" s="10">
        <f t="shared" si="51"/>
        <v>555751</v>
      </c>
    </row>
    <row r="3273" spans="1:11">
      <c r="A3273" t="s">
        <v>2470</v>
      </c>
      <c r="B3273" s="10">
        <v>2017</v>
      </c>
      <c r="C3273" t="s">
        <v>453</v>
      </c>
      <c r="D3273" t="s">
        <v>2472</v>
      </c>
      <c r="E3273" t="s">
        <v>2474</v>
      </c>
      <c r="F3273" t="s">
        <v>1940</v>
      </c>
      <c r="G3273" t="s">
        <v>1940</v>
      </c>
      <c r="H3273" s="10">
        <v>614831</v>
      </c>
      <c r="I3273" t="str">
        <f>IFERROR(VLOOKUP(Final!F3273,'LEAID Match'!$A$2:$B$374,2,FALSE),"")</f>
        <v/>
      </c>
      <c r="K3273" s="10">
        <f t="shared" si="51"/>
        <v>614831</v>
      </c>
    </row>
    <row r="3274" spans="1:11">
      <c r="A3274" t="s">
        <v>2470</v>
      </c>
      <c r="B3274" s="10">
        <v>2018</v>
      </c>
      <c r="C3274" t="s">
        <v>453</v>
      </c>
      <c r="D3274" t="s">
        <v>2472</v>
      </c>
      <c r="E3274" t="s">
        <v>2474</v>
      </c>
      <c r="F3274" t="s">
        <v>1940</v>
      </c>
      <c r="G3274" t="s">
        <v>1940</v>
      </c>
      <c r="H3274" s="10">
        <v>669532</v>
      </c>
      <c r="I3274" t="str">
        <f>IFERROR(VLOOKUP(Final!F3274,'LEAID Match'!$A$2:$B$374,2,FALSE),"")</f>
        <v/>
      </c>
      <c r="K3274" s="10">
        <f t="shared" si="51"/>
        <v>669532</v>
      </c>
    </row>
    <row r="3275" spans="1:11">
      <c r="A3275" t="s">
        <v>2470</v>
      </c>
      <c r="B3275" s="10">
        <v>2019</v>
      </c>
      <c r="C3275" t="s">
        <v>453</v>
      </c>
      <c r="D3275" t="s">
        <v>2472</v>
      </c>
      <c r="E3275" t="s">
        <v>2474</v>
      </c>
      <c r="F3275" t="s">
        <v>1940</v>
      </c>
      <c r="G3275" t="s">
        <v>1940</v>
      </c>
      <c r="H3275" s="10">
        <v>715377</v>
      </c>
      <c r="I3275" t="str">
        <f>IFERROR(VLOOKUP(Final!F3275,'LEAID Match'!$A$2:$B$374,2,FALSE),"")</f>
        <v/>
      </c>
      <c r="K3275" s="10">
        <f t="shared" si="51"/>
        <v>715377</v>
      </c>
    </row>
    <row r="3276" spans="1:11">
      <c r="A3276" t="s">
        <v>2470</v>
      </c>
      <c r="B3276" s="10">
        <v>2020</v>
      </c>
      <c r="C3276" t="s">
        <v>453</v>
      </c>
      <c r="D3276" t="s">
        <v>2472</v>
      </c>
      <c r="E3276" t="s">
        <v>2474</v>
      </c>
      <c r="F3276" t="s">
        <v>1940</v>
      </c>
      <c r="G3276" t="s">
        <v>1940</v>
      </c>
      <c r="H3276" s="10">
        <v>772330</v>
      </c>
      <c r="I3276" t="str">
        <f>IFERROR(VLOOKUP(Final!F3276,'LEAID Match'!$A$2:$B$374,2,FALSE),"")</f>
        <v/>
      </c>
      <c r="K3276" s="10">
        <f t="shared" si="51"/>
        <v>772330</v>
      </c>
    </row>
    <row r="3277" spans="1:11">
      <c r="A3277" t="s">
        <v>2470</v>
      </c>
      <c r="B3277" s="10">
        <v>2021</v>
      </c>
      <c r="C3277" t="s">
        <v>453</v>
      </c>
      <c r="D3277" t="s">
        <v>2472</v>
      </c>
      <c r="E3277" t="s">
        <v>2474</v>
      </c>
      <c r="F3277" t="s">
        <v>1940</v>
      </c>
      <c r="G3277" t="s">
        <v>1940</v>
      </c>
      <c r="H3277" s="10">
        <v>784230</v>
      </c>
      <c r="I3277" t="str">
        <f>IFERROR(VLOOKUP(Final!F3277,'LEAID Match'!$A$2:$B$374,2,FALSE),"")</f>
        <v/>
      </c>
      <c r="K3277" s="10">
        <f t="shared" si="51"/>
        <v>784230</v>
      </c>
    </row>
    <row r="3278" spans="1:11">
      <c r="A3278" t="s">
        <v>2470</v>
      </c>
      <c r="B3278" s="10">
        <v>2022</v>
      </c>
      <c r="C3278" t="s">
        <v>453</v>
      </c>
      <c r="D3278" t="s">
        <v>2472</v>
      </c>
      <c r="E3278" t="s">
        <v>2474</v>
      </c>
      <c r="F3278" t="s">
        <v>1940</v>
      </c>
      <c r="G3278" t="s">
        <v>1940</v>
      </c>
      <c r="H3278" s="10">
        <v>926221</v>
      </c>
      <c r="I3278" t="str">
        <f>IFERROR(VLOOKUP(Final!F3278,'LEAID Match'!$A$2:$B$374,2,FALSE),"")</f>
        <v/>
      </c>
      <c r="K3278" s="10">
        <f t="shared" si="51"/>
        <v>926221</v>
      </c>
    </row>
    <row r="3279" spans="1:11">
      <c r="A3279" t="s">
        <v>2470</v>
      </c>
      <c r="B3279" s="10">
        <v>2023</v>
      </c>
      <c r="C3279" t="s">
        <v>453</v>
      </c>
      <c r="D3279" t="s">
        <v>2472</v>
      </c>
      <c r="E3279" t="s">
        <v>2474</v>
      </c>
      <c r="F3279" t="s">
        <v>1940</v>
      </c>
      <c r="G3279" t="s">
        <v>1940</v>
      </c>
      <c r="H3279" s="10">
        <v>1037348</v>
      </c>
      <c r="I3279" t="str">
        <f>IFERROR(VLOOKUP(Final!F3279,'LEAID Match'!$A$2:$B$374,2,FALSE),"")</f>
        <v/>
      </c>
      <c r="K3279" s="10">
        <f t="shared" si="51"/>
        <v>1037348</v>
      </c>
    </row>
    <row r="3280" spans="1:11">
      <c r="A3280" t="s">
        <v>2470</v>
      </c>
      <c r="B3280" s="10">
        <v>2015</v>
      </c>
      <c r="C3280" t="s">
        <v>373</v>
      </c>
      <c r="D3280" t="s">
        <v>2472</v>
      </c>
      <c r="E3280" t="s">
        <v>2474</v>
      </c>
      <c r="F3280" t="s">
        <v>1636</v>
      </c>
      <c r="G3280" t="s">
        <v>319</v>
      </c>
      <c r="H3280" s="10">
        <v>1709239</v>
      </c>
      <c r="I3280" t="str">
        <f>IFERROR(VLOOKUP(Final!F3280,'LEAID Match'!$A$2:$B$374,2,FALSE),"")</f>
        <v/>
      </c>
      <c r="K3280" s="10">
        <f t="shared" si="51"/>
        <v>1709239</v>
      </c>
    </row>
    <row r="3281" spans="1:11">
      <c r="A3281" t="s">
        <v>2470</v>
      </c>
      <c r="B3281" s="10">
        <v>2016</v>
      </c>
      <c r="C3281" t="s">
        <v>373</v>
      </c>
      <c r="D3281" t="s">
        <v>2472</v>
      </c>
      <c r="E3281" t="s">
        <v>2474</v>
      </c>
      <c r="F3281" t="s">
        <v>1636</v>
      </c>
      <c r="G3281" t="s">
        <v>319</v>
      </c>
      <c r="H3281" s="10">
        <v>1899119</v>
      </c>
      <c r="I3281" t="str">
        <f>IFERROR(VLOOKUP(Final!F3281,'LEAID Match'!$A$2:$B$374,2,FALSE),"")</f>
        <v/>
      </c>
      <c r="K3281" s="10">
        <f t="shared" si="51"/>
        <v>1899119</v>
      </c>
    </row>
    <row r="3282" spans="1:11">
      <c r="A3282" t="s">
        <v>2470</v>
      </c>
      <c r="B3282" s="10">
        <v>2017</v>
      </c>
      <c r="C3282" t="s">
        <v>373</v>
      </c>
      <c r="D3282" t="s">
        <v>2472</v>
      </c>
      <c r="E3282" t="s">
        <v>2474</v>
      </c>
      <c r="F3282" t="s">
        <v>1636</v>
      </c>
      <c r="G3282" t="s">
        <v>1636</v>
      </c>
      <c r="H3282" s="10">
        <v>1984612</v>
      </c>
      <c r="I3282" t="str">
        <f>IFERROR(VLOOKUP(Final!F3282,'LEAID Match'!$A$2:$B$374,2,FALSE),"")</f>
        <v/>
      </c>
      <c r="K3282" s="10">
        <f t="shared" si="51"/>
        <v>1984612</v>
      </c>
    </row>
    <row r="3283" spans="1:11">
      <c r="A3283" t="s">
        <v>2470</v>
      </c>
      <c r="B3283" s="10">
        <v>2018</v>
      </c>
      <c r="C3283" t="s">
        <v>373</v>
      </c>
      <c r="D3283" t="s">
        <v>2472</v>
      </c>
      <c r="E3283" t="s">
        <v>2474</v>
      </c>
      <c r="F3283" t="s">
        <v>1636</v>
      </c>
      <c r="G3283" t="s">
        <v>1636</v>
      </c>
      <c r="H3283" s="10">
        <v>2249834</v>
      </c>
      <c r="I3283" t="str">
        <f>IFERROR(VLOOKUP(Final!F3283,'LEAID Match'!$A$2:$B$374,2,FALSE),"")</f>
        <v/>
      </c>
      <c r="K3283" s="10">
        <f t="shared" si="51"/>
        <v>2249834</v>
      </c>
    </row>
    <row r="3284" spans="1:11">
      <c r="A3284" t="s">
        <v>2470</v>
      </c>
      <c r="B3284" s="10">
        <v>2019</v>
      </c>
      <c r="C3284" t="s">
        <v>373</v>
      </c>
      <c r="D3284" t="s">
        <v>2472</v>
      </c>
      <c r="E3284" t="s">
        <v>2474</v>
      </c>
      <c r="F3284" t="s">
        <v>1636</v>
      </c>
      <c r="G3284" t="s">
        <v>1636</v>
      </c>
      <c r="H3284" s="10">
        <v>2473683</v>
      </c>
      <c r="I3284" t="str">
        <f>IFERROR(VLOOKUP(Final!F3284,'LEAID Match'!$A$2:$B$374,2,FALSE),"")</f>
        <v/>
      </c>
      <c r="K3284" s="10">
        <f t="shared" si="51"/>
        <v>2473683</v>
      </c>
    </row>
    <row r="3285" spans="1:11">
      <c r="A3285" t="s">
        <v>2470</v>
      </c>
      <c r="B3285" s="10">
        <v>2020</v>
      </c>
      <c r="C3285" t="s">
        <v>373</v>
      </c>
      <c r="D3285" t="s">
        <v>2472</v>
      </c>
      <c r="E3285" t="s">
        <v>2474</v>
      </c>
      <c r="F3285" t="s">
        <v>1636</v>
      </c>
      <c r="G3285" t="s">
        <v>1636</v>
      </c>
      <c r="H3285" s="10">
        <v>2716829</v>
      </c>
      <c r="I3285" t="str">
        <f>IFERROR(VLOOKUP(Final!F3285,'LEAID Match'!$A$2:$B$374,2,FALSE),"")</f>
        <v/>
      </c>
      <c r="K3285" s="10">
        <f t="shared" si="51"/>
        <v>2716829</v>
      </c>
    </row>
    <row r="3286" spans="1:11">
      <c r="A3286" t="s">
        <v>2470</v>
      </c>
      <c r="B3286" s="10">
        <v>2021</v>
      </c>
      <c r="C3286" t="s">
        <v>373</v>
      </c>
      <c r="D3286" t="s">
        <v>2472</v>
      </c>
      <c r="E3286" t="s">
        <v>2474</v>
      </c>
      <c r="F3286" t="s">
        <v>1636</v>
      </c>
      <c r="G3286" t="s">
        <v>1636</v>
      </c>
      <c r="H3286" s="10">
        <v>2853148</v>
      </c>
      <c r="I3286" t="str">
        <f>IFERROR(VLOOKUP(Final!F3286,'LEAID Match'!$A$2:$B$374,2,FALSE),"")</f>
        <v/>
      </c>
      <c r="K3286" s="10">
        <f t="shared" si="51"/>
        <v>2853148</v>
      </c>
    </row>
    <row r="3287" spans="1:11">
      <c r="A3287" t="s">
        <v>2470</v>
      </c>
      <c r="B3287" s="10">
        <v>2022</v>
      </c>
      <c r="C3287" t="s">
        <v>373</v>
      </c>
      <c r="D3287" t="s">
        <v>2472</v>
      </c>
      <c r="E3287" t="s">
        <v>2474</v>
      </c>
      <c r="F3287" t="s">
        <v>1636</v>
      </c>
      <c r="G3287" t="s">
        <v>1636</v>
      </c>
      <c r="H3287" s="10">
        <v>3527001</v>
      </c>
      <c r="I3287" t="str">
        <f>IFERROR(VLOOKUP(Final!F3287,'LEAID Match'!$A$2:$B$374,2,FALSE),"")</f>
        <v/>
      </c>
      <c r="K3287" s="10">
        <f t="shared" si="51"/>
        <v>3527001</v>
      </c>
    </row>
    <row r="3288" spans="1:11">
      <c r="A3288" t="s">
        <v>2470</v>
      </c>
      <c r="B3288" s="10">
        <v>2023</v>
      </c>
      <c r="C3288" t="s">
        <v>373</v>
      </c>
      <c r="D3288" t="s">
        <v>2472</v>
      </c>
      <c r="E3288" t="s">
        <v>2474</v>
      </c>
      <c r="F3288" t="s">
        <v>1636</v>
      </c>
      <c r="G3288" t="s">
        <v>1636</v>
      </c>
      <c r="H3288" s="10">
        <v>4222916</v>
      </c>
      <c r="I3288" t="str">
        <f>IFERROR(VLOOKUP(Final!F3288,'LEAID Match'!$A$2:$B$374,2,FALSE),"")</f>
        <v/>
      </c>
      <c r="K3288" s="10">
        <f t="shared" si="51"/>
        <v>4222916</v>
      </c>
    </row>
    <row r="3289" spans="1:11">
      <c r="A3289" t="s">
        <v>2470</v>
      </c>
      <c r="B3289" s="10">
        <v>2015</v>
      </c>
      <c r="C3289" t="s">
        <v>444</v>
      </c>
      <c r="D3289" t="s">
        <v>2472</v>
      </c>
      <c r="E3289" t="s">
        <v>2474</v>
      </c>
      <c r="F3289" t="s">
        <v>1800</v>
      </c>
      <c r="G3289" t="s">
        <v>389</v>
      </c>
      <c r="H3289" s="10">
        <v>775991</v>
      </c>
      <c r="I3289" t="str">
        <f>IFERROR(VLOOKUP(Final!F3289,'LEAID Match'!$A$2:$B$374,2,FALSE),"")</f>
        <v/>
      </c>
      <c r="K3289" s="10">
        <f t="shared" si="51"/>
        <v>775991</v>
      </c>
    </row>
    <row r="3290" spans="1:11">
      <c r="A3290" t="s">
        <v>2470</v>
      </c>
      <c r="B3290" s="10">
        <v>2016</v>
      </c>
      <c r="C3290" t="s">
        <v>444</v>
      </c>
      <c r="D3290" t="s">
        <v>2472</v>
      </c>
      <c r="E3290" t="s">
        <v>2474</v>
      </c>
      <c r="F3290" t="s">
        <v>1800</v>
      </c>
      <c r="G3290" t="s">
        <v>389</v>
      </c>
      <c r="H3290" s="10">
        <v>837549</v>
      </c>
      <c r="I3290" t="str">
        <f>IFERROR(VLOOKUP(Final!F3290,'LEAID Match'!$A$2:$B$374,2,FALSE),"")</f>
        <v/>
      </c>
      <c r="K3290" s="10">
        <f t="shared" si="51"/>
        <v>837549</v>
      </c>
    </row>
    <row r="3291" spans="1:11">
      <c r="A3291" t="s">
        <v>2470</v>
      </c>
      <c r="B3291" s="10">
        <v>2017</v>
      </c>
      <c r="C3291" t="s">
        <v>444</v>
      </c>
      <c r="D3291" t="s">
        <v>2472</v>
      </c>
      <c r="E3291" t="s">
        <v>2474</v>
      </c>
      <c r="F3291" t="s">
        <v>1800</v>
      </c>
      <c r="G3291" t="s">
        <v>1800</v>
      </c>
      <c r="H3291" s="10">
        <v>892672</v>
      </c>
      <c r="I3291" t="str">
        <f>IFERROR(VLOOKUP(Final!F3291,'LEAID Match'!$A$2:$B$374,2,FALSE),"")</f>
        <v/>
      </c>
      <c r="K3291" s="10">
        <f t="shared" si="51"/>
        <v>892672</v>
      </c>
    </row>
    <row r="3292" spans="1:11">
      <c r="A3292" t="s">
        <v>2470</v>
      </c>
      <c r="B3292" s="10">
        <v>2018</v>
      </c>
      <c r="C3292" t="s">
        <v>444</v>
      </c>
      <c r="D3292" t="s">
        <v>2472</v>
      </c>
      <c r="E3292" t="s">
        <v>2474</v>
      </c>
      <c r="F3292" t="s">
        <v>1800</v>
      </c>
      <c r="G3292" t="s">
        <v>1800</v>
      </c>
      <c r="H3292" s="10">
        <v>939865</v>
      </c>
      <c r="I3292" t="str">
        <f>IFERROR(VLOOKUP(Final!F3292,'LEAID Match'!$A$2:$B$374,2,FALSE),"")</f>
        <v/>
      </c>
      <c r="K3292" s="10">
        <f t="shared" si="51"/>
        <v>939865</v>
      </c>
    </row>
    <row r="3293" spans="1:11">
      <c r="A3293" t="s">
        <v>2470</v>
      </c>
      <c r="B3293" s="10">
        <v>2019</v>
      </c>
      <c r="C3293" t="s">
        <v>444</v>
      </c>
      <c r="D3293" t="s">
        <v>2472</v>
      </c>
      <c r="E3293" t="s">
        <v>2474</v>
      </c>
      <c r="F3293" t="s">
        <v>1800</v>
      </c>
      <c r="G3293" t="s">
        <v>1800</v>
      </c>
      <c r="H3293" s="10">
        <v>1010100</v>
      </c>
      <c r="I3293" t="str">
        <f>IFERROR(VLOOKUP(Final!F3293,'LEAID Match'!$A$2:$B$374,2,FALSE),"")</f>
        <v/>
      </c>
      <c r="K3293" s="10">
        <f t="shared" si="51"/>
        <v>1010100</v>
      </c>
    </row>
    <row r="3294" spans="1:11">
      <c r="A3294" t="s">
        <v>2470</v>
      </c>
      <c r="B3294" s="10">
        <v>2020</v>
      </c>
      <c r="C3294" t="s">
        <v>444</v>
      </c>
      <c r="D3294" t="s">
        <v>2472</v>
      </c>
      <c r="E3294" t="s">
        <v>2474</v>
      </c>
      <c r="F3294" t="s">
        <v>1800</v>
      </c>
      <c r="G3294" t="s">
        <v>1800</v>
      </c>
      <c r="H3294" s="10">
        <v>1144365</v>
      </c>
      <c r="I3294" t="str">
        <f>IFERROR(VLOOKUP(Final!F3294,'LEAID Match'!$A$2:$B$374,2,FALSE),"")</f>
        <v/>
      </c>
      <c r="K3294" s="10">
        <f t="shared" si="51"/>
        <v>1144365</v>
      </c>
    </row>
    <row r="3295" spans="1:11">
      <c r="A3295" t="s">
        <v>2470</v>
      </c>
      <c r="B3295" s="10">
        <v>2021</v>
      </c>
      <c r="C3295" t="s">
        <v>444</v>
      </c>
      <c r="D3295" t="s">
        <v>2472</v>
      </c>
      <c r="E3295" t="s">
        <v>2474</v>
      </c>
      <c r="F3295" t="s">
        <v>1800</v>
      </c>
      <c r="G3295" t="s">
        <v>1800</v>
      </c>
      <c r="H3295" s="10">
        <v>1265937</v>
      </c>
      <c r="I3295" t="str">
        <f>IFERROR(VLOOKUP(Final!F3295,'LEAID Match'!$A$2:$B$374,2,FALSE),"")</f>
        <v/>
      </c>
      <c r="K3295" s="10">
        <f t="shared" si="51"/>
        <v>1265937</v>
      </c>
    </row>
    <row r="3296" spans="1:11">
      <c r="A3296" t="s">
        <v>2470</v>
      </c>
      <c r="B3296" s="10">
        <v>2022</v>
      </c>
      <c r="C3296" t="s">
        <v>444</v>
      </c>
      <c r="D3296" t="s">
        <v>2472</v>
      </c>
      <c r="E3296" t="s">
        <v>2474</v>
      </c>
      <c r="F3296" t="s">
        <v>1800</v>
      </c>
      <c r="G3296" t="s">
        <v>1800</v>
      </c>
      <c r="H3296" s="10">
        <v>1430899</v>
      </c>
      <c r="I3296" t="str">
        <f>IFERROR(VLOOKUP(Final!F3296,'LEAID Match'!$A$2:$B$374,2,FALSE),"")</f>
        <v/>
      </c>
      <c r="K3296" s="10">
        <f t="shared" si="51"/>
        <v>1430899</v>
      </c>
    </row>
    <row r="3297" spans="1:11">
      <c r="A3297" t="s">
        <v>2470</v>
      </c>
      <c r="B3297" s="10">
        <v>2023</v>
      </c>
      <c r="C3297" t="s">
        <v>444</v>
      </c>
      <c r="D3297" t="s">
        <v>2472</v>
      </c>
      <c r="E3297" t="s">
        <v>2474</v>
      </c>
      <c r="F3297" t="s">
        <v>1800</v>
      </c>
      <c r="G3297" t="s">
        <v>1800</v>
      </c>
      <c r="H3297" s="10">
        <v>1612699</v>
      </c>
      <c r="I3297" t="str">
        <f>IFERROR(VLOOKUP(Final!F3297,'LEAID Match'!$A$2:$B$374,2,FALSE),"")</f>
        <v/>
      </c>
      <c r="K3297" s="10">
        <f t="shared" si="51"/>
        <v>1612699</v>
      </c>
    </row>
    <row r="3298" spans="1:11">
      <c r="A3298" t="s">
        <v>2470</v>
      </c>
      <c r="B3298" s="10">
        <v>2015</v>
      </c>
      <c r="C3298" t="s">
        <v>374</v>
      </c>
      <c r="D3298" t="s">
        <v>2472</v>
      </c>
      <c r="E3298" t="s">
        <v>2474</v>
      </c>
      <c r="F3298" t="s">
        <v>1646</v>
      </c>
      <c r="G3298" t="s">
        <v>320</v>
      </c>
      <c r="H3298" s="10">
        <v>1464181</v>
      </c>
      <c r="I3298" t="str">
        <f>IFERROR(VLOOKUP(Final!F3298,'LEAID Match'!$A$2:$B$374,2,FALSE),"")</f>
        <v/>
      </c>
      <c r="K3298" s="10">
        <f t="shared" si="51"/>
        <v>1464181</v>
      </c>
    </row>
    <row r="3299" spans="1:11">
      <c r="A3299" t="s">
        <v>2470</v>
      </c>
      <c r="B3299" s="10">
        <v>2016</v>
      </c>
      <c r="C3299" t="s">
        <v>374</v>
      </c>
      <c r="D3299" t="s">
        <v>2472</v>
      </c>
      <c r="E3299" t="s">
        <v>2474</v>
      </c>
      <c r="F3299" t="s">
        <v>1646</v>
      </c>
      <c r="G3299" t="s">
        <v>320</v>
      </c>
      <c r="H3299" s="10">
        <v>1501375</v>
      </c>
      <c r="I3299" t="str">
        <f>IFERROR(VLOOKUP(Final!F3299,'LEAID Match'!$A$2:$B$374,2,FALSE),"")</f>
        <v/>
      </c>
      <c r="K3299" s="10">
        <f t="shared" si="51"/>
        <v>1501375</v>
      </c>
    </row>
    <row r="3300" spans="1:11">
      <c r="A3300" t="s">
        <v>2470</v>
      </c>
      <c r="B3300" s="10">
        <v>2017</v>
      </c>
      <c r="C3300" t="s">
        <v>374</v>
      </c>
      <c r="D3300" t="s">
        <v>2472</v>
      </c>
      <c r="E3300" t="s">
        <v>2474</v>
      </c>
      <c r="F3300" t="s">
        <v>1646</v>
      </c>
      <c r="G3300" t="s">
        <v>1646</v>
      </c>
      <c r="H3300" s="10">
        <v>1508650</v>
      </c>
      <c r="I3300" t="str">
        <f>IFERROR(VLOOKUP(Final!F3300,'LEAID Match'!$A$2:$B$374,2,FALSE),"")</f>
        <v/>
      </c>
      <c r="K3300" s="10">
        <f t="shared" si="51"/>
        <v>1508650</v>
      </c>
    </row>
    <row r="3301" spans="1:11">
      <c r="A3301" t="s">
        <v>2470</v>
      </c>
      <c r="B3301" s="10">
        <v>2018</v>
      </c>
      <c r="C3301" t="s">
        <v>374</v>
      </c>
      <c r="D3301" t="s">
        <v>2472</v>
      </c>
      <c r="E3301" t="s">
        <v>2474</v>
      </c>
      <c r="F3301" t="s">
        <v>1646</v>
      </c>
      <c r="G3301" t="s">
        <v>1646</v>
      </c>
      <c r="H3301" s="10">
        <v>1560881</v>
      </c>
      <c r="I3301" t="str">
        <f>IFERROR(VLOOKUP(Final!F3301,'LEAID Match'!$A$2:$B$374,2,FALSE),"")</f>
        <v/>
      </c>
      <c r="K3301" s="10">
        <f t="shared" si="51"/>
        <v>1560881</v>
      </c>
    </row>
    <row r="3302" spans="1:11">
      <c r="A3302" t="s">
        <v>2470</v>
      </c>
      <c r="B3302" s="10">
        <v>2019</v>
      </c>
      <c r="C3302" t="s">
        <v>374</v>
      </c>
      <c r="D3302" t="s">
        <v>2472</v>
      </c>
      <c r="E3302" t="s">
        <v>2474</v>
      </c>
      <c r="F3302" t="s">
        <v>1646</v>
      </c>
      <c r="G3302" t="s">
        <v>1646</v>
      </c>
      <c r="H3302" s="10">
        <v>1583655</v>
      </c>
      <c r="I3302" t="str">
        <f>IFERROR(VLOOKUP(Final!F3302,'LEAID Match'!$A$2:$B$374,2,FALSE),"")</f>
        <v/>
      </c>
      <c r="K3302" s="10">
        <f t="shared" si="51"/>
        <v>1583655</v>
      </c>
    </row>
    <row r="3303" spans="1:11">
      <c r="A3303" t="s">
        <v>2470</v>
      </c>
      <c r="B3303" s="10">
        <v>2020</v>
      </c>
      <c r="C3303" t="s">
        <v>374</v>
      </c>
      <c r="D3303" t="s">
        <v>2472</v>
      </c>
      <c r="E3303" t="s">
        <v>2474</v>
      </c>
      <c r="F3303" t="s">
        <v>1646</v>
      </c>
      <c r="G3303" t="s">
        <v>1646</v>
      </c>
      <c r="H3303" s="10">
        <v>1607330</v>
      </c>
      <c r="I3303" t="str">
        <f>IFERROR(VLOOKUP(Final!F3303,'LEAID Match'!$A$2:$B$374,2,FALSE),"")</f>
        <v/>
      </c>
      <c r="K3303" s="10">
        <f t="shared" si="51"/>
        <v>1607330</v>
      </c>
    </row>
    <row r="3304" spans="1:11">
      <c r="A3304" t="s">
        <v>2470</v>
      </c>
      <c r="B3304" s="10">
        <v>2021</v>
      </c>
      <c r="C3304" t="s">
        <v>374</v>
      </c>
      <c r="D3304" t="s">
        <v>2472</v>
      </c>
      <c r="E3304" t="s">
        <v>2474</v>
      </c>
      <c r="F3304" t="s">
        <v>1646</v>
      </c>
      <c r="G3304" t="s">
        <v>1646</v>
      </c>
      <c r="H3304" s="10">
        <v>1659941</v>
      </c>
      <c r="I3304" t="str">
        <f>IFERROR(VLOOKUP(Final!F3304,'LEAID Match'!$A$2:$B$374,2,FALSE),"")</f>
        <v/>
      </c>
      <c r="K3304" s="10">
        <f t="shared" si="51"/>
        <v>1659941</v>
      </c>
    </row>
    <row r="3305" spans="1:11">
      <c r="A3305" t="s">
        <v>2470</v>
      </c>
      <c r="B3305" s="10">
        <v>2022</v>
      </c>
      <c r="C3305" t="s">
        <v>374</v>
      </c>
      <c r="D3305" t="s">
        <v>2472</v>
      </c>
      <c r="E3305" t="s">
        <v>2474</v>
      </c>
      <c r="F3305" t="s">
        <v>1646</v>
      </c>
      <c r="G3305" t="s">
        <v>1646</v>
      </c>
      <c r="H3305" s="10">
        <v>1823737</v>
      </c>
      <c r="I3305" t="str">
        <f>IFERROR(VLOOKUP(Final!F3305,'LEAID Match'!$A$2:$B$374,2,FALSE),"")</f>
        <v/>
      </c>
      <c r="K3305" s="10">
        <f t="shared" si="51"/>
        <v>1823737</v>
      </c>
    </row>
    <row r="3306" spans="1:11">
      <c r="A3306" t="s">
        <v>2470</v>
      </c>
      <c r="B3306" s="10">
        <v>2023</v>
      </c>
      <c r="C3306" t="s">
        <v>374</v>
      </c>
      <c r="D3306" t="s">
        <v>2472</v>
      </c>
      <c r="E3306" t="s">
        <v>2474</v>
      </c>
      <c r="F3306" t="s">
        <v>1646</v>
      </c>
      <c r="G3306" t="s">
        <v>1646</v>
      </c>
      <c r="H3306" s="10">
        <v>1995448</v>
      </c>
      <c r="I3306" t="str">
        <f>IFERROR(VLOOKUP(Final!F3306,'LEAID Match'!$A$2:$B$374,2,FALSE),"")</f>
        <v/>
      </c>
      <c r="K3306" s="10">
        <f t="shared" si="51"/>
        <v>1995448</v>
      </c>
    </row>
    <row r="3307" spans="1:11">
      <c r="A3307" t="s">
        <v>2470</v>
      </c>
      <c r="B3307" s="10">
        <v>2015</v>
      </c>
      <c r="C3307" t="s">
        <v>376</v>
      </c>
      <c r="D3307" t="s">
        <v>2472</v>
      </c>
      <c r="E3307" t="s">
        <v>2474</v>
      </c>
      <c r="F3307" t="s">
        <v>1676</v>
      </c>
      <c r="G3307" t="s">
        <v>322</v>
      </c>
      <c r="H3307" s="10">
        <v>475104</v>
      </c>
      <c r="I3307" t="str">
        <f>IFERROR(VLOOKUP(Final!F3307,'LEAID Match'!$A$2:$B$374,2,FALSE),"")</f>
        <v/>
      </c>
      <c r="K3307" s="10">
        <f t="shared" si="51"/>
        <v>475104</v>
      </c>
    </row>
    <row r="3308" spans="1:11">
      <c r="A3308" t="s">
        <v>2470</v>
      </c>
      <c r="B3308" s="10">
        <v>2016</v>
      </c>
      <c r="C3308" t="s">
        <v>376</v>
      </c>
      <c r="D3308" t="s">
        <v>2472</v>
      </c>
      <c r="E3308" t="s">
        <v>2474</v>
      </c>
      <c r="F3308" t="s">
        <v>1676</v>
      </c>
      <c r="G3308" t="s">
        <v>322</v>
      </c>
      <c r="H3308" s="10">
        <v>480229</v>
      </c>
      <c r="I3308" t="str">
        <f>IFERROR(VLOOKUP(Final!F3308,'LEAID Match'!$A$2:$B$374,2,FALSE),"")</f>
        <v/>
      </c>
      <c r="K3308" s="10">
        <f t="shared" si="51"/>
        <v>480229</v>
      </c>
    </row>
    <row r="3309" spans="1:11">
      <c r="A3309" t="s">
        <v>2470</v>
      </c>
      <c r="B3309" s="10">
        <v>2017</v>
      </c>
      <c r="C3309" t="s">
        <v>376</v>
      </c>
      <c r="D3309" t="s">
        <v>2472</v>
      </c>
      <c r="E3309" t="s">
        <v>2474</v>
      </c>
      <c r="F3309" t="s">
        <v>1676</v>
      </c>
      <c r="G3309" t="s">
        <v>1676</v>
      </c>
      <c r="H3309" s="10">
        <v>477230</v>
      </c>
      <c r="I3309" t="str">
        <f>IFERROR(VLOOKUP(Final!F3309,'LEAID Match'!$A$2:$B$374,2,FALSE),"")</f>
        <v/>
      </c>
      <c r="K3309" s="10">
        <f t="shared" si="51"/>
        <v>477230</v>
      </c>
    </row>
    <row r="3310" spans="1:11">
      <c r="A3310" t="s">
        <v>2470</v>
      </c>
      <c r="B3310" s="10">
        <v>2018</v>
      </c>
      <c r="C3310" t="s">
        <v>376</v>
      </c>
      <c r="D3310" t="s">
        <v>2472</v>
      </c>
      <c r="E3310" t="s">
        <v>2474</v>
      </c>
      <c r="F3310" t="s">
        <v>1676</v>
      </c>
      <c r="G3310" t="s">
        <v>1676</v>
      </c>
      <c r="H3310" s="10">
        <v>471557</v>
      </c>
      <c r="I3310" t="str">
        <f>IFERROR(VLOOKUP(Final!F3310,'LEAID Match'!$A$2:$B$374,2,FALSE),"")</f>
        <v/>
      </c>
      <c r="K3310" s="10">
        <f t="shared" si="51"/>
        <v>471557</v>
      </c>
    </row>
    <row r="3311" spans="1:11">
      <c r="A3311" t="s">
        <v>2470</v>
      </c>
      <c r="B3311" s="10">
        <v>2019</v>
      </c>
      <c r="C3311" t="s">
        <v>376</v>
      </c>
      <c r="D3311" t="s">
        <v>2472</v>
      </c>
      <c r="E3311" t="s">
        <v>2474</v>
      </c>
      <c r="F3311" t="s">
        <v>1676</v>
      </c>
      <c r="G3311" t="s">
        <v>1676</v>
      </c>
      <c r="H3311" s="10">
        <v>500148</v>
      </c>
      <c r="I3311" t="str">
        <f>IFERROR(VLOOKUP(Final!F3311,'LEAID Match'!$A$2:$B$374,2,FALSE),"")</f>
        <v/>
      </c>
      <c r="K3311" s="10">
        <f t="shared" si="51"/>
        <v>500148</v>
      </c>
    </row>
    <row r="3312" spans="1:11">
      <c r="A3312" t="s">
        <v>2470</v>
      </c>
      <c r="B3312" s="10">
        <v>2020</v>
      </c>
      <c r="C3312" t="s">
        <v>376</v>
      </c>
      <c r="D3312" t="s">
        <v>2472</v>
      </c>
      <c r="E3312" t="s">
        <v>2474</v>
      </c>
      <c r="F3312" t="s">
        <v>1676</v>
      </c>
      <c r="G3312" t="s">
        <v>1676</v>
      </c>
      <c r="H3312" s="10">
        <v>501907</v>
      </c>
      <c r="I3312" t="str">
        <f>IFERROR(VLOOKUP(Final!F3312,'LEAID Match'!$A$2:$B$374,2,FALSE),"")</f>
        <v/>
      </c>
      <c r="K3312" s="10">
        <f t="shared" si="51"/>
        <v>501907</v>
      </c>
    </row>
    <row r="3313" spans="1:11">
      <c r="A3313" t="s">
        <v>2470</v>
      </c>
      <c r="B3313" s="10">
        <v>2021</v>
      </c>
      <c r="C3313" t="s">
        <v>376</v>
      </c>
      <c r="D3313" t="s">
        <v>2472</v>
      </c>
      <c r="E3313" t="s">
        <v>2474</v>
      </c>
      <c r="F3313" t="s">
        <v>1676</v>
      </c>
      <c r="G3313" t="s">
        <v>1676</v>
      </c>
      <c r="H3313" s="10">
        <v>504157</v>
      </c>
      <c r="I3313" t="str">
        <f>IFERROR(VLOOKUP(Final!F3313,'LEAID Match'!$A$2:$B$374,2,FALSE),"")</f>
        <v/>
      </c>
      <c r="K3313" s="10">
        <f t="shared" si="51"/>
        <v>504157</v>
      </c>
    </row>
    <row r="3314" spans="1:11">
      <c r="A3314" t="s">
        <v>2470</v>
      </c>
      <c r="B3314" s="10">
        <v>2022</v>
      </c>
      <c r="C3314" t="s">
        <v>376</v>
      </c>
      <c r="D3314" t="s">
        <v>2472</v>
      </c>
      <c r="E3314" t="s">
        <v>2474</v>
      </c>
      <c r="F3314" t="s">
        <v>1676</v>
      </c>
      <c r="G3314" t="s">
        <v>1676</v>
      </c>
      <c r="H3314" s="10">
        <v>540487</v>
      </c>
      <c r="I3314" t="str">
        <f>IFERROR(VLOOKUP(Final!F3314,'LEAID Match'!$A$2:$B$374,2,FALSE),"")</f>
        <v/>
      </c>
      <c r="K3314" s="10">
        <f t="shared" si="51"/>
        <v>540487</v>
      </c>
    </row>
    <row r="3315" spans="1:11">
      <c r="A3315" t="s">
        <v>2470</v>
      </c>
      <c r="B3315" s="10">
        <v>2023</v>
      </c>
      <c r="C3315" t="s">
        <v>376</v>
      </c>
      <c r="D3315" t="s">
        <v>2472</v>
      </c>
      <c r="E3315" t="s">
        <v>2474</v>
      </c>
      <c r="F3315" t="s">
        <v>1676</v>
      </c>
      <c r="G3315" t="s">
        <v>1676</v>
      </c>
      <c r="H3315" s="10">
        <v>625716</v>
      </c>
      <c r="I3315" t="str">
        <f>IFERROR(VLOOKUP(Final!F3315,'LEAID Match'!$A$2:$B$374,2,FALSE),"")</f>
        <v/>
      </c>
      <c r="K3315" s="10">
        <f t="shared" si="51"/>
        <v>625716</v>
      </c>
    </row>
    <row r="3316" spans="1:11">
      <c r="A3316" t="s">
        <v>2470</v>
      </c>
      <c r="B3316" s="10">
        <v>2015</v>
      </c>
      <c r="C3316" t="s">
        <v>377</v>
      </c>
      <c r="D3316" t="s">
        <v>2472</v>
      </c>
      <c r="E3316" t="s">
        <v>2474</v>
      </c>
      <c r="F3316" t="s">
        <v>1678</v>
      </c>
      <c r="G3316" t="s">
        <v>323</v>
      </c>
      <c r="H3316" s="10">
        <v>757217</v>
      </c>
      <c r="I3316" t="str">
        <f>IFERROR(VLOOKUP(Final!F3316,'LEAID Match'!$A$2:$B$374,2,FALSE),"")</f>
        <v/>
      </c>
      <c r="K3316" s="10">
        <f t="shared" si="51"/>
        <v>757217</v>
      </c>
    </row>
    <row r="3317" spans="1:11">
      <c r="A3317" t="s">
        <v>2470</v>
      </c>
      <c r="B3317" s="10">
        <v>2016</v>
      </c>
      <c r="C3317" t="s">
        <v>377</v>
      </c>
      <c r="D3317" t="s">
        <v>2472</v>
      </c>
      <c r="E3317" t="s">
        <v>2474</v>
      </c>
      <c r="F3317" t="s">
        <v>1678</v>
      </c>
      <c r="G3317" t="s">
        <v>323</v>
      </c>
      <c r="H3317" s="10">
        <v>799009</v>
      </c>
      <c r="I3317" t="str">
        <f>IFERROR(VLOOKUP(Final!F3317,'LEAID Match'!$A$2:$B$374,2,FALSE),"")</f>
        <v/>
      </c>
      <c r="K3317" s="10">
        <f t="shared" si="51"/>
        <v>799009</v>
      </c>
    </row>
    <row r="3318" spans="1:11">
      <c r="A3318" t="s">
        <v>2470</v>
      </c>
      <c r="B3318" s="10">
        <v>2017</v>
      </c>
      <c r="C3318" t="s">
        <v>377</v>
      </c>
      <c r="D3318" t="s">
        <v>2472</v>
      </c>
      <c r="E3318" t="s">
        <v>2474</v>
      </c>
      <c r="F3318" t="s">
        <v>1678</v>
      </c>
      <c r="G3318" t="s">
        <v>1678</v>
      </c>
      <c r="H3318" s="10">
        <v>839096</v>
      </c>
      <c r="I3318" t="str">
        <f>IFERROR(VLOOKUP(Final!F3318,'LEAID Match'!$A$2:$B$374,2,FALSE),"")</f>
        <v/>
      </c>
      <c r="K3318" s="10">
        <f t="shared" si="51"/>
        <v>839096</v>
      </c>
    </row>
    <row r="3319" spans="1:11">
      <c r="A3319" t="s">
        <v>2470</v>
      </c>
      <c r="B3319" s="10">
        <v>2018</v>
      </c>
      <c r="C3319" t="s">
        <v>377</v>
      </c>
      <c r="D3319" t="s">
        <v>2472</v>
      </c>
      <c r="E3319" t="s">
        <v>2474</v>
      </c>
      <c r="F3319" t="s">
        <v>1678</v>
      </c>
      <c r="G3319" t="s">
        <v>1678</v>
      </c>
      <c r="H3319" s="10">
        <v>872011</v>
      </c>
      <c r="I3319" t="str">
        <f>IFERROR(VLOOKUP(Final!F3319,'LEAID Match'!$A$2:$B$374,2,FALSE),"")</f>
        <v/>
      </c>
      <c r="K3319" s="10">
        <f t="shared" si="51"/>
        <v>872011</v>
      </c>
    </row>
    <row r="3320" spans="1:11">
      <c r="A3320" t="s">
        <v>2470</v>
      </c>
      <c r="B3320" s="10">
        <v>2019</v>
      </c>
      <c r="C3320" t="s">
        <v>377</v>
      </c>
      <c r="D3320" t="s">
        <v>2472</v>
      </c>
      <c r="E3320" t="s">
        <v>2474</v>
      </c>
      <c r="F3320" t="s">
        <v>1678</v>
      </c>
      <c r="G3320" t="s">
        <v>1678</v>
      </c>
      <c r="H3320" s="10">
        <v>926517</v>
      </c>
      <c r="I3320" t="str">
        <f>IFERROR(VLOOKUP(Final!F3320,'LEAID Match'!$A$2:$B$374,2,FALSE),"")</f>
        <v/>
      </c>
      <c r="K3320" s="10">
        <f t="shared" si="51"/>
        <v>926517</v>
      </c>
    </row>
    <row r="3321" spans="1:11">
      <c r="A3321" t="s">
        <v>2470</v>
      </c>
      <c r="B3321" s="10">
        <v>2020</v>
      </c>
      <c r="C3321" t="s">
        <v>377</v>
      </c>
      <c r="D3321" t="s">
        <v>2472</v>
      </c>
      <c r="E3321" t="s">
        <v>2474</v>
      </c>
      <c r="F3321" t="s">
        <v>1678</v>
      </c>
      <c r="G3321" t="s">
        <v>1678</v>
      </c>
      <c r="H3321" s="10">
        <v>958329</v>
      </c>
      <c r="I3321" t="str">
        <f>IFERROR(VLOOKUP(Final!F3321,'LEAID Match'!$A$2:$B$374,2,FALSE),"")</f>
        <v/>
      </c>
      <c r="K3321" s="10">
        <f t="shared" si="51"/>
        <v>958329</v>
      </c>
    </row>
    <row r="3322" spans="1:11">
      <c r="A3322" t="s">
        <v>2470</v>
      </c>
      <c r="B3322" s="10">
        <v>2021</v>
      </c>
      <c r="C3322" t="s">
        <v>377</v>
      </c>
      <c r="D3322" t="s">
        <v>2472</v>
      </c>
      <c r="E3322" t="s">
        <v>2474</v>
      </c>
      <c r="F3322" t="s">
        <v>1678</v>
      </c>
      <c r="G3322" t="s">
        <v>1678</v>
      </c>
      <c r="H3322" s="10">
        <v>974702</v>
      </c>
      <c r="I3322" t="str">
        <f>IFERROR(VLOOKUP(Final!F3322,'LEAID Match'!$A$2:$B$374,2,FALSE),"")</f>
        <v/>
      </c>
      <c r="K3322" s="10">
        <f t="shared" si="51"/>
        <v>974702</v>
      </c>
    </row>
    <row r="3323" spans="1:11">
      <c r="A3323" t="s">
        <v>2470</v>
      </c>
      <c r="B3323" s="10">
        <v>2022</v>
      </c>
      <c r="C3323" t="s">
        <v>377</v>
      </c>
      <c r="D3323" t="s">
        <v>2472</v>
      </c>
      <c r="E3323" t="s">
        <v>2474</v>
      </c>
      <c r="F3323" t="s">
        <v>1678</v>
      </c>
      <c r="G3323" t="s">
        <v>1678</v>
      </c>
      <c r="H3323" s="10">
        <v>1039383</v>
      </c>
      <c r="I3323" t="str">
        <f>IFERROR(VLOOKUP(Final!F3323,'LEAID Match'!$A$2:$B$374,2,FALSE),"")</f>
        <v/>
      </c>
      <c r="K3323" s="10">
        <f t="shared" si="51"/>
        <v>1039383</v>
      </c>
    </row>
    <row r="3324" spans="1:11">
      <c r="A3324" t="s">
        <v>2470</v>
      </c>
      <c r="B3324" s="10">
        <v>2023</v>
      </c>
      <c r="C3324" t="s">
        <v>377</v>
      </c>
      <c r="D3324" t="s">
        <v>2472</v>
      </c>
      <c r="E3324" t="s">
        <v>2474</v>
      </c>
      <c r="F3324" t="s">
        <v>1678</v>
      </c>
      <c r="G3324" t="s">
        <v>1678</v>
      </c>
      <c r="H3324" s="10">
        <v>1174423</v>
      </c>
      <c r="I3324" t="str">
        <f>IFERROR(VLOOKUP(Final!F3324,'LEAID Match'!$A$2:$B$374,2,FALSE),"")</f>
        <v/>
      </c>
      <c r="K3324" s="10">
        <f t="shared" si="51"/>
        <v>1174423</v>
      </c>
    </row>
    <row r="3325" spans="1:11">
      <c r="A3325" t="s">
        <v>2470</v>
      </c>
      <c r="B3325" s="10">
        <v>2015</v>
      </c>
      <c r="C3325" t="s">
        <v>375</v>
      </c>
      <c r="D3325" t="s">
        <v>2472</v>
      </c>
      <c r="E3325" t="s">
        <v>2474</v>
      </c>
      <c r="F3325" t="s">
        <v>1654</v>
      </c>
      <c r="G3325" t="s">
        <v>321</v>
      </c>
      <c r="H3325" s="10">
        <v>7333532</v>
      </c>
      <c r="I3325" t="str">
        <f>IFERROR(VLOOKUP(Final!F3325,'LEAID Match'!$A$2:$B$374,2,FALSE),"")</f>
        <v/>
      </c>
      <c r="K3325" s="10">
        <f t="shared" si="51"/>
        <v>7333532</v>
      </c>
    </row>
    <row r="3326" spans="1:11">
      <c r="A3326" t="s">
        <v>2470</v>
      </c>
      <c r="B3326" s="10">
        <v>2016</v>
      </c>
      <c r="C3326" t="s">
        <v>375</v>
      </c>
      <c r="D3326" t="s">
        <v>2472</v>
      </c>
      <c r="E3326" t="s">
        <v>2474</v>
      </c>
      <c r="F3326" t="s">
        <v>1654</v>
      </c>
      <c r="G3326" t="s">
        <v>321</v>
      </c>
      <c r="H3326" s="10">
        <v>7650360</v>
      </c>
      <c r="I3326" t="str">
        <f>IFERROR(VLOOKUP(Final!F3326,'LEAID Match'!$A$2:$B$374,2,FALSE),"")</f>
        <v/>
      </c>
      <c r="K3326" s="10">
        <f t="shared" si="51"/>
        <v>7650360</v>
      </c>
    </row>
    <row r="3327" spans="1:11">
      <c r="A3327" t="s">
        <v>2470</v>
      </c>
      <c r="B3327" s="10">
        <v>2017</v>
      </c>
      <c r="C3327" t="s">
        <v>375</v>
      </c>
      <c r="D3327" t="s">
        <v>2472</v>
      </c>
      <c r="E3327" t="s">
        <v>2474</v>
      </c>
      <c r="F3327" t="s">
        <v>1654</v>
      </c>
      <c r="G3327" t="s">
        <v>1654</v>
      </c>
      <c r="H3327" s="10">
        <v>7808866</v>
      </c>
      <c r="I3327" t="str">
        <f>IFERROR(VLOOKUP(Final!F3327,'LEAID Match'!$A$2:$B$374,2,FALSE),"")</f>
        <v/>
      </c>
      <c r="K3327" s="10">
        <f t="shared" si="51"/>
        <v>7808866</v>
      </c>
    </row>
    <row r="3328" spans="1:11">
      <c r="A3328" t="s">
        <v>2470</v>
      </c>
      <c r="B3328" s="10">
        <v>2018</v>
      </c>
      <c r="C3328" t="s">
        <v>375</v>
      </c>
      <c r="D3328" t="s">
        <v>2472</v>
      </c>
      <c r="E3328" t="s">
        <v>2474</v>
      </c>
      <c r="F3328" t="s">
        <v>1654</v>
      </c>
      <c r="G3328" t="s">
        <v>1654</v>
      </c>
      <c r="H3328" s="10">
        <v>8266698</v>
      </c>
      <c r="I3328" t="str">
        <f>IFERROR(VLOOKUP(Final!F3328,'LEAID Match'!$A$2:$B$374,2,FALSE),"")</f>
        <v/>
      </c>
      <c r="K3328" s="10">
        <f t="shared" si="51"/>
        <v>8266698</v>
      </c>
    </row>
    <row r="3329" spans="1:11">
      <c r="A3329" t="s">
        <v>2470</v>
      </c>
      <c r="B3329" s="10">
        <v>2019</v>
      </c>
      <c r="C3329" t="s">
        <v>375</v>
      </c>
      <c r="D3329" t="s">
        <v>2472</v>
      </c>
      <c r="E3329" t="s">
        <v>2474</v>
      </c>
      <c r="F3329" t="s">
        <v>1654</v>
      </c>
      <c r="G3329" t="s">
        <v>1654</v>
      </c>
      <c r="H3329" s="10">
        <v>8471098</v>
      </c>
      <c r="I3329" t="str">
        <f>IFERROR(VLOOKUP(Final!F3329,'LEAID Match'!$A$2:$B$374,2,FALSE),"")</f>
        <v/>
      </c>
      <c r="K3329" s="10">
        <f t="shared" si="51"/>
        <v>8471098</v>
      </c>
    </row>
    <row r="3330" spans="1:11">
      <c r="A3330" t="s">
        <v>2470</v>
      </c>
      <c r="B3330" s="10">
        <v>2020</v>
      </c>
      <c r="C3330" t="s">
        <v>375</v>
      </c>
      <c r="D3330" t="s">
        <v>2472</v>
      </c>
      <c r="E3330" t="s">
        <v>2474</v>
      </c>
      <c r="F3330" t="s">
        <v>1654</v>
      </c>
      <c r="G3330" t="s">
        <v>1654</v>
      </c>
      <c r="H3330" s="10">
        <v>8851613</v>
      </c>
      <c r="I3330" t="str">
        <f>IFERROR(VLOOKUP(Final!F3330,'LEAID Match'!$A$2:$B$374,2,FALSE),"")</f>
        <v/>
      </c>
      <c r="K3330" s="10">
        <f t="shared" si="51"/>
        <v>8851613</v>
      </c>
    </row>
    <row r="3331" spans="1:11">
      <c r="A3331" t="s">
        <v>2470</v>
      </c>
      <c r="B3331" s="10">
        <v>2021</v>
      </c>
      <c r="C3331" t="s">
        <v>375</v>
      </c>
      <c r="D3331" t="s">
        <v>2472</v>
      </c>
      <c r="E3331" t="s">
        <v>2474</v>
      </c>
      <c r="F3331" t="s">
        <v>1654</v>
      </c>
      <c r="G3331" t="s">
        <v>1654</v>
      </c>
      <c r="H3331" s="10">
        <v>9309291</v>
      </c>
      <c r="I3331" t="str">
        <f>IFERROR(VLOOKUP(Final!F3331,'LEAID Match'!$A$2:$B$374,2,FALSE),"")</f>
        <v/>
      </c>
      <c r="K3331" s="10">
        <f t="shared" ref="K3331:K3394" si="52">SUM(H3331,J3331)</f>
        <v>9309291</v>
      </c>
    </row>
    <row r="3332" spans="1:11">
      <c r="A3332" t="s">
        <v>2470</v>
      </c>
      <c r="B3332" s="10">
        <v>2022</v>
      </c>
      <c r="C3332" t="s">
        <v>375</v>
      </c>
      <c r="D3332" t="s">
        <v>2472</v>
      </c>
      <c r="E3332" t="s">
        <v>2474</v>
      </c>
      <c r="F3332" t="s">
        <v>1654</v>
      </c>
      <c r="G3332" t="s">
        <v>1654</v>
      </c>
      <c r="H3332" s="10">
        <v>9646201</v>
      </c>
      <c r="I3332" t="str">
        <f>IFERROR(VLOOKUP(Final!F3332,'LEAID Match'!$A$2:$B$374,2,FALSE),"")</f>
        <v/>
      </c>
      <c r="K3332" s="10">
        <f t="shared" si="52"/>
        <v>9646201</v>
      </c>
    </row>
    <row r="3333" spans="1:11">
      <c r="A3333" t="s">
        <v>2470</v>
      </c>
      <c r="B3333" s="10">
        <v>2023</v>
      </c>
      <c r="C3333" t="s">
        <v>375</v>
      </c>
      <c r="D3333" t="s">
        <v>2472</v>
      </c>
      <c r="E3333" t="s">
        <v>2474</v>
      </c>
      <c r="F3333" t="s">
        <v>1654</v>
      </c>
      <c r="G3333" t="s">
        <v>1654</v>
      </c>
      <c r="H3333" s="10">
        <v>10614612</v>
      </c>
      <c r="I3333" t="str">
        <f>IFERROR(VLOOKUP(Final!F3333,'LEAID Match'!$A$2:$B$374,2,FALSE),"")</f>
        <v/>
      </c>
      <c r="K3333" s="10">
        <f t="shared" si="52"/>
        <v>10614612</v>
      </c>
    </row>
    <row r="3334" spans="1:11">
      <c r="A3334" t="s">
        <v>2470</v>
      </c>
      <c r="B3334" s="10">
        <v>2015</v>
      </c>
      <c r="C3334" t="s">
        <v>1224</v>
      </c>
      <c r="D3334" t="s">
        <v>2472</v>
      </c>
      <c r="E3334" t="s">
        <v>2474</v>
      </c>
      <c r="F3334" t="s">
        <v>1665</v>
      </c>
      <c r="G3334" t="s">
        <v>1170</v>
      </c>
      <c r="H3334" s="10">
        <v>77640</v>
      </c>
      <c r="I3334" t="str">
        <f>IFERROR(VLOOKUP(Final!F3334,'LEAID Match'!$A$2:$B$374,2,FALSE),"")</f>
        <v/>
      </c>
      <c r="K3334" s="10">
        <f t="shared" si="52"/>
        <v>77640</v>
      </c>
    </row>
    <row r="3335" spans="1:11">
      <c r="A3335" t="s">
        <v>2470</v>
      </c>
      <c r="B3335" s="10">
        <v>2016</v>
      </c>
      <c r="C3335" t="s">
        <v>1224</v>
      </c>
      <c r="D3335" t="s">
        <v>2472</v>
      </c>
      <c r="E3335" t="s">
        <v>2474</v>
      </c>
      <c r="F3335" t="s">
        <v>1665</v>
      </c>
      <c r="G3335" t="s">
        <v>1170</v>
      </c>
      <c r="H3335" s="10">
        <v>84550</v>
      </c>
      <c r="I3335" t="str">
        <f>IFERROR(VLOOKUP(Final!F3335,'LEAID Match'!$A$2:$B$374,2,FALSE),"")</f>
        <v/>
      </c>
      <c r="K3335" s="10">
        <f t="shared" si="52"/>
        <v>84550</v>
      </c>
    </row>
    <row r="3336" spans="1:11">
      <c r="A3336" t="s">
        <v>2470</v>
      </c>
      <c r="B3336" s="10">
        <v>2017</v>
      </c>
      <c r="C3336" t="s">
        <v>1224</v>
      </c>
      <c r="D3336" t="s">
        <v>2472</v>
      </c>
      <c r="E3336" t="s">
        <v>2474</v>
      </c>
      <c r="F3336" t="s">
        <v>1665</v>
      </c>
      <c r="G3336" t="s">
        <v>1665</v>
      </c>
      <c r="H3336" s="10">
        <v>86383</v>
      </c>
      <c r="I3336" t="str">
        <f>IFERROR(VLOOKUP(Final!F3336,'LEAID Match'!$A$2:$B$374,2,FALSE),"")</f>
        <v/>
      </c>
      <c r="K3336" s="10">
        <f t="shared" si="52"/>
        <v>86383</v>
      </c>
    </row>
    <row r="3337" spans="1:11">
      <c r="A3337" t="s">
        <v>2470</v>
      </c>
      <c r="B3337" s="10">
        <v>2018</v>
      </c>
      <c r="C3337" t="s">
        <v>1224</v>
      </c>
      <c r="D3337" t="s">
        <v>2472</v>
      </c>
      <c r="E3337" t="s">
        <v>2474</v>
      </c>
      <c r="F3337" t="s">
        <v>1665</v>
      </c>
      <c r="G3337" t="s">
        <v>1665</v>
      </c>
      <c r="H3337" s="10">
        <v>90727</v>
      </c>
      <c r="I3337" t="str">
        <f>IFERROR(VLOOKUP(Final!F3337,'LEAID Match'!$A$2:$B$374,2,FALSE),"")</f>
        <v/>
      </c>
      <c r="K3337" s="10">
        <f t="shared" si="52"/>
        <v>90727</v>
      </c>
    </row>
    <row r="3338" spans="1:11">
      <c r="A3338" t="s">
        <v>2470</v>
      </c>
      <c r="B3338" s="10">
        <v>2019</v>
      </c>
      <c r="C3338" t="s">
        <v>1224</v>
      </c>
      <c r="D3338" t="s">
        <v>2472</v>
      </c>
      <c r="E3338" t="s">
        <v>2474</v>
      </c>
      <c r="F3338" t="s">
        <v>1665</v>
      </c>
      <c r="G3338" t="s">
        <v>1665</v>
      </c>
      <c r="H3338" s="10">
        <v>86210</v>
      </c>
      <c r="I3338" t="str">
        <f>IFERROR(VLOOKUP(Final!F3338,'LEAID Match'!$A$2:$B$374,2,FALSE),"")</f>
        <v/>
      </c>
      <c r="K3338" s="10">
        <f t="shared" si="52"/>
        <v>86210</v>
      </c>
    </row>
    <row r="3339" spans="1:11">
      <c r="A3339" t="s">
        <v>2470</v>
      </c>
      <c r="B3339" s="10">
        <v>2020</v>
      </c>
      <c r="C3339" t="s">
        <v>1224</v>
      </c>
      <c r="D3339" t="s">
        <v>2472</v>
      </c>
      <c r="E3339" t="s">
        <v>2474</v>
      </c>
      <c r="F3339" t="s">
        <v>1665</v>
      </c>
      <c r="G3339" t="s">
        <v>1665</v>
      </c>
      <c r="H3339" s="10">
        <v>91453</v>
      </c>
      <c r="I3339" t="str">
        <f>IFERROR(VLOOKUP(Final!F3339,'LEAID Match'!$A$2:$B$374,2,FALSE),"")</f>
        <v/>
      </c>
      <c r="K3339" s="10">
        <f t="shared" si="52"/>
        <v>91453</v>
      </c>
    </row>
    <row r="3340" spans="1:11">
      <c r="A3340" t="s">
        <v>2470</v>
      </c>
      <c r="B3340" s="10">
        <v>2021</v>
      </c>
      <c r="C3340" t="s">
        <v>1224</v>
      </c>
      <c r="D3340" t="s">
        <v>2472</v>
      </c>
      <c r="E3340" t="s">
        <v>2474</v>
      </c>
      <c r="F3340" t="s">
        <v>1665</v>
      </c>
      <c r="G3340" t="s">
        <v>1665</v>
      </c>
      <c r="H3340" s="10">
        <v>89013</v>
      </c>
      <c r="I3340" t="str">
        <f>IFERROR(VLOOKUP(Final!F3340,'LEAID Match'!$A$2:$B$374,2,FALSE),"")</f>
        <v/>
      </c>
      <c r="K3340" s="10">
        <f t="shared" si="52"/>
        <v>89013</v>
      </c>
    </row>
    <row r="3341" spans="1:11">
      <c r="A3341" t="s">
        <v>2470</v>
      </c>
      <c r="B3341" s="10">
        <v>2022</v>
      </c>
      <c r="C3341" t="s">
        <v>1224</v>
      </c>
      <c r="D3341" t="s">
        <v>2472</v>
      </c>
      <c r="E3341" t="s">
        <v>2474</v>
      </c>
      <c r="F3341" t="s">
        <v>1665</v>
      </c>
      <c r="G3341" t="s">
        <v>1665</v>
      </c>
      <c r="H3341" s="10">
        <v>99041</v>
      </c>
      <c r="I3341" t="str">
        <f>IFERROR(VLOOKUP(Final!F3341,'LEAID Match'!$A$2:$B$374,2,FALSE),"")</f>
        <v/>
      </c>
      <c r="K3341" s="10">
        <f t="shared" si="52"/>
        <v>99041</v>
      </c>
    </row>
    <row r="3342" spans="1:11">
      <c r="A3342" t="s">
        <v>2470</v>
      </c>
      <c r="B3342" s="10">
        <v>2023</v>
      </c>
      <c r="C3342" t="s">
        <v>1224</v>
      </c>
      <c r="D3342" t="s">
        <v>2472</v>
      </c>
      <c r="E3342" t="s">
        <v>2474</v>
      </c>
      <c r="F3342" t="s">
        <v>1665</v>
      </c>
      <c r="G3342" t="s">
        <v>1665</v>
      </c>
      <c r="H3342" s="10">
        <v>101857</v>
      </c>
      <c r="I3342" t="str">
        <f>IFERROR(VLOOKUP(Final!F3342,'LEAID Match'!$A$2:$B$374,2,FALSE),"")</f>
        <v/>
      </c>
      <c r="K3342" s="10">
        <f t="shared" si="52"/>
        <v>101857</v>
      </c>
    </row>
    <row r="3343" spans="1:11">
      <c r="A3343" t="s">
        <v>2470</v>
      </c>
      <c r="B3343" s="10">
        <v>2015</v>
      </c>
      <c r="C3343" t="s">
        <v>378</v>
      </c>
      <c r="D3343" t="s">
        <v>2472</v>
      </c>
      <c r="E3343" t="s">
        <v>2474</v>
      </c>
      <c r="F3343" t="s">
        <v>1693</v>
      </c>
      <c r="G3343" t="s">
        <v>324</v>
      </c>
      <c r="H3343" s="10">
        <v>456053</v>
      </c>
      <c r="I3343" t="str">
        <f>IFERROR(VLOOKUP(Final!F3343,'LEAID Match'!$A$2:$B$374,2,FALSE),"")</f>
        <v/>
      </c>
      <c r="K3343" s="10">
        <f t="shared" si="52"/>
        <v>456053</v>
      </c>
    </row>
    <row r="3344" spans="1:11">
      <c r="A3344" t="s">
        <v>2470</v>
      </c>
      <c r="B3344" s="10">
        <v>2016</v>
      </c>
      <c r="C3344" t="s">
        <v>378</v>
      </c>
      <c r="D3344" t="s">
        <v>2472</v>
      </c>
      <c r="E3344" t="s">
        <v>2474</v>
      </c>
      <c r="F3344" t="s">
        <v>1693</v>
      </c>
      <c r="G3344" t="s">
        <v>324</v>
      </c>
      <c r="H3344" s="10">
        <v>446614</v>
      </c>
      <c r="I3344" t="str">
        <f>IFERROR(VLOOKUP(Final!F3344,'LEAID Match'!$A$2:$B$374,2,FALSE),"")</f>
        <v/>
      </c>
      <c r="K3344" s="10">
        <f t="shared" si="52"/>
        <v>446614</v>
      </c>
    </row>
    <row r="3345" spans="1:11">
      <c r="A3345" t="s">
        <v>2470</v>
      </c>
      <c r="B3345" s="10">
        <v>2017</v>
      </c>
      <c r="C3345" t="s">
        <v>378</v>
      </c>
      <c r="D3345" t="s">
        <v>2472</v>
      </c>
      <c r="E3345" t="s">
        <v>2474</v>
      </c>
      <c r="F3345" t="s">
        <v>1693</v>
      </c>
      <c r="G3345" t="s">
        <v>1693</v>
      </c>
      <c r="H3345" s="10">
        <v>468993</v>
      </c>
      <c r="I3345" t="str">
        <f>IFERROR(VLOOKUP(Final!F3345,'LEAID Match'!$A$2:$B$374,2,FALSE),"")</f>
        <v/>
      </c>
      <c r="K3345" s="10">
        <f t="shared" si="52"/>
        <v>468993</v>
      </c>
    </row>
    <row r="3346" spans="1:11">
      <c r="A3346" t="s">
        <v>2470</v>
      </c>
      <c r="B3346" s="10">
        <v>2018</v>
      </c>
      <c r="C3346" t="s">
        <v>378</v>
      </c>
      <c r="D3346" t="s">
        <v>2472</v>
      </c>
      <c r="E3346" t="s">
        <v>2474</v>
      </c>
      <c r="F3346" t="s">
        <v>1693</v>
      </c>
      <c r="G3346" t="s">
        <v>1693</v>
      </c>
      <c r="H3346" s="10">
        <v>482755</v>
      </c>
      <c r="I3346" t="str">
        <f>IFERROR(VLOOKUP(Final!F3346,'LEAID Match'!$A$2:$B$374,2,FALSE),"")</f>
        <v/>
      </c>
      <c r="K3346" s="10">
        <f t="shared" si="52"/>
        <v>482755</v>
      </c>
    </row>
    <row r="3347" spans="1:11">
      <c r="A3347" t="s">
        <v>2470</v>
      </c>
      <c r="B3347" s="10">
        <v>2019</v>
      </c>
      <c r="C3347" t="s">
        <v>378</v>
      </c>
      <c r="D3347" t="s">
        <v>2472</v>
      </c>
      <c r="E3347" t="s">
        <v>2474</v>
      </c>
      <c r="F3347" t="s">
        <v>1693</v>
      </c>
      <c r="G3347" t="s">
        <v>1693</v>
      </c>
      <c r="H3347" s="10">
        <v>483691</v>
      </c>
      <c r="I3347" t="str">
        <f>IFERROR(VLOOKUP(Final!F3347,'LEAID Match'!$A$2:$B$374,2,FALSE),"")</f>
        <v/>
      </c>
      <c r="K3347" s="10">
        <f t="shared" si="52"/>
        <v>483691</v>
      </c>
    </row>
    <row r="3348" spans="1:11">
      <c r="A3348" t="s">
        <v>2470</v>
      </c>
      <c r="B3348" s="10">
        <v>2020</v>
      </c>
      <c r="C3348" t="s">
        <v>378</v>
      </c>
      <c r="D3348" t="s">
        <v>2472</v>
      </c>
      <c r="E3348" t="s">
        <v>2474</v>
      </c>
      <c r="F3348" t="s">
        <v>1693</v>
      </c>
      <c r="G3348" t="s">
        <v>1693</v>
      </c>
      <c r="H3348" s="10">
        <v>546125</v>
      </c>
      <c r="I3348" t="str">
        <f>IFERROR(VLOOKUP(Final!F3348,'LEAID Match'!$A$2:$B$374,2,FALSE),"")</f>
        <v/>
      </c>
      <c r="K3348" s="10">
        <f t="shared" si="52"/>
        <v>546125</v>
      </c>
    </row>
    <row r="3349" spans="1:11">
      <c r="A3349" t="s">
        <v>2470</v>
      </c>
      <c r="B3349" s="10">
        <v>2021</v>
      </c>
      <c r="C3349" t="s">
        <v>378</v>
      </c>
      <c r="D3349" t="s">
        <v>2472</v>
      </c>
      <c r="E3349" t="s">
        <v>2474</v>
      </c>
      <c r="F3349" t="s">
        <v>1693</v>
      </c>
      <c r="G3349" t="s">
        <v>1693</v>
      </c>
      <c r="H3349" s="10">
        <v>615172</v>
      </c>
      <c r="I3349" t="str">
        <f>IFERROR(VLOOKUP(Final!F3349,'LEAID Match'!$A$2:$B$374,2,FALSE),"")</f>
        <v/>
      </c>
      <c r="K3349" s="10">
        <f t="shared" si="52"/>
        <v>615172</v>
      </c>
    </row>
    <row r="3350" spans="1:11">
      <c r="A3350" t="s">
        <v>2470</v>
      </c>
      <c r="B3350" s="10">
        <v>2022</v>
      </c>
      <c r="C3350" t="s">
        <v>378</v>
      </c>
      <c r="D3350" t="s">
        <v>2472</v>
      </c>
      <c r="E3350" t="s">
        <v>2474</v>
      </c>
      <c r="F3350" t="s">
        <v>1693</v>
      </c>
      <c r="G3350" t="s">
        <v>1693</v>
      </c>
      <c r="H3350" s="10">
        <v>633061</v>
      </c>
      <c r="I3350" t="str">
        <f>IFERROR(VLOOKUP(Final!F3350,'LEAID Match'!$A$2:$B$374,2,FALSE),"")</f>
        <v/>
      </c>
      <c r="K3350" s="10">
        <f t="shared" si="52"/>
        <v>633061</v>
      </c>
    </row>
    <row r="3351" spans="1:11">
      <c r="A3351" t="s">
        <v>2470</v>
      </c>
      <c r="B3351" s="10">
        <v>2023</v>
      </c>
      <c r="C3351" t="s">
        <v>378</v>
      </c>
      <c r="D3351" t="s">
        <v>2472</v>
      </c>
      <c r="E3351" t="s">
        <v>2474</v>
      </c>
      <c r="F3351" t="s">
        <v>1693</v>
      </c>
      <c r="G3351" t="s">
        <v>1693</v>
      </c>
      <c r="H3351" s="10">
        <v>644570</v>
      </c>
      <c r="I3351" t="str">
        <f>IFERROR(VLOOKUP(Final!F3351,'LEAID Match'!$A$2:$B$374,2,FALSE),"")</f>
        <v/>
      </c>
      <c r="K3351" s="10">
        <f t="shared" si="52"/>
        <v>644570</v>
      </c>
    </row>
    <row r="3352" spans="1:11">
      <c r="A3352" t="s">
        <v>2470</v>
      </c>
      <c r="B3352" s="10">
        <v>2015</v>
      </c>
      <c r="C3352" t="s">
        <v>379</v>
      </c>
      <c r="D3352" t="s">
        <v>2472</v>
      </c>
      <c r="E3352" t="s">
        <v>2474</v>
      </c>
      <c r="F3352" t="s">
        <v>1706</v>
      </c>
      <c r="G3352" t="s">
        <v>325</v>
      </c>
      <c r="H3352" s="10">
        <v>614167</v>
      </c>
      <c r="I3352" t="str">
        <f>IFERROR(VLOOKUP(Final!F3352,'LEAID Match'!$A$2:$B$374,2,FALSE),"")</f>
        <v/>
      </c>
      <c r="K3352" s="10">
        <f t="shared" si="52"/>
        <v>614167</v>
      </c>
    </row>
    <row r="3353" spans="1:11">
      <c r="A3353" t="s">
        <v>2470</v>
      </c>
      <c r="B3353" s="10">
        <v>2016</v>
      </c>
      <c r="C3353" t="s">
        <v>379</v>
      </c>
      <c r="D3353" t="s">
        <v>2472</v>
      </c>
      <c r="E3353" t="s">
        <v>2474</v>
      </c>
      <c r="F3353" t="s">
        <v>1706</v>
      </c>
      <c r="G3353" t="s">
        <v>325</v>
      </c>
      <c r="H3353" s="10">
        <v>625044</v>
      </c>
      <c r="I3353" t="str">
        <f>IFERROR(VLOOKUP(Final!F3353,'LEAID Match'!$A$2:$B$374,2,FALSE),"")</f>
        <v/>
      </c>
      <c r="K3353" s="10">
        <f t="shared" si="52"/>
        <v>625044</v>
      </c>
    </row>
    <row r="3354" spans="1:11">
      <c r="A3354" t="s">
        <v>2470</v>
      </c>
      <c r="B3354" s="10">
        <v>2017</v>
      </c>
      <c r="C3354" t="s">
        <v>379</v>
      </c>
      <c r="D3354" t="s">
        <v>2472</v>
      </c>
      <c r="E3354" t="s">
        <v>2474</v>
      </c>
      <c r="F3354" t="s">
        <v>1706</v>
      </c>
      <c r="G3354" t="s">
        <v>1706</v>
      </c>
      <c r="H3354" s="10">
        <v>624521</v>
      </c>
      <c r="I3354" t="str">
        <f>IFERROR(VLOOKUP(Final!F3354,'LEAID Match'!$A$2:$B$374,2,FALSE),"")</f>
        <v/>
      </c>
      <c r="K3354" s="10">
        <f t="shared" si="52"/>
        <v>624521</v>
      </c>
    </row>
    <row r="3355" spans="1:11">
      <c r="A3355" t="s">
        <v>2470</v>
      </c>
      <c r="B3355" s="10">
        <v>2018</v>
      </c>
      <c r="C3355" t="s">
        <v>379</v>
      </c>
      <c r="D3355" t="s">
        <v>2472</v>
      </c>
      <c r="E3355" t="s">
        <v>2474</v>
      </c>
      <c r="F3355" t="s">
        <v>1706</v>
      </c>
      <c r="G3355" t="s">
        <v>1706</v>
      </c>
      <c r="H3355" s="10">
        <v>641354</v>
      </c>
      <c r="I3355" t="str">
        <f>IFERROR(VLOOKUP(Final!F3355,'LEAID Match'!$A$2:$B$374,2,FALSE),"")</f>
        <v/>
      </c>
      <c r="K3355" s="10">
        <f t="shared" si="52"/>
        <v>641354</v>
      </c>
    </row>
    <row r="3356" spans="1:11">
      <c r="A3356" t="s">
        <v>2470</v>
      </c>
      <c r="B3356" s="10">
        <v>2019</v>
      </c>
      <c r="C3356" t="s">
        <v>379</v>
      </c>
      <c r="D3356" t="s">
        <v>2472</v>
      </c>
      <c r="E3356" t="s">
        <v>2474</v>
      </c>
      <c r="F3356" t="s">
        <v>1706</v>
      </c>
      <c r="G3356" t="s">
        <v>1706</v>
      </c>
      <c r="H3356" s="10">
        <v>687381</v>
      </c>
      <c r="I3356" t="str">
        <f>IFERROR(VLOOKUP(Final!F3356,'LEAID Match'!$A$2:$B$374,2,FALSE),"")</f>
        <v/>
      </c>
      <c r="K3356" s="10">
        <f t="shared" si="52"/>
        <v>687381</v>
      </c>
    </row>
    <row r="3357" spans="1:11">
      <c r="A3357" t="s">
        <v>2470</v>
      </c>
      <c r="B3357" s="10">
        <v>2020</v>
      </c>
      <c r="C3357" t="s">
        <v>379</v>
      </c>
      <c r="D3357" t="s">
        <v>2472</v>
      </c>
      <c r="E3357" t="s">
        <v>2474</v>
      </c>
      <c r="F3357" t="s">
        <v>1706</v>
      </c>
      <c r="G3357" t="s">
        <v>1706</v>
      </c>
      <c r="H3357" s="10">
        <v>744652</v>
      </c>
      <c r="I3357" t="str">
        <f>IFERROR(VLOOKUP(Final!F3357,'LEAID Match'!$A$2:$B$374,2,FALSE),"")</f>
        <v/>
      </c>
      <c r="K3357" s="10">
        <f t="shared" si="52"/>
        <v>744652</v>
      </c>
    </row>
    <row r="3358" spans="1:11">
      <c r="A3358" t="s">
        <v>2470</v>
      </c>
      <c r="B3358" s="10">
        <v>2021</v>
      </c>
      <c r="C3358" t="s">
        <v>379</v>
      </c>
      <c r="D3358" t="s">
        <v>2472</v>
      </c>
      <c r="E3358" t="s">
        <v>2474</v>
      </c>
      <c r="F3358" t="s">
        <v>1706</v>
      </c>
      <c r="G3358" t="s">
        <v>1706</v>
      </c>
      <c r="H3358" s="10">
        <v>769135</v>
      </c>
      <c r="I3358" t="str">
        <f>IFERROR(VLOOKUP(Final!F3358,'LEAID Match'!$A$2:$B$374,2,FALSE),"")</f>
        <v/>
      </c>
      <c r="K3358" s="10">
        <f t="shared" si="52"/>
        <v>769135</v>
      </c>
    </row>
    <row r="3359" spans="1:11">
      <c r="A3359" t="s">
        <v>2470</v>
      </c>
      <c r="B3359" s="10">
        <v>2022</v>
      </c>
      <c r="C3359" t="s">
        <v>379</v>
      </c>
      <c r="D3359" t="s">
        <v>2472</v>
      </c>
      <c r="E3359" t="s">
        <v>2474</v>
      </c>
      <c r="F3359" t="s">
        <v>1706</v>
      </c>
      <c r="G3359" t="s">
        <v>1706</v>
      </c>
      <c r="H3359" s="10">
        <v>921587</v>
      </c>
      <c r="I3359" t="str">
        <f>IFERROR(VLOOKUP(Final!F3359,'LEAID Match'!$A$2:$B$374,2,FALSE),"")</f>
        <v/>
      </c>
      <c r="K3359" s="10">
        <f t="shared" si="52"/>
        <v>921587</v>
      </c>
    </row>
    <row r="3360" spans="1:11">
      <c r="A3360" t="s">
        <v>2470</v>
      </c>
      <c r="B3360" s="10">
        <v>2023</v>
      </c>
      <c r="C3360" t="s">
        <v>379</v>
      </c>
      <c r="D3360" t="s">
        <v>2472</v>
      </c>
      <c r="E3360" t="s">
        <v>2474</v>
      </c>
      <c r="F3360" t="s">
        <v>1706</v>
      </c>
      <c r="G3360" t="s">
        <v>1706</v>
      </c>
      <c r="H3360" s="10">
        <v>1004308</v>
      </c>
      <c r="I3360" t="str">
        <f>IFERROR(VLOOKUP(Final!F3360,'LEAID Match'!$A$2:$B$374,2,FALSE),"")</f>
        <v/>
      </c>
      <c r="K3360" s="10">
        <f t="shared" si="52"/>
        <v>1004308</v>
      </c>
    </row>
    <row r="3361" spans="1:11">
      <c r="A3361" t="s">
        <v>2470</v>
      </c>
      <c r="B3361" s="10">
        <v>2015</v>
      </c>
      <c r="C3361" t="s">
        <v>380</v>
      </c>
      <c r="D3361" t="s">
        <v>2472</v>
      </c>
      <c r="E3361" t="s">
        <v>2474</v>
      </c>
      <c r="F3361" t="s">
        <v>1712</v>
      </c>
      <c r="G3361" t="s">
        <v>326</v>
      </c>
      <c r="H3361" s="10">
        <v>408737</v>
      </c>
      <c r="I3361" t="str">
        <f>IFERROR(VLOOKUP(Final!F3361,'LEAID Match'!$A$2:$B$374,2,FALSE),"")</f>
        <v/>
      </c>
      <c r="K3361" s="10">
        <f t="shared" si="52"/>
        <v>408737</v>
      </c>
    </row>
    <row r="3362" spans="1:11">
      <c r="A3362" t="s">
        <v>2470</v>
      </c>
      <c r="B3362" s="10">
        <v>2016</v>
      </c>
      <c r="C3362" t="s">
        <v>380</v>
      </c>
      <c r="D3362" t="s">
        <v>2472</v>
      </c>
      <c r="E3362" t="s">
        <v>2474</v>
      </c>
      <c r="F3362" t="s">
        <v>1712</v>
      </c>
      <c r="G3362" t="s">
        <v>326</v>
      </c>
      <c r="H3362" s="10">
        <v>414748</v>
      </c>
      <c r="I3362" t="str">
        <f>IFERROR(VLOOKUP(Final!F3362,'LEAID Match'!$A$2:$B$374,2,FALSE),"")</f>
        <v/>
      </c>
      <c r="K3362" s="10">
        <f t="shared" si="52"/>
        <v>414748</v>
      </c>
    </row>
    <row r="3363" spans="1:11">
      <c r="A3363" t="s">
        <v>2470</v>
      </c>
      <c r="B3363" s="10">
        <v>2017</v>
      </c>
      <c r="C3363" t="s">
        <v>380</v>
      </c>
      <c r="D3363" t="s">
        <v>2472</v>
      </c>
      <c r="E3363" t="s">
        <v>2474</v>
      </c>
      <c r="F3363" t="s">
        <v>1712</v>
      </c>
      <c r="G3363" t="s">
        <v>1712</v>
      </c>
      <c r="H3363" s="10">
        <v>414288</v>
      </c>
      <c r="I3363" t="str">
        <f>IFERROR(VLOOKUP(Final!F3363,'LEAID Match'!$A$2:$B$374,2,FALSE),"")</f>
        <v/>
      </c>
      <c r="K3363" s="10">
        <f t="shared" si="52"/>
        <v>414288</v>
      </c>
    </row>
    <row r="3364" spans="1:11">
      <c r="A3364" t="s">
        <v>2470</v>
      </c>
      <c r="B3364" s="10">
        <v>2018</v>
      </c>
      <c r="C3364" t="s">
        <v>380</v>
      </c>
      <c r="D3364" t="s">
        <v>2472</v>
      </c>
      <c r="E3364" t="s">
        <v>2474</v>
      </c>
      <c r="F3364" t="s">
        <v>1712</v>
      </c>
      <c r="G3364" t="s">
        <v>1712</v>
      </c>
      <c r="H3364" s="10">
        <v>428518</v>
      </c>
      <c r="I3364" t="str">
        <f>IFERROR(VLOOKUP(Final!F3364,'LEAID Match'!$A$2:$B$374,2,FALSE),"")</f>
        <v/>
      </c>
      <c r="K3364" s="10">
        <f t="shared" si="52"/>
        <v>428518</v>
      </c>
    </row>
    <row r="3365" spans="1:11">
      <c r="A3365" t="s">
        <v>2470</v>
      </c>
      <c r="B3365" s="10">
        <v>2019</v>
      </c>
      <c r="C3365" t="s">
        <v>380</v>
      </c>
      <c r="D3365" t="s">
        <v>2472</v>
      </c>
      <c r="E3365" t="s">
        <v>2474</v>
      </c>
      <c r="F3365" t="s">
        <v>1712</v>
      </c>
      <c r="G3365" t="s">
        <v>1712</v>
      </c>
      <c r="H3365" s="10">
        <v>475005</v>
      </c>
      <c r="I3365" t="str">
        <f>IFERROR(VLOOKUP(Final!F3365,'LEAID Match'!$A$2:$B$374,2,FALSE),"")</f>
        <v/>
      </c>
      <c r="K3365" s="10">
        <f t="shared" si="52"/>
        <v>475005</v>
      </c>
    </row>
    <row r="3366" spans="1:11">
      <c r="A3366" t="s">
        <v>2470</v>
      </c>
      <c r="B3366" s="10">
        <v>2020</v>
      </c>
      <c r="C3366" t="s">
        <v>380</v>
      </c>
      <c r="D3366" t="s">
        <v>2472</v>
      </c>
      <c r="E3366" t="s">
        <v>2474</v>
      </c>
      <c r="F3366" t="s">
        <v>1712</v>
      </c>
      <c r="G3366" t="s">
        <v>1712</v>
      </c>
      <c r="H3366" s="10">
        <v>511751</v>
      </c>
      <c r="I3366" t="str">
        <f>IFERROR(VLOOKUP(Final!F3366,'LEAID Match'!$A$2:$B$374,2,FALSE),"")</f>
        <v/>
      </c>
      <c r="K3366" s="10">
        <f t="shared" si="52"/>
        <v>511751</v>
      </c>
    </row>
    <row r="3367" spans="1:11">
      <c r="A3367" t="s">
        <v>2470</v>
      </c>
      <c r="B3367" s="10">
        <v>2021</v>
      </c>
      <c r="C3367" t="s">
        <v>380</v>
      </c>
      <c r="D3367" t="s">
        <v>2472</v>
      </c>
      <c r="E3367" t="s">
        <v>2474</v>
      </c>
      <c r="F3367" t="s">
        <v>1712</v>
      </c>
      <c r="G3367" t="s">
        <v>1712</v>
      </c>
      <c r="H3367" s="10">
        <v>541804</v>
      </c>
      <c r="I3367" t="str">
        <f>IFERROR(VLOOKUP(Final!F3367,'LEAID Match'!$A$2:$B$374,2,FALSE),"")</f>
        <v/>
      </c>
      <c r="K3367" s="10">
        <f t="shared" si="52"/>
        <v>541804</v>
      </c>
    </row>
    <row r="3368" spans="1:11">
      <c r="A3368" t="s">
        <v>2470</v>
      </c>
      <c r="B3368" s="10">
        <v>2022</v>
      </c>
      <c r="C3368" t="s">
        <v>380</v>
      </c>
      <c r="D3368" t="s">
        <v>2472</v>
      </c>
      <c r="E3368" t="s">
        <v>2474</v>
      </c>
      <c r="F3368" t="s">
        <v>1712</v>
      </c>
      <c r="G3368" t="s">
        <v>1712</v>
      </c>
      <c r="H3368" s="10">
        <v>592445</v>
      </c>
      <c r="I3368" t="str">
        <f>IFERROR(VLOOKUP(Final!F3368,'LEAID Match'!$A$2:$B$374,2,FALSE),"")</f>
        <v/>
      </c>
      <c r="K3368" s="10">
        <f t="shared" si="52"/>
        <v>592445</v>
      </c>
    </row>
    <row r="3369" spans="1:11">
      <c r="A3369" t="s">
        <v>2470</v>
      </c>
      <c r="B3369" s="10">
        <v>2023</v>
      </c>
      <c r="C3369" t="s">
        <v>380</v>
      </c>
      <c r="D3369" t="s">
        <v>2472</v>
      </c>
      <c r="E3369" t="s">
        <v>2474</v>
      </c>
      <c r="F3369" t="s">
        <v>1712</v>
      </c>
      <c r="G3369" t="s">
        <v>1712</v>
      </c>
      <c r="H3369" s="10">
        <v>612769</v>
      </c>
      <c r="I3369" t="str">
        <f>IFERROR(VLOOKUP(Final!F3369,'LEAID Match'!$A$2:$B$374,2,FALSE),"")</f>
        <v/>
      </c>
      <c r="K3369" s="10">
        <f t="shared" si="52"/>
        <v>612769</v>
      </c>
    </row>
    <row r="3370" spans="1:11">
      <c r="A3370" t="s">
        <v>2470</v>
      </c>
      <c r="B3370" s="10">
        <v>2015</v>
      </c>
      <c r="C3370" t="s">
        <v>381</v>
      </c>
      <c r="D3370" t="s">
        <v>2472</v>
      </c>
      <c r="E3370" t="s">
        <v>2474</v>
      </c>
      <c r="F3370" t="s">
        <v>1716</v>
      </c>
      <c r="G3370" t="s">
        <v>327</v>
      </c>
      <c r="H3370" s="10">
        <v>3013561</v>
      </c>
      <c r="I3370" t="str">
        <f>IFERROR(VLOOKUP(Final!F3370,'LEAID Match'!$A$2:$B$374,2,FALSE),"")</f>
        <v/>
      </c>
      <c r="K3370" s="10">
        <f t="shared" si="52"/>
        <v>3013561</v>
      </c>
    </row>
    <row r="3371" spans="1:11">
      <c r="A3371" t="s">
        <v>2470</v>
      </c>
      <c r="B3371" s="10">
        <v>2016</v>
      </c>
      <c r="C3371" t="s">
        <v>381</v>
      </c>
      <c r="D3371" t="s">
        <v>2472</v>
      </c>
      <c r="E3371" t="s">
        <v>2474</v>
      </c>
      <c r="F3371" t="s">
        <v>1716</v>
      </c>
      <c r="G3371" t="s">
        <v>327</v>
      </c>
      <c r="H3371" s="10">
        <v>3164929</v>
      </c>
      <c r="I3371" t="str">
        <f>IFERROR(VLOOKUP(Final!F3371,'LEAID Match'!$A$2:$B$374,2,FALSE),"")</f>
        <v/>
      </c>
      <c r="K3371" s="10">
        <f t="shared" si="52"/>
        <v>3164929</v>
      </c>
    </row>
    <row r="3372" spans="1:11">
      <c r="A3372" t="s">
        <v>2470</v>
      </c>
      <c r="B3372" s="10">
        <v>2017</v>
      </c>
      <c r="C3372" t="s">
        <v>381</v>
      </c>
      <c r="D3372" t="s">
        <v>2472</v>
      </c>
      <c r="E3372" t="s">
        <v>2474</v>
      </c>
      <c r="F3372" t="s">
        <v>1716</v>
      </c>
      <c r="G3372" t="s">
        <v>1716</v>
      </c>
      <c r="H3372" s="10">
        <v>3287507</v>
      </c>
      <c r="I3372" t="str">
        <f>IFERROR(VLOOKUP(Final!F3372,'LEAID Match'!$A$2:$B$374,2,FALSE),"")</f>
        <v/>
      </c>
      <c r="K3372" s="10">
        <f t="shared" si="52"/>
        <v>3287507</v>
      </c>
    </row>
    <row r="3373" spans="1:11">
      <c r="A3373" t="s">
        <v>2470</v>
      </c>
      <c r="B3373" s="10">
        <v>2018</v>
      </c>
      <c r="C3373" t="s">
        <v>381</v>
      </c>
      <c r="D3373" t="s">
        <v>2472</v>
      </c>
      <c r="E3373" t="s">
        <v>2474</v>
      </c>
      <c r="F3373" t="s">
        <v>1716</v>
      </c>
      <c r="G3373" t="s">
        <v>1716</v>
      </c>
      <c r="H3373" s="10">
        <v>3611134</v>
      </c>
      <c r="I3373" t="str">
        <f>IFERROR(VLOOKUP(Final!F3373,'LEAID Match'!$A$2:$B$374,2,FALSE),"")</f>
        <v/>
      </c>
      <c r="K3373" s="10">
        <f t="shared" si="52"/>
        <v>3611134</v>
      </c>
    </row>
    <row r="3374" spans="1:11">
      <c r="A3374" t="s">
        <v>2470</v>
      </c>
      <c r="B3374" s="10">
        <v>2019</v>
      </c>
      <c r="C3374" t="s">
        <v>381</v>
      </c>
      <c r="D3374" t="s">
        <v>2472</v>
      </c>
      <c r="E3374" t="s">
        <v>2474</v>
      </c>
      <c r="F3374" t="s">
        <v>1716</v>
      </c>
      <c r="G3374" t="s">
        <v>1716</v>
      </c>
      <c r="H3374" s="10">
        <v>3596447</v>
      </c>
      <c r="I3374" t="str">
        <f>IFERROR(VLOOKUP(Final!F3374,'LEAID Match'!$A$2:$B$374,2,FALSE),"")</f>
        <v/>
      </c>
      <c r="K3374" s="10">
        <f t="shared" si="52"/>
        <v>3596447</v>
      </c>
    </row>
    <row r="3375" spans="1:11">
      <c r="A3375" t="s">
        <v>2470</v>
      </c>
      <c r="B3375" s="10">
        <v>2020</v>
      </c>
      <c r="C3375" t="s">
        <v>381</v>
      </c>
      <c r="D3375" t="s">
        <v>2472</v>
      </c>
      <c r="E3375" t="s">
        <v>2474</v>
      </c>
      <c r="F3375" t="s">
        <v>1716</v>
      </c>
      <c r="G3375" t="s">
        <v>1716</v>
      </c>
      <c r="H3375" s="10">
        <v>3772038</v>
      </c>
      <c r="I3375" t="str">
        <f>IFERROR(VLOOKUP(Final!F3375,'LEAID Match'!$A$2:$B$374,2,FALSE),"")</f>
        <v/>
      </c>
      <c r="K3375" s="10">
        <f t="shared" si="52"/>
        <v>3772038</v>
      </c>
    </row>
    <row r="3376" spans="1:11">
      <c r="A3376" t="s">
        <v>2470</v>
      </c>
      <c r="B3376" s="10">
        <v>2021</v>
      </c>
      <c r="C3376" t="s">
        <v>381</v>
      </c>
      <c r="D3376" t="s">
        <v>2472</v>
      </c>
      <c r="E3376" t="s">
        <v>2474</v>
      </c>
      <c r="F3376" t="s">
        <v>1716</v>
      </c>
      <c r="G3376" t="s">
        <v>1716</v>
      </c>
      <c r="H3376" s="10">
        <v>3831995</v>
      </c>
      <c r="I3376" t="str">
        <f>IFERROR(VLOOKUP(Final!F3376,'LEAID Match'!$A$2:$B$374,2,FALSE),"")</f>
        <v/>
      </c>
      <c r="K3376" s="10">
        <f t="shared" si="52"/>
        <v>3831995</v>
      </c>
    </row>
    <row r="3377" spans="1:11">
      <c r="A3377" t="s">
        <v>2470</v>
      </c>
      <c r="B3377" s="10">
        <v>2022</v>
      </c>
      <c r="C3377" t="s">
        <v>381</v>
      </c>
      <c r="D3377" t="s">
        <v>2472</v>
      </c>
      <c r="E3377" t="s">
        <v>2474</v>
      </c>
      <c r="F3377" t="s">
        <v>1716</v>
      </c>
      <c r="G3377" t="s">
        <v>1716</v>
      </c>
      <c r="H3377" s="10">
        <v>4182436</v>
      </c>
      <c r="I3377" t="str">
        <f>IFERROR(VLOOKUP(Final!F3377,'LEAID Match'!$A$2:$B$374,2,FALSE),"")</f>
        <v/>
      </c>
      <c r="K3377" s="10">
        <f t="shared" si="52"/>
        <v>4182436</v>
      </c>
    </row>
    <row r="3378" spans="1:11">
      <c r="A3378" t="s">
        <v>2470</v>
      </c>
      <c r="B3378" s="10">
        <v>2023</v>
      </c>
      <c r="C3378" t="s">
        <v>381</v>
      </c>
      <c r="D3378" t="s">
        <v>2472</v>
      </c>
      <c r="E3378" t="s">
        <v>2474</v>
      </c>
      <c r="F3378" t="s">
        <v>1716</v>
      </c>
      <c r="G3378" t="s">
        <v>1716</v>
      </c>
      <c r="H3378" s="10">
        <v>4357700</v>
      </c>
      <c r="I3378" t="str">
        <f>IFERROR(VLOOKUP(Final!F3378,'LEAID Match'!$A$2:$B$374,2,FALSE),"")</f>
        <v/>
      </c>
      <c r="K3378" s="10">
        <f t="shared" si="52"/>
        <v>4357700</v>
      </c>
    </row>
    <row r="3379" spans="1:11">
      <c r="A3379" t="s">
        <v>2470</v>
      </c>
      <c r="B3379" s="10">
        <v>2015</v>
      </c>
      <c r="C3379" t="s">
        <v>1227</v>
      </c>
      <c r="D3379" t="s">
        <v>2472</v>
      </c>
      <c r="E3379" t="s">
        <v>2474</v>
      </c>
      <c r="F3379" t="s">
        <v>1718</v>
      </c>
      <c r="G3379" t="s">
        <v>1173</v>
      </c>
      <c r="H3379" s="10">
        <v>589871</v>
      </c>
      <c r="I3379" t="str">
        <f>IFERROR(VLOOKUP(Final!F3379,'LEAID Match'!$A$2:$B$374,2,FALSE),"")</f>
        <v/>
      </c>
      <c r="K3379" s="10">
        <f t="shared" si="52"/>
        <v>589871</v>
      </c>
    </row>
    <row r="3380" spans="1:11">
      <c r="A3380" t="s">
        <v>2470</v>
      </c>
      <c r="B3380" s="10">
        <v>2016</v>
      </c>
      <c r="C3380" t="s">
        <v>1227</v>
      </c>
      <c r="D3380" t="s">
        <v>2472</v>
      </c>
      <c r="E3380" t="s">
        <v>2474</v>
      </c>
      <c r="F3380" t="s">
        <v>1718</v>
      </c>
      <c r="G3380" t="s">
        <v>1173</v>
      </c>
      <c r="H3380" s="10">
        <v>569176</v>
      </c>
      <c r="I3380" t="str">
        <f>IFERROR(VLOOKUP(Final!F3380,'LEAID Match'!$A$2:$B$374,2,FALSE),"")</f>
        <v/>
      </c>
      <c r="K3380" s="10">
        <f t="shared" si="52"/>
        <v>569176</v>
      </c>
    </row>
    <row r="3381" spans="1:11">
      <c r="A3381" t="s">
        <v>2470</v>
      </c>
      <c r="B3381" s="10">
        <v>2017</v>
      </c>
      <c r="C3381" t="s">
        <v>1227</v>
      </c>
      <c r="D3381" t="s">
        <v>2472</v>
      </c>
      <c r="E3381" t="s">
        <v>2474</v>
      </c>
      <c r="F3381" t="s">
        <v>1718</v>
      </c>
      <c r="G3381" t="s">
        <v>1718</v>
      </c>
      <c r="H3381" s="10">
        <v>554877</v>
      </c>
      <c r="I3381" t="str">
        <f>IFERROR(VLOOKUP(Final!F3381,'LEAID Match'!$A$2:$B$374,2,FALSE),"")</f>
        <v/>
      </c>
      <c r="K3381" s="10">
        <f t="shared" si="52"/>
        <v>554877</v>
      </c>
    </row>
    <row r="3382" spans="1:11">
      <c r="A3382" t="s">
        <v>2470</v>
      </c>
      <c r="B3382" s="10">
        <v>2018</v>
      </c>
      <c r="C3382" t="s">
        <v>1227</v>
      </c>
      <c r="D3382" t="s">
        <v>2472</v>
      </c>
      <c r="E3382" t="s">
        <v>2474</v>
      </c>
      <c r="F3382" t="s">
        <v>1718</v>
      </c>
      <c r="G3382" t="s">
        <v>1718</v>
      </c>
      <c r="H3382" s="10">
        <v>556343</v>
      </c>
      <c r="I3382" t="str">
        <f>IFERROR(VLOOKUP(Final!F3382,'LEAID Match'!$A$2:$B$374,2,FALSE),"")</f>
        <v/>
      </c>
      <c r="K3382" s="10">
        <f t="shared" si="52"/>
        <v>556343</v>
      </c>
    </row>
    <row r="3383" spans="1:11">
      <c r="A3383" t="s">
        <v>2470</v>
      </c>
      <c r="B3383" s="10">
        <v>2019</v>
      </c>
      <c r="C3383" t="s">
        <v>1227</v>
      </c>
      <c r="D3383" t="s">
        <v>2472</v>
      </c>
      <c r="E3383" t="s">
        <v>2474</v>
      </c>
      <c r="F3383" t="s">
        <v>1718</v>
      </c>
      <c r="G3383" t="s">
        <v>1718</v>
      </c>
      <c r="H3383" s="10">
        <v>585130</v>
      </c>
      <c r="I3383" t="str">
        <f>IFERROR(VLOOKUP(Final!F3383,'LEAID Match'!$A$2:$B$374,2,FALSE),"")</f>
        <v/>
      </c>
      <c r="K3383" s="10">
        <f t="shared" si="52"/>
        <v>585130</v>
      </c>
    </row>
    <row r="3384" spans="1:11">
      <c r="A3384" t="s">
        <v>2470</v>
      </c>
      <c r="B3384" s="10">
        <v>2020</v>
      </c>
      <c r="C3384" t="s">
        <v>1227</v>
      </c>
      <c r="D3384" t="s">
        <v>2472</v>
      </c>
      <c r="E3384" t="s">
        <v>2474</v>
      </c>
      <c r="F3384" t="s">
        <v>1718</v>
      </c>
      <c r="G3384" t="s">
        <v>1718</v>
      </c>
      <c r="H3384" s="10">
        <v>605934</v>
      </c>
      <c r="I3384" t="str">
        <f>IFERROR(VLOOKUP(Final!F3384,'LEAID Match'!$A$2:$B$374,2,FALSE),"")</f>
        <v/>
      </c>
      <c r="K3384" s="10">
        <f t="shared" si="52"/>
        <v>605934</v>
      </c>
    </row>
    <row r="3385" spans="1:11">
      <c r="A3385" t="s">
        <v>2470</v>
      </c>
      <c r="B3385" s="10">
        <v>2021</v>
      </c>
      <c r="C3385" t="s">
        <v>1227</v>
      </c>
      <c r="D3385" t="s">
        <v>2472</v>
      </c>
      <c r="E3385" t="s">
        <v>2474</v>
      </c>
      <c r="F3385" t="s">
        <v>1718</v>
      </c>
      <c r="G3385" t="s">
        <v>1718</v>
      </c>
      <c r="H3385" s="10">
        <v>668004</v>
      </c>
      <c r="I3385" t="str">
        <f>IFERROR(VLOOKUP(Final!F3385,'LEAID Match'!$A$2:$B$374,2,FALSE),"")</f>
        <v/>
      </c>
      <c r="K3385" s="10">
        <f t="shared" si="52"/>
        <v>668004</v>
      </c>
    </row>
    <row r="3386" spans="1:11">
      <c r="A3386" t="s">
        <v>2470</v>
      </c>
      <c r="B3386" s="10">
        <v>2022</v>
      </c>
      <c r="C3386" t="s">
        <v>1227</v>
      </c>
      <c r="D3386" t="s">
        <v>2472</v>
      </c>
      <c r="E3386" t="s">
        <v>2474</v>
      </c>
      <c r="F3386" t="s">
        <v>1718</v>
      </c>
      <c r="G3386" t="s">
        <v>1718</v>
      </c>
      <c r="H3386" s="10">
        <v>705361</v>
      </c>
      <c r="I3386" t="str">
        <f>IFERROR(VLOOKUP(Final!F3386,'LEAID Match'!$A$2:$B$374,2,FALSE),"")</f>
        <v/>
      </c>
      <c r="K3386" s="10">
        <f t="shared" si="52"/>
        <v>705361</v>
      </c>
    </row>
    <row r="3387" spans="1:11">
      <c r="A3387" t="s">
        <v>2470</v>
      </c>
      <c r="B3387" s="10">
        <v>2023</v>
      </c>
      <c r="C3387" t="s">
        <v>1227</v>
      </c>
      <c r="D3387" t="s">
        <v>2472</v>
      </c>
      <c r="E3387" t="s">
        <v>2474</v>
      </c>
      <c r="F3387" t="s">
        <v>1718</v>
      </c>
      <c r="G3387" t="s">
        <v>1718</v>
      </c>
      <c r="H3387" s="10">
        <v>735708</v>
      </c>
      <c r="I3387" t="str">
        <f>IFERROR(VLOOKUP(Final!F3387,'LEAID Match'!$A$2:$B$374,2,FALSE),"")</f>
        <v/>
      </c>
      <c r="K3387" s="10">
        <f t="shared" si="52"/>
        <v>735708</v>
      </c>
    </row>
    <row r="3388" spans="1:11">
      <c r="A3388" t="s">
        <v>2470</v>
      </c>
      <c r="B3388" s="10">
        <v>2015</v>
      </c>
      <c r="C3388" t="s">
        <v>1229</v>
      </c>
      <c r="D3388" t="s">
        <v>2472</v>
      </c>
      <c r="E3388" t="s">
        <v>2474</v>
      </c>
      <c r="F3388" t="s">
        <v>1730</v>
      </c>
      <c r="G3388" t="s">
        <v>1175</v>
      </c>
      <c r="H3388" s="10">
        <v>156371</v>
      </c>
      <c r="I3388" t="str">
        <f>IFERROR(VLOOKUP(Final!F3388,'LEAID Match'!$A$2:$B$374,2,FALSE),"")</f>
        <v/>
      </c>
      <c r="K3388" s="10">
        <f t="shared" si="52"/>
        <v>156371</v>
      </c>
    </row>
    <row r="3389" spans="1:11">
      <c r="A3389" t="s">
        <v>2470</v>
      </c>
      <c r="B3389" s="10">
        <v>2016</v>
      </c>
      <c r="C3389" t="s">
        <v>1229</v>
      </c>
      <c r="D3389" t="s">
        <v>2472</v>
      </c>
      <c r="E3389" t="s">
        <v>2474</v>
      </c>
      <c r="F3389" t="s">
        <v>1730</v>
      </c>
      <c r="G3389" t="s">
        <v>1175</v>
      </c>
      <c r="H3389" s="10">
        <v>157339</v>
      </c>
      <c r="I3389" t="str">
        <f>IFERROR(VLOOKUP(Final!F3389,'LEAID Match'!$A$2:$B$374,2,FALSE),"")</f>
        <v/>
      </c>
      <c r="K3389" s="10">
        <f t="shared" si="52"/>
        <v>157339</v>
      </c>
    </row>
    <row r="3390" spans="1:11">
      <c r="A3390" t="s">
        <v>2470</v>
      </c>
      <c r="B3390" s="10">
        <v>2017</v>
      </c>
      <c r="C3390" t="s">
        <v>1229</v>
      </c>
      <c r="D3390" t="s">
        <v>2472</v>
      </c>
      <c r="E3390" t="s">
        <v>2474</v>
      </c>
      <c r="F3390" t="s">
        <v>1730</v>
      </c>
      <c r="G3390" t="s">
        <v>1730</v>
      </c>
      <c r="H3390" s="10">
        <v>135138</v>
      </c>
      <c r="I3390" t="str">
        <f>IFERROR(VLOOKUP(Final!F3390,'LEAID Match'!$A$2:$B$374,2,FALSE),"")</f>
        <v/>
      </c>
      <c r="K3390" s="10">
        <f t="shared" si="52"/>
        <v>135138</v>
      </c>
    </row>
    <row r="3391" spans="1:11">
      <c r="A3391" t="s">
        <v>2470</v>
      </c>
      <c r="B3391" s="10">
        <v>2018</v>
      </c>
      <c r="C3391" t="s">
        <v>1229</v>
      </c>
      <c r="D3391" t="s">
        <v>2472</v>
      </c>
      <c r="E3391" t="s">
        <v>2474</v>
      </c>
      <c r="F3391" t="s">
        <v>1730</v>
      </c>
      <c r="G3391" t="s">
        <v>1730</v>
      </c>
      <c r="H3391" s="10">
        <v>148399</v>
      </c>
      <c r="I3391" t="str">
        <f>IFERROR(VLOOKUP(Final!F3391,'LEAID Match'!$A$2:$B$374,2,FALSE),"")</f>
        <v/>
      </c>
      <c r="K3391" s="10">
        <f t="shared" si="52"/>
        <v>148399</v>
      </c>
    </row>
    <row r="3392" spans="1:11">
      <c r="A3392" t="s">
        <v>2470</v>
      </c>
      <c r="B3392" s="10">
        <v>2019</v>
      </c>
      <c r="C3392" t="s">
        <v>1229</v>
      </c>
      <c r="D3392" t="s">
        <v>2472</v>
      </c>
      <c r="E3392" t="s">
        <v>2474</v>
      </c>
      <c r="F3392" t="s">
        <v>1730</v>
      </c>
      <c r="G3392" t="s">
        <v>1730</v>
      </c>
      <c r="H3392" s="10">
        <v>154517</v>
      </c>
      <c r="I3392" t="str">
        <f>IFERROR(VLOOKUP(Final!F3392,'LEAID Match'!$A$2:$B$374,2,FALSE),"")</f>
        <v/>
      </c>
      <c r="K3392" s="10">
        <f t="shared" si="52"/>
        <v>154517</v>
      </c>
    </row>
    <row r="3393" spans="1:11">
      <c r="A3393" t="s">
        <v>2470</v>
      </c>
      <c r="B3393" s="10">
        <v>2020</v>
      </c>
      <c r="C3393" t="s">
        <v>1229</v>
      </c>
      <c r="D3393" t="s">
        <v>2472</v>
      </c>
      <c r="E3393" t="s">
        <v>2474</v>
      </c>
      <c r="F3393" t="s">
        <v>1730</v>
      </c>
      <c r="G3393" t="s">
        <v>1730</v>
      </c>
      <c r="H3393" s="10">
        <v>160140</v>
      </c>
      <c r="I3393" t="str">
        <f>IFERROR(VLOOKUP(Final!F3393,'LEAID Match'!$A$2:$B$374,2,FALSE),"")</f>
        <v/>
      </c>
      <c r="K3393" s="10">
        <f t="shared" si="52"/>
        <v>160140</v>
      </c>
    </row>
    <row r="3394" spans="1:11">
      <c r="A3394" t="s">
        <v>2470</v>
      </c>
      <c r="B3394" s="10">
        <v>2021</v>
      </c>
      <c r="C3394" t="s">
        <v>1229</v>
      </c>
      <c r="D3394" t="s">
        <v>2472</v>
      </c>
      <c r="E3394" t="s">
        <v>2474</v>
      </c>
      <c r="F3394" t="s">
        <v>1730</v>
      </c>
      <c r="G3394" t="s">
        <v>1730</v>
      </c>
      <c r="H3394" s="10">
        <v>152579</v>
      </c>
      <c r="I3394" t="str">
        <f>IFERROR(VLOOKUP(Final!F3394,'LEAID Match'!$A$2:$B$374,2,FALSE),"")</f>
        <v/>
      </c>
      <c r="K3394" s="10">
        <f t="shared" si="52"/>
        <v>152579</v>
      </c>
    </row>
    <row r="3395" spans="1:11">
      <c r="A3395" t="s">
        <v>2470</v>
      </c>
      <c r="B3395" s="10">
        <v>2022</v>
      </c>
      <c r="C3395" t="s">
        <v>1229</v>
      </c>
      <c r="D3395" t="s">
        <v>2472</v>
      </c>
      <c r="E3395" t="s">
        <v>2474</v>
      </c>
      <c r="F3395" t="s">
        <v>1730</v>
      </c>
      <c r="G3395" t="s">
        <v>1730</v>
      </c>
      <c r="H3395" s="10">
        <v>170847</v>
      </c>
      <c r="I3395" t="str">
        <f>IFERROR(VLOOKUP(Final!F3395,'LEAID Match'!$A$2:$B$374,2,FALSE),"")</f>
        <v/>
      </c>
      <c r="K3395" s="10">
        <f t="shared" ref="K3395:K3458" si="53">SUM(H3395,J3395)</f>
        <v>170847</v>
      </c>
    </row>
    <row r="3396" spans="1:11">
      <c r="A3396" t="s">
        <v>2470</v>
      </c>
      <c r="B3396" s="10">
        <v>2023</v>
      </c>
      <c r="C3396" t="s">
        <v>1229</v>
      </c>
      <c r="D3396" t="s">
        <v>2472</v>
      </c>
      <c r="E3396" t="s">
        <v>2474</v>
      </c>
      <c r="F3396" t="s">
        <v>1730</v>
      </c>
      <c r="G3396" t="s">
        <v>1730</v>
      </c>
      <c r="H3396" s="10">
        <v>178445</v>
      </c>
      <c r="I3396" t="str">
        <f>IFERROR(VLOOKUP(Final!F3396,'LEAID Match'!$A$2:$B$374,2,FALSE),"")</f>
        <v/>
      </c>
      <c r="K3396" s="10">
        <f t="shared" si="53"/>
        <v>178445</v>
      </c>
    </row>
    <row r="3397" spans="1:11">
      <c r="A3397" t="s">
        <v>2470</v>
      </c>
      <c r="B3397" s="10">
        <v>2015</v>
      </c>
      <c r="C3397" t="s">
        <v>1230</v>
      </c>
      <c r="D3397" t="s">
        <v>2472</v>
      </c>
      <c r="E3397" t="s">
        <v>2474</v>
      </c>
      <c r="F3397" t="s">
        <v>1731</v>
      </c>
      <c r="G3397" t="s">
        <v>1176</v>
      </c>
      <c r="H3397" s="10">
        <v>4874367</v>
      </c>
      <c r="I3397" t="str">
        <f>IFERROR(VLOOKUP(Final!F3397,'LEAID Match'!$A$2:$B$374,2,FALSE),"")</f>
        <v/>
      </c>
      <c r="K3397" s="10">
        <f t="shared" si="53"/>
        <v>4874367</v>
      </c>
    </row>
    <row r="3398" spans="1:11">
      <c r="A3398" t="s">
        <v>2470</v>
      </c>
      <c r="B3398" s="10">
        <v>2016</v>
      </c>
      <c r="C3398" t="s">
        <v>1230</v>
      </c>
      <c r="D3398" t="s">
        <v>2472</v>
      </c>
      <c r="E3398" t="s">
        <v>2474</v>
      </c>
      <c r="F3398" t="s">
        <v>1731</v>
      </c>
      <c r="G3398" t="s">
        <v>1176</v>
      </c>
      <c r="H3398" s="10">
        <v>4960561</v>
      </c>
      <c r="I3398" t="str">
        <f>IFERROR(VLOOKUP(Final!F3398,'LEAID Match'!$A$2:$B$374,2,FALSE),"")</f>
        <v/>
      </c>
      <c r="K3398" s="10">
        <f t="shared" si="53"/>
        <v>4960561</v>
      </c>
    </row>
    <row r="3399" spans="1:11">
      <c r="A3399" t="s">
        <v>2470</v>
      </c>
      <c r="B3399" s="10">
        <v>2017</v>
      </c>
      <c r="C3399" t="s">
        <v>1230</v>
      </c>
      <c r="D3399" t="s">
        <v>2472</v>
      </c>
      <c r="E3399" t="s">
        <v>2474</v>
      </c>
      <c r="F3399" t="s">
        <v>1731</v>
      </c>
      <c r="G3399" t="s">
        <v>1731</v>
      </c>
      <c r="H3399" s="10">
        <v>5185910</v>
      </c>
      <c r="I3399" t="str">
        <f>IFERROR(VLOOKUP(Final!F3399,'LEAID Match'!$A$2:$B$374,2,FALSE),"")</f>
        <v/>
      </c>
      <c r="K3399" s="10">
        <f t="shared" si="53"/>
        <v>5185910</v>
      </c>
    </row>
    <row r="3400" spans="1:11">
      <c r="A3400" t="s">
        <v>2470</v>
      </c>
      <c r="B3400" s="10">
        <v>2018</v>
      </c>
      <c r="C3400" t="s">
        <v>1230</v>
      </c>
      <c r="D3400" t="s">
        <v>2472</v>
      </c>
      <c r="E3400" t="s">
        <v>2474</v>
      </c>
      <c r="F3400" t="s">
        <v>1731</v>
      </c>
      <c r="G3400" t="s">
        <v>1731</v>
      </c>
      <c r="H3400" s="10">
        <v>5388610</v>
      </c>
      <c r="I3400" t="str">
        <f>IFERROR(VLOOKUP(Final!F3400,'LEAID Match'!$A$2:$B$374,2,FALSE),"")</f>
        <v/>
      </c>
      <c r="K3400" s="10">
        <f t="shared" si="53"/>
        <v>5388610</v>
      </c>
    </row>
    <row r="3401" spans="1:11">
      <c r="A3401" t="s">
        <v>2470</v>
      </c>
      <c r="B3401" s="10">
        <v>2019</v>
      </c>
      <c r="C3401" t="s">
        <v>1230</v>
      </c>
      <c r="D3401" t="s">
        <v>2472</v>
      </c>
      <c r="E3401" t="s">
        <v>2474</v>
      </c>
      <c r="F3401" t="s">
        <v>1731</v>
      </c>
      <c r="G3401" t="s">
        <v>1731</v>
      </c>
      <c r="H3401" s="10">
        <v>6133507</v>
      </c>
      <c r="I3401" t="str">
        <f>IFERROR(VLOOKUP(Final!F3401,'LEAID Match'!$A$2:$B$374,2,FALSE),"")</f>
        <v/>
      </c>
      <c r="K3401" s="10">
        <f t="shared" si="53"/>
        <v>6133507</v>
      </c>
    </row>
    <row r="3402" spans="1:11">
      <c r="A3402" t="s">
        <v>2470</v>
      </c>
      <c r="B3402" s="10">
        <v>2020</v>
      </c>
      <c r="C3402" t="s">
        <v>1230</v>
      </c>
      <c r="D3402" t="s">
        <v>2472</v>
      </c>
      <c r="E3402" t="s">
        <v>2474</v>
      </c>
      <c r="F3402" t="s">
        <v>1731</v>
      </c>
      <c r="G3402" t="s">
        <v>1731</v>
      </c>
      <c r="H3402" s="10">
        <v>6544802</v>
      </c>
      <c r="I3402" t="str">
        <f>IFERROR(VLOOKUP(Final!F3402,'LEAID Match'!$A$2:$B$374,2,FALSE),"")</f>
        <v/>
      </c>
      <c r="K3402" s="10">
        <f t="shared" si="53"/>
        <v>6544802</v>
      </c>
    </row>
    <row r="3403" spans="1:11">
      <c r="A3403" t="s">
        <v>2470</v>
      </c>
      <c r="B3403" s="10">
        <v>2021</v>
      </c>
      <c r="C3403" t="s">
        <v>1230</v>
      </c>
      <c r="D3403" t="s">
        <v>2472</v>
      </c>
      <c r="E3403" t="s">
        <v>2474</v>
      </c>
      <c r="F3403" t="s">
        <v>1731</v>
      </c>
      <c r="G3403" t="s">
        <v>1731</v>
      </c>
      <c r="H3403" s="10">
        <v>7288616</v>
      </c>
      <c r="I3403" t="str">
        <f>IFERROR(VLOOKUP(Final!F3403,'LEAID Match'!$A$2:$B$374,2,FALSE),"")</f>
        <v/>
      </c>
      <c r="K3403" s="10">
        <f t="shared" si="53"/>
        <v>7288616</v>
      </c>
    </row>
    <row r="3404" spans="1:11">
      <c r="A3404" t="s">
        <v>2470</v>
      </c>
      <c r="B3404" s="10">
        <v>2022</v>
      </c>
      <c r="C3404" t="s">
        <v>1230</v>
      </c>
      <c r="D3404" t="s">
        <v>2472</v>
      </c>
      <c r="E3404" t="s">
        <v>2474</v>
      </c>
      <c r="F3404" t="s">
        <v>1731</v>
      </c>
      <c r="G3404" t="s">
        <v>1731</v>
      </c>
      <c r="H3404" s="10">
        <v>7953309</v>
      </c>
      <c r="I3404" t="str">
        <f>IFERROR(VLOOKUP(Final!F3404,'LEAID Match'!$A$2:$B$374,2,FALSE),"")</f>
        <v/>
      </c>
      <c r="K3404" s="10">
        <f t="shared" si="53"/>
        <v>7953309</v>
      </c>
    </row>
    <row r="3405" spans="1:11">
      <c r="A3405" t="s">
        <v>2470</v>
      </c>
      <c r="B3405" s="10">
        <v>2023</v>
      </c>
      <c r="C3405" t="s">
        <v>1230</v>
      </c>
      <c r="D3405" t="s">
        <v>2472</v>
      </c>
      <c r="E3405" t="s">
        <v>2474</v>
      </c>
      <c r="F3405" t="s">
        <v>1731</v>
      </c>
      <c r="G3405" t="s">
        <v>1731</v>
      </c>
      <c r="H3405" s="10">
        <v>9095511</v>
      </c>
      <c r="I3405" t="str">
        <f>IFERROR(VLOOKUP(Final!F3405,'LEAID Match'!$A$2:$B$374,2,FALSE),"")</f>
        <v/>
      </c>
      <c r="K3405" s="10">
        <f t="shared" si="53"/>
        <v>9095511</v>
      </c>
    </row>
    <row r="3406" spans="1:11">
      <c r="A3406" t="s">
        <v>2470</v>
      </c>
      <c r="B3406" s="10">
        <v>2015</v>
      </c>
      <c r="C3406" t="s">
        <v>383</v>
      </c>
      <c r="D3406" t="s">
        <v>2472</v>
      </c>
      <c r="E3406" t="s">
        <v>2474</v>
      </c>
      <c r="F3406" t="s">
        <v>1736</v>
      </c>
      <c r="G3406" t="s">
        <v>329</v>
      </c>
      <c r="H3406" s="10">
        <v>225991</v>
      </c>
      <c r="I3406" t="str">
        <f>IFERROR(VLOOKUP(Final!F3406,'LEAID Match'!$A$2:$B$374,2,FALSE),"")</f>
        <v/>
      </c>
      <c r="K3406" s="10">
        <f t="shared" si="53"/>
        <v>225991</v>
      </c>
    </row>
    <row r="3407" spans="1:11">
      <c r="A3407" t="s">
        <v>2470</v>
      </c>
      <c r="B3407" s="10">
        <v>2016</v>
      </c>
      <c r="C3407" t="s">
        <v>383</v>
      </c>
      <c r="D3407" t="s">
        <v>2472</v>
      </c>
      <c r="E3407" t="s">
        <v>2474</v>
      </c>
      <c r="F3407" t="s">
        <v>1736</v>
      </c>
      <c r="G3407" t="s">
        <v>329</v>
      </c>
      <c r="H3407" s="10">
        <v>214912</v>
      </c>
      <c r="I3407" t="str">
        <f>IFERROR(VLOOKUP(Final!F3407,'LEAID Match'!$A$2:$B$374,2,FALSE),"")</f>
        <v/>
      </c>
      <c r="K3407" s="10">
        <f t="shared" si="53"/>
        <v>214912</v>
      </c>
    </row>
    <row r="3408" spans="1:11">
      <c r="A3408" t="s">
        <v>2470</v>
      </c>
      <c r="B3408" s="10">
        <v>2017</v>
      </c>
      <c r="C3408" t="s">
        <v>383</v>
      </c>
      <c r="D3408" t="s">
        <v>2472</v>
      </c>
      <c r="E3408" t="s">
        <v>2474</v>
      </c>
      <c r="F3408" t="s">
        <v>1736</v>
      </c>
      <c r="G3408" t="s">
        <v>1736</v>
      </c>
      <c r="H3408" s="10">
        <v>237341</v>
      </c>
      <c r="I3408" t="str">
        <f>IFERROR(VLOOKUP(Final!F3408,'LEAID Match'!$A$2:$B$374,2,FALSE),"")</f>
        <v/>
      </c>
      <c r="K3408" s="10">
        <f t="shared" si="53"/>
        <v>237341</v>
      </c>
    </row>
    <row r="3409" spans="1:11">
      <c r="A3409" t="s">
        <v>2470</v>
      </c>
      <c r="B3409" s="10">
        <v>2018</v>
      </c>
      <c r="C3409" t="s">
        <v>383</v>
      </c>
      <c r="D3409" t="s">
        <v>2472</v>
      </c>
      <c r="E3409" t="s">
        <v>2474</v>
      </c>
      <c r="F3409" t="s">
        <v>1736</v>
      </c>
      <c r="G3409" t="s">
        <v>1736</v>
      </c>
      <c r="H3409" s="10">
        <v>266529</v>
      </c>
      <c r="I3409" t="str">
        <f>IFERROR(VLOOKUP(Final!F3409,'LEAID Match'!$A$2:$B$374,2,FALSE),"")</f>
        <v/>
      </c>
      <c r="K3409" s="10">
        <f t="shared" si="53"/>
        <v>266529</v>
      </c>
    </row>
    <row r="3410" spans="1:11">
      <c r="A3410" t="s">
        <v>2470</v>
      </c>
      <c r="B3410" s="10">
        <v>2019</v>
      </c>
      <c r="C3410" t="s">
        <v>383</v>
      </c>
      <c r="D3410" t="s">
        <v>2472</v>
      </c>
      <c r="E3410" t="s">
        <v>2474</v>
      </c>
      <c r="F3410" t="s">
        <v>1736</v>
      </c>
      <c r="G3410" t="s">
        <v>1736</v>
      </c>
      <c r="H3410" s="10">
        <v>290300</v>
      </c>
      <c r="I3410" t="str">
        <f>IFERROR(VLOOKUP(Final!F3410,'LEAID Match'!$A$2:$B$374,2,FALSE),"")</f>
        <v/>
      </c>
      <c r="K3410" s="10">
        <f t="shared" si="53"/>
        <v>290300</v>
      </c>
    </row>
    <row r="3411" spans="1:11">
      <c r="A3411" t="s">
        <v>2470</v>
      </c>
      <c r="B3411" s="10">
        <v>2020</v>
      </c>
      <c r="C3411" t="s">
        <v>383</v>
      </c>
      <c r="D3411" t="s">
        <v>2472</v>
      </c>
      <c r="E3411" t="s">
        <v>2474</v>
      </c>
      <c r="F3411" t="s">
        <v>1736</v>
      </c>
      <c r="G3411" t="s">
        <v>1736</v>
      </c>
      <c r="H3411" s="10">
        <v>323323</v>
      </c>
      <c r="I3411" t="str">
        <f>IFERROR(VLOOKUP(Final!F3411,'LEAID Match'!$A$2:$B$374,2,FALSE),"")</f>
        <v/>
      </c>
      <c r="K3411" s="10">
        <f t="shared" si="53"/>
        <v>323323</v>
      </c>
    </row>
    <row r="3412" spans="1:11">
      <c r="A3412" t="s">
        <v>2470</v>
      </c>
      <c r="B3412" s="10">
        <v>2021</v>
      </c>
      <c r="C3412" t="s">
        <v>383</v>
      </c>
      <c r="D3412" t="s">
        <v>2472</v>
      </c>
      <c r="E3412" t="s">
        <v>2474</v>
      </c>
      <c r="F3412" t="s">
        <v>1736</v>
      </c>
      <c r="G3412" t="s">
        <v>1736</v>
      </c>
      <c r="H3412" s="10">
        <v>340880</v>
      </c>
      <c r="I3412" t="str">
        <f>IFERROR(VLOOKUP(Final!F3412,'LEAID Match'!$A$2:$B$374,2,FALSE),"")</f>
        <v/>
      </c>
      <c r="K3412" s="10">
        <f t="shared" si="53"/>
        <v>340880</v>
      </c>
    </row>
    <row r="3413" spans="1:11">
      <c r="A3413" t="s">
        <v>2470</v>
      </c>
      <c r="B3413" s="10">
        <v>2022</v>
      </c>
      <c r="C3413" t="s">
        <v>383</v>
      </c>
      <c r="D3413" t="s">
        <v>2472</v>
      </c>
      <c r="E3413" t="s">
        <v>2474</v>
      </c>
      <c r="F3413" t="s">
        <v>1736</v>
      </c>
      <c r="G3413" t="s">
        <v>1736</v>
      </c>
      <c r="H3413" s="10">
        <v>375511</v>
      </c>
      <c r="I3413" t="str">
        <f>IFERROR(VLOOKUP(Final!F3413,'LEAID Match'!$A$2:$B$374,2,FALSE),"")</f>
        <v/>
      </c>
      <c r="K3413" s="10">
        <f t="shared" si="53"/>
        <v>375511</v>
      </c>
    </row>
    <row r="3414" spans="1:11">
      <c r="A3414" t="s">
        <v>2470</v>
      </c>
      <c r="B3414" s="10">
        <v>2023</v>
      </c>
      <c r="C3414" t="s">
        <v>383</v>
      </c>
      <c r="D3414" t="s">
        <v>2472</v>
      </c>
      <c r="E3414" t="s">
        <v>2474</v>
      </c>
      <c r="F3414" t="s">
        <v>1736</v>
      </c>
      <c r="G3414" t="s">
        <v>1736</v>
      </c>
      <c r="H3414" s="10">
        <v>449718</v>
      </c>
      <c r="I3414" t="str">
        <f>IFERROR(VLOOKUP(Final!F3414,'LEAID Match'!$A$2:$B$374,2,FALSE),"")</f>
        <v/>
      </c>
      <c r="K3414" s="10">
        <f t="shared" si="53"/>
        <v>449718</v>
      </c>
    </row>
    <row r="3415" spans="1:11">
      <c r="A3415" t="s">
        <v>2470</v>
      </c>
      <c r="B3415" s="10">
        <v>2015</v>
      </c>
      <c r="C3415" t="s">
        <v>447</v>
      </c>
      <c r="D3415" t="s">
        <v>2472</v>
      </c>
      <c r="E3415" t="s">
        <v>2474</v>
      </c>
      <c r="F3415" t="s">
        <v>1849</v>
      </c>
      <c r="G3415" t="s">
        <v>392</v>
      </c>
      <c r="H3415" s="10">
        <v>506890</v>
      </c>
      <c r="I3415" t="str">
        <f>IFERROR(VLOOKUP(Final!F3415,'LEAID Match'!$A$2:$B$374,2,FALSE),"")</f>
        <v/>
      </c>
      <c r="K3415" s="10">
        <f t="shared" si="53"/>
        <v>506890</v>
      </c>
    </row>
    <row r="3416" spans="1:11">
      <c r="A3416" t="s">
        <v>2470</v>
      </c>
      <c r="B3416" s="10">
        <v>2016</v>
      </c>
      <c r="C3416" t="s">
        <v>447</v>
      </c>
      <c r="D3416" t="s">
        <v>2472</v>
      </c>
      <c r="E3416" t="s">
        <v>2474</v>
      </c>
      <c r="F3416" t="s">
        <v>1849</v>
      </c>
      <c r="G3416" t="s">
        <v>392</v>
      </c>
      <c r="H3416" s="10">
        <v>499192</v>
      </c>
      <c r="I3416" t="str">
        <f>IFERROR(VLOOKUP(Final!F3416,'LEAID Match'!$A$2:$B$374,2,FALSE),"")</f>
        <v/>
      </c>
      <c r="K3416" s="10">
        <f t="shared" si="53"/>
        <v>499192</v>
      </c>
    </row>
    <row r="3417" spans="1:11">
      <c r="A3417" t="s">
        <v>2470</v>
      </c>
      <c r="B3417" s="10">
        <v>2017</v>
      </c>
      <c r="C3417" t="s">
        <v>447</v>
      </c>
      <c r="D3417" t="s">
        <v>2472</v>
      </c>
      <c r="E3417" t="s">
        <v>2474</v>
      </c>
      <c r="F3417" t="s">
        <v>1849</v>
      </c>
      <c r="G3417" t="s">
        <v>1849</v>
      </c>
      <c r="H3417" s="10">
        <v>519238</v>
      </c>
      <c r="I3417" t="str">
        <f>IFERROR(VLOOKUP(Final!F3417,'LEAID Match'!$A$2:$B$374,2,FALSE),"")</f>
        <v/>
      </c>
      <c r="K3417" s="10">
        <f t="shared" si="53"/>
        <v>519238</v>
      </c>
    </row>
    <row r="3418" spans="1:11">
      <c r="A3418" t="s">
        <v>2470</v>
      </c>
      <c r="B3418" s="10">
        <v>2018</v>
      </c>
      <c r="C3418" t="s">
        <v>447</v>
      </c>
      <c r="D3418" t="s">
        <v>2472</v>
      </c>
      <c r="E3418" t="s">
        <v>2474</v>
      </c>
      <c r="F3418" t="s">
        <v>1849</v>
      </c>
      <c r="G3418" t="s">
        <v>1849</v>
      </c>
      <c r="H3418" s="10">
        <v>549366</v>
      </c>
      <c r="I3418" t="str">
        <f>IFERROR(VLOOKUP(Final!F3418,'LEAID Match'!$A$2:$B$374,2,FALSE),"")</f>
        <v/>
      </c>
      <c r="K3418" s="10">
        <f t="shared" si="53"/>
        <v>549366</v>
      </c>
    </row>
    <row r="3419" spans="1:11">
      <c r="A3419" t="s">
        <v>2470</v>
      </c>
      <c r="B3419" s="10">
        <v>2019</v>
      </c>
      <c r="C3419" t="s">
        <v>447</v>
      </c>
      <c r="D3419" t="s">
        <v>2472</v>
      </c>
      <c r="E3419" t="s">
        <v>2474</v>
      </c>
      <c r="F3419" t="s">
        <v>1849</v>
      </c>
      <c r="G3419" t="s">
        <v>1849</v>
      </c>
      <c r="H3419" s="10">
        <v>574955</v>
      </c>
      <c r="I3419" t="str">
        <f>IFERROR(VLOOKUP(Final!F3419,'LEAID Match'!$A$2:$B$374,2,FALSE),"")</f>
        <v/>
      </c>
      <c r="K3419" s="10">
        <f t="shared" si="53"/>
        <v>574955</v>
      </c>
    </row>
    <row r="3420" spans="1:11">
      <c r="A3420" t="s">
        <v>2470</v>
      </c>
      <c r="B3420" s="10">
        <v>2020</v>
      </c>
      <c r="C3420" t="s">
        <v>447</v>
      </c>
      <c r="D3420" t="s">
        <v>2472</v>
      </c>
      <c r="E3420" t="s">
        <v>2474</v>
      </c>
      <c r="F3420" t="s">
        <v>1849</v>
      </c>
      <c r="G3420" t="s">
        <v>1849</v>
      </c>
      <c r="H3420" s="10">
        <v>702401</v>
      </c>
      <c r="I3420" t="str">
        <f>IFERROR(VLOOKUP(Final!F3420,'LEAID Match'!$A$2:$B$374,2,FALSE),"")</f>
        <v/>
      </c>
      <c r="K3420" s="10">
        <f t="shared" si="53"/>
        <v>702401</v>
      </c>
    </row>
    <row r="3421" spans="1:11">
      <c r="A3421" t="s">
        <v>2470</v>
      </c>
      <c r="B3421" s="10">
        <v>2021</v>
      </c>
      <c r="C3421" t="s">
        <v>447</v>
      </c>
      <c r="D3421" t="s">
        <v>2472</v>
      </c>
      <c r="E3421" t="s">
        <v>2474</v>
      </c>
      <c r="F3421" t="s">
        <v>1849</v>
      </c>
      <c r="G3421" t="s">
        <v>1849</v>
      </c>
      <c r="H3421" s="10">
        <v>702485</v>
      </c>
      <c r="I3421" t="str">
        <f>IFERROR(VLOOKUP(Final!F3421,'LEAID Match'!$A$2:$B$374,2,FALSE),"")</f>
        <v/>
      </c>
      <c r="K3421" s="10">
        <f t="shared" si="53"/>
        <v>702485</v>
      </c>
    </row>
    <row r="3422" spans="1:11">
      <c r="A3422" t="s">
        <v>2470</v>
      </c>
      <c r="B3422" s="10">
        <v>2022</v>
      </c>
      <c r="C3422" t="s">
        <v>447</v>
      </c>
      <c r="D3422" t="s">
        <v>2472</v>
      </c>
      <c r="E3422" t="s">
        <v>2474</v>
      </c>
      <c r="F3422" t="s">
        <v>1849</v>
      </c>
      <c r="G3422" t="s">
        <v>1849</v>
      </c>
      <c r="H3422" s="10">
        <v>828411</v>
      </c>
      <c r="I3422" t="str">
        <f>IFERROR(VLOOKUP(Final!F3422,'LEAID Match'!$A$2:$B$374,2,FALSE),"")</f>
        <v/>
      </c>
      <c r="K3422" s="10">
        <f t="shared" si="53"/>
        <v>828411</v>
      </c>
    </row>
    <row r="3423" spans="1:11">
      <c r="A3423" t="s">
        <v>2470</v>
      </c>
      <c r="B3423" s="10">
        <v>2023</v>
      </c>
      <c r="C3423" t="s">
        <v>447</v>
      </c>
      <c r="D3423" t="s">
        <v>2472</v>
      </c>
      <c r="E3423" t="s">
        <v>2474</v>
      </c>
      <c r="F3423" t="s">
        <v>1849</v>
      </c>
      <c r="G3423" t="s">
        <v>1849</v>
      </c>
      <c r="H3423" s="10">
        <v>939063</v>
      </c>
      <c r="I3423" t="str">
        <f>IFERROR(VLOOKUP(Final!F3423,'LEAID Match'!$A$2:$B$374,2,FALSE),"")</f>
        <v/>
      </c>
      <c r="K3423" s="10">
        <f t="shared" si="53"/>
        <v>939063</v>
      </c>
    </row>
    <row r="3424" spans="1:11">
      <c r="A3424" t="s">
        <v>2470</v>
      </c>
      <c r="B3424" s="10">
        <v>2015</v>
      </c>
      <c r="C3424" t="s">
        <v>1242</v>
      </c>
      <c r="D3424" t="s">
        <v>2472</v>
      </c>
      <c r="E3424" t="s">
        <v>2474</v>
      </c>
      <c r="F3424" t="s">
        <v>1894</v>
      </c>
      <c r="G3424" t="s">
        <v>1188</v>
      </c>
      <c r="H3424" s="10">
        <v>162602</v>
      </c>
      <c r="I3424" t="str">
        <f>IFERROR(VLOOKUP(Final!F3424,'LEAID Match'!$A$2:$B$374,2,FALSE),"")</f>
        <v/>
      </c>
      <c r="K3424" s="10">
        <f t="shared" si="53"/>
        <v>162602</v>
      </c>
    </row>
    <row r="3425" spans="1:11">
      <c r="A3425" t="s">
        <v>2470</v>
      </c>
      <c r="B3425" s="10">
        <v>2016</v>
      </c>
      <c r="C3425" t="s">
        <v>1242</v>
      </c>
      <c r="D3425" t="s">
        <v>2472</v>
      </c>
      <c r="E3425" t="s">
        <v>2474</v>
      </c>
      <c r="F3425" t="s">
        <v>1894</v>
      </c>
      <c r="G3425" t="s">
        <v>1188</v>
      </c>
      <c r="H3425" s="10">
        <v>157461</v>
      </c>
      <c r="I3425" t="str">
        <f>IFERROR(VLOOKUP(Final!F3425,'LEAID Match'!$A$2:$B$374,2,FALSE),"")</f>
        <v/>
      </c>
      <c r="K3425" s="10">
        <f t="shared" si="53"/>
        <v>157461</v>
      </c>
    </row>
    <row r="3426" spans="1:11">
      <c r="A3426" t="s">
        <v>2470</v>
      </c>
      <c r="B3426" s="10">
        <v>2017</v>
      </c>
      <c r="C3426" t="s">
        <v>1242</v>
      </c>
      <c r="D3426" t="s">
        <v>2472</v>
      </c>
      <c r="E3426" t="s">
        <v>2474</v>
      </c>
      <c r="F3426" t="s">
        <v>1894</v>
      </c>
      <c r="G3426" t="s">
        <v>1894</v>
      </c>
      <c r="H3426" s="10">
        <v>160163</v>
      </c>
      <c r="I3426" t="str">
        <f>IFERROR(VLOOKUP(Final!F3426,'LEAID Match'!$A$2:$B$374,2,FALSE),"")</f>
        <v/>
      </c>
      <c r="K3426" s="10">
        <f t="shared" si="53"/>
        <v>160163</v>
      </c>
    </row>
    <row r="3427" spans="1:11">
      <c r="A3427" t="s">
        <v>2470</v>
      </c>
      <c r="B3427" s="10">
        <v>2018</v>
      </c>
      <c r="C3427" t="s">
        <v>1242</v>
      </c>
      <c r="D3427" t="s">
        <v>2472</v>
      </c>
      <c r="E3427" t="s">
        <v>2474</v>
      </c>
      <c r="F3427" t="s">
        <v>1894</v>
      </c>
      <c r="G3427" t="s">
        <v>1894</v>
      </c>
      <c r="H3427" s="10">
        <v>196898</v>
      </c>
      <c r="I3427" t="str">
        <f>IFERROR(VLOOKUP(Final!F3427,'LEAID Match'!$A$2:$B$374,2,FALSE),"")</f>
        <v/>
      </c>
      <c r="K3427" s="10">
        <f t="shared" si="53"/>
        <v>196898</v>
      </c>
    </row>
    <row r="3428" spans="1:11">
      <c r="A3428" t="s">
        <v>2470</v>
      </c>
      <c r="B3428" s="10">
        <v>2019</v>
      </c>
      <c r="C3428" t="s">
        <v>1242</v>
      </c>
      <c r="D3428" t="s">
        <v>2472</v>
      </c>
      <c r="E3428" t="s">
        <v>2474</v>
      </c>
      <c r="F3428" t="s">
        <v>1894</v>
      </c>
      <c r="G3428" t="s">
        <v>1894</v>
      </c>
      <c r="H3428" s="10">
        <v>200356</v>
      </c>
      <c r="I3428" t="str">
        <f>IFERROR(VLOOKUP(Final!F3428,'LEAID Match'!$A$2:$B$374,2,FALSE),"")</f>
        <v/>
      </c>
      <c r="K3428" s="10">
        <f t="shared" si="53"/>
        <v>200356</v>
      </c>
    </row>
    <row r="3429" spans="1:11">
      <c r="A3429" t="s">
        <v>2470</v>
      </c>
      <c r="B3429" s="10">
        <v>2020</v>
      </c>
      <c r="C3429" t="s">
        <v>1242</v>
      </c>
      <c r="D3429" t="s">
        <v>2472</v>
      </c>
      <c r="E3429" t="s">
        <v>2474</v>
      </c>
      <c r="F3429" t="s">
        <v>1894</v>
      </c>
      <c r="G3429" t="s">
        <v>1894</v>
      </c>
      <c r="H3429" s="10">
        <v>212457</v>
      </c>
      <c r="I3429" t="str">
        <f>IFERROR(VLOOKUP(Final!F3429,'LEAID Match'!$A$2:$B$374,2,FALSE),"")</f>
        <v/>
      </c>
      <c r="K3429" s="10">
        <f t="shared" si="53"/>
        <v>212457</v>
      </c>
    </row>
    <row r="3430" spans="1:11">
      <c r="A3430" t="s">
        <v>2470</v>
      </c>
      <c r="B3430" s="10">
        <v>2021</v>
      </c>
      <c r="C3430" t="s">
        <v>1242</v>
      </c>
      <c r="D3430" t="s">
        <v>2472</v>
      </c>
      <c r="E3430" t="s">
        <v>2474</v>
      </c>
      <c r="F3430" t="s">
        <v>1894</v>
      </c>
      <c r="G3430" t="s">
        <v>1894</v>
      </c>
      <c r="H3430" s="10">
        <v>224358</v>
      </c>
      <c r="I3430" t="str">
        <f>IFERROR(VLOOKUP(Final!F3430,'LEAID Match'!$A$2:$B$374,2,FALSE),"")</f>
        <v/>
      </c>
      <c r="K3430" s="10">
        <f t="shared" si="53"/>
        <v>224358</v>
      </c>
    </row>
    <row r="3431" spans="1:11">
      <c r="A3431" t="s">
        <v>2470</v>
      </c>
      <c r="B3431" s="10">
        <v>2022</v>
      </c>
      <c r="C3431" t="s">
        <v>1242</v>
      </c>
      <c r="D3431" t="s">
        <v>2472</v>
      </c>
      <c r="E3431" t="s">
        <v>2474</v>
      </c>
      <c r="F3431" t="s">
        <v>1894</v>
      </c>
      <c r="G3431" t="s">
        <v>1894</v>
      </c>
      <c r="H3431" s="10">
        <v>283800</v>
      </c>
      <c r="I3431" t="str">
        <f>IFERROR(VLOOKUP(Final!F3431,'LEAID Match'!$A$2:$B$374,2,FALSE),"")</f>
        <v/>
      </c>
      <c r="K3431" s="10">
        <f t="shared" si="53"/>
        <v>283800</v>
      </c>
    </row>
    <row r="3432" spans="1:11">
      <c r="A3432" t="s">
        <v>2470</v>
      </c>
      <c r="B3432" s="10">
        <v>2023</v>
      </c>
      <c r="C3432" t="s">
        <v>1242</v>
      </c>
      <c r="D3432" t="s">
        <v>2472</v>
      </c>
      <c r="E3432" t="s">
        <v>2474</v>
      </c>
      <c r="F3432" t="s">
        <v>1894</v>
      </c>
      <c r="G3432" t="s">
        <v>1894</v>
      </c>
      <c r="H3432" s="10">
        <v>361778</v>
      </c>
      <c r="I3432" t="str">
        <f>IFERROR(VLOOKUP(Final!F3432,'LEAID Match'!$A$2:$B$374,2,FALSE),"")</f>
        <v/>
      </c>
      <c r="K3432" s="10">
        <f t="shared" si="53"/>
        <v>361778</v>
      </c>
    </row>
    <row r="3433" spans="1:11">
      <c r="A3433" t="s">
        <v>2470</v>
      </c>
      <c r="B3433" s="10">
        <v>2015</v>
      </c>
      <c r="C3433" t="s">
        <v>384</v>
      </c>
      <c r="D3433" t="s">
        <v>2472</v>
      </c>
      <c r="E3433" t="s">
        <v>2474</v>
      </c>
      <c r="F3433" t="s">
        <v>1737</v>
      </c>
      <c r="G3433" t="s">
        <v>330</v>
      </c>
      <c r="H3433" s="10">
        <v>2381728</v>
      </c>
      <c r="I3433" t="str">
        <f>IFERROR(VLOOKUP(Final!F3433,'LEAID Match'!$A$2:$B$374,2,FALSE),"")</f>
        <v/>
      </c>
      <c r="K3433" s="10">
        <f t="shared" si="53"/>
        <v>2381728</v>
      </c>
    </row>
    <row r="3434" spans="1:11">
      <c r="A3434" t="s">
        <v>2470</v>
      </c>
      <c r="B3434" s="10">
        <v>2016</v>
      </c>
      <c r="C3434" t="s">
        <v>384</v>
      </c>
      <c r="D3434" t="s">
        <v>2472</v>
      </c>
      <c r="E3434" t="s">
        <v>2474</v>
      </c>
      <c r="F3434" t="s">
        <v>1737</v>
      </c>
      <c r="G3434" t="s">
        <v>330</v>
      </c>
      <c r="H3434" s="10">
        <v>2460016</v>
      </c>
      <c r="I3434" t="str">
        <f>IFERROR(VLOOKUP(Final!F3434,'LEAID Match'!$A$2:$B$374,2,FALSE),"")</f>
        <v/>
      </c>
      <c r="K3434" s="10">
        <f t="shared" si="53"/>
        <v>2460016</v>
      </c>
    </row>
    <row r="3435" spans="1:11">
      <c r="A3435" t="s">
        <v>2470</v>
      </c>
      <c r="B3435" s="10">
        <v>2017</v>
      </c>
      <c r="C3435" t="s">
        <v>384</v>
      </c>
      <c r="D3435" t="s">
        <v>2472</v>
      </c>
      <c r="E3435" t="s">
        <v>2474</v>
      </c>
      <c r="F3435" t="s">
        <v>1737</v>
      </c>
      <c r="G3435" t="s">
        <v>1737</v>
      </c>
      <c r="H3435" s="10">
        <v>2529219</v>
      </c>
      <c r="I3435" t="str">
        <f>IFERROR(VLOOKUP(Final!F3435,'LEAID Match'!$A$2:$B$374,2,FALSE),"")</f>
        <v/>
      </c>
      <c r="K3435" s="10">
        <f t="shared" si="53"/>
        <v>2529219</v>
      </c>
    </row>
    <row r="3436" spans="1:11">
      <c r="A3436" t="s">
        <v>2470</v>
      </c>
      <c r="B3436" s="10">
        <v>2018</v>
      </c>
      <c r="C3436" t="s">
        <v>384</v>
      </c>
      <c r="D3436" t="s">
        <v>2472</v>
      </c>
      <c r="E3436" t="s">
        <v>2474</v>
      </c>
      <c r="F3436" t="s">
        <v>1737</v>
      </c>
      <c r="G3436" t="s">
        <v>1737</v>
      </c>
      <c r="H3436" s="10">
        <v>2891615</v>
      </c>
      <c r="I3436" t="str">
        <f>IFERROR(VLOOKUP(Final!F3436,'LEAID Match'!$A$2:$B$374,2,FALSE),"")</f>
        <v/>
      </c>
      <c r="K3436" s="10">
        <f t="shared" si="53"/>
        <v>2891615</v>
      </c>
    </row>
    <row r="3437" spans="1:11">
      <c r="A3437" t="s">
        <v>2470</v>
      </c>
      <c r="B3437" s="10">
        <v>2019</v>
      </c>
      <c r="C3437" t="s">
        <v>384</v>
      </c>
      <c r="D3437" t="s">
        <v>2472</v>
      </c>
      <c r="E3437" t="s">
        <v>2474</v>
      </c>
      <c r="F3437" t="s">
        <v>1737</v>
      </c>
      <c r="G3437" t="s">
        <v>1737</v>
      </c>
      <c r="H3437" s="10">
        <v>3002190</v>
      </c>
      <c r="I3437" t="str">
        <f>IFERROR(VLOOKUP(Final!F3437,'LEAID Match'!$A$2:$B$374,2,FALSE),"")</f>
        <v/>
      </c>
      <c r="K3437" s="10">
        <f t="shared" si="53"/>
        <v>3002190</v>
      </c>
    </row>
    <row r="3438" spans="1:11">
      <c r="A3438" t="s">
        <v>2470</v>
      </c>
      <c r="B3438" s="10">
        <v>2020</v>
      </c>
      <c r="C3438" t="s">
        <v>384</v>
      </c>
      <c r="D3438" t="s">
        <v>2472</v>
      </c>
      <c r="E3438" t="s">
        <v>2474</v>
      </c>
      <c r="F3438" t="s">
        <v>1737</v>
      </c>
      <c r="G3438" t="s">
        <v>1737</v>
      </c>
      <c r="H3438" s="10">
        <v>3294032</v>
      </c>
      <c r="I3438" t="str">
        <f>IFERROR(VLOOKUP(Final!F3438,'LEAID Match'!$A$2:$B$374,2,FALSE),"")</f>
        <v/>
      </c>
      <c r="K3438" s="10">
        <f t="shared" si="53"/>
        <v>3294032</v>
      </c>
    </row>
    <row r="3439" spans="1:11">
      <c r="A3439" t="s">
        <v>2470</v>
      </c>
      <c r="B3439" s="10">
        <v>2021</v>
      </c>
      <c r="C3439" t="s">
        <v>384</v>
      </c>
      <c r="D3439" t="s">
        <v>2472</v>
      </c>
      <c r="E3439" t="s">
        <v>2474</v>
      </c>
      <c r="F3439" t="s">
        <v>1737</v>
      </c>
      <c r="G3439" t="s">
        <v>1737</v>
      </c>
      <c r="H3439" s="10">
        <v>3690370</v>
      </c>
      <c r="I3439" t="str">
        <f>IFERROR(VLOOKUP(Final!F3439,'LEAID Match'!$A$2:$B$374,2,FALSE),"")</f>
        <v/>
      </c>
      <c r="K3439" s="10">
        <f t="shared" si="53"/>
        <v>3690370</v>
      </c>
    </row>
    <row r="3440" spans="1:11">
      <c r="A3440" t="s">
        <v>2470</v>
      </c>
      <c r="B3440" s="10">
        <v>2022</v>
      </c>
      <c r="C3440" t="s">
        <v>384</v>
      </c>
      <c r="D3440" t="s">
        <v>2472</v>
      </c>
      <c r="E3440" t="s">
        <v>2474</v>
      </c>
      <c r="F3440" t="s">
        <v>1737</v>
      </c>
      <c r="G3440" t="s">
        <v>1737</v>
      </c>
      <c r="H3440" s="10">
        <v>4395683</v>
      </c>
      <c r="I3440" t="str">
        <f>IFERROR(VLOOKUP(Final!F3440,'LEAID Match'!$A$2:$B$374,2,FALSE),"")</f>
        <v/>
      </c>
      <c r="K3440" s="10">
        <f t="shared" si="53"/>
        <v>4395683</v>
      </c>
    </row>
    <row r="3441" spans="1:11">
      <c r="A3441" t="s">
        <v>2470</v>
      </c>
      <c r="B3441" s="10">
        <v>2023</v>
      </c>
      <c r="C3441" t="s">
        <v>384</v>
      </c>
      <c r="D3441" t="s">
        <v>2472</v>
      </c>
      <c r="E3441" t="s">
        <v>2474</v>
      </c>
      <c r="F3441" t="s">
        <v>1737</v>
      </c>
      <c r="G3441" t="s">
        <v>1737</v>
      </c>
      <c r="H3441" s="10">
        <v>4959178</v>
      </c>
      <c r="I3441" t="str">
        <f>IFERROR(VLOOKUP(Final!F3441,'LEAID Match'!$A$2:$B$374,2,FALSE),"")</f>
        <v/>
      </c>
      <c r="K3441" s="10">
        <f t="shared" si="53"/>
        <v>4959178</v>
      </c>
    </row>
    <row r="3442" spans="1:11">
      <c r="A3442" t="s">
        <v>2470</v>
      </c>
      <c r="B3442" s="10">
        <v>2015</v>
      </c>
      <c r="C3442" t="s">
        <v>1247</v>
      </c>
      <c r="D3442" t="s">
        <v>2472</v>
      </c>
      <c r="E3442" t="s">
        <v>2474</v>
      </c>
      <c r="F3442" t="s">
        <v>1969</v>
      </c>
      <c r="G3442" t="s">
        <v>1193</v>
      </c>
      <c r="H3442" s="10">
        <v>23041</v>
      </c>
      <c r="I3442" t="str">
        <f>IFERROR(VLOOKUP(Final!F3442,'LEAID Match'!$A$2:$B$374,2,FALSE),"")</f>
        <v/>
      </c>
      <c r="K3442" s="10">
        <f t="shared" si="53"/>
        <v>23041</v>
      </c>
    </row>
    <row r="3443" spans="1:11">
      <c r="A3443" t="s">
        <v>2470</v>
      </c>
      <c r="B3443" s="10">
        <v>2016</v>
      </c>
      <c r="C3443" t="s">
        <v>1247</v>
      </c>
      <c r="D3443" t="s">
        <v>2472</v>
      </c>
      <c r="E3443" t="s">
        <v>2474</v>
      </c>
      <c r="F3443" t="s">
        <v>1969</v>
      </c>
      <c r="G3443" t="s">
        <v>1193</v>
      </c>
      <c r="H3443" s="10">
        <v>23797</v>
      </c>
      <c r="I3443" t="str">
        <f>IFERROR(VLOOKUP(Final!F3443,'LEAID Match'!$A$2:$B$374,2,FALSE),"")</f>
        <v/>
      </c>
      <c r="K3443" s="10">
        <f t="shared" si="53"/>
        <v>23797</v>
      </c>
    </row>
    <row r="3444" spans="1:11">
      <c r="A3444" t="s">
        <v>2470</v>
      </c>
      <c r="B3444" s="10">
        <v>2017</v>
      </c>
      <c r="C3444" t="s">
        <v>1247</v>
      </c>
      <c r="D3444" t="s">
        <v>2472</v>
      </c>
      <c r="E3444" t="s">
        <v>2474</v>
      </c>
      <c r="F3444" t="s">
        <v>1969</v>
      </c>
      <c r="G3444" t="s">
        <v>1969</v>
      </c>
      <c r="H3444" s="10">
        <v>27969</v>
      </c>
      <c r="I3444" t="str">
        <f>IFERROR(VLOOKUP(Final!F3444,'LEAID Match'!$A$2:$B$374,2,FALSE),"")</f>
        <v/>
      </c>
      <c r="K3444" s="10">
        <f t="shared" si="53"/>
        <v>27969</v>
      </c>
    </row>
    <row r="3445" spans="1:11">
      <c r="A3445" t="s">
        <v>2470</v>
      </c>
      <c r="B3445" s="10">
        <v>2018</v>
      </c>
      <c r="C3445" t="s">
        <v>1247</v>
      </c>
      <c r="D3445" t="s">
        <v>2472</v>
      </c>
      <c r="E3445" t="s">
        <v>2474</v>
      </c>
      <c r="F3445" t="s">
        <v>1969</v>
      </c>
      <c r="G3445" t="s">
        <v>1969</v>
      </c>
      <c r="H3445" s="10">
        <v>30192</v>
      </c>
      <c r="I3445" t="str">
        <f>IFERROR(VLOOKUP(Final!F3445,'LEAID Match'!$A$2:$B$374,2,FALSE),"")</f>
        <v/>
      </c>
      <c r="K3445" s="10">
        <f t="shared" si="53"/>
        <v>30192</v>
      </c>
    </row>
    <row r="3446" spans="1:11">
      <c r="A3446" t="s">
        <v>2470</v>
      </c>
      <c r="B3446" s="10">
        <v>2019</v>
      </c>
      <c r="C3446" t="s">
        <v>1247</v>
      </c>
      <c r="D3446" t="s">
        <v>2472</v>
      </c>
      <c r="E3446" t="s">
        <v>2474</v>
      </c>
      <c r="F3446" t="s">
        <v>1969</v>
      </c>
      <c r="G3446" t="s">
        <v>1969</v>
      </c>
      <c r="H3446" s="10">
        <v>28741</v>
      </c>
      <c r="I3446" t="str">
        <f>IFERROR(VLOOKUP(Final!F3446,'LEAID Match'!$A$2:$B$374,2,FALSE),"")</f>
        <v/>
      </c>
      <c r="K3446" s="10">
        <f t="shared" si="53"/>
        <v>28741</v>
      </c>
    </row>
    <row r="3447" spans="1:11">
      <c r="A3447" t="s">
        <v>2470</v>
      </c>
      <c r="B3447" s="10">
        <v>2020</v>
      </c>
      <c r="C3447" t="s">
        <v>1247</v>
      </c>
      <c r="D3447" t="s">
        <v>2472</v>
      </c>
      <c r="E3447" t="s">
        <v>2474</v>
      </c>
      <c r="F3447" t="s">
        <v>1969</v>
      </c>
      <c r="G3447" t="s">
        <v>1969</v>
      </c>
      <c r="H3447" s="10">
        <v>26729</v>
      </c>
      <c r="I3447" t="str">
        <f>IFERROR(VLOOKUP(Final!F3447,'LEAID Match'!$A$2:$B$374,2,FALSE),"")</f>
        <v/>
      </c>
      <c r="K3447" s="10">
        <f t="shared" si="53"/>
        <v>26729</v>
      </c>
    </row>
    <row r="3448" spans="1:11">
      <c r="A3448" t="s">
        <v>2470</v>
      </c>
      <c r="B3448" s="10">
        <v>2021</v>
      </c>
      <c r="C3448" t="s">
        <v>1247</v>
      </c>
      <c r="D3448" t="s">
        <v>2472</v>
      </c>
      <c r="E3448" t="s">
        <v>2474</v>
      </c>
      <c r="F3448" t="s">
        <v>1969</v>
      </c>
      <c r="G3448" t="s">
        <v>1969</v>
      </c>
      <c r="H3448" s="10">
        <v>27935</v>
      </c>
      <c r="I3448" t="str">
        <f>IFERROR(VLOOKUP(Final!F3448,'LEAID Match'!$A$2:$B$374,2,FALSE),"")</f>
        <v/>
      </c>
      <c r="K3448" s="10">
        <f t="shared" si="53"/>
        <v>27935</v>
      </c>
    </row>
    <row r="3449" spans="1:11">
      <c r="A3449" t="s">
        <v>2470</v>
      </c>
      <c r="B3449" s="10">
        <v>2022</v>
      </c>
      <c r="C3449" t="s">
        <v>1247</v>
      </c>
      <c r="D3449" t="s">
        <v>2472</v>
      </c>
      <c r="E3449" t="s">
        <v>2474</v>
      </c>
      <c r="F3449" t="s">
        <v>1969</v>
      </c>
      <c r="G3449" t="s">
        <v>1969</v>
      </c>
      <c r="H3449" s="10">
        <v>35181</v>
      </c>
      <c r="I3449" t="str">
        <f>IFERROR(VLOOKUP(Final!F3449,'LEAID Match'!$A$2:$B$374,2,FALSE),"")</f>
        <v/>
      </c>
      <c r="K3449" s="10">
        <f t="shared" si="53"/>
        <v>35181</v>
      </c>
    </row>
    <row r="3450" spans="1:11">
      <c r="A3450" t="s">
        <v>2470</v>
      </c>
      <c r="B3450" s="10">
        <v>2023</v>
      </c>
      <c r="C3450" t="s">
        <v>1247</v>
      </c>
      <c r="D3450" t="s">
        <v>2472</v>
      </c>
      <c r="E3450" t="s">
        <v>2474</v>
      </c>
      <c r="F3450" t="s">
        <v>1969</v>
      </c>
      <c r="G3450" t="s">
        <v>1969</v>
      </c>
      <c r="H3450" s="10">
        <v>35977</v>
      </c>
      <c r="I3450" t="str">
        <f>IFERROR(VLOOKUP(Final!F3450,'LEAID Match'!$A$2:$B$374,2,FALSE),"")</f>
        <v/>
      </c>
      <c r="K3450" s="10">
        <f t="shared" si="53"/>
        <v>35977</v>
      </c>
    </row>
    <row r="3451" spans="1:11">
      <c r="A3451" t="s">
        <v>2470</v>
      </c>
      <c r="B3451" s="10">
        <v>2015</v>
      </c>
      <c r="C3451" t="s">
        <v>1231</v>
      </c>
      <c r="D3451" t="s">
        <v>2472</v>
      </c>
      <c r="E3451" t="s">
        <v>2474</v>
      </c>
      <c r="F3451" t="s">
        <v>1742</v>
      </c>
      <c r="G3451" t="s">
        <v>1177</v>
      </c>
      <c r="H3451" s="10">
        <v>69279</v>
      </c>
      <c r="I3451" t="str">
        <f>IFERROR(VLOOKUP(Final!F3451,'LEAID Match'!$A$2:$B$374,2,FALSE),"")</f>
        <v/>
      </c>
      <c r="K3451" s="10">
        <f t="shared" si="53"/>
        <v>69279</v>
      </c>
    </row>
    <row r="3452" spans="1:11">
      <c r="A3452" t="s">
        <v>2470</v>
      </c>
      <c r="B3452" s="10">
        <v>2016</v>
      </c>
      <c r="C3452" t="s">
        <v>1231</v>
      </c>
      <c r="D3452" t="s">
        <v>2472</v>
      </c>
      <c r="E3452" t="s">
        <v>2474</v>
      </c>
      <c r="F3452" t="s">
        <v>1742</v>
      </c>
      <c r="G3452" t="s">
        <v>1177</v>
      </c>
      <c r="H3452" s="10">
        <v>80925</v>
      </c>
      <c r="I3452" t="str">
        <f>IFERROR(VLOOKUP(Final!F3452,'LEAID Match'!$A$2:$B$374,2,FALSE),"")</f>
        <v/>
      </c>
      <c r="K3452" s="10">
        <f t="shared" si="53"/>
        <v>80925</v>
      </c>
    </row>
    <row r="3453" spans="1:11">
      <c r="A3453" t="s">
        <v>2470</v>
      </c>
      <c r="B3453" s="10">
        <v>2017</v>
      </c>
      <c r="C3453" t="s">
        <v>1231</v>
      </c>
      <c r="D3453" t="s">
        <v>2472</v>
      </c>
      <c r="E3453" t="s">
        <v>2474</v>
      </c>
      <c r="F3453" t="s">
        <v>1742</v>
      </c>
      <c r="G3453" t="s">
        <v>1742</v>
      </c>
      <c r="H3453" s="10">
        <v>79603</v>
      </c>
      <c r="I3453" t="str">
        <f>IFERROR(VLOOKUP(Final!F3453,'LEAID Match'!$A$2:$B$374,2,FALSE),"")</f>
        <v/>
      </c>
      <c r="K3453" s="10">
        <f t="shared" si="53"/>
        <v>79603</v>
      </c>
    </row>
    <row r="3454" spans="1:11">
      <c r="A3454" t="s">
        <v>2470</v>
      </c>
      <c r="B3454" s="10">
        <v>2018</v>
      </c>
      <c r="C3454" t="s">
        <v>1231</v>
      </c>
      <c r="D3454" t="s">
        <v>2472</v>
      </c>
      <c r="E3454" t="s">
        <v>2474</v>
      </c>
      <c r="F3454" t="s">
        <v>1742</v>
      </c>
      <c r="G3454" t="s">
        <v>1742</v>
      </c>
      <c r="H3454" s="10">
        <v>84599</v>
      </c>
      <c r="I3454" t="str">
        <f>IFERROR(VLOOKUP(Final!F3454,'LEAID Match'!$A$2:$B$374,2,FALSE),"")</f>
        <v/>
      </c>
      <c r="K3454" s="10">
        <f t="shared" si="53"/>
        <v>84599</v>
      </c>
    </row>
    <row r="3455" spans="1:11">
      <c r="A3455" t="s">
        <v>2470</v>
      </c>
      <c r="B3455" s="10">
        <v>2019</v>
      </c>
      <c r="C3455" t="s">
        <v>1231</v>
      </c>
      <c r="D3455" t="s">
        <v>2472</v>
      </c>
      <c r="E3455" t="s">
        <v>2474</v>
      </c>
      <c r="F3455" t="s">
        <v>1742</v>
      </c>
      <c r="G3455" t="s">
        <v>1742</v>
      </c>
      <c r="H3455" s="10">
        <v>88892</v>
      </c>
      <c r="I3455" t="str">
        <f>IFERROR(VLOOKUP(Final!F3455,'LEAID Match'!$A$2:$B$374,2,FALSE),"")</f>
        <v/>
      </c>
      <c r="K3455" s="10">
        <f t="shared" si="53"/>
        <v>88892</v>
      </c>
    </row>
    <row r="3456" spans="1:11">
      <c r="A3456" t="s">
        <v>2470</v>
      </c>
      <c r="B3456" s="10">
        <v>2020</v>
      </c>
      <c r="C3456" t="s">
        <v>1231</v>
      </c>
      <c r="D3456" t="s">
        <v>2472</v>
      </c>
      <c r="E3456" t="s">
        <v>2474</v>
      </c>
      <c r="F3456" t="s">
        <v>1742</v>
      </c>
      <c r="G3456" t="s">
        <v>1742</v>
      </c>
      <c r="H3456" s="10">
        <v>83603</v>
      </c>
      <c r="I3456" t="str">
        <f>IFERROR(VLOOKUP(Final!F3456,'LEAID Match'!$A$2:$B$374,2,FALSE),"")</f>
        <v/>
      </c>
      <c r="K3456" s="10">
        <f t="shared" si="53"/>
        <v>83603</v>
      </c>
    </row>
    <row r="3457" spans="1:11">
      <c r="A3457" t="s">
        <v>2470</v>
      </c>
      <c r="B3457" s="10">
        <v>2021</v>
      </c>
      <c r="C3457" t="s">
        <v>1231</v>
      </c>
      <c r="D3457" t="s">
        <v>2472</v>
      </c>
      <c r="E3457" t="s">
        <v>2474</v>
      </c>
      <c r="F3457" t="s">
        <v>1742</v>
      </c>
      <c r="G3457" t="s">
        <v>1742</v>
      </c>
      <c r="H3457" s="10">
        <v>80568</v>
      </c>
      <c r="I3457" t="str">
        <f>IFERROR(VLOOKUP(Final!F3457,'LEAID Match'!$A$2:$B$374,2,FALSE),"")</f>
        <v/>
      </c>
      <c r="K3457" s="10">
        <f t="shared" si="53"/>
        <v>80568</v>
      </c>
    </row>
    <row r="3458" spans="1:11">
      <c r="A3458" t="s">
        <v>2470</v>
      </c>
      <c r="B3458" s="10">
        <v>2022</v>
      </c>
      <c r="C3458" t="s">
        <v>1231</v>
      </c>
      <c r="D3458" t="s">
        <v>2472</v>
      </c>
      <c r="E3458" t="s">
        <v>2474</v>
      </c>
      <c r="F3458" t="s">
        <v>1742</v>
      </c>
      <c r="G3458" t="s">
        <v>1742</v>
      </c>
      <c r="H3458" s="10">
        <v>97458</v>
      </c>
      <c r="I3458" t="str">
        <f>IFERROR(VLOOKUP(Final!F3458,'LEAID Match'!$A$2:$B$374,2,FALSE),"")</f>
        <v/>
      </c>
      <c r="K3458" s="10">
        <f t="shared" si="53"/>
        <v>97458</v>
      </c>
    </row>
    <row r="3459" spans="1:11">
      <c r="A3459" t="s">
        <v>2470</v>
      </c>
      <c r="B3459" s="10">
        <v>2023</v>
      </c>
      <c r="C3459" t="s">
        <v>1231</v>
      </c>
      <c r="D3459" t="s">
        <v>2472</v>
      </c>
      <c r="E3459" t="s">
        <v>2474</v>
      </c>
      <c r="F3459" t="s">
        <v>1742</v>
      </c>
      <c r="G3459" t="s">
        <v>1742</v>
      </c>
      <c r="H3459" s="10">
        <v>100922</v>
      </c>
      <c r="I3459" t="str">
        <f>IFERROR(VLOOKUP(Final!F3459,'LEAID Match'!$A$2:$B$374,2,FALSE),"")</f>
        <v/>
      </c>
      <c r="K3459" s="10">
        <f t="shared" ref="K3459:K3522" si="54">SUM(H3459,J3459)</f>
        <v>100922</v>
      </c>
    </row>
    <row r="3460" spans="1:11">
      <c r="A3460" t="s">
        <v>2470</v>
      </c>
      <c r="B3460" s="10">
        <v>2015</v>
      </c>
      <c r="C3460" t="s">
        <v>1232</v>
      </c>
      <c r="D3460" t="s">
        <v>2472</v>
      </c>
      <c r="E3460" t="s">
        <v>2474</v>
      </c>
      <c r="F3460" t="s">
        <v>1745</v>
      </c>
      <c r="G3460" t="s">
        <v>1178</v>
      </c>
      <c r="H3460" s="10">
        <v>85329</v>
      </c>
      <c r="I3460" t="str">
        <f>IFERROR(VLOOKUP(Final!F3460,'LEAID Match'!$A$2:$B$374,2,FALSE),"")</f>
        <v/>
      </c>
      <c r="K3460" s="10">
        <f t="shared" si="54"/>
        <v>85329</v>
      </c>
    </row>
    <row r="3461" spans="1:11">
      <c r="A3461" t="s">
        <v>2470</v>
      </c>
      <c r="B3461" s="10">
        <v>2016</v>
      </c>
      <c r="C3461" t="s">
        <v>1232</v>
      </c>
      <c r="D3461" t="s">
        <v>2472</v>
      </c>
      <c r="E3461" t="s">
        <v>2474</v>
      </c>
      <c r="F3461" t="s">
        <v>1745</v>
      </c>
      <c r="G3461" t="s">
        <v>1178</v>
      </c>
      <c r="H3461" s="10">
        <v>70107</v>
      </c>
      <c r="I3461" t="str">
        <f>IFERROR(VLOOKUP(Final!F3461,'LEAID Match'!$A$2:$B$374,2,FALSE),"")</f>
        <v/>
      </c>
      <c r="K3461" s="10">
        <f t="shared" si="54"/>
        <v>70107</v>
      </c>
    </row>
    <row r="3462" spans="1:11">
      <c r="A3462" t="s">
        <v>2470</v>
      </c>
      <c r="B3462" s="10">
        <v>2017</v>
      </c>
      <c r="C3462" t="s">
        <v>1232</v>
      </c>
      <c r="D3462" t="s">
        <v>2472</v>
      </c>
      <c r="E3462" t="s">
        <v>2474</v>
      </c>
      <c r="F3462" t="s">
        <v>1745</v>
      </c>
      <c r="G3462" t="s">
        <v>1745</v>
      </c>
      <c r="H3462" s="10">
        <v>67287</v>
      </c>
      <c r="I3462" t="str">
        <f>IFERROR(VLOOKUP(Final!F3462,'LEAID Match'!$A$2:$B$374,2,FALSE),"")</f>
        <v/>
      </c>
      <c r="K3462" s="10">
        <f t="shared" si="54"/>
        <v>67287</v>
      </c>
    </row>
    <row r="3463" spans="1:11">
      <c r="A3463" t="s">
        <v>2470</v>
      </c>
      <c r="B3463" s="10">
        <v>2018</v>
      </c>
      <c r="C3463" t="s">
        <v>1232</v>
      </c>
      <c r="D3463" t="s">
        <v>2472</v>
      </c>
      <c r="E3463" t="s">
        <v>2474</v>
      </c>
      <c r="F3463" t="s">
        <v>1745</v>
      </c>
      <c r="G3463" t="s">
        <v>1745</v>
      </c>
      <c r="H3463" s="10">
        <v>86154</v>
      </c>
      <c r="I3463" t="str">
        <f>IFERROR(VLOOKUP(Final!F3463,'LEAID Match'!$A$2:$B$374,2,FALSE),"")</f>
        <v/>
      </c>
      <c r="K3463" s="10">
        <f t="shared" si="54"/>
        <v>86154</v>
      </c>
    </row>
    <row r="3464" spans="1:11">
      <c r="A3464" t="s">
        <v>2470</v>
      </c>
      <c r="B3464" s="10">
        <v>2019</v>
      </c>
      <c r="C3464" t="s">
        <v>1232</v>
      </c>
      <c r="D3464" t="s">
        <v>2472</v>
      </c>
      <c r="E3464" t="s">
        <v>2474</v>
      </c>
      <c r="F3464" t="s">
        <v>1745</v>
      </c>
      <c r="G3464" t="s">
        <v>1745</v>
      </c>
      <c r="H3464" s="10">
        <v>91576</v>
      </c>
      <c r="I3464" t="str">
        <f>IFERROR(VLOOKUP(Final!F3464,'LEAID Match'!$A$2:$B$374,2,FALSE),"")</f>
        <v/>
      </c>
      <c r="K3464" s="10">
        <f t="shared" si="54"/>
        <v>91576</v>
      </c>
    </row>
    <row r="3465" spans="1:11">
      <c r="A3465" t="s">
        <v>2470</v>
      </c>
      <c r="B3465" s="10">
        <v>2020</v>
      </c>
      <c r="C3465" t="s">
        <v>1232</v>
      </c>
      <c r="D3465" t="s">
        <v>2472</v>
      </c>
      <c r="E3465" t="s">
        <v>2474</v>
      </c>
      <c r="F3465" t="s">
        <v>1745</v>
      </c>
      <c r="G3465" t="s">
        <v>1745</v>
      </c>
      <c r="H3465" s="10">
        <v>75903</v>
      </c>
      <c r="I3465" t="str">
        <f>IFERROR(VLOOKUP(Final!F3465,'LEAID Match'!$A$2:$B$374,2,FALSE),"")</f>
        <v/>
      </c>
      <c r="K3465" s="10">
        <f t="shared" si="54"/>
        <v>75903</v>
      </c>
    </row>
    <row r="3466" spans="1:11">
      <c r="A3466" t="s">
        <v>2470</v>
      </c>
      <c r="B3466" s="10">
        <v>2021</v>
      </c>
      <c r="C3466" t="s">
        <v>1232</v>
      </c>
      <c r="D3466" t="s">
        <v>2472</v>
      </c>
      <c r="E3466" t="s">
        <v>2474</v>
      </c>
      <c r="F3466" t="s">
        <v>1745</v>
      </c>
      <c r="G3466" t="s">
        <v>1745</v>
      </c>
      <c r="H3466" s="10">
        <v>61544</v>
      </c>
      <c r="I3466" t="str">
        <f>IFERROR(VLOOKUP(Final!F3466,'LEAID Match'!$A$2:$B$374,2,FALSE),"")</f>
        <v/>
      </c>
      <c r="K3466" s="10">
        <f t="shared" si="54"/>
        <v>61544</v>
      </c>
    </row>
    <row r="3467" spans="1:11">
      <c r="A3467" t="s">
        <v>2470</v>
      </c>
      <c r="B3467" s="10">
        <v>2022</v>
      </c>
      <c r="C3467" t="s">
        <v>1232</v>
      </c>
      <c r="D3467" t="s">
        <v>2472</v>
      </c>
      <c r="E3467" t="s">
        <v>2474</v>
      </c>
      <c r="F3467" t="s">
        <v>1745</v>
      </c>
      <c r="G3467" t="s">
        <v>1745</v>
      </c>
      <c r="H3467" s="10">
        <v>70758</v>
      </c>
      <c r="I3467" t="str">
        <f>IFERROR(VLOOKUP(Final!F3467,'LEAID Match'!$A$2:$B$374,2,FALSE),"")</f>
        <v/>
      </c>
      <c r="K3467" s="10">
        <f t="shared" si="54"/>
        <v>70758</v>
      </c>
    </row>
    <row r="3468" spans="1:11">
      <c r="A3468" t="s">
        <v>2470</v>
      </c>
      <c r="B3468" s="10">
        <v>2023</v>
      </c>
      <c r="C3468" t="s">
        <v>1232</v>
      </c>
      <c r="D3468" t="s">
        <v>2472</v>
      </c>
      <c r="E3468" t="s">
        <v>2474</v>
      </c>
      <c r="F3468" t="s">
        <v>1745</v>
      </c>
      <c r="G3468" t="s">
        <v>1745</v>
      </c>
      <c r="H3468" s="10">
        <v>63294</v>
      </c>
      <c r="I3468" t="str">
        <f>IFERROR(VLOOKUP(Final!F3468,'LEAID Match'!$A$2:$B$374,2,FALSE),"")</f>
        <v/>
      </c>
      <c r="K3468" s="10">
        <f t="shared" si="54"/>
        <v>63294</v>
      </c>
    </row>
    <row r="3469" spans="1:11">
      <c r="A3469" t="s">
        <v>2470</v>
      </c>
      <c r="B3469" s="10">
        <v>2015</v>
      </c>
      <c r="C3469" t="s">
        <v>440</v>
      </c>
      <c r="D3469" t="s">
        <v>2472</v>
      </c>
      <c r="E3469" t="s">
        <v>2474</v>
      </c>
      <c r="F3469" t="s">
        <v>1752</v>
      </c>
      <c r="G3469" t="s">
        <v>385</v>
      </c>
      <c r="H3469" s="10">
        <v>183845</v>
      </c>
      <c r="I3469" t="str">
        <f>IFERROR(VLOOKUP(Final!F3469,'LEAID Match'!$A$2:$B$374,2,FALSE),"")</f>
        <v/>
      </c>
      <c r="K3469" s="10">
        <f t="shared" si="54"/>
        <v>183845</v>
      </c>
    </row>
    <row r="3470" spans="1:11">
      <c r="A3470" t="s">
        <v>2470</v>
      </c>
      <c r="B3470" s="10">
        <v>2016</v>
      </c>
      <c r="C3470" t="s">
        <v>440</v>
      </c>
      <c r="D3470" t="s">
        <v>2472</v>
      </c>
      <c r="E3470" t="s">
        <v>2474</v>
      </c>
      <c r="F3470" t="s">
        <v>1752</v>
      </c>
      <c r="G3470" t="s">
        <v>385</v>
      </c>
      <c r="H3470" s="10">
        <v>188928</v>
      </c>
      <c r="I3470" t="str">
        <f>IFERROR(VLOOKUP(Final!F3470,'LEAID Match'!$A$2:$B$374,2,FALSE),"")</f>
        <v/>
      </c>
      <c r="K3470" s="10">
        <f t="shared" si="54"/>
        <v>188928</v>
      </c>
    </row>
    <row r="3471" spans="1:11">
      <c r="A3471" t="s">
        <v>2470</v>
      </c>
      <c r="B3471" s="10">
        <v>2017</v>
      </c>
      <c r="C3471" t="s">
        <v>440</v>
      </c>
      <c r="D3471" t="s">
        <v>2472</v>
      </c>
      <c r="E3471" t="s">
        <v>2474</v>
      </c>
      <c r="F3471" t="s">
        <v>1752</v>
      </c>
      <c r="G3471" t="s">
        <v>1752</v>
      </c>
      <c r="H3471" s="10">
        <v>167986</v>
      </c>
      <c r="I3471" t="str">
        <f>IFERROR(VLOOKUP(Final!F3471,'LEAID Match'!$A$2:$B$374,2,FALSE),"")</f>
        <v/>
      </c>
      <c r="K3471" s="10">
        <f t="shared" si="54"/>
        <v>167986</v>
      </c>
    </row>
    <row r="3472" spans="1:11">
      <c r="A3472" t="s">
        <v>2470</v>
      </c>
      <c r="B3472" s="10">
        <v>2018</v>
      </c>
      <c r="C3472" t="s">
        <v>440</v>
      </c>
      <c r="D3472" t="s">
        <v>2472</v>
      </c>
      <c r="E3472" t="s">
        <v>2474</v>
      </c>
      <c r="F3472" t="s">
        <v>1752</v>
      </c>
      <c r="G3472" t="s">
        <v>1752</v>
      </c>
      <c r="H3472" s="10">
        <v>168768</v>
      </c>
      <c r="I3472" t="str">
        <f>IFERROR(VLOOKUP(Final!F3472,'LEAID Match'!$A$2:$B$374,2,FALSE),"")</f>
        <v/>
      </c>
      <c r="K3472" s="10">
        <f t="shared" si="54"/>
        <v>168768</v>
      </c>
    </row>
    <row r="3473" spans="1:11">
      <c r="A3473" t="s">
        <v>2470</v>
      </c>
      <c r="B3473" s="10">
        <v>2019</v>
      </c>
      <c r="C3473" t="s">
        <v>440</v>
      </c>
      <c r="D3473" t="s">
        <v>2472</v>
      </c>
      <c r="E3473" t="s">
        <v>2474</v>
      </c>
      <c r="F3473" t="s">
        <v>1752</v>
      </c>
      <c r="G3473" t="s">
        <v>1752</v>
      </c>
      <c r="H3473" s="10">
        <v>189038</v>
      </c>
      <c r="I3473" t="str">
        <f>IFERROR(VLOOKUP(Final!F3473,'LEAID Match'!$A$2:$B$374,2,FALSE),"")</f>
        <v/>
      </c>
      <c r="K3473" s="10">
        <f t="shared" si="54"/>
        <v>189038</v>
      </c>
    </row>
    <row r="3474" spans="1:11">
      <c r="A3474" t="s">
        <v>2470</v>
      </c>
      <c r="B3474" s="10">
        <v>2020</v>
      </c>
      <c r="C3474" t="s">
        <v>440</v>
      </c>
      <c r="D3474" t="s">
        <v>2472</v>
      </c>
      <c r="E3474" t="s">
        <v>2474</v>
      </c>
      <c r="F3474" t="s">
        <v>1752</v>
      </c>
      <c r="G3474" t="s">
        <v>1752</v>
      </c>
      <c r="H3474" s="10">
        <v>196675</v>
      </c>
      <c r="I3474" t="str">
        <f>IFERROR(VLOOKUP(Final!F3474,'LEAID Match'!$A$2:$B$374,2,FALSE),"")</f>
        <v/>
      </c>
      <c r="K3474" s="10">
        <f t="shared" si="54"/>
        <v>196675</v>
      </c>
    </row>
    <row r="3475" spans="1:11">
      <c r="A3475" t="s">
        <v>2470</v>
      </c>
      <c r="B3475" s="10">
        <v>2021</v>
      </c>
      <c r="C3475" t="s">
        <v>440</v>
      </c>
      <c r="D3475" t="s">
        <v>2472</v>
      </c>
      <c r="E3475" t="s">
        <v>2474</v>
      </c>
      <c r="F3475" t="s">
        <v>1752</v>
      </c>
      <c r="G3475" t="s">
        <v>1752</v>
      </c>
      <c r="H3475" s="10">
        <v>193389</v>
      </c>
      <c r="I3475" t="str">
        <f>IFERROR(VLOOKUP(Final!F3475,'LEAID Match'!$A$2:$B$374,2,FALSE),"")</f>
        <v/>
      </c>
      <c r="K3475" s="10">
        <f t="shared" si="54"/>
        <v>193389</v>
      </c>
    </row>
    <row r="3476" spans="1:11">
      <c r="A3476" t="s">
        <v>2470</v>
      </c>
      <c r="B3476" s="10">
        <v>2022</v>
      </c>
      <c r="C3476" t="s">
        <v>440</v>
      </c>
      <c r="D3476" t="s">
        <v>2472</v>
      </c>
      <c r="E3476" t="s">
        <v>2474</v>
      </c>
      <c r="F3476" t="s">
        <v>1752</v>
      </c>
      <c r="G3476" t="s">
        <v>1752</v>
      </c>
      <c r="H3476" s="10">
        <v>184284</v>
      </c>
      <c r="I3476" t="str">
        <f>IFERROR(VLOOKUP(Final!F3476,'LEAID Match'!$A$2:$B$374,2,FALSE),"")</f>
        <v/>
      </c>
      <c r="K3476" s="10">
        <f t="shared" si="54"/>
        <v>184284</v>
      </c>
    </row>
    <row r="3477" spans="1:11">
      <c r="A3477" t="s">
        <v>2470</v>
      </c>
      <c r="B3477" s="10">
        <v>2023</v>
      </c>
      <c r="C3477" t="s">
        <v>440</v>
      </c>
      <c r="D3477" t="s">
        <v>2472</v>
      </c>
      <c r="E3477" t="s">
        <v>2474</v>
      </c>
      <c r="F3477" t="s">
        <v>1752</v>
      </c>
      <c r="G3477" t="s">
        <v>1752</v>
      </c>
      <c r="H3477" s="10">
        <v>174448</v>
      </c>
      <c r="I3477" t="str">
        <f>IFERROR(VLOOKUP(Final!F3477,'LEAID Match'!$A$2:$B$374,2,FALSE),"")</f>
        <v/>
      </c>
      <c r="K3477" s="10">
        <f t="shared" si="54"/>
        <v>174448</v>
      </c>
    </row>
    <row r="3478" spans="1:11">
      <c r="A3478" t="s">
        <v>2470</v>
      </c>
      <c r="B3478" s="10">
        <v>2015</v>
      </c>
      <c r="C3478" t="s">
        <v>1234</v>
      </c>
      <c r="D3478" t="s">
        <v>2472</v>
      </c>
      <c r="E3478" t="s">
        <v>2474</v>
      </c>
      <c r="F3478" t="s">
        <v>1793</v>
      </c>
      <c r="G3478" t="s">
        <v>1180</v>
      </c>
      <c r="H3478" s="10">
        <v>1369236</v>
      </c>
      <c r="I3478" t="str">
        <f>IFERROR(VLOOKUP(Final!F3478,'LEAID Match'!$A$2:$B$374,2,FALSE),"")</f>
        <v/>
      </c>
      <c r="K3478" s="10">
        <f t="shared" si="54"/>
        <v>1369236</v>
      </c>
    </row>
    <row r="3479" spans="1:11">
      <c r="A3479" t="s">
        <v>2470</v>
      </c>
      <c r="B3479" s="10">
        <v>2016</v>
      </c>
      <c r="C3479" t="s">
        <v>1234</v>
      </c>
      <c r="D3479" t="s">
        <v>2472</v>
      </c>
      <c r="E3479" t="s">
        <v>2474</v>
      </c>
      <c r="F3479" t="s">
        <v>1793</v>
      </c>
      <c r="G3479" t="s">
        <v>1180</v>
      </c>
      <c r="H3479" s="10">
        <v>1428226</v>
      </c>
      <c r="I3479" t="str">
        <f>IFERROR(VLOOKUP(Final!F3479,'LEAID Match'!$A$2:$B$374,2,FALSE),"")</f>
        <v/>
      </c>
      <c r="K3479" s="10">
        <f t="shared" si="54"/>
        <v>1428226</v>
      </c>
    </row>
    <row r="3480" spans="1:11">
      <c r="A3480" t="s">
        <v>2470</v>
      </c>
      <c r="B3480" s="10">
        <v>2017</v>
      </c>
      <c r="C3480" t="s">
        <v>1234</v>
      </c>
      <c r="D3480" t="s">
        <v>2472</v>
      </c>
      <c r="E3480" t="s">
        <v>2474</v>
      </c>
      <c r="F3480" t="s">
        <v>1793</v>
      </c>
      <c r="G3480" t="s">
        <v>1793</v>
      </c>
      <c r="H3480" s="10">
        <v>1502091</v>
      </c>
      <c r="I3480" t="str">
        <f>IFERROR(VLOOKUP(Final!F3480,'LEAID Match'!$A$2:$B$374,2,FALSE),"")</f>
        <v/>
      </c>
      <c r="K3480" s="10">
        <f t="shared" si="54"/>
        <v>1502091</v>
      </c>
    </row>
    <row r="3481" spans="1:11">
      <c r="A3481" t="s">
        <v>2470</v>
      </c>
      <c r="B3481" s="10">
        <v>2018</v>
      </c>
      <c r="C3481" t="s">
        <v>1234</v>
      </c>
      <c r="D3481" t="s">
        <v>2472</v>
      </c>
      <c r="E3481" t="s">
        <v>2474</v>
      </c>
      <c r="F3481" t="s">
        <v>1793</v>
      </c>
      <c r="G3481" t="s">
        <v>1793</v>
      </c>
      <c r="H3481" s="10">
        <v>1540798</v>
      </c>
      <c r="I3481" t="str">
        <f>IFERROR(VLOOKUP(Final!F3481,'LEAID Match'!$A$2:$B$374,2,FALSE),"")</f>
        <v/>
      </c>
      <c r="K3481" s="10">
        <f t="shared" si="54"/>
        <v>1540798</v>
      </c>
    </row>
    <row r="3482" spans="1:11">
      <c r="A3482" t="s">
        <v>2470</v>
      </c>
      <c r="B3482" s="10">
        <v>2019</v>
      </c>
      <c r="C3482" t="s">
        <v>1234</v>
      </c>
      <c r="D3482" t="s">
        <v>2472</v>
      </c>
      <c r="E3482" t="s">
        <v>2474</v>
      </c>
      <c r="F3482" t="s">
        <v>1793</v>
      </c>
      <c r="G3482" t="s">
        <v>1793</v>
      </c>
      <c r="H3482" s="10">
        <v>1651224</v>
      </c>
      <c r="I3482" t="str">
        <f>IFERROR(VLOOKUP(Final!F3482,'LEAID Match'!$A$2:$B$374,2,FALSE),"")</f>
        <v/>
      </c>
      <c r="K3482" s="10">
        <f t="shared" si="54"/>
        <v>1651224</v>
      </c>
    </row>
    <row r="3483" spans="1:11">
      <c r="A3483" t="s">
        <v>2470</v>
      </c>
      <c r="B3483" s="10">
        <v>2020</v>
      </c>
      <c r="C3483" t="s">
        <v>1234</v>
      </c>
      <c r="D3483" t="s">
        <v>2472</v>
      </c>
      <c r="E3483" t="s">
        <v>2474</v>
      </c>
      <c r="F3483" t="s">
        <v>1793</v>
      </c>
      <c r="G3483" t="s">
        <v>1793</v>
      </c>
      <c r="H3483" s="10">
        <v>1786254</v>
      </c>
      <c r="I3483" t="str">
        <f>IFERROR(VLOOKUP(Final!F3483,'LEAID Match'!$A$2:$B$374,2,FALSE),"")</f>
        <v/>
      </c>
      <c r="K3483" s="10">
        <f t="shared" si="54"/>
        <v>1786254</v>
      </c>
    </row>
    <row r="3484" spans="1:11">
      <c r="A3484" t="s">
        <v>2470</v>
      </c>
      <c r="B3484" s="10">
        <v>2021</v>
      </c>
      <c r="C3484" t="s">
        <v>1234</v>
      </c>
      <c r="D3484" t="s">
        <v>2472</v>
      </c>
      <c r="E3484" t="s">
        <v>2474</v>
      </c>
      <c r="F3484" t="s">
        <v>1793</v>
      </c>
      <c r="G3484" t="s">
        <v>1793</v>
      </c>
      <c r="H3484" s="10">
        <v>1810568</v>
      </c>
      <c r="I3484" t="str">
        <f>IFERROR(VLOOKUP(Final!F3484,'LEAID Match'!$A$2:$B$374,2,FALSE),"")</f>
        <v/>
      </c>
      <c r="K3484" s="10">
        <f t="shared" si="54"/>
        <v>1810568</v>
      </c>
    </row>
    <row r="3485" spans="1:11">
      <c r="A3485" t="s">
        <v>2470</v>
      </c>
      <c r="B3485" s="10">
        <v>2022</v>
      </c>
      <c r="C3485" t="s">
        <v>1234</v>
      </c>
      <c r="D3485" t="s">
        <v>2472</v>
      </c>
      <c r="E3485" t="s">
        <v>2474</v>
      </c>
      <c r="F3485" t="s">
        <v>1793</v>
      </c>
      <c r="G3485" t="s">
        <v>1793</v>
      </c>
      <c r="H3485" s="10">
        <v>1992969</v>
      </c>
      <c r="I3485" t="str">
        <f>IFERROR(VLOOKUP(Final!F3485,'LEAID Match'!$A$2:$B$374,2,FALSE),"")</f>
        <v/>
      </c>
      <c r="K3485" s="10">
        <f t="shared" si="54"/>
        <v>1992969</v>
      </c>
    </row>
    <row r="3486" spans="1:11">
      <c r="A3486" t="s">
        <v>2470</v>
      </c>
      <c r="B3486" s="10">
        <v>2023</v>
      </c>
      <c r="C3486" t="s">
        <v>1234</v>
      </c>
      <c r="D3486" t="s">
        <v>2472</v>
      </c>
      <c r="E3486" t="s">
        <v>2474</v>
      </c>
      <c r="F3486" t="s">
        <v>1793</v>
      </c>
      <c r="G3486" t="s">
        <v>1793</v>
      </c>
      <c r="H3486" s="10">
        <v>2312757</v>
      </c>
      <c r="I3486" t="str">
        <f>IFERROR(VLOOKUP(Final!F3486,'LEAID Match'!$A$2:$B$374,2,FALSE),"")</f>
        <v/>
      </c>
      <c r="K3486" s="10">
        <f t="shared" si="54"/>
        <v>2312757</v>
      </c>
    </row>
    <row r="3487" spans="1:11">
      <c r="A3487" t="s">
        <v>2470</v>
      </c>
      <c r="B3487" s="10">
        <v>2015</v>
      </c>
      <c r="C3487" t="s">
        <v>1233</v>
      </c>
      <c r="D3487" t="s">
        <v>2472</v>
      </c>
      <c r="E3487" t="s">
        <v>2474</v>
      </c>
      <c r="F3487" t="s">
        <v>1768</v>
      </c>
      <c r="G3487" t="s">
        <v>1179</v>
      </c>
      <c r="H3487" s="10">
        <v>75532</v>
      </c>
      <c r="I3487" t="str">
        <f>IFERROR(VLOOKUP(Final!F3487,'LEAID Match'!$A$2:$B$374,2,FALSE),"")</f>
        <v/>
      </c>
      <c r="K3487" s="10">
        <f t="shared" si="54"/>
        <v>75532</v>
      </c>
    </row>
    <row r="3488" spans="1:11">
      <c r="A3488" t="s">
        <v>2470</v>
      </c>
      <c r="B3488" s="10">
        <v>2016</v>
      </c>
      <c r="C3488" t="s">
        <v>1233</v>
      </c>
      <c r="D3488" t="s">
        <v>2472</v>
      </c>
      <c r="E3488" t="s">
        <v>2474</v>
      </c>
      <c r="F3488" t="s">
        <v>1768</v>
      </c>
      <c r="G3488" t="s">
        <v>1179</v>
      </c>
      <c r="H3488" s="10">
        <v>80068</v>
      </c>
      <c r="I3488" t="str">
        <f>IFERROR(VLOOKUP(Final!F3488,'LEAID Match'!$A$2:$B$374,2,FALSE),"")</f>
        <v/>
      </c>
      <c r="K3488" s="10">
        <f t="shared" si="54"/>
        <v>80068</v>
      </c>
    </row>
    <row r="3489" spans="1:11">
      <c r="A3489" t="s">
        <v>2470</v>
      </c>
      <c r="B3489" s="10">
        <v>2017</v>
      </c>
      <c r="C3489" t="s">
        <v>1233</v>
      </c>
      <c r="D3489" t="s">
        <v>2472</v>
      </c>
      <c r="E3489" t="s">
        <v>2474</v>
      </c>
      <c r="F3489" t="s">
        <v>1768</v>
      </c>
      <c r="G3489" t="s">
        <v>1768</v>
      </c>
      <c r="H3489" s="10">
        <v>78440</v>
      </c>
      <c r="I3489" t="str">
        <f>IFERROR(VLOOKUP(Final!F3489,'LEAID Match'!$A$2:$B$374,2,FALSE),"")</f>
        <v/>
      </c>
      <c r="K3489" s="10">
        <f t="shared" si="54"/>
        <v>78440</v>
      </c>
    </row>
    <row r="3490" spans="1:11">
      <c r="A3490" t="s">
        <v>2470</v>
      </c>
      <c r="B3490" s="10">
        <v>2018</v>
      </c>
      <c r="C3490" t="s">
        <v>1233</v>
      </c>
      <c r="D3490" t="s">
        <v>2472</v>
      </c>
      <c r="E3490" t="s">
        <v>2474</v>
      </c>
      <c r="F3490" t="s">
        <v>1768</v>
      </c>
      <c r="G3490" t="s">
        <v>1768</v>
      </c>
      <c r="H3490" s="10">
        <v>81196</v>
      </c>
      <c r="I3490" t="str">
        <f>IFERROR(VLOOKUP(Final!F3490,'LEAID Match'!$A$2:$B$374,2,FALSE),"")</f>
        <v/>
      </c>
      <c r="K3490" s="10">
        <f t="shared" si="54"/>
        <v>81196</v>
      </c>
    </row>
    <row r="3491" spans="1:11">
      <c r="A3491" t="s">
        <v>2470</v>
      </c>
      <c r="B3491" s="10">
        <v>2019</v>
      </c>
      <c r="C3491" t="s">
        <v>1233</v>
      </c>
      <c r="D3491" t="s">
        <v>2472</v>
      </c>
      <c r="E3491" t="s">
        <v>2474</v>
      </c>
      <c r="F3491" t="s">
        <v>1768</v>
      </c>
      <c r="G3491" t="s">
        <v>1768</v>
      </c>
      <c r="H3491" s="10">
        <v>90467</v>
      </c>
      <c r="I3491" t="str">
        <f>IFERROR(VLOOKUP(Final!F3491,'LEAID Match'!$A$2:$B$374,2,FALSE),"")</f>
        <v/>
      </c>
      <c r="K3491" s="10">
        <f t="shared" si="54"/>
        <v>90467</v>
      </c>
    </row>
    <row r="3492" spans="1:11">
      <c r="A3492" t="s">
        <v>2470</v>
      </c>
      <c r="B3492" s="10">
        <v>2020</v>
      </c>
      <c r="C3492" t="s">
        <v>1233</v>
      </c>
      <c r="D3492" t="s">
        <v>2472</v>
      </c>
      <c r="E3492" t="s">
        <v>2474</v>
      </c>
      <c r="F3492" t="s">
        <v>1768</v>
      </c>
      <c r="G3492" t="s">
        <v>1768</v>
      </c>
      <c r="H3492" s="10">
        <v>89489</v>
      </c>
      <c r="I3492" t="str">
        <f>IFERROR(VLOOKUP(Final!F3492,'LEAID Match'!$A$2:$B$374,2,FALSE),"")</f>
        <v/>
      </c>
      <c r="K3492" s="10">
        <f t="shared" si="54"/>
        <v>89489</v>
      </c>
    </row>
    <row r="3493" spans="1:11">
      <c r="A3493" t="s">
        <v>2470</v>
      </c>
      <c r="B3493" s="10">
        <v>2021</v>
      </c>
      <c r="C3493" t="s">
        <v>1233</v>
      </c>
      <c r="D3493" t="s">
        <v>2472</v>
      </c>
      <c r="E3493" t="s">
        <v>2474</v>
      </c>
      <c r="F3493" t="s">
        <v>1768</v>
      </c>
      <c r="G3493" t="s">
        <v>1768</v>
      </c>
      <c r="H3493" s="10">
        <v>78660</v>
      </c>
      <c r="I3493" t="str">
        <f>IFERROR(VLOOKUP(Final!F3493,'LEAID Match'!$A$2:$B$374,2,FALSE),"")</f>
        <v/>
      </c>
      <c r="K3493" s="10">
        <f t="shared" si="54"/>
        <v>78660</v>
      </c>
    </row>
    <row r="3494" spans="1:11">
      <c r="A3494" t="s">
        <v>2470</v>
      </c>
      <c r="B3494" s="10">
        <v>2022</v>
      </c>
      <c r="C3494" t="s">
        <v>1233</v>
      </c>
      <c r="D3494" t="s">
        <v>2472</v>
      </c>
      <c r="E3494" t="s">
        <v>2474</v>
      </c>
      <c r="F3494" t="s">
        <v>1768</v>
      </c>
      <c r="G3494" t="s">
        <v>1768</v>
      </c>
      <c r="H3494" s="10">
        <v>80826</v>
      </c>
      <c r="I3494" t="str">
        <f>IFERROR(VLOOKUP(Final!F3494,'LEAID Match'!$A$2:$B$374,2,FALSE),"")</f>
        <v/>
      </c>
      <c r="K3494" s="10">
        <f t="shared" si="54"/>
        <v>80826</v>
      </c>
    </row>
    <row r="3495" spans="1:11">
      <c r="A3495" t="s">
        <v>2470</v>
      </c>
      <c r="B3495" s="10">
        <v>2023</v>
      </c>
      <c r="C3495" t="s">
        <v>1233</v>
      </c>
      <c r="D3495" t="s">
        <v>2472</v>
      </c>
      <c r="E3495" t="s">
        <v>2474</v>
      </c>
      <c r="F3495" t="s">
        <v>1768</v>
      </c>
      <c r="G3495" t="s">
        <v>1768</v>
      </c>
      <c r="H3495" s="10">
        <v>74163</v>
      </c>
      <c r="I3495" t="str">
        <f>IFERROR(VLOOKUP(Final!F3495,'LEAID Match'!$A$2:$B$374,2,FALSE),"")</f>
        <v/>
      </c>
      <c r="K3495" s="10">
        <f t="shared" si="54"/>
        <v>74163</v>
      </c>
    </row>
    <row r="3496" spans="1:11">
      <c r="A3496" t="s">
        <v>2470</v>
      </c>
      <c r="B3496" s="10">
        <v>2015</v>
      </c>
      <c r="C3496" t="s">
        <v>441</v>
      </c>
      <c r="D3496" t="s">
        <v>2472</v>
      </c>
      <c r="E3496" t="s">
        <v>2474</v>
      </c>
      <c r="F3496" t="s">
        <v>1772</v>
      </c>
      <c r="G3496" t="s">
        <v>386</v>
      </c>
      <c r="H3496" s="10">
        <v>1030566</v>
      </c>
      <c r="I3496" t="str">
        <f>IFERROR(VLOOKUP(Final!F3496,'LEAID Match'!$A$2:$B$374,2,FALSE),"")</f>
        <v/>
      </c>
      <c r="K3496" s="10">
        <f t="shared" si="54"/>
        <v>1030566</v>
      </c>
    </row>
    <row r="3497" spans="1:11">
      <c r="A3497" t="s">
        <v>2470</v>
      </c>
      <c r="B3497" s="10">
        <v>2016</v>
      </c>
      <c r="C3497" t="s">
        <v>441</v>
      </c>
      <c r="D3497" t="s">
        <v>2472</v>
      </c>
      <c r="E3497" t="s">
        <v>2474</v>
      </c>
      <c r="F3497" t="s">
        <v>1772</v>
      </c>
      <c r="G3497" t="s">
        <v>386</v>
      </c>
      <c r="H3497" s="10">
        <v>1072838</v>
      </c>
      <c r="I3497" t="str">
        <f>IFERROR(VLOOKUP(Final!F3497,'LEAID Match'!$A$2:$B$374,2,FALSE),"")</f>
        <v/>
      </c>
      <c r="K3497" s="10">
        <f t="shared" si="54"/>
        <v>1072838</v>
      </c>
    </row>
    <row r="3498" spans="1:11">
      <c r="A3498" t="s">
        <v>2470</v>
      </c>
      <c r="B3498" s="10">
        <v>2017</v>
      </c>
      <c r="C3498" t="s">
        <v>441</v>
      </c>
      <c r="D3498" t="s">
        <v>2472</v>
      </c>
      <c r="E3498" t="s">
        <v>2474</v>
      </c>
      <c r="F3498" t="s">
        <v>1772</v>
      </c>
      <c r="G3498" t="s">
        <v>1772</v>
      </c>
      <c r="H3498" s="10">
        <v>1152039</v>
      </c>
      <c r="I3498" t="str">
        <f>IFERROR(VLOOKUP(Final!F3498,'LEAID Match'!$A$2:$B$374,2,FALSE),"")</f>
        <v/>
      </c>
      <c r="K3498" s="10">
        <f t="shared" si="54"/>
        <v>1152039</v>
      </c>
    </row>
    <row r="3499" spans="1:11">
      <c r="A3499" t="s">
        <v>2470</v>
      </c>
      <c r="B3499" s="10">
        <v>2018</v>
      </c>
      <c r="C3499" t="s">
        <v>441</v>
      </c>
      <c r="D3499" t="s">
        <v>2472</v>
      </c>
      <c r="E3499" t="s">
        <v>2474</v>
      </c>
      <c r="F3499" t="s">
        <v>1772</v>
      </c>
      <c r="G3499" t="s">
        <v>1772</v>
      </c>
      <c r="H3499" s="10">
        <v>1170093</v>
      </c>
      <c r="I3499" t="str">
        <f>IFERROR(VLOOKUP(Final!F3499,'LEAID Match'!$A$2:$B$374,2,FALSE),"")</f>
        <v/>
      </c>
      <c r="K3499" s="10">
        <f t="shared" si="54"/>
        <v>1170093</v>
      </c>
    </row>
    <row r="3500" spans="1:11">
      <c r="A3500" t="s">
        <v>2470</v>
      </c>
      <c r="B3500" s="10">
        <v>2019</v>
      </c>
      <c r="C3500" t="s">
        <v>441</v>
      </c>
      <c r="D3500" t="s">
        <v>2472</v>
      </c>
      <c r="E3500" t="s">
        <v>2474</v>
      </c>
      <c r="F3500" t="s">
        <v>1772</v>
      </c>
      <c r="G3500" t="s">
        <v>1772</v>
      </c>
      <c r="H3500" s="10">
        <v>1321221</v>
      </c>
      <c r="I3500" t="str">
        <f>IFERROR(VLOOKUP(Final!F3500,'LEAID Match'!$A$2:$B$374,2,FALSE),"")</f>
        <v/>
      </c>
      <c r="K3500" s="10">
        <f t="shared" si="54"/>
        <v>1321221</v>
      </c>
    </row>
    <row r="3501" spans="1:11">
      <c r="A3501" t="s">
        <v>2470</v>
      </c>
      <c r="B3501" s="10">
        <v>2020</v>
      </c>
      <c r="C3501" t="s">
        <v>441</v>
      </c>
      <c r="D3501" t="s">
        <v>2472</v>
      </c>
      <c r="E3501" t="s">
        <v>2474</v>
      </c>
      <c r="F3501" t="s">
        <v>1772</v>
      </c>
      <c r="G3501" t="s">
        <v>1772</v>
      </c>
      <c r="H3501" s="10">
        <v>1417579</v>
      </c>
      <c r="I3501" t="str">
        <f>IFERROR(VLOOKUP(Final!F3501,'LEAID Match'!$A$2:$B$374,2,FALSE),"")</f>
        <v/>
      </c>
      <c r="K3501" s="10">
        <f t="shared" si="54"/>
        <v>1417579</v>
      </c>
    </row>
    <row r="3502" spans="1:11">
      <c r="A3502" t="s">
        <v>2470</v>
      </c>
      <c r="B3502" s="10">
        <v>2021</v>
      </c>
      <c r="C3502" t="s">
        <v>441</v>
      </c>
      <c r="D3502" t="s">
        <v>2472</v>
      </c>
      <c r="E3502" t="s">
        <v>2474</v>
      </c>
      <c r="F3502" t="s">
        <v>1772</v>
      </c>
      <c r="G3502" t="s">
        <v>1772</v>
      </c>
      <c r="H3502" s="10">
        <v>1418687</v>
      </c>
      <c r="I3502" t="str">
        <f>IFERROR(VLOOKUP(Final!F3502,'LEAID Match'!$A$2:$B$374,2,FALSE),"")</f>
        <v/>
      </c>
      <c r="K3502" s="10">
        <f t="shared" si="54"/>
        <v>1418687</v>
      </c>
    </row>
    <row r="3503" spans="1:11">
      <c r="A3503" t="s">
        <v>2470</v>
      </c>
      <c r="B3503" s="10">
        <v>2022</v>
      </c>
      <c r="C3503" t="s">
        <v>441</v>
      </c>
      <c r="D3503" t="s">
        <v>2472</v>
      </c>
      <c r="E3503" t="s">
        <v>2474</v>
      </c>
      <c r="F3503" t="s">
        <v>1772</v>
      </c>
      <c r="G3503" t="s">
        <v>1772</v>
      </c>
      <c r="H3503" s="10">
        <v>1544221</v>
      </c>
      <c r="I3503" t="str">
        <f>IFERROR(VLOOKUP(Final!F3503,'LEAID Match'!$A$2:$B$374,2,FALSE),"")</f>
        <v/>
      </c>
      <c r="K3503" s="10">
        <f t="shared" si="54"/>
        <v>1544221</v>
      </c>
    </row>
    <row r="3504" spans="1:11">
      <c r="A3504" t="s">
        <v>2470</v>
      </c>
      <c r="B3504" s="10">
        <v>2023</v>
      </c>
      <c r="C3504" t="s">
        <v>441</v>
      </c>
      <c r="D3504" t="s">
        <v>2472</v>
      </c>
      <c r="E3504" t="s">
        <v>2474</v>
      </c>
      <c r="F3504" t="s">
        <v>1772</v>
      </c>
      <c r="G3504" t="s">
        <v>1772</v>
      </c>
      <c r="H3504" s="10">
        <v>1701165</v>
      </c>
      <c r="I3504" t="str">
        <f>IFERROR(VLOOKUP(Final!F3504,'LEAID Match'!$A$2:$B$374,2,FALSE),"")</f>
        <v/>
      </c>
      <c r="K3504" s="10">
        <f t="shared" si="54"/>
        <v>1701165</v>
      </c>
    </row>
    <row r="3505" spans="1:11">
      <c r="A3505" t="s">
        <v>2470</v>
      </c>
      <c r="B3505" s="10">
        <v>2015</v>
      </c>
      <c r="C3505" t="s">
        <v>442</v>
      </c>
      <c r="D3505" t="s">
        <v>2472</v>
      </c>
      <c r="E3505" t="s">
        <v>2474</v>
      </c>
      <c r="F3505" t="s">
        <v>1776</v>
      </c>
      <c r="G3505" t="s">
        <v>387</v>
      </c>
      <c r="H3505" s="10">
        <v>1670099</v>
      </c>
      <c r="I3505" t="str">
        <f>IFERROR(VLOOKUP(Final!F3505,'LEAID Match'!$A$2:$B$374,2,FALSE),"")</f>
        <v/>
      </c>
      <c r="K3505" s="10">
        <f t="shared" si="54"/>
        <v>1670099</v>
      </c>
    </row>
    <row r="3506" spans="1:11">
      <c r="A3506" t="s">
        <v>2470</v>
      </c>
      <c r="B3506" s="10">
        <v>2016</v>
      </c>
      <c r="C3506" t="s">
        <v>442</v>
      </c>
      <c r="D3506" t="s">
        <v>2472</v>
      </c>
      <c r="E3506" t="s">
        <v>2474</v>
      </c>
      <c r="F3506" t="s">
        <v>1776</v>
      </c>
      <c r="G3506" t="s">
        <v>387</v>
      </c>
      <c r="H3506" s="10">
        <v>1693447</v>
      </c>
      <c r="I3506" t="str">
        <f>IFERROR(VLOOKUP(Final!F3506,'LEAID Match'!$A$2:$B$374,2,FALSE),"")</f>
        <v/>
      </c>
      <c r="K3506" s="10">
        <f t="shared" si="54"/>
        <v>1693447</v>
      </c>
    </row>
    <row r="3507" spans="1:11">
      <c r="A3507" t="s">
        <v>2470</v>
      </c>
      <c r="B3507" s="10">
        <v>2017</v>
      </c>
      <c r="C3507" t="s">
        <v>442</v>
      </c>
      <c r="D3507" t="s">
        <v>2472</v>
      </c>
      <c r="E3507" t="s">
        <v>2474</v>
      </c>
      <c r="F3507" t="s">
        <v>1776</v>
      </c>
      <c r="G3507" t="s">
        <v>1776</v>
      </c>
      <c r="H3507" s="10">
        <v>1824643</v>
      </c>
      <c r="I3507" t="str">
        <f>IFERROR(VLOOKUP(Final!F3507,'LEAID Match'!$A$2:$B$374,2,FALSE),"")</f>
        <v/>
      </c>
      <c r="K3507" s="10">
        <f t="shared" si="54"/>
        <v>1824643</v>
      </c>
    </row>
    <row r="3508" spans="1:11">
      <c r="A3508" t="s">
        <v>2470</v>
      </c>
      <c r="B3508" s="10">
        <v>2018</v>
      </c>
      <c r="C3508" t="s">
        <v>442</v>
      </c>
      <c r="D3508" t="s">
        <v>2472</v>
      </c>
      <c r="E3508" t="s">
        <v>2474</v>
      </c>
      <c r="F3508" t="s">
        <v>1776</v>
      </c>
      <c r="G3508" t="s">
        <v>1776</v>
      </c>
      <c r="H3508" s="10">
        <v>1785000</v>
      </c>
      <c r="I3508" t="str">
        <f>IFERROR(VLOOKUP(Final!F3508,'LEAID Match'!$A$2:$B$374,2,FALSE),"")</f>
        <v/>
      </c>
      <c r="K3508" s="10">
        <f t="shared" si="54"/>
        <v>1785000</v>
      </c>
    </row>
    <row r="3509" spans="1:11">
      <c r="A3509" t="s">
        <v>2470</v>
      </c>
      <c r="B3509" s="10">
        <v>2019</v>
      </c>
      <c r="C3509" t="s">
        <v>442</v>
      </c>
      <c r="D3509" t="s">
        <v>2472</v>
      </c>
      <c r="E3509" t="s">
        <v>2474</v>
      </c>
      <c r="F3509" t="s">
        <v>1776</v>
      </c>
      <c r="G3509" t="s">
        <v>1776</v>
      </c>
      <c r="H3509" s="10">
        <v>1887995</v>
      </c>
      <c r="I3509" t="str">
        <f>IFERROR(VLOOKUP(Final!F3509,'LEAID Match'!$A$2:$B$374,2,FALSE),"")</f>
        <v/>
      </c>
      <c r="K3509" s="10">
        <f t="shared" si="54"/>
        <v>1887995</v>
      </c>
    </row>
    <row r="3510" spans="1:11">
      <c r="A3510" t="s">
        <v>2470</v>
      </c>
      <c r="B3510" s="10">
        <v>2020</v>
      </c>
      <c r="C3510" t="s">
        <v>442</v>
      </c>
      <c r="D3510" t="s">
        <v>2472</v>
      </c>
      <c r="E3510" t="s">
        <v>2474</v>
      </c>
      <c r="F3510" t="s">
        <v>1776</v>
      </c>
      <c r="G3510" t="s">
        <v>1776</v>
      </c>
      <c r="H3510" s="10">
        <v>1909181</v>
      </c>
      <c r="I3510" t="str">
        <f>IFERROR(VLOOKUP(Final!F3510,'LEAID Match'!$A$2:$B$374,2,FALSE),"")</f>
        <v/>
      </c>
      <c r="K3510" s="10">
        <f t="shared" si="54"/>
        <v>1909181</v>
      </c>
    </row>
    <row r="3511" spans="1:11">
      <c r="A3511" t="s">
        <v>2470</v>
      </c>
      <c r="B3511" s="10">
        <v>2021</v>
      </c>
      <c r="C3511" t="s">
        <v>442</v>
      </c>
      <c r="D3511" t="s">
        <v>2472</v>
      </c>
      <c r="E3511" t="s">
        <v>2474</v>
      </c>
      <c r="F3511" t="s">
        <v>1776</v>
      </c>
      <c r="G3511" t="s">
        <v>1776</v>
      </c>
      <c r="H3511" s="10">
        <v>1982904</v>
      </c>
      <c r="I3511" t="str">
        <f>IFERROR(VLOOKUP(Final!F3511,'LEAID Match'!$A$2:$B$374,2,FALSE),"")</f>
        <v/>
      </c>
      <c r="K3511" s="10">
        <f t="shared" si="54"/>
        <v>1982904</v>
      </c>
    </row>
    <row r="3512" spans="1:11">
      <c r="A3512" t="s">
        <v>2470</v>
      </c>
      <c r="B3512" s="10">
        <v>2022</v>
      </c>
      <c r="C3512" t="s">
        <v>442</v>
      </c>
      <c r="D3512" t="s">
        <v>2472</v>
      </c>
      <c r="E3512" t="s">
        <v>2474</v>
      </c>
      <c r="F3512" t="s">
        <v>1776</v>
      </c>
      <c r="G3512" t="s">
        <v>1776</v>
      </c>
      <c r="H3512" s="10">
        <v>2158282</v>
      </c>
      <c r="I3512" t="str">
        <f>IFERROR(VLOOKUP(Final!F3512,'LEAID Match'!$A$2:$B$374,2,FALSE),"")</f>
        <v/>
      </c>
      <c r="K3512" s="10">
        <f t="shared" si="54"/>
        <v>2158282</v>
      </c>
    </row>
    <row r="3513" spans="1:11">
      <c r="A3513" t="s">
        <v>2470</v>
      </c>
      <c r="B3513" s="10">
        <v>2023</v>
      </c>
      <c r="C3513" t="s">
        <v>442</v>
      </c>
      <c r="D3513" t="s">
        <v>2472</v>
      </c>
      <c r="E3513" t="s">
        <v>2474</v>
      </c>
      <c r="F3513" t="s">
        <v>1776</v>
      </c>
      <c r="G3513" t="s">
        <v>1776</v>
      </c>
      <c r="H3513" s="10">
        <v>2420285</v>
      </c>
      <c r="I3513" t="str">
        <f>IFERROR(VLOOKUP(Final!F3513,'LEAID Match'!$A$2:$B$374,2,FALSE),"")</f>
        <v/>
      </c>
      <c r="K3513" s="10">
        <f t="shared" si="54"/>
        <v>2420285</v>
      </c>
    </row>
    <row r="3514" spans="1:11">
      <c r="A3514" t="s">
        <v>2470</v>
      </c>
      <c r="B3514" s="10">
        <v>2015</v>
      </c>
      <c r="C3514" t="s">
        <v>1228</v>
      </c>
      <c r="D3514" t="s">
        <v>2472</v>
      </c>
      <c r="E3514" t="s">
        <v>2474</v>
      </c>
      <c r="F3514" t="s">
        <v>1725</v>
      </c>
      <c r="G3514" t="s">
        <v>1174</v>
      </c>
      <c r="H3514" s="10">
        <v>37524</v>
      </c>
      <c r="I3514" t="str">
        <f>IFERROR(VLOOKUP(Final!F3514,'LEAID Match'!$A$2:$B$374,2,FALSE),"")</f>
        <v/>
      </c>
      <c r="K3514" s="10">
        <f t="shared" si="54"/>
        <v>37524</v>
      </c>
    </row>
    <row r="3515" spans="1:11">
      <c r="A3515" t="s">
        <v>2470</v>
      </c>
      <c r="B3515" s="10">
        <v>2016</v>
      </c>
      <c r="C3515" t="s">
        <v>1228</v>
      </c>
      <c r="D3515" t="s">
        <v>2472</v>
      </c>
      <c r="E3515" t="s">
        <v>2474</v>
      </c>
      <c r="F3515" t="s">
        <v>1725</v>
      </c>
      <c r="G3515" t="s">
        <v>1174</v>
      </c>
      <c r="H3515" s="10">
        <v>37789</v>
      </c>
      <c r="I3515" t="str">
        <f>IFERROR(VLOOKUP(Final!F3515,'LEAID Match'!$A$2:$B$374,2,FALSE),"")</f>
        <v/>
      </c>
      <c r="K3515" s="10">
        <f t="shared" si="54"/>
        <v>37789</v>
      </c>
    </row>
    <row r="3516" spans="1:11">
      <c r="A3516" t="s">
        <v>2470</v>
      </c>
      <c r="B3516" s="10">
        <v>2017</v>
      </c>
      <c r="C3516" t="s">
        <v>1228</v>
      </c>
      <c r="D3516" t="s">
        <v>2472</v>
      </c>
      <c r="E3516" t="s">
        <v>2474</v>
      </c>
      <c r="F3516" t="s">
        <v>1725</v>
      </c>
      <c r="G3516" t="s">
        <v>1725</v>
      </c>
      <c r="H3516" s="10">
        <v>32018</v>
      </c>
      <c r="I3516" t="str">
        <f>IFERROR(VLOOKUP(Final!F3516,'LEAID Match'!$A$2:$B$374,2,FALSE),"")</f>
        <v/>
      </c>
      <c r="K3516" s="10">
        <f t="shared" si="54"/>
        <v>32018</v>
      </c>
    </row>
    <row r="3517" spans="1:11">
      <c r="A3517" t="s">
        <v>2470</v>
      </c>
      <c r="B3517" s="10">
        <v>2018</v>
      </c>
      <c r="C3517" t="s">
        <v>1228</v>
      </c>
      <c r="D3517" t="s">
        <v>2472</v>
      </c>
      <c r="E3517" t="s">
        <v>2474</v>
      </c>
      <c r="F3517" t="s">
        <v>1725</v>
      </c>
      <c r="G3517" t="s">
        <v>1725</v>
      </c>
      <c r="H3517" s="10">
        <v>34871</v>
      </c>
      <c r="I3517" t="str">
        <f>IFERROR(VLOOKUP(Final!F3517,'LEAID Match'!$A$2:$B$374,2,FALSE),"")</f>
        <v/>
      </c>
      <c r="K3517" s="10">
        <f t="shared" si="54"/>
        <v>34871</v>
      </c>
    </row>
    <row r="3518" spans="1:11">
      <c r="A3518" t="s">
        <v>2470</v>
      </c>
      <c r="B3518" s="10">
        <v>2019</v>
      </c>
      <c r="C3518" t="s">
        <v>1228</v>
      </c>
      <c r="D3518" t="s">
        <v>2472</v>
      </c>
      <c r="E3518" t="s">
        <v>2474</v>
      </c>
      <c r="F3518" t="s">
        <v>1725</v>
      </c>
      <c r="G3518" t="s">
        <v>1725</v>
      </c>
      <c r="H3518" s="10">
        <v>36371</v>
      </c>
      <c r="I3518" t="str">
        <f>IFERROR(VLOOKUP(Final!F3518,'LEAID Match'!$A$2:$B$374,2,FALSE),"")</f>
        <v/>
      </c>
      <c r="K3518" s="10">
        <f t="shared" si="54"/>
        <v>36371</v>
      </c>
    </row>
    <row r="3519" spans="1:11">
      <c r="A3519" t="s">
        <v>2470</v>
      </c>
      <c r="B3519" s="10">
        <v>2020</v>
      </c>
      <c r="C3519" t="s">
        <v>1228</v>
      </c>
      <c r="D3519" t="s">
        <v>2472</v>
      </c>
      <c r="E3519" t="s">
        <v>2474</v>
      </c>
      <c r="F3519" t="s">
        <v>1725</v>
      </c>
      <c r="G3519" t="s">
        <v>1725</v>
      </c>
      <c r="H3519" s="10">
        <v>40220</v>
      </c>
      <c r="I3519" t="str">
        <f>IFERROR(VLOOKUP(Final!F3519,'LEAID Match'!$A$2:$B$374,2,FALSE),"")</f>
        <v/>
      </c>
      <c r="K3519" s="10">
        <f t="shared" si="54"/>
        <v>40220</v>
      </c>
    </row>
    <row r="3520" spans="1:11">
      <c r="A3520" t="s">
        <v>2470</v>
      </c>
      <c r="B3520" s="10">
        <v>2021</v>
      </c>
      <c r="C3520" t="s">
        <v>1228</v>
      </c>
      <c r="D3520" t="s">
        <v>2472</v>
      </c>
      <c r="E3520" t="s">
        <v>2474</v>
      </c>
      <c r="F3520" t="s">
        <v>1725</v>
      </c>
      <c r="G3520" t="s">
        <v>1725</v>
      </c>
      <c r="H3520" s="10">
        <v>37484</v>
      </c>
      <c r="I3520" t="str">
        <f>IFERROR(VLOOKUP(Final!F3520,'LEAID Match'!$A$2:$B$374,2,FALSE),"")</f>
        <v/>
      </c>
      <c r="K3520" s="10">
        <f t="shared" si="54"/>
        <v>37484</v>
      </c>
    </row>
    <row r="3521" spans="1:11">
      <c r="A3521" t="s">
        <v>2470</v>
      </c>
      <c r="B3521" s="10">
        <v>2022</v>
      </c>
      <c r="C3521" t="s">
        <v>1228</v>
      </c>
      <c r="D3521" t="s">
        <v>2472</v>
      </c>
      <c r="E3521" t="s">
        <v>2474</v>
      </c>
      <c r="F3521" t="s">
        <v>1725</v>
      </c>
      <c r="G3521" t="s">
        <v>1725</v>
      </c>
      <c r="H3521" s="10">
        <v>48548</v>
      </c>
      <c r="I3521" t="str">
        <f>IFERROR(VLOOKUP(Final!F3521,'LEAID Match'!$A$2:$B$374,2,FALSE),"")</f>
        <v/>
      </c>
      <c r="K3521" s="10">
        <f t="shared" si="54"/>
        <v>48548</v>
      </c>
    </row>
    <row r="3522" spans="1:11">
      <c r="A3522" t="s">
        <v>2470</v>
      </c>
      <c r="B3522" s="10">
        <v>2023</v>
      </c>
      <c r="C3522" t="s">
        <v>1228</v>
      </c>
      <c r="D3522" t="s">
        <v>2472</v>
      </c>
      <c r="E3522" t="s">
        <v>2474</v>
      </c>
      <c r="F3522" t="s">
        <v>1725</v>
      </c>
      <c r="G3522" t="s">
        <v>1725</v>
      </c>
      <c r="H3522" s="10">
        <v>52190</v>
      </c>
      <c r="I3522" t="str">
        <f>IFERROR(VLOOKUP(Final!F3522,'LEAID Match'!$A$2:$B$374,2,FALSE),"")</f>
        <v/>
      </c>
      <c r="K3522" s="10">
        <f t="shared" si="54"/>
        <v>52190</v>
      </c>
    </row>
    <row r="3523" spans="1:11">
      <c r="A3523" t="s">
        <v>2470</v>
      </c>
      <c r="B3523" s="10">
        <v>2015</v>
      </c>
      <c r="C3523" t="s">
        <v>443</v>
      </c>
      <c r="D3523" t="s">
        <v>2472</v>
      </c>
      <c r="E3523" t="s">
        <v>2474</v>
      </c>
      <c r="F3523" t="s">
        <v>1785</v>
      </c>
      <c r="G3523" t="s">
        <v>388</v>
      </c>
      <c r="H3523" s="10">
        <v>224650</v>
      </c>
      <c r="I3523" t="str">
        <f>IFERROR(VLOOKUP(Final!F3523,'LEAID Match'!$A$2:$B$374,2,FALSE),"")</f>
        <v/>
      </c>
      <c r="K3523" s="10">
        <f t="shared" ref="K3523:K3586" si="55">SUM(H3523,J3523)</f>
        <v>224650</v>
      </c>
    </row>
    <row r="3524" spans="1:11">
      <c r="A3524" t="s">
        <v>2470</v>
      </c>
      <c r="B3524" s="10">
        <v>2016</v>
      </c>
      <c r="C3524" t="s">
        <v>443</v>
      </c>
      <c r="D3524" t="s">
        <v>2472</v>
      </c>
      <c r="E3524" t="s">
        <v>2474</v>
      </c>
      <c r="F3524" t="s">
        <v>1785</v>
      </c>
      <c r="G3524" t="s">
        <v>388</v>
      </c>
      <c r="H3524" s="10">
        <v>217742</v>
      </c>
      <c r="I3524" t="str">
        <f>IFERROR(VLOOKUP(Final!F3524,'LEAID Match'!$A$2:$B$374,2,FALSE),"")</f>
        <v/>
      </c>
      <c r="K3524" s="10">
        <f t="shared" si="55"/>
        <v>217742</v>
      </c>
    </row>
    <row r="3525" spans="1:11">
      <c r="A3525" t="s">
        <v>2470</v>
      </c>
      <c r="B3525" s="10">
        <v>2017</v>
      </c>
      <c r="C3525" t="s">
        <v>443</v>
      </c>
      <c r="D3525" t="s">
        <v>2472</v>
      </c>
      <c r="E3525" t="s">
        <v>2474</v>
      </c>
      <c r="F3525" t="s">
        <v>1785</v>
      </c>
      <c r="G3525" t="s">
        <v>1785</v>
      </c>
      <c r="H3525" s="10">
        <v>216960</v>
      </c>
      <c r="I3525" t="str">
        <f>IFERROR(VLOOKUP(Final!F3525,'LEAID Match'!$A$2:$B$374,2,FALSE),"")</f>
        <v/>
      </c>
      <c r="K3525" s="10">
        <f t="shared" si="55"/>
        <v>216960</v>
      </c>
    </row>
    <row r="3526" spans="1:11">
      <c r="A3526" t="s">
        <v>2470</v>
      </c>
      <c r="B3526" s="10">
        <v>2018</v>
      </c>
      <c r="C3526" t="s">
        <v>443</v>
      </c>
      <c r="D3526" t="s">
        <v>2472</v>
      </c>
      <c r="E3526" t="s">
        <v>2474</v>
      </c>
      <c r="F3526" t="s">
        <v>1785</v>
      </c>
      <c r="G3526" t="s">
        <v>1785</v>
      </c>
      <c r="H3526" s="10">
        <v>227991</v>
      </c>
      <c r="I3526" t="str">
        <f>IFERROR(VLOOKUP(Final!F3526,'LEAID Match'!$A$2:$B$374,2,FALSE),"")</f>
        <v/>
      </c>
      <c r="K3526" s="10">
        <f t="shared" si="55"/>
        <v>227991</v>
      </c>
    </row>
    <row r="3527" spans="1:11">
      <c r="A3527" t="s">
        <v>2470</v>
      </c>
      <c r="B3527" s="10">
        <v>2019</v>
      </c>
      <c r="C3527" t="s">
        <v>443</v>
      </c>
      <c r="D3527" t="s">
        <v>2472</v>
      </c>
      <c r="E3527" t="s">
        <v>2474</v>
      </c>
      <c r="F3527" t="s">
        <v>1785</v>
      </c>
      <c r="G3527" t="s">
        <v>1785</v>
      </c>
      <c r="H3527" s="10">
        <v>249339</v>
      </c>
      <c r="I3527" t="str">
        <f>IFERROR(VLOOKUP(Final!F3527,'LEAID Match'!$A$2:$B$374,2,FALSE),"")</f>
        <v/>
      </c>
      <c r="K3527" s="10">
        <f t="shared" si="55"/>
        <v>249339</v>
      </c>
    </row>
    <row r="3528" spans="1:11">
      <c r="A3528" t="s">
        <v>2470</v>
      </c>
      <c r="B3528" s="10">
        <v>2020</v>
      </c>
      <c r="C3528" t="s">
        <v>443</v>
      </c>
      <c r="D3528" t="s">
        <v>2472</v>
      </c>
      <c r="E3528" t="s">
        <v>2474</v>
      </c>
      <c r="F3528" t="s">
        <v>1785</v>
      </c>
      <c r="G3528" t="s">
        <v>1785</v>
      </c>
      <c r="H3528" s="10">
        <v>276993</v>
      </c>
      <c r="I3528" t="str">
        <f>IFERROR(VLOOKUP(Final!F3528,'LEAID Match'!$A$2:$B$374,2,FALSE),"")</f>
        <v/>
      </c>
      <c r="K3528" s="10">
        <f t="shared" si="55"/>
        <v>276993</v>
      </c>
    </row>
    <row r="3529" spans="1:11">
      <c r="A3529" t="s">
        <v>2470</v>
      </c>
      <c r="B3529" s="10">
        <v>2021</v>
      </c>
      <c r="C3529" t="s">
        <v>443</v>
      </c>
      <c r="D3529" t="s">
        <v>2472</v>
      </c>
      <c r="E3529" t="s">
        <v>2474</v>
      </c>
      <c r="F3529" t="s">
        <v>1785</v>
      </c>
      <c r="G3529" t="s">
        <v>1785</v>
      </c>
      <c r="H3529" s="10">
        <v>290102</v>
      </c>
      <c r="I3529" t="str">
        <f>IFERROR(VLOOKUP(Final!F3529,'LEAID Match'!$A$2:$B$374,2,FALSE),"")</f>
        <v/>
      </c>
      <c r="K3529" s="10">
        <f t="shared" si="55"/>
        <v>290102</v>
      </c>
    </row>
    <row r="3530" spans="1:11">
      <c r="A3530" t="s">
        <v>2470</v>
      </c>
      <c r="B3530" s="10">
        <v>2022</v>
      </c>
      <c r="C3530" t="s">
        <v>443</v>
      </c>
      <c r="D3530" t="s">
        <v>2472</v>
      </c>
      <c r="E3530" t="s">
        <v>2474</v>
      </c>
      <c r="F3530" t="s">
        <v>1785</v>
      </c>
      <c r="G3530" t="s">
        <v>1785</v>
      </c>
      <c r="H3530" s="10">
        <v>297473</v>
      </c>
      <c r="I3530" t="str">
        <f>IFERROR(VLOOKUP(Final!F3530,'LEAID Match'!$A$2:$B$374,2,FALSE),"")</f>
        <v/>
      </c>
      <c r="K3530" s="10">
        <f t="shared" si="55"/>
        <v>297473</v>
      </c>
    </row>
    <row r="3531" spans="1:11">
      <c r="A3531" t="s">
        <v>2470</v>
      </c>
      <c r="B3531" s="10">
        <v>2023</v>
      </c>
      <c r="C3531" t="s">
        <v>443</v>
      </c>
      <c r="D3531" t="s">
        <v>2472</v>
      </c>
      <c r="E3531" t="s">
        <v>2474</v>
      </c>
      <c r="F3531" t="s">
        <v>1785</v>
      </c>
      <c r="G3531" t="s">
        <v>1785</v>
      </c>
      <c r="H3531" s="10">
        <v>364303</v>
      </c>
      <c r="I3531" t="str">
        <f>IFERROR(VLOOKUP(Final!F3531,'LEAID Match'!$A$2:$B$374,2,FALSE),"")</f>
        <v/>
      </c>
      <c r="K3531" s="10">
        <f t="shared" si="55"/>
        <v>364303</v>
      </c>
    </row>
    <row r="3532" spans="1:11">
      <c r="A3532" t="s">
        <v>2470</v>
      </c>
      <c r="B3532" s="10">
        <v>2015</v>
      </c>
      <c r="C3532" t="s">
        <v>445</v>
      </c>
      <c r="D3532" t="s">
        <v>2472</v>
      </c>
      <c r="E3532" t="s">
        <v>2474</v>
      </c>
      <c r="F3532" t="s">
        <v>1807</v>
      </c>
      <c r="G3532" t="s">
        <v>390</v>
      </c>
      <c r="H3532" s="10">
        <v>16442201</v>
      </c>
      <c r="I3532" t="str">
        <f>IFERROR(VLOOKUP(Final!F3532,'LEAID Match'!$A$2:$B$374,2,FALSE),"")</f>
        <v/>
      </c>
      <c r="K3532" s="10">
        <f t="shared" si="55"/>
        <v>16442201</v>
      </c>
    </row>
    <row r="3533" spans="1:11">
      <c r="A3533" t="s">
        <v>2470</v>
      </c>
      <c r="B3533" s="10">
        <v>2016</v>
      </c>
      <c r="C3533" t="s">
        <v>445</v>
      </c>
      <c r="D3533" t="s">
        <v>2472</v>
      </c>
      <c r="E3533" t="s">
        <v>2474</v>
      </c>
      <c r="F3533" t="s">
        <v>1807</v>
      </c>
      <c r="G3533" t="s">
        <v>390</v>
      </c>
      <c r="H3533" s="10">
        <v>16868883</v>
      </c>
      <c r="I3533" t="str">
        <f>IFERROR(VLOOKUP(Final!F3533,'LEAID Match'!$A$2:$B$374,2,FALSE),"")</f>
        <v/>
      </c>
      <c r="K3533" s="10">
        <f t="shared" si="55"/>
        <v>16868883</v>
      </c>
    </row>
    <row r="3534" spans="1:11">
      <c r="A3534" t="s">
        <v>2470</v>
      </c>
      <c r="B3534" s="10">
        <v>2017</v>
      </c>
      <c r="C3534" t="s">
        <v>445</v>
      </c>
      <c r="D3534" t="s">
        <v>2472</v>
      </c>
      <c r="E3534" t="s">
        <v>2474</v>
      </c>
      <c r="F3534" t="s">
        <v>1807</v>
      </c>
      <c r="G3534" t="s">
        <v>1807</v>
      </c>
      <c r="H3534" s="10">
        <v>17260909</v>
      </c>
      <c r="I3534" t="str">
        <f>IFERROR(VLOOKUP(Final!F3534,'LEAID Match'!$A$2:$B$374,2,FALSE),"")</f>
        <v/>
      </c>
      <c r="K3534" s="10">
        <f t="shared" si="55"/>
        <v>17260909</v>
      </c>
    </row>
    <row r="3535" spans="1:11">
      <c r="A3535" t="s">
        <v>2470</v>
      </c>
      <c r="B3535" s="10">
        <v>2018</v>
      </c>
      <c r="C3535" t="s">
        <v>445</v>
      </c>
      <c r="D3535" t="s">
        <v>2472</v>
      </c>
      <c r="E3535" t="s">
        <v>2474</v>
      </c>
      <c r="F3535" t="s">
        <v>1807</v>
      </c>
      <c r="G3535" t="s">
        <v>1807</v>
      </c>
      <c r="H3535" s="10">
        <v>17652538</v>
      </c>
      <c r="I3535" t="str">
        <f>IFERROR(VLOOKUP(Final!F3535,'LEAID Match'!$A$2:$B$374,2,FALSE),"")</f>
        <v/>
      </c>
      <c r="K3535" s="10">
        <f t="shared" si="55"/>
        <v>17652538</v>
      </c>
    </row>
    <row r="3536" spans="1:11">
      <c r="A3536" t="s">
        <v>2470</v>
      </c>
      <c r="B3536" s="10">
        <v>2019</v>
      </c>
      <c r="C3536" t="s">
        <v>445</v>
      </c>
      <c r="D3536" t="s">
        <v>2472</v>
      </c>
      <c r="E3536" t="s">
        <v>2474</v>
      </c>
      <c r="F3536" t="s">
        <v>1807</v>
      </c>
      <c r="G3536" t="s">
        <v>1807</v>
      </c>
      <c r="H3536" s="10">
        <v>19111307</v>
      </c>
      <c r="I3536" t="str">
        <f>IFERROR(VLOOKUP(Final!F3536,'LEAID Match'!$A$2:$B$374,2,FALSE),"")</f>
        <v/>
      </c>
      <c r="K3536" s="10">
        <f t="shared" si="55"/>
        <v>19111307</v>
      </c>
    </row>
    <row r="3537" spans="1:11">
      <c r="A3537" t="s">
        <v>2470</v>
      </c>
      <c r="B3537" s="10">
        <v>2020</v>
      </c>
      <c r="C3537" t="s">
        <v>445</v>
      </c>
      <c r="D3537" t="s">
        <v>2472</v>
      </c>
      <c r="E3537" t="s">
        <v>2474</v>
      </c>
      <c r="F3537" t="s">
        <v>1807</v>
      </c>
      <c r="G3537" t="s">
        <v>1807</v>
      </c>
      <c r="H3537" s="10">
        <v>20258486</v>
      </c>
      <c r="I3537" t="str">
        <f>IFERROR(VLOOKUP(Final!F3537,'LEAID Match'!$A$2:$B$374,2,FALSE),"")</f>
        <v/>
      </c>
      <c r="K3537" s="10">
        <f t="shared" si="55"/>
        <v>20258486</v>
      </c>
    </row>
    <row r="3538" spans="1:11">
      <c r="A3538" t="s">
        <v>2470</v>
      </c>
      <c r="B3538" s="10">
        <v>2021</v>
      </c>
      <c r="C3538" t="s">
        <v>445</v>
      </c>
      <c r="D3538" t="s">
        <v>2472</v>
      </c>
      <c r="E3538" t="s">
        <v>2474</v>
      </c>
      <c r="F3538" t="s">
        <v>1807</v>
      </c>
      <c r="G3538" t="s">
        <v>1807</v>
      </c>
      <c r="H3538" s="10">
        <v>20767213</v>
      </c>
      <c r="I3538" t="str">
        <f>IFERROR(VLOOKUP(Final!F3538,'LEAID Match'!$A$2:$B$374,2,FALSE),"")</f>
        <v/>
      </c>
      <c r="K3538" s="10">
        <f t="shared" si="55"/>
        <v>20767213</v>
      </c>
    </row>
    <row r="3539" spans="1:11">
      <c r="A3539" t="s">
        <v>2470</v>
      </c>
      <c r="B3539" s="10">
        <v>2022</v>
      </c>
      <c r="C3539" t="s">
        <v>445</v>
      </c>
      <c r="D3539" t="s">
        <v>2472</v>
      </c>
      <c r="E3539" t="s">
        <v>2474</v>
      </c>
      <c r="F3539" t="s">
        <v>1807</v>
      </c>
      <c r="G3539" t="s">
        <v>1807</v>
      </c>
      <c r="H3539" s="10">
        <v>23097039</v>
      </c>
      <c r="I3539" t="str">
        <f>IFERROR(VLOOKUP(Final!F3539,'LEAID Match'!$A$2:$B$374,2,FALSE),"")</f>
        <v/>
      </c>
      <c r="K3539" s="10">
        <f t="shared" si="55"/>
        <v>23097039</v>
      </c>
    </row>
    <row r="3540" spans="1:11">
      <c r="A3540" t="s">
        <v>2470</v>
      </c>
      <c r="B3540" s="10">
        <v>2023</v>
      </c>
      <c r="C3540" t="s">
        <v>445</v>
      </c>
      <c r="D3540" t="s">
        <v>2472</v>
      </c>
      <c r="E3540" t="s">
        <v>2474</v>
      </c>
      <c r="F3540" t="s">
        <v>1807</v>
      </c>
      <c r="G3540" t="s">
        <v>1807</v>
      </c>
      <c r="H3540" s="10">
        <v>25127621</v>
      </c>
      <c r="I3540" t="str">
        <f>IFERROR(VLOOKUP(Final!F3540,'LEAID Match'!$A$2:$B$374,2,FALSE),"")</f>
        <v/>
      </c>
      <c r="K3540" s="10">
        <f t="shared" si="55"/>
        <v>25127621</v>
      </c>
    </row>
    <row r="3541" spans="1:11">
      <c r="A3541" t="s">
        <v>2470</v>
      </c>
      <c r="B3541" s="10">
        <v>2015</v>
      </c>
      <c r="C3541" t="s">
        <v>1235</v>
      </c>
      <c r="D3541" t="s">
        <v>2472</v>
      </c>
      <c r="E3541" t="s">
        <v>2474</v>
      </c>
      <c r="F3541" t="s">
        <v>1810</v>
      </c>
      <c r="G3541" t="s">
        <v>1181</v>
      </c>
      <c r="H3541" s="10">
        <v>81589</v>
      </c>
      <c r="I3541" t="str">
        <f>IFERROR(VLOOKUP(Final!F3541,'LEAID Match'!$A$2:$B$374,2,FALSE),"")</f>
        <v/>
      </c>
      <c r="K3541" s="10">
        <f t="shared" si="55"/>
        <v>81589</v>
      </c>
    </row>
    <row r="3542" spans="1:11">
      <c r="A3542" t="s">
        <v>2470</v>
      </c>
      <c r="B3542" s="10">
        <v>2016</v>
      </c>
      <c r="C3542" t="s">
        <v>1235</v>
      </c>
      <c r="D3542" t="s">
        <v>2472</v>
      </c>
      <c r="E3542" t="s">
        <v>2474</v>
      </c>
      <c r="F3542" t="s">
        <v>1810</v>
      </c>
      <c r="G3542" t="s">
        <v>1181</v>
      </c>
      <c r="H3542" s="10">
        <v>83847</v>
      </c>
      <c r="I3542" t="str">
        <f>IFERROR(VLOOKUP(Final!F3542,'LEAID Match'!$A$2:$B$374,2,FALSE),"")</f>
        <v/>
      </c>
      <c r="K3542" s="10">
        <f t="shared" si="55"/>
        <v>83847</v>
      </c>
    </row>
    <row r="3543" spans="1:11">
      <c r="A3543" t="s">
        <v>2470</v>
      </c>
      <c r="B3543" s="10">
        <v>2017</v>
      </c>
      <c r="C3543" t="s">
        <v>1235</v>
      </c>
      <c r="D3543" t="s">
        <v>2472</v>
      </c>
      <c r="E3543" t="s">
        <v>2474</v>
      </c>
      <c r="F3543" t="s">
        <v>1810</v>
      </c>
      <c r="G3543" t="s">
        <v>1810</v>
      </c>
      <c r="H3543" s="10">
        <v>89457</v>
      </c>
      <c r="I3543" t="str">
        <f>IFERROR(VLOOKUP(Final!F3543,'LEAID Match'!$A$2:$B$374,2,FALSE),"")</f>
        <v/>
      </c>
      <c r="K3543" s="10">
        <f t="shared" si="55"/>
        <v>89457</v>
      </c>
    </row>
    <row r="3544" spans="1:11">
      <c r="A3544" t="s">
        <v>2470</v>
      </c>
      <c r="B3544" s="10">
        <v>2018</v>
      </c>
      <c r="C3544" t="s">
        <v>1235</v>
      </c>
      <c r="D3544" t="s">
        <v>2472</v>
      </c>
      <c r="E3544" t="s">
        <v>2474</v>
      </c>
      <c r="F3544" t="s">
        <v>1810</v>
      </c>
      <c r="G3544" t="s">
        <v>1810</v>
      </c>
      <c r="H3544" s="10">
        <v>104962</v>
      </c>
      <c r="I3544" t="str">
        <f>IFERROR(VLOOKUP(Final!F3544,'LEAID Match'!$A$2:$B$374,2,FALSE),"")</f>
        <v/>
      </c>
      <c r="K3544" s="10">
        <f t="shared" si="55"/>
        <v>104962</v>
      </c>
    </row>
    <row r="3545" spans="1:11">
      <c r="A3545" t="s">
        <v>2470</v>
      </c>
      <c r="B3545" s="10">
        <v>2019</v>
      </c>
      <c r="C3545" t="s">
        <v>1235</v>
      </c>
      <c r="D3545" t="s">
        <v>2472</v>
      </c>
      <c r="E3545" t="s">
        <v>2474</v>
      </c>
      <c r="F3545" t="s">
        <v>1810</v>
      </c>
      <c r="G3545" t="s">
        <v>1810</v>
      </c>
      <c r="H3545" s="10">
        <v>119110</v>
      </c>
      <c r="I3545" t="str">
        <f>IFERROR(VLOOKUP(Final!F3545,'LEAID Match'!$A$2:$B$374,2,FALSE),"")</f>
        <v/>
      </c>
      <c r="K3545" s="10">
        <f t="shared" si="55"/>
        <v>119110</v>
      </c>
    </row>
    <row r="3546" spans="1:11">
      <c r="A3546" t="s">
        <v>2470</v>
      </c>
      <c r="B3546" s="10">
        <v>2020</v>
      </c>
      <c r="C3546" t="s">
        <v>1235</v>
      </c>
      <c r="D3546" t="s">
        <v>2472</v>
      </c>
      <c r="E3546" t="s">
        <v>2474</v>
      </c>
      <c r="F3546" t="s">
        <v>1810</v>
      </c>
      <c r="G3546" t="s">
        <v>1810</v>
      </c>
      <c r="H3546" s="10">
        <v>131332</v>
      </c>
      <c r="I3546" t="str">
        <f>IFERROR(VLOOKUP(Final!F3546,'LEAID Match'!$A$2:$B$374,2,FALSE),"")</f>
        <v/>
      </c>
      <c r="K3546" s="10">
        <f t="shared" si="55"/>
        <v>131332</v>
      </c>
    </row>
    <row r="3547" spans="1:11">
      <c r="A3547" t="s">
        <v>2470</v>
      </c>
      <c r="B3547" s="10">
        <v>2021</v>
      </c>
      <c r="C3547" t="s">
        <v>1235</v>
      </c>
      <c r="D3547" t="s">
        <v>2472</v>
      </c>
      <c r="E3547" t="s">
        <v>2474</v>
      </c>
      <c r="F3547" t="s">
        <v>1810</v>
      </c>
      <c r="G3547" t="s">
        <v>1810</v>
      </c>
      <c r="H3547" s="10">
        <v>124857</v>
      </c>
      <c r="I3547" t="str">
        <f>IFERROR(VLOOKUP(Final!F3547,'LEAID Match'!$A$2:$B$374,2,FALSE),"")</f>
        <v/>
      </c>
      <c r="K3547" s="10">
        <f t="shared" si="55"/>
        <v>124857</v>
      </c>
    </row>
    <row r="3548" spans="1:11">
      <c r="A3548" t="s">
        <v>2470</v>
      </c>
      <c r="B3548" s="10">
        <v>2022</v>
      </c>
      <c r="C3548" t="s">
        <v>1235</v>
      </c>
      <c r="D3548" t="s">
        <v>2472</v>
      </c>
      <c r="E3548" t="s">
        <v>2474</v>
      </c>
      <c r="F3548" t="s">
        <v>1810</v>
      </c>
      <c r="G3548" t="s">
        <v>1810</v>
      </c>
      <c r="H3548" s="10">
        <v>124739</v>
      </c>
      <c r="I3548" t="str">
        <f>IFERROR(VLOOKUP(Final!F3548,'LEAID Match'!$A$2:$B$374,2,FALSE),"")</f>
        <v/>
      </c>
      <c r="K3548" s="10">
        <f t="shared" si="55"/>
        <v>124739</v>
      </c>
    </row>
    <row r="3549" spans="1:11">
      <c r="A3549" t="s">
        <v>2470</v>
      </c>
      <c r="B3549" s="10">
        <v>2023</v>
      </c>
      <c r="C3549" t="s">
        <v>1235</v>
      </c>
      <c r="D3549" t="s">
        <v>2472</v>
      </c>
      <c r="E3549" t="s">
        <v>2474</v>
      </c>
      <c r="F3549" t="s">
        <v>1810</v>
      </c>
      <c r="G3549" t="s">
        <v>1810</v>
      </c>
      <c r="H3549" s="10">
        <v>118481</v>
      </c>
      <c r="I3549" t="str">
        <f>IFERROR(VLOOKUP(Final!F3549,'LEAID Match'!$A$2:$B$374,2,FALSE),"")</f>
        <v/>
      </c>
      <c r="K3549" s="10">
        <f t="shared" si="55"/>
        <v>118481</v>
      </c>
    </row>
    <row r="3550" spans="1:11">
      <c r="A3550" t="s">
        <v>2470</v>
      </c>
      <c r="B3550" s="10">
        <v>2015</v>
      </c>
      <c r="C3550" t="s">
        <v>458</v>
      </c>
      <c r="D3550" t="s">
        <v>2472</v>
      </c>
      <c r="E3550" t="s">
        <v>2474</v>
      </c>
      <c r="F3550" t="s">
        <v>1967</v>
      </c>
      <c r="G3550" t="s">
        <v>403</v>
      </c>
      <c r="H3550" s="10">
        <v>111527</v>
      </c>
      <c r="I3550" t="str">
        <f>IFERROR(VLOOKUP(Final!F3550,'LEAID Match'!$A$2:$B$374,2,FALSE),"")</f>
        <v/>
      </c>
      <c r="K3550" s="10">
        <f t="shared" si="55"/>
        <v>111527</v>
      </c>
    </row>
    <row r="3551" spans="1:11">
      <c r="A3551" t="s">
        <v>2470</v>
      </c>
      <c r="B3551" s="10">
        <v>2016</v>
      </c>
      <c r="C3551" t="s">
        <v>458</v>
      </c>
      <c r="D3551" t="s">
        <v>2472</v>
      </c>
      <c r="E3551" t="s">
        <v>2474</v>
      </c>
      <c r="F3551" t="s">
        <v>1967</v>
      </c>
      <c r="G3551" t="s">
        <v>403</v>
      </c>
      <c r="H3551" s="10">
        <v>119011</v>
      </c>
      <c r="I3551" t="str">
        <f>IFERROR(VLOOKUP(Final!F3551,'LEAID Match'!$A$2:$B$374,2,FALSE),"")</f>
        <v/>
      </c>
      <c r="K3551" s="10">
        <f t="shared" si="55"/>
        <v>119011</v>
      </c>
    </row>
    <row r="3552" spans="1:11">
      <c r="A3552" t="s">
        <v>2470</v>
      </c>
      <c r="B3552" s="10">
        <v>2017</v>
      </c>
      <c r="C3552" t="s">
        <v>458</v>
      </c>
      <c r="D3552" t="s">
        <v>2472</v>
      </c>
      <c r="E3552" t="s">
        <v>2474</v>
      </c>
      <c r="F3552" t="s">
        <v>1967</v>
      </c>
      <c r="G3552" t="s">
        <v>1967</v>
      </c>
      <c r="H3552" s="10">
        <v>123602</v>
      </c>
      <c r="I3552" t="str">
        <f>IFERROR(VLOOKUP(Final!F3552,'LEAID Match'!$A$2:$B$374,2,FALSE),"")</f>
        <v/>
      </c>
      <c r="K3552" s="10">
        <f t="shared" si="55"/>
        <v>123602</v>
      </c>
    </row>
    <row r="3553" spans="1:11">
      <c r="A3553" t="s">
        <v>2470</v>
      </c>
      <c r="B3553" s="10">
        <v>2018</v>
      </c>
      <c r="C3553" t="s">
        <v>458</v>
      </c>
      <c r="D3553" t="s">
        <v>2472</v>
      </c>
      <c r="E3553" t="s">
        <v>2474</v>
      </c>
      <c r="F3553" t="s">
        <v>1967</v>
      </c>
      <c r="G3553" t="s">
        <v>1967</v>
      </c>
      <c r="H3553" s="10">
        <v>128179</v>
      </c>
      <c r="I3553" t="str">
        <f>IFERROR(VLOOKUP(Final!F3553,'LEAID Match'!$A$2:$B$374,2,FALSE),"")</f>
        <v/>
      </c>
      <c r="K3553" s="10">
        <f t="shared" si="55"/>
        <v>128179</v>
      </c>
    </row>
    <row r="3554" spans="1:11">
      <c r="A3554" t="s">
        <v>2470</v>
      </c>
      <c r="B3554" s="10">
        <v>2019</v>
      </c>
      <c r="C3554" t="s">
        <v>458</v>
      </c>
      <c r="D3554" t="s">
        <v>2472</v>
      </c>
      <c r="E3554" t="s">
        <v>2474</v>
      </c>
      <c r="F3554" t="s">
        <v>1967</v>
      </c>
      <c r="G3554" t="s">
        <v>1967</v>
      </c>
      <c r="H3554" s="10">
        <v>129536</v>
      </c>
      <c r="I3554" t="str">
        <f>IFERROR(VLOOKUP(Final!F3554,'LEAID Match'!$A$2:$B$374,2,FALSE),"")</f>
        <v/>
      </c>
      <c r="K3554" s="10">
        <f t="shared" si="55"/>
        <v>129536</v>
      </c>
    </row>
    <row r="3555" spans="1:11">
      <c r="A3555" t="s">
        <v>2470</v>
      </c>
      <c r="B3555" s="10">
        <v>2020</v>
      </c>
      <c r="C3555" t="s">
        <v>458</v>
      </c>
      <c r="D3555" t="s">
        <v>2472</v>
      </c>
      <c r="E3555" t="s">
        <v>2474</v>
      </c>
      <c r="F3555" t="s">
        <v>1967</v>
      </c>
      <c r="G3555" t="s">
        <v>1967</v>
      </c>
      <c r="H3555" s="10">
        <v>135535</v>
      </c>
      <c r="I3555" t="str">
        <f>IFERROR(VLOOKUP(Final!F3555,'LEAID Match'!$A$2:$B$374,2,FALSE),"")</f>
        <v/>
      </c>
      <c r="K3555" s="10">
        <f t="shared" si="55"/>
        <v>135535</v>
      </c>
    </row>
    <row r="3556" spans="1:11">
      <c r="A3556" t="s">
        <v>2470</v>
      </c>
      <c r="B3556" s="10">
        <v>2021</v>
      </c>
      <c r="C3556" t="s">
        <v>458</v>
      </c>
      <c r="D3556" t="s">
        <v>2472</v>
      </c>
      <c r="E3556" t="s">
        <v>2474</v>
      </c>
      <c r="F3556" t="s">
        <v>1967</v>
      </c>
      <c r="G3556" t="s">
        <v>1967</v>
      </c>
      <c r="H3556" s="10">
        <v>155688</v>
      </c>
      <c r="I3556" t="str">
        <f>IFERROR(VLOOKUP(Final!F3556,'LEAID Match'!$A$2:$B$374,2,FALSE),"")</f>
        <v/>
      </c>
      <c r="K3556" s="10">
        <f t="shared" si="55"/>
        <v>155688</v>
      </c>
    </row>
    <row r="3557" spans="1:11">
      <c r="A3557" t="s">
        <v>2470</v>
      </c>
      <c r="B3557" s="10">
        <v>2022</v>
      </c>
      <c r="C3557" t="s">
        <v>458</v>
      </c>
      <c r="D3557" t="s">
        <v>2472</v>
      </c>
      <c r="E3557" t="s">
        <v>2474</v>
      </c>
      <c r="F3557" t="s">
        <v>1967</v>
      </c>
      <c r="G3557" t="s">
        <v>1967</v>
      </c>
      <c r="H3557" s="10">
        <v>160856</v>
      </c>
      <c r="I3557" t="str">
        <f>IFERROR(VLOOKUP(Final!F3557,'LEAID Match'!$A$2:$B$374,2,FALSE),"")</f>
        <v/>
      </c>
      <c r="K3557" s="10">
        <f t="shared" si="55"/>
        <v>160856</v>
      </c>
    </row>
    <row r="3558" spans="1:11">
      <c r="A3558" t="s">
        <v>2470</v>
      </c>
      <c r="B3558" s="10">
        <v>2023</v>
      </c>
      <c r="C3558" t="s">
        <v>458</v>
      </c>
      <c r="D3558" t="s">
        <v>2472</v>
      </c>
      <c r="E3558" t="s">
        <v>2474</v>
      </c>
      <c r="F3558" t="s">
        <v>1967</v>
      </c>
      <c r="G3558" t="s">
        <v>1967</v>
      </c>
      <c r="H3558" s="10">
        <v>183191</v>
      </c>
      <c r="I3558" t="str">
        <f>IFERROR(VLOOKUP(Final!F3558,'LEAID Match'!$A$2:$B$374,2,FALSE),"")</f>
        <v/>
      </c>
      <c r="K3558" s="10">
        <f t="shared" si="55"/>
        <v>183191</v>
      </c>
    </row>
    <row r="3559" spans="1:11">
      <c r="A3559" t="s">
        <v>2470</v>
      </c>
      <c r="B3559" s="10">
        <v>2015</v>
      </c>
      <c r="C3559" t="s">
        <v>446</v>
      </c>
      <c r="D3559" t="s">
        <v>2472</v>
      </c>
      <c r="E3559" t="s">
        <v>2474</v>
      </c>
      <c r="F3559" t="s">
        <v>1833</v>
      </c>
      <c r="G3559" t="s">
        <v>391</v>
      </c>
      <c r="H3559" s="10">
        <v>714373</v>
      </c>
      <c r="I3559" t="str">
        <f>IFERROR(VLOOKUP(Final!F3559,'LEAID Match'!$A$2:$B$374,2,FALSE),"")</f>
        <v/>
      </c>
      <c r="K3559" s="10">
        <f t="shared" si="55"/>
        <v>714373</v>
      </c>
    </row>
    <row r="3560" spans="1:11">
      <c r="A3560" t="s">
        <v>2470</v>
      </c>
      <c r="B3560" s="10">
        <v>2016</v>
      </c>
      <c r="C3560" t="s">
        <v>446</v>
      </c>
      <c r="D3560" t="s">
        <v>2472</v>
      </c>
      <c r="E3560" t="s">
        <v>2474</v>
      </c>
      <c r="F3560" t="s">
        <v>1833</v>
      </c>
      <c r="G3560" t="s">
        <v>391</v>
      </c>
      <c r="H3560" s="10">
        <v>689292</v>
      </c>
      <c r="I3560" t="str">
        <f>IFERROR(VLOOKUP(Final!F3560,'LEAID Match'!$A$2:$B$374,2,FALSE),"")</f>
        <v/>
      </c>
      <c r="K3560" s="10">
        <f t="shared" si="55"/>
        <v>689292</v>
      </c>
    </row>
    <row r="3561" spans="1:11">
      <c r="A3561" t="s">
        <v>2470</v>
      </c>
      <c r="B3561" s="10">
        <v>2017</v>
      </c>
      <c r="C3561" t="s">
        <v>446</v>
      </c>
      <c r="D3561" t="s">
        <v>2472</v>
      </c>
      <c r="E3561" t="s">
        <v>2474</v>
      </c>
      <c r="F3561" t="s">
        <v>1833</v>
      </c>
      <c r="G3561" t="s">
        <v>1833</v>
      </c>
      <c r="H3561" s="10">
        <v>702430</v>
      </c>
      <c r="I3561" t="str">
        <f>IFERROR(VLOOKUP(Final!F3561,'LEAID Match'!$A$2:$B$374,2,FALSE),"")</f>
        <v/>
      </c>
      <c r="K3561" s="10">
        <f t="shared" si="55"/>
        <v>702430</v>
      </c>
    </row>
    <row r="3562" spans="1:11">
      <c r="A3562" t="s">
        <v>2470</v>
      </c>
      <c r="B3562" s="10">
        <v>2018</v>
      </c>
      <c r="C3562" t="s">
        <v>446</v>
      </c>
      <c r="D3562" t="s">
        <v>2472</v>
      </c>
      <c r="E3562" t="s">
        <v>2474</v>
      </c>
      <c r="F3562" t="s">
        <v>1833</v>
      </c>
      <c r="G3562" t="s">
        <v>1833</v>
      </c>
      <c r="H3562" s="10">
        <v>711033</v>
      </c>
      <c r="I3562" t="str">
        <f>IFERROR(VLOOKUP(Final!F3562,'LEAID Match'!$A$2:$B$374,2,FALSE),"")</f>
        <v/>
      </c>
      <c r="K3562" s="10">
        <f t="shared" si="55"/>
        <v>711033</v>
      </c>
    </row>
    <row r="3563" spans="1:11">
      <c r="A3563" t="s">
        <v>2470</v>
      </c>
      <c r="B3563" s="10">
        <v>2019</v>
      </c>
      <c r="C3563" t="s">
        <v>446</v>
      </c>
      <c r="D3563" t="s">
        <v>2472</v>
      </c>
      <c r="E3563" t="s">
        <v>2474</v>
      </c>
      <c r="F3563" t="s">
        <v>1833</v>
      </c>
      <c r="G3563" t="s">
        <v>1833</v>
      </c>
      <c r="H3563" s="10">
        <v>770660</v>
      </c>
      <c r="I3563" t="str">
        <f>IFERROR(VLOOKUP(Final!F3563,'LEAID Match'!$A$2:$B$374,2,FALSE),"")</f>
        <v/>
      </c>
      <c r="K3563" s="10">
        <f t="shared" si="55"/>
        <v>770660</v>
      </c>
    </row>
    <row r="3564" spans="1:11">
      <c r="A3564" t="s">
        <v>2470</v>
      </c>
      <c r="B3564" s="10">
        <v>2020</v>
      </c>
      <c r="C3564" t="s">
        <v>446</v>
      </c>
      <c r="D3564" t="s">
        <v>2472</v>
      </c>
      <c r="E3564" t="s">
        <v>2474</v>
      </c>
      <c r="F3564" t="s">
        <v>1833</v>
      </c>
      <c r="G3564" t="s">
        <v>1833</v>
      </c>
      <c r="H3564" s="10">
        <v>746365</v>
      </c>
      <c r="I3564" t="str">
        <f>IFERROR(VLOOKUP(Final!F3564,'LEAID Match'!$A$2:$B$374,2,FALSE),"")</f>
        <v/>
      </c>
      <c r="K3564" s="10">
        <f t="shared" si="55"/>
        <v>746365</v>
      </c>
    </row>
    <row r="3565" spans="1:11">
      <c r="A3565" t="s">
        <v>2470</v>
      </c>
      <c r="B3565" s="10">
        <v>2021</v>
      </c>
      <c r="C3565" t="s">
        <v>446</v>
      </c>
      <c r="D3565" t="s">
        <v>2472</v>
      </c>
      <c r="E3565" t="s">
        <v>2474</v>
      </c>
      <c r="F3565" t="s">
        <v>1833</v>
      </c>
      <c r="G3565" t="s">
        <v>1833</v>
      </c>
      <c r="H3565" s="10">
        <v>721074</v>
      </c>
      <c r="I3565" t="str">
        <f>IFERROR(VLOOKUP(Final!F3565,'LEAID Match'!$A$2:$B$374,2,FALSE),"")</f>
        <v/>
      </c>
      <c r="K3565" s="10">
        <f t="shared" si="55"/>
        <v>721074</v>
      </c>
    </row>
    <row r="3566" spans="1:11">
      <c r="A3566" t="s">
        <v>2470</v>
      </c>
      <c r="B3566" s="10">
        <v>2022</v>
      </c>
      <c r="C3566" t="s">
        <v>446</v>
      </c>
      <c r="D3566" t="s">
        <v>2472</v>
      </c>
      <c r="E3566" t="s">
        <v>2474</v>
      </c>
      <c r="F3566" t="s">
        <v>1833</v>
      </c>
      <c r="G3566" t="s">
        <v>1833</v>
      </c>
      <c r="H3566" s="10">
        <v>836016</v>
      </c>
      <c r="I3566" t="str">
        <f>IFERROR(VLOOKUP(Final!F3566,'LEAID Match'!$A$2:$B$374,2,FALSE),"")</f>
        <v/>
      </c>
      <c r="K3566" s="10">
        <f t="shared" si="55"/>
        <v>836016</v>
      </c>
    </row>
    <row r="3567" spans="1:11">
      <c r="A3567" t="s">
        <v>2470</v>
      </c>
      <c r="B3567" s="10">
        <v>2023</v>
      </c>
      <c r="C3567" t="s">
        <v>446</v>
      </c>
      <c r="D3567" t="s">
        <v>2472</v>
      </c>
      <c r="E3567" t="s">
        <v>2474</v>
      </c>
      <c r="F3567" t="s">
        <v>1833</v>
      </c>
      <c r="G3567" t="s">
        <v>1833</v>
      </c>
      <c r="H3567" s="10">
        <v>901364</v>
      </c>
      <c r="I3567" t="str">
        <f>IFERROR(VLOOKUP(Final!F3567,'LEAID Match'!$A$2:$B$374,2,FALSE),"")</f>
        <v/>
      </c>
      <c r="K3567" s="10">
        <f t="shared" si="55"/>
        <v>901364</v>
      </c>
    </row>
    <row r="3568" spans="1:11">
      <c r="A3568" t="s">
        <v>2470</v>
      </c>
      <c r="B3568" s="10">
        <v>2015</v>
      </c>
      <c r="C3568" t="s">
        <v>1243</v>
      </c>
      <c r="D3568" t="s">
        <v>2472</v>
      </c>
      <c r="E3568" t="s">
        <v>2474</v>
      </c>
      <c r="F3568" t="s">
        <v>1908</v>
      </c>
      <c r="G3568" t="s">
        <v>1189</v>
      </c>
      <c r="H3568" s="10">
        <v>1190497</v>
      </c>
      <c r="I3568" t="str">
        <f>IFERROR(VLOOKUP(Final!F3568,'LEAID Match'!$A$2:$B$374,2,FALSE),"")</f>
        <v/>
      </c>
      <c r="K3568" s="10">
        <f t="shared" si="55"/>
        <v>1190497</v>
      </c>
    </row>
    <row r="3569" spans="1:11">
      <c r="A3569" t="s">
        <v>2470</v>
      </c>
      <c r="B3569" s="10">
        <v>2016</v>
      </c>
      <c r="C3569" t="s">
        <v>1243</v>
      </c>
      <c r="D3569" t="s">
        <v>2472</v>
      </c>
      <c r="E3569" t="s">
        <v>2474</v>
      </c>
      <c r="F3569" t="s">
        <v>1908</v>
      </c>
      <c r="G3569" t="s">
        <v>1189</v>
      </c>
      <c r="H3569" s="10">
        <v>1281699</v>
      </c>
      <c r="I3569" t="str">
        <f>IFERROR(VLOOKUP(Final!F3569,'LEAID Match'!$A$2:$B$374,2,FALSE),"")</f>
        <v/>
      </c>
      <c r="K3569" s="10">
        <f t="shared" si="55"/>
        <v>1281699</v>
      </c>
    </row>
    <row r="3570" spans="1:11">
      <c r="A3570" t="s">
        <v>2470</v>
      </c>
      <c r="B3570" s="10">
        <v>2017</v>
      </c>
      <c r="C3570" t="s">
        <v>1243</v>
      </c>
      <c r="D3570" t="s">
        <v>2472</v>
      </c>
      <c r="E3570" t="s">
        <v>2474</v>
      </c>
      <c r="F3570" t="s">
        <v>1908</v>
      </c>
      <c r="G3570" t="s">
        <v>1908</v>
      </c>
      <c r="H3570" s="10">
        <v>1422375</v>
      </c>
      <c r="I3570" t="str">
        <f>IFERROR(VLOOKUP(Final!F3570,'LEAID Match'!$A$2:$B$374,2,FALSE),"")</f>
        <v/>
      </c>
      <c r="K3570" s="10">
        <f t="shared" si="55"/>
        <v>1422375</v>
      </c>
    </row>
    <row r="3571" spans="1:11">
      <c r="A3571" t="s">
        <v>2470</v>
      </c>
      <c r="B3571" s="10">
        <v>2018</v>
      </c>
      <c r="C3571" t="s">
        <v>1243</v>
      </c>
      <c r="D3571" t="s">
        <v>2472</v>
      </c>
      <c r="E3571" t="s">
        <v>2474</v>
      </c>
      <c r="F3571" t="s">
        <v>1908</v>
      </c>
      <c r="G3571" t="s">
        <v>1908</v>
      </c>
      <c r="H3571" s="10">
        <v>1542460</v>
      </c>
      <c r="I3571" t="str">
        <f>IFERROR(VLOOKUP(Final!F3571,'LEAID Match'!$A$2:$B$374,2,FALSE),"")</f>
        <v/>
      </c>
      <c r="K3571" s="10">
        <f t="shared" si="55"/>
        <v>1542460</v>
      </c>
    </row>
    <row r="3572" spans="1:11">
      <c r="A3572" t="s">
        <v>2470</v>
      </c>
      <c r="B3572" s="10">
        <v>2019</v>
      </c>
      <c r="C3572" t="s">
        <v>1243</v>
      </c>
      <c r="D3572" t="s">
        <v>2472</v>
      </c>
      <c r="E3572" t="s">
        <v>2474</v>
      </c>
      <c r="F3572" t="s">
        <v>1908</v>
      </c>
      <c r="G3572" t="s">
        <v>1908</v>
      </c>
      <c r="H3572" s="10">
        <v>1765871</v>
      </c>
      <c r="I3572" t="str">
        <f>IFERROR(VLOOKUP(Final!F3572,'LEAID Match'!$A$2:$B$374,2,FALSE),"")</f>
        <v/>
      </c>
      <c r="K3572" s="10">
        <f t="shared" si="55"/>
        <v>1765871</v>
      </c>
    </row>
    <row r="3573" spans="1:11">
      <c r="A3573" t="s">
        <v>2470</v>
      </c>
      <c r="B3573" s="10">
        <v>2020</v>
      </c>
      <c r="C3573" t="s">
        <v>1243</v>
      </c>
      <c r="D3573" t="s">
        <v>2472</v>
      </c>
      <c r="E3573" t="s">
        <v>2474</v>
      </c>
      <c r="F3573" t="s">
        <v>1908</v>
      </c>
      <c r="G3573" t="s">
        <v>1908</v>
      </c>
      <c r="H3573" s="10">
        <v>2027203</v>
      </c>
      <c r="I3573" t="str">
        <f>IFERROR(VLOOKUP(Final!F3573,'LEAID Match'!$A$2:$B$374,2,FALSE),"")</f>
        <v/>
      </c>
      <c r="K3573" s="10">
        <f t="shared" si="55"/>
        <v>2027203</v>
      </c>
    </row>
    <row r="3574" spans="1:11">
      <c r="A3574" t="s">
        <v>2470</v>
      </c>
      <c r="B3574" s="10">
        <v>2021</v>
      </c>
      <c r="C3574" t="s">
        <v>1243</v>
      </c>
      <c r="D3574" t="s">
        <v>2472</v>
      </c>
      <c r="E3574" t="s">
        <v>2474</v>
      </c>
      <c r="F3574" t="s">
        <v>1908</v>
      </c>
      <c r="G3574" t="s">
        <v>1908</v>
      </c>
      <c r="H3574" s="10">
        <v>2213799</v>
      </c>
      <c r="I3574" t="str">
        <f>IFERROR(VLOOKUP(Final!F3574,'LEAID Match'!$A$2:$B$374,2,FALSE),"")</f>
        <v/>
      </c>
      <c r="K3574" s="10">
        <f t="shared" si="55"/>
        <v>2213799</v>
      </c>
    </row>
    <row r="3575" spans="1:11">
      <c r="A3575" t="s">
        <v>2470</v>
      </c>
      <c r="B3575" s="10">
        <v>2022</v>
      </c>
      <c r="C3575" t="s">
        <v>1243</v>
      </c>
      <c r="D3575" t="s">
        <v>2472</v>
      </c>
      <c r="E3575" t="s">
        <v>2474</v>
      </c>
      <c r="F3575" t="s">
        <v>1908</v>
      </c>
      <c r="G3575" t="s">
        <v>1908</v>
      </c>
      <c r="H3575" s="10">
        <v>2584310</v>
      </c>
      <c r="I3575" t="str">
        <f>IFERROR(VLOOKUP(Final!F3575,'LEAID Match'!$A$2:$B$374,2,FALSE),"")</f>
        <v/>
      </c>
      <c r="K3575" s="10">
        <f t="shared" si="55"/>
        <v>2584310</v>
      </c>
    </row>
    <row r="3576" spans="1:11">
      <c r="A3576" t="s">
        <v>2470</v>
      </c>
      <c r="B3576" s="10">
        <v>2023</v>
      </c>
      <c r="C3576" t="s">
        <v>1243</v>
      </c>
      <c r="D3576" t="s">
        <v>2472</v>
      </c>
      <c r="E3576" t="s">
        <v>2474</v>
      </c>
      <c r="F3576" t="s">
        <v>1908</v>
      </c>
      <c r="G3576" t="s">
        <v>1908</v>
      </c>
      <c r="H3576" s="10">
        <v>3083768</v>
      </c>
      <c r="I3576" t="str">
        <f>IFERROR(VLOOKUP(Final!F3576,'LEAID Match'!$A$2:$B$374,2,FALSE),"")</f>
        <v/>
      </c>
      <c r="K3576" s="10">
        <f t="shared" si="55"/>
        <v>3083768</v>
      </c>
    </row>
    <row r="3577" spans="1:11">
      <c r="A3577" t="s">
        <v>2470</v>
      </c>
      <c r="B3577" s="10">
        <v>2015</v>
      </c>
      <c r="C3577" t="s">
        <v>1237</v>
      </c>
      <c r="D3577" t="s">
        <v>2472</v>
      </c>
      <c r="E3577" t="s">
        <v>2474</v>
      </c>
      <c r="F3577" t="s">
        <v>1856</v>
      </c>
      <c r="G3577" t="s">
        <v>1183</v>
      </c>
      <c r="H3577" s="10">
        <v>405322</v>
      </c>
      <c r="I3577" t="str">
        <f>IFERROR(VLOOKUP(Final!F3577,'LEAID Match'!$A$2:$B$374,2,FALSE),"")</f>
        <v/>
      </c>
      <c r="K3577" s="10">
        <f t="shared" si="55"/>
        <v>405322</v>
      </c>
    </row>
    <row r="3578" spans="1:11">
      <c r="A3578" t="s">
        <v>2470</v>
      </c>
      <c r="B3578" s="10">
        <v>2016</v>
      </c>
      <c r="C3578" t="s">
        <v>1237</v>
      </c>
      <c r="D3578" t="s">
        <v>2472</v>
      </c>
      <c r="E3578" t="s">
        <v>2474</v>
      </c>
      <c r="F3578" t="s">
        <v>1856</v>
      </c>
      <c r="G3578" t="s">
        <v>1183</v>
      </c>
      <c r="H3578" s="10">
        <v>426367</v>
      </c>
      <c r="I3578" t="str">
        <f>IFERROR(VLOOKUP(Final!F3578,'LEAID Match'!$A$2:$B$374,2,FALSE),"")</f>
        <v/>
      </c>
      <c r="K3578" s="10">
        <f t="shared" si="55"/>
        <v>426367</v>
      </c>
    </row>
    <row r="3579" spans="1:11">
      <c r="A3579" t="s">
        <v>2470</v>
      </c>
      <c r="B3579" s="10">
        <v>2017</v>
      </c>
      <c r="C3579" t="s">
        <v>1237</v>
      </c>
      <c r="D3579" t="s">
        <v>2472</v>
      </c>
      <c r="E3579" t="s">
        <v>2474</v>
      </c>
      <c r="F3579" t="s">
        <v>1856</v>
      </c>
      <c r="G3579" t="s">
        <v>1856</v>
      </c>
      <c r="H3579" s="10">
        <v>436345</v>
      </c>
      <c r="I3579" t="str">
        <f>IFERROR(VLOOKUP(Final!F3579,'LEAID Match'!$A$2:$B$374,2,FALSE),"")</f>
        <v/>
      </c>
      <c r="K3579" s="10">
        <f t="shared" si="55"/>
        <v>436345</v>
      </c>
    </row>
    <row r="3580" spans="1:11">
      <c r="A3580" t="s">
        <v>2470</v>
      </c>
      <c r="B3580" s="10">
        <v>2018</v>
      </c>
      <c r="C3580" t="s">
        <v>1237</v>
      </c>
      <c r="D3580" t="s">
        <v>2472</v>
      </c>
      <c r="E3580" t="s">
        <v>2474</v>
      </c>
      <c r="F3580" t="s">
        <v>1856</v>
      </c>
      <c r="G3580" t="s">
        <v>1856</v>
      </c>
      <c r="H3580" s="10">
        <v>507658</v>
      </c>
      <c r="I3580" t="str">
        <f>IFERROR(VLOOKUP(Final!F3580,'LEAID Match'!$A$2:$B$374,2,FALSE),"")</f>
        <v/>
      </c>
      <c r="K3580" s="10">
        <f t="shared" si="55"/>
        <v>507658</v>
      </c>
    </row>
    <row r="3581" spans="1:11">
      <c r="A3581" t="s">
        <v>2470</v>
      </c>
      <c r="B3581" s="10">
        <v>2019</v>
      </c>
      <c r="C3581" t="s">
        <v>1237</v>
      </c>
      <c r="D3581" t="s">
        <v>2472</v>
      </c>
      <c r="E3581" t="s">
        <v>2474</v>
      </c>
      <c r="F3581" t="s">
        <v>1856</v>
      </c>
      <c r="G3581" t="s">
        <v>1856</v>
      </c>
      <c r="H3581" s="10">
        <v>546098</v>
      </c>
      <c r="I3581" t="str">
        <f>IFERROR(VLOOKUP(Final!F3581,'LEAID Match'!$A$2:$B$374,2,FALSE),"")</f>
        <v/>
      </c>
      <c r="K3581" s="10">
        <f t="shared" si="55"/>
        <v>546098</v>
      </c>
    </row>
    <row r="3582" spans="1:11">
      <c r="A3582" t="s">
        <v>2470</v>
      </c>
      <c r="B3582" s="10">
        <v>2020</v>
      </c>
      <c r="C3582" t="s">
        <v>1237</v>
      </c>
      <c r="D3582" t="s">
        <v>2472</v>
      </c>
      <c r="E3582" t="s">
        <v>2474</v>
      </c>
      <c r="F3582" t="s">
        <v>1856</v>
      </c>
      <c r="G3582" t="s">
        <v>1856</v>
      </c>
      <c r="H3582" s="10">
        <v>656295</v>
      </c>
      <c r="I3582" t="str">
        <f>IFERROR(VLOOKUP(Final!F3582,'LEAID Match'!$A$2:$B$374,2,FALSE),"")</f>
        <v/>
      </c>
      <c r="K3582" s="10">
        <f t="shared" si="55"/>
        <v>656295</v>
      </c>
    </row>
    <row r="3583" spans="1:11">
      <c r="A3583" t="s">
        <v>2470</v>
      </c>
      <c r="B3583" s="10">
        <v>2021</v>
      </c>
      <c r="C3583" t="s">
        <v>1237</v>
      </c>
      <c r="D3583" t="s">
        <v>2472</v>
      </c>
      <c r="E3583" t="s">
        <v>2474</v>
      </c>
      <c r="F3583" t="s">
        <v>1856</v>
      </c>
      <c r="G3583" t="s">
        <v>1856</v>
      </c>
      <c r="H3583" s="10">
        <v>640298</v>
      </c>
      <c r="I3583" t="str">
        <f>IFERROR(VLOOKUP(Final!F3583,'LEAID Match'!$A$2:$B$374,2,FALSE),"")</f>
        <v/>
      </c>
      <c r="K3583" s="10">
        <f t="shared" si="55"/>
        <v>640298</v>
      </c>
    </row>
    <row r="3584" spans="1:11">
      <c r="A3584" t="s">
        <v>2470</v>
      </c>
      <c r="B3584" s="10">
        <v>2022</v>
      </c>
      <c r="C3584" t="s">
        <v>1237</v>
      </c>
      <c r="D3584" t="s">
        <v>2472</v>
      </c>
      <c r="E3584" t="s">
        <v>2474</v>
      </c>
      <c r="F3584" t="s">
        <v>1856</v>
      </c>
      <c r="G3584" t="s">
        <v>1856</v>
      </c>
      <c r="H3584" s="10">
        <v>675619</v>
      </c>
      <c r="I3584" t="str">
        <f>IFERROR(VLOOKUP(Final!F3584,'LEAID Match'!$A$2:$B$374,2,FALSE),"")</f>
        <v/>
      </c>
      <c r="K3584" s="10">
        <f t="shared" si="55"/>
        <v>675619</v>
      </c>
    </row>
    <row r="3585" spans="1:11">
      <c r="A3585" t="s">
        <v>2470</v>
      </c>
      <c r="B3585" s="10">
        <v>2023</v>
      </c>
      <c r="C3585" t="s">
        <v>1237</v>
      </c>
      <c r="D3585" t="s">
        <v>2472</v>
      </c>
      <c r="E3585" t="s">
        <v>2474</v>
      </c>
      <c r="F3585" t="s">
        <v>1856</v>
      </c>
      <c r="G3585" t="s">
        <v>1856</v>
      </c>
      <c r="H3585" s="10">
        <v>742081</v>
      </c>
      <c r="I3585" t="str">
        <f>IFERROR(VLOOKUP(Final!F3585,'LEAID Match'!$A$2:$B$374,2,FALSE),"")</f>
        <v/>
      </c>
      <c r="K3585" s="10">
        <f t="shared" si="55"/>
        <v>742081</v>
      </c>
    </row>
    <row r="3586" spans="1:11">
      <c r="A3586" t="s">
        <v>2470</v>
      </c>
      <c r="B3586" s="10">
        <v>2015</v>
      </c>
      <c r="C3586" t="s">
        <v>1238</v>
      </c>
      <c r="D3586" t="s">
        <v>2472</v>
      </c>
      <c r="E3586" t="s">
        <v>2474</v>
      </c>
      <c r="F3586" t="s">
        <v>1860</v>
      </c>
      <c r="G3586" t="s">
        <v>1184</v>
      </c>
      <c r="H3586" s="10">
        <v>112188</v>
      </c>
      <c r="I3586" t="str">
        <f>IFERROR(VLOOKUP(Final!F3586,'LEAID Match'!$A$2:$B$374,2,FALSE),"")</f>
        <v/>
      </c>
      <c r="K3586" s="10">
        <f t="shared" si="55"/>
        <v>112188</v>
      </c>
    </row>
    <row r="3587" spans="1:11">
      <c r="A3587" t="s">
        <v>2470</v>
      </c>
      <c r="B3587" s="10">
        <v>2016</v>
      </c>
      <c r="C3587" t="s">
        <v>1238</v>
      </c>
      <c r="D3587" t="s">
        <v>2472</v>
      </c>
      <c r="E3587" t="s">
        <v>2474</v>
      </c>
      <c r="F3587" t="s">
        <v>1860</v>
      </c>
      <c r="G3587" t="s">
        <v>1184</v>
      </c>
      <c r="H3587" s="10">
        <v>114504</v>
      </c>
      <c r="I3587" t="str">
        <f>IFERROR(VLOOKUP(Final!F3587,'LEAID Match'!$A$2:$B$374,2,FALSE),"")</f>
        <v/>
      </c>
      <c r="K3587" s="10">
        <f t="shared" ref="K3587:K3650" si="56">SUM(H3587,J3587)</f>
        <v>114504</v>
      </c>
    </row>
    <row r="3588" spans="1:11">
      <c r="A3588" t="s">
        <v>2470</v>
      </c>
      <c r="B3588" s="10">
        <v>2017</v>
      </c>
      <c r="C3588" t="s">
        <v>1238</v>
      </c>
      <c r="D3588" t="s">
        <v>2472</v>
      </c>
      <c r="E3588" t="s">
        <v>2474</v>
      </c>
      <c r="F3588" t="s">
        <v>1860</v>
      </c>
      <c r="G3588" t="s">
        <v>1860</v>
      </c>
      <c r="H3588" s="10">
        <v>125869</v>
      </c>
      <c r="I3588" t="str">
        <f>IFERROR(VLOOKUP(Final!F3588,'LEAID Match'!$A$2:$B$374,2,FALSE),"")</f>
        <v/>
      </c>
      <c r="K3588" s="10">
        <f t="shared" si="56"/>
        <v>125869</v>
      </c>
    </row>
    <row r="3589" spans="1:11">
      <c r="A3589" t="s">
        <v>2470</v>
      </c>
      <c r="B3589" s="10">
        <v>2018</v>
      </c>
      <c r="C3589" t="s">
        <v>1238</v>
      </c>
      <c r="D3589" t="s">
        <v>2472</v>
      </c>
      <c r="E3589" t="s">
        <v>2474</v>
      </c>
      <c r="F3589" t="s">
        <v>1860</v>
      </c>
      <c r="G3589" t="s">
        <v>1860</v>
      </c>
      <c r="H3589" s="10">
        <v>144684</v>
      </c>
      <c r="I3589" t="str">
        <f>IFERROR(VLOOKUP(Final!F3589,'LEAID Match'!$A$2:$B$374,2,FALSE),"")</f>
        <v/>
      </c>
      <c r="K3589" s="10">
        <f t="shared" si="56"/>
        <v>144684</v>
      </c>
    </row>
    <row r="3590" spans="1:11">
      <c r="A3590" t="s">
        <v>2470</v>
      </c>
      <c r="B3590" s="10">
        <v>2019</v>
      </c>
      <c r="C3590" t="s">
        <v>1238</v>
      </c>
      <c r="D3590" t="s">
        <v>2472</v>
      </c>
      <c r="E3590" t="s">
        <v>2474</v>
      </c>
      <c r="F3590" t="s">
        <v>1860</v>
      </c>
      <c r="G3590" t="s">
        <v>1860</v>
      </c>
      <c r="H3590" s="10">
        <v>161437</v>
      </c>
      <c r="I3590" t="str">
        <f>IFERROR(VLOOKUP(Final!F3590,'LEAID Match'!$A$2:$B$374,2,FALSE),"")</f>
        <v/>
      </c>
      <c r="K3590" s="10">
        <f t="shared" si="56"/>
        <v>161437</v>
      </c>
    </row>
    <row r="3591" spans="1:11">
      <c r="A3591" t="s">
        <v>2470</v>
      </c>
      <c r="B3591" s="10">
        <v>2020</v>
      </c>
      <c r="C3591" t="s">
        <v>1238</v>
      </c>
      <c r="D3591" t="s">
        <v>2472</v>
      </c>
      <c r="E3591" t="s">
        <v>2474</v>
      </c>
      <c r="F3591" t="s">
        <v>1860</v>
      </c>
      <c r="G3591" t="s">
        <v>1860</v>
      </c>
      <c r="H3591" s="10">
        <v>184160</v>
      </c>
      <c r="I3591" t="str">
        <f>IFERROR(VLOOKUP(Final!F3591,'LEAID Match'!$A$2:$B$374,2,FALSE),"")</f>
        <v/>
      </c>
      <c r="K3591" s="10">
        <f t="shared" si="56"/>
        <v>184160</v>
      </c>
    </row>
    <row r="3592" spans="1:11">
      <c r="A3592" t="s">
        <v>2470</v>
      </c>
      <c r="B3592" s="10">
        <v>2021</v>
      </c>
      <c r="C3592" t="s">
        <v>1238</v>
      </c>
      <c r="D3592" t="s">
        <v>2472</v>
      </c>
      <c r="E3592" t="s">
        <v>2474</v>
      </c>
      <c r="F3592" t="s">
        <v>1860</v>
      </c>
      <c r="G3592" t="s">
        <v>1860</v>
      </c>
      <c r="H3592" s="10">
        <v>189407</v>
      </c>
      <c r="I3592" t="str">
        <f>IFERROR(VLOOKUP(Final!F3592,'LEAID Match'!$A$2:$B$374,2,FALSE),"")</f>
        <v/>
      </c>
      <c r="K3592" s="10">
        <f t="shared" si="56"/>
        <v>189407</v>
      </c>
    </row>
    <row r="3593" spans="1:11">
      <c r="A3593" t="s">
        <v>2470</v>
      </c>
      <c r="B3593" s="10">
        <v>2022</v>
      </c>
      <c r="C3593" t="s">
        <v>1238</v>
      </c>
      <c r="D3593" t="s">
        <v>2472</v>
      </c>
      <c r="E3593" t="s">
        <v>2474</v>
      </c>
      <c r="F3593" t="s">
        <v>1860</v>
      </c>
      <c r="G3593" t="s">
        <v>1860</v>
      </c>
      <c r="H3593" s="10">
        <v>194320</v>
      </c>
      <c r="I3593" t="str">
        <f>IFERROR(VLOOKUP(Final!F3593,'LEAID Match'!$A$2:$B$374,2,FALSE),"")</f>
        <v/>
      </c>
      <c r="K3593" s="10">
        <f t="shared" si="56"/>
        <v>194320</v>
      </c>
    </row>
    <row r="3594" spans="1:11">
      <c r="A3594" t="s">
        <v>2470</v>
      </c>
      <c r="B3594" s="10">
        <v>2023</v>
      </c>
      <c r="C3594" t="s">
        <v>1238</v>
      </c>
      <c r="D3594" t="s">
        <v>2472</v>
      </c>
      <c r="E3594" t="s">
        <v>2474</v>
      </c>
      <c r="F3594" t="s">
        <v>1860</v>
      </c>
      <c r="G3594" t="s">
        <v>1860</v>
      </c>
      <c r="H3594" s="10">
        <v>221209</v>
      </c>
      <c r="I3594" t="str">
        <f>IFERROR(VLOOKUP(Final!F3594,'LEAID Match'!$A$2:$B$374,2,FALSE),"")</f>
        <v/>
      </c>
      <c r="K3594" s="10">
        <f t="shared" si="56"/>
        <v>221209</v>
      </c>
    </row>
    <row r="3595" spans="1:11">
      <c r="A3595" t="s">
        <v>2470</v>
      </c>
      <c r="B3595" s="10">
        <v>2015</v>
      </c>
      <c r="C3595" t="s">
        <v>1239</v>
      </c>
      <c r="D3595" t="s">
        <v>2472</v>
      </c>
      <c r="E3595" t="s">
        <v>2474</v>
      </c>
      <c r="F3595" t="s">
        <v>1863</v>
      </c>
      <c r="G3595" t="s">
        <v>1185</v>
      </c>
      <c r="H3595" s="10">
        <v>28359</v>
      </c>
      <c r="I3595" t="str">
        <f>IFERROR(VLOOKUP(Final!F3595,'LEAID Match'!$A$2:$B$374,2,FALSE),"")</f>
        <v/>
      </c>
      <c r="K3595" s="10">
        <f t="shared" si="56"/>
        <v>28359</v>
      </c>
    </row>
    <row r="3596" spans="1:11">
      <c r="A3596" t="s">
        <v>2470</v>
      </c>
      <c r="B3596" s="10">
        <v>2016</v>
      </c>
      <c r="C3596" t="s">
        <v>1239</v>
      </c>
      <c r="D3596" t="s">
        <v>2472</v>
      </c>
      <c r="E3596" t="s">
        <v>2474</v>
      </c>
      <c r="F3596" t="s">
        <v>1863</v>
      </c>
      <c r="G3596" t="s">
        <v>1185</v>
      </c>
      <c r="H3596" s="10">
        <v>32814</v>
      </c>
      <c r="I3596" t="str">
        <f>IFERROR(VLOOKUP(Final!F3596,'LEAID Match'!$A$2:$B$374,2,FALSE),"")</f>
        <v/>
      </c>
      <c r="K3596" s="10">
        <f t="shared" si="56"/>
        <v>32814</v>
      </c>
    </row>
    <row r="3597" spans="1:11">
      <c r="A3597" t="s">
        <v>2470</v>
      </c>
      <c r="B3597" s="10">
        <v>2017</v>
      </c>
      <c r="C3597" t="s">
        <v>1239</v>
      </c>
      <c r="D3597" t="s">
        <v>2472</v>
      </c>
      <c r="E3597" t="s">
        <v>2474</v>
      </c>
      <c r="F3597" t="s">
        <v>1863</v>
      </c>
      <c r="G3597" t="s">
        <v>1863</v>
      </c>
      <c r="H3597" s="10">
        <v>33896</v>
      </c>
      <c r="I3597" t="str">
        <f>IFERROR(VLOOKUP(Final!F3597,'LEAID Match'!$A$2:$B$374,2,FALSE),"")</f>
        <v/>
      </c>
      <c r="K3597" s="10">
        <f t="shared" si="56"/>
        <v>33896</v>
      </c>
    </row>
    <row r="3598" spans="1:11">
      <c r="A3598" t="s">
        <v>2470</v>
      </c>
      <c r="B3598" s="10">
        <v>2018</v>
      </c>
      <c r="C3598" t="s">
        <v>1239</v>
      </c>
      <c r="D3598" t="s">
        <v>2472</v>
      </c>
      <c r="E3598" t="s">
        <v>2474</v>
      </c>
      <c r="F3598" t="s">
        <v>1863</v>
      </c>
      <c r="G3598" t="s">
        <v>1863</v>
      </c>
      <c r="H3598" s="10">
        <v>35148</v>
      </c>
      <c r="I3598" t="str">
        <f>IFERROR(VLOOKUP(Final!F3598,'LEAID Match'!$A$2:$B$374,2,FALSE),"")</f>
        <v/>
      </c>
      <c r="K3598" s="10">
        <f t="shared" si="56"/>
        <v>35148</v>
      </c>
    </row>
    <row r="3599" spans="1:11">
      <c r="A3599" t="s">
        <v>2470</v>
      </c>
      <c r="B3599" s="10">
        <v>2019</v>
      </c>
      <c r="C3599" t="s">
        <v>1239</v>
      </c>
      <c r="D3599" t="s">
        <v>2472</v>
      </c>
      <c r="E3599" t="s">
        <v>2474</v>
      </c>
      <c r="F3599" t="s">
        <v>1863</v>
      </c>
      <c r="G3599" t="s">
        <v>1863</v>
      </c>
      <c r="H3599" s="10">
        <v>36753</v>
      </c>
      <c r="I3599" t="str">
        <f>IFERROR(VLOOKUP(Final!F3599,'LEAID Match'!$A$2:$B$374,2,FALSE),"")</f>
        <v/>
      </c>
      <c r="K3599" s="10">
        <f t="shared" si="56"/>
        <v>36753</v>
      </c>
    </row>
    <row r="3600" spans="1:11">
      <c r="A3600" t="s">
        <v>2470</v>
      </c>
      <c r="B3600" s="10">
        <v>2020</v>
      </c>
      <c r="C3600" t="s">
        <v>1239</v>
      </c>
      <c r="D3600" t="s">
        <v>2472</v>
      </c>
      <c r="E3600" t="s">
        <v>2474</v>
      </c>
      <c r="F3600" t="s">
        <v>1863</v>
      </c>
      <c r="G3600" t="s">
        <v>1863</v>
      </c>
      <c r="H3600" s="10">
        <v>40016</v>
      </c>
      <c r="I3600" t="str">
        <f>IFERROR(VLOOKUP(Final!F3600,'LEAID Match'!$A$2:$B$374,2,FALSE),"")</f>
        <v/>
      </c>
      <c r="K3600" s="10">
        <f t="shared" si="56"/>
        <v>40016</v>
      </c>
    </row>
    <row r="3601" spans="1:11">
      <c r="A3601" t="s">
        <v>2470</v>
      </c>
      <c r="B3601" s="10">
        <v>2021</v>
      </c>
      <c r="C3601" t="s">
        <v>1239</v>
      </c>
      <c r="D3601" t="s">
        <v>2472</v>
      </c>
      <c r="E3601" t="s">
        <v>2474</v>
      </c>
      <c r="F3601" t="s">
        <v>1863</v>
      </c>
      <c r="G3601" t="s">
        <v>1863</v>
      </c>
      <c r="H3601" s="10">
        <v>46074</v>
      </c>
      <c r="I3601" t="str">
        <f>IFERROR(VLOOKUP(Final!F3601,'LEAID Match'!$A$2:$B$374,2,FALSE),"")</f>
        <v/>
      </c>
      <c r="K3601" s="10">
        <f t="shared" si="56"/>
        <v>46074</v>
      </c>
    </row>
    <row r="3602" spans="1:11">
      <c r="A3602" t="s">
        <v>2470</v>
      </c>
      <c r="B3602" s="10">
        <v>2022</v>
      </c>
      <c r="C3602" t="s">
        <v>1239</v>
      </c>
      <c r="D3602" t="s">
        <v>2472</v>
      </c>
      <c r="E3602" t="s">
        <v>2474</v>
      </c>
      <c r="F3602" t="s">
        <v>1863</v>
      </c>
      <c r="G3602" t="s">
        <v>1863</v>
      </c>
      <c r="H3602" s="10">
        <v>44888</v>
      </c>
      <c r="I3602" t="str">
        <f>IFERROR(VLOOKUP(Final!F3602,'LEAID Match'!$A$2:$B$374,2,FALSE),"")</f>
        <v/>
      </c>
      <c r="K3602" s="10">
        <f t="shared" si="56"/>
        <v>44888</v>
      </c>
    </row>
    <row r="3603" spans="1:11">
      <c r="A3603" t="s">
        <v>2470</v>
      </c>
      <c r="B3603" s="10">
        <v>2023</v>
      </c>
      <c r="C3603" t="s">
        <v>1239</v>
      </c>
      <c r="D3603" t="s">
        <v>2472</v>
      </c>
      <c r="E3603" t="s">
        <v>2474</v>
      </c>
      <c r="F3603" t="s">
        <v>1863</v>
      </c>
      <c r="G3603" t="s">
        <v>1863</v>
      </c>
      <c r="H3603" s="10">
        <v>48654</v>
      </c>
      <c r="I3603" t="str">
        <f>IFERROR(VLOOKUP(Final!F3603,'LEAID Match'!$A$2:$B$374,2,FALSE),"")</f>
        <v/>
      </c>
      <c r="K3603" s="10">
        <f t="shared" si="56"/>
        <v>48654</v>
      </c>
    </row>
    <row r="3604" spans="1:11">
      <c r="A3604" t="s">
        <v>2470</v>
      </c>
      <c r="B3604" s="10">
        <v>2015</v>
      </c>
      <c r="C3604" t="s">
        <v>448</v>
      </c>
      <c r="D3604" t="s">
        <v>2472</v>
      </c>
      <c r="E3604" t="s">
        <v>2474</v>
      </c>
      <c r="F3604" t="s">
        <v>1871</v>
      </c>
      <c r="G3604" t="s">
        <v>393</v>
      </c>
      <c r="H3604" s="10">
        <v>5282670</v>
      </c>
      <c r="I3604" t="str">
        <f>IFERROR(VLOOKUP(Final!F3604,'LEAID Match'!$A$2:$B$374,2,FALSE),"")</f>
        <v/>
      </c>
      <c r="K3604" s="10">
        <f t="shared" si="56"/>
        <v>5282670</v>
      </c>
    </row>
    <row r="3605" spans="1:11">
      <c r="A3605" t="s">
        <v>2470</v>
      </c>
      <c r="B3605" s="10">
        <v>2016</v>
      </c>
      <c r="C3605" t="s">
        <v>448</v>
      </c>
      <c r="D3605" t="s">
        <v>2472</v>
      </c>
      <c r="E3605" t="s">
        <v>2474</v>
      </c>
      <c r="F3605" t="s">
        <v>1871</v>
      </c>
      <c r="G3605" t="s">
        <v>393</v>
      </c>
      <c r="H3605" s="10">
        <v>5510965</v>
      </c>
      <c r="I3605" t="str">
        <f>IFERROR(VLOOKUP(Final!F3605,'LEAID Match'!$A$2:$B$374,2,FALSE),"")</f>
        <v/>
      </c>
      <c r="K3605" s="10">
        <f t="shared" si="56"/>
        <v>5510965</v>
      </c>
    </row>
    <row r="3606" spans="1:11">
      <c r="A3606" t="s">
        <v>2470</v>
      </c>
      <c r="B3606" s="10">
        <v>2017</v>
      </c>
      <c r="C3606" t="s">
        <v>448</v>
      </c>
      <c r="D3606" t="s">
        <v>2472</v>
      </c>
      <c r="E3606" t="s">
        <v>2474</v>
      </c>
      <c r="F3606" t="s">
        <v>1871</v>
      </c>
      <c r="G3606" t="s">
        <v>1871</v>
      </c>
      <c r="H3606" s="10">
        <v>6008703</v>
      </c>
      <c r="I3606" t="str">
        <f>IFERROR(VLOOKUP(Final!F3606,'LEAID Match'!$A$2:$B$374,2,FALSE),"")</f>
        <v/>
      </c>
      <c r="K3606" s="10">
        <f t="shared" si="56"/>
        <v>6008703</v>
      </c>
    </row>
    <row r="3607" spans="1:11">
      <c r="A3607" t="s">
        <v>2470</v>
      </c>
      <c r="B3607" s="10">
        <v>2018</v>
      </c>
      <c r="C3607" t="s">
        <v>448</v>
      </c>
      <c r="D3607" t="s">
        <v>2472</v>
      </c>
      <c r="E3607" t="s">
        <v>2474</v>
      </c>
      <c r="F3607" t="s">
        <v>1871</v>
      </c>
      <c r="G3607" t="s">
        <v>1871</v>
      </c>
      <c r="H3607" s="10">
        <v>5918233</v>
      </c>
      <c r="I3607" t="str">
        <f>IFERROR(VLOOKUP(Final!F3607,'LEAID Match'!$A$2:$B$374,2,FALSE),"")</f>
        <v/>
      </c>
      <c r="K3607" s="10">
        <f t="shared" si="56"/>
        <v>5918233</v>
      </c>
    </row>
    <row r="3608" spans="1:11">
      <c r="A3608" t="s">
        <v>2470</v>
      </c>
      <c r="B3608" s="10">
        <v>2019</v>
      </c>
      <c r="C3608" t="s">
        <v>448</v>
      </c>
      <c r="D3608" t="s">
        <v>2472</v>
      </c>
      <c r="E3608" t="s">
        <v>2474</v>
      </c>
      <c r="F3608" t="s">
        <v>1871</v>
      </c>
      <c r="G3608" t="s">
        <v>1871</v>
      </c>
      <c r="H3608" s="10">
        <v>6277227</v>
      </c>
      <c r="I3608" t="str">
        <f>IFERROR(VLOOKUP(Final!F3608,'LEAID Match'!$A$2:$B$374,2,FALSE),"")</f>
        <v/>
      </c>
      <c r="K3608" s="10">
        <f t="shared" si="56"/>
        <v>6277227</v>
      </c>
    </row>
    <row r="3609" spans="1:11">
      <c r="A3609" t="s">
        <v>2470</v>
      </c>
      <c r="B3609" s="10">
        <v>2020</v>
      </c>
      <c r="C3609" t="s">
        <v>448</v>
      </c>
      <c r="D3609" t="s">
        <v>2472</v>
      </c>
      <c r="E3609" t="s">
        <v>2474</v>
      </c>
      <c r="F3609" t="s">
        <v>1871</v>
      </c>
      <c r="G3609" t="s">
        <v>1871</v>
      </c>
      <c r="H3609" s="10">
        <v>6548200</v>
      </c>
      <c r="I3609" t="str">
        <f>IFERROR(VLOOKUP(Final!F3609,'LEAID Match'!$A$2:$B$374,2,FALSE),"")</f>
        <v/>
      </c>
      <c r="K3609" s="10">
        <f t="shared" si="56"/>
        <v>6548200</v>
      </c>
    </row>
    <row r="3610" spans="1:11">
      <c r="A3610" t="s">
        <v>2470</v>
      </c>
      <c r="B3610" s="10">
        <v>2021</v>
      </c>
      <c r="C3610" t="s">
        <v>448</v>
      </c>
      <c r="D3610" t="s">
        <v>2472</v>
      </c>
      <c r="E3610" t="s">
        <v>2474</v>
      </c>
      <c r="F3610" t="s">
        <v>1871</v>
      </c>
      <c r="G3610" t="s">
        <v>1871</v>
      </c>
      <c r="H3610" s="10">
        <v>6716286</v>
      </c>
      <c r="I3610" t="str">
        <f>IFERROR(VLOOKUP(Final!F3610,'LEAID Match'!$A$2:$B$374,2,FALSE),"")</f>
        <v/>
      </c>
      <c r="K3610" s="10">
        <f t="shared" si="56"/>
        <v>6716286</v>
      </c>
    </row>
    <row r="3611" spans="1:11">
      <c r="A3611" t="s">
        <v>2470</v>
      </c>
      <c r="B3611" s="10">
        <v>2022</v>
      </c>
      <c r="C3611" t="s">
        <v>448</v>
      </c>
      <c r="D3611" t="s">
        <v>2472</v>
      </c>
      <c r="E3611" t="s">
        <v>2474</v>
      </c>
      <c r="F3611" t="s">
        <v>1871</v>
      </c>
      <c r="G3611" t="s">
        <v>1871</v>
      </c>
      <c r="H3611" s="10">
        <v>7351653</v>
      </c>
      <c r="I3611" t="str">
        <f>IFERROR(VLOOKUP(Final!F3611,'LEAID Match'!$A$2:$B$374,2,FALSE),"")</f>
        <v/>
      </c>
      <c r="K3611" s="10">
        <f t="shared" si="56"/>
        <v>7351653</v>
      </c>
    </row>
    <row r="3612" spans="1:11">
      <c r="A3612" t="s">
        <v>2470</v>
      </c>
      <c r="B3612" s="10">
        <v>2023</v>
      </c>
      <c r="C3612" t="s">
        <v>448</v>
      </c>
      <c r="D3612" t="s">
        <v>2472</v>
      </c>
      <c r="E3612" t="s">
        <v>2474</v>
      </c>
      <c r="F3612" t="s">
        <v>1871</v>
      </c>
      <c r="G3612" t="s">
        <v>1871</v>
      </c>
      <c r="H3612" s="10">
        <v>7844830</v>
      </c>
      <c r="I3612" t="str">
        <f>IFERROR(VLOOKUP(Final!F3612,'LEAID Match'!$A$2:$B$374,2,FALSE),"")</f>
        <v/>
      </c>
      <c r="K3612" s="10">
        <f t="shared" si="56"/>
        <v>7844830</v>
      </c>
    </row>
    <row r="3613" spans="1:11">
      <c r="A3613" t="s">
        <v>2470</v>
      </c>
      <c r="B3613" s="10">
        <v>2015</v>
      </c>
      <c r="C3613" t="s">
        <v>1241</v>
      </c>
      <c r="D3613" t="s">
        <v>2472</v>
      </c>
      <c r="E3613" t="s">
        <v>2474</v>
      </c>
      <c r="F3613" t="s">
        <v>1886</v>
      </c>
      <c r="G3613" t="s">
        <v>1187</v>
      </c>
      <c r="H3613" s="10">
        <v>20665</v>
      </c>
      <c r="I3613" t="str">
        <f>IFERROR(VLOOKUP(Final!F3613,'LEAID Match'!$A$2:$B$374,2,FALSE),"")</f>
        <v/>
      </c>
      <c r="K3613" s="10">
        <f t="shared" si="56"/>
        <v>20665</v>
      </c>
    </row>
    <row r="3614" spans="1:11">
      <c r="A3614" t="s">
        <v>2470</v>
      </c>
      <c r="B3614" s="10">
        <v>2016</v>
      </c>
      <c r="C3614" t="s">
        <v>1241</v>
      </c>
      <c r="D3614" t="s">
        <v>2472</v>
      </c>
      <c r="E3614" t="s">
        <v>2474</v>
      </c>
      <c r="F3614" t="s">
        <v>1886</v>
      </c>
      <c r="G3614" t="s">
        <v>1187</v>
      </c>
      <c r="H3614" s="10">
        <v>27137</v>
      </c>
      <c r="I3614" t="str">
        <f>IFERROR(VLOOKUP(Final!F3614,'LEAID Match'!$A$2:$B$374,2,FALSE),"")</f>
        <v/>
      </c>
      <c r="K3614" s="10">
        <f t="shared" si="56"/>
        <v>27137</v>
      </c>
    </row>
    <row r="3615" spans="1:11">
      <c r="A3615" t="s">
        <v>2470</v>
      </c>
      <c r="B3615" s="10">
        <v>2017</v>
      </c>
      <c r="C3615" t="s">
        <v>1241</v>
      </c>
      <c r="D3615" t="s">
        <v>2472</v>
      </c>
      <c r="E3615" t="s">
        <v>2474</v>
      </c>
      <c r="F3615" t="s">
        <v>1886</v>
      </c>
      <c r="G3615" t="s">
        <v>1886</v>
      </c>
      <c r="H3615" s="10">
        <v>32600</v>
      </c>
      <c r="I3615" t="str">
        <f>IFERROR(VLOOKUP(Final!F3615,'LEAID Match'!$A$2:$B$374,2,FALSE),"")</f>
        <v/>
      </c>
      <c r="K3615" s="10">
        <f t="shared" si="56"/>
        <v>32600</v>
      </c>
    </row>
    <row r="3616" spans="1:11">
      <c r="A3616" t="s">
        <v>2470</v>
      </c>
      <c r="B3616" s="10">
        <v>2018</v>
      </c>
      <c r="C3616" t="s">
        <v>1241</v>
      </c>
      <c r="D3616" t="s">
        <v>2472</v>
      </c>
      <c r="E3616" t="s">
        <v>2474</v>
      </c>
      <c r="F3616" t="s">
        <v>1886</v>
      </c>
      <c r="G3616" t="s">
        <v>1886</v>
      </c>
      <c r="H3616" s="10">
        <v>33201</v>
      </c>
      <c r="I3616" t="str">
        <f>IFERROR(VLOOKUP(Final!F3616,'LEAID Match'!$A$2:$B$374,2,FALSE),"")</f>
        <v/>
      </c>
      <c r="K3616" s="10">
        <f t="shared" si="56"/>
        <v>33201</v>
      </c>
    </row>
    <row r="3617" spans="1:11">
      <c r="A3617" t="s">
        <v>2470</v>
      </c>
      <c r="B3617" s="10">
        <v>2019</v>
      </c>
      <c r="C3617" t="s">
        <v>1241</v>
      </c>
      <c r="D3617" t="s">
        <v>2472</v>
      </c>
      <c r="E3617" t="s">
        <v>2474</v>
      </c>
      <c r="F3617" t="s">
        <v>1886</v>
      </c>
      <c r="G3617" t="s">
        <v>1886</v>
      </c>
      <c r="H3617" s="10">
        <v>32262</v>
      </c>
      <c r="I3617" t="str">
        <f>IFERROR(VLOOKUP(Final!F3617,'LEAID Match'!$A$2:$B$374,2,FALSE),"")</f>
        <v/>
      </c>
      <c r="K3617" s="10">
        <f t="shared" si="56"/>
        <v>32262</v>
      </c>
    </row>
    <row r="3618" spans="1:11">
      <c r="A3618" t="s">
        <v>2470</v>
      </c>
      <c r="B3618" s="10">
        <v>2020</v>
      </c>
      <c r="C3618" t="s">
        <v>1241</v>
      </c>
      <c r="D3618" t="s">
        <v>2472</v>
      </c>
      <c r="E3618" t="s">
        <v>2474</v>
      </c>
      <c r="F3618" t="s">
        <v>1886</v>
      </c>
      <c r="G3618" t="s">
        <v>1886</v>
      </c>
      <c r="H3618" s="10">
        <v>33616</v>
      </c>
      <c r="I3618" t="str">
        <f>IFERROR(VLOOKUP(Final!F3618,'LEAID Match'!$A$2:$B$374,2,FALSE),"")</f>
        <v/>
      </c>
      <c r="K3618" s="10">
        <f t="shared" si="56"/>
        <v>33616</v>
      </c>
    </row>
    <row r="3619" spans="1:11">
      <c r="A3619" t="s">
        <v>2470</v>
      </c>
      <c r="B3619" s="10">
        <v>2021</v>
      </c>
      <c r="C3619" t="s">
        <v>1241</v>
      </c>
      <c r="D3619" t="s">
        <v>2472</v>
      </c>
      <c r="E3619" t="s">
        <v>2474</v>
      </c>
      <c r="F3619" t="s">
        <v>1886</v>
      </c>
      <c r="G3619" t="s">
        <v>1886</v>
      </c>
      <c r="H3619" s="10">
        <v>40376</v>
      </c>
      <c r="I3619" t="str">
        <f>IFERROR(VLOOKUP(Final!F3619,'LEAID Match'!$A$2:$B$374,2,FALSE),"")</f>
        <v/>
      </c>
      <c r="K3619" s="10">
        <f t="shared" si="56"/>
        <v>40376</v>
      </c>
    </row>
    <row r="3620" spans="1:11">
      <c r="A3620" t="s">
        <v>2470</v>
      </c>
      <c r="B3620" s="10">
        <v>2022</v>
      </c>
      <c r="C3620" t="s">
        <v>1241</v>
      </c>
      <c r="D3620" t="s">
        <v>2472</v>
      </c>
      <c r="E3620" t="s">
        <v>2474</v>
      </c>
      <c r="F3620" t="s">
        <v>1886</v>
      </c>
      <c r="G3620" t="s">
        <v>1886</v>
      </c>
      <c r="H3620" s="10">
        <v>49758</v>
      </c>
      <c r="I3620" t="str">
        <f>IFERROR(VLOOKUP(Final!F3620,'LEAID Match'!$A$2:$B$374,2,FALSE),"")</f>
        <v/>
      </c>
      <c r="K3620" s="10">
        <f t="shared" si="56"/>
        <v>49758</v>
      </c>
    </row>
    <row r="3621" spans="1:11">
      <c r="A3621" t="s">
        <v>2470</v>
      </c>
      <c r="B3621" s="10">
        <v>2023</v>
      </c>
      <c r="C3621" t="s">
        <v>1241</v>
      </c>
      <c r="D3621" t="s">
        <v>2472</v>
      </c>
      <c r="E3621" t="s">
        <v>2474</v>
      </c>
      <c r="F3621" t="s">
        <v>1886</v>
      </c>
      <c r="G3621" t="s">
        <v>1886</v>
      </c>
      <c r="H3621" s="10">
        <v>44806</v>
      </c>
      <c r="I3621" t="str">
        <f>IFERROR(VLOOKUP(Final!F3621,'LEAID Match'!$A$2:$B$374,2,FALSE),"")</f>
        <v/>
      </c>
      <c r="K3621" s="10">
        <f t="shared" si="56"/>
        <v>44806</v>
      </c>
    </row>
    <row r="3622" spans="1:11">
      <c r="A3622" t="s">
        <v>2470</v>
      </c>
      <c r="B3622" s="10">
        <v>2015</v>
      </c>
      <c r="C3622" t="s">
        <v>1221</v>
      </c>
      <c r="D3622" t="s">
        <v>2472</v>
      </c>
      <c r="E3622" t="s">
        <v>2474</v>
      </c>
      <c r="F3622" t="s">
        <v>1649</v>
      </c>
      <c r="G3622" t="s">
        <v>1167</v>
      </c>
      <c r="H3622" s="10">
        <v>246283</v>
      </c>
      <c r="I3622" t="str">
        <f>IFERROR(VLOOKUP(Final!F3622,'LEAID Match'!$A$2:$B$374,2,FALSE),"")</f>
        <v/>
      </c>
      <c r="K3622" s="10">
        <f t="shared" si="56"/>
        <v>246283</v>
      </c>
    </row>
    <row r="3623" spans="1:11">
      <c r="A3623" t="s">
        <v>2470</v>
      </c>
      <c r="B3623" s="10">
        <v>2016</v>
      </c>
      <c r="C3623" t="s">
        <v>1221</v>
      </c>
      <c r="D3623" t="s">
        <v>2472</v>
      </c>
      <c r="E3623" t="s">
        <v>2474</v>
      </c>
      <c r="F3623" t="s">
        <v>1649</v>
      </c>
      <c r="G3623" t="s">
        <v>1167</v>
      </c>
      <c r="H3623" s="10">
        <v>252163</v>
      </c>
      <c r="I3623" t="str">
        <f>IFERROR(VLOOKUP(Final!F3623,'LEAID Match'!$A$2:$B$374,2,FALSE),"")</f>
        <v/>
      </c>
      <c r="K3623" s="10">
        <f t="shared" si="56"/>
        <v>252163</v>
      </c>
    </row>
    <row r="3624" spans="1:11">
      <c r="A3624" t="s">
        <v>2470</v>
      </c>
      <c r="B3624" s="10">
        <v>2017</v>
      </c>
      <c r="C3624" t="s">
        <v>1221</v>
      </c>
      <c r="D3624" t="s">
        <v>2472</v>
      </c>
      <c r="E3624" t="s">
        <v>2474</v>
      </c>
      <c r="F3624" t="s">
        <v>1649</v>
      </c>
      <c r="G3624" t="s">
        <v>1649</v>
      </c>
      <c r="H3624" s="10">
        <v>256094</v>
      </c>
      <c r="I3624" t="str">
        <f>IFERROR(VLOOKUP(Final!F3624,'LEAID Match'!$A$2:$B$374,2,FALSE),"")</f>
        <v/>
      </c>
      <c r="K3624" s="10">
        <f t="shared" si="56"/>
        <v>256094</v>
      </c>
    </row>
    <row r="3625" spans="1:11">
      <c r="A3625" t="s">
        <v>2470</v>
      </c>
      <c r="B3625" s="10">
        <v>2018</v>
      </c>
      <c r="C3625" t="s">
        <v>1221</v>
      </c>
      <c r="D3625" t="s">
        <v>2472</v>
      </c>
      <c r="E3625" t="s">
        <v>2474</v>
      </c>
      <c r="F3625" t="s">
        <v>1649</v>
      </c>
      <c r="G3625" t="s">
        <v>1649</v>
      </c>
      <c r="H3625" s="10">
        <v>266384</v>
      </c>
      <c r="I3625" t="str">
        <f>IFERROR(VLOOKUP(Final!F3625,'LEAID Match'!$A$2:$B$374,2,FALSE),"")</f>
        <v/>
      </c>
      <c r="K3625" s="10">
        <f t="shared" si="56"/>
        <v>266384</v>
      </c>
    </row>
    <row r="3626" spans="1:11">
      <c r="A3626" t="s">
        <v>2470</v>
      </c>
      <c r="B3626" s="10">
        <v>2019</v>
      </c>
      <c r="C3626" t="s">
        <v>1221</v>
      </c>
      <c r="D3626" t="s">
        <v>2472</v>
      </c>
      <c r="E3626" t="s">
        <v>2474</v>
      </c>
      <c r="F3626" t="s">
        <v>1649</v>
      </c>
      <c r="G3626" t="s">
        <v>1649</v>
      </c>
      <c r="H3626" s="10">
        <v>297123</v>
      </c>
      <c r="I3626" t="str">
        <f>IFERROR(VLOOKUP(Final!F3626,'LEAID Match'!$A$2:$B$374,2,FALSE),"")</f>
        <v/>
      </c>
      <c r="K3626" s="10">
        <f t="shared" si="56"/>
        <v>297123</v>
      </c>
    </row>
    <row r="3627" spans="1:11">
      <c r="A3627" t="s">
        <v>2470</v>
      </c>
      <c r="B3627" s="10">
        <v>2020</v>
      </c>
      <c r="C3627" t="s">
        <v>1221</v>
      </c>
      <c r="D3627" t="s">
        <v>2472</v>
      </c>
      <c r="E3627" t="s">
        <v>2474</v>
      </c>
      <c r="F3627" t="s">
        <v>1649</v>
      </c>
      <c r="G3627" t="s">
        <v>1649</v>
      </c>
      <c r="H3627" s="10">
        <v>316802</v>
      </c>
      <c r="I3627" t="str">
        <f>IFERROR(VLOOKUP(Final!F3627,'LEAID Match'!$A$2:$B$374,2,FALSE),"")</f>
        <v/>
      </c>
      <c r="K3627" s="10">
        <f t="shared" si="56"/>
        <v>316802</v>
      </c>
    </row>
    <row r="3628" spans="1:11">
      <c r="A3628" t="s">
        <v>2470</v>
      </c>
      <c r="B3628" s="10">
        <v>2021</v>
      </c>
      <c r="C3628" t="s">
        <v>1221</v>
      </c>
      <c r="D3628" t="s">
        <v>2472</v>
      </c>
      <c r="E3628" t="s">
        <v>2474</v>
      </c>
      <c r="F3628" t="s">
        <v>1649</v>
      </c>
      <c r="G3628" t="s">
        <v>1649</v>
      </c>
      <c r="H3628" s="10">
        <v>332433</v>
      </c>
      <c r="I3628" t="str">
        <f>IFERROR(VLOOKUP(Final!F3628,'LEAID Match'!$A$2:$B$374,2,FALSE),"")</f>
        <v/>
      </c>
      <c r="K3628" s="10">
        <f t="shared" si="56"/>
        <v>332433</v>
      </c>
    </row>
    <row r="3629" spans="1:11">
      <c r="A3629" t="s">
        <v>2470</v>
      </c>
      <c r="B3629" s="10">
        <v>2022</v>
      </c>
      <c r="C3629" t="s">
        <v>1221</v>
      </c>
      <c r="D3629" t="s">
        <v>2472</v>
      </c>
      <c r="E3629" t="s">
        <v>2474</v>
      </c>
      <c r="F3629" t="s">
        <v>1649</v>
      </c>
      <c r="G3629" t="s">
        <v>1649</v>
      </c>
      <c r="H3629" s="10">
        <v>389363</v>
      </c>
      <c r="I3629" t="str">
        <f>IFERROR(VLOOKUP(Final!F3629,'LEAID Match'!$A$2:$B$374,2,FALSE),"")</f>
        <v/>
      </c>
      <c r="K3629" s="10">
        <f t="shared" si="56"/>
        <v>389363</v>
      </c>
    </row>
    <row r="3630" spans="1:11">
      <c r="A3630" t="s">
        <v>2470</v>
      </c>
      <c r="B3630" s="10">
        <v>2023</v>
      </c>
      <c r="C3630" t="s">
        <v>1221</v>
      </c>
      <c r="D3630" t="s">
        <v>2472</v>
      </c>
      <c r="E3630" t="s">
        <v>2474</v>
      </c>
      <c r="F3630" t="s">
        <v>1649</v>
      </c>
      <c r="G3630" t="s">
        <v>1649</v>
      </c>
      <c r="H3630" s="10">
        <v>429865</v>
      </c>
      <c r="I3630" t="str">
        <f>IFERROR(VLOOKUP(Final!F3630,'LEAID Match'!$A$2:$B$374,2,FALSE),"")</f>
        <v/>
      </c>
      <c r="K3630" s="10">
        <f t="shared" si="56"/>
        <v>429865</v>
      </c>
    </row>
    <row r="3631" spans="1:11">
      <c r="A3631" t="s">
        <v>2470</v>
      </c>
      <c r="B3631" s="10">
        <v>2015</v>
      </c>
      <c r="C3631" t="s">
        <v>449</v>
      </c>
      <c r="D3631" t="s">
        <v>2472</v>
      </c>
      <c r="E3631" t="s">
        <v>2474</v>
      </c>
      <c r="F3631" t="s">
        <v>1903</v>
      </c>
      <c r="G3631" t="s">
        <v>394</v>
      </c>
      <c r="H3631" s="10">
        <v>1999035</v>
      </c>
      <c r="I3631" t="str">
        <f>IFERROR(VLOOKUP(Final!F3631,'LEAID Match'!$A$2:$B$374,2,FALSE),"")</f>
        <v/>
      </c>
      <c r="K3631" s="10">
        <f t="shared" si="56"/>
        <v>1999035</v>
      </c>
    </row>
    <row r="3632" spans="1:11">
      <c r="A3632" t="s">
        <v>2470</v>
      </c>
      <c r="B3632" s="10">
        <v>2016</v>
      </c>
      <c r="C3632" t="s">
        <v>449</v>
      </c>
      <c r="D3632" t="s">
        <v>2472</v>
      </c>
      <c r="E3632" t="s">
        <v>2474</v>
      </c>
      <c r="F3632" t="s">
        <v>1903</v>
      </c>
      <c r="G3632" t="s">
        <v>394</v>
      </c>
      <c r="H3632" s="10">
        <v>1998759</v>
      </c>
      <c r="I3632" t="str">
        <f>IFERROR(VLOOKUP(Final!F3632,'LEAID Match'!$A$2:$B$374,2,FALSE),"")</f>
        <v/>
      </c>
      <c r="K3632" s="10">
        <f t="shared" si="56"/>
        <v>1998759</v>
      </c>
    </row>
    <row r="3633" spans="1:11">
      <c r="A3633" t="s">
        <v>2470</v>
      </c>
      <c r="B3633" s="10">
        <v>2017</v>
      </c>
      <c r="C3633" t="s">
        <v>449</v>
      </c>
      <c r="D3633" t="s">
        <v>2472</v>
      </c>
      <c r="E3633" t="s">
        <v>2474</v>
      </c>
      <c r="F3633" t="s">
        <v>1903</v>
      </c>
      <c r="G3633" t="s">
        <v>1903</v>
      </c>
      <c r="H3633" s="10">
        <v>2124955</v>
      </c>
      <c r="I3633" t="str">
        <f>IFERROR(VLOOKUP(Final!F3633,'LEAID Match'!$A$2:$B$374,2,FALSE),"")</f>
        <v/>
      </c>
      <c r="K3633" s="10">
        <f t="shared" si="56"/>
        <v>2124955</v>
      </c>
    </row>
    <row r="3634" spans="1:11">
      <c r="A3634" t="s">
        <v>2470</v>
      </c>
      <c r="B3634" s="10">
        <v>2018</v>
      </c>
      <c r="C3634" t="s">
        <v>449</v>
      </c>
      <c r="D3634" t="s">
        <v>2472</v>
      </c>
      <c r="E3634" t="s">
        <v>2474</v>
      </c>
      <c r="F3634" t="s">
        <v>1903</v>
      </c>
      <c r="G3634" t="s">
        <v>1903</v>
      </c>
      <c r="H3634" s="10">
        <v>2224445</v>
      </c>
      <c r="I3634" t="str">
        <f>IFERROR(VLOOKUP(Final!F3634,'LEAID Match'!$A$2:$B$374,2,FALSE),"")</f>
        <v/>
      </c>
      <c r="K3634" s="10">
        <f t="shared" si="56"/>
        <v>2224445</v>
      </c>
    </row>
    <row r="3635" spans="1:11">
      <c r="A3635" t="s">
        <v>2470</v>
      </c>
      <c r="B3635" s="10">
        <v>2019</v>
      </c>
      <c r="C3635" t="s">
        <v>449</v>
      </c>
      <c r="D3635" t="s">
        <v>2472</v>
      </c>
      <c r="E3635" t="s">
        <v>2474</v>
      </c>
      <c r="F3635" t="s">
        <v>1903</v>
      </c>
      <c r="G3635" t="s">
        <v>1903</v>
      </c>
      <c r="H3635" s="10">
        <v>2286863</v>
      </c>
      <c r="I3635" t="str">
        <f>IFERROR(VLOOKUP(Final!F3635,'LEAID Match'!$A$2:$B$374,2,FALSE),"")</f>
        <v/>
      </c>
      <c r="K3635" s="10">
        <f t="shared" si="56"/>
        <v>2286863</v>
      </c>
    </row>
    <row r="3636" spans="1:11">
      <c r="A3636" t="s">
        <v>2470</v>
      </c>
      <c r="B3636" s="10">
        <v>2020</v>
      </c>
      <c r="C3636" t="s">
        <v>449</v>
      </c>
      <c r="D3636" t="s">
        <v>2472</v>
      </c>
      <c r="E3636" t="s">
        <v>2474</v>
      </c>
      <c r="F3636" t="s">
        <v>1903</v>
      </c>
      <c r="G3636" t="s">
        <v>1903</v>
      </c>
      <c r="H3636" s="10">
        <v>2416968</v>
      </c>
      <c r="I3636" t="str">
        <f>IFERROR(VLOOKUP(Final!F3636,'LEAID Match'!$A$2:$B$374,2,FALSE),"")</f>
        <v/>
      </c>
      <c r="K3636" s="10">
        <f t="shared" si="56"/>
        <v>2416968</v>
      </c>
    </row>
    <row r="3637" spans="1:11">
      <c r="A3637" t="s">
        <v>2470</v>
      </c>
      <c r="B3637" s="10">
        <v>2021</v>
      </c>
      <c r="C3637" t="s">
        <v>449</v>
      </c>
      <c r="D3637" t="s">
        <v>2472</v>
      </c>
      <c r="E3637" t="s">
        <v>2474</v>
      </c>
      <c r="F3637" t="s">
        <v>1903</v>
      </c>
      <c r="G3637" t="s">
        <v>1903</v>
      </c>
      <c r="H3637" s="10">
        <v>2477223</v>
      </c>
      <c r="I3637" t="str">
        <f>IFERROR(VLOOKUP(Final!F3637,'LEAID Match'!$A$2:$B$374,2,FALSE),"")</f>
        <v/>
      </c>
      <c r="K3637" s="10">
        <f t="shared" si="56"/>
        <v>2477223</v>
      </c>
    </row>
    <row r="3638" spans="1:11">
      <c r="A3638" t="s">
        <v>2470</v>
      </c>
      <c r="B3638" s="10">
        <v>2022</v>
      </c>
      <c r="C3638" t="s">
        <v>449</v>
      </c>
      <c r="D3638" t="s">
        <v>2472</v>
      </c>
      <c r="E3638" t="s">
        <v>2474</v>
      </c>
      <c r="F3638" t="s">
        <v>1903</v>
      </c>
      <c r="G3638" t="s">
        <v>1903</v>
      </c>
      <c r="H3638" s="10">
        <v>2693068</v>
      </c>
      <c r="I3638" t="str">
        <f>IFERROR(VLOOKUP(Final!F3638,'LEAID Match'!$A$2:$B$374,2,FALSE),"")</f>
        <v/>
      </c>
      <c r="K3638" s="10">
        <f t="shared" si="56"/>
        <v>2693068</v>
      </c>
    </row>
    <row r="3639" spans="1:11">
      <c r="A3639" t="s">
        <v>2470</v>
      </c>
      <c r="B3639" s="10">
        <v>2023</v>
      </c>
      <c r="C3639" t="s">
        <v>449</v>
      </c>
      <c r="D3639" t="s">
        <v>2472</v>
      </c>
      <c r="E3639" t="s">
        <v>2474</v>
      </c>
      <c r="F3639" t="s">
        <v>1903</v>
      </c>
      <c r="G3639" t="s">
        <v>1903</v>
      </c>
      <c r="H3639" s="10">
        <v>3002619</v>
      </c>
      <c r="I3639" t="str">
        <f>IFERROR(VLOOKUP(Final!F3639,'LEAID Match'!$A$2:$B$374,2,FALSE),"")</f>
        <v/>
      </c>
      <c r="K3639" s="10">
        <f t="shared" si="56"/>
        <v>3002619</v>
      </c>
    </row>
    <row r="3640" spans="1:11">
      <c r="A3640" t="s">
        <v>2470</v>
      </c>
      <c r="B3640" s="10">
        <v>2015</v>
      </c>
      <c r="C3640" t="s">
        <v>456</v>
      </c>
      <c r="D3640" t="s">
        <v>2472</v>
      </c>
      <c r="E3640" t="s">
        <v>2474</v>
      </c>
      <c r="F3640" t="s">
        <v>1958</v>
      </c>
      <c r="G3640" t="s">
        <v>401</v>
      </c>
      <c r="H3640" s="10">
        <v>258403</v>
      </c>
      <c r="I3640" t="str">
        <f>IFERROR(VLOOKUP(Final!F3640,'LEAID Match'!$A$2:$B$374,2,FALSE),"")</f>
        <v/>
      </c>
      <c r="K3640" s="10">
        <f t="shared" si="56"/>
        <v>258403</v>
      </c>
    </row>
    <row r="3641" spans="1:11">
      <c r="A3641" t="s">
        <v>2470</v>
      </c>
      <c r="B3641" s="10">
        <v>2016</v>
      </c>
      <c r="C3641" t="s">
        <v>456</v>
      </c>
      <c r="D3641" t="s">
        <v>2472</v>
      </c>
      <c r="E3641" t="s">
        <v>2474</v>
      </c>
      <c r="F3641" t="s">
        <v>1958</v>
      </c>
      <c r="G3641" t="s">
        <v>401</v>
      </c>
      <c r="H3641" s="10">
        <v>279095</v>
      </c>
      <c r="I3641" t="str">
        <f>IFERROR(VLOOKUP(Final!F3641,'LEAID Match'!$A$2:$B$374,2,FALSE),"")</f>
        <v/>
      </c>
      <c r="K3641" s="10">
        <f t="shared" si="56"/>
        <v>279095</v>
      </c>
    </row>
    <row r="3642" spans="1:11">
      <c r="A3642" t="s">
        <v>2470</v>
      </c>
      <c r="B3642" s="10">
        <v>2017</v>
      </c>
      <c r="C3642" t="s">
        <v>456</v>
      </c>
      <c r="D3642" t="s">
        <v>2472</v>
      </c>
      <c r="E3642" t="s">
        <v>2474</v>
      </c>
      <c r="F3642" t="s">
        <v>1958</v>
      </c>
      <c r="G3642" t="s">
        <v>1958</v>
      </c>
      <c r="H3642" s="10">
        <v>294169</v>
      </c>
      <c r="I3642" t="str">
        <f>IFERROR(VLOOKUP(Final!F3642,'LEAID Match'!$A$2:$B$374,2,FALSE),"")</f>
        <v/>
      </c>
      <c r="K3642" s="10">
        <f t="shared" si="56"/>
        <v>294169</v>
      </c>
    </row>
    <row r="3643" spans="1:11">
      <c r="A3643" t="s">
        <v>2470</v>
      </c>
      <c r="B3643" s="10">
        <v>2018</v>
      </c>
      <c r="C3643" t="s">
        <v>456</v>
      </c>
      <c r="D3643" t="s">
        <v>2472</v>
      </c>
      <c r="E3643" t="s">
        <v>2474</v>
      </c>
      <c r="F3643" t="s">
        <v>1958</v>
      </c>
      <c r="G3643" t="s">
        <v>1958</v>
      </c>
      <c r="H3643" s="10">
        <v>310599</v>
      </c>
      <c r="I3643" t="str">
        <f>IFERROR(VLOOKUP(Final!F3643,'LEAID Match'!$A$2:$B$374,2,FALSE),"")</f>
        <v/>
      </c>
      <c r="K3643" s="10">
        <f t="shared" si="56"/>
        <v>310599</v>
      </c>
    </row>
    <row r="3644" spans="1:11">
      <c r="A3644" t="s">
        <v>2470</v>
      </c>
      <c r="B3644" s="10">
        <v>2019</v>
      </c>
      <c r="C3644" t="s">
        <v>456</v>
      </c>
      <c r="D3644" t="s">
        <v>2472</v>
      </c>
      <c r="E3644" t="s">
        <v>2474</v>
      </c>
      <c r="F3644" t="s">
        <v>1958</v>
      </c>
      <c r="G3644" t="s">
        <v>1958</v>
      </c>
      <c r="H3644" s="10">
        <v>330840</v>
      </c>
      <c r="I3644" t="str">
        <f>IFERROR(VLOOKUP(Final!F3644,'LEAID Match'!$A$2:$B$374,2,FALSE),"")</f>
        <v/>
      </c>
      <c r="K3644" s="10">
        <f t="shared" si="56"/>
        <v>330840</v>
      </c>
    </row>
    <row r="3645" spans="1:11">
      <c r="A3645" t="s">
        <v>2470</v>
      </c>
      <c r="B3645" s="10">
        <v>2020</v>
      </c>
      <c r="C3645" t="s">
        <v>456</v>
      </c>
      <c r="D3645" t="s">
        <v>2472</v>
      </c>
      <c r="E3645" t="s">
        <v>2474</v>
      </c>
      <c r="F3645" t="s">
        <v>1958</v>
      </c>
      <c r="G3645" t="s">
        <v>1958</v>
      </c>
      <c r="H3645" s="10">
        <v>355968</v>
      </c>
      <c r="I3645" t="str">
        <f>IFERROR(VLOOKUP(Final!F3645,'LEAID Match'!$A$2:$B$374,2,FALSE),"")</f>
        <v/>
      </c>
      <c r="K3645" s="10">
        <f t="shared" si="56"/>
        <v>355968</v>
      </c>
    </row>
    <row r="3646" spans="1:11">
      <c r="A3646" t="s">
        <v>2470</v>
      </c>
      <c r="B3646" s="10">
        <v>2021</v>
      </c>
      <c r="C3646" t="s">
        <v>456</v>
      </c>
      <c r="D3646" t="s">
        <v>2472</v>
      </c>
      <c r="E3646" t="s">
        <v>2474</v>
      </c>
      <c r="F3646" t="s">
        <v>1958</v>
      </c>
      <c r="G3646" t="s">
        <v>1958</v>
      </c>
      <c r="H3646" s="10">
        <v>373541</v>
      </c>
      <c r="I3646" t="str">
        <f>IFERROR(VLOOKUP(Final!F3646,'LEAID Match'!$A$2:$B$374,2,FALSE),"")</f>
        <v/>
      </c>
      <c r="K3646" s="10">
        <f t="shared" si="56"/>
        <v>373541</v>
      </c>
    </row>
    <row r="3647" spans="1:11">
      <c r="A3647" t="s">
        <v>2470</v>
      </c>
      <c r="B3647" s="10">
        <v>2022</v>
      </c>
      <c r="C3647" t="s">
        <v>456</v>
      </c>
      <c r="D3647" t="s">
        <v>2472</v>
      </c>
      <c r="E3647" t="s">
        <v>2474</v>
      </c>
      <c r="F3647" t="s">
        <v>1958</v>
      </c>
      <c r="G3647" t="s">
        <v>1958</v>
      </c>
      <c r="H3647" s="10">
        <v>432123</v>
      </c>
      <c r="I3647" t="str">
        <f>IFERROR(VLOOKUP(Final!F3647,'LEAID Match'!$A$2:$B$374,2,FALSE),"")</f>
        <v/>
      </c>
      <c r="K3647" s="10">
        <f t="shared" si="56"/>
        <v>432123</v>
      </c>
    </row>
    <row r="3648" spans="1:11">
      <c r="A3648" t="s">
        <v>2470</v>
      </c>
      <c r="B3648" s="10">
        <v>2023</v>
      </c>
      <c r="C3648" t="s">
        <v>456</v>
      </c>
      <c r="D3648" t="s">
        <v>2472</v>
      </c>
      <c r="E3648" t="s">
        <v>2474</v>
      </c>
      <c r="F3648" t="s">
        <v>1958</v>
      </c>
      <c r="G3648" t="s">
        <v>1958</v>
      </c>
      <c r="H3648" s="10">
        <v>436818</v>
      </c>
      <c r="I3648" t="str">
        <f>IFERROR(VLOOKUP(Final!F3648,'LEAID Match'!$A$2:$B$374,2,FALSE),"")</f>
        <v/>
      </c>
      <c r="K3648" s="10">
        <f t="shared" si="56"/>
        <v>436818</v>
      </c>
    </row>
    <row r="3649" spans="1:11">
      <c r="A3649" t="s">
        <v>2470</v>
      </c>
      <c r="B3649" s="10">
        <v>2015</v>
      </c>
      <c r="C3649" t="s">
        <v>450</v>
      </c>
      <c r="D3649" t="s">
        <v>2472</v>
      </c>
      <c r="E3649" t="s">
        <v>2474</v>
      </c>
      <c r="F3649" t="s">
        <v>1924</v>
      </c>
      <c r="G3649" t="s">
        <v>395</v>
      </c>
      <c r="H3649" s="10">
        <v>648783</v>
      </c>
      <c r="I3649" t="str">
        <f>IFERROR(VLOOKUP(Final!F3649,'LEAID Match'!$A$2:$B$374,2,FALSE),"")</f>
        <v/>
      </c>
      <c r="K3649" s="10">
        <f t="shared" si="56"/>
        <v>648783</v>
      </c>
    </row>
    <row r="3650" spans="1:11">
      <c r="A3650" t="s">
        <v>2470</v>
      </c>
      <c r="B3650" s="10">
        <v>2016</v>
      </c>
      <c r="C3650" t="s">
        <v>450</v>
      </c>
      <c r="D3650" t="s">
        <v>2472</v>
      </c>
      <c r="E3650" t="s">
        <v>2474</v>
      </c>
      <c r="F3650" t="s">
        <v>1924</v>
      </c>
      <c r="G3650" t="s">
        <v>395</v>
      </c>
      <c r="H3650" s="10">
        <v>668142</v>
      </c>
      <c r="I3650" t="str">
        <f>IFERROR(VLOOKUP(Final!F3650,'LEAID Match'!$A$2:$B$374,2,FALSE),"")</f>
        <v/>
      </c>
      <c r="K3650" s="10">
        <f t="shared" si="56"/>
        <v>668142</v>
      </c>
    </row>
    <row r="3651" spans="1:11">
      <c r="A3651" t="s">
        <v>2470</v>
      </c>
      <c r="B3651" s="10">
        <v>2017</v>
      </c>
      <c r="C3651" t="s">
        <v>450</v>
      </c>
      <c r="D3651" t="s">
        <v>2472</v>
      </c>
      <c r="E3651" t="s">
        <v>2474</v>
      </c>
      <c r="F3651" t="s">
        <v>1924</v>
      </c>
      <c r="G3651" t="s">
        <v>1924</v>
      </c>
      <c r="H3651" s="10">
        <v>669528</v>
      </c>
      <c r="I3651" t="str">
        <f>IFERROR(VLOOKUP(Final!F3651,'LEAID Match'!$A$2:$B$374,2,FALSE),"")</f>
        <v/>
      </c>
      <c r="K3651" s="10">
        <f t="shared" ref="K3651:K3714" si="57">SUM(H3651,J3651)</f>
        <v>669528</v>
      </c>
    </row>
    <row r="3652" spans="1:11">
      <c r="A3652" t="s">
        <v>2470</v>
      </c>
      <c r="B3652" s="10">
        <v>2018</v>
      </c>
      <c r="C3652" t="s">
        <v>450</v>
      </c>
      <c r="D3652" t="s">
        <v>2472</v>
      </c>
      <c r="E3652" t="s">
        <v>2474</v>
      </c>
      <c r="F3652" t="s">
        <v>1924</v>
      </c>
      <c r="G3652" t="s">
        <v>1924</v>
      </c>
      <c r="H3652" s="10">
        <v>655712</v>
      </c>
      <c r="I3652" t="str">
        <f>IFERROR(VLOOKUP(Final!F3652,'LEAID Match'!$A$2:$B$374,2,FALSE),"")</f>
        <v/>
      </c>
      <c r="K3652" s="10">
        <f t="shared" si="57"/>
        <v>655712</v>
      </c>
    </row>
    <row r="3653" spans="1:11">
      <c r="A3653" t="s">
        <v>2470</v>
      </c>
      <c r="B3653" s="10">
        <v>2019</v>
      </c>
      <c r="C3653" t="s">
        <v>450</v>
      </c>
      <c r="D3653" t="s">
        <v>2472</v>
      </c>
      <c r="E3653" t="s">
        <v>2474</v>
      </c>
      <c r="F3653" t="s">
        <v>1924</v>
      </c>
      <c r="G3653" t="s">
        <v>1924</v>
      </c>
      <c r="H3653" s="10">
        <v>686683</v>
      </c>
      <c r="I3653" t="str">
        <f>IFERROR(VLOOKUP(Final!F3653,'LEAID Match'!$A$2:$B$374,2,FALSE),"")</f>
        <v/>
      </c>
      <c r="K3653" s="10">
        <f t="shared" si="57"/>
        <v>686683</v>
      </c>
    </row>
    <row r="3654" spans="1:11">
      <c r="A3654" t="s">
        <v>2470</v>
      </c>
      <c r="B3654" s="10">
        <v>2020</v>
      </c>
      <c r="C3654" t="s">
        <v>450</v>
      </c>
      <c r="D3654" t="s">
        <v>2472</v>
      </c>
      <c r="E3654" t="s">
        <v>2474</v>
      </c>
      <c r="F3654" t="s">
        <v>1924</v>
      </c>
      <c r="G3654" t="s">
        <v>1924</v>
      </c>
      <c r="H3654" s="10">
        <v>744503</v>
      </c>
      <c r="I3654" t="str">
        <f>IFERROR(VLOOKUP(Final!F3654,'LEAID Match'!$A$2:$B$374,2,FALSE),"")</f>
        <v/>
      </c>
      <c r="K3654" s="10">
        <f t="shared" si="57"/>
        <v>744503</v>
      </c>
    </row>
    <row r="3655" spans="1:11">
      <c r="A3655" t="s">
        <v>2470</v>
      </c>
      <c r="B3655" s="10">
        <v>2021</v>
      </c>
      <c r="C3655" t="s">
        <v>450</v>
      </c>
      <c r="D3655" t="s">
        <v>2472</v>
      </c>
      <c r="E3655" t="s">
        <v>2474</v>
      </c>
      <c r="F3655" t="s">
        <v>1924</v>
      </c>
      <c r="G3655" t="s">
        <v>1924</v>
      </c>
      <c r="H3655" s="10">
        <v>727184</v>
      </c>
      <c r="I3655" t="str">
        <f>IFERROR(VLOOKUP(Final!F3655,'LEAID Match'!$A$2:$B$374,2,FALSE),"")</f>
        <v/>
      </c>
      <c r="K3655" s="10">
        <f t="shared" si="57"/>
        <v>727184</v>
      </c>
    </row>
    <row r="3656" spans="1:11">
      <c r="A3656" t="s">
        <v>2470</v>
      </c>
      <c r="B3656" s="10">
        <v>2022</v>
      </c>
      <c r="C3656" t="s">
        <v>450</v>
      </c>
      <c r="D3656" t="s">
        <v>2472</v>
      </c>
      <c r="E3656" t="s">
        <v>2474</v>
      </c>
      <c r="F3656" t="s">
        <v>1924</v>
      </c>
      <c r="G3656" t="s">
        <v>1924</v>
      </c>
      <c r="H3656" s="10">
        <v>748068</v>
      </c>
      <c r="I3656" t="str">
        <f>IFERROR(VLOOKUP(Final!F3656,'LEAID Match'!$A$2:$B$374,2,FALSE),"")</f>
        <v/>
      </c>
      <c r="K3656" s="10">
        <f t="shared" si="57"/>
        <v>748068</v>
      </c>
    </row>
    <row r="3657" spans="1:11">
      <c r="A3657" t="s">
        <v>2470</v>
      </c>
      <c r="B3657" s="10">
        <v>2023</v>
      </c>
      <c r="C3657" t="s">
        <v>450</v>
      </c>
      <c r="D3657" t="s">
        <v>2472</v>
      </c>
      <c r="E3657" t="s">
        <v>2474</v>
      </c>
      <c r="F3657" t="s">
        <v>1924</v>
      </c>
      <c r="G3657" t="s">
        <v>1924</v>
      </c>
      <c r="H3657" s="10">
        <v>870074</v>
      </c>
      <c r="I3657" t="str">
        <f>IFERROR(VLOOKUP(Final!F3657,'LEAID Match'!$A$2:$B$374,2,FALSE),"")</f>
        <v/>
      </c>
      <c r="K3657" s="10">
        <f t="shared" si="57"/>
        <v>870074</v>
      </c>
    </row>
    <row r="3658" spans="1:11">
      <c r="A3658" t="s">
        <v>2470</v>
      </c>
      <c r="B3658" s="10">
        <v>2015</v>
      </c>
      <c r="C3658" t="s">
        <v>452</v>
      </c>
      <c r="D3658" t="s">
        <v>2472</v>
      </c>
      <c r="E3658" t="s">
        <v>2474</v>
      </c>
      <c r="F3658" t="s">
        <v>1939</v>
      </c>
      <c r="G3658" t="s">
        <v>397</v>
      </c>
      <c r="H3658" s="10">
        <v>11030969</v>
      </c>
      <c r="I3658" t="str">
        <f>IFERROR(VLOOKUP(Final!F3658,'LEAID Match'!$A$2:$B$374,2,FALSE),"")</f>
        <v/>
      </c>
      <c r="K3658" s="10">
        <f t="shared" si="57"/>
        <v>11030969</v>
      </c>
    </row>
    <row r="3659" spans="1:11">
      <c r="A3659" t="s">
        <v>2470</v>
      </c>
      <c r="B3659" s="10">
        <v>2016</v>
      </c>
      <c r="C3659" t="s">
        <v>452</v>
      </c>
      <c r="D3659" t="s">
        <v>2472</v>
      </c>
      <c r="E3659" t="s">
        <v>2474</v>
      </c>
      <c r="F3659" t="s">
        <v>1939</v>
      </c>
      <c r="G3659" t="s">
        <v>397</v>
      </c>
      <c r="H3659" s="10">
        <v>11042982</v>
      </c>
      <c r="I3659" t="str">
        <f>IFERROR(VLOOKUP(Final!F3659,'LEAID Match'!$A$2:$B$374,2,FALSE),"")</f>
        <v/>
      </c>
      <c r="K3659" s="10">
        <f t="shared" si="57"/>
        <v>11042982</v>
      </c>
    </row>
    <row r="3660" spans="1:11">
      <c r="A3660" t="s">
        <v>2470</v>
      </c>
      <c r="B3660" s="10">
        <v>2017</v>
      </c>
      <c r="C3660" t="s">
        <v>452</v>
      </c>
      <c r="D3660" t="s">
        <v>2472</v>
      </c>
      <c r="E3660" t="s">
        <v>2474</v>
      </c>
      <c r="F3660" t="s">
        <v>1939</v>
      </c>
      <c r="G3660" t="s">
        <v>1939</v>
      </c>
      <c r="H3660" s="10">
        <v>11112186</v>
      </c>
      <c r="I3660" t="str">
        <f>IFERROR(VLOOKUP(Final!F3660,'LEAID Match'!$A$2:$B$374,2,FALSE),"")</f>
        <v/>
      </c>
      <c r="K3660" s="10">
        <f t="shared" si="57"/>
        <v>11112186</v>
      </c>
    </row>
    <row r="3661" spans="1:11">
      <c r="A3661" t="s">
        <v>2470</v>
      </c>
      <c r="B3661" s="10">
        <v>2018</v>
      </c>
      <c r="C3661" t="s">
        <v>452</v>
      </c>
      <c r="D3661" t="s">
        <v>2472</v>
      </c>
      <c r="E3661" t="s">
        <v>2474</v>
      </c>
      <c r="F3661" t="s">
        <v>1939</v>
      </c>
      <c r="G3661" t="s">
        <v>1939</v>
      </c>
      <c r="H3661" s="10">
        <v>11435737</v>
      </c>
      <c r="I3661" t="str">
        <f>IFERROR(VLOOKUP(Final!F3661,'LEAID Match'!$A$2:$B$374,2,FALSE),"")</f>
        <v/>
      </c>
      <c r="K3661" s="10">
        <f t="shared" si="57"/>
        <v>11435737</v>
      </c>
    </row>
    <row r="3662" spans="1:11">
      <c r="A3662" t="s">
        <v>2470</v>
      </c>
      <c r="B3662" s="10">
        <v>2019</v>
      </c>
      <c r="C3662" t="s">
        <v>452</v>
      </c>
      <c r="D3662" t="s">
        <v>2472</v>
      </c>
      <c r="E3662" t="s">
        <v>2474</v>
      </c>
      <c r="F3662" t="s">
        <v>1939</v>
      </c>
      <c r="G3662" t="s">
        <v>1939</v>
      </c>
      <c r="H3662" s="10">
        <v>12370605</v>
      </c>
      <c r="I3662" t="str">
        <f>IFERROR(VLOOKUP(Final!F3662,'LEAID Match'!$A$2:$B$374,2,FALSE),"")</f>
        <v/>
      </c>
      <c r="K3662" s="10">
        <f t="shared" si="57"/>
        <v>12370605</v>
      </c>
    </row>
    <row r="3663" spans="1:11">
      <c r="A3663" t="s">
        <v>2470</v>
      </c>
      <c r="B3663" s="10">
        <v>2020</v>
      </c>
      <c r="C3663" t="s">
        <v>452</v>
      </c>
      <c r="D3663" t="s">
        <v>2472</v>
      </c>
      <c r="E3663" t="s">
        <v>2474</v>
      </c>
      <c r="F3663" t="s">
        <v>1939</v>
      </c>
      <c r="G3663" t="s">
        <v>1939</v>
      </c>
      <c r="H3663" s="10">
        <v>13142591</v>
      </c>
      <c r="I3663" t="str">
        <f>IFERROR(VLOOKUP(Final!F3663,'LEAID Match'!$A$2:$B$374,2,FALSE),"")</f>
        <v/>
      </c>
      <c r="K3663" s="10">
        <f t="shared" si="57"/>
        <v>13142591</v>
      </c>
    </row>
    <row r="3664" spans="1:11">
      <c r="A3664" t="s">
        <v>2470</v>
      </c>
      <c r="B3664" s="10">
        <v>2021</v>
      </c>
      <c r="C3664" t="s">
        <v>452</v>
      </c>
      <c r="D3664" t="s">
        <v>2472</v>
      </c>
      <c r="E3664" t="s">
        <v>2474</v>
      </c>
      <c r="F3664" t="s">
        <v>1939</v>
      </c>
      <c r="G3664" t="s">
        <v>1939</v>
      </c>
      <c r="H3664" s="10">
        <v>13219652</v>
      </c>
      <c r="I3664" t="str">
        <f>IFERROR(VLOOKUP(Final!F3664,'LEAID Match'!$A$2:$B$374,2,FALSE),"")</f>
        <v/>
      </c>
      <c r="K3664" s="10">
        <f t="shared" si="57"/>
        <v>13219652</v>
      </c>
    </row>
    <row r="3665" spans="1:11">
      <c r="A3665" t="s">
        <v>2470</v>
      </c>
      <c r="B3665" s="10">
        <v>2022</v>
      </c>
      <c r="C3665" t="s">
        <v>452</v>
      </c>
      <c r="D3665" t="s">
        <v>2472</v>
      </c>
      <c r="E3665" t="s">
        <v>2474</v>
      </c>
      <c r="F3665" t="s">
        <v>1939</v>
      </c>
      <c r="G3665" t="s">
        <v>1939</v>
      </c>
      <c r="H3665" s="10">
        <v>14868592</v>
      </c>
      <c r="I3665" t="str">
        <f>IFERROR(VLOOKUP(Final!F3665,'LEAID Match'!$A$2:$B$374,2,FALSE),"")</f>
        <v/>
      </c>
      <c r="K3665" s="10">
        <f t="shared" si="57"/>
        <v>14868592</v>
      </c>
    </row>
    <row r="3666" spans="1:11">
      <c r="A3666" t="s">
        <v>2470</v>
      </c>
      <c r="B3666" s="10">
        <v>2023</v>
      </c>
      <c r="C3666" t="s">
        <v>452</v>
      </c>
      <c r="D3666" t="s">
        <v>2472</v>
      </c>
      <c r="E3666" t="s">
        <v>2474</v>
      </c>
      <c r="F3666" t="s">
        <v>1939</v>
      </c>
      <c r="G3666" t="s">
        <v>1939</v>
      </c>
      <c r="H3666" s="10">
        <v>15499045</v>
      </c>
      <c r="I3666" t="str">
        <f>IFERROR(VLOOKUP(Final!F3666,'LEAID Match'!$A$2:$B$374,2,FALSE),"")</f>
        <v/>
      </c>
      <c r="K3666" s="10">
        <f t="shared" si="57"/>
        <v>15499045</v>
      </c>
    </row>
    <row r="3667" spans="1:11">
      <c r="A3667" t="s">
        <v>2470</v>
      </c>
      <c r="B3667" s="10">
        <v>2015</v>
      </c>
      <c r="C3667" t="s">
        <v>454</v>
      </c>
      <c r="D3667" t="s">
        <v>2472</v>
      </c>
      <c r="E3667" t="s">
        <v>2474</v>
      </c>
      <c r="F3667" t="s">
        <v>1947</v>
      </c>
      <c r="G3667" t="s">
        <v>399</v>
      </c>
      <c r="H3667" s="10">
        <v>523897</v>
      </c>
      <c r="I3667" t="str">
        <f>IFERROR(VLOOKUP(Final!F3667,'LEAID Match'!$A$2:$B$374,2,FALSE),"")</f>
        <v/>
      </c>
      <c r="K3667" s="10">
        <f t="shared" si="57"/>
        <v>523897</v>
      </c>
    </row>
    <row r="3668" spans="1:11">
      <c r="A3668" t="s">
        <v>2470</v>
      </c>
      <c r="B3668" s="10">
        <v>2016</v>
      </c>
      <c r="C3668" t="s">
        <v>454</v>
      </c>
      <c r="D3668" t="s">
        <v>2472</v>
      </c>
      <c r="E3668" t="s">
        <v>2474</v>
      </c>
      <c r="F3668" t="s">
        <v>1947</v>
      </c>
      <c r="G3668" t="s">
        <v>399</v>
      </c>
      <c r="H3668" s="10">
        <v>544955</v>
      </c>
      <c r="I3668" t="str">
        <f>IFERROR(VLOOKUP(Final!F3668,'LEAID Match'!$A$2:$B$374,2,FALSE),"")</f>
        <v/>
      </c>
      <c r="K3668" s="10">
        <f t="shared" si="57"/>
        <v>544955</v>
      </c>
    </row>
    <row r="3669" spans="1:11">
      <c r="A3669" t="s">
        <v>2470</v>
      </c>
      <c r="B3669" s="10">
        <v>2017</v>
      </c>
      <c r="C3669" t="s">
        <v>454</v>
      </c>
      <c r="D3669" t="s">
        <v>2472</v>
      </c>
      <c r="E3669" t="s">
        <v>2474</v>
      </c>
      <c r="F3669" t="s">
        <v>1947</v>
      </c>
      <c r="G3669" t="s">
        <v>1947</v>
      </c>
      <c r="H3669" s="10">
        <v>555090</v>
      </c>
      <c r="I3669" t="str">
        <f>IFERROR(VLOOKUP(Final!F3669,'LEAID Match'!$A$2:$B$374,2,FALSE),"")</f>
        <v/>
      </c>
      <c r="K3669" s="10">
        <f t="shared" si="57"/>
        <v>555090</v>
      </c>
    </row>
    <row r="3670" spans="1:11">
      <c r="A3670" t="s">
        <v>2470</v>
      </c>
      <c r="B3670" s="10">
        <v>2018</v>
      </c>
      <c r="C3670" t="s">
        <v>454</v>
      </c>
      <c r="D3670" t="s">
        <v>2472</v>
      </c>
      <c r="E3670" t="s">
        <v>2474</v>
      </c>
      <c r="F3670" t="s">
        <v>1947</v>
      </c>
      <c r="G3670" t="s">
        <v>1947</v>
      </c>
      <c r="H3670" s="10">
        <v>574665</v>
      </c>
      <c r="I3670" t="str">
        <f>IFERROR(VLOOKUP(Final!F3670,'LEAID Match'!$A$2:$B$374,2,FALSE),"")</f>
        <v/>
      </c>
      <c r="K3670" s="10">
        <f t="shared" si="57"/>
        <v>574665</v>
      </c>
    </row>
    <row r="3671" spans="1:11">
      <c r="A3671" t="s">
        <v>2470</v>
      </c>
      <c r="B3671" s="10">
        <v>2019</v>
      </c>
      <c r="C3671" t="s">
        <v>454</v>
      </c>
      <c r="D3671" t="s">
        <v>2472</v>
      </c>
      <c r="E3671" t="s">
        <v>2474</v>
      </c>
      <c r="F3671" t="s">
        <v>1947</v>
      </c>
      <c r="G3671" t="s">
        <v>1947</v>
      </c>
      <c r="H3671" s="10">
        <v>632766</v>
      </c>
      <c r="I3671" t="str">
        <f>IFERROR(VLOOKUP(Final!F3671,'LEAID Match'!$A$2:$B$374,2,FALSE),"")</f>
        <v/>
      </c>
      <c r="K3671" s="10">
        <f t="shared" si="57"/>
        <v>632766</v>
      </c>
    </row>
    <row r="3672" spans="1:11">
      <c r="A3672" t="s">
        <v>2470</v>
      </c>
      <c r="B3672" s="10">
        <v>2020</v>
      </c>
      <c r="C3672" t="s">
        <v>454</v>
      </c>
      <c r="D3672" t="s">
        <v>2472</v>
      </c>
      <c r="E3672" t="s">
        <v>2474</v>
      </c>
      <c r="F3672" t="s">
        <v>1947</v>
      </c>
      <c r="G3672" t="s">
        <v>1947</v>
      </c>
      <c r="H3672" s="10">
        <v>650851</v>
      </c>
      <c r="I3672" t="str">
        <f>IFERROR(VLOOKUP(Final!F3672,'LEAID Match'!$A$2:$B$374,2,FALSE),"")</f>
        <v/>
      </c>
      <c r="K3672" s="10">
        <f t="shared" si="57"/>
        <v>650851</v>
      </c>
    </row>
    <row r="3673" spans="1:11">
      <c r="A3673" t="s">
        <v>2470</v>
      </c>
      <c r="B3673" s="10">
        <v>2021</v>
      </c>
      <c r="C3673" t="s">
        <v>454</v>
      </c>
      <c r="D3673" t="s">
        <v>2472</v>
      </c>
      <c r="E3673" t="s">
        <v>2474</v>
      </c>
      <c r="F3673" t="s">
        <v>1947</v>
      </c>
      <c r="G3673" t="s">
        <v>1947</v>
      </c>
      <c r="H3673" s="10">
        <v>702988</v>
      </c>
      <c r="I3673" t="str">
        <f>IFERROR(VLOOKUP(Final!F3673,'LEAID Match'!$A$2:$B$374,2,FALSE),"")</f>
        <v/>
      </c>
      <c r="K3673" s="10">
        <f t="shared" si="57"/>
        <v>702988</v>
      </c>
    </row>
    <row r="3674" spans="1:11">
      <c r="A3674" t="s">
        <v>2470</v>
      </c>
      <c r="B3674" s="10">
        <v>2022</v>
      </c>
      <c r="C3674" t="s">
        <v>454</v>
      </c>
      <c r="D3674" t="s">
        <v>2472</v>
      </c>
      <c r="E3674" t="s">
        <v>2474</v>
      </c>
      <c r="F3674" t="s">
        <v>1947</v>
      </c>
      <c r="G3674" t="s">
        <v>1947</v>
      </c>
      <c r="H3674" s="10">
        <v>758408</v>
      </c>
      <c r="I3674" t="str">
        <f>IFERROR(VLOOKUP(Final!F3674,'LEAID Match'!$A$2:$B$374,2,FALSE),"")</f>
        <v/>
      </c>
      <c r="K3674" s="10">
        <f t="shared" si="57"/>
        <v>758408</v>
      </c>
    </row>
    <row r="3675" spans="1:11">
      <c r="A3675" t="s">
        <v>2470</v>
      </c>
      <c r="B3675" s="10">
        <v>2023</v>
      </c>
      <c r="C3675" t="s">
        <v>454</v>
      </c>
      <c r="D3675" t="s">
        <v>2472</v>
      </c>
      <c r="E3675" t="s">
        <v>2474</v>
      </c>
      <c r="F3675" t="s">
        <v>1947</v>
      </c>
      <c r="G3675" t="s">
        <v>1947</v>
      </c>
      <c r="H3675" s="10">
        <v>838808</v>
      </c>
      <c r="I3675" t="str">
        <f>IFERROR(VLOOKUP(Final!F3675,'LEAID Match'!$A$2:$B$374,2,FALSE),"")</f>
        <v/>
      </c>
      <c r="K3675" s="10">
        <f t="shared" si="57"/>
        <v>838808</v>
      </c>
    </row>
    <row r="3676" spans="1:11">
      <c r="A3676" t="s">
        <v>2470</v>
      </c>
      <c r="B3676" s="10">
        <v>2015</v>
      </c>
      <c r="C3676" t="s">
        <v>455</v>
      </c>
      <c r="D3676" t="s">
        <v>2472</v>
      </c>
      <c r="E3676" t="s">
        <v>2474</v>
      </c>
      <c r="F3676" t="s">
        <v>1950</v>
      </c>
      <c r="G3676" t="s">
        <v>400</v>
      </c>
      <c r="H3676" s="10">
        <v>1099865</v>
      </c>
      <c r="I3676" t="str">
        <f>IFERROR(VLOOKUP(Final!F3676,'LEAID Match'!$A$2:$B$374,2,FALSE),"")</f>
        <v/>
      </c>
      <c r="K3676" s="10">
        <f t="shared" si="57"/>
        <v>1099865</v>
      </c>
    </row>
    <row r="3677" spans="1:11">
      <c r="A3677" t="s">
        <v>2470</v>
      </c>
      <c r="B3677" s="10">
        <v>2016</v>
      </c>
      <c r="C3677" t="s">
        <v>455</v>
      </c>
      <c r="D3677" t="s">
        <v>2472</v>
      </c>
      <c r="E3677" t="s">
        <v>2474</v>
      </c>
      <c r="F3677" t="s">
        <v>1950</v>
      </c>
      <c r="G3677" t="s">
        <v>400</v>
      </c>
      <c r="H3677" s="10">
        <v>1149527</v>
      </c>
      <c r="I3677" t="str">
        <f>IFERROR(VLOOKUP(Final!F3677,'LEAID Match'!$A$2:$B$374,2,FALSE),"")</f>
        <v/>
      </c>
      <c r="K3677" s="10">
        <f t="shared" si="57"/>
        <v>1149527</v>
      </c>
    </row>
    <row r="3678" spans="1:11">
      <c r="A3678" t="s">
        <v>2470</v>
      </c>
      <c r="B3678" s="10">
        <v>2017</v>
      </c>
      <c r="C3678" t="s">
        <v>455</v>
      </c>
      <c r="D3678" t="s">
        <v>2472</v>
      </c>
      <c r="E3678" t="s">
        <v>2474</v>
      </c>
      <c r="F3678" t="s">
        <v>1950</v>
      </c>
      <c r="G3678" t="s">
        <v>1950</v>
      </c>
      <c r="H3678" s="10">
        <v>1159722</v>
      </c>
      <c r="I3678" t="str">
        <f>IFERROR(VLOOKUP(Final!F3678,'LEAID Match'!$A$2:$B$374,2,FALSE),"")</f>
        <v/>
      </c>
      <c r="K3678" s="10">
        <f t="shared" si="57"/>
        <v>1159722</v>
      </c>
    </row>
    <row r="3679" spans="1:11">
      <c r="A3679" t="s">
        <v>2470</v>
      </c>
      <c r="B3679" s="10">
        <v>2018</v>
      </c>
      <c r="C3679" t="s">
        <v>455</v>
      </c>
      <c r="D3679" t="s">
        <v>2472</v>
      </c>
      <c r="E3679" t="s">
        <v>2474</v>
      </c>
      <c r="F3679" t="s">
        <v>1950</v>
      </c>
      <c r="G3679" t="s">
        <v>1950</v>
      </c>
      <c r="H3679" s="10">
        <v>1220458</v>
      </c>
      <c r="I3679" t="str">
        <f>IFERROR(VLOOKUP(Final!F3679,'LEAID Match'!$A$2:$B$374,2,FALSE),"")</f>
        <v/>
      </c>
      <c r="K3679" s="10">
        <f t="shared" si="57"/>
        <v>1220458</v>
      </c>
    </row>
    <row r="3680" spans="1:11">
      <c r="A3680" t="s">
        <v>2470</v>
      </c>
      <c r="B3680" s="10">
        <v>2019</v>
      </c>
      <c r="C3680" t="s">
        <v>455</v>
      </c>
      <c r="D3680" t="s">
        <v>2472</v>
      </c>
      <c r="E3680" t="s">
        <v>2474</v>
      </c>
      <c r="F3680" t="s">
        <v>1950</v>
      </c>
      <c r="G3680" t="s">
        <v>1950</v>
      </c>
      <c r="H3680" s="10">
        <v>1339629</v>
      </c>
      <c r="I3680" t="str">
        <f>IFERROR(VLOOKUP(Final!F3680,'LEAID Match'!$A$2:$B$374,2,FALSE),"")</f>
        <v/>
      </c>
      <c r="K3680" s="10">
        <f t="shared" si="57"/>
        <v>1339629</v>
      </c>
    </row>
    <row r="3681" spans="1:11">
      <c r="A3681" t="s">
        <v>2470</v>
      </c>
      <c r="B3681" s="10">
        <v>2020</v>
      </c>
      <c r="C3681" t="s">
        <v>455</v>
      </c>
      <c r="D3681" t="s">
        <v>2472</v>
      </c>
      <c r="E3681" t="s">
        <v>2474</v>
      </c>
      <c r="F3681" t="s">
        <v>1950</v>
      </c>
      <c r="G3681" t="s">
        <v>1950</v>
      </c>
      <c r="H3681" s="10">
        <v>1429980</v>
      </c>
      <c r="I3681" t="str">
        <f>IFERROR(VLOOKUP(Final!F3681,'LEAID Match'!$A$2:$B$374,2,FALSE),"")</f>
        <v/>
      </c>
      <c r="K3681" s="10">
        <f t="shared" si="57"/>
        <v>1429980</v>
      </c>
    </row>
    <row r="3682" spans="1:11">
      <c r="A3682" t="s">
        <v>2470</v>
      </c>
      <c r="B3682" s="10">
        <v>2021</v>
      </c>
      <c r="C3682" t="s">
        <v>455</v>
      </c>
      <c r="D3682" t="s">
        <v>2472</v>
      </c>
      <c r="E3682" t="s">
        <v>2474</v>
      </c>
      <c r="F3682" t="s">
        <v>1950</v>
      </c>
      <c r="G3682" t="s">
        <v>1950</v>
      </c>
      <c r="H3682" s="10">
        <v>1476579</v>
      </c>
      <c r="I3682" t="str">
        <f>IFERROR(VLOOKUP(Final!F3682,'LEAID Match'!$A$2:$B$374,2,FALSE),"")</f>
        <v/>
      </c>
      <c r="K3682" s="10">
        <f t="shared" si="57"/>
        <v>1476579</v>
      </c>
    </row>
    <row r="3683" spans="1:11">
      <c r="A3683" t="s">
        <v>2470</v>
      </c>
      <c r="B3683" s="10">
        <v>2022</v>
      </c>
      <c r="C3683" t="s">
        <v>455</v>
      </c>
      <c r="D3683" t="s">
        <v>2472</v>
      </c>
      <c r="E3683" t="s">
        <v>2474</v>
      </c>
      <c r="F3683" t="s">
        <v>1950</v>
      </c>
      <c r="G3683" t="s">
        <v>1950</v>
      </c>
      <c r="H3683" s="10">
        <v>1575217</v>
      </c>
      <c r="I3683" t="str">
        <f>IFERROR(VLOOKUP(Final!F3683,'LEAID Match'!$A$2:$B$374,2,FALSE),"")</f>
        <v/>
      </c>
      <c r="K3683" s="10">
        <f t="shared" si="57"/>
        <v>1575217</v>
      </c>
    </row>
    <row r="3684" spans="1:11">
      <c r="A3684" t="s">
        <v>2470</v>
      </c>
      <c r="B3684" s="10">
        <v>2023</v>
      </c>
      <c r="C3684" t="s">
        <v>455</v>
      </c>
      <c r="D3684" t="s">
        <v>2472</v>
      </c>
      <c r="E3684" t="s">
        <v>2474</v>
      </c>
      <c r="F3684" t="s">
        <v>1950</v>
      </c>
      <c r="G3684" t="s">
        <v>1950</v>
      </c>
      <c r="H3684" s="10">
        <v>1750184</v>
      </c>
      <c r="I3684" t="str">
        <f>IFERROR(VLOOKUP(Final!F3684,'LEAID Match'!$A$2:$B$374,2,FALSE),"")</f>
        <v/>
      </c>
      <c r="K3684" s="10">
        <f t="shared" si="57"/>
        <v>1750184</v>
      </c>
    </row>
    <row r="3685" spans="1:11">
      <c r="A3685" t="s">
        <v>2470</v>
      </c>
      <c r="B3685" s="10">
        <v>2015</v>
      </c>
      <c r="C3685" t="s">
        <v>1245</v>
      </c>
      <c r="D3685" t="s">
        <v>2472</v>
      </c>
      <c r="E3685" t="s">
        <v>2474</v>
      </c>
      <c r="F3685" t="s">
        <v>1955</v>
      </c>
      <c r="G3685" t="s">
        <v>1191</v>
      </c>
      <c r="H3685" s="10">
        <v>151953</v>
      </c>
      <c r="I3685" t="str">
        <f>IFERROR(VLOOKUP(Final!F3685,'LEAID Match'!$A$2:$B$374,2,FALSE),"")</f>
        <v/>
      </c>
      <c r="K3685" s="10">
        <f t="shared" si="57"/>
        <v>151953</v>
      </c>
    </row>
    <row r="3686" spans="1:11">
      <c r="A3686" t="s">
        <v>2470</v>
      </c>
      <c r="B3686" s="10">
        <v>2016</v>
      </c>
      <c r="C3686" t="s">
        <v>1245</v>
      </c>
      <c r="D3686" t="s">
        <v>2472</v>
      </c>
      <c r="E3686" t="s">
        <v>2474</v>
      </c>
      <c r="F3686" t="s">
        <v>1955</v>
      </c>
      <c r="G3686" t="s">
        <v>1191</v>
      </c>
      <c r="H3686" s="10">
        <v>142647</v>
      </c>
      <c r="I3686" t="str">
        <f>IFERROR(VLOOKUP(Final!F3686,'LEAID Match'!$A$2:$B$374,2,FALSE),"")</f>
        <v/>
      </c>
      <c r="K3686" s="10">
        <f t="shared" si="57"/>
        <v>142647</v>
      </c>
    </row>
    <row r="3687" spans="1:11">
      <c r="A3687" t="s">
        <v>2470</v>
      </c>
      <c r="B3687" s="10">
        <v>2017</v>
      </c>
      <c r="C3687" t="s">
        <v>1245</v>
      </c>
      <c r="D3687" t="s">
        <v>2472</v>
      </c>
      <c r="E3687" t="s">
        <v>2474</v>
      </c>
      <c r="F3687" t="s">
        <v>1955</v>
      </c>
      <c r="G3687" t="s">
        <v>1955</v>
      </c>
      <c r="H3687" s="10">
        <v>140986</v>
      </c>
      <c r="I3687" t="str">
        <f>IFERROR(VLOOKUP(Final!F3687,'LEAID Match'!$A$2:$B$374,2,FALSE),"")</f>
        <v/>
      </c>
      <c r="K3687" s="10">
        <f t="shared" si="57"/>
        <v>140986</v>
      </c>
    </row>
    <row r="3688" spans="1:11">
      <c r="A3688" t="s">
        <v>2470</v>
      </c>
      <c r="B3688" s="10">
        <v>2018</v>
      </c>
      <c r="C3688" t="s">
        <v>1245</v>
      </c>
      <c r="D3688" t="s">
        <v>2472</v>
      </c>
      <c r="E3688" t="s">
        <v>2474</v>
      </c>
      <c r="F3688" t="s">
        <v>1955</v>
      </c>
      <c r="G3688" t="s">
        <v>1955</v>
      </c>
      <c r="H3688" s="10">
        <v>152274</v>
      </c>
      <c r="I3688" t="str">
        <f>IFERROR(VLOOKUP(Final!F3688,'LEAID Match'!$A$2:$B$374,2,FALSE),"")</f>
        <v/>
      </c>
      <c r="K3688" s="10">
        <f t="shared" si="57"/>
        <v>152274</v>
      </c>
    </row>
    <row r="3689" spans="1:11">
      <c r="A3689" t="s">
        <v>2470</v>
      </c>
      <c r="B3689" s="10">
        <v>2019</v>
      </c>
      <c r="C3689" t="s">
        <v>1245</v>
      </c>
      <c r="D3689" t="s">
        <v>2472</v>
      </c>
      <c r="E3689" t="s">
        <v>2474</v>
      </c>
      <c r="F3689" t="s">
        <v>1955</v>
      </c>
      <c r="G3689" t="s">
        <v>1955</v>
      </c>
      <c r="H3689" s="10">
        <v>165647</v>
      </c>
      <c r="I3689" t="str">
        <f>IFERROR(VLOOKUP(Final!F3689,'LEAID Match'!$A$2:$B$374,2,FALSE),"")</f>
        <v/>
      </c>
      <c r="K3689" s="10">
        <f t="shared" si="57"/>
        <v>165647</v>
      </c>
    </row>
    <row r="3690" spans="1:11">
      <c r="A3690" t="s">
        <v>2470</v>
      </c>
      <c r="B3690" s="10">
        <v>2020</v>
      </c>
      <c r="C3690" t="s">
        <v>1245</v>
      </c>
      <c r="D3690" t="s">
        <v>2472</v>
      </c>
      <c r="E3690" t="s">
        <v>2474</v>
      </c>
      <c r="F3690" t="s">
        <v>1955</v>
      </c>
      <c r="G3690" t="s">
        <v>1955</v>
      </c>
      <c r="H3690" s="10">
        <v>169408</v>
      </c>
      <c r="I3690" t="str">
        <f>IFERROR(VLOOKUP(Final!F3690,'LEAID Match'!$A$2:$B$374,2,FALSE),"")</f>
        <v/>
      </c>
      <c r="K3690" s="10">
        <f t="shared" si="57"/>
        <v>169408</v>
      </c>
    </row>
    <row r="3691" spans="1:11">
      <c r="A3691" t="s">
        <v>2470</v>
      </c>
      <c r="B3691" s="10">
        <v>2021</v>
      </c>
      <c r="C3691" t="s">
        <v>1245</v>
      </c>
      <c r="D3691" t="s">
        <v>2472</v>
      </c>
      <c r="E3691" t="s">
        <v>2474</v>
      </c>
      <c r="F3691" t="s">
        <v>1955</v>
      </c>
      <c r="G3691" t="s">
        <v>1955</v>
      </c>
      <c r="H3691" s="10">
        <v>163597</v>
      </c>
      <c r="I3691" t="str">
        <f>IFERROR(VLOOKUP(Final!F3691,'LEAID Match'!$A$2:$B$374,2,FALSE),"")</f>
        <v/>
      </c>
      <c r="K3691" s="10">
        <f t="shared" si="57"/>
        <v>163597</v>
      </c>
    </row>
    <row r="3692" spans="1:11">
      <c r="A3692" t="s">
        <v>2470</v>
      </c>
      <c r="B3692" s="10">
        <v>2022</v>
      </c>
      <c r="C3692" t="s">
        <v>1245</v>
      </c>
      <c r="D3692" t="s">
        <v>2472</v>
      </c>
      <c r="E3692" t="s">
        <v>2474</v>
      </c>
      <c r="F3692" t="s">
        <v>1955</v>
      </c>
      <c r="G3692" t="s">
        <v>1955</v>
      </c>
      <c r="H3692" s="10">
        <v>190413</v>
      </c>
      <c r="I3692" t="str">
        <f>IFERROR(VLOOKUP(Final!F3692,'LEAID Match'!$A$2:$B$374,2,FALSE),"")</f>
        <v/>
      </c>
      <c r="K3692" s="10">
        <f t="shared" si="57"/>
        <v>190413</v>
      </c>
    </row>
    <row r="3693" spans="1:11">
      <c r="A3693" t="s">
        <v>2470</v>
      </c>
      <c r="B3693" s="10">
        <v>2023</v>
      </c>
      <c r="C3693" t="s">
        <v>1245</v>
      </c>
      <c r="D3693" t="s">
        <v>2472</v>
      </c>
      <c r="E3693" t="s">
        <v>2474</v>
      </c>
      <c r="F3693" t="s">
        <v>1955</v>
      </c>
      <c r="G3693" t="s">
        <v>1955</v>
      </c>
      <c r="H3693" s="10">
        <v>188006</v>
      </c>
      <c r="I3693" t="str">
        <f>IFERROR(VLOOKUP(Final!F3693,'LEAID Match'!$A$2:$B$374,2,FALSE),"")</f>
        <v/>
      </c>
      <c r="K3693" s="10">
        <f t="shared" si="57"/>
        <v>188006</v>
      </c>
    </row>
    <row r="3694" spans="1:11">
      <c r="A3694" t="s">
        <v>2470</v>
      </c>
      <c r="B3694" s="10">
        <v>2015</v>
      </c>
      <c r="C3694" t="s">
        <v>457</v>
      </c>
      <c r="D3694" t="s">
        <v>2472</v>
      </c>
      <c r="E3694" t="s">
        <v>2474</v>
      </c>
      <c r="F3694" t="s">
        <v>1961</v>
      </c>
      <c r="G3694" t="s">
        <v>402</v>
      </c>
      <c r="H3694" s="10">
        <v>113145</v>
      </c>
      <c r="I3694" t="str">
        <f>IFERROR(VLOOKUP(Final!F3694,'LEAID Match'!$A$2:$B$374,2,FALSE),"")</f>
        <v/>
      </c>
      <c r="K3694" s="10">
        <f t="shared" si="57"/>
        <v>113145</v>
      </c>
    </row>
    <row r="3695" spans="1:11">
      <c r="A3695" t="s">
        <v>2470</v>
      </c>
      <c r="B3695" s="10">
        <v>2016</v>
      </c>
      <c r="C3695" t="s">
        <v>457</v>
      </c>
      <c r="D3695" t="s">
        <v>2472</v>
      </c>
      <c r="E3695" t="s">
        <v>2474</v>
      </c>
      <c r="F3695" t="s">
        <v>1961</v>
      </c>
      <c r="G3695" t="s">
        <v>402</v>
      </c>
      <c r="H3695" s="10">
        <v>157176</v>
      </c>
      <c r="I3695" t="str">
        <f>IFERROR(VLOOKUP(Final!F3695,'LEAID Match'!$A$2:$B$374,2,FALSE),"")</f>
        <v/>
      </c>
      <c r="K3695" s="10">
        <f t="shared" si="57"/>
        <v>157176</v>
      </c>
    </row>
    <row r="3696" spans="1:11">
      <c r="A3696" t="s">
        <v>2470</v>
      </c>
      <c r="B3696" s="10">
        <v>2017</v>
      </c>
      <c r="C3696" t="s">
        <v>457</v>
      </c>
      <c r="D3696" t="s">
        <v>2472</v>
      </c>
      <c r="E3696" t="s">
        <v>2474</v>
      </c>
      <c r="F3696" t="s">
        <v>1961</v>
      </c>
      <c r="G3696" t="s">
        <v>1961</v>
      </c>
      <c r="H3696" s="10">
        <v>123749</v>
      </c>
      <c r="I3696" t="str">
        <f>IFERROR(VLOOKUP(Final!F3696,'LEAID Match'!$A$2:$B$374,2,FALSE),"")</f>
        <v/>
      </c>
      <c r="K3696" s="10">
        <f t="shared" si="57"/>
        <v>123749</v>
      </c>
    </row>
    <row r="3697" spans="1:11">
      <c r="A3697" t="s">
        <v>2470</v>
      </c>
      <c r="B3697" s="10">
        <v>2018</v>
      </c>
      <c r="C3697" t="s">
        <v>457</v>
      </c>
      <c r="D3697" t="s">
        <v>2472</v>
      </c>
      <c r="E3697" t="s">
        <v>2474</v>
      </c>
      <c r="F3697" t="s">
        <v>1961</v>
      </c>
      <c r="G3697" t="s">
        <v>1961</v>
      </c>
      <c r="H3697" s="10">
        <v>121245</v>
      </c>
      <c r="I3697" t="str">
        <f>IFERROR(VLOOKUP(Final!F3697,'LEAID Match'!$A$2:$B$374,2,FALSE),"")</f>
        <v/>
      </c>
      <c r="K3697" s="10">
        <f t="shared" si="57"/>
        <v>121245</v>
      </c>
    </row>
    <row r="3698" spans="1:11">
      <c r="A3698" t="s">
        <v>2470</v>
      </c>
      <c r="B3698" s="10">
        <v>2019</v>
      </c>
      <c r="C3698" t="s">
        <v>457</v>
      </c>
      <c r="D3698" t="s">
        <v>2472</v>
      </c>
      <c r="E3698" t="s">
        <v>2474</v>
      </c>
      <c r="F3698" t="s">
        <v>1961</v>
      </c>
      <c r="G3698" t="s">
        <v>1961</v>
      </c>
      <c r="H3698" s="10">
        <v>120150</v>
      </c>
      <c r="I3698" t="str">
        <f>IFERROR(VLOOKUP(Final!F3698,'LEAID Match'!$A$2:$B$374,2,FALSE),"")</f>
        <v/>
      </c>
      <c r="K3698" s="10">
        <f t="shared" si="57"/>
        <v>120150</v>
      </c>
    </row>
    <row r="3699" spans="1:11">
      <c r="A3699" t="s">
        <v>2470</v>
      </c>
      <c r="B3699" s="10">
        <v>2020</v>
      </c>
      <c r="C3699" t="s">
        <v>457</v>
      </c>
      <c r="D3699" t="s">
        <v>2472</v>
      </c>
      <c r="E3699" t="s">
        <v>2474</v>
      </c>
      <c r="F3699" t="s">
        <v>1961</v>
      </c>
      <c r="G3699" t="s">
        <v>1961</v>
      </c>
      <c r="H3699" s="10">
        <v>124337</v>
      </c>
      <c r="I3699" t="str">
        <f>IFERROR(VLOOKUP(Final!F3699,'LEAID Match'!$A$2:$B$374,2,FALSE),"")</f>
        <v/>
      </c>
      <c r="K3699" s="10">
        <f t="shared" si="57"/>
        <v>124337</v>
      </c>
    </row>
    <row r="3700" spans="1:11">
      <c r="A3700" t="s">
        <v>2470</v>
      </c>
      <c r="B3700" s="10">
        <v>2021</v>
      </c>
      <c r="C3700" t="s">
        <v>457</v>
      </c>
      <c r="D3700" t="s">
        <v>2472</v>
      </c>
      <c r="E3700" t="s">
        <v>2474</v>
      </c>
      <c r="F3700" t="s">
        <v>1961</v>
      </c>
      <c r="G3700" t="s">
        <v>1961</v>
      </c>
      <c r="H3700" s="10">
        <v>124382</v>
      </c>
      <c r="I3700" t="str">
        <f>IFERROR(VLOOKUP(Final!F3700,'LEAID Match'!$A$2:$B$374,2,FALSE),"")</f>
        <v/>
      </c>
      <c r="K3700" s="10">
        <f t="shared" si="57"/>
        <v>124382</v>
      </c>
    </row>
    <row r="3701" spans="1:11">
      <c r="A3701" t="s">
        <v>2470</v>
      </c>
      <c r="B3701" s="10">
        <v>2022</v>
      </c>
      <c r="C3701" t="s">
        <v>457</v>
      </c>
      <c r="D3701" t="s">
        <v>2472</v>
      </c>
      <c r="E3701" t="s">
        <v>2474</v>
      </c>
      <c r="F3701" t="s">
        <v>1961</v>
      </c>
      <c r="G3701" t="s">
        <v>1961</v>
      </c>
      <c r="H3701" s="10">
        <v>136358</v>
      </c>
      <c r="I3701" t="str">
        <f>IFERROR(VLOOKUP(Final!F3701,'LEAID Match'!$A$2:$B$374,2,FALSE),"")</f>
        <v/>
      </c>
      <c r="K3701" s="10">
        <f t="shared" si="57"/>
        <v>136358</v>
      </c>
    </row>
    <row r="3702" spans="1:11">
      <c r="A3702" t="s">
        <v>2470</v>
      </c>
      <c r="B3702" s="10">
        <v>2023</v>
      </c>
      <c r="C3702" t="s">
        <v>457</v>
      </c>
      <c r="D3702" t="s">
        <v>2472</v>
      </c>
      <c r="E3702" t="s">
        <v>2474</v>
      </c>
      <c r="F3702" t="s">
        <v>1961</v>
      </c>
      <c r="G3702" t="s">
        <v>1961</v>
      </c>
      <c r="H3702" s="10">
        <v>148802</v>
      </c>
      <c r="I3702" t="str">
        <f>IFERROR(VLOOKUP(Final!F3702,'LEAID Match'!$A$2:$B$374,2,FALSE),"")</f>
        <v/>
      </c>
      <c r="K3702" s="10">
        <f t="shared" si="57"/>
        <v>148802</v>
      </c>
    </row>
    <row r="3703" spans="1:11">
      <c r="A3703" t="s">
        <v>2470</v>
      </c>
      <c r="B3703" s="10">
        <v>2015</v>
      </c>
      <c r="C3703" t="s">
        <v>1246</v>
      </c>
      <c r="D3703" t="s">
        <v>2472</v>
      </c>
      <c r="E3703" t="s">
        <v>2474</v>
      </c>
      <c r="F3703" t="s">
        <v>1964</v>
      </c>
      <c r="G3703" t="s">
        <v>1192</v>
      </c>
      <c r="H3703" s="10">
        <v>101346</v>
      </c>
      <c r="I3703" t="str">
        <f>IFERROR(VLOOKUP(Final!F3703,'LEAID Match'!$A$2:$B$374,2,FALSE),"")</f>
        <v/>
      </c>
      <c r="K3703" s="10">
        <f t="shared" si="57"/>
        <v>101346</v>
      </c>
    </row>
    <row r="3704" spans="1:11">
      <c r="A3704" t="s">
        <v>2470</v>
      </c>
      <c r="B3704" s="10">
        <v>2016</v>
      </c>
      <c r="C3704" t="s">
        <v>1246</v>
      </c>
      <c r="D3704" t="s">
        <v>2472</v>
      </c>
      <c r="E3704" t="s">
        <v>2474</v>
      </c>
      <c r="F3704" t="s">
        <v>1964</v>
      </c>
      <c r="G3704" t="s">
        <v>1192</v>
      </c>
      <c r="H3704" s="10">
        <v>106165</v>
      </c>
      <c r="I3704" t="str">
        <f>IFERROR(VLOOKUP(Final!F3704,'LEAID Match'!$A$2:$B$374,2,FALSE),"")</f>
        <v/>
      </c>
      <c r="K3704" s="10">
        <f t="shared" si="57"/>
        <v>106165</v>
      </c>
    </row>
    <row r="3705" spans="1:11">
      <c r="A3705" t="s">
        <v>2470</v>
      </c>
      <c r="B3705" s="10">
        <v>2017</v>
      </c>
      <c r="C3705" t="s">
        <v>1246</v>
      </c>
      <c r="D3705" t="s">
        <v>2472</v>
      </c>
      <c r="E3705" t="s">
        <v>2474</v>
      </c>
      <c r="F3705" t="s">
        <v>1964</v>
      </c>
      <c r="G3705" t="s">
        <v>1964</v>
      </c>
      <c r="H3705" s="10">
        <v>109261</v>
      </c>
      <c r="I3705" t="str">
        <f>IFERROR(VLOOKUP(Final!F3705,'LEAID Match'!$A$2:$B$374,2,FALSE),"")</f>
        <v/>
      </c>
      <c r="K3705" s="10">
        <f t="shared" si="57"/>
        <v>109261</v>
      </c>
    </row>
    <row r="3706" spans="1:11">
      <c r="A3706" t="s">
        <v>2470</v>
      </c>
      <c r="B3706" s="10">
        <v>2018</v>
      </c>
      <c r="C3706" t="s">
        <v>1246</v>
      </c>
      <c r="D3706" t="s">
        <v>2472</v>
      </c>
      <c r="E3706" t="s">
        <v>2474</v>
      </c>
      <c r="F3706" t="s">
        <v>1964</v>
      </c>
      <c r="G3706" t="s">
        <v>1964</v>
      </c>
      <c r="H3706" s="10">
        <v>110736</v>
      </c>
      <c r="I3706" t="str">
        <f>IFERROR(VLOOKUP(Final!F3706,'LEAID Match'!$A$2:$B$374,2,FALSE),"")</f>
        <v/>
      </c>
      <c r="K3706" s="10">
        <f t="shared" si="57"/>
        <v>110736</v>
      </c>
    </row>
    <row r="3707" spans="1:11">
      <c r="A3707" t="s">
        <v>2470</v>
      </c>
      <c r="B3707" s="10">
        <v>2019</v>
      </c>
      <c r="C3707" t="s">
        <v>1246</v>
      </c>
      <c r="D3707" t="s">
        <v>2472</v>
      </c>
      <c r="E3707" t="s">
        <v>2474</v>
      </c>
      <c r="F3707" t="s">
        <v>1964</v>
      </c>
      <c r="G3707" t="s">
        <v>1964</v>
      </c>
      <c r="H3707" s="10">
        <v>114240</v>
      </c>
      <c r="I3707" t="str">
        <f>IFERROR(VLOOKUP(Final!F3707,'LEAID Match'!$A$2:$B$374,2,FALSE),"")</f>
        <v/>
      </c>
      <c r="K3707" s="10">
        <f t="shared" si="57"/>
        <v>114240</v>
      </c>
    </row>
    <row r="3708" spans="1:11">
      <c r="A3708" t="s">
        <v>2470</v>
      </c>
      <c r="B3708" s="10">
        <v>2020</v>
      </c>
      <c r="C3708" t="s">
        <v>1246</v>
      </c>
      <c r="D3708" t="s">
        <v>2472</v>
      </c>
      <c r="E3708" t="s">
        <v>2474</v>
      </c>
      <c r="F3708" t="s">
        <v>1964</v>
      </c>
      <c r="G3708" t="s">
        <v>1964</v>
      </c>
      <c r="H3708" s="10">
        <v>120423</v>
      </c>
      <c r="I3708" t="str">
        <f>IFERROR(VLOOKUP(Final!F3708,'LEAID Match'!$A$2:$B$374,2,FALSE),"")</f>
        <v/>
      </c>
      <c r="K3708" s="10">
        <f t="shared" si="57"/>
        <v>120423</v>
      </c>
    </row>
    <row r="3709" spans="1:11">
      <c r="A3709" t="s">
        <v>2470</v>
      </c>
      <c r="B3709" s="10">
        <v>2021</v>
      </c>
      <c r="C3709" t="s">
        <v>1246</v>
      </c>
      <c r="D3709" t="s">
        <v>2472</v>
      </c>
      <c r="E3709" t="s">
        <v>2474</v>
      </c>
      <c r="F3709" t="s">
        <v>1964</v>
      </c>
      <c r="G3709" t="s">
        <v>1964</v>
      </c>
      <c r="H3709" s="10">
        <v>120331</v>
      </c>
      <c r="I3709" t="str">
        <f>IFERROR(VLOOKUP(Final!F3709,'LEAID Match'!$A$2:$B$374,2,FALSE),"")</f>
        <v/>
      </c>
      <c r="K3709" s="10">
        <f t="shared" si="57"/>
        <v>120331</v>
      </c>
    </row>
    <row r="3710" spans="1:11">
      <c r="A3710" t="s">
        <v>2470</v>
      </c>
      <c r="B3710" s="10">
        <v>2022</v>
      </c>
      <c r="C3710" t="s">
        <v>1246</v>
      </c>
      <c r="D3710" t="s">
        <v>2472</v>
      </c>
      <c r="E3710" t="s">
        <v>2474</v>
      </c>
      <c r="F3710" t="s">
        <v>1964</v>
      </c>
      <c r="G3710" t="s">
        <v>1964</v>
      </c>
      <c r="H3710" s="10">
        <v>131763</v>
      </c>
      <c r="I3710" t="str">
        <f>IFERROR(VLOOKUP(Final!F3710,'LEAID Match'!$A$2:$B$374,2,FALSE),"")</f>
        <v/>
      </c>
      <c r="K3710" s="10">
        <f t="shared" si="57"/>
        <v>131763</v>
      </c>
    </row>
    <row r="3711" spans="1:11">
      <c r="A3711" t="s">
        <v>2470</v>
      </c>
      <c r="B3711" s="10">
        <v>2023</v>
      </c>
      <c r="C3711" t="s">
        <v>1246</v>
      </c>
      <c r="D3711" t="s">
        <v>2472</v>
      </c>
      <c r="E3711" t="s">
        <v>2474</v>
      </c>
      <c r="F3711" t="s">
        <v>1964</v>
      </c>
      <c r="G3711" t="s">
        <v>1964</v>
      </c>
      <c r="H3711" s="10">
        <v>140252</v>
      </c>
      <c r="I3711" t="str">
        <f>IFERROR(VLOOKUP(Final!F3711,'LEAID Match'!$A$2:$B$374,2,FALSE),"")</f>
        <v/>
      </c>
      <c r="K3711" s="10">
        <f t="shared" si="57"/>
        <v>140252</v>
      </c>
    </row>
    <row r="3712" spans="1:11">
      <c r="A3712" t="s">
        <v>2470</v>
      </c>
      <c r="B3712" s="10">
        <v>2015</v>
      </c>
      <c r="C3712" t="s">
        <v>459</v>
      </c>
      <c r="D3712" t="s">
        <v>2472</v>
      </c>
      <c r="E3712" t="s">
        <v>2474</v>
      </c>
      <c r="F3712" t="s">
        <v>1977</v>
      </c>
      <c r="G3712" t="s">
        <v>404</v>
      </c>
      <c r="H3712" s="10">
        <v>3273878</v>
      </c>
      <c r="I3712" t="str">
        <f>IFERROR(VLOOKUP(Final!F3712,'LEAID Match'!$A$2:$B$374,2,FALSE),"")</f>
        <v/>
      </c>
      <c r="K3712" s="10">
        <f t="shared" si="57"/>
        <v>3273878</v>
      </c>
    </row>
    <row r="3713" spans="1:11">
      <c r="A3713" t="s">
        <v>2470</v>
      </c>
      <c r="B3713" s="10">
        <v>2016</v>
      </c>
      <c r="C3713" t="s">
        <v>459</v>
      </c>
      <c r="D3713" t="s">
        <v>2472</v>
      </c>
      <c r="E3713" t="s">
        <v>2474</v>
      </c>
      <c r="F3713" t="s">
        <v>1977</v>
      </c>
      <c r="G3713" t="s">
        <v>404</v>
      </c>
      <c r="H3713" s="10">
        <v>3574795</v>
      </c>
      <c r="I3713" t="str">
        <f>IFERROR(VLOOKUP(Final!F3713,'LEAID Match'!$A$2:$B$374,2,FALSE),"")</f>
        <v/>
      </c>
      <c r="K3713" s="10">
        <f t="shared" si="57"/>
        <v>3574795</v>
      </c>
    </row>
    <row r="3714" spans="1:11">
      <c r="A3714" t="s">
        <v>2470</v>
      </c>
      <c r="B3714" s="10">
        <v>2017</v>
      </c>
      <c r="C3714" t="s">
        <v>459</v>
      </c>
      <c r="D3714" t="s">
        <v>2472</v>
      </c>
      <c r="E3714" t="s">
        <v>2474</v>
      </c>
      <c r="F3714" t="s">
        <v>1977</v>
      </c>
      <c r="G3714" t="s">
        <v>1977</v>
      </c>
      <c r="H3714" s="10">
        <v>3797149</v>
      </c>
      <c r="I3714" t="str">
        <f>IFERROR(VLOOKUP(Final!F3714,'LEAID Match'!$A$2:$B$374,2,FALSE),"")</f>
        <v/>
      </c>
      <c r="K3714" s="10">
        <f t="shared" si="57"/>
        <v>3797149</v>
      </c>
    </row>
    <row r="3715" spans="1:11">
      <c r="A3715" t="s">
        <v>2470</v>
      </c>
      <c r="B3715" s="10">
        <v>2018</v>
      </c>
      <c r="C3715" t="s">
        <v>459</v>
      </c>
      <c r="D3715" t="s">
        <v>2472</v>
      </c>
      <c r="E3715" t="s">
        <v>2474</v>
      </c>
      <c r="F3715" t="s">
        <v>1977</v>
      </c>
      <c r="G3715" t="s">
        <v>1977</v>
      </c>
      <c r="H3715" s="10">
        <v>3995587</v>
      </c>
      <c r="I3715" t="str">
        <f>IFERROR(VLOOKUP(Final!F3715,'LEAID Match'!$A$2:$B$374,2,FALSE),"")</f>
        <v/>
      </c>
      <c r="K3715" s="10">
        <f t="shared" ref="K3715:K3778" si="58">SUM(H3715,J3715)</f>
        <v>3995587</v>
      </c>
    </row>
    <row r="3716" spans="1:11">
      <c r="A3716" t="s">
        <v>2470</v>
      </c>
      <c r="B3716" s="10">
        <v>2019</v>
      </c>
      <c r="C3716" t="s">
        <v>459</v>
      </c>
      <c r="D3716" t="s">
        <v>2472</v>
      </c>
      <c r="E3716" t="s">
        <v>2474</v>
      </c>
      <c r="F3716" t="s">
        <v>1977</v>
      </c>
      <c r="G3716" t="s">
        <v>1977</v>
      </c>
      <c r="H3716" s="10">
        <v>4523518</v>
      </c>
      <c r="I3716" t="str">
        <f>IFERROR(VLOOKUP(Final!F3716,'LEAID Match'!$A$2:$B$374,2,FALSE),"")</f>
        <v/>
      </c>
      <c r="K3716" s="10">
        <f t="shared" si="58"/>
        <v>4523518</v>
      </c>
    </row>
    <row r="3717" spans="1:11">
      <c r="A3717" t="s">
        <v>2470</v>
      </c>
      <c r="B3717" s="10">
        <v>2020</v>
      </c>
      <c r="C3717" t="s">
        <v>459</v>
      </c>
      <c r="D3717" t="s">
        <v>2472</v>
      </c>
      <c r="E3717" t="s">
        <v>2474</v>
      </c>
      <c r="F3717" t="s">
        <v>1977</v>
      </c>
      <c r="G3717" t="s">
        <v>1977</v>
      </c>
      <c r="H3717" s="10">
        <v>4707427</v>
      </c>
      <c r="I3717" t="str">
        <f>IFERROR(VLOOKUP(Final!F3717,'LEAID Match'!$A$2:$B$374,2,FALSE),"")</f>
        <v/>
      </c>
      <c r="K3717" s="10">
        <f t="shared" si="58"/>
        <v>4707427</v>
      </c>
    </row>
    <row r="3718" spans="1:11">
      <c r="A3718" t="s">
        <v>2470</v>
      </c>
      <c r="B3718" s="10">
        <v>2021</v>
      </c>
      <c r="C3718" t="s">
        <v>459</v>
      </c>
      <c r="D3718" t="s">
        <v>2472</v>
      </c>
      <c r="E3718" t="s">
        <v>2474</v>
      </c>
      <c r="F3718" t="s">
        <v>1977</v>
      </c>
      <c r="G3718" t="s">
        <v>1977</v>
      </c>
      <c r="H3718" s="10">
        <v>4950949</v>
      </c>
      <c r="I3718" t="str">
        <f>IFERROR(VLOOKUP(Final!F3718,'LEAID Match'!$A$2:$B$374,2,FALSE),"")</f>
        <v/>
      </c>
      <c r="K3718" s="10">
        <f t="shared" si="58"/>
        <v>4950949</v>
      </c>
    </row>
    <row r="3719" spans="1:11">
      <c r="A3719" t="s">
        <v>2470</v>
      </c>
      <c r="B3719" s="10">
        <v>2022</v>
      </c>
      <c r="C3719" t="s">
        <v>459</v>
      </c>
      <c r="D3719" t="s">
        <v>2472</v>
      </c>
      <c r="E3719" t="s">
        <v>2474</v>
      </c>
      <c r="F3719" t="s">
        <v>1977</v>
      </c>
      <c r="G3719" t="s">
        <v>1977</v>
      </c>
      <c r="H3719" s="10">
        <v>5714770</v>
      </c>
      <c r="I3719" t="str">
        <f>IFERROR(VLOOKUP(Final!F3719,'LEAID Match'!$A$2:$B$374,2,FALSE),"")</f>
        <v/>
      </c>
      <c r="K3719" s="10">
        <f t="shared" si="58"/>
        <v>5714770</v>
      </c>
    </row>
    <row r="3720" spans="1:11">
      <c r="A3720" t="s">
        <v>2470</v>
      </c>
      <c r="B3720" s="10">
        <v>2023</v>
      </c>
      <c r="C3720" t="s">
        <v>459</v>
      </c>
      <c r="D3720" t="s">
        <v>2472</v>
      </c>
      <c r="E3720" t="s">
        <v>2474</v>
      </c>
      <c r="F3720" t="s">
        <v>1977</v>
      </c>
      <c r="G3720" t="s">
        <v>1977</v>
      </c>
      <c r="H3720" s="10">
        <v>6174743</v>
      </c>
      <c r="I3720" t="str">
        <f>IFERROR(VLOOKUP(Final!F3720,'LEAID Match'!$A$2:$B$374,2,FALSE),"")</f>
        <v/>
      </c>
      <c r="K3720" s="10">
        <f t="shared" si="58"/>
        <v>6174743</v>
      </c>
    </row>
    <row r="3721" spans="1:11">
      <c r="A3721" t="s">
        <v>2470</v>
      </c>
      <c r="B3721" s="10">
        <v>2015</v>
      </c>
      <c r="C3721" t="s">
        <v>1248</v>
      </c>
      <c r="D3721" t="s">
        <v>2472</v>
      </c>
      <c r="E3721" t="s">
        <v>2474</v>
      </c>
      <c r="F3721" t="s">
        <v>1975</v>
      </c>
      <c r="G3721" t="s">
        <v>1194</v>
      </c>
      <c r="H3721" s="10">
        <v>42548</v>
      </c>
      <c r="I3721" t="str">
        <f>IFERROR(VLOOKUP(Final!F3721,'LEAID Match'!$A$2:$B$374,2,FALSE),"")</f>
        <v/>
      </c>
      <c r="K3721" s="10">
        <f t="shared" si="58"/>
        <v>42548</v>
      </c>
    </row>
    <row r="3722" spans="1:11">
      <c r="A3722" t="s">
        <v>2470</v>
      </c>
      <c r="B3722" s="10">
        <v>2016</v>
      </c>
      <c r="C3722" t="s">
        <v>1248</v>
      </c>
      <c r="D3722" t="s">
        <v>2472</v>
      </c>
      <c r="E3722" t="s">
        <v>2474</v>
      </c>
      <c r="F3722" t="s">
        <v>1975</v>
      </c>
      <c r="G3722" t="s">
        <v>1194</v>
      </c>
      <c r="H3722" s="10">
        <v>44949</v>
      </c>
      <c r="I3722" t="str">
        <f>IFERROR(VLOOKUP(Final!F3722,'LEAID Match'!$A$2:$B$374,2,FALSE),"")</f>
        <v/>
      </c>
      <c r="K3722" s="10">
        <f t="shared" si="58"/>
        <v>44949</v>
      </c>
    </row>
    <row r="3723" spans="1:11">
      <c r="A3723" t="s">
        <v>2470</v>
      </c>
      <c r="B3723" s="10">
        <v>2017</v>
      </c>
      <c r="C3723" t="s">
        <v>1248</v>
      </c>
      <c r="D3723" t="s">
        <v>2472</v>
      </c>
      <c r="E3723" t="s">
        <v>2474</v>
      </c>
      <c r="F3723" t="s">
        <v>1975</v>
      </c>
      <c r="G3723" t="s">
        <v>1975</v>
      </c>
      <c r="H3723" s="10">
        <v>51321</v>
      </c>
      <c r="I3723" t="str">
        <f>IFERROR(VLOOKUP(Final!F3723,'LEAID Match'!$A$2:$B$374,2,FALSE),"")</f>
        <v/>
      </c>
      <c r="K3723" s="10">
        <f t="shared" si="58"/>
        <v>51321</v>
      </c>
    </row>
    <row r="3724" spans="1:11">
      <c r="A3724" t="s">
        <v>2470</v>
      </c>
      <c r="B3724" s="10">
        <v>2018</v>
      </c>
      <c r="C3724" t="s">
        <v>1248</v>
      </c>
      <c r="D3724" t="s">
        <v>2472</v>
      </c>
      <c r="E3724" t="s">
        <v>2474</v>
      </c>
      <c r="F3724" t="s">
        <v>1975</v>
      </c>
      <c r="G3724" t="s">
        <v>1975</v>
      </c>
      <c r="H3724" s="10">
        <v>58056</v>
      </c>
      <c r="I3724" t="str">
        <f>IFERROR(VLOOKUP(Final!F3724,'LEAID Match'!$A$2:$B$374,2,FALSE),"")</f>
        <v/>
      </c>
      <c r="K3724" s="10">
        <f t="shared" si="58"/>
        <v>58056</v>
      </c>
    </row>
    <row r="3725" spans="1:11">
      <c r="A3725" t="s">
        <v>2470</v>
      </c>
      <c r="B3725" s="10">
        <v>2019</v>
      </c>
      <c r="C3725" t="s">
        <v>1248</v>
      </c>
      <c r="D3725" t="s">
        <v>2472</v>
      </c>
      <c r="E3725" t="s">
        <v>2474</v>
      </c>
      <c r="F3725" t="s">
        <v>1975</v>
      </c>
      <c r="G3725" t="s">
        <v>1975</v>
      </c>
      <c r="H3725" s="10">
        <v>62465</v>
      </c>
      <c r="I3725" t="str">
        <f>IFERROR(VLOOKUP(Final!F3725,'LEAID Match'!$A$2:$B$374,2,FALSE),"")</f>
        <v/>
      </c>
      <c r="K3725" s="10">
        <f t="shared" si="58"/>
        <v>62465</v>
      </c>
    </row>
    <row r="3726" spans="1:11">
      <c r="A3726" t="s">
        <v>2470</v>
      </c>
      <c r="B3726" s="10">
        <v>2020</v>
      </c>
      <c r="C3726" t="s">
        <v>1248</v>
      </c>
      <c r="D3726" t="s">
        <v>2472</v>
      </c>
      <c r="E3726" t="s">
        <v>2474</v>
      </c>
      <c r="F3726" t="s">
        <v>1975</v>
      </c>
      <c r="G3726" t="s">
        <v>1975</v>
      </c>
      <c r="H3726" s="10">
        <v>74573</v>
      </c>
      <c r="I3726" t="str">
        <f>IFERROR(VLOOKUP(Final!F3726,'LEAID Match'!$A$2:$B$374,2,FALSE),"")</f>
        <v/>
      </c>
      <c r="K3726" s="10">
        <f t="shared" si="58"/>
        <v>74573</v>
      </c>
    </row>
    <row r="3727" spans="1:11">
      <c r="A3727" t="s">
        <v>2470</v>
      </c>
      <c r="B3727" s="10">
        <v>2021</v>
      </c>
      <c r="C3727" t="s">
        <v>1248</v>
      </c>
      <c r="D3727" t="s">
        <v>2472</v>
      </c>
      <c r="E3727" t="s">
        <v>2474</v>
      </c>
      <c r="F3727" t="s">
        <v>1975</v>
      </c>
      <c r="G3727" t="s">
        <v>1975</v>
      </c>
      <c r="H3727" s="10">
        <v>78372</v>
      </c>
      <c r="I3727" t="str">
        <f>IFERROR(VLOOKUP(Final!F3727,'LEAID Match'!$A$2:$B$374,2,FALSE),"")</f>
        <v/>
      </c>
      <c r="K3727" s="10">
        <f t="shared" si="58"/>
        <v>78372</v>
      </c>
    </row>
    <row r="3728" spans="1:11">
      <c r="A3728" t="s">
        <v>2470</v>
      </c>
      <c r="B3728" s="10">
        <v>2022</v>
      </c>
      <c r="C3728" t="s">
        <v>1248</v>
      </c>
      <c r="D3728" t="s">
        <v>2472</v>
      </c>
      <c r="E3728" t="s">
        <v>2474</v>
      </c>
      <c r="F3728" t="s">
        <v>1975</v>
      </c>
      <c r="G3728" t="s">
        <v>1975</v>
      </c>
      <c r="H3728" s="10">
        <v>82539</v>
      </c>
      <c r="I3728" t="str">
        <f>IFERROR(VLOOKUP(Final!F3728,'LEAID Match'!$A$2:$B$374,2,FALSE),"")</f>
        <v/>
      </c>
      <c r="K3728" s="10">
        <f t="shared" si="58"/>
        <v>82539</v>
      </c>
    </row>
    <row r="3729" spans="1:11">
      <c r="A3729" t="s">
        <v>2470</v>
      </c>
      <c r="B3729" s="10">
        <v>2023</v>
      </c>
      <c r="C3729" t="s">
        <v>1248</v>
      </c>
      <c r="D3729" t="s">
        <v>2472</v>
      </c>
      <c r="E3729" t="s">
        <v>2474</v>
      </c>
      <c r="F3729" t="s">
        <v>1975</v>
      </c>
      <c r="G3729" t="s">
        <v>1975</v>
      </c>
      <c r="H3729" s="10">
        <v>83455</v>
      </c>
      <c r="I3729" t="str">
        <f>IFERROR(VLOOKUP(Final!F3729,'LEAID Match'!$A$2:$B$374,2,FALSE),"")</f>
        <v/>
      </c>
      <c r="K3729" s="10">
        <f t="shared" si="58"/>
        <v>83455</v>
      </c>
    </row>
    <row r="3730" spans="1:11">
      <c r="A3730" t="s">
        <v>2470</v>
      </c>
      <c r="B3730" s="10">
        <v>2015</v>
      </c>
      <c r="C3730" t="s">
        <v>1249</v>
      </c>
      <c r="D3730" t="s">
        <v>2472</v>
      </c>
      <c r="E3730" t="s">
        <v>2474</v>
      </c>
      <c r="F3730" t="s">
        <v>1980</v>
      </c>
      <c r="G3730" t="s">
        <v>1195</v>
      </c>
      <c r="H3730" s="10">
        <v>83568</v>
      </c>
      <c r="I3730" t="str">
        <f>IFERROR(VLOOKUP(Final!F3730,'LEAID Match'!$A$2:$B$374,2,FALSE),"")</f>
        <v/>
      </c>
      <c r="K3730" s="10">
        <f t="shared" si="58"/>
        <v>83568</v>
      </c>
    </row>
    <row r="3731" spans="1:11">
      <c r="A3731" t="s">
        <v>2470</v>
      </c>
      <c r="B3731" s="10">
        <v>2016</v>
      </c>
      <c r="C3731" t="s">
        <v>1249</v>
      </c>
      <c r="D3731" t="s">
        <v>2472</v>
      </c>
      <c r="E3731" t="s">
        <v>2474</v>
      </c>
      <c r="F3731" t="s">
        <v>1980</v>
      </c>
      <c r="G3731" t="s">
        <v>1195</v>
      </c>
      <c r="H3731" s="10">
        <v>96518</v>
      </c>
      <c r="I3731" t="str">
        <f>IFERROR(VLOOKUP(Final!F3731,'LEAID Match'!$A$2:$B$374,2,FALSE),"")</f>
        <v/>
      </c>
      <c r="K3731" s="10">
        <f t="shared" si="58"/>
        <v>96518</v>
      </c>
    </row>
    <row r="3732" spans="1:11">
      <c r="A3732" t="s">
        <v>2470</v>
      </c>
      <c r="B3732" s="10">
        <v>2017</v>
      </c>
      <c r="C3732" t="s">
        <v>1249</v>
      </c>
      <c r="D3732" t="s">
        <v>2472</v>
      </c>
      <c r="E3732" t="s">
        <v>2474</v>
      </c>
      <c r="F3732" t="s">
        <v>1980</v>
      </c>
      <c r="G3732" t="s">
        <v>1980</v>
      </c>
      <c r="H3732" s="10">
        <v>119631</v>
      </c>
      <c r="I3732" t="str">
        <f>IFERROR(VLOOKUP(Final!F3732,'LEAID Match'!$A$2:$B$374,2,FALSE),"")</f>
        <v/>
      </c>
      <c r="K3732" s="10">
        <f t="shared" si="58"/>
        <v>119631</v>
      </c>
    </row>
    <row r="3733" spans="1:11">
      <c r="A3733" t="s">
        <v>2470</v>
      </c>
      <c r="B3733" s="10">
        <v>2018</v>
      </c>
      <c r="C3733" t="s">
        <v>1249</v>
      </c>
      <c r="D3733" t="s">
        <v>2472</v>
      </c>
      <c r="E3733" t="s">
        <v>2474</v>
      </c>
      <c r="F3733" t="s">
        <v>1980</v>
      </c>
      <c r="G3733" t="s">
        <v>1980</v>
      </c>
      <c r="H3733" s="10">
        <v>136500</v>
      </c>
      <c r="I3733" t="str">
        <f>IFERROR(VLOOKUP(Final!F3733,'LEAID Match'!$A$2:$B$374,2,FALSE),"")</f>
        <v/>
      </c>
      <c r="K3733" s="10">
        <f t="shared" si="58"/>
        <v>136500</v>
      </c>
    </row>
    <row r="3734" spans="1:11">
      <c r="A3734" t="s">
        <v>2470</v>
      </c>
      <c r="B3734" s="10">
        <v>2019</v>
      </c>
      <c r="C3734" t="s">
        <v>1249</v>
      </c>
      <c r="D3734" t="s">
        <v>2472</v>
      </c>
      <c r="E3734" t="s">
        <v>2474</v>
      </c>
      <c r="F3734" t="s">
        <v>1980</v>
      </c>
      <c r="G3734" t="s">
        <v>1980</v>
      </c>
      <c r="H3734" s="10">
        <v>136577</v>
      </c>
      <c r="I3734" t="str">
        <f>IFERROR(VLOOKUP(Final!F3734,'LEAID Match'!$A$2:$B$374,2,FALSE),"")</f>
        <v/>
      </c>
      <c r="K3734" s="10">
        <f t="shared" si="58"/>
        <v>136577</v>
      </c>
    </row>
    <row r="3735" spans="1:11">
      <c r="A3735" t="s">
        <v>2470</v>
      </c>
      <c r="B3735" s="10">
        <v>2020</v>
      </c>
      <c r="C3735" t="s">
        <v>1249</v>
      </c>
      <c r="D3735" t="s">
        <v>2472</v>
      </c>
      <c r="E3735" t="s">
        <v>2474</v>
      </c>
      <c r="F3735" t="s">
        <v>1980</v>
      </c>
      <c r="G3735" t="s">
        <v>1980</v>
      </c>
      <c r="H3735" s="10">
        <v>101659</v>
      </c>
      <c r="I3735" t="str">
        <f>IFERROR(VLOOKUP(Final!F3735,'LEAID Match'!$A$2:$B$374,2,FALSE),"")</f>
        <v/>
      </c>
      <c r="K3735" s="10">
        <f t="shared" si="58"/>
        <v>101659</v>
      </c>
    </row>
    <row r="3736" spans="1:11">
      <c r="A3736" t="s">
        <v>2470</v>
      </c>
      <c r="B3736" s="10">
        <v>2021</v>
      </c>
      <c r="C3736" t="s">
        <v>1249</v>
      </c>
      <c r="D3736" t="s">
        <v>2472</v>
      </c>
      <c r="E3736" t="s">
        <v>2474</v>
      </c>
      <c r="F3736" t="s">
        <v>1980</v>
      </c>
      <c r="G3736" t="s">
        <v>1980</v>
      </c>
      <c r="H3736" s="10">
        <v>111739</v>
      </c>
      <c r="I3736" t="str">
        <f>IFERROR(VLOOKUP(Final!F3736,'LEAID Match'!$A$2:$B$374,2,FALSE),"")</f>
        <v/>
      </c>
      <c r="K3736" s="10">
        <f t="shared" si="58"/>
        <v>111739</v>
      </c>
    </row>
    <row r="3737" spans="1:11">
      <c r="A3737" t="s">
        <v>2470</v>
      </c>
      <c r="B3737" s="10">
        <v>2022</v>
      </c>
      <c r="C3737" t="s">
        <v>1249</v>
      </c>
      <c r="D3737" t="s">
        <v>2472</v>
      </c>
      <c r="E3737" t="s">
        <v>2474</v>
      </c>
      <c r="F3737" t="s">
        <v>1980</v>
      </c>
      <c r="G3737" t="s">
        <v>1980</v>
      </c>
      <c r="H3737" s="10">
        <v>132147</v>
      </c>
      <c r="I3737" t="str">
        <f>IFERROR(VLOOKUP(Final!F3737,'LEAID Match'!$A$2:$B$374,2,FALSE),"")</f>
        <v/>
      </c>
      <c r="K3737" s="10">
        <f t="shared" si="58"/>
        <v>132147</v>
      </c>
    </row>
    <row r="3738" spans="1:11">
      <c r="A3738" t="s">
        <v>2470</v>
      </c>
      <c r="B3738" s="10">
        <v>2023</v>
      </c>
      <c r="C3738" t="s">
        <v>1249</v>
      </c>
      <c r="D3738" t="s">
        <v>2472</v>
      </c>
      <c r="E3738" t="s">
        <v>2474</v>
      </c>
      <c r="F3738" t="s">
        <v>1980</v>
      </c>
      <c r="G3738" t="s">
        <v>1980</v>
      </c>
      <c r="H3738" s="10">
        <v>127939</v>
      </c>
      <c r="I3738" t="str">
        <f>IFERROR(VLOOKUP(Final!F3738,'LEAID Match'!$A$2:$B$374,2,FALSE),"")</f>
        <v/>
      </c>
      <c r="K3738" s="10">
        <f t="shared" si="58"/>
        <v>127939</v>
      </c>
    </row>
    <row r="3739" spans="1:11">
      <c r="A3739" t="s">
        <v>2470</v>
      </c>
      <c r="B3739" s="10">
        <v>2015</v>
      </c>
      <c r="C3739" t="s">
        <v>460</v>
      </c>
      <c r="D3739" t="s">
        <v>2472</v>
      </c>
      <c r="E3739" t="s">
        <v>2474</v>
      </c>
      <c r="F3739" t="s">
        <v>1984</v>
      </c>
      <c r="G3739" t="s">
        <v>405</v>
      </c>
      <c r="H3739" s="10">
        <v>7674811</v>
      </c>
      <c r="I3739" t="str">
        <f>IFERROR(VLOOKUP(Final!F3739,'LEAID Match'!$A$2:$B$374,2,FALSE),"")</f>
        <v/>
      </c>
      <c r="K3739" s="10">
        <f t="shared" si="58"/>
        <v>7674811</v>
      </c>
    </row>
    <row r="3740" spans="1:11">
      <c r="A3740" t="s">
        <v>2470</v>
      </c>
      <c r="B3740" s="10">
        <v>2016</v>
      </c>
      <c r="C3740" t="s">
        <v>460</v>
      </c>
      <c r="D3740" t="s">
        <v>2472</v>
      </c>
      <c r="E3740" t="s">
        <v>2474</v>
      </c>
      <c r="F3740" t="s">
        <v>1984</v>
      </c>
      <c r="G3740" t="s">
        <v>405</v>
      </c>
      <c r="H3740" s="10">
        <v>7933275</v>
      </c>
      <c r="I3740" t="str">
        <f>IFERROR(VLOOKUP(Final!F3740,'LEAID Match'!$A$2:$B$374,2,FALSE),"")</f>
        <v/>
      </c>
      <c r="K3740" s="10">
        <f t="shared" si="58"/>
        <v>7933275</v>
      </c>
    </row>
    <row r="3741" spans="1:11">
      <c r="A3741" t="s">
        <v>2470</v>
      </c>
      <c r="B3741" s="10">
        <v>2017</v>
      </c>
      <c r="C3741" t="s">
        <v>460</v>
      </c>
      <c r="D3741" t="s">
        <v>2472</v>
      </c>
      <c r="E3741" t="s">
        <v>2474</v>
      </c>
      <c r="F3741" t="s">
        <v>1984</v>
      </c>
      <c r="G3741" t="s">
        <v>1984</v>
      </c>
      <c r="H3741" s="10">
        <v>7998436</v>
      </c>
      <c r="I3741" t="str">
        <f>IFERROR(VLOOKUP(Final!F3741,'LEAID Match'!$A$2:$B$374,2,FALSE),"")</f>
        <v/>
      </c>
      <c r="K3741" s="10">
        <f t="shared" si="58"/>
        <v>7998436</v>
      </c>
    </row>
    <row r="3742" spans="1:11">
      <c r="A3742" t="s">
        <v>2470</v>
      </c>
      <c r="B3742" s="10">
        <v>2018</v>
      </c>
      <c r="C3742" t="s">
        <v>460</v>
      </c>
      <c r="D3742" t="s">
        <v>2472</v>
      </c>
      <c r="E3742" t="s">
        <v>2474</v>
      </c>
      <c r="F3742" t="s">
        <v>1984</v>
      </c>
      <c r="G3742" t="s">
        <v>1984</v>
      </c>
      <c r="H3742" s="10">
        <v>8401411</v>
      </c>
      <c r="I3742" t="str">
        <f>IFERROR(VLOOKUP(Final!F3742,'LEAID Match'!$A$2:$B$374,2,FALSE),"")</f>
        <v/>
      </c>
      <c r="K3742" s="10">
        <f t="shared" si="58"/>
        <v>8401411</v>
      </c>
    </row>
    <row r="3743" spans="1:11">
      <c r="A3743" t="s">
        <v>2470</v>
      </c>
      <c r="B3743" s="10">
        <v>2019</v>
      </c>
      <c r="C3743" t="s">
        <v>460</v>
      </c>
      <c r="D3743" t="s">
        <v>2472</v>
      </c>
      <c r="E3743" t="s">
        <v>2474</v>
      </c>
      <c r="F3743" t="s">
        <v>1984</v>
      </c>
      <c r="G3743" t="s">
        <v>1984</v>
      </c>
      <c r="H3743" s="10">
        <v>8996952</v>
      </c>
      <c r="I3743" t="str">
        <f>IFERROR(VLOOKUP(Final!F3743,'LEAID Match'!$A$2:$B$374,2,FALSE),"")</f>
        <v/>
      </c>
      <c r="K3743" s="10">
        <f t="shared" si="58"/>
        <v>8996952</v>
      </c>
    </row>
    <row r="3744" spans="1:11">
      <c r="A3744" t="s">
        <v>2470</v>
      </c>
      <c r="B3744" s="10">
        <v>2020</v>
      </c>
      <c r="C3744" t="s">
        <v>460</v>
      </c>
      <c r="D3744" t="s">
        <v>2472</v>
      </c>
      <c r="E3744" t="s">
        <v>2474</v>
      </c>
      <c r="F3744" t="s">
        <v>1984</v>
      </c>
      <c r="G3744" t="s">
        <v>1984</v>
      </c>
      <c r="H3744" s="10">
        <v>9576743</v>
      </c>
      <c r="I3744" t="str">
        <f>IFERROR(VLOOKUP(Final!F3744,'LEAID Match'!$A$2:$B$374,2,FALSE),"")</f>
        <v/>
      </c>
      <c r="K3744" s="10">
        <f t="shared" si="58"/>
        <v>9576743</v>
      </c>
    </row>
    <row r="3745" spans="1:11">
      <c r="A3745" t="s">
        <v>2470</v>
      </c>
      <c r="B3745" s="10">
        <v>2021</v>
      </c>
      <c r="C3745" t="s">
        <v>460</v>
      </c>
      <c r="D3745" t="s">
        <v>2472</v>
      </c>
      <c r="E3745" t="s">
        <v>2474</v>
      </c>
      <c r="F3745" t="s">
        <v>1984</v>
      </c>
      <c r="G3745" t="s">
        <v>1984</v>
      </c>
      <c r="H3745" s="10">
        <v>9867453</v>
      </c>
      <c r="I3745" t="str">
        <f>IFERROR(VLOOKUP(Final!F3745,'LEAID Match'!$A$2:$B$374,2,FALSE),"")</f>
        <v/>
      </c>
      <c r="K3745" s="10">
        <f t="shared" si="58"/>
        <v>9867453</v>
      </c>
    </row>
    <row r="3746" spans="1:11">
      <c r="A3746" t="s">
        <v>2470</v>
      </c>
      <c r="B3746" s="10">
        <v>2022</v>
      </c>
      <c r="C3746" t="s">
        <v>460</v>
      </c>
      <c r="D3746" t="s">
        <v>2472</v>
      </c>
      <c r="E3746" t="s">
        <v>2474</v>
      </c>
      <c r="F3746" t="s">
        <v>1984</v>
      </c>
      <c r="G3746" t="s">
        <v>1984</v>
      </c>
      <c r="H3746" s="10">
        <v>10697562</v>
      </c>
      <c r="I3746" t="str">
        <f>IFERROR(VLOOKUP(Final!F3746,'LEAID Match'!$A$2:$B$374,2,FALSE),"")</f>
        <v/>
      </c>
      <c r="K3746" s="10">
        <f t="shared" si="58"/>
        <v>10697562</v>
      </c>
    </row>
    <row r="3747" spans="1:11">
      <c r="A3747" t="s">
        <v>2470</v>
      </c>
      <c r="B3747" s="10">
        <v>2023</v>
      </c>
      <c r="C3747" t="s">
        <v>460</v>
      </c>
      <c r="D3747" t="s">
        <v>2472</v>
      </c>
      <c r="E3747" t="s">
        <v>2474</v>
      </c>
      <c r="F3747" t="s">
        <v>1984</v>
      </c>
      <c r="G3747" t="s">
        <v>1984</v>
      </c>
      <c r="H3747" s="10">
        <v>11465254</v>
      </c>
      <c r="I3747" t="str">
        <f>IFERROR(VLOOKUP(Final!F3747,'LEAID Match'!$A$2:$B$374,2,FALSE),"")</f>
        <v/>
      </c>
      <c r="K3747" s="10">
        <f t="shared" si="58"/>
        <v>11465254</v>
      </c>
    </row>
    <row r="3748" spans="1:11">
      <c r="A3748" t="s">
        <v>2470</v>
      </c>
      <c r="B3748" s="10">
        <v>2015</v>
      </c>
      <c r="C3748" t="s">
        <v>1250</v>
      </c>
      <c r="D3748" t="s">
        <v>2472</v>
      </c>
      <c r="E3748" t="s">
        <v>2474</v>
      </c>
      <c r="F3748" t="s">
        <v>1986</v>
      </c>
      <c r="G3748" t="s">
        <v>1196</v>
      </c>
      <c r="H3748" s="10">
        <v>145066</v>
      </c>
      <c r="I3748" t="str">
        <f>IFERROR(VLOOKUP(Final!F3748,'LEAID Match'!$A$2:$B$374,2,FALSE),"")</f>
        <v/>
      </c>
      <c r="K3748" s="10">
        <f t="shared" si="58"/>
        <v>145066</v>
      </c>
    </row>
    <row r="3749" spans="1:11">
      <c r="A3749" t="s">
        <v>2470</v>
      </c>
      <c r="B3749" s="10">
        <v>2016</v>
      </c>
      <c r="C3749" t="s">
        <v>1250</v>
      </c>
      <c r="D3749" t="s">
        <v>2472</v>
      </c>
      <c r="E3749" t="s">
        <v>2474</v>
      </c>
      <c r="F3749" t="s">
        <v>1986</v>
      </c>
      <c r="G3749" t="s">
        <v>1196</v>
      </c>
      <c r="H3749" s="10">
        <v>152801</v>
      </c>
      <c r="I3749" t="str">
        <f>IFERROR(VLOOKUP(Final!F3749,'LEAID Match'!$A$2:$B$374,2,FALSE),"")</f>
        <v/>
      </c>
      <c r="K3749" s="10">
        <f t="shared" si="58"/>
        <v>152801</v>
      </c>
    </row>
    <row r="3750" spans="1:11">
      <c r="A3750" t="s">
        <v>2470</v>
      </c>
      <c r="B3750" s="10">
        <v>2017</v>
      </c>
      <c r="C3750" t="s">
        <v>1250</v>
      </c>
      <c r="D3750" t="s">
        <v>2472</v>
      </c>
      <c r="E3750" t="s">
        <v>2474</v>
      </c>
      <c r="F3750" t="s">
        <v>1986</v>
      </c>
      <c r="G3750" t="s">
        <v>1986</v>
      </c>
      <c r="H3750" s="10">
        <v>153432</v>
      </c>
      <c r="I3750" t="str">
        <f>IFERROR(VLOOKUP(Final!F3750,'LEAID Match'!$A$2:$B$374,2,FALSE),"")</f>
        <v/>
      </c>
      <c r="K3750" s="10">
        <f t="shared" si="58"/>
        <v>153432</v>
      </c>
    </row>
    <row r="3751" spans="1:11">
      <c r="A3751" t="s">
        <v>2470</v>
      </c>
      <c r="B3751" s="10">
        <v>2018</v>
      </c>
      <c r="C3751" t="s">
        <v>1250</v>
      </c>
      <c r="D3751" t="s">
        <v>2472</v>
      </c>
      <c r="E3751" t="s">
        <v>2474</v>
      </c>
      <c r="F3751" t="s">
        <v>1986</v>
      </c>
      <c r="G3751" t="s">
        <v>1986</v>
      </c>
      <c r="H3751" s="10">
        <v>173165</v>
      </c>
      <c r="I3751" t="str">
        <f>IFERROR(VLOOKUP(Final!F3751,'LEAID Match'!$A$2:$B$374,2,FALSE),"")</f>
        <v/>
      </c>
      <c r="K3751" s="10">
        <f t="shared" si="58"/>
        <v>173165</v>
      </c>
    </row>
    <row r="3752" spans="1:11">
      <c r="A3752" t="s">
        <v>2470</v>
      </c>
      <c r="B3752" s="10">
        <v>2019</v>
      </c>
      <c r="C3752" t="s">
        <v>1250</v>
      </c>
      <c r="D3752" t="s">
        <v>2472</v>
      </c>
      <c r="E3752" t="s">
        <v>2474</v>
      </c>
      <c r="F3752" t="s">
        <v>1986</v>
      </c>
      <c r="G3752" t="s">
        <v>1986</v>
      </c>
      <c r="H3752" s="10">
        <v>184357</v>
      </c>
      <c r="I3752" t="str">
        <f>IFERROR(VLOOKUP(Final!F3752,'LEAID Match'!$A$2:$B$374,2,FALSE),"")</f>
        <v/>
      </c>
      <c r="K3752" s="10">
        <f t="shared" si="58"/>
        <v>184357</v>
      </c>
    </row>
    <row r="3753" spans="1:11">
      <c r="A3753" t="s">
        <v>2470</v>
      </c>
      <c r="B3753" s="10">
        <v>2020</v>
      </c>
      <c r="C3753" t="s">
        <v>1250</v>
      </c>
      <c r="D3753" t="s">
        <v>2472</v>
      </c>
      <c r="E3753" t="s">
        <v>2474</v>
      </c>
      <c r="F3753" t="s">
        <v>1986</v>
      </c>
      <c r="G3753" t="s">
        <v>1986</v>
      </c>
      <c r="H3753" s="10">
        <v>184070</v>
      </c>
      <c r="I3753" t="str">
        <f>IFERROR(VLOOKUP(Final!F3753,'LEAID Match'!$A$2:$B$374,2,FALSE),"")</f>
        <v/>
      </c>
      <c r="K3753" s="10">
        <f t="shared" si="58"/>
        <v>184070</v>
      </c>
    </row>
    <row r="3754" spans="1:11">
      <c r="A3754" t="s">
        <v>2470</v>
      </c>
      <c r="B3754" s="10">
        <v>2021</v>
      </c>
      <c r="C3754" t="s">
        <v>1250</v>
      </c>
      <c r="D3754" t="s">
        <v>2472</v>
      </c>
      <c r="E3754" t="s">
        <v>2474</v>
      </c>
      <c r="F3754" t="s">
        <v>1986</v>
      </c>
      <c r="G3754" t="s">
        <v>1986</v>
      </c>
      <c r="H3754" s="10">
        <v>192785</v>
      </c>
      <c r="I3754" t="str">
        <f>IFERROR(VLOOKUP(Final!F3754,'LEAID Match'!$A$2:$B$374,2,FALSE),"")</f>
        <v/>
      </c>
      <c r="K3754" s="10">
        <f t="shared" si="58"/>
        <v>192785</v>
      </c>
    </row>
    <row r="3755" spans="1:11">
      <c r="A3755" t="s">
        <v>2470</v>
      </c>
      <c r="B3755" s="10">
        <v>2022</v>
      </c>
      <c r="C3755" t="s">
        <v>1250</v>
      </c>
      <c r="D3755" t="s">
        <v>2472</v>
      </c>
      <c r="E3755" t="s">
        <v>2474</v>
      </c>
      <c r="F3755" t="s">
        <v>1986</v>
      </c>
      <c r="G3755" t="s">
        <v>1986</v>
      </c>
      <c r="H3755" s="10">
        <v>227258</v>
      </c>
      <c r="I3755" t="str">
        <f>IFERROR(VLOOKUP(Final!F3755,'LEAID Match'!$A$2:$B$374,2,FALSE),"")</f>
        <v/>
      </c>
      <c r="K3755" s="10">
        <f t="shared" si="58"/>
        <v>227258</v>
      </c>
    </row>
    <row r="3756" spans="1:11">
      <c r="A3756" t="s">
        <v>2470</v>
      </c>
      <c r="B3756" s="10">
        <v>2023</v>
      </c>
      <c r="C3756" t="s">
        <v>1250</v>
      </c>
      <c r="D3756" t="s">
        <v>2472</v>
      </c>
      <c r="E3756" t="s">
        <v>2474</v>
      </c>
      <c r="F3756" t="s">
        <v>1986</v>
      </c>
      <c r="G3756" t="s">
        <v>1986</v>
      </c>
      <c r="H3756" s="10">
        <v>234671</v>
      </c>
      <c r="I3756" t="str">
        <f>IFERROR(VLOOKUP(Final!F3756,'LEAID Match'!$A$2:$B$374,2,FALSE),"")</f>
        <v/>
      </c>
      <c r="K3756" s="10">
        <f t="shared" si="58"/>
        <v>234671</v>
      </c>
    </row>
    <row r="3757" spans="1:11">
      <c r="A3757" t="s">
        <v>2470</v>
      </c>
      <c r="B3757" s="10">
        <v>2015</v>
      </c>
      <c r="C3757" t="s">
        <v>461</v>
      </c>
      <c r="D3757" t="s">
        <v>2472</v>
      </c>
      <c r="E3757" t="s">
        <v>2474</v>
      </c>
      <c r="F3757" t="s">
        <v>1989</v>
      </c>
      <c r="G3757" t="s">
        <v>406</v>
      </c>
      <c r="H3757" s="10">
        <v>776216</v>
      </c>
      <c r="I3757" t="str">
        <f>IFERROR(VLOOKUP(Final!F3757,'LEAID Match'!$A$2:$B$374,2,FALSE),"")</f>
        <v/>
      </c>
      <c r="K3757" s="10">
        <f t="shared" si="58"/>
        <v>776216</v>
      </c>
    </row>
    <row r="3758" spans="1:11">
      <c r="A3758" t="s">
        <v>2470</v>
      </c>
      <c r="B3758" s="10">
        <v>2016</v>
      </c>
      <c r="C3758" t="s">
        <v>461</v>
      </c>
      <c r="D3758" t="s">
        <v>2472</v>
      </c>
      <c r="E3758" t="s">
        <v>2474</v>
      </c>
      <c r="F3758" t="s">
        <v>1989</v>
      </c>
      <c r="G3758" t="s">
        <v>406</v>
      </c>
      <c r="H3758" s="10">
        <v>796632</v>
      </c>
      <c r="I3758" t="str">
        <f>IFERROR(VLOOKUP(Final!F3758,'LEAID Match'!$A$2:$B$374,2,FALSE),"")</f>
        <v/>
      </c>
      <c r="K3758" s="10">
        <f t="shared" si="58"/>
        <v>796632</v>
      </c>
    </row>
    <row r="3759" spans="1:11">
      <c r="A3759" t="s">
        <v>2470</v>
      </c>
      <c r="B3759" s="10">
        <v>2017</v>
      </c>
      <c r="C3759" t="s">
        <v>461</v>
      </c>
      <c r="D3759" t="s">
        <v>2472</v>
      </c>
      <c r="E3759" t="s">
        <v>2474</v>
      </c>
      <c r="F3759" t="s">
        <v>1989</v>
      </c>
      <c r="G3759" t="s">
        <v>1989</v>
      </c>
      <c r="H3759" s="10">
        <v>858312</v>
      </c>
      <c r="I3759" t="str">
        <f>IFERROR(VLOOKUP(Final!F3759,'LEAID Match'!$A$2:$B$374,2,FALSE),"")</f>
        <v/>
      </c>
      <c r="K3759" s="10">
        <f t="shared" si="58"/>
        <v>858312</v>
      </c>
    </row>
    <row r="3760" spans="1:11">
      <c r="A3760" t="s">
        <v>2470</v>
      </c>
      <c r="B3760" s="10">
        <v>2018</v>
      </c>
      <c r="C3760" t="s">
        <v>461</v>
      </c>
      <c r="D3760" t="s">
        <v>2472</v>
      </c>
      <c r="E3760" t="s">
        <v>2474</v>
      </c>
      <c r="F3760" t="s">
        <v>1989</v>
      </c>
      <c r="G3760" t="s">
        <v>1989</v>
      </c>
      <c r="H3760" s="10">
        <v>925851</v>
      </c>
      <c r="I3760" t="str">
        <f>IFERROR(VLOOKUP(Final!F3760,'LEAID Match'!$A$2:$B$374,2,FALSE),"")</f>
        <v/>
      </c>
      <c r="K3760" s="10">
        <f t="shared" si="58"/>
        <v>925851</v>
      </c>
    </row>
    <row r="3761" spans="1:11">
      <c r="A3761" t="s">
        <v>2470</v>
      </c>
      <c r="B3761" s="10">
        <v>2019</v>
      </c>
      <c r="C3761" t="s">
        <v>461</v>
      </c>
      <c r="D3761" t="s">
        <v>2472</v>
      </c>
      <c r="E3761" t="s">
        <v>2474</v>
      </c>
      <c r="F3761" t="s">
        <v>1989</v>
      </c>
      <c r="G3761" t="s">
        <v>1989</v>
      </c>
      <c r="H3761" s="10">
        <v>1044694</v>
      </c>
      <c r="I3761" t="str">
        <f>IFERROR(VLOOKUP(Final!F3761,'LEAID Match'!$A$2:$B$374,2,FALSE),"")</f>
        <v/>
      </c>
      <c r="K3761" s="10">
        <f t="shared" si="58"/>
        <v>1044694</v>
      </c>
    </row>
    <row r="3762" spans="1:11">
      <c r="A3762" t="s">
        <v>2470</v>
      </c>
      <c r="B3762" s="10">
        <v>2020</v>
      </c>
      <c r="C3762" t="s">
        <v>461</v>
      </c>
      <c r="D3762" t="s">
        <v>2472</v>
      </c>
      <c r="E3762" t="s">
        <v>2474</v>
      </c>
      <c r="F3762" t="s">
        <v>1989</v>
      </c>
      <c r="G3762" t="s">
        <v>1989</v>
      </c>
      <c r="H3762" s="10">
        <v>1096253</v>
      </c>
      <c r="I3762" t="str">
        <f>IFERROR(VLOOKUP(Final!F3762,'LEAID Match'!$A$2:$B$374,2,FALSE),"")</f>
        <v/>
      </c>
      <c r="K3762" s="10">
        <f t="shared" si="58"/>
        <v>1096253</v>
      </c>
    </row>
    <row r="3763" spans="1:11">
      <c r="A3763" t="s">
        <v>2470</v>
      </c>
      <c r="B3763" s="10">
        <v>2021</v>
      </c>
      <c r="C3763" t="s">
        <v>461</v>
      </c>
      <c r="D3763" t="s">
        <v>2472</v>
      </c>
      <c r="E3763" t="s">
        <v>2474</v>
      </c>
      <c r="F3763" t="s">
        <v>1989</v>
      </c>
      <c r="G3763" t="s">
        <v>1989</v>
      </c>
      <c r="H3763" s="10">
        <v>1130590</v>
      </c>
      <c r="I3763" t="str">
        <f>IFERROR(VLOOKUP(Final!F3763,'LEAID Match'!$A$2:$B$374,2,FALSE),"")</f>
        <v/>
      </c>
      <c r="K3763" s="10">
        <f t="shared" si="58"/>
        <v>1130590</v>
      </c>
    </row>
    <row r="3764" spans="1:11">
      <c r="A3764" t="s">
        <v>2470</v>
      </c>
      <c r="B3764" s="10">
        <v>2022</v>
      </c>
      <c r="C3764" t="s">
        <v>461</v>
      </c>
      <c r="D3764" t="s">
        <v>2472</v>
      </c>
      <c r="E3764" t="s">
        <v>2474</v>
      </c>
      <c r="F3764" t="s">
        <v>1989</v>
      </c>
      <c r="G3764" t="s">
        <v>1989</v>
      </c>
      <c r="H3764" s="10">
        <v>1242271</v>
      </c>
      <c r="I3764" t="str">
        <f>IFERROR(VLOOKUP(Final!F3764,'LEAID Match'!$A$2:$B$374,2,FALSE),"")</f>
        <v/>
      </c>
      <c r="K3764" s="10">
        <f t="shared" si="58"/>
        <v>1242271</v>
      </c>
    </row>
    <row r="3765" spans="1:11">
      <c r="A3765" t="s">
        <v>2470</v>
      </c>
      <c r="B3765" s="10">
        <v>2023</v>
      </c>
      <c r="C3765" t="s">
        <v>461</v>
      </c>
      <c r="D3765" t="s">
        <v>2472</v>
      </c>
      <c r="E3765" t="s">
        <v>2474</v>
      </c>
      <c r="F3765" t="s">
        <v>1989</v>
      </c>
      <c r="G3765" t="s">
        <v>1989</v>
      </c>
      <c r="H3765" s="10">
        <v>1521533</v>
      </c>
      <c r="I3765" t="str">
        <f>IFERROR(VLOOKUP(Final!F3765,'LEAID Match'!$A$2:$B$374,2,FALSE),"")</f>
        <v/>
      </c>
      <c r="K3765" s="10">
        <f t="shared" si="58"/>
        <v>1521533</v>
      </c>
    </row>
    <row r="3766" spans="1:11">
      <c r="A3766" t="s">
        <v>2470</v>
      </c>
      <c r="B3766" s="10">
        <v>2015</v>
      </c>
      <c r="C3766" t="s">
        <v>462</v>
      </c>
      <c r="D3766" t="s">
        <v>2472</v>
      </c>
      <c r="E3766" t="s">
        <v>2474</v>
      </c>
      <c r="F3766" t="s">
        <v>1992</v>
      </c>
      <c r="G3766" t="s">
        <v>407</v>
      </c>
      <c r="H3766" s="10">
        <v>60331</v>
      </c>
      <c r="I3766" t="str">
        <f>IFERROR(VLOOKUP(Final!F3766,'LEAID Match'!$A$2:$B$374,2,FALSE),"")</f>
        <v/>
      </c>
      <c r="K3766" s="10">
        <f t="shared" si="58"/>
        <v>60331</v>
      </c>
    </row>
    <row r="3767" spans="1:11">
      <c r="A3767" t="s">
        <v>2470</v>
      </c>
      <c r="B3767" s="10">
        <v>2016</v>
      </c>
      <c r="C3767" t="s">
        <v>462</v>
      </c>
      <c r="D3767" t="s">
        <v>2472</v>
      </c>
      <c r="E3767" t="s">
        <v>2474</v>
      </c>
      <c r="F3767" t="s">
        <v>1992</v>
      </c>
      <c r="G3767" t="s">
        <v>407</v>
      </c>
      <c r="H3767" s="10">
        <v>65502</v>
      </c>
      <c r="I3767" t="str">
        <f>IFERROR(VLOOKUP(Final!F3767,'LEAID Match'!$A$2:$B$374,2,FALSE),"")</f>
        <v/>
      </c>
      <c r="K3767" s="10">
        <f t="shared" si="58"/>
        <v>65502</v>
      </c>
    </row>
    <row r="3768" spans="1:11">
      <c r="A3768" t="s">
        <v>2470</v>
      </c>
      <c r="B3768" s="10">
        <v>2017</v>
      </c>
      <c r="C3768" t="s">
        <v>462</v>
      </c>
      <c r="D3768" t="s">
        <v>2472</v>
      </c>
      <c r="E3768" t="s">
        <v>2474</v>
      </c>
      <c r="F3768" t="s">
        <v>1992</v>
      </c>
      <c r="G3768" t="s">
        <v>1992</v>
      </c>
      <c r="H3768" s="10">
        <v>64646</v>
      </c>
      <c r="I3768" t="str">
        <f>IFERROR(VLOOKUP(Final!F3768,'LEAID Match'!$A$2:$B$374,2,FALSE),"")</f>
        <v/>
      </c>
      <c r="K3768" s="10">
        <f t="shared" si="58"/>
        <v>64646</v>
      </c>
    </row>
    <row r="3769" spans="1:11">
      <c r="A3769" t="s">
        <v>2470</v>
      </c>
      <c r="B3769" s="10">
        <v>2018</v>
      </c>
      <c r="C3769" t="s">
        <v>462</v>
      </c>
      <c r="D3769" t="s">
        <v>2472</v>
      </c>
      <c r="E3769" t="s">
        <v>2474</v>
      </c>
      <c r="F3769" t="s">
        <v>1992</v>
      </c>
      <c r="G3769" t="s">
        <v>1992</v>
      </c>
      <c r="H3769" s="10">
        <v>63837</v>
      </c>
      <c r="I3769" t="str">
        <f>IFERROR(VLOOKUP(Final!F3769,'LEAID Match'!$A$2:$B$374,2,FALSE),"")</f>
        <v/>
      </c>
      <c r="K3769" s="10">
        <f t="shared" si="58"/>
        <v>63837</v>
      </c>
    </row>
    <row r="3770" spans="1:11">
      <c r="A3770" t="s">
        <v>2470</v>
      </c>
      <c r="B3770" s="10">
        <v>2019</v>
      </c>
      <c r="C3770" t="s">
        <v>462</v>
      </c>
      <c r="D3770" t="s">
        <v>2472</v>
      </c>
      <c r="E3770" t="s">
        <v>2474</v>
      </c>
      <c r="F3770" t="s">
        <v>1992</v>
      </c>
      <c r="G3770" t="s">
        <v>1992</v>
      </c>
      <c r="H3770" s="10">
        <v>71218</v>
      </c>
      <c r="I3770" t="str">
        <f>IFERROR(VLOOKUP(Final!F3770,'LEAID Match'!$A$2:$B$374,2,FALSE),"")</f>
        <v/>
      </c>
      <c r="K3770" s="10">
        <f t="shared" si="58"/>
        <v>71218</v>
      </c>
    </row>
    <row r="3771" spans="1:11">
      <c r="A3771" t="s">
        <v>2470</v>
      </c>
      <c r="B3771" s="10">
        <v>2020</v>
      </c>
      <c r="C3771" t="s">
        <v>462</v>
      </c>
      <c r="D3771" t="s">
        <v>2472</v>
      </c>
      <c r="E3771" t="s">
        <v>2474</v>
      </c>
      <c r="F3771" t="s">
        <v>1992</v>
      </c>
      <c r="G3771" t="s">
        <v>1992</v>
      </c>
      <c r="H3771" s="10">
        <v>81627</v>
      </c>
      <c r="I3771" t="str">
        <f>IFERROR(VLOOKUP(Final!F3771,'LEAID Match'!$A$2:$B$374,2,FALSE),"")</f>
        <v/>
      </c>
      <c r="K3771" s="10">
        <f t="shared" si="58"/>
        <v>81627</v>
      </c>
    </row>
    <row r="3772" spans="1:11">
      <c r="A3772" t="s">
        <v>2470</v>
      </c>
      <c r="B3772" s="10">
        <v>2021</v>
      </c>
      <c r="C3772" t="s">
        <v>462</v>
      </c>
      <c r="D3772" t="s">
        <v>2472</v>
      </c>
      <c r="E3772" t="s">
        <v>2474</v>
      </c>
      <c r="F3772" t="s">
        <v>1992</v>
      </c>
      <c r="G3772" t="s">
        <v>1992</v>
      </c>
      <c r="H3772" s="10">
        <v>79244</v>
      </c>
      <c r="I3772" t="str">
        <f>IFERROR(VLOOKUP(Final!F3772,'LEAID Match'!$A$2:$B$374,2,FALSE),"")</f>
        <v/>
      </c>
      <c r="K3772" s="10">
        <f t="shared" si="58"/>
        <v>79244</v>
      </c>
    </row>
    <row r="3773" spans="1:11">
      <c r="A3773" t="s">
        <v>2470</v>
      </c>
      <c r="B3773" s="10">
        <v>2022</v>
      </c>
      <c r="C3773" t="s">
        <v>462</v>
      </c>
      <c r="D3773" t="s">
        <v>2472</v>
      </c>
      <c r="E3773" t="s">
        <v>2474</v>
      </c>
      <c r="F3773" t="s">
        <v>1992</v>
      </c>
      <c r="G3773" t="s">
        <v>1992</v>
      </c>
      <c r="H3773" s="10">
        <v>95420</v>
      </c>
      <c r="I3773" t="str">
        <f>IFERROR(VLOOKUP(Final!F3773,'LEAID Match'!$A$2:$B$374,2,FALSE),"")</f>
        <v/>
      </c>
      <c r="K3773" s="10">
        <f t="shared" si="58"/>
        <v>95420</v>
      </c>
    </row>
    <row r="3774" spans="1:11">
      <c r="A3774" t="s">
        <v>2470</v>
      </c>
      <c r="B3774" s="10">
        <v>2023</v>
      </c>
      <c r="C3774" t="s">
        <v>462</v>
      </c>
      <c r="D3774" t="s">
        <v>2472</v>
      </c>
      <c r="E3774" t="s">
        <v>2474</v>
      </c>
      <c r="F3774" t="s">
        <v>1992</v>
      </c>
      <c r="G3774" t="s">
        <v>1992</v>
      </c>
      <c r="H3774" s="10">
        <v>116602</v>
      </c>
      <c r="I3774" t="str">
        <f>IFERROR(VLOOKUP(Final!F3774,'LEAID Match'!$A$2:$B$374,2,FALSE),"")</f>
        <v/>
      </c>
      <c r="K3774" s="10">
        <f t="shared" si="58"/>
        <v>116602</v>
      </c>
    </row>
    <row r="3775" spans="1:11">
      <c r="A3775" t="s">
        <v>2470</v>
      </c>
      <c r="B3775" s="10">
        <v>2015</v>
      </c>
      <c r="C3775" t="s">
        <v>1252</v>
      </c>
      <c r="D3775" t="s">
        <v>2472</v>
      </c>
      <c r="E3775" t="s">
        <v>2474</v>
      </c>
      <c r="F3775" t="s">
        <v>2013</v>
      </c>
      <c r="G3775" t="s">
        <v>1198</v>
      </c>
      <c r="H3775" s="10">
        <v>81048</v>
      </c>
      <c r="I3775" t="str">
        <f>IFERROR(VLOOKUP(Final!F3775,'LEAID Match'!$A$2:$B$374,2,FALSE),"")</f>
        <v/>
      </c>
      <c r="K3775" s="10">
        <f t="shared" si="58"/>
        <v>81048</v>
      </c>
    </row>
    <row r="3776" spans="1:11">
      <c r="A3776" t="s">
        <v>2470</v>
      </c>
      <c r="B3776" s="10">
        <v>2016</v>
      </c>
      <c r="C3776" t="s">
        <v>1252</v>
      </c>
      <c r="D3776" t="s">
        <v>2472</v>
      </c>
      <c r="E3776" t="s">
        <v>2474</v>
      </c>
      <c r="F3776" t="s">
        <v>2013</v>
      </c>
      <c r="G3776" t="s">
        <v>1198</v>
      </c>
      <c r="H3776" s="10">
        <v>83372</v>
      </c>
      <c r="I3776" t="str">
        <f>IFERROR(VLOOKUP(Final!F3776,'LEAID Match'!$A$2:$B$374,2,FALSE),"")</f>
        <v/>
      </c>
      <c r="K3776" s="10">
        <f t="shared" si="58"/>
        <v>83372</v>
      </c>
    </row>
    <row r="3777" spans="1:11">
      <c r="A3777" t="s">
        <v>2470</v>
      </c>
      <c r="B3777" s="10">
        <v>2017</v>
      </c>
      <c r="C3777" t="s">
        <v>1252</v>
      </c>
      <c r="D3777" t="s">
        <v>2472</v>
      </c>
      <c r="E3777" t="s">
        <v>2474</v>
      </c>
      <c r="F3777" t="s">
        <v>2013</v>
      </c>
      <c r="G3777" t="s">
        <v>2013</v>
      </c>
      <c r="H3777" s="10">
        <v>84404</v>
      </c>
      <c r="I3777" t="str">
        <f>IFERROR(VLOOKUP(Final!F3777,'LEAID Match'!$A$2:$B$374,2,FALSE),"")</f>
        <v/>
      </c>
      <c r="K3777" s="10">
        <f t="shared" si="58"/>
        <v>84404</v>
      </c>
    </row>
    <row r="3778" spans="1:11">
      <c r="A3778" t="s">
        <v>2470</v>
      </c>
      <c r="B3778" s="10">
        <v>2018</v>
      </c>
      <c r="C3778" t="s">
        <v>1252</v>
      </c>
      <c r="D3778" t="s">
        <v>2472</v>
      </c>
      <c r="E3778" t="s">
        <v>2474</v>
      </c>
      <c r="F3778" t="s">
        <v>2013</v>
      </c>
      <c r="G3778" t="s">
        <v>2013</v>
      </c>
      <c r="H3778" s="10">
        <v>92843</v>
      </c>
      <c r="I3778" t="str">
        <f>IFERROR(VLOOKUP(Final!F3778,'LEAID Match'!$A$2:$B$374,2,FALSE),"")</f>
        <v/>
      </c>
      <c r="K3778" s="10">
        <f t="shared" si="58"/>
        <v>92843</v>
      </c>
    </row>
    <row r="3779" spans="1:11">
      <c r="A3779" t="s">
        <v>2470</v>
      </c>
      <c r="B3779" s="10">
        <v>2019</v>
      </c>
      <c r="C3779" t="s">
        <v>1252</v>
      </c>
      <c r="D3779" t="s">
        <v>2472</v>
      </c>
      <c r="E3779" t="s">
        <v>2474</v>
      </c>
      <c r="F3779" t="s">
        <v>2013</v>
      </c>
      <c r="G3779" t="s">
        <v>2013</v>
      </c>
      <c r="H3779" s="10">
        <v>113522</v>
      </c>
      <c r="I3779" t="str">
        <f>IFERROR(VLOOKUP(Final!F3779,'LEAID Match'!$A$2:$B$374,2,FALSE),"")</f>
        <v/>
      </c>
      <c r="K3779" s="10">
        <f t="shared" ref="K3779:K3842" si="59">SUM(H3779,J3779)</f>
        <v>113522</v>
      </c>
    </row>
    <row r="3780" spans="1:11">
      <c r="A3780" t="s">
        <v>2470</v>
      </c>
      <c r="B3780" s="10">
        <v>2020</v>
      </c>
      <c r="C3780" t="s">
        <v>1252</v>
      </c>
      <c r="D3780" t="s">
        <v>2472</v>
      </c>
      <c r="E3780" t="s">
        <v>2474</v>
      </c>
      <c r="F3780" t="s">
        <v>2013</v>
      </c>
      <c r="G3780" t="s">
        <v>2013</v>
      </c>
      <c r="H3780" s="10">
        <v>128944</v>
      </c>
      <c r="I3780" t="str">
        <f>IFERROR(VLOOKUP(Final!F3780,'LEAID Match'!$A$2:$B$374,2,FALSE),"")</f>
        <v/>
      </c>
      <c r="K3780" s="10">
        <f t="shared" si="59"/>
        <v>128944</v>
      </c>
    </row>
    <row r="3781" spans="1:11">
      <c r="A3781" t="s">
        <v>2470</v>
      </c>
      <c r="B3781" s="10">
        <v>2021</v>
      </c>
      <c r="C3781" t="s">
        <v>1252</v>
      </c>
      <c r="D3781" t="s">
        <v>2472</v>
      </c>
      <c r="E3781" t="s">
        <v>2474</v>
      </c>
      <c r="F3781" t="s">
        <v>2013</v>
      </c>
      <c r="G3781" t="s">
        <v>2013</v>
      </c>
      <c r="H3781" s="10">
        <v>139290</v>
      </c>
      <c r="I3781" t="str">
        <f>IFERROR(VLOOKUP(Final!F3781,'LEAID Match'!$A$2:$B$374,2,FALSE),"")</f>
        <v/>
      </c>
      <c r="K3781" s="10">
        <f t="shared" si="59"/>
        <v>139290</v>
      </c>
    </row>
    <row r="3782" spans="1:11">
      <c r="A3782" t="s">
        <v>2470</v>
      </c>
      <c r="B3782" s="10">
        <v>2022</v>
      </c>
      <c r="C3782" t="s">
        <v>1252</v>
      </c>
      <c r="D3782" t="s">
        <v>2472</v>
      </c>
      <c r="E3782" t="s">
        <v>2474</v>
      </c>
      <c r="F3782" t="s">
        <v>2013</v>
      </c>
      <c r="G3782" t="s">
        <v>2013</v>
      </c>
      <c r="H3782" s="10">
        <v>138728</v>
      </c>
      <c r="I3782" t="str">
        <f>IFERROR(VLOOKUP(Final!F3782,'LEAID Match'!$A$2:$B$374,2,FALSE),"")</f>
        <v/>
      </c>
      <c r="K3782" s="10">
        <f t="shared" si="59"/>
        <v>138728</v>
      </c>
    </row>
    <row r="3783" spans="1:11">
      <c r="A3783" t="s">
        <v>2470</v>
      </c>
      <c r="B3783" s="10">
        <v>2023</v>
      </c>
      <c r="C3783" t="s">
        <v>1252</v>
      </c>
      <c r="D3783" t="s">
        <v>2472</v>
      </c>
      <c r="E3783" t="s">
        <v>2474</v>
      </c>
      <c r="F3783" t="s">
        <v>2013</v>
      </c>
      <c r="G3783" t="s">
        <v>2013</v>
      </c>
      <c r="H3783" s="10">
        <v>139709</v>
      </c>
      <c r="I3783" t="str">
        <f>IFERROR(VLOOKUP(Final!F3783,'LEAID Match'!$A$2:$B$374,2,FALSE),"")</f>
        <v/>
      </c>
      <c r="K3783" s="10">
        <f t="shared" si="59"/>
        <v>139709</v>
      </c>
    </row>
    <row r="3784" spans="1:11">
      <c r="A3784" t="s">
        <v>2470</v>
      </c>
      <c r="B3784" s="10">
        <v>2015</v>
      </c>
      <c r="C3784" t="s">
        <v>1244</v>
      </c>
      <c r="D3784" t="s">
        <v>2472</v>
      </c>
      <c r="E3784" t="s">
        <v>2474</v>
      </c>
      <c r="F3784" t="s">
        <v>1926</v>
      </c>
      <c r="G3784" t="s">
        <v>1190</v>
      </c>
      <c r="H3784" s="10">
        <v>537731</v>
      </c>
      <c r="I3784" t="str">
        <f>IFERROR(VLOOKUP(Final!F3784,'LEAID Match'!$A$2:$B$374,2,FALSE),"")</f>
        <v/>
      </c>
      <c r="K3784" s="10">
        <f t="shared" si="59"/>
        <v>537731</v>
      </c>
    </row>
    <row r="3785" spans="1:11">
      <c r="A3785" t="s">
        <v>2470</v>
      </c>
      <c r="B3785" s="10">
        <v>2016</v>
      </c>
      <c r="C3785" t="s">
        <v>1244</v>
      </c>
      <c r="D3785" t="s">
        <v>2472</v>
      </c>
      <c r="E3785" t="s">
        <v>2474</v>
      </c>
      <c r="F3785" t="s">
        <v>1926</v>
      </c>
      <c r="G3785" t="s">
        <v>1190</v>
      </c>
      <c r="H3785" s="10">
        <v>579849</v>
      </c>
      <c r="I3785" t="str">
        <f>IFERROR(VLOOKUP(Final!F3785,'LEAID Match'!$A$2:$B$374,2,FALSE),"")</f>
        <v/>
      </c>
      <c r="K3785" s="10">
        <f t="shared" si="59"/>
        <v>579849</v>
      </c>
    </row>
    <row r="3786" spans="1:11">
      <c r="A3786" t="s">
        <v>2470</v>
      </c>
      <c r="B3786" s="10">
        <v>2017</v>
      </c>
      <c r="C3786" t="s">
        <v>1244</v>
      </c>
      <c r="D3786" t="s">
        <v>2472</v>
      </c>
      <c r="E3786" t="s">
        <v>2474</v>
      </c>
      <c r="F3786" t="s">
        <v>1926</v>
      </c>
      <c r="G3786" t="s">
        <v>1926</v>
      </c>
      <c r="H3786" s="10">
        <v>602259</v>
      </c>
      <c r="I3786" t="str">
        <f>IFERROR(VLOOKUP(Final!F3786,'LEAID Match'!$A$2:$B$374,2,FALSE),"")</f>
        <v/>
      </c>
      <c r="K3786" s="10">
        <f t="shared" si="59"/>
        <v>602259</v>
      </c>
    </row>
    <row r="3787" spans="1:11">
      <c r="A3787" t="s">
        <v>2470</v>
      </c>
      <c r="B3787" s="10">
        <v>2018</v>
      </c>
      <c r="C3787" t="s">
        <v>1244</v>
      </c>
      <c r="D3787" t="s">
        <v>2472</v>
      </c>
      <c r="E3787" t="s">
        <v>2474</v>
      </c>
      <c r="F3787" t="s">
        <v>1926</v>
      </c>
      <c r="G3787" t="s">
        <v>1926</v>
      </c>
      <c r="H3787" s="10">
        <v>630888</v>
      </c>
      <c r="I3787" t="str">
        <f>IFERROR(VLOOKUP(Final!F3787,'LEAID Match'!$A$2:$B$374,2,FALSE),"")</f>
        <v/>
      </c>
      <c r="K3787" s="10">
        <f t="shared" si="59"/>
        <v>630888</v>
      </c>
    </row>
    <row r="3788" spans="1:11">
      <c r="A3788" t="s">
        <v>2470</v>
      </c>
      <c r="B3788" s="10">
        <v>2019</v>
      </c>
      <c r="C3788" t="s">
        <v>1244</v>
      </c>
      <c r="D3788" t="s">
        <v>2472</v>
      </c>
      <c r="E3788" t="s">
        <v>2474</v>
      </c>
      <c r="F3788" t="s">
        <v>1926</v>
      </c>
      <c r="G3788" t="s">
        <v>1926</v>
      </c>
      <c r="H3788" s="10">
        <v>677506</v>
      </c>
      <c r="I3788" t="str">
        <f>IFERROR(VLOOKUP(Final!F3788,'LEAID Match'!$A$2:$B$374,2,FALSE),"")</f>
        <v/>
      </c>
      <c r="K3788" s="10">
        <f t="shared" si="59"/>
        <v>677506</v>
      </c>
    </row>
    <row r="3789" spans="1:11">
      <c r="A3789" t="s">
        <v>2470</v>
      </c>
      <c r="B3789" s="10">
        <v>2020</v>
      </c>
      <c r="C3789" t="s">
        <v>1244</v>
      </c>
      <c r="D3789" t="s">
        <v>2472</v>
      </c>
      <c r="E3789" t="s">
        <v>2474</v>
      </c>
      <c r="F3789" t="s">
        <v>1926</v>
      </c>
      <c r="G3789" t="s">
        <v>1926</v>
      </c>
      <c r="H3789" s="10">
        <v>745850</v>
      </c>
      <c r="I3789" t="str">
        <f>IFERROR(VLOOKUP(Final!F3789,'LEAID Match'!$A$2:$B$374,2,FALSE),"")</f>
        <v/>
      </c>
      <c r="K3789" s="10">
        <f t="shared" si="59"/>
        <v>745850</v>
      </c>
    </row>
    <row r="3790" spans="1:11">
      <c r="A3790" t="s">
        <v>2470</v>
      </c>
      <c r="B3790" s="10">
        <v>2021</v>
      </c>
      <c r="C3790" t="s">
        <v>1244</v>
      </c>
      <c r="D3790" t="s">
        <v>2472</v>
      </c>
      <c r="E3790" t="s">
        <v>2474</v>
      </c>
      <c r="F3790" t="s">
        <v>1926</v>
      </c>
      <c r="G3790" t="s">
        <v>1926</v>
      </c>
      <c r="H3790" s="10">
        <v>762438</v>
      </c>
      <c r="I3790" t="str">
        <f>IFERROR(VLOOKUP(Final!F3790,'LEAID Match'!$A$2:$B$374,2,FALSE),"")</f>
        <v/>
      </c>
      <c r="K3790" s="10">
        <f t="shared" si="59"/>
        <v>762438</v>
      </c>
    </row>
    <row r="3791" spans="1:11">
      <c r="A3791" t="s">
        <v>2470</v>
      </c>
      <c r="B3791" s="10">
        <v>2022</v>
      </c>
      <c r="C3791" t="s">
        <v>1244</v>
      </c>
      <c r="D3791" t="s">
        <v>2472</v>
      </c>
      <c r="E3791" t="s">
        <v>2474</v>
      </c>
      <c r="F3791" t="s">
        <v>1926</v>
      </c>
      <c r="G3791" t="s">
        <v>1926</v>
      </c>
      <c r="H3791" s="10">
        <v>834911</v>
      </c>
      <c r="I3791" t="str">
        <f>IFERROR(VLOOKUP(Final!F3791,'LEAID Match'!$A$2:$B$374,2,FALSE),"")</f>
        <v/>
      </c>
      <c r="K3791" s="10">
        <f t="shared" si="59"/>
        <v>834911</v>
      </c>
    </row>
    <row r="3792" spans="1:11">
      <c r="A3792" t="s">
        <v>2470</v>
      </c>
      <c r="B3792" s="10">
        <v>2023</v>
      </c>
      <c r="C3792" t="s">
        <v>1244</v>
      </c>
      <c r="D3792" t="s">
        <v>2472</v>
      </c>
      <c r="E3792" t="s">
        <v>2474</v>
      </c>
      <c r="F3792" t="s">
        <v>1926</v>
      </c>
      <c r="G3792" t="s">
        <v>1926</v>
      </c>
      <c r="H3792" s="10">
        <v>924673</v>
      </c>
      <c r="I3792" t="str">
        <f>IFERROR(VLOOKUP(Final!F3792,'LEAID Match'!$A$2:$B$374,2,FALSE),"")</f>
        <v/>
      </c>
      <c r="K3792" s="10">
        <f t="shared" si="59"/>
        <v>924673</v>
      </c>
    </row>
    <row r="3793" spans="1:11">
      <c r="A3793" t="s">
        <v>2470</v>
      </c>
      <c r="B3793" s="10">
        <v>2015</v>
      </c>
      <c r="C3793" t="s">
        <v>1253</v>
      </c>
      <c r="D3793" t="s">
        <v>2472</v>
      </c>
      <c r="E3793" t="s">
        <v>2474</v>
      </c>
      <c r="F3793" t="s">
        <v>2018</v>
      </c>
      <c r="G3793" t="s">
        <v>1199</v>
      </c>
      <c r="H3793" s="10">
        <v>216316</v>
      </c>
      <c r="I3793" t="str">
        <f>IFERROR(VLOOKUP(Final!F3793,'LEAID Match'!$A$2:$B$374,2,FALSE),"")</f>
        <v/>
      </c>
      <c r="K3793" s="10">
        <f t="shared" si="59"/>
        <v>216316</v>
      </c>
    </row>
    <row r="3794" spans="1:11">
      <c r="A3794" t="s">
        <v>2470</v>
      </c>
      <c r="B3794" s="10">
        <v>2016</v>
      </c>
      <c r="C3794" t="s">
        <v>1253</v>
      </c>
      <c r="D3794" t="s">
        <v>2472</v>
      </c>
      <c r="E3794" t="s">
        <v>2474</v>
      </c>
      <c r="F3794" t="s">
        <v>2018</v>
      </c>
      <c r="G3794" t="s">
        <v>1199</v>
      </c>
      <c r="H3794" s="10">
        <v>243809</v>
      </c>
      <c r="I3794" t="str">
        <f>IFERROR(VLOOKUP(Final!F3794,'LEAID Match'!$A$2:$B$374,2,FALSE),"")</f>
        <v/>
      </c>
      <c r="K3794" s="10">
        <f t="shared" si="59"/>
        <v>243809</v>
      </c>
    </row>
    <row r="3795" spans="1:11">
      <c r="A3795" t="s">
        <v>2470</v>
      </c>
      <c r="B3795" s="10">
        <v>2017</v>
      </c>
      <c r="C3795" t="s">
        <v>1253</v>
      </c>
      <c r="D3795" t="s">
        <v>2472</v>
      </c>
      <c r="E3795" t="s">
        <v>2474</v>
      </c>
      <c r="F3795" t="s">
        <v>2018</v>
      </c>
      <c r="G3795" t="s">
        <v>2018</v>
      </c>
      <c r="H3795" s="10">
        <v>254182</v>
      </c>
      <c r="I3795" t="str">
        <f>IFERROR(VLOOKUP(Final!F3795,'LEAID Match'!$A$2:$B$374,2,FALSE),"")</f>
        <v/>
      </c>
      <c r="K3795" s="10">
        <f t="shared" si="59"/>
        <v>254182</v>
      </c>
    </row>
    <row r="3796" spans="1:11">
      <c r="A3796" t="s">
        <v>2470</v>
      </c>
      <c r="B3796" s="10">
        <v>2018</v>
      </c>
      <c r="C3796" t="s">
        <v>1253</v>
      </c>
      <c r="D3796" t="s">
        <v>2472</v>
      </c>
      <c r="E3796" t="s">
        <v>2474</v>
      </c>
      <c r="F3796" t="s">
        <v>2018</v>
      </c>
      <c r="G3796" t="s">
        <v>2018</v>
      </c>
      <c r="H3796" s="10">
        <v>270923</v>
      </c>
      <c r="I3796" t="str">
        <f>IFERROR(VLOOKUP(Final!F3796,'LEAID Match'!$A$2:$B$374,2,FALSE),"")</f>
        <v/>
      </c>
      <c r="K3796" s="10">
        <f t="shared" si="59"/>
        <v>270923</v>
      </c>
    </row>
    <row r="3797" spans="1:11">
      <c r="A3797" t="s">
        <v>2470</v>
      </c>
      <c r="B3797" s="10">
        <v>2019</v>
      </c>
      <c r="C3797" t="s">
        <v>1253</v>
      </c>
      <c r="D3797" t="s">
        <v>2472</v>
      </c>
      <c r="E3797" t="s">
        <v>2474</v>
      </c>
      <c r="F3797" t="s">
        <v>2018</v>
      </c>
      <c r="G3797" t="s">
        <v>2018</v>
      </c>
      <c r="H3797" s="10">
        <v>295950</v>
      </c>
      <c r="I3797" t="str">
        <f>IFERROR(VLOOKUP(Final!F3797,'LEAID Match'!$A$2:$B$374,2,FALSE),"")</f>
        <v/>
      </c>
      <c r="K3797" s="10">
        <f t="shared" si="59"/>
        <v>295950</v>
      </c>
    </row>
    <row r="3798" spans="1:11">
      <c r="A3798" t="s">
        <v>2470</v>
      </c>
      <c r="B3798" s="10">
        <v>2020</v>
      </c>
      <c r="C3798" t="s">
        <v>1253</v>
      </c>
      <c r="D3798" t="s">
        <v>2472</v>
      </c>
      <c r="E3798" t="s">
        <v>2474</v>
      </c>
      <c r="F3798" t="s">
        <v>2018</v>
      </c>
      <c r="G3798" t="s">
        <v>2018</v>
      </c>
      <c r="H3798" s="10">
        <v>355347</v>
      </c>
      <c r="I3798" t="str">
        <f>IFERROR(VLOOKUP(Final!F3798,'LEAID Match'!$A$2:$B$374,2,FALSE),"")</f>
        <v/>
      </c>
      <c r="K3798" s="10">
        <f t="shared" si="59"/>
        <v>355347</v>
      </c>
    </row>
    <row r="3799" spans="1:11">
      <c r="A3799" t="s">
        <v>2470</v>
      </c>
      <c r="B3799" s="10">
        <v>2021</v>
      </c>
      <c r="C3799" t="s">
        <v>1253</v>
      </c>
      <c r="D3799" t="s">
        <v>2472</v>
      </c>
      <c r="E3799" t="s">
        <v>2474</v>
      </c>
      <c r="F3799" t="s">
        <v>2018</v>
      </c>
      <c r="G3799" t="s">
        <v>2018</v>
      </c>
      <c r="H3799" s="10">
        <v>370905</v>
      </c>
      <c r="I3799" t="str">
        <f>IFERROR(VLOOKUP(Final!F3799,'LEAID Match'!$A$2:$B$374,2,FALSE),"")</f>
        <v/>
      </c>
      <c r="K3799" s="10">
        <f t="shared" si="59"/>
        <v>370905</v>
      </c>
    </row>
    <row r="3800" spans="1:11">
      <c r="A3800" t="s">
        <v>2470</v>
      </c>
      <c r="B3800" s="10">
        <v>2022</v>
      </c>
      <c r="C3800" t="s">
        <v>1253</v>
      </c>
      <c r="D3800" t="s">
        <v>2472</v>
      </c>
      <c r="E3800" t="s">
        <v>2474</v>
      </c>
      <c r="F3800" t="s">
        <v>2018</v>
      </c>
      <c r="G3800" t="s">
        <v>2018</v>
      </c>
      <c r="H3800" s="10">
        <v>409774</v>
      </c>
      <c r="I3800" t="str">
        <f>IFERROR(VLOOKUP(Final!F3800,'LEAID Match'!$A$2:$B$374,2,FALSE),"")</f>
        <v/>
      </c>
      <c r="K3800" s="10">
        <f t="shared" si="59"/>
        <v>409774</v>
      </c>
    </row>
    <row r="3801" spans="1:11">
      <c r="A3801" t="s">
        <v>2470</v>
      </c>
      <c r="B3801" s="10">
        <v>2023</v>
      </c>
      <c r="C3801" t="s">
        <v>1253</v>
      </c>
      <c r="D3801" t="s">
        <v>2472</v>
      </c>
      <c r="E3801" t="s">
        <v>2474</v>
      </c>
      <c r="F3801" t="s">
        <v>2018</v>
      </c>
      <c r="G3801" t="s">
        <v>2018</v>
      </c>
      <c r="H3801" s="10">
        <v>484998</v>
      </c>
      <c r="I3801" t="str">
        <f>IFERROR(VLOOKUP(Final!F3801,'LEAID Match'!$A$2:$B$374,2,FALSE),"")</f>
        <v/>
      </c>
      <c r="K3801" s="10">
        <f t="shared" si="59"/>
        <v>484998</v>
      </c>
    </row>
    <row r="3802" spans="1:11">
      <c r="A3802" t="s">
        <v>2470</v>
      </c>
      <c r="B3802" s="10">
        <v>2015</v>
      </c>
      <c r="C3802" t="s">
        <v>451</v>
      </c>
      <c r="D3802" t="s">
        <v>2472</v>
      </c>
      <c r="E3802" t="s">
        <v>2474</v>
      </c>
      <c r="F3802" t="s">
        <v>1932</v>
      </c>
      <c r="G3802" t="s">
        <v>396</v>
      </c>
      <c r="H3802" s="10">
        <v>639617</v>
      </c>
      <c r="I3802" t="str">
        <f>IFERROR(VLOOKUP(Final!F3802,'LEAID Match'!$A$2:$B$374,2,FALSE),"")</f>
        <v/>
      </c>
      <c r="K3802" s="10">
        <f t="shared" si="59"/>
        <v>639617</v>
      </c>
    </row>
    <row r="3803" spans="1:11">
      <c r="A3803" t="s">
        <v>2470</v>
      </c>
      <c r="B3803" s="10">
        <v>2016</v>
      </c>
      <c r="C3803" t="s">
        <v>451</v>
      </c>
      <c r="D3803" t="s">
        <v>2472</v>
      </c>
      <c r="E3803" t="s">
        <v>2474</v>
      </c>
      <c r="F3803" t="s">
        <v>1932</v>
      </c>
      <c r="G3803" t="s">
        <v>396</v>
      </c>
      <c r="H3803" s="10">
        <v>659312</v>
      </c>
      <c r="I3803" t="str">
        <f>IFERROR(VLOOKUP(Final!F3803,'LEAID Match'!$A$2:$B$374,2,FALSE),"")</f>
        <v/>
      </c>
      <c r="K3803" s="10">
        <f t="shared" si="59"/>
        <v>659312</v>
      </c>
    </row>
    <row r="3804" spans="1:11">
      <c r="A3804" t="s">
        <v>2470</v>
      </c>
      <c r="B3804" s="10">
        <v>2017</v>
      </c>
      <c r="C3804" t="s">
        <v>451</v>
      </c>
      <c r="D3804" t="s">
        <v>2472</v>
      </c>
      <c r="E3804" t="s">
        <v>2474</v>
      </c>
      <c r="F3804" t="s">
        <v>1932</v>
      </c>
      <c r="G3804" t="s">
        <v>1932</v>
      </c>
      <c r="H3804" s="10">
        <v>666419</v>
      </c>
      <c r="I3804" t="str">
        <f>IFERROR(VLOOKUP(Final!F3804,'LEAID Match'!$A$2:$B$374,2,FALSE),"")</f>
        <v/>
      </c>
      <c r="K3804" s="10">
        <f t="shared" si="59"/>
        <v>666419</v>
      </c>
    </row>
    <row r="3805" spans="1:11">
      <c r="A3805" t="s">
        <v>2470</v>
      </c>
      <c r="B3805" s="10">
        <v>2018</v>
      </c>
      <c r="C3805" t="s">
        <v>451</v>
      </c>
      <c r="D3805" t="s">
        <v>2472</v>
      </c>
      <c r="E3805" t="s">
        <v>2474</v>
      </c>
      <c r="F3805" t="s">
        <v>1932</v>
      </c>
      <c r="G3805" t="s">
        <v>1932</v>
      </c>
      <c r="H3805" s="10">
        <v>686569</v>
      </c>
      <c r="I3805" t="str">
        <f>IFERROR(VLOOKUP(Final!F3805,'LEAID Match'!$A$2:$B$374,2,FALSE),"")</f>
        <v/>
      </c>
      <c r="K3805" s="10">
        <f t="shared" si="59"/>
        <v>686569</v>
      </c>
    </row>
    <row r="3806" spans="1:11">
      <c r="A3806" t="s">
        <v>2470</v>
      </c>
      <c r="B3806" s="10">
        <v>2019</v>
      </c>
      <c r="C3806" t="s">
        <v>451</v>
      </c>
      <c r="D3806" t="s">
        <v>2472</v>
      </c>
      <c r="E3806" t="s">
        <v>2474</v>
      </c>
      <c r="F3806" t="s">
        <v>1932</v>
      </c>
      <c r="G3806" t="s">
        <v>1932</v>
      </c>
      <c r="H3806" s="10">
        <v>752652</v>
      </c>
      <c r="I3806" t="str">
        <f>IFERROR(VLOOKUP(Final!F3806,'LEAID Match'!$A$2:$B$374,2,FALSE),"")</f>
        <v/>
      </c>
      <c r="K3806" s="10">
        <f t="shared" si="59"/>
        <v>752652</v>
      </c>
    </row>
    <row r="3807" spans="1:11">
      <c r="A3807" t="s">
        <v>2470</v>
      </c>
      <c r="B3807" s="10">
        <v>2020</v>
      </c>
      <c r="C3807" t="s">
        <v>451</v>
      </c>
      <c r="D3807" t="s">
        <v>2472</v>
      </c>
      <c r="E3807" t="s">
        <v>2474</v>
      </c>
      <c r="F3807" t="s">
        <v>1932</v>
      </c>
      <c r="G3807" t="s">
        <v>1932</v>
      </c>
      <c r="H3807" s="10">
        <v>841460</v>
      </c>
      <c r="I3807" t="str">
        <f>IFERROR(VLOOKUP(Final!F3807,'LEAID Match'!$A$2:$B$374,2,FALSE),"")</f>
        <v/>
      </c>
      <c r="K3807" s="10">
        <f t="shared" si="59"/>
        <v>841460</v>
      </c>
    </row>
    <row r="3808" spans="1:11">
      <c r="A3808" t="s">
        <v>2470</v>
      </c>
      <c r="B3808" s="10">
        <v>2021</v>
      </c>
      <c r="C3808" t="s">
        <v>451</v>
      </c>
      <c r="D3808" t="s">
        <v>2472</v>
      </c>
      <c r="E3808" t="s">
        <v>2474</v>
      </c>
      <c r="F3808" t="s">
        <v>1932</v>
      </c>
      <c r="G3808" t="s">
        <v>1932</v>
      </c>
      <c r="H3808" s="10">
        <v>897980</v>
      </c>
      <c r="I3808" t="str">
        <f>IFERROR(VLOOKUP(Final!F3808,'LEAID Match'!$A$2:$B$374,2,FALSE),"")</f>
        <v/>
      </c>
      <c r="K3808" s="10">
        <f t="shared" si="59"/>
        <v>897980</v>
      </c>
    </row>
    <row r="3809" spans="1:11">
      <c r="A3809" t="s">
        <v>2470</v>
      </c>
      <c r="B3809" s="10">
        <v>2022</v>
      </c>
      <c r="C3809" t="s">
        <v>451</v>
      </c>
      <c r="D3809" t="s">
        <v>2472</v>
      </c>
      <c r="E3809" t="s">
        <v>2474</v>
      </c>
      <c r="F3809" t="s">
        <v>1932</v>
      </c>
      <c r="G3809" t="s">
        <v>1932</v>
      </c>
      <c r="H3809" s="10">
        <v>1005584</v>
      </c>
      <c r="I3809" t="str">
        <f>IFERROR(VLOOKUP(Final!F3809,'LEAID Match'!$A$2:$B$374,2,FALSE),"")</f>
        <v/>
      </c>
      <c r="K3809" s="10">
        <f t="shared" si="59"/>
        <v>1005584</v>
      </c>
    </row>
    <row r="3810" spans="1:11">
      <c r="A3810" t="s">
        <v>2470</v>
      </c>
      <c r="B3810" s="10">
        <v>2023</v>
      </c>
      <c r="C3810" t="s">
        <v>451</v>
      </c>
      <c r="D3810" t="s">
        <v>2472</v>
      </c>
      <c r="E3810" t="s">
        <v>2474</v>
      </c>
      <c r="F3810" t="s">
        <v>1932</v>
      </c>
      <c r="G3810" t="s">
        <v>1932</v>
      </c>
      <c r="H3810" s="10">
        <v>1151171</v>
      </c>
      <c r="I3810" t="str">
        <f>IFERROR(VLOOKUP(Final!F3810,'LEAID Match'!$A$2:$B$374,2,FALSE),"")</f>
        <v/>
      </c>
      <c r="K3810" s="10">
        <f t="shared" si="59"/>
        <v>1151171</v>
      </c>
    </row>
    <row r="3811" spans="1:11">
      <c r="A3811" t="s">
        <v>2470</v>
      </c>
      <c r="B3811" s="10">
        <v>2015</v>
      </c>
      <c r="C3811" t="s">
        <v>463</v>
      </c>
      <c r="D3811" t="s">
        <v>2472</v>
      </c>
      <c r="E3811" t="s">
        <v>2474</v>
      </c>
      <c r="F3811" t="s">
        <v>2020</v>
      </c>
      <c r="G3811" t="s">
        <v>408</v>
      </c>
      <c r="H3811" s="10">
        <v>184033</v>
      </c>
      <c r="I3811" t="str">
        <f>IFERROR(VLOOKUP(Final!F3811,'LEAID Match'!$A$2:$B$374,2,FALSE),"")</f>
        <v/>
      </c>
      <c r="K3811" s="10">
        <f t="shared" si="59"/>
        <v>184033</v>
      </c>
    </row>
    <row r="3812" spans="1:11">
      <c r="A3812" t="s">
        <v>2470</v>
      </c>
      <c r="B3812" s="10">
        <v>2016</v>
      </c>
      <c r="C3812" t="s">
        <v>463</v>
      </c>
      <c r="D3812" t="s">
        <v>2472</v>
      </c>
      <c r="E3812" t="s">
        <v>2474</v>
      </c>
      <c r="F3812" t="s">
        <v>2020</v>
      </c>
      <c r="G3812" t="s">
        <v>408</v>
      </c>
      <c r="H3812" s="10">
        <v>174730</v>
      </c>
      <c r="I3812" t="str">
        <f>IFERROR(VLOOKUP(Final!F3812,'LEAID Match'!$A$2:$B$374,2,FALSE),"")</f>
        <v/>
      </c>
      <c r="K3812" s="10">
        <f t="shared" si="59"/>
        <v>174730</v>
      </c>
    </row>
    <row r="3813" spans="1:11">
      <c r="A3813" t="s">
        <v>2470</v>
      </c>
      <c r="B3813" s="10">
        <v>2017</v>
      </c>
      <c r="C3813" t="s">
        <v>463</v>
      </c>
      <c r="D3813" t="s">
        <v>2472</v>
      </c>
      <c r="E3813" t="s">
        <v>2474</v>
      </c>
      <c r="F3813" t="s">
        <v>2020</v>
      </c>
      <c r="G3813" t="s">
        <v>2020</v>
      </c>
      <c r="H3813" s="10">
        <v>177906</v>
      </c>
      <c r="I3813" t="str">
        <f>IFERROR(VLOOKUP(Final!F3813,'LEAID Match'!$A$2:$B$374,2,FALSE),"")</f>
        <v/>
      </c>
      <c r="K3813" s="10">
        <f t="shared" si="59"/>
        <v>177906</v>
      </c>
    </row>
    <row r="3814" spans="1:11">
      <c r="A3814" t="s">
        <v>2470</v>
      </c>
      <c r="B3814" s="10">
        <v>2018</v>
      </c>
      <c r="C3814" t="s">
        <v>463</v>
      </c>
      <c r="D3814" t="s">
        <v>2472</v>
      </c>
      <c r="E3814" t="s">
        <v>2474</v>
      </c>
      <c r="F3814" t="s">
        <v>2020</v>
      </c>
      <c r="G3814" t="s">
        <v>2020</v>
      </c>
      <c r="H3814" s="10">
        <v>175514</v>
      </c>
      <c r="I3814" t="str">
        <f>IFERROR(VLOOKUP(Final!F3814,'LEAID Match'!$A$2:$B$374,2,FALSE),"")</f>
        <v/>
      </c>
      <c r="K3814" s="10">
        <f t="shared" si="59"/>
        <v>175514</v>
      </c>
    </row>
    <row r="3815" spans="1:11">
      <c r="A3815" t="s">
        <v>2470</v>
      </c>
      <c r="B3815" s="10">
        <v>2019</v>
      </c>
      <c r="C3815" t="s">
        <v>463</v>
      </c>
      <c r="D3815" t="s">
        <v>2472</v>
      </c>
      <c r="E3815" t="s">
        <v>2474</v>
      </c>
      <c r="F3815" t="s">
        <v>2020</v>
      </c>
      <c r="G3815" t="s">
        <v>2020</v>
      </c>
      <c r="H3815" s="10">
        <v>191954</v>
      </c>
      <c r="I3815" t="str">
        <f>IFERROR(VLOOKUP(Final!F3815,'LEAID Match'!$A$2:$B$374,2,FALSE),"")</f>
        <v/>
      </c>
      <c r="K3815" s="10">
        <f t="shared" si="59"/>
        <v>191954</v>
      </c>
    </row>
    <row r="3816" spans="1:11">
      <c r="A3816" t="s">
        <v>2470</v>
      </c>
      <c r="B3816" s="10">
        <v>2020</v>
      </c>
      <c r="C3816" t="s">
        <v>463</v>
      </c>
      <c r="D3816" t="s">
        <v>2472</v>
      </c>
      <c r="E3816" t="s">
        <v>2474</v>
      </c>
      <c r="F3816" t="s">
        <v>2020</v>
      </c>
      <c r="G3816" t="s">
        <v>2020</v>
      </c>
      <c r="H3816" s="10">
        <v>178276</v>
      </c>
      <c r="I3816" t="str">
        <f>IFERROR(VLOOKUP(Final!F3816,'LEAID Match'!$A$2:$B$374,2,FALSE),"")</f>
        <v/>
      </c>
      <c r="K3816" s="10">
        <f t="shared" si="59"/>
        <v>178276</v>
      </c>
    </row>
    <row r="3817" spans="1:11">
      <c r="A3817" t="s">
        <v>2470</v>
      </c>
      <c r="B3817" s="10">
        <v>2021</v>
      </c>
      <c r="C3817" t="s">
        <v>463</v>
      </c>
      <c r="D3817" t="s">
        <v>2472</v>
      </c>
      <c r="E3817" t="s">
        <v>2474</v>
      </c>
      <c r="F3817" t="s">
        <v>2020</v>
      </c>
      <c r="G3817" t="s">
        <v>2020</v>
      </c>
      <c r="H3817" s="10">
        <v>188145</v>
      </c>
      <c r="I3817" t="str">
        <f>IFERROR(VLOOKUP(Final!F3817,'LEAID Match'!$A$2:$B$374,2,FALSE),"")</f>
        <v/>
      </c>
      <c r="K3817" s="10">
        <f t="shared" si="59"/>
        <v>188145</v>
      </c>
    </row>
    <row r="3818" spans="1:11">
      <c r="A3818" t="s">
        <v>2470</v>
      </c>
      <c r="B3818" s="10">
        <v>2022</v>
      </c>
      <c r="C3818" t="s">
        <v>463</v>
      </c>
      <c r="D3818" t="s">
        <v>2472</v>
      </c>
      <c r="E3818" t="s">
        <v>2474</v>
      </c>
      <c r="F3818" t="s">
        <v>2020</v>
      </c>
      <c r="G3818" t="s">
        <v>2020</v>
      </c>
      <c r="H3818" s="10">
        <v>223872</v>
      </c>
      <c r="I3818" t="str">
        <f>IFERROR(VLOOKUP(Final!F3818,'LEAID Match'!$A$2:$B$374,2,FALSE),"")</f>
        <v/>
      </c>
      <c r="K3818" s="10">
        <f t="shared" si="59"/>
        <v>223872</v>
      </c>
    </row>
    <row r="3819" spans="1:11">
      <c r="A3819" t="s">
        <v>2470</v>
      </c>
      <c r="B3819" s="10">
        <v>2023</v>
      </c>
      <c r="C3819" t="s">
        <v>463</v>
      </c>
      <c r="D3819" t="s">
        <v>2472</v>
      </c>
      <c r="E3819" t="s">
        <v>2474</v>
      </c>
      <c r="F3819" t="s">
        <v>2020</v>
      </c>
      <c r="G3819" t="s">
        <v>2020</v>
      </c>
      <c r="H3819" s="10">
        <v>242228</v>
      </c>
      <c r="I3819" t="str">
        <f>IFERROR(VLOOKUP(Final!F3819,'LEAID Match'!$A$2:$B$374,2,FALSE),"")</f>
        <v/>
      </c>
      <c r="K3819" s="10">
        <f t="shared" si="59"/>
        <v>242228</v>
      </c>
    </row>
    <row r="3820" spans="1:11">
      <c r="A3820" t="s">
        <v>2470</v>
      </c>
      <c r="B3820" s="10">
        <v>2015</v>
      </c>
      <c r="C3820" t="s">
        <v>464</v>
      </c>
      <c r="D3820" t="s">
        <v>2472</v>
      </c>
      <c r="E3820" t="s">
        <v>2474</v>
      </c>
      <c r="F3820" t="s">
        <v>2022</v>
      </c>
      <c r="G3820" t="s">
        <v>409</v>
      </c>
      <c r="H3820" s="10">
        <v>267890</v>
      </c>
      <c r="I3820" t="str">
        <f>IFERROR(VLOOKUP(Final!F3820,'LEAID Match'!$A$2:$B$374,2,FALSE),"")</f>
        <v/>
      </c>
      <c r="K3820" s="10">
        <f t="shared" si="59"/>
        <v>267890</v>
      </c>
    </row>
    <row r="3821" spans="1:11">
      <c r="A3821" t="s">
        <v>2470</v>
      </c>
      <c r="B3821" s="10">
        <v>2016</v>
      </c>
      <c r="C3821" t="s">
        <v>464</v>
      </c>
      <c r="D3821" t="s">
        <v>2472</v>
      </c>
      <c r="E3821" t="s">
        <v>2474</v>
      </c>
      <c r="F3821" t="s">
        <v>2022</v>
      </c>
      <c r="G3821" t="s">
        <v>409</v>
      </c>
      <c r="H3821" s="10">
        <v>287115</v>
      </c>
      <c r="I3821" t="str">
        <f>IFERROR(VLOOKUP(Final!F3821,'LEAID Match'!$A$2:$B$374,2,FALSE),"")</f>
        <v/>
      </c>
      <c r="K3821" s="10">
        <f t="shared" si="59"/>
        <v>287115</v>
      </c>
    </row>
    <row r="3822" spans="1:11">
      <c r="A3822" t="s">
        <v>2470</v>
      </c>
      <c r="B3822" s="10">
        <v>2017</v>
      </c>
      <c r="C3822" t="s">
        <v>464</v>
      </c>
      <c r="D3822" t="s">
        <v>2472</v>
      </c>
      <c r="E3822" t="s">
        <v>2474</v>
      </c>
      <c r="F3822" t="s">
        <v>2022</v>
      </c>
      <c r="G3822" t="s">
        <v>2022</v>
      </c>
      <c r="H3822" s="10">
        <v>295646</v>
      </c>
      <c r="I3822" t="str">
        <f>IFERROR(VLOOKUP(Final!F3822,'LEAID Match'!$A$2:$B$374,2,FALSE),"")</f>
        <v/>
      </c>
      <c r="K3822" s="10">
        <f t="shared" si="59"/>
        <v>295646</v>
      </c>
    </row>
    <row r="3823" spans="1:11">
      <c r="A3823" t="s">
        <v>2470</v>
      </c>
      <c r="B3823" s="10">
        <v>2018</v>
      </c>
      <c r="C3823" t="s">
        <v>464</v>
      </c>
      <c r="D3823" t="s">
        <v>2472</v>
      </c>
      <c r="E3823" t="s">
        <v>2474</v>
      </c>
      <c r="F3823" t="s">
        <v>2022</v>
      </c>
      <c r="G3823" t="s">
        <v>2022</v>
      </c>
      <c r="H3823" s="10">
        <v>286628</v>
      </c>
      <c r="I3823" t="str">
        <f>IFERROR(VLOOKUP(Final!F3823,'LEAID Match'!$A$2:$B$374,2,FALSE),"")</f>
        <v/>
      </c>
      <c r="K3823" s="10">
        <f t="shared" si="59"/>
        <v>286628</v>
      </c>
    </row>
    <row r="3824" spans="1:11">
      <c r="A3824" t="s">
        <v>2470</v>
      </c>
      <c r="B3824" s="10">
        <v>2019</v>
      </c>
      <c r="C3824" t="s">
        <v>464</v>
      </c>
      <c r="D3824" t="s">
        <v>2472</v>
      </c>
      <c r="E3824" t="s">
        <v>2474</v>
      </c>
      <c r="F3824" t="s">
        <v>2022</v>
      </c>
      <c r="G3824" t="s">
        <v>2022</v>
      </c>
      <c r="H3824" s="10">
        <v>325935</v>
      </c>
      <c r="I3824" t="str">
        <f>IFERROR(VLOOKUP(Final!F3824,'LEAID Match'!$A$2:$B$374,2,FALSE),"")</f>
        <v/>
      </c>
      <c r="K3824" s="10">
        <f t="shared" si="59"/>
        <v>325935</v>
      </c>
    </row>
    <row r="3825" spans="1:11">
      <c r="A3825" t="s">
        <v>2470</v>
      </c>
      <c r="B3825" s="10">
        <v>2020</v>
      </c>
      <c r="C3825" t="s">
        <v>464</v>
      </c>
      <c r="D3825" t="s">
        <v>2472</v>
      </c>
      <c r="E3825" t="s">
        <v>2474</v>
      </c>
      <c r="F3825" t="s">
        <v>2022</v>
      </c>
      <c r="G3825" t="s">
        <v>2022</v>
      </c>
      <c r="H3825" s="10">
        <v>334634</v>
      </c>
      <c r="I3825" t="str">
        <f>IFERROR(VLOOKUP(Final!F3825,'LEAID Match'!$A$2:$B$374,2,FALSE),"")</f>
        <v/>
      </c>
      <c r="K3825" s="10">
        <f t="shared" si="59"/>
        <v>334634</v>
      </c>
    </row>
    <row r="3826" spans="1:11">
      <c r="A3826" t="s">
        <v>2470</v>
      </c>
      <c r="B3826" s="10">
        <v>2021</v>
      </c>
      <c r="C3826" t="s">
        <v>464</v>
      </c>
      <c r="D3826" t="s">
        <v>2472</v>
      </c>
      <c r="E3826" t="s">
        <v>2474</v>
      </c>
      <c r="F3826" t="s">
        <v>2022</v>
      </c>
      <c r="G3826" t="s">
        <v>2022</v>
      </c>
      <c r="H3826" s="10">
        <v>312606</v>
      </c>
      <c r="I3826" t="str">
        <f>IFERROR(VLOOKUP(Final!F3826,'LEAID Match'!$A$2:$B$374,2,FALSE),"")</f>
        <v/>
      </c>
      <c r="K3826" s="10">
        <f t="shared" si="59"/>
        <v>312606</v>
      </c>
    </row>
    <row r="3827" spans="1:11">
      <c r="A3827" t="s">
        <v>2470</v>
      </c>
      <c r="B3827" s="10">
        <v>2022</v>
      </c>
      <c r="C3827" t="s">
        <v>464</v>
      </c>
      <c r="D3827" t="s">
        <v>2472</v>
      </c>
      <c r="E3827" t="s">
        <v>2474</v>
      </c>
      <c r="F3827" t="s">
        <v>2022</v>
      </c>
      <c r="G3827" t="s">
        <v>2022</v>
      </c>
      <c r="H3827" s="10">
        <v>357127</v>
      </c>
      <c r="I3827" t="str">
        <f>IFERROR(VLOOKUP(Final!F3827,'LEAID Match'!$A$2:$B$374,2,FALSE),"")</f>
        <v/>
      </c>
      <c r="K3827" s="10">
        <f t="shared" si="59"/>
        <v>357127</v>
      </c>
    </row>
    <row r="3828" spans="1:11">
      <c r="A3828" t="s">
        <v>2470</v>
      </c>
      <c r="B3828" s="10">
        <v>2023</v>
      </c>
      <c r="C3828" t="s">
        <v>464</v>
      </c>
      <c r="D3828" t="s">
        <v>2472</v>
      </c>
      <c r="E3828" t="s">
        <v>2474</v>
      </c>
      <c r="F3828" t="s">
        <v>2022</v>
      </c>
      <c r="G3828" t="s">
        <v>2022</v>
      </c>
      <c r="H3828" s="10">
        <v>400625</v>
      </c>
      <c r="I3828" t="str">
        <f>IFERROR(VLOOKUP(Final!F3828,'LEAID Match'!$A$2:$B$374,2,FALSE),"")</f>
        <v/>
      </c>
      <c r="K3828" s="10">
        <f t="shared" si="59"/>
        <v>400625</v>
      </c>
    </row>
    <row r="3829" spans="1:11">
      <c r="A3829" t="s">
        <v>2470</v>
      </c>
      <c r="B3829" s="10">
        <v>2015</v>
      </c>
      <c r="C3829" t="s">
        <v>465</v>
      </c>
      <c r="D3829" t="s">
        <v>2472</v>
      </c>
      <c r="E3829" t="s">
        <v>2474</v>
      </c>
      <c r="F3829" t="s">
        <v>2028</v>
      </c>
      <c r="G3829" t="s">
        <v>410</v>
      </c>
      <c r="H3829" s="10">
        <v>271145</v>
      </c>
      <c r="I3829" t="str">
        <f>IFERROR(VLOOKUP(Final!F3829,'LEAID Match'!$A$2:$B$374,2,FALSE),"")</f>
        <v/>
      </c>
      <c r="K3829" s="10">
        <f t="shared" si="59"/>
        <v>271145</v>
      </c>
    </row>
    <row r="3830" spans="1:11">
      <c r="A3830" t="s">
        <v>2470</v>
      </c>
      <c r="B3830" s="10">
        <v>2016</v>
      </c>
      <c r="C3830" t="s">
        <v>465</v>
      </c>
      <c r="D3830" t="s">
        <v>2472</v>
      </c>
      <c r="E3830" t="s">
        <v>2474</v>
      </c>
      <c r="F3830" t="s">
        <v>2028</v>
      </c>
      <c r="G3830" t="s">
        <v>410</v>
      </c>
      <c r="H3830" s="10">
        <v>276733</v>
      </c>
      <c r="I3830" t="str">
        <f>IFERROR(VLOOKUP(Final!F3830,'LEAID Match'!$A$2:$B$374,2,FALSE),"")</f>
        <v/>
      </c>
      <c r="K3830" s="10">
        <f t="shared" si="59"/>
        <v>276733</v>
      </c>
    </row>
    <row r="3831" spans="1:11">
      <c r="A3831" t="s">
        <v>2470</v>
      </c>
      <c r="B3831" s="10">
        <v>2017</v>
      </c>
      <c r="C3831" t="s">
        <v>465</v>
      </c>
      <c r="D3831" t="s">
        <v>2472</v>
      </c>
      <c r="E3831" t="s">
        <v>2474</v>
      </c>
      <c r="F3831" t="s">
        <v>2028</v>
      </c>
      <c r="G3831" t="s">
        <v>2028</v>
      </c>
      <c r="H3831" s="10">
        <v>280507</v>
      </c>
      <c r="I3831" t="str">
        <f>IFERROR(VLOOKUP(Final!F3831,'LEAID Match'!$A$2:$B$374,2,FALSE),"")</f>
        <v/>
      </c>
      <c r="K3831" s="10">
        <f t="shared" si="59"/>
        <v>280507</v>
      </c>
    </row>
    <row r="3832" spans="1:11">
      <c r="A3832" t="s">
        <v>2470</v>
      </c>
      <c r="B3832" s="10">
        <v>2018</v>
      </c>
      <c r="C3832" t="s">
        <v>465</v>
      </c>
      <c r="D3832" t="s">
        <v>2472</v>
      </c>
      <c r="E3832" t="s">
        <v>2474</v>
      </c>
      <c r="F3832" t="s">
        <v>2028</v>
      </c>
      <c r="G3832" t="s">
        <v>2028</v>
      </c>
      <c r="H3832" s="10">
        <v>297426</v>
      </c>
      <c r="I3832" t="str">
        <f>IFERROR(VLOOKUP(Final!F3832,'LEAID Match'!$A$2:$B$374,2,FALSE),"")</f>
        <v/>
      </c>
      <c r="K3832" s="10">
        <f t="shared" si="59"/>
        <v>297426</v>
      </c>
    </row>
    <row r="3833" spans="1:11">
      <c r="A3833" t="s">
        <v>2470</v>
      </c>
      <c r="B3833" s="10">
        <v>2019</v>
      </c>
      <c r="C3833" t="s">
        <v>465</v>
      </c>
      <c r="D3833" t="s">
        <v>2472</v>
      </c>
      <c r="E3833" t="s">
        <v>2474</v>
      </c>
      <c r="F3833" t="s">
        <v>2028</v>
      </c>
      <c r="G3833" t="s">
        <v>2028</v>
      </c>
      <c r="H3833" s="10">
        <v>311567</v>
      </c>
      <c r="I3833" t="str">
        <f>IFERROR(VLOOKUP(Final!F3833,'LEAID Match'!$A$2:$B$374,2,FALSE),"")</f>
        <v/>
      </c>
      <c r="K3833" s="10">
        <f t="shared" si="59"/>
        <v>311567</v>
      </c>
    </row>
    <row r="3834" spans="1:11">
      <c r="A3834" t="s">
        <v>2470</v>
      </c>
      <c r="B3834" s="10">
        <v>2020</v>
      </c>
      <c r="C3834" t="s">
        <v>465</v>
      </c>
      <c r="D3834" t="s">
        <v>2472</v>
      </c>
      <c r="E3834" t="s">
        <v>2474</v>
      </c>
      <c r="F3834" t="s">
        <v>2028</v>
      </c>
      <c r="G3834" t="s">
        <v>2028</v>
      </c>
      <c r="H3834" s="10">
        <v>338933</v>
      </c>
      <c r="I3834" t="str">
        <f>IFERROR(VLOOKUP(Final!F3834,'LEAID Match'!$A$2:$B$374,2,FALSE),"")</f>
        <v/>
      </c>
      <c r="K3834" s="10">
        <f t="shared" si="59"/>
        <v>338933</v>
      </c>
    </row>
    <row r="3835" spans="1:11">
      <c r="A3835" t="s">
        <v>2470</v>
      </c>
      <c r="B3835" s="10">
        <v>2021</v>
      </c>
      <c r="C3835" t="s">
        <v>465</v>
      </c>
      <c r="D3835" t="s">
        <v>2472</v>
      </c>
      <c r="E3835" t="s">
        <v>2474</v>
      </c>
      <c r="F3835" t="s">
        <v>2028</v>
      </c>
      <c r="G3835" t="s">
        <v>2028</v>
      </c>
      <c r="H3835" s="10">
        <v>339567</v>
      </c>
      <c r="I3835" t="str">
        <f>IFERROR(VLOOKUP(Final!F3835,'LEAID Match'!$A$2:$B$374,2,FALSE),"")</f>
        <v/>
      </c>
      <c r="K3835" s="10">
        <f t="shared" si="59"/>
        <v>339567</v>
      </c>
    </row>
    <row r="3836" spans="1:11">
      <c r="A3836" t="s">
        <v>2470</v>
      </c>
      <c r="B3836" s="10">
        <v>2022</v>
      </c>
      <c r="C3836" t="s">
        <v>465</v>
      </c>
      <c r="D3836" t="s">
        <v>2472</v>
      </c>
      <c r="E3836" t="s">
        <v>2474</v>
      </c>
      <c r="F3836" t="s">
        <v>2028</v>
      </c>
      <c r="G3836" t="s">
        <v>2028</v>
      </c>
      <c r="H3836" s="10">
        <v>439833</v>
      </c>
      <c r="I3836" t="str">
        <f>IFERROR(VLOOKUP(Final!F3836,'LEAID Match'!$A$2:$B$374,2,FALSE),"")</f>
        <v/>
      </c>
      <c r="K3836" s="10">
        <f t="shared" si="59"/>
        <v>439833</v>
      </c>
    </row>
    <row r="3837" spans="1:11">
      <c r="A3837" t="s">
        <v>2470</v>
      </c>
      <c r="B3837" s="10">
        <v>2023</v>
      </c>
      <c r="C3837" t="s">
        <v>465</v>
      </c>
      <c r="D3837" t="s">
        <v>2472</v>
      </c>
      <c r="E3837" t="s">
        <v>2474</v>
      </c>
      <c r="F3837" t="s">
        <v>2028</v>
      </c>
      <c r="G3837" t="s">
        <v>2028</v>
      </c>
      <c r="H3837" s="10">
        <v>439013</v>
      </c>
      <c r="I3837" t="str">
        <f>IFERROR(VLOOKUP(Final!F3837,'LEAID Match'!$A$2:$B$374,2,FALSE),"")</f>
        <v/>
      </c>
      <c r="K3837" s="10">
        <f t="shared" si="59"/>
        <v>439013</v>
      </c>
    </row>
    <row r="3838" spans="1:11">
      <c r="A3838" t="s">
        <v>2470</v>
      </c>
      <c r="B3838" s="10">
        <v>2015</v>
      </c>
      <c r="C3838" t="s">
        <v>1254</v>
      </c>
      <c r="D3838" t="s">
        <v>2472</v>
      </c>
      <c r="E3838" t="s">
        <v>2474</v>
      </c>
      <c r="F3838" t="s">
        <v>2034</v>
      </c>
      <c r="G3838" t="s">
        <v>1200</v>
      </c>
      <c r="H3838" s="10">
        <v>70213</v>
      </c>
      <c r="I3838" t="str">
        <f>IFERROR(VLOOKUP(Final!F3838,'LEAID Match'!$A$2:$B$374,2,FALSE),"")</f>
        <v/>
      </c>
      <c r="K3838" s="10">
        <f t="shared" si="59"/>
        <v>70213</v>
      </c>
    </row>
    <row r="3839" spans="1:11">
      <c r="A3839" t="s">
        <v>2470</v>
      </c>
      <c r="B3839" s="10">
        <v>2016</v>
      </c>
      <c r="C3839" t="s">
        <v>1254</v>
      </c>
      <c r="D3839" t="s">
        <v>2472</v>
      </c>
      <c r="E3839" t="s">
        <v>2474</v>
      </c>
      <c r="F3839" t="s">
        <v>2034</v>
      </c>
      <c r="G3839" t="s">
        <v>1200</v>
      </c>
      <c r="H3839" s="10">
        <v>77986</v>
      </c>
      <c r="I3839" t="str">
        <f>IFERROR(VLOOKUP(Final!F3839,'LEAID Match'!$A$2:$B$374,2,FALSE),"")</f>
        <v/>
      </c>
      <c r="K3839" s="10">
        <f t="shared" si="59"/>
        <v>77986</v>
      </c>
    </row>
    <row r="3840" spans="1:11">
      <c r="A3840" t="s">
        <v>2470</v>
      </c>
      <c r="B3840" s="10">
        <v>2017</v>
      </c>
      <c r="C3840" t="s">
        <v>1254</v>
      </c>
      <c r="D3840" t="s">
        <v>2472</v>
      </c>
      <c r="E3840" t="s">
        <v>2474</v>
      </c>
      <c r="F3840" t="s">
        <v>2034</v>
      </c>
      <c r="G3840" t="s">
        <v>2034</v>
      </c>
      <c r="H3840" s="10">
        <v>81379</v>
      </c>
      <c r="I3840" t="str">
        <f>IFERROR(VLOOKUP(Final!F3840,'LEAID Match'!$A$2:$B$374,2,FALSE),"")</f>
        <v/>
      </c>
      <c r="K3840" s="10">
        <f t="shared" si="59"/>
        <v>81379</v>
      </c>
    </row>
    <row r="3841" spans="1:11">
      <c r="A3841" t="s">
        <v>2470</v>
      </c>
      <c r="B3841" s="10">
        <v>2018</v>
      </c>
      <c r="C3841" t="s">
        <v>1254</v>
      </c>
      <c r="D3841" t="s">
        <v>2472</v>
      </c>
      <c r="E3841" t="s">
        <v>2474</v>
      </c>
      <c r="F3841" t="s">
        <v>2034</v>
      </c>
      <c r="G3841" t="s">
        <v>2034</v>
      </c>
      <c r="H3841" s="10">
        <v>92962</v>
      </c>
      <c r="I3841" t="str">
        <f>IFERROR(VLOOKUP(Final!F3841,'LEAID Match'!$A$2:$B$374,2,FALSE),"")</f>
        <v/>
      </c>
      <c r="K3841" s="10">
        <f t="shared" si="59"/>
        <v>92962</v>
      </c>
    </row>
    <row r="3842" spans="1:11">
      <c r="A3842" t="s">
        <v>2470</v>
      </c>
      <c r="B3842" s="10">
        <v>2019</v>
      </c>
      <c r="C3842" t="s">
        <v>1254</v>
      </c>
      <c r="D3842" t="s">
        <v>2472</v>
      </c>
      <c r="E3842" t="s">
        <v>2474</v>
      </c>
      <c r="F3842" t="s">
        <v>2034</v>
      </c>
      <c r="G3842" t="s">
        <v>2034</v>
      </c>
      <c r="H3842" s="10">
        <v>95019</v>
      </c>
      <c r="I3842" t="str">
        <f>IFERROR(VLOOKUP(Final!F3842,'LEAID Match'!$A$2:$B$374,2,FALSE),"")</f>
        <v/>
      </c>
      <c r="K3842" s="10">
        <f t="shared" si="59"/>
        <v>95019</v>
      </c>
    </row>
    <row r="3843" spans="1:11">
      <c r="A3843" t="s">
        <v>2470</v>
      </c>
      <c r="B3843" s="10">
        <v>2020</v>
      </c>
      <c r="C3843" t="s">
        <v>1254</v>
      </c>
      <c r="D3843" t="s">
        <v>2472</v>
      </c>
      <c r="E3843" t="s">
        <v>2474</v>
      </c>
      <c r="F3843" t="s">
        <v>2034</v>
      </c>
      <c r="G3843" t="s">
        <v>2034</v>
      </c>
      <c r="H3843" s="10">
        <v>91535</v>
      </c>
      <c r="I3843" t="str">
        <f>IFERROR(VLOOKUP(Final!F3843,'LEAID Match'!$A$2:$B$374,2,FALSE),"")</f>
        <v/>
      </c>
      <c r="K3843" s="10">
        <f t="shared" ref="K3843:K3906" si="60">SUM(H3843,J3843)</f>
        <v>91535</v>
      </c>
    </row>
    <row r="3844" spans="1:11">
      <c r="A3844" t="s">
        <v>2470</v>
      </c>
      <c r="B3844" s="10">
        <v>2021</v>
      </c>
      <c r="C3844" t="s">
        <v>1254</v>
      </c>
      <c r="D3844" t="s">
        <v>2472</v>
      </c>
      <c r="E3844" t="s">
        <v>2474</v>
      </c>
      <c r="F3844" t="s">
        <v>2034</v>
      </c>
      <c r="G3844" t="s">
        <v>2034</v>
      </c>
      <c r="H3844" s="10">
        <v>89141</v>
      </c>
      <c r="I3844" t="str">
        <f>IFERROR(VLOOKUP(Final!F3844,'LEAID Match'!$A$2:$B$374,2,FALSE),"")</f>
        <v/>
      </c>
      <c r="K3844" s="10">
        <f t="shared" si="60"/>
        <v>89141</v>
      </c>
    </row>
    <row r="3845" spans="1:11">
      <c r="A3845" t="s">
        <v>2470</v>
      </c>
      <c r="B3845" s="10">
        <v>2022</v>
      </c>
      <c r="C3845" t="s">
        <v>1254</v>
      </c>
      <c r="D3845" t="s">
        <v>2472</v>
      </c>
      <c r="E3845" t="s">
        <v>2474</v>
      </c>
      <c r="F3845" t="s">
        <v>2034</v>
      </c>
      <c r="G3845" t="s">
        <v>2034</v>
      </c>
      <c r="H3845" s="10">
        <v>98340</v>
      </c>
      <c r="I3845" t="str">
        <f>IFERROR(VLOOKUP(Final!F3845,'LEAID Match'!$A$2:$B$374,2,FALSE),"")</f>
        <v/>
      </c>
      <c r="K3845" s="10">
        <f t="shared" si="60"/>
        <v>98340</v>
      </c>
    </row>
    <row r="3846" spans="1:11">
      <c r="A3846" t="s">
        <v>2470</v>
      </c>
      <c r="B3846" s="10">
        <v>2023</v>
      </c>
      <c r="C3846" t="s">
        <v>1254</v>
      </c>
      <c r="D3846" t="s">
        <v>2472</v>
      </c>
      <c r="E3846" t="s">
        <v>2474</v>
      </c>
      <c r="F3846" t="s">
        <v>2034</v>
      </c>
      <c r="G3846" t="s">
        <v>2034</v>
      </c>
      <c r="H3846" s="10">
        <v>104171</v>
      </c>
      <c r="I3846" t="str">
        <f>IFERROR(VLOOKUP(Final!F3846,'LEAID Match'!$A$2:$B$374,2,FALSE),"")</f>
        <v/>
      </c>
      <c r="K3846" s="10">
        <f t="shared" si="60"/>
        <v>104171</v>
      </c>
    </row>
    <row r="3847" spans="1:11">
      <c r="A3847" t="s">
        <v>2470</v>
      </c>
      <c r="B3847" s="10">
        <v>2015</v>
      </c>
      <c r="C3847" t="s">
        <v>466</v>
      </c>
      <c r="D3847" t="s">
        <v>2472</v>
      </c>
      <c r="E3847" t="s">
        <v>2474</v>
      </c>
      <c r="F3847" t="s">
        <v>2042</v>
      </c>
      <c r="G3847" t="s">
        <v>411</v>
      </c>
      <c r="H3847" s="10">
        <v>3147056</v>
      </c>
      <c r="I3847" t="str">
        <f>IFERROR(VLOOKUP(Final!F3847,'LEAID Match'!$A$2:$B$374,2,FALSE),"")</f>
        <v/>
      </c>
      <c r="K3847" s="10">
        <f t="shared" si="60"/>
        <v>3147056</v>
      </c>
    </row>
    <row r="3848" spans="1:11">
      <c r="A3848" t="s">
        <v>2470</v>
      </c>
      <c r="B3848" s="10">
        <v>2016</v>
      </c>
      <c r="C3848" t="s">
        <v>466</v>
      </c>
      <c r="D3848" t="s">
        <v>2472</v>
      </c>
      <c r="E3848" t="s">
        <v>2474</v>
      </c>
      <c r="F3848" t="s">
        <v>2042</v>
      </c>
      <c r="G3848" t="s">
        <v>411</v>
      </c>
      <c r="H3848" s="10">
        <v>3127334</v>
      </c>
      <c r="I3848" t="str">
        <f>IFERROR(VLOOKUP(Final!F3848,'LEAID Match'!$A$2:$B$374,2,FALSE),"")</f>
        <v/>
      </c>
      <c r="K3848" s="10">
        <f t="shared" si="60"/>
        <v>3127334</v>
      </c>
    </row>
    <row r="3849" spans="1:11">
      <c r="A3849" t="s">
        <v>2470</v>
      </c>
      <c r="B3849" s="10">
        <v>2017</v>
      </c>
      <c r="C3849" t="s">
        <v>466</v>
      </c>
      <c r="D3849" t="s">
        <v>2472</v>
      </c>
      <c r="E3849" t="s">
        <v>2474</v>
      </c>
      <c r="F3849" t="s">
        <v>2042</v>
      </c>
      <c r="G3849" t="s">
        <v>2042</v>
      </c>
      <c r="H3849" s="10">
        <v>3287812</v>
      </c>
      <c r="I3849" t="str">
        <f>IFERROR(VLOOKUP(Final!F3849,'LEAID Match'!$A$2:$B$374,2,FALSE),"")</f>
        <v/>
      </c>
      <c r="K3849" s="10">
        <f t="shared" si="60"/>
        <v>3287812</v>
      </c>
    </row>
    <row r="3850" spans="1:11">
      <c r="A3850" t="s">
        <v>2470</v>
      </c>
      <c r="B3850" s="10">
        <v>2018</v>
      </c>
      <c r="C3850" t="s">
        <v>466</v>
      </c>
      <c r="D3850" t="s">
        <v>2472</v>
      </c>
      <c r="E3850" t="s">
        <v>2474</v>
      </c>
      <c r="F3850" t="s">
        <v>2042</v>
      </c>
      <c r="G3850" t="s">
        <v>2042</v>
      </c>
      <c r="H3850" s="10">
        <v>3361380</v>
      </c>
      <c r="I3850" t="str">
        <f>IFERROR(VLOOKUP(Final!F3850,'LEAID Match'!$A$2:$B$374,2,FALSE),"")</f>
        <v/>
      </c>
      <c r="K3850" s="10">
        <f t="shared" si="60"/>
        <v>3361380</v>
      </c>
    </row>
    <row r="3851" spans="1:11">
      <c r="A3851" t="s">
        <v>2470</v>
      </c>
      <c r="B3851" s="10">
        <v>2019</v>
      </c>
      <c r="C3851" t="s">
        <v>466</v>
      </c>
      <c r="D3851" t="s">
        <v>2472</v>
      </c>
      <c r="E3851" t="s">
        <v>2474</v>
      </c>
      <c r="F3851" t="s">
        <v>2042</v>
      </c>
      <c r="G3851" t="s">
        <v>2042</v>
      </c>
      <c r="H3851" s="10">
        <v>3759608</v>
      </c>
      <c r="I3851" t="str">
        <f>IFERROR(VLOOKUP(Final!F3851,'LEAID Match'!$A$2:$B$374,2,FALSE),"")</f>
        <v/>
      </c>
      <c r="K3851" s="10">
        <f t="shared" si="60"/>
        <v>3759608</v>
      </c>
    </row>
    <row r="3852" spans="1:11">
      <c r="A3852" t="s">
        <v>2470</v>
      </c>
      <c r="B3852" s="10">
        <v>2020</v>
      </c>
      <c r="C3852" t="s">
        <v>466</v>
      </c>
      <c r="D3852" t="s">
        <v>2472</v>
      </c>
      <c r="E3852" t="s">
        <v>2474</v>
      </c>
      <c r="F3852" t="s">
        <v>2042</v>
      </c>
      <c r="G3852" t="s">
        <v>2042</v>
      </c>
      <c r="H3852" s="10">
        <v>3779498</v>
      </c>
      <c r="I3852" t="str">
        <f>IFERROR(VLOOKUP(Final!F3852,'LEAID Match'!$A$2:$B$374,2,FALSE),"")</f>
        <v/>
      </c>
      <c r="K3852" s="10">
        <f t="shared" si="60"/>
        <v>3779498</v>
      </c>
    </row>
    <row r="3853" spans="1:11">
      <c r="A3853" t="s">
        <v>2470</v>
      </c>
      <c r="B3853" s="10">
        <v>2021</v>
      </c>
      <c r="C3853" t="s">
        <v>466</v>
      </c>
      <c r="D3853" t="s">
        <v>2472</v>
      </c>
      <c r="E3853" t="s">
        <v>2474</v>
      </c>
      <c r="F3853" t="s">
        <v>2042</v>
      </c>
      <c r="G3853" t="s">
        <v>2042</v>
      </c>
      <c r="H3853" s="10">
        <v>3597404</v>
      </c>
      <c r="I3853" t="str">
        <f>IFERROR(VLOOKUP(Final!F3853,'LEAID Match'!$A$2:$B$374,2,FALSE),"")</f>
        <v/>
      </c>
      <c r="K3853" s="10">
        <f t="shared" si="60"/>
        <v>3597404</v>
      </c>
    </row>
    <row r="3854" spans="1:11">
      <c r="A3854" t="s">
        <v>2470</v>
      </c>
      <c r="B3854" s="10">
        <v>2022</v>
      </c>
      <c r="C3854" t="s">
        <v>466</v>
      </c>
      <c r="D3854" t="s">
        <v>2472</v>
      </c>
      <c r="E3854" t="s">
        <v>2474</v>
      </c>
      <c r="F3854" t="s">
        <v>2042</v>
      </c>
      <c r="G3854" t="s">
        <v>2042</v>
      </c>
      <c r="H3854" s="10">
        <v>4100499</v>
      </c>
      <c r="I3854" t="str">
        <f>IFERROR(VLOOKUP(Final!F3854,'LEAID Match'!$A$2:$B$374,2,FALSE),"")</f>
        <v/>
      </c>
      <c r="K3854" s="10">
        <f t="shared" si="60"/>
        <v>4100499</v>
      </c>
    </row>
    <row r="3855" spans="1:11">
      <c r="A3855" t="s">
        <v>2470</v>
      </c>
      <c r="B3855" s="10">
        <v>2023</v>
      </c>
      <c r="C3855" t="s">
        <v>466</v>
      </c>
      <c r="D3855" t="s">
        <v>2472</v>
      </c>
      <c r="E3855" t="s">
        <v>2474</v>
      </c>
      <c r="F3855" t="s">
        <v>2042</v>
      </c>
      <c r="G3855" t="s">
        <v>2042</v>
      </c>
      <c r="H3855" s="10">
        <v>4604217</v>
      </c>
      <c r="I3855" t="str">
        <f>IFERROR(VLOOKUP(Final!F3855,'LEAID Match'!$A$2:$B$374,2,FALSE),"")</f>
        <v/>
      </c>
      <c r="K3855" s="10">
        <f t="shared" si="60"/>
        <v>4604217</v>
      </c>
    </row>
    <row r="3856" spans="1:11">
      <c r="A3856" t="s">
        <v>2470</v>
      </c>
      <c r="B3856" s="10">
        <v>2015</v>
      </c>
      <c r="C3856" t="s">
        <v>1222</v>
      </c>
      <c r="D3856" t="s">
        <v>2472</v>
      </c>
      <c r="E3856" t="s">
        <v>2474</v>
      </c>
      <c r="F3856" t="s">
        <v>1660</v>
      </c>
      <c r="G3856" t="s">
        <v>1168</v>
      </c>
      <c r="H3856" s="10">
        <v>321808</v>
      </c>
      <c r="I3856" t="str">
        <f>IFERROR(VLOOKUP(Final!F3856,'LEAID Match'!$A$2:$B$374,2,FALSE),"")</f>
        <v/>
      </c>
      <c r="K3856" s="10">
        <f t="shared" si="60"/>
        <v>321808</v>
      </c>
    </row>
    <row r="3857" spans="1:11">
      <c r="A3857" t="s">
        <v>2470</v>
      </c>
      <c r="B3857" s="10">
        <v>2016</v>
      </c>
      <c r="C3857" t="s">
        <v>1222</v>
      </c>
      <c r="D3857" t="s">
        <v>2472</v>
      </c>
      <c r="E3857" t="s">
        <v>2474</v>
      </c>
      <c r="F3857" t="s">
        <v>1660</v>
      </c>
      <c r="G3857" t="s">
        <v>1168</v>
      </c>
      <c r="H3857" s="10">
        <v>334794</v>
      </c>
      <c r="I3857" t="str">
        <f>IFERROR(VLOOKUP(Final!F3857,'LEAID Match'!$A$2:$B$374,2,FALSE),"")</f>
        <v/>
      </c>
      <c r="K3857" s="10">
        <f t="shared" si="60"/>
        <v>334794</v>
      </c>
    </row>
    <row r="3858" spans="1:11">
      <c r="A3858" t="s">
        <v>2470</v>
      </c>
      <c r="B3858" s="10">
        <v>2017</v>
      </c>
      <c r="C3858" t="s">
        <v>1222</v>
      </c>
      <c r="D3858" t="s">
        <v>2472</v>
      </c>
      <c r="E3858" t="s">
        <v>2474</v>
      </c>
      <c r="F3858" t="s">
        <v>1660</v>
      </c>
      <c r="G3858" t="s">
        <v>1660</v>
      </c>
      <c r="H3858" s="10">
        <v>329008</v>
      </c>
      <c r="I3858" t="str">
        <f>IFERROR(VLOOKUP(Final!F3858,'LEAID Match'!$A$2:$B$374,2,FALSE),"")</f>
        <v/>
      </c>
      <c r="K3858" s="10">
        <f t="shared" si="60"/>
        <v>329008</v>
      </c>
    </row>
    <row r="3859" spans="1:11">
      <c r="A3859" t="s">
        <v>2470</v>
      </c>
      <c r="B3859" s="10">
        <v>2018</v>
      </c>
      <c r="C3859" t="s">
        <v>1222</v>
      </c>
      <c r="D3859" t="s">
        <v>2472</v>
      </c>
      <c r="E3859" t="s">
        <v>2474</v>
      </c>
      <c r="F3859" t="s">
        <v>1660</v>
      </c>
      <c r="G3859" t="s">
        <v>1660</v>
      </c>
      <c r="H3859" s="10">
        <v>349314</v>
      </c>
      <c r="I3859" t="str">
        <f>IFERROR(VLOOKUP(Final!F3859,'LEAID Match'!$A$2:$B$374,2,FALSE),"")</f>
        <v/>
      </c>
      <c r="K3859" s="10">
        <f t="shared" si="60"/>
        <v>349314</v>
      </c>
    </row>
    <row r="3860" spans="1:11">
      <c r="A3860" t="s">
        <v>2470</v>
      </c>
      <c r="B3860" s="10">
        <v>2019</v>
      </c>
      <c r="C3860" t="s">
        <v>1222</v>
      </c>
      <c r="D3860" t="s">
        <v>2472</v>
      </c>
      <c r="E3860" t="s">
        <v>2474</v>
      </c>
      <c r="F3860" t="s">
        <v>1660</v>
      </c>
      <c r="G3860" t="s">
        <v>1660</v>
      </c>
      <c r="H3860" s="10">
        <v>380389</v>
      </c>
      <c r="I3860" t="str">
        <f>IFERROR(VLOOKUP(Final!F3860,'LEAID Match'!$A$2:$B$374,2,FALSE),"")</f>
        <v/>
      </c>
      <c r="K3860" s="10">
        <f t="shared" si="60"/>
        <v>380389</v>
      </c>
    </row>
    <row r="3861" spans="1:11">
      <c r="A3861" t="s">
        <v>2470</v>
      </c>
      <c r="B3861" s="10">
        <v>2020</v>
      </c>
      <c r="C3861" t="s">
        <v>1222</v>
      </c>
      <c r="D3861" t="s">
        <v>2472</v>
      </c>
      <c r="E3861" t="s">
        <v>2474</v>
      </c>
      <c r="F3861" t="s">
        <v>1660</v>
      </c>
      <c r="G3861" t="s">
        <v>1660</v>
      </c>
      <c r="H3861" s="10">
        <v>415582</v>
      </c>
      <c r="I3861" t="str">
        <f>IFERROR(VLOOKUP(Final!F3861,'LEAID Match'!$A$2:$B$374,2,FALSE),"")</f>
        <v/>
      </c>
      <c r="K3861" s="10">
        <f t="shared" si="60"/>
        <v>415582</v>
      </c>
    </row>
    <row r="3862" spans="1:11">
      <c r="A3862" t="s">
        <v>2470</v>
      </c>
      <c r="B3862" s="10">
        <v>2021</v>
      </c>
      <c r="C3862" t="s">
        <v>1222</v>
      </c>
      <c r="D3862" t="s">
        <v>2472</v>
      </c>
      <c r="E3862" t="s">
        <v>2474</v>
      </c>
      <c r="F3862" t="s">
        <v>1660</v>
      </c>
      <c r="G3862" t="s">
        <v>1660</v>
      </c>
      <c r="H3862" s="10">
        <v>415866</v>
      </c>
      <c r="I3862" t="str">
        <f>IFERROR(VLOOKUP(Final!F3862,'LEAID Match'!$A$2:$B$374,2,FALSE),"")</f>
        <v/>
      </c>
      <c r="K3862" s="10">
        <f t="shared" si="60"/>
        <v>415866</v>
      </c>
    </row>
    <row r="3863" spans="1:11">
      <c r="A3863" t="s">
        <v>2470</v>
      </c>
      <c r="B3863" s="10">
        <v>2022</v>
      </c>
      <c r="C3863" t="s">
        <v>1222</v>
      </c>
      <c r="D3863" t="s">
        <v>2472</v>
      </c>
      <c r="E3863" t="s">
        <v>2474</v>
      </c>
      <c r="F3863" t="s">
        <v>1660</v>
      </c>
      <c r="G3863" t="s">
        <v>1660</v>
      </c>
      <c r="H3863" s="10">
        <v>488768</v>
      </c>
      <c r="I3863" t="str">
        <f>IFERROR(VLOOKUP(Final!F3863,'LEAID Match'!$A$2:$B$374,2,FALSE),"")</f>
        <v/>
      </c>
      <c r="K3863" s="10">
        <f t="shared" si="60"/>
        <v>488768</v>
      </c>
    </row>
    <row r="3864" spans="1:11">
      <c r="A3864" t="s">
        <v>2470</v>
      </c>
      <c r="B3864" s="10">
        <v>2023</v>
      </c>
      <c r="C3864" t="s">
        <v>1222</v>
      </c>
      <c r="D3864" t="s">
        <v>2472</v>
      </c>
      <c r="E3864" t="s">
        <v>2474</v>
      </c>
      <c r="F3864" t="s">
        <v>1660</v>
      </c>
      <c r="G3864" t="s">
        <v>1660</v>
      </c>
      <c r="H3864" s="10">
        <v>560484</v>
      </c>
      <c r="I3864" t="str">
        <f>IFERROR(VLOOKUP(Final!F3864,'LEAID Match'!$A$2:$B$374,2,FALSE),"")</f>
        <v/>
      </c>
      <c r="K3864" s="10">
        <f t="shared" si="60"/>
        <v>560484</v>
      </c>
    </row>
    <row r="3865" spans="1:11">
      <c r="A3865" t="s">
        <v>2470</v>
      </c>
      <c r="B3865" s="10">
        <v>2015</v>
      </c>
      <c r="C3865" t="s">
        <v>1223</v>
      </c>
      <c r="D3865" t="s">
        <v>2472</v>
      </c>
      <c r="E3865" t="s">
        <v>2474</v>
      </c>
      <c r="F3865" t="s">
        <v>1662</v>
      </c>
      <c r="G3865" t="s">
        <v>1169</v>
      </c>
      <c r="H3865" s="10">
        <v>146499</v>
      </c>
      <c r="I3865" t="str">
        <f>IFERROR(VLOOKUP(Final!F3865,'LEAID Match'!$A$2:$B$374,2,FALSE),"")</f>
        <v/>
      </c>
      <c r="K3865" s="10">
        <f t="shared" si="60"/>
        <v>146499</v>
      </c>
    </row>
    <row r="3866" spans="1:11">
      <c r="A3866" t="s">
        <v>2470</v>
      </c>
      <c r="B3866" s="10">
        <v>2016</v>
      </c>
      <c r="C3866" t="s">
        <v>1223</v>
      </c>
      <c r="D3866" t="s">
        <v>2472</v>
      </c>
      <c r="E3866" t="s">
        <v>2474</v>
      </c>
      <c r="F3866" t="s">
        <v>1662</v>
      </c>
      <c r="G3866" t="s">
        <v>1169</v>
      </c>
      <c r="H3866" s="10">
        <v>147027</v>
      </c>
      <c r="I3866" t="str">
        <f>IFERROR(VLOOKUP(Final!F3866,'LEAID Match'!$A$2:$B$374,2,FALSE),"")</f>
        <v/>
      </c>
      <c r="K3866" s="10">
        <f t="shared" si="60"/>
        <v>147027</v>
      </c>
    </row>
    <row r="3867" spans="1:11">
      <c r="A3867" t="s">
        <v>2470</v>
      </c>
      <c r="B3867" s="10">
        <v>2017</v>
      </c>
      <c r="C3867" t="s">
        <v>1223</v>
      </c>
      <c r="D3867" t="s">
        <v>2472</v>
      </c>
      <c r="E3867" t="s">
        <v>2474</v>
      </c>
      <c r="F3867" t="s">
        <v>1662</v>
      </c>
      <c r="G3867" t="s">
        <v>1662</v>
      </c>
      <c r="H3867" s="10">
        <v>155497</v>
      </c>
      <c r="I3867" t="str">
        <f>IFERROR(VLOOKUP(Final!F3867,'LEAID Match'!$A$2:$B$374,2,FALSE),"")</f>
        <v/>
      </c>
      <c r="K3867" s="10">
        <f t="shared" si="60"/>
        <v>155497</v>
      </c>
    </row>
    <row r="3868" spans="1:11">
      <c r="A3868" t="s">
        <v>2470</v>
      </c>
      <c r="B3868" s="10">
        <v>2018</v>
      </c>
      <c r="C3868" t="s">
        <v>1223</v>
      </c>
      <c r="D3868" t="s">
        <v>2472</v>
      </c>
      <c r="E3868" t="s">
        <v>2474</v>
      </c>
      <c r="F3868" t="s">
        <v>1662</v>
      </c>
      <c r="G3868" t="s">
        <v>1662</v>
      </c>
      <c r="H3868" s="10">
        <v>166972</v>
      </c>
      <c r="I3868" t="str">
        <f>IFERROR(VLOOKUP(Final!F3868,'LEAID Match'!$A$2:$B$374,2,FALSE),"")</f>
        <v/>
      </c>
      <c r="K3868" s="10">
        <f t="shared" si="60"/>
        <v>166972</v>
      </c>
    </row>
    <row r="3869" spans="1:11">
      <c r="A3869" t="s">
        <v>2470</v>
      </c>
      <c r="B3869" s="10">
        <v>2019</v>
      </c>
      <c r="C3869" t="s">
        <v>1223</v>
      </c>
      <c r="D3869" t="s">
        <v>2472</v>
      </c>
      <c r="E3869" t="s">
        <v>2474</v>
      </c>
      <c r="F3869" t="s">
        <v>1662</v>
      </c>
      <c r="G3869" t="s">
        <v>1662</v>
      </c>
      <c r="H3869" s="10">
        <v>179550</v>
      </c>
      <c r="I3869" t="str">
        <f>IFERROR(VLOOKUP(Final!F3869,'LEAID Match'!$A$2:$B$374,2,FALSE),"")</f>
        <v/>
      </c>
      <c r="K3869" s="10">
        <f t="shared" si="60"/>
        <v>179550</v>
      </c>
    </row>
    <row r="3870" spans="1:11">
      <c r="A3870" t="s">
        <v>2470</v>
      </c>
      <c r="B3870" s="10">
        <v>2020</v>
      </c>
      <c r="C3870" t="s">
        <v>1223</v>
      </c>
      <c r="D3870" t="s">
        <v>2472</v>
      </c>
      <c r="E3870" t="s">
        <v>2474</v>
      </c>
      <c r="F3870" t="s">
        <v>1662</v>
      </c>
      <c r="G3870" t="s">
        <v>1662</v>
      </c>
      <c r="H3870" s="10">
        <v>176079</v>
      </c>
      <c r="I3870" t="str">
        <f>IFERROR(VLOOKUP(Final!F3870,'LEAID Match'!$A$2:$B$374,2,FALSE),"")</f>
        <v/>
      </c>
      <c r="K3870" s="10">
        <f t="shared" si="60"/>
        <v>176079</v>
      </c>
    </row>
    <row r="3871" spans="1:11">
      <c r="A3871" t="s">
        <v>2470</v>
      </c>
      <c r="B3871" s="10">
        <v>2021</v>
      </c>
      <c r="C3871" t="s">
        <v>1223</v>
      </c>
      <c r="D3871" t="s">
        <v>2472</v>
      </c>
      <c r="E3871" t="s">
        <v>2474</v>
      </c>
      <c r="F3871" t="s">
        <v>1662</v>
      </c>
      <c r="G3871" t="s">
        <v>1662</v>
      </c>
      <c r="H3871" s="10">
        <v>168075</v>
      </c>
      <c r="I3871" t="str">
        <f>IFERROR(VLOOKUP(Final!F3871,'LEAID Match'!$A$2:$B$374,2,FALSE),"")</f>
        <v/>
      </c>
      <c r="K3871" s="10">
        <f t="shared" si="60"/>
        <v>168075</v>
      </c>
    </row>
    <row r="3872" spans="1:11">
      <c r="A3872" t="s">
        <v>2470</v>
      </c>
      <c r="B3872" s="10">
        <v>2022</v>
      </c>
      <c r="C3872" t="s">
        <v>1223</v>
      </c>
      <c r="D3872" t="s">
        <v>2472</v>
      </c>
      <c r="E3872" t="s">
        <v>2474</v>
      </c>
      <c r="F3872" t="s">
        <v>1662</v>
      </c>
      <c r="G3872" t="s">
        <v>1662</v>
      </c>
      <c r="H3872" s="10">
        <v>162293</v>
      </c>
      <c r="I3872" t="str">
        <f>IFERROR(VLOOKUP(Final!F3872,'LEAID Match'!$A$2:$B$374,2,FALSE),"")</f>
        <v/>
      </c>
      <c r="K3872" s="10">
        <f t="shared" si="60"/>
        <v>162293</v>
      </c>
    </row>
    <row r="3873" spans="1:11">
      <c r="A3873" t="s">
        <v>2470</v>
      </c>
      <c r="B3873" s="10">
        <v>2023</v>
      </c>
      <c r="C3873" t="s">
        <v>1223</v>
      </c>
      <c r="D3873" t="s">
        <v>2472</v>
      </c>
      <c r="E3873" t="s">
        <v>2474</v>
      </c>
      <c r="F3873" t="s">
        <v>1662</v>
      </c>
      <c r="G3873" t="s">
        <v>1662</v>
      </c>
      <c r="H3873" s="10">
        <v>207548</v>
      </c>
      <c r="I3873" t="str">
        <f>IFERROR(VLOOKUP(Final!F3873,'LEAID Match'!$A$2:$B$374,2,FALSE),"")</f>
        <v/>
      </c>
      <c r="K3873" s="10">
        <f t="shared" si="60"/>
        <v>207548</v>
      </c>
    </row>
    <row r="3874" spans="1:11">
      <c r="A3874" t="s">
        <v>2470</v>
      </c>
      <c r="B3874" s="10">
        <v>2015</v>
      </c>
      <c r="C3874" t="s">
        <v>1225</v>
      </c>
      <c r="D3874" t="s">
        <v>2472</v>
      </c>
      <c r="E3874" t="s">
        <v>2474</v>
      </c>
      <c r="F3874" t="s">
        <v>1695</v>
      </c>
      <c r="G3874" t="s">
        <v>1171</v>
      </c>
      <c r="H3874" s="10">
        <v>13981</v>
      </c>
      <c r="I3874" t="str">
        <f>IFERROR(VLOOKUP(Final!F3874,'LEAID Match'!$A$2:$B$374,2,FALSE),"")</f>
        <v/>
      </c>
      <c r="K3874" s="10">
        <f t="shared" si="60"/>
        <v>13981</v>
      </c>
    </row>
    <row r="3875" spans="1:11">
      <c r="A3875" t="s">
        <v>2470</v>
      </c>
      <c r="B3875" s="10">
        <v>2016</v>
      </c>
      <c r="C3875" t="s">
        <v>1225</v>
      </c>
      <c r="D3875" t="s">
        <v>2472</v>
      </c>
      <c r="E3875" t="s">
        <v>2474</v>
      </c>
      <c r="F3875" t="s">
        <v>1695</v>
      </c>
      <c r="G3875" t="s">
        <v>1171</v>
      </c>
      <c r="H3875" s="10">
        <v>15795</v>
      </c>
      <c r="I3875" t="str">
        <f>IFERROR(VLOOKUP(Final!F3875,'LEAID Match'!$A$2:$B$374,2,FALSE),"")</f>
        <v/>
      </c>
      <c r="K3875" s="10">
        <f t="shared" si="60"/>
        <v>15795</v>
      </c>
    </row>
    <row r="3876" spans="1:11">
      <c r="A3876" t="s">
        <v>2470</v>
      </c>
      <c r="B3876" s="10">
        <v>2017</v>
      </c>
      <c r="C3876" t="s">
        <v>1225</v>
      </c>
      <c r="D3876" t="s">
        <v>2472</v>
      </c>
      <c r="E3876" t="s">
        <v>2474</v>
      </c>
      <c r="F3876" t="s">
        <v>1695</v>
      </c>
      <c r="G3876" t="s">
        <v>1695</v>
      </c>
      <c r="H3876" s="10">
        <v>17095</v>
      </c>
      <c r="I3876" t="str">
        <f>IFERROR(VLOOKUP(Final!F3876,'LEAID Match'!$A$2:$B$374,2,FALSE),"")</f>
        <v/>
      </c>
      <c r="K3876" s="10">
        <f t="shared" si="60"/>
        <v>17095</v>
      </c>
    </row>
    <row r="3877" spans="1:11">
      <c r="A3877" t="s">
        <v>2470</v>
      </c>
      <c r="B3877" s="10">
        <v>2018</v>
      </c>
      <c r="C3877" t="s">
        <v>1225</v>
      </c>
      <c r="D3877" t="s">
        <v>2472</v>
      </c>
      <c r="E3877" t="s">
        <v>2474</v>
      </c>
      <c r="F3877" t="s">
        <v>1695</v>
      </c>
      <c r="G3877" t="s">
        <v>1695</v>
      </c>
      <c r="H3877" s="10">
        <v>22030</v>
      </c>
      <c r="I3877" t="str">
        <f>IFERROR(VLOOKUP(Final!F3877,'LEAID Match'!$A$2:$B$374,2,FALSE),"")</f>
        <v/>
      </c>
      <c r="K3877" s="10">
        <f t="shared" si="60"/>
        <v>22030</v>
      </c>
    </row>
    <row r="3878" spans="1:11">
      <c r="A3878" t="s">
        <v>2470</v>
      </c>
      <c r="B3878" s="10">
        <v>2019</v>
      </c>
      <c r="C3878" t="s">
        <v>1225</v>
      </c>
      <c r="D3878" t="s">
        <v>2472</v>
      </c>
      <c r="E3878" t="s">
        <v>2474</v>
      </c>
      <c r="F3878" t="s">
        <v>1695</v>
      </c>
      <c r="G3878" t="s">
        <v>1695</v>
      </c>
      <c r="H3878" s="10">
        <v>29183</v>
      </c>
      <c r="I3878" t="str">
        <f>IFERROR(VLOOKUP(Final!F3878,'LEAID Match'!$A$2:$B$374,2,FALSE),"")</f>
        <v/>
      </c>
      <c r="K3878" s="10">
        <f t="shared" si="60"/>
        <v>29183</v>
      </c>
    </row>
    <row r="3879" spans="1:11">
      <c r="A3879" t="s">
        <v>2470</v>
      </c>
      <c r="B3879" s="10">
        <v>2020</v>
      </c>
      <c r="C3879" t="s">
        <v>1225</v>
      </c>
      <c r="D3879" t="s">
        <v>2472</v>
      </c>
      <c r="E3879" t="s">
        <v>2474</v>
      </c>
      <c r="F3879" t="s">
        <v>1695</v>
      </c>
      <c r="G3879" t="s">
        <v>1695</v>
      </c>
      <c r="H3879" s="10">
        <v>34531</v>
      </c>
      <c r="I3879" t="str">
        <f>IFERROR(VLOOKUP(Final!F3879,'LEAID Match'!$A$2:$B$374,2,FALSE),"")</f>
        <v/>
      </c>
      <c r="K3879" s="10">
        <f t="shared" si="60"/>
        <v>34531</v>
      </c>
    </row>
    <row r="3880" spans="1:11">
      <c r="A3880" t="s">
        <v>2470</v>
      </c>
      <c r="B3880" s="10">
        <v>2021</v>
      </c>
      <c r="C3880" t="s">
        <v>1225</v>
      </c>
      <c r="D3880" t="s">
        <v>2472</v>
      </c>
      <c r="E3880" t="s">
        <v>2474</v>
      </c>
      <c r="F3880" t="s">
        <v>1695</v>
      </c>
      <c r="G3880" t="s">
        <v>1695</v>
      </c>
      <c r="H3880" s="10">
        <v>32377</v>
      </c>
      <c r="I3880" t="str">
        <f>IFERROR(VLOOKUP(Final!F3880,'LEAID Match'!$A$2:$B$374,2,FALSE),"")</f>
        <v/>
      </c>
      <c r="K3880" s="10">
        <f t="shared" si="60"/>
        <v>32377</v>
      </c>
    </row>
    <row r="3881" spans="1:11">
      <c r="A3881" t="s">
        <v>2470</v>
      </c>
      <c r="B3881" s="10">
        <v>2022</v>
      </c>
      <c r="C3881" t="s">
        <v>1225</v>
      </c>
      <c r="D3881" t="s">
        <v>2472</v>
      </c>
      <c r="E3881" t="s">
        <v>2474</v>
      </c>
      <c r="F3881" t="s">
        <v>1695</v>
      </c>
      <c r="G3881" t="s">
        <v>1695</v>
      </c>
      <c r="H3881" s="10">
        <v>24242</v>
      </c>
      <c r="I3881" t="str">
        <f>IFERROR(VLOOKUP(Final!F3881,'LEAID Match'!$A$2:$B$374,2,FALSE),"")</f>
        <v/>
      </c>
      <c r="K3881" s="10">
        <f t="shared" si="60"/>
        <v>24242</v>
      </c>
    </row>
    <row r="3882" spans="1:11">
      <c r="A3882" t="s">
        <v>2470</v>
      </c>
      <c r="B3882" s="10">
        <v>2023</v>
      </c>
      <c r="C3882" t="s">
        <v>1225</v>
      </c>
      <c r="D3882" t="s">
        <v>2472</v>
      </c>
      <c r="E3882" t="s">
        <v>2474</v>
      </c>
      <c r="F3882" t="s">
        <v>1695</v>
      </c>
      <c r="G3882" t="s">
        <v>1695</v>
      </c>
      <c r="H3882" s="10">
        <v>32140</v>
      </c>
      <c r="I3882" t="str">
        <f>IFERROR(VLOOKUP(Final!F3882,'LEAID Match'!$A$2:$B$374,2,FALSE),"")</f>
        <v/>
      </c>
      <c r="K3882" s="10">
        <f t="shared" si="60"/>
        <v>32140</v>
      </c>
    </row>
    <row r="3883" spans="1:11">
      <c r="A3883" t="s">
        <v>2470</v>
      </c>
      <c r="B3883" s="10">
        <v>2015</v>
      </c>
      <c r="C3883" t="s">
        <v>1219</v>
      </c>
      <c r="D3883" t="s">
        <v>2472</v>
      </c>
      <c r="E3883" t="s">
        <v>2474</v>
      </c>
      <c r="F3883" t="s">
        <v>1639</v>
      </c>
      <c r="G3883" t="s">
        <v>1165</v>
      </c>
      <c r="H3883" s="10">
        <v>294159</v>
      </c>
      <c r="I3883" t="str">
        <f>IFERROR(VLOOKUP(Final!F3883,'LEAID Match'!$A$2:$B$374,2,FALSE),"")</f>
        <v/>
      </c>
      <c r="K3883" s="10">
        <f t="shared" si="60"/>
        <v>294159</v>
      </c>
    </row>
    <row r="3884" spans="1:11">
      <c r="A3884" t="s">
        <v>2470</v>
      </c>
      <c r="B3884" s="10">
        <v>2016</v>
      </c>
      <c r="C3884" t="s">
        <v>1219</v>
      </c>
      <c r="D3884" t="s">
        <v>2472</v>
      </c>
      <c r="E3884" t="s">
        <v>2474</v>
      </c>
      <c r="F3884" t="s">
        <v>1639</v>
      </c>
      <c r="G3884" t="s">
        <v>1165</v>
      </c>
      <c r="H3884" s="10">
        <v>298957</v>
      </c>
      <c r="I3884" t="str">
        <f>IFERROR(VLOOKUP(Final!F3884,'LEAID Match'!$A$2:$B$374,2,FALSE),"")</f>
        <v/>
      </c>
      <c r="K3884" s="10">
        <f t="shared" si="60"/>
        <v>298957</v>
      </c>
    </row>
    <row r="3885" spans="1:11">
      <c r="A3885" t="s">
        <v>2470</v>
      </c>
      <c r="B3885" s="10">
        <v>2017</v>
      </c>
      <c r="C3885" t="s">
        <v>1219</v>
      </c>
      <c r="D3885" t="s">
        <v>2472</v>
      </c>
      <c r="E3885" t="s">
        <v>2474</v>
      </c>
      <c r="F3885" t="s">
        <v>1639</v>
      </c>
      <c r="G3885" t="s">
        <v>1639</v>
      </c>
      <c r="H3885" s="10">
        <v>317545</v>
      </c>
      <c r="I3885" t="str">
        <f>IFERROR(VLOOKUP(Final!F3885,'LEAID Match'!$A$2:$B$374,2,FALSE),"")</f>
        <v/>
      </c>
      <c r="K3885" s="10">
        <f t="shared" si="60"/>
        <v>317545</v>
      </c>
    </row>
    <row r="3886" spans="1:11">
      <c r="A3886" t="s">
        <v>2470</v>
      </c>
      <c r="B3886" s="10">
        <v>2018</v>
      </c>
      <c r="C3886" t="s">
        <v>1219</v>
      </c>
      <c r="D3886" t="s">
        <v>2472</v>
      </c>
      <c r="E3886" t="s">
        <v>2474</v>
      </c>
      <c r="F3886" t="s">
        <v>1639</v>
      </c>
      <c r="G3886" t="s">
        <v>1639</v>
      </c>
      <c r="H3886" s="10">
        <v>345499</v>
      </c>
      <c r="I3886" t="str">
        <f>IFERROR(VLOOKUP(Final!F3886,'LEAID Match'!$A$2:$B$374,2,FALSE),"")</f>
        <v/>
      </c>
      <c r="K3886" s="10">
        <f t="shared" si="60"/>
        <v>345499</v>
      </c>
    </row>
    <row r="3887" spans="1:11">
      <c r="A3887" t="s">
        <v>2470</v>
      </c>
      <c r="B3887" s="10">
        <v>2019</v>
      </c>
      <c r="C3887" t="s">
        <v>1219</v>
      </c>
      <c r="D3887" t="s">
        <v>2472</v>
      </c>
      <c r="E3887" t="s">
        <v>2474</v>
      </c>
      <c r="F3887" t="s">
        <v>1639</v>
      </c>
      <c r="G3887" t="s">
        <v>1639</v>
      </c>
      <c r="H3887" s="10">
        <v>370617</v>
      </c>
      <c r="I3887" t="str">
        <f>IFERROR(VLOOKUP(Final!F3887,'LEAID Match'!$A$2:$B$374,2,FALSE),"")</f>
        <v/>
      </c>
      <c r="K3887" s="10">
        <f t="shared" si="60"/>
        <v>370617</v>
      </c>
    </row>
    <row r="3888" spans="1:11">
      <c r="A3888" t="s">
        <v>2470</v>
      </c>
      <c r="B3888" s="10">
        <v>2020</v>
      </c>
      <c r="C3888" t="s">
        <v>1219</v>
      </c>
      <c r="D3888" t="s">
        <v>2472</v>
      </c>
      <c r="E3888" t="s">
        <v>2474</v>
      </c>
      <c r="F3888" t="s">
        <v>1639</v>
      </c>
      <c r="G3888" t="s">
        <v>1639</v>
      </c>
      <c r="H3888" s="10">
        <v>385113</v>
      </c>
      <c r="I3888" t="str">
        <f>IFERROR(VLOOKUP(Final!F3888,'LEAID Match'!$A$2:$B$374,2,FALSE),"")</f>
        <v/>
      </c>
      <c r="K3888" s="10">
        <f t="shared" si="60"/>
        <v>385113</v>
      </c>
    </row>
    <row r="3889" spans="1:11">
      <c r="A3889" t="s">
        <v>2470</v>
      </c>
      <c r="B3889" s="10">
        <v>2021</v>
      </c>
      <c r="C3889" t="s">
        <v>1219</v>
      </c>
      <c r="D3889" t="s">
        <v>2472</v>
      </c>
      <c r="E3889" t="s">
        <v>2474</v>
      </c>
      <c r="F3889" t="s">
        <v>1639</v>
      </c>
      <c r="G3889" t="s">
        <v>1639</v>
      </c>
      <c r="H3889" s="10">
        <v>409690</v>
      </c>
      <c r="I3889" t="str">
        <f>IFERROR(VLOOKUP(Final!F3889,'LEAID Match'!$A$2:$B$374,2,FALSE),"")</f>
        <v/>
      </c>
      <c r="K3889" s="10">
        <f t="shared" si="60"/>
        <v>409690</v>
      </c>
    </row>
    <row r="3890" spans="1:11">
      <c r="A3890" t="s">
        <v>2470</v>
      </c>
      <c r="B3890" s="10">
        <v>2022</v>
      </c>
      <c r="C3890" t="s">
        <v>1219</v>
      </c>
      <c r="D3890" t="s">
        <v>2472</v>
      </c>
      <c r="E3890" t="s">
        <v>2474</v>
      </c>
      <c r="F3890" t="s">
        <v>1639</v>
      </c>
      <c r="G3890" t="s">
        <v>1639</v>
      </c>
      <c r="H3890" s="10">
        <v>477960</v>
      </c>
      <c r="I3890" t="str">
        <f>IFERROR(VLOOKUP(Final!F3890,'LEAID Match'!$A$2:$B$374,2,FALSE),"")</f>
        <v/>
      </c>
      <c r="K3890" s="10">
        <f t="shared" si="60"/>
        <v>477960</v>
      </c>
    </row>
    <row r="3891" spans="1:11">
      <c r="A3891" t="s">
        <v>2470</v>
      </c>
      <c r="B3891" s="10">
        <v>2023</v>
      </c>
      <c r="C3891" t="s">
        <v>1219</v>
      </c>
      <c r="D3891" t="s">
        <v>2472</v>
      </c>
      <c r="E3891" t="s">
        <v>2474</v>
      </c>
      <c r="F3891" t="s">
        <v>1639</v>
      </c>
      <c r="G3891" t="s">
        <v>1639</v>
      </c>
      <c r="H3891" s="10">
        <v>574932</v>
      </c>
      <c r="I3891" t="str">
        <f>IFERROR(VLOOKUP(Final!F3891,'LEAID Match'!$A$2:$B$374,2,FALSE),"")</f>
        <v/>
      </c>
      <c r="K3891" s="10">
        <f t="shared" si="60"/>
        <v>574932</v>
      </c>
    </row>
    <row r="3892" spans="1:11">
      <c r="A3892" t="s">
        <v>2470</v>
      </c>
      <c r="B3892" s="10">
        <v>2015</v>
      </c>
      <c r="C3892" t="s">
        <v>1220</v>
      </c>
      <c r="D3892" t="s">
        <v>2472</v>
      </c>
      <c r="E3892" t="s">
        <v>2474</v>
      </c>
      <c r="F3892" t="s">
        <v>1641</v>
      </c>
      <c r="G3892" t="s">
        <v>1166</v>
      </c>
      <c r="H3892" s="10">
        <v>105163</v>
      </c>
      <c r="I3892" t="str">
        <f>IFERROR(VLOOKUP(Final!F3892,'LEAID Match'!$A$2:$B$374,2,FALSE),"")</f>
        <v/>
      </c>
      <c r="K3892" s="10">
        <f t="shared" si="60"/>
        <v>105163</v>
      </c>
    </row>
    <row r="3893" spans="1:11">
      <c r="A3893" t="s">
        <v>2470</v>
      </c>
      <c r="B3893" s="10">
        <v>2016</v>
      </c>
      <c r="C3893" t="s">
        <v>1220</v>
      </c>
      <c r="D3893" t="s">
        <v>2472</v>
      </c>
      <c r="E3893" t="s">
        <v>2474</v>
      </c>
      <c r="F3893" t="s">
        <v>1641</v>
      </c>
      <c r="G3893" t="s">
        <v>1166</v>
      </c>
      <c r="H3893" s="10">
        <v>107070</v>
      </c>
      <c r="I3893" t="str">
        <f>IFERROR(VLOOKUP(Final!F3893,'LEAID Match'!$A$2:$B$374,2,FALSE),"")</f>
        <v/>
      </c>
      <c r="K3893" s="10">
        <f t="shared" si="60"/>
        <v>107070</v>
      </c>
    </row>
    <row r="3894" spans="1:11">
      <c r="A3894" t="s">
        <v>2470</v>
      </c>
      <c r="B3894" s="10">
        <v>2017</v>
      </c>
      <c r="C3894" t="s">
        <v>1220</v>
      </c>
      <c r="D3894" t="s">
        <v>2472</v>
      </c>
      <c r="E3894" t="s">
        <v>2474</v>
      </c>
      <c r="F3894" t="s">
        <v>1641</v>
      </c>
      <c r="G3894" t="s">
        <v>1641</v>
      </c>
      <c r="H3894" s="10">
        <v>110106</v>
      </c>
      <c r="I3894" t="str">
        <f>IFERROR(VLOOKUP(Final!F3894,'LEAID Match'!$A$2:$B$374,2,FALSE),"")</f>
        <v/>
      </c>
      <c r="K3894" s="10">
        <f t="shared" si="60"/>
        <v>110106</v>
      </c>
    </row>
    <row r="3895" spans="1:11">
      <c r="A3895" t="s">
        <v>2470</v>
      </c>
      <c r="B3895" s="10">
        <v>2018</v>
      </c>
      <c r="C3895" t="s">
        <v>1220</v>
      </c>
      <c r="D3895" t="s">
        <v>2472</v>
      </c>
      <c r="E3895" t="s">
        <v>2474</v>
      </c>
      <c r="F3895" t="s">
        <v>1641</v>
      </c>
      <c r="G3895" t="s">
        <v>1641</v>
      </c>
      <c r="H3895" s="10">
        <v>112950</v>
      </c>
      <c r="I3895" t="str">
        <f>IFERROR(VLOOKUP(Final!F3895,'LEAID Match'!$A$2:$B$374,2,FALSE),"")</f>
        <v/>
      </c>
      <c r="K3895" s="10">
        <f t="shared" si="60"/>
        <v>112950</v>
      </c>
    </row>
    <row r="3896" spans="1:11">
      <c r="A3896" t="s">
        <v>2470</v>
      </c>
      <c r="B3896" s="10">
        <v>2019</v>
      </c>
      <c r="C3896" t="s">
        <v>1220</v>
      </c>
      <c r="D3896" t="s">
        <v>2472</v>
      </c>
      <c r="E3896" t="s">
        <v>2474</v>
      </c>
      <c r="F3896" t="s">
        <v>1641</v>
      </c>
      <c r="G3896" t="s">
        <v>1641</v>
      </c>
      <c r="H3896" s="10">
        <v>116825</v>
      </c>
      <c r="I3896" t="str">
        <f>IFERROR(VLOOKUP(Final!F3896,'LEAID Match'!$A$2:$B$374,2,FALSE),"")</f>
        <v/>
      </c>
      <c r="K3896" s="10">
        <f t="shared" si="60"/>
        <v>116825</v>
      </c>
    </row>
    <row r="3897" spans="1:11">
      <c r="A3897" t="s">
        <v>2470</v>
      </c>
      <c r="B3897" s="10">
        <v>2020</v>
      </c>
      <c r="C3897" t="s">
        <v>1220</v>
      </c>
      <c r="D3897" t="s">
        <v>2472</v>
      </c>
      <c r="E3897" t="s">
        <v>2474</v>
      </c>
      <c r="F3897" t="s">
        <v>1641</v>
      </c>
      <c r="G3897" t="s">
        <v>1641</v>
      </c>
      <c r="H3897" s="10">
        <v>131601</v>
      </c>
      <c r="I3897" t="str">
        <f>IFERROR(VLOOKUP(Final!F3897,'LEAID Match'!$A$2:$B$374,2,FALSE),"")</f>
        <v/>
      </c>
      <c r="K3897" s="10">
        <f t="shared" si="60"/>
        <v>131601</v>
      </c>
    </row>
    <row r="3898" spans="1:11">
      <c r="A3898" t="s">
        <v>2470</v>
      </c>
      <c r="B3898" s="10">
        <v>2021</v>
      </c>
      <c r="C3898" t="s">
        <v>1220</v>
      </c>
      <c r="D3898" t="s">
        <v>2472</v>
      </c>
      <c r="E3898" t="s">
        <v>2474</v>
      </c>
      <c r="F3898" t="s">
        <v>1641</v>
      </c>
      <c r="G3898" t="s">
        <v>1641</v>
      </c>
      <c r="H3898" s="10">
        <v>142645</v>
      </c>
      <c r="I3898" t="str">
        <f>IFERROR(VLOOKUP(Final!F3898,'LEAID Match'!$A$2:$B$374,2,FALSE),"")</f>
        <v/>
      </c>
      <c r="K3898" s="10">
        <f t="shared" si="60"/>
        <v>142645</v>
      </c>
    </row>
    <row r="3899" spans="1:11">
      <c r="A3899" t="s">
        <v>2470</v>
      </c>
      <c r="B3899" s="10">
        <v>2022</v>
      </c>
      <c r="C3899" t="s">
        <v>1220</v>
      </c>
      <c r="D3899" t="s">
        <v>2472</v>
      </c>
      <c r="E3899" t="s">
        <v>2474</v>
      </c>
      <c r="F3899" t="s">
        <v>1641</v>
      </c>
      <c r="G3899" t="s">
        <v>1641</v>
      </c>
      <c r="H3899" s="10">
        <v>166618</v>
      </c>
      <c r="I3899" t="str">
        <f>IFERROR(VLOOKUP(Final!F3899,'LEAID Match'!$A$2:$B$374,2,FALSE),"")</f>
        <v/>
      </c>
      <c r="K3899" s="10">
        <f t="shared" si="60"/>
        <v>166618</v>
      </c>
    </row>
    <row r="3900" spans="1:11">
      <c r="A3900" t="s">
        <v>2470</v>
      </c>
      <c r="B3900" s="10">
        <v>2023</v>
      </c>
      <c r="C3900" t="s">
        <v>1220</v>
      </c>
      <c r="D3900" t="s">
        <v>2472</v>
      </c>
      <c r="E3900" t="s">
        <v>2474</v>
      </c>
      <c r="F3900" t="s">
        <v>1641</v>
      </c>
      <c r="G3900" t="s">
        <v>1641</v>
      </c>
      <c r="H3900" s="10">
        <v>174930</v>
      </c>
      <c r="I3900" t="str">
        <f>IFERROR(VLOOKUP(Final!F3900,'LEAID Match'!$A$2:$B$374,2,FALSE),"")</f>
        <v/>
      </c>
      <c r="K3900" s="10">
        <f t="shared" si="60"/>
        <v>174930</v>
      </c>
    </row>
    <row r="3901" spans="1:11">
      <c r="A3901" t="s">
        <v>2470</v>
      </c>
      <c r="B3901" s="10">
        <v>2015</v>
      </c>
      <c r="C3901" t="s">
        <v>1226</v>
      </c>
      <c r="D3901" t="s">
        <v>2472</v>
      </c>
      <c r="E3901" t="s">
        <v>2474</v>
      </c>
      <c r="F3901" t="s">
        <v>1697</v>
      </c>
      <c r="G3901" t="s">
        <v>1172</v>
      </c>
      <c r="H3901" s="10">
        <v>140427</v>
      </c>
      <c r="I3901" t="str">
        <f>IFERROR(VLOOKUP(Final!F3901,'LEAID Match'!$A$2:$B$374,2,FALSE),"")</f>
        <v/>
      </c>
      <c r="K3901" s="10">
        <f t="shared" si="60"/>
        <v>140427</v>
      </c>
    </row>
    <row r="3902" spans="1:11">
      <c r="A3902" t="s">
        <v>2470</v>
      </c>
      <c r="B3902" s="10">
        <v>2016</v>
      </c>
      <c r="C3902" t="s">
        <v>1226</v>
      </c>
      <c r="D3902" t="s">
        <v>2472</v>
      </c>
      <c r="E3902" t="s">
        <v>2474</v>
      </c>
      <c r="F3902" t="s">
        <v>1697</v>
      </c>
      <c r="G3902" t="s">
        <v>1172</v>
      </c>
      <c r="H3902" s="10">
        <v>147137</v>
      </c>
      <c r="I3902" t="str">
        <f>IFERROR(VLOOKUP(Final!F3902,'LEAID Match'!$A$2:$B$374,2,FALSE),"")</f>
        <v/>
      </c>
      <c r="K3902" s="10">
        <f t="shared" si="60"/>
        <v>147137</v>
      </c>
    </row>
    <row r="3903" spans="1:11">
      <c r="A3903" t="s">
        <v>2470</v>
      </c>
      <c r="B3903" s="10">
        <v>2017</v>
      </c>
      <c r="C3903" t="s">
        <v>1226</v>
      </c>
      <c r="D3903" t="s">
        <v>2472</v>
      </c>
      <c r="E3903" t="s">
        <v>2474</v>
      </c>
      <c r="F3903" t="s">
        <v>1697</v>
      </c>
      <c r="G3903" t="s">
        <v>1697</v>
      </c>
      <c r="H3903" s="10">
        <v>148561</v>
      </c>
      <c r="I3903" t="str">
        <f>IFERROR(VLOOKUP(Final!F3903,'LEAID Match'!$A$2:$B$374,2,FALSE),"")</f>
        <v/>
      </c>
      <c r="K3903" s="10">
        <f t="shared" si="60"/>
        <v>148561</v>
      </c>
    </row>
    <row r="3904" spans="1:11">
      <c r="A3904" t="s">
        <v>2470</v>
      </c>
      <c r="B3904" s="10">
        <v>2018</v>
      </c>
      <c r="C3904" t="s">
        <v>1226</v>
      </c>
      <c r="D3904" t="s">
        <v>2472</v>
      </c>
      <c r="E3904" t="s">
        <v>2474</v>
      </c>
      <c r="F3904" t="s">
        <v>1697</v>
      </c>
      <c r="G3904" t="s">
        <v>1697</v>
      </c>
      <c r="H3904" s="10">
        <v>132013</v>
      </c>
      <c r="I3904" t="str">
        <f>IFERROR(VLOOKUP(Final!F3904,'LEAID Match'!$A$2:$B$374,2,FALSE),"")</f>
        <v/>
      </c>
      <c r="K3904" s="10">
        <f t="shared" si="60"/>
        <v>132013</v>
      </c>
    </row>
    <row r="3905" spans="1:11">
      <c r="A3905" t="s">
        <v>2470</v>
      </c>
      <c r="B3905" s="10">
        <v>2019</v>
      </c>
      <c r="C3905" t="s">
        <v>1226</v>
      </c>
      <c r="D3905" t="s">
        <v>2472</v>
      </c>
      <c r="E3905" t="s">
        <v>2474</v>
      </c>
      <c r="F3905" t="s">
        <v>1697</v>
      </c>
      <c r="G3905" t="s">
        <v>1697</v>
      </c>
      <c r="H3905" s="10">
        <v>133513</v>
      </c>
      <c r="I3905" t="str">
        <f>IFERROR(VLOOKUP(Final!F3905,'LEAID Match'!$A$2:$B$374,2,FALSE),"")</f>
        <v/>
      </c>
      <c r="K3905" s="10">
        <f t="shared" si="60"/>
        <v>133513</v>
      </c>
    </row>
    <row r="3906" spans="1:11">
      <c r="A3906" t="s">
        <v>2470</v>
      </c>
      <c r="B3906" s="10">
        <v>2020</v>
      </c>
      <c r="C3906" t="s">
        <v>1226</v>
      </c>
      <c r="D3906" t="s">
        <v>2472</v>
      </c>
      <c r="E3906" t="s">
        <v>2474</v>
      </c>
      <c r="F3906" t="s">
        <v>1697</v>
      </c>
      <c r="G3906" t="s">
        <v>1697</v>
      </c>
      <c r="H3906" s="10">
        <v>127610</v>
      </c>
      <c r="I3906" t="str">
        <f>IFERROR(VLOOKUP(Final!F3906,'LEAID Match'!$A$2:$B$374,2,FALSE),"")</f>
        <v/>
      </c>
      <c r="K3906" s="10">
        <f t="shared" si="60"/>
        <v>127610</v>
      </c>
    </row>
    <row r="3907" spans="1:11">
      <c r="A3907" t="s">
        <v>2470</v>
      </c>
      <c r="B3907" s="10">
        <v>2021</v>
      </c>
      <c r="C3907" t="s">
        <v>1226</v>
      </c>
      <c r="D3907" t="s">
        <v>2472</v>
      </c>
      <c r="E3907" t="s">
        <v>2474</v>
      </c>
      <c r="F3907" t="s">
        <v>1697</v>
      </c>
      <c r="G3907" t="s">
        <v>1697</v>
      </c>
      <c r="H3907" s="10">
        <v>124694</v>
      </c>
      <c r="I3907" t="str">
        <f>IFERROR(VLOOKUP(Final!F3907,'LEAID Match'!$A$2:$B$374,2,FALSE),"")</f>
        <v/>
      </c>
      <c r="K3907" s="10">
        <f t="shared" ref="K3907:K3970" si="61">SUM(H3907,J3907)</f>
        <v>124694</v>
      </c>
    </row>
    <row r="3908" spans="1:11">
      <c r="A3908" t="s">
        <v>2470</v>
      </c>
      <c r="B3908" s="10">
        <v>2022</v>
      </c>
      <c r="C3908" t="s">
        <v>1226</v>
      </c>
      <c r="D3908" t="s">
        <v>2472</v>
      </c>
      <c r="E3908" t="s">
        <v>2474</v>
      </c>
      <c r="F3908" t="s">
        <v>1697</v>
      </c>
      <c r="G3908" t="s">
        <v>1697</v>
      </c>
      <c r="H3908" s="10">
        <v>143577</v>
      </c>
      <c r="I3908" t="str">
        <f>IFERROR(VLOOKUP(Final!F3908,'LEAID Match'!$A$2:$B$374,2,FALSE),"")</f>
        <v/>
      </c>
      <c r="K3908" s="10">
        <f t="shared" si="61"/>
        <v>143577</v>
      </c>
    </row>
    <row r="3909" spans="1:11">
      <c r="A3909" t="s">
        <v>2470</v>
      </c>
      <c r="B3909" s="10">
        <v>2023</v>
      </c>
      <c r="C3909" t="s">
        <v>1226</v>
      </c>
      <c r="D3909" t="s">
        <v>2472</v>
      </c>
      <c r="E3909" t="s">
        <v>2474</v>
      </c>
      <c r="F3909" t="s">
        <v>1697</v>
      </c>
      <c r="G3909" t="s">
        <v>1697</v>
      </c>
      <c r="H3909" s="10">
        <v>160074</v>
      </c>
      <c r="I3909" t="str">
        <f>IFERROR(VLOOKUP(Final!F3909,'LEAID Match'!$A$2:$B$374,2,FALSE),"")</f>
        <v/>
      </c>
      <c r="K3909" s="10">
        <f t="shared" si="61"/>
        <v>160074</v>
      </c>
    </row>
    <row r="3910" spans="1:11">
      <c r="A3910">
        <v>404630</v>
      </c>
      <c r="B3910" s="10">
        <v>2015</v>
      </c>
      <c r="C3910" t="s">
        <v>782</v>
      </c>
      <c r="D3910" t="s">
        <v>2472</v>
      </c>
      <c r="E3910" t="s">
        <v>2474</v>
      </c>
      <c r="F3910" t="s">
        <v>1792</v>
      </c>
      <c r="G3910" t="s">
        <v>727</v>
      </c>
      <c r="H3910" s="10">
        <v>5871170</v>
      </c>
      <c r="I3910">
        <f>IFERROR(VLOOKUP(Final!F3910,'LEAID Match'!$A$2:$B$374,2,FALSE),"")</f>
        <v>404630</v>
      </c>
      <c r="K3910" s="10">
        <f t="shared" si="61"/>
        <v>5871170</v>
      </c>
    </row>
    <row r="3911" spans="1:11">
      <c r="A3911">
        <v>404630</v>
      </c>
      <c r="B3911" s="10">
        <v>2016</v>
      </c>
      <c r="C3911" t="s">
        <v>782</v>
      </c>
      <c r="D3911" t="s">
        <v>2472</v>
      </c>
      <c r="E3911" t="s">
        <v>2474</v>
      </c>
      <c r="F3911" t="s">
        <v>1792</v>
      </c>
      <c r="G3911" t="s">
        <v>727</v>
      </c>
      <c r="H3911" s="10">
        <v>6160363</v>
      </c>
      <c r="I3911">
        <f>IFERROR(VLOOKUP(Final!F3911,'LEAID Match'!$A$2:$B$374,2,FALSE),"")</f>
        <v>404630</v>
      </c>
      <c r="K3911" s="10">
        <f t="shared" si="61"/>
        <v>6160363</v>
      </c>
    </row>
    <row r="3912" spans="1:11">
      <c r="A3912">
        <v>404630</v>
      </c>
      <c r="B3912" s="10">
        <v>2017</v>
      </c>
      <c r="C3912" t="s">
        <v>782</v>
      </c>
      <c r="D3912" t="s">
        <v>2472</v>
      </c>
      <c r="E3912" t="s">
        <v>2474</v>
      </c>
      <c r="F3912" t="s">
        <v>1792</v>
      </c>
      <c r="G3912" t="s">
        <v>1792</v>
      </c>
      <c r="H3912" s="10">
        <v>6160224</v>
      </c>
      <c r="I3912">
        <f>IFERROR(VLOOKUP(Final!F3912,'LEAID Match'!$A$2:$B$374,2,FALSE),"")</f>
        <v>404630</v>
      </c>
      <c r="K3912" s="10">
        <f t="shared" si="61"/>
        <v>6160224</v>
      </c>
    </row>
    <row r="3913" spans="1:11">
      <c r="A3913">
        <v>404630</v>
      </c>
      <c r="B3913" s="10">
        <v>2018</v>
      </c>
      <c r="C3913" t="s">
        <v>782</v>
      </c>
      <c r="D3913" t="s">
        <v>2472</v>
      </c>
      <c r="E3913" t="s">
        <v>2474</v>
      </c>
      <c r="F3913" t="s">
        <v>1792</v>
      </c>
      <c r="G3913" t="s">
        <v>1792</v>
      </c>
      <c r="H3913" s="10">
        <v>6325762</v>
      </c>
      <c r="I3913">
        <f>IFERROR(VLOOKUP(Final!F3913,'LEAID Match'!$A$2:$B$374,2,FALSE),"")</f>
        <v>404630</v>
      </c>
      <c r="K3913" s="10">
        <f t="shared" si="61"/>
        <v>6325762</v>
      </c>
    </row>
    <row r="3914" spans="1:11">
      <c r="A3914">
        <v>404630</v>
      </c>
      <c r="B3914" s="10">
        <v>2019</v>
      </c>
      <c r="C3914" t="s">
        <v>782</v>
      </c>
      <c r="D3914" t="s">
        <v>2472</v>
      </c>
      <c r="E3914" t="s">
        <v>2474</v>
      </c>
      <c r="F3914" t="s">
        <v>1792</v>
      </c>
      <c r="G3914" t="s">
        <v>1792</v>
      </c>
      <c r="H3914" s="10">
        <v>7199554</v>
      </c>
      <c r="I3914">
        <f>IFERROR(VLOOKUP(Final!F3914,'LEAID Match'!$A$2:$B$374,2,FALSE),"")</f>
        <v>404630</v>
      </c>
      <c r="K3914" s="10">
        <f t="shared" si="61"/>
        <v>7199554</v>
      </c>
    </row>
    <row r="3915" spans="1:11">
      <c r="A3915">
        <v>404630</v>
      </c>
      <c r="B3915" s="10">
        <v>2020</v>
      </c>
      <c r="C3915" t="s">
        <v>782</v>
      </c>
      <c r="D3915" t="s">
        <v>2472</v>
      </c>
      <c r="E3915" t="s">
        <v>2474</v>
      </c>
      <c r="F3915" t="s">
        <v>1792</v>
      </c>
      <c r="G3915" t="s">
        <v>1792</v>
      </c>
      <c r="H3915" s="10">
        <v>7914667</v>
      </c>
      <c r="I3915">
        <f>IFERROR(VLOOKUP(Final!F3915,'LEAID Match'!$A$2:$B$374,2,FALSE),"")</f>
        <v>404630</v>
      </c>
      <c r="K3915" s="10">
        <f t="shared" si="61"/>
        <v>7914667</v>
      </c>
    </row>
    <row r="3916" spans="1:11">
      <c r="A3916">
        <v>404630</v>
      </c>
      <c r="B3916" s="10">
        <v>2021</v>
      </c>
      <c r="C3916" t="s">
        <v>782</v>
      </c>
      <c r="D3916" t="s">
        <v>2472</v>
      </c>
      <c r="E3916" t="s">
        <v>2474</v>
      </c>
      <c r="F3916" t="s">
        <v>1792</v>
      </c>
      <c r="G3916" t="s">
        <v>1792</v>
      </c>
      <c r="H3916" s="10">
        <v>8304862</v>
      </c>
      <c r="I3916">
        <f>IFERROR(VLOOKUP(Final!F3916,'LEAID Match'!$A$2:$B$374,2,FALSE),"")</f>
        <v>404630</v>
      </c>
      <c r="K3916" s="10">
        <f t="shared" si="61"/>
        <v>8304862</v>
      </c>
    </row>
    <row r="3917" spans="1:11">
      <c r="A3917">
        <v>404630</v>
      </c>
      <c r="B3917" s="10">
        <v>2022</v>
      </c>
      <c r="C3917" t="s">
        <v>782</v>
      </c>
      <c r="D3917" t="s">
        <v>2472</v>
      </c>
      <c r="E3917" t="s">
        <v>2474</v>
      </c>
      <c r="F3917" t="s">
        <v>1792</v>
      </c>
      <c r="G3917" t="s">
        <v>1792</v>
      </c>
      <c r="H3917" s="10">
        <v>9484671</v>
      </c>
      <c r="I3917">
        <f>IFERROR(VLOOKUP(Final!F3917,'LEAID Match'!$A$2:$B$374,2,FALSE),"")</f>
        <v>404630</v>
      </c>
      <c r="K3917" s="10">
        <f t="shared" si="61"/>
        <v>9484671</v>
      </c>
    </row>
    <row r="3918" spans="1:11">
      <c r="A3918">
        <v>404630</v>
      </c>
      <c r="B3918" s="10">
        <v>2023</v>
      </c>
      <c r="C3918" t="s">
        <v>782</v>
      </c>
      <c r="D3918" t="s">
        <v>2472</v>
      </c>
      <c r="E3918" t="s">
        <v>2474</v>
      </c>
      <c r="F3918" t="s">
        <v>1792</v>
      </c>
      <c r="G3918" t="s">
        <v>1792</v>
      </c>
      <c r="H3918" s="10">
        <v>10093293</v>
      </c>
      <c r="I3918">
        <f>IFERROR(VLOOKUP(Final!F3918,'LEAID Match'!$A$2:$B$374,2,FALSE),"")</f>
        <v>404630</v>
      </c>
      <c r="K3918" s="10">
        <f t="shared" si="61"/>
        <v>10093293</v>
      </c>
    </row>
    <row r="3919" spans="1:11">
      <c r="A3919">
        <v>400078</v>
      </c>
      <c r="B3919" s="10">
        <v>2015</v>
      </c>
      <c r="C3919" t="s">
        <v>566</v>
      </c>
      <c r="D3919" t="s">
        <v>2472</v>
      </c>
      <c r="E3919" t="s">
        <v>2474</v>
      </c>
      <c r="F3919" t="s">
        <v>1699</v>
      </c>
      <c r="G3919" t="s">
        <v>511</v>
      </c>
      <c r="H3919" s="10">
        <v>109008</v>
      </c>
      <c r="I3919">
        <f>IFERROR(VLOOKUP(Final!F3919,'LEAID Match'!$A$2:$B$374,2,FALSE),"")</f>
        <v>400078</v>
      </c>
      <c r="K3919" s="10">
        <f t="shared" si="61"/>
        <v>109008</v>
      </c>
    </row>
    <row r="3920" spans="1:11">
      <c r="A3920">
        <v>400078</v>
      </c>
      <c r="B3920" s="10">
        <v>2016</v>
      </c>
      <c r="C3920" t="s">
        <v>566</v>
      </c>
      <c r="D3920" t="s">
        <v>2472</v>
      </c>
      <c r="E3920" t="s">
        <v>2474</v>
      </c>
      <c r="F3920" t="s">
        <v>1699</v>
      </c>
      <c r="G3920" t="s">
        <v>511</v>
      </c>
      <c r="H3920" s="10">
        <v>111051</v>
      </c>
      <c r="I3920">
        <f>IFERROR(VLOOKUP(Final!F3920,'LEAID Match'!$A$2:$B$374,2,FALSE),"")</f>
        <v>400078</v>
      </c>
      <c r="K3920" s="10">
        <f t="shared" si="61"/>
        <v>111051</v>
      </c>
    </row>
    <row r="3921" spans="1:11">
      <c r="A3921">
        <v>400078</v>
      </c>
      <c r="B3921" s="10">
        <v>2017</v>
      </c>
      <c r="C3921" t="s">
        <v>566</v>
      </c>
      <c r="D3921" t="s">
        <v>2472</v>
      </c>
      <c r="E3921" t="s">
        <v>2474</v>
      </c>
      <c r="F3921" t="s">
        <v>1699</v>
      </c>
      <c r="G3921" t="s">
        <v>1699</v>
      </c>
      <c r="H3921" s="10">
        <v>120485</v>
      </c>
      <c r="I3921">
        <f>IFERROR(VLOOKUP(Final!F3921,'LEAID Match'!$A$2:$B$374,2,FALSE),"")</f>
        <v>400078</v>
      </c>
      <c r="K3921" s="10">
        <f t="shared" si="61"/>
        <v>120485</v>
      </c>
    </row>
    <row r="3922" spans="1:11">
      <c r="A3922">
        <v>400078</v>
      </c>
      <c r="B3922" s="10">
        <v>2018</v>
      </c>
      <c r="C3922" t="s">
        <v>566</v>
      </c>
      <c r="D3922" t="s">
        <v>2472</v>
      </c>
      <c r="E3922" t="s">
        <v>2474</v>
      </c>
      <c r="F3922" t="s">
        <v>1699</v>
      </c>
      <c r="G3922" t="s">
        <v>1699</v>
      </c>
      <c r="H3922" s="10">
        <v>125116</v>
      </c>
      <c r="I3922">
        <f>IFERROR(VLOOKUP(Final!F3922,'LEAID Match'!$A$2:$B$374,2,FALSE),"")</f>
        <v>400078</v>
      </c>
      <c r="K3922" s="10">
        <f t="shared" si="61"/>
        <v>125116</v>
      </c>
    </row>
    <row r="3923" spans="1:11">
      <c r="A3923">
        <v>400078</v>
      </c>
      <c r="B3923" s="10">
        <v>2019</v>
      </c>
      <c r="C3923" t="s">
        <v>566</v>
      </c>
      <c r="D3923" t="s">
        <v>2472</v>
      </c>
      <c r="E3923" t="s">
        <v>2474</v>
      </c>
      <c r="F3923" t="s">
        <v>1699</v>
      </c>
      <c r="G3923" t="s">
        <v>1699</v>
      </c>
      <c r="H3923" s="10">
        <v>122932</v>
      </c>
      <c r="I3923">
        <f>IFERROR(VLOOKUP(Final!F3923,'LEAID Match'!$A$2:$B$374,2,FALSE),"")</f>
        <v>400078</v>
      </c>
      <c r="K3923" s="10">
        <f t="shared" si="61"/>
        <v>122932</v>
      </c>
    </row>
    <row r="3924" spans="1:11">
      <c r="A3924">
        <v>400078</v>
      </c>
      <c r="B3924" s="10">
        <v>2020</v>
      </c>
      <c r="C3924" t="s">
        <v>566</v>
      </c>
      <c r="D3924" t="s">
        <v>2472</v>
      </c>
      <c r="E3924" t="s">
        <v>2474</v>
      </c>
      <c r="F3924" t="s">
        <v>1699</v>
      </c>
      <c r="G3924" t="s">
        <v>1699</v>
      </c>
      <c r="H3924" s="10">
        <v>117482</v>
      </c>
      <c r="I3924">
        <f>IFERROR(VLOOKUP(Final!F3924,'LEAID Match'!$A$2:$B$374,2,FALSE),"")</f>
        <v>400078</v>
      </c>
      <c r="K3924" s="10">
        <f t="shared" si="61"/>
        <v>117482</v>
      </c>
    </row>
    <row r="3925" spans="1:11">
      <c r="A3925">
        <v>400078</v>
      </c>
      <c r="B3925" s="10">
        <v>2021</v>
      </c>
      <c r="C3925" t="s">
        <v>566</v>
      </c>
      <c r="D3925" t="s">
        <v>2472</v>
      </c>
      <c r="E3925" t="s">
        <v>2474</v>
      </c>
      <c r="F3925" t="s">
        <v>1699</v>
      </c>
      <c r="G3925" t="s">
        <v>1699</v>
      </c>
      <c r="H3925" s="10">
        <v>140225</v>
      </c>
      <c r="I3925">
        <f>IFERROR(VLOOKUP(Final!F3925,'LEAID Match'!$A$2:$B$374,2,FALSE),"")</f>
        <v>400078</v>
      </c>
      <c r="K3925" s="10">
        <f t="shared" si="61"/>
        <v>140225</v>
      </c>
    </row>
    <row r="3926" spans="1:11">
      <c r="A3926">
        <v>400078</v>
      </c>
      <c r="B3926" s="10">
        <v>2022</v>
      </c>
      <c r="C3926" t="s">
        <v>566</v>
      </c>
      <c r="D3926" t="s">
        <v>2472</v>
      </c>
      <c r="E3926" t="s">
        <v>2474</v>
      </c>
      <c r="F3926" t="s">
        <v>1699</v>
      </c>
      <c r="G3926" t="s">
        <v>1699</v>
      </c>
      <c r="H3926" s="10">
        <v>144302</v>
      </c>
      <c r="I3926">
        <f>IFERROR(VLOOKUP(Final!F3926,'LEAID Match'!$A$2:$B$374,2,FALSE),"")</f>
        <v>400078</v>
      </c>
      <c r="K3926" s="10">
        <f t="shared" si="61"/>
        <v>144302</v>
      </c>
    </row>
    <row r="3927" spans="1:11">
      <c r="A3927">
        <v>400078</v>
      </c>
      <c r="B3927" s="10">
        <v>2023</v>
      </c>
      <c r="C3927" t="s">
        <v>566</v>
      </c>
      <c r="D3927" t="s">
        <v>2472</v>
      </c>
      <c r="E3927" t="s">
        <v>2474</v>
      </c>
      <c r="F3927" t="s">
        <v>1699</v>
      </c>
      <c r="G3927" t="s">
        <v>1699</v>
      </c>
      <c r="H3927" s="10">
        <v>143144</v>
      </c>
      <c r="I3927">
        <f>IFERROR(VLOOKUP(Final!F3927,'LEAID Match'!$A$2:$B$374,2,FALSE),"")</f>
        <v>400078</v>
      </c>
      <c r="K3927" s="10">
        <f t="shared" si="61"/>
        <v>143144</v>
      </c>
    </row>
    <row r="3928" spans="1:11">
      <c r="A3928">
        <v>403010</v>
      </c>
      <c r="B3928" s="10">
        <v>2015</v>
      </c>
      <c r="C3928" t="s">
        <v>592</v>
      </c>
      <c r="D3928" t="s">
        <v>2472</v>
      </c>
      <c r="E3928" t="s">
        <v>2474</v>
      </c>
      <c r="F3928" t="s">
        <v>1719</v>
      </c>
      <c r="G3928" t="s">
        <v>537</v>
      </c>
      <c r="H3928" s="10">
        <v>2648808</v>
      </c>
      <c r="I3928">
        <f>IFERROR(VLOOKUP(Final!F3928,'LEAID Match'!$A$2:$B$374,2,FALSE),"")</f>
        <v>403010</v>
      </c>
      <c r="K3928" s="10">
        <f t="shared" si="61"/>
        <v>2648808</v>
      </c>
    </row>
    <row r="3929" spans="1:11">
      <c r="A3929">
        <v>403010</v>
      </c>
      <c r="B3929" s="10">
        <v>2016</v>
      </c>
      <c r="C3929" t="s">
        <v>592</v>
      </c>
      <c r="D3929" t="s">
        <v>2472</v>
      </c>
      <c r="E3929" t="s">
        <v>2474</v>
      </c>
      <c r="F3929" t="s">
        <v>1719</v>
      </c>
      <c r="G3929" t="s">
        <v>537</v>
      </c>
      <c r="H3929" s="10">
        <v>2566413</v>
      </c>
      <c r="I3929">
        <f>IFERROR(VLOOKUP(Final!F3929,'LEAID Match'!$A$2:$B$374,2,FALSE),"")</f>
        <v>403010</v>
      </c>
      <c r="K3929" s="10">
        <f t="shared" si="61"/>
        <v>2566413</v>
      </c>
    </row>
    <row r="3930" spans="1:11">
      <c r="A3930">
        <v>403010</v>
      </c>
      <c r="B3930" s="10">
        <v>2017</v>
      </c>
      <c r="C3930" t="s">
        <v>592</v>
      </c>
      <c r="D3930" t="s">
        <v>2472</v>
      </c>
      <c r="E3930" t="s">
        <v>2474</v>
      </c>
      <c r="F3930" t="s">
        <v>1719</v>
      </c>
      <c r="G3930" t="s">
        <v>1719</v>
      </c>
      <c r="H3930" s="10">
        <v>2649409</v>
      </c>
      <c r="I3930">
        <f>IFERROR(VLOOKUP(Final!F3930,'LEAID Match'!$A$2:$B$374,2,FALSE),"")</f>
        <v>403010</v>
      </c>
      <c r="K3930" s="10">
        <f t="shared" si="61"/>
        <v>2649409</v>
      </c>
    </row>
    <row r="3931" spans="1:11">
      <c r="A3931">
        <v>403010</v>
      </c>
      <c r="B3931" s="10">
        <v>2018</v>
      </c>
      <c r="C3931" t="s">
        <v>592</v>
      </c>
      <c r="D3931" t="s">
        <v>2472</v>
      </c>
      <c r="E3931" t="s">
        <v>2474</v>
      </c>
      <c r="F3931" t="s">
        <v>1719</v>
      </c>
      <c r="G3931" t="s">
        <v>2188</v>
      </c>
      <c r="H3931" s="10">
        <v>2715429</v>
      </c>
      <c r="I3931">
        <f>IFERROR(VLOOKUP(Final!F3931,'LEAID Match'!$A$2:$B$374,2,FALSE),"")</f>
        <v>403010</v>
      </c>
      <c r="K3931" s="10">
        <f t="shared" si="61"/>
        <v>2715429</v>
      </c>
    </row>
    <row r="3932" spans="1:11">
      <c r="A3932">
        <v>403010</v>
      </c>
      <c r="B3932" s="10">
        <v>2019</v>
      </c>
      <c r="C3932" t="s">
        <v>592</v>
      </c>
      <c r="D3932" t="s">
        <v>2472</v>
      </c>
      <c r="E3932" t="s">
        <v>2474</v>
      </c>
      <c r="F3932" t="s">
        <v>1719</v>
      </c>
      <c r="G3932" t="s">
        <v>1719</v>
      </c>
      <c r="H3932" s="10">
        <v>2988943</v>
      </c>
      <c r="I3932">
        <f>IFERROR(VLOOKUP(Final!F3932,'LEAID Match'!$A$2:$B$374,2,FALSE),"")</f>
        <v>403010</v>
      </c>
      <c r="K3932" s="10">
        <f t="shared" si="61"/>
        <v>2988943</v>
      </c>
    </row>
    <row r="3933" spans="1:11">
      <c r="A3933">
        <v>403010</v>
      </c>
      <c r="B3933" s="10">
        <v>2020</v>
      </c>
      <c r="C3933" t="s">
        <v>592</v>
      </c>
      <c r="D3933" t="s">
        <v>2472</v>
      </c>
      <c r="E3933" t="s">
        <v>2474</v>
      </c>
      <c r="F3933" t="s">
        <v>1719</v>
      </c>
      <c r="G3933" t="s">
        <v>1719</v>
      </c>
      <c r="H3933" s="10">
        <v>3184847</v>
      </c>
      <c r="I3933">
        <f>IFERROR(VLOOKUP(Final!F3933,'LEAID Match'!$A$2:$B$374,2,FALSE),"")</f>
        <v>403010</v>
      </c>
      <c r="K3933" s="10">
        <f t="shared" si="61"/>
        <v>3184847</v>
      </c>
    </row>
    <row r="3934" spans="1:11">
      <c r="A3934">
        <v>403010</v>
      </c>
      <c r="B3934" s="10">
        <v>2021</v>
      </c>
      <c r="C3934" t="s">
        <v>592</v>
      </c>
      <c r="D3934" t="s">
        <v>2472</v>
      </c>
      <c r="E3934" t="s">
        <v>2474</v>
      </c>
      <c r="F3934" t="s">
        <v>1719</v>
      </c>
      <c r="G3934" t="s">
        <v>1719</v>
      </c>
      <c r="H3934" s="10">
        <v>3325295</v>
      </c>
      <c r="I3934">
        <f>IFERROR(VLOOKUP(Final!F3934,'LEAID Match'!$A$2:$B$374,2,FALSE),"")</f>
        <v>403010</v>
      </c>
      <c r="K3934" s="10">
        <f t="shared" si="61"/>
        <v>3325295</v>
      </c>
    </row>
    <row r="3935" spans="1:11">
      <c r="A3935">
        <v>403010</v>
      </c>
      <c r="B3935" s="10">
        <v>2022</v>
      </c>
      <c r="C3935" t="s">
        <v>592</v>
      </c>
      <c r="D3935" t="s">
        <v>2472</v>
      </c>
      <c r="E3935" t="s">
        <v>2474</v>
      </c>
      <c r="F3935" t="s">
        <v>1719</v>
      </c>
      <c r="G3935" t="s">
        <v>1719</v>
      </c>
      <c r="H3935" s="10">
        <v>3763189</v>
      </c>
      <c r="I3935">
        <f>IFERROR(VLOOKUP(Final!F3935,'LEAID Match'!$A$2:$B$374,2,FALSE),"")</f>
        <v>403010</v>
      </c>
      <c r="K3935" s="10">
        <f t="shared" si="61"/>
        <v>3763189</v>
      </c>
    </row>
    <row r="3936" spans="1:11">
      <c r="A3936">
        <v>403010</v>
      </c>
      <c r="B3936" s="10">
        <v>2023</v>
      </c>
      <c r="C3936" t="s">
        <v>592</v>
      </c>
      <c r="D3936" t="s">
        <v>2472</v>
      </c>
      <c r="E3936" t="s">
        <v>2474</v>
      </c>
      <c r="F3936" t="s">
        <v>1719</v>
      </c>
      <c r="G3936" t="s">
        <v>1719</v>
      </c>
      <c r="H3936" s="10">
        <v>4145783</v>
      </c>
      <c r="I3936">
        <f>IFERROR(VLOOKUP(Final!F3936,'LEAID Match'!$A$2:$B$374,2,FALSE),"")</f>
        <v>403010</v>
      </c>
      <c r="K3936" s="10">
        <f t="shared" si="61"/>
        <v>4145783</v>
      </c>
    </row>
    <row r="3937" spans="1:11">
      <c r="A3937">
        <v>400680</v>
      </c>
      <c r="B3937" s="10">
        <v>2015</v>
      </c>
      <c r="C3937" t="s">
        <v>76</v>
      </c>
      <c r="D3937" t="s">
        <v>2472</v>
      </c>
      <c r="E3937" t="s">
        <v>2474</v>
      </c>
      <c r="F3937" t="s">
        <v>1499</v>
      </c>
      <c r="G3937" t="s">
        <v>23</v>
      </c>
      <c r="H3937" s="10">
        <v>7321963</v>
      </c>
      <c r="I3937">
        <f>IFERROR(VLOOKUP(Final!F3937,'LEAID Match'!$A$2:$B$374,2,FALSE),"")</f>
        <v>400680</v>
      </c>
      <c r="K3937" s="10">
        <f t="shared" si="61"/>
        <v>7321963</v>
      </c>
    </row>
    <row r="3938" spans="1:11">
      <c r="A3938">
        <v>400680</v>
      </c>
      <c r="B3938" s="10">
        <v>2016</v>
      </c>
      <c r="C3938" t="s">
        <v>76</v>
      </c>
      <c r="D3938" t="s">
        <v>2472</v>
      </c>
      <c r="E3938" t="s">
        <v>2474</v>
      </c>
      <c r="F3938" t="s">
        <v>1499</v>
      </c>
      <c r="G3938" t="s">
        <v>23</v>
      </c>
      <c r="H3938" s="10">
        <v>7032454</v>
      </c>
      <c r="I3938">
        <f>IFERROR(VLOOKUP(Final!F3938,'LEAID Match'!$A$2:$B$374,2,FALSE),"")</f>
        <v>400680</v>
      </c>
      <c r="K3938" s="10">
        <f t="shared" si="61"/>
        <v>7032454</v>
      </c>
    </row>
    <row r="3939" spans="1:11">
      <c r="A3939">
        <v>400680</v>
      </c>
      <c r="B3939" s="10">
        <v>2017</v>
      </c>
      <c r="C3939" t="s">
        <v>76</v>
      </c>
      <c r="D3939" t="s">
        <v>2472</v>
      </c>
      <c r="E3939" t="s">
        <v>2474</v>
      </c>
      <c r="F3939" t="s">
        <v>1499</v>
      </c>
      <c r="G3939" t="s">
        <v>1499</v>
      </c>
      <c r="H3939" s="10">
        <v>7248286</v>
      </c>
      <c r="I3939">
        <f>IFERROR(VLOOKUP(Final!F3939,'LEAID Match'!$A$2:$B$374,2,FALSE),"")</f>
        <v>400680</v>
      </c>
      <c r="K3939" s="10">
        <f t="shared" si="61"/>
        <v>7248286</v>
      </c>
    </row>
    <row r="3940" spans="1:11">
      <c r="A3940">
        <v>400680</v>
      </c>
      <c r="B3940" s="10">
        <v>2018</v>
      </c>
      <c r="C3940" t="s">
        <v>76</v>
      </c>
      <c r="D3940" t="s">
        <v>2472</v>
      </c>
      <c r="E3940" t="s">
        <v>2474</v>
      </c>
      <c r="F3940" t="s">
        <v>1499</v>
      </c>
      <c r="G3940" t="s">
        <v>2048</v>
      </c>
      <c r="H3940" s="10">
        <v>7333602</v>
      </c>
      <c r="I3940">
        <f>IFERROR(VLOOKUP(Final!F3940,'LEAID Match'!$A$2:$B$374,2,FALSE),"")</f>
        <v>400680</v>
      </c>
      <c r="K3940" s="10">
        <f t="shared" si="61"/>
        <v>7333602</v>
      </c>
    </row>
    <row r="3941" spans="1:11">
      <c r="A3941">
        <v>400680</v>
      </c>
      <c r="B3941" s="10">
        <v>2019</v>
      </c>
      <c r="C3941" t="s">
        <v>76</v>
      </c>
      <c r="D3941" t="s">
        <v>2472</v>
      </c>
      <c r="E3941" t="s">
        <v>2474</v>
      </c>
      <c r="F3941" t="s">
        <v>1499</v>
      </c>
      <c r="G3941" t="s">
        <v>1499</v>
      </c>
      <c r="H3941" s="10">
        <v>7925826</v>
      </c>
      <c r="I3941">
        <f>IFERROR(VLOOKUP(Final!F3941,'LEAID Match'!$A$2:$B$374,2,FALSE),"")</f>
        <v>400680</v>
      </c>
      <c r="K3941" s="10">
        <f t="shared" si="61"/>
        <v>7925826</v>
      </c>
    </row>
    <row r="3942" spans="1:11">
      <c r="A3942">
        <v>400680</v>
      </c>
      <c r="B3942" s="10">
        <v>2020</v>
      </c>
      <c r="C3942" t="s">
        <v>76</v>
      </c>
      <c r="D3942" t="s">
        <v>2472</v>
      </c>
      <c r="E3942" t="s">
        <v>2474</v>
      </c>
      <c r="F3942" t="s">
        <v>1499</v>
      </c>
      <c r="G3942" t="s">
        <v>1499</v>
      </c>
      <c r="H3942" s="10">
        <v>8332914</v>
      </c>
      <c r="I3942">
        <f>IFERROR(VLOOKUP(Final!F3942,'LEAID Match'!$A$2:$B$374,2,FALSE),"")</f>
        <v>400680</v>
      </c>
      <c r="K3942" s="10">
        <f t="shared" si="61"/>
        <v>8332914</v>
      </c>
    </row>
    <row r="3943" spans="1:11">
      <c r="A3943">
        <v>400680</v>
      </c>
      <c r="B3943" s="10">
        <v>2021</v>
      </c>
      <c r="C3943" t="s">
        <v>76</v>
      </c>
      <c r="D3943" t="s">
        <v>2472</v>
      </c>
      <c r="E3943" t="s">
        <v>2474</v>
      </c>
      <c r="F3943" t="s">
        <v>1499</v>
      </c>
      <c r="G3943" t="s">
        <v>1499</v>
      </c>
      <c r="H3943" s="10">
        <v>8569540</v>
      </c>
      <c r="I3943">
        <f>IFERROR(VLOOKUP(Final!F3943,'LEAID Match'!$A$2:$B$374,2,FALSE),"")</f>
        <v>400680</v>
      </c>
      <c r="K3943" s="10">
        <f t="shared" si="61"/>
        <v>8569540</v>
      </c>
    </row>
    <row r="3944" spans="1:11">
      <c r="A3944">
        <v>400680</v>
      </c>
      <c r="B3944" s="10">
        <v>2022</v>
      </c>
      <c r="C3944" t="s">
        <v>76</v>
      </c>
      <c r="D3944" t="s">
        <v>2472</v>
      </c>
      <c r="E3944" t="s">
        <v>2474</v>
      </c>
      <c r="F3944" t="s">
        <v>1499</v>
      </c>
      <c r="G3944" t="s">
        <v>1499</v>
      </c>
      <c r="H3944" s="10">
        <v>9246219</v>
      </c>
      <c r="I3944">
        <f>IFERROR(VLOOKUP(Final!F3944,'LEAID Match'!$A$2:$B$374,2,FALSE),"")</f>
        <v>400680</v>
      </c>
      <c r="K3944" s="10">
        <f t="shared" si="61"/>
        <v>9246219</v>
      </c>
    </row>
    <row r="3945" spans="1:11">
      <c r="A3945">
        <v>400680</v>
      </c>
      <c r="B3945" s="10">
        <v>2023</v>
      </c>
      <c r="C3945" t="s">
        <v>76</v>
      </c>
      <c r="D3945" t="s">
        <v>2472</v>
      </c>
      <c r="E3945" t="s">
        <v>2474</v>
      </c>
      <c r="F3945" t="s">
        <v>1499</v>
      </c>
      <c r="G3945" t="s">
        <v>1499</v>
      </c>
      <c r="H3945" s="10">
        <v>9600467</v>
      </c>
      <c r="I3945">
        <f>IFERROR(VLOOKUP(Final!F3945,'LEAID Match'!$A$2:$B$374,2,FALSE),"")</f>
        <v>400680</v>
      </c>
      <c r="K3945" s="10">
        <f t="shared" si="61"/>
        <v>9600467</v>
      </c>
    </row>
    <row r="3946" spans="1:11">
      <c r="A3946">
        <v>408170</v>
      </c>
      <c r="B3946" s="10">
        <v>2015</v>
      </c>
      <c r="C3946" t="s">
        <v>1146</v>
      </c>
      <c r="D3946" t="s">
        <v>2472</v>
      </c>
      <c r="E3946" t="s">
        <v>2474</v>
      </c>
      <c r="F3946" t="s">
        <v>1973</v>
      </c>
      <c r="G3946" t="s">
        <v>1091</v>
      </c>
      <c r="H3946" s="10">
        <v>7644673</v>
      </c>
      <c r="I3946">
        <f>IFERROR(VLOOKUP(Final!F3946,'LEAID Match'!$A$2:$B$374,2,FALSE),"")</f>
        <v>408170</v>
      </c>
      <c r="K3946" s="10">
        <f t="shared" si="61"/>
        <v>7644673</v>
      </c>
    </row>
    <row r="3947" spans="1:11">
      <c r="A3947">
        <v>408170</v>
      </c>
      <c r="B3947" s="10">
        <v>2016</v>
      </c>
      <c r="C3947" t="s">
        <v>1146</v>
      </c>
      <c r="D3947" t="s">
        <v>2472</v>
      </c>
      <c r="E3947" t="s">
        <v>2474</v>
      </c>
      <c r="F3947" t="s">
        <v>1973</v>
      </c>
      <c r="G3947" t="s">
        <v>1091</v>
      </c>
      <c r="H3947" s="10">
        <v>7702250</v>
      </c>
      <c r="I3947">
        <f>IFERROR(VLOOKUP(Final!F3947,'LEAID Match'!$A$2:$B$374,2,FALSE),"")</f>
        <v>408170</v>
      </c>
      <c r="K3947" s="10">
        <f t="shared" si="61"/>
        <v>7702250</v>
      </c>
    </row>
    <row r="3948" spans="1:11">
      <c r="A3948">
        <v>408170</v>
      </c>
      <c r="B3948" s="10">
        <v>2017</v>
      </c>
      <c r="C3948" t="s">
        <v>1146</v>
      </c>
      <c r="D3948" t="s">
        <v>2472</v>
      </c>
      <c r="E3948" t="s">
        <v>2474</v>
      </c>
      <c r="F3948" t="s">
        <v>1973</v>
      </c>
      <c r="G3948" t="s">
        <v>1973</v>
      </c>
      <c r="H3948" s="10">
        <v>7626005</v>
      </c>
      <c r="I3948">
        <f>IFERROR(VLOOKUP(Final!F3948,'LEAID Match'!$A$2:$B$374,2,FALSE),"")</f>
        <v>408170</v>
      </c>
      <c r="K3948" s="10">
        <f t="shared" si="61"/>
        <v>7626005</v>
      </c>
    </row>
    <row r="3949" spans="1:11">
      <c r="A3949">
        <v>408170</v>
      </c>
      <c r="B3949" s="10">
        <v>2018</v>
      </c>
      <c r="C3949" t="s">
        <v>1146</v>
      </c>
      <c r="D3949" t="s">
        <v>2472</v>
      </c>
      <c r="E3949" t="s">
        <v>2474</v>
      </c>
      <c r="F3949" t="s">
        <v>1973</v>
      </c>
      <c r="G3949" t="s">
        <v>1973</v>
      </c>
      <c r="H3949" s="10">
        <v>7754982</v>
      </c>
      <c r="I3949">
        <f>IFERROR(VLOOKUP(Final!F3949,'LEAID Match'!$A$2:$B$374,2,FALSE),"")</f>
        <v>408170</v>
      </c>
      <c r="K3949" s="10">
        <f t="shared" si="61"/>
        <v>7754982</v>
      </c>
    </row>
    <row r="3950" spans="1:11">
      <c r="A3950">
        <v>408170</v>
      </c>
      <c r="B3950" s="10">
        <v>2019</v>
      </c>
      <c r="C3950" t="s">
        <v>1146</v>
      </c>
      <c r="D3950" t="s">
        <v>2472</v>
      </c>
      <c r="E3950" t="s">
        <v>2474</v>
      </c>
      <c r="F3950" t="s">
        <v>1973</v>
      </c>
      <c r="G3950" t="s">
        <v>1973</v>
      </c>
      <c r="H3950" s="10">
        <v>8648382</v>
      </c>
      <c r="I3950">
        <f>IFERROR(VLOOKUP(Final!F3950,'LEAID Match'!$A$2:$B$374,2,FALSE),"")</f>
        <v>408170</v>
      </c>
      <c r="K3950" s="10">
        <f t="shared" si="61"/>
        <v>8648382</v>
      </c>
    </row>
    <row r="3951" spans="1:11">
      <c r="A3951">
        <v>408170</v>
      </c>
      <c r="B3951" s="10">
        <v>2020</v>
      </c>
      <c r="C3951" t="s">
        <v>1146</v>
      </c>
      <c r="D3951" t="s">
        <v>2472</v>
      </c>
      <c r="E3951" t="s">
        <v>2474</v>
      </c>
      <c r="F3951" t="s">
        <v>1973</v>
      </c>
      <c r="G3951" t="s">
        <v>1973</v>
      </c>
      <c r="H3951" s="10">
        <v>8954653</v>
      </c>
      <c r="I3951">
        <f>IFERROR(VLOOKUP(Final!F3951,'LEAID Match'!$A$2:$B$374,2,FALSE),"")</f>
        <v>408170</v>
      </c>
      <c r="K3951" s="10">
        <f t="shared" si="61"/>
        <v>8954653</v>
      </c>
    </row>
    <row r="3952" spans="1:11">
      <c r="A3952">
        <v>408170</v>
      </c>
      <c r="B3952" s="10">
        <v>2021</v>
      </c>
      <c r="C3952" t="s">
        <v>1146</v>
      </c>
      <c r="D3952" t="s">
        <v>2472</v>
      </c>
      <c r="E3952" t="s">
        <v>2474</v>
      </c>
      <c r="F3952" t="s">
        <v>1973</v>
      </c>
      <c r="G3952" t="s">
        <v>1973</v>
      </c>
      <c r="H3952" s="10">
        <v>8733934</v>
      </c>
      <c r="I3952">
        <f>IFERROR(VLOOKUP(Final!F3952,'LEAID Match'!$A$2:$B$374,2,FALSE),"")</f>
        <v>408170</v>
      </c>
      <c r="K3952" s="10">
        <f t="shared" si="61"/>
        <v>8733934</v>
      </c>
    </row>
    <row r="3953" spans="1:11">
      <c r="A3953">
        <v>408170</v>
      </c>
      <c r="B3953" s="10">
        <v>2022</v>
      </c>
      <c r="C3953" t="s">
        <v>1146</v>
      </c>
      <c r="D3953" t="s">
        <v>2472</v>
      </c>
      <c r="E3953" t="s">
        <v>2474</v>
      </c>
      <c r="F3953" t="s">
        <v>1973</v>
      </c>
      <c r="G3953" t="s">
        <v>1973</v>
      </c>
      <c r="H3953" s="10">
        <v>10494124</v>
      </c>
      <c r="I3953">
        <f>IFERROR(VLOOKUP(Final!F3953,'LEAID Match'!$A$2:$B$374,2,FALSE),"")</f>
        <v>408170</v>
      </c>
      <c r="K3953" s="10">
        <f t="shared" si="61"/>
        <v>10494124</v>
      </c>
    </row>
    <row r="3954" spans="1:11">
      <c r="A3954">
        <v>408170</v>
      </c>
      <c r="B3954" s="10">
        <v>2023</v>
      </c>
      <c r="C3954" t="s">
        <v>1146</v>
      </c>
      <c r="D3954" t="s">
        <v>2472</v>
      </c>
      <c r="E3954" t="s">
        <v>2474</v>
      </c>
      <c r="F3954" t="s">
        <v>1973</v>
      </c>
      <c r="G3954" t="s">
        <v>1973</v>
      </c>
      <c r="H3954" s="10">
        <v>10857712</v>
      </c>
      <c r="I3954">
        <f>IFERROR(VLOOKUP(Final!F3954,'LEAID Match'!$A$2:$B$374,2,FALSE),"")</f>
        <v>408170</v>
      </c>
      <c r="K3954" s="10">
        <f t="shared" si="61"/>
        <v>10857712</v>
      </c>
    </row>
    <row r="3955" spans="1:11">
      <c r="A3955">
        <v>408280</v>
      </c>
      <c r="B3955" s="10">
        <v>2015</v>
      </c>
      <c r="C3955" t="s">
        <v>1152</v>
      </c>
      <c r="D3955" t="s">
        <v>2472</v>
      </c>
      <c r="E3955" t="s">
        <v>2474</v>
      </c>
      <c r="F3955" t="s">
        <v>1979</v>
      </c>
      <c r="G3955" t="s">
        <v>1097</v>
      </c>
      <c r="H3955" s="10">
        <v>910449</v>
      </c>
      <c r="I3955">
        <f>IFERROR(VLOOKUP(Final!F3955,'LEAID Match'!$A$2:$B$374,2,FALSE),"")</f>
        <v>408280</v>
      </c>
      <c r="K3955" s="10">
        <f t="shared" si="61"/>
        <v>910449</v>
      </c>
    </row>
    <row r="3956" spans="1:11">
      <c r="A3956">
        <v>408280</v>
      </c>
      <c r="B3956" s="10">
        <v>2016</v>
      </c>
      <c r="C3956" t="s">
        <v>1152</v>
      </c>
      <c r="D3956" t="s">
        <v>2472</v>
      </c>
      <c r="E3956" t="s">
        <v>2474</v>
      </c>
      <c r="F3956" t="s">
        <v>1979</v>
      </c>
      <c r="G3956" t="s">
        <v>1097</v>
      </c>
      <c r="H3956" s="10">
        <v>925156</v>
      </c>
      <c r="I3956">
        <f>IFERROR(VLOOKUP(Final!F3956,'LEAID Match'!$A$2:$B$374,2,FALSE),"")</f>
        <v>408280</v>
      </c>
      <c r="K3956" s="10">
        <f t="shared" si="61"/>
        <v>925156</v>
      </c>
    </row>
    <row r="3957" spans="1:11">
      <c r="A3957">
        <v>408280</v>
      </c>
      <c r="B3957" s="10">
        <v>2017</v>
      </c>
      <c r="C3957" t="s">
        <v>1152</v>
      </c>
      <c r="D3957" t="s">
        <v>2472</v>
      </c>
      <c r="E3957" t="s">
        <v>2474</v>
      </c>
      <c r="F3957" t="s">
        <v>1979</v>
      </c>
      <c r="G3957" t="s">
        <v>1979</v>
      </c>
      <c r="H3957" s="10">
        <v>983058</v>
      </c>
      <c r="I3957">
        <f>IFERROR(VLOOKUP(Final!F3957,'LEAID Match'!$A$2:$B$374,2,FALSE),"")</f>
        <v>408280</v>
      </c>
      <c r="K3957" s="10">
        <f t="shared" si="61"/>
        <v>983058</v>
      </c>
    </row>
    <row r="3958" spans="1:11">
      <c r="A3958">
        <v>408280</v>
      </c>
      <c r="B3958" s="10">
        <v>2018</v>
      </c>
      <c r="C3958" t="s">
        <v>1152</v>
      </c>
      <c r="D3958" t="s">
        <v>2472</v>
      </c>
      <c r="E3958" t="s">
        <v>2474</v>
      </c>
      <c r="F3958" t="s">
        <v>1979</v>
      </c>
      <c r="G3958" t="s">
        <v>2323</v>
      </c>
      <c r="H3958" s="10">
        <v>1035764</v>
      </c>
      <c r="I3958">
        <f>IFERROR(VLOOKUP(Final!F3958,'LEAID Match'!$A$2:$B$374,2,FALSE),"")</f>
        <v>408280</v>
      </c>
      <c r="K3958" s="10">
        <f t="shared" si="61"/>
        <v>1035764</v>
      </c>
    </row>
    <row r="3959" spans="1:11">
      <c r="A3959">
        <v>408280</v>
      </c>
      <c r="B3959" s="10">
        <v>2019</v>
      </c>
      <c r="C3959" t="s">
        <v>1152</v>
      </c>
      <c r="D3959" t="s">
        <v>2472</v>
      </c>
      <c r="E3959" t="s">
        <v>2474</v>
      </c>
      <c r="F3959" t="s">
        <v>1979</v>
      </c>
      <c r="G3959" t="s">
        <v>1979</v>
      </c>
      <c r="H3959" s="10">
        <v>1073244</v>
      </c>
      <c r="I3959">
        <f>IFERROR(VLOOKUP(Final!F3959,'LEAID Match'!$A$2:$B$374,2,FALSE),"")</f>
        <v>408280</v>
      </c>
      <c r="K3959" s="10">
        <f t="shared" si="61"/>
        <v>1073244</v>
      </c>
    </row>
    <row r="3960" spans="1:11">
      <c r="A3960">
        <v>408280</v>
      </c>
      <c r="B3960" s="10">
        <v>2020</v>
      </c>
      <c r="C3960" t="s">
        <v>1152</v>
      </c>
      <c r="D3960" t="s">
        <v>2472</v>
      </c>
      <c r="E3960" t="s">
        <v>2474</v>
      </c>
      <c r="F3960" t="s">
        <v>1979</v>
      </c>
      <c r="G3960" t="s">
        <v>1979</v>
      </c>
      <c r="H3960" s="10">
        <v>1136137</v>
      </c>
      <c r="I3960">
        <f>IFERROR(VLOOKUP(Final!F3960,'LEAID Match'!$A$2:$B$374,2,FALSE),"")</f>
        <v>408280</v>
      </c>
      <c r="K3960" s="10">
        <f t="shared" si="61"/>
        <v>1136137</v>
      </c>
    </row>
    <row r="3961" spans="1:11">
      <c r="A3961">
        <v>408280</v>
      </c>
      <c r="B3961" s="10">
        <v>2021</v>
      </c>
      <c r="C3961" t="s">
        <v>1152</v>
      </c>
      <c r="D3961" t="s">
        <v>2472</v>
      </c>
      <c r="E3961" t="s">
        <v>2474</v>
      </c>
      <c r="F3961" t="s">
        <v>1979</v>
      </c>
      <c r="G3961" t="s">
        <v>1979</v>
      </c>
      <c r="H3961" s="10">
        <v>1225913</v>
      </c>
      <c r="I3961">
        <f>IFERROR(VLOOKUP(Final!F3961,'LEAID Match'!$A$2:$B$374,2,FALSE),"")</f>
        <v>408280</v>
      </c>
      <c r="K3961" s="10">
        <f t="shared" si="61"/>
        <v>1225913</v>
      </c>
    </row>
    <row r="3962" spans="1:11">
      <c r="A3962">
        <v>408280</v>
      </c>
      <c r="B3962" s="10">
        <v>2022</v>
      </c>
      <c r="C3962" t="s">
        <v>1152</v>
      </c>
      <c r="D3962" t="s">
        <v>2472</v>
      </c>
      <c r="E3962" t="s">
        <v>2474</v>
      </c>
      <c r="F3962" t="s">
        <v>1979</v>
      </c>
      <c r="G3962" t="s">
        <v>1979</v>
      </c>
      <c r="H3962" s="10">
        <v>1394542</v>
      </c>
      <c r="I3962">
        <f>IFERROR(VLOOKUP(Final!F3962,'LEAID Match'!$A$2:$B$374,2,FALSE),"")</f>
        <v>408280</v>
      </c>
      <c r="K3962" s="10">
        <f t="shared" si="61"/>
        <v>1394542</v>
      </c>
    </row>
    <row r="3963" spans="1:11">
      <c r="A3963">
        <v>408280</v>
      </c>
      <c r="B3963" s="10">
        <v>2023</v>
      </c>
      <c r="C3963" t="s">
        <v>1152</v>
      </c>
      <c r="D3963" t="s">
        <v>2472</v>
      </c>
      <c r="E3963" t="s">
        <v>2474</v>
      </c>
      <c r="F3963" t="s">
        <v>1979</v>
      </c>
      <c r="G3963" t="s">
        <v>1979</v>
      </c>
      <c r="H3963" s="10">
        <v>1572319</v>
      </c>
      <c r="I3963">
        <f>IFERROR(VLOOKUP(Final!F3963,'LEAID Match'!$A$2:$B$374,2,FALSE),"")</f>
        <v>408280</v>
      </c>
      <c r="K3963" s="10">
        <f t="shared" si="61"/>
        <v>1572319</v>
      </c>
    </row>
    <row r="3964" spans="1:11">
      <c r="A3964">
        <v>400520</v>
      </c>
      <c r="B3964" s="10">
        <v>2015</v>
      </c>
      <c r="C3964" t="s">
        <v>67</v>
      </c>
      <c r="D3964" t="s">
        <v>2472</v>
      </c>
      <c r="E3964" t="s">
        <v>2474</v>
      </c>
      <c r="F3964" t="s">
        <v>1492</v>
      </c>
      <c r="G3964" t="s">
        <v>14</v>
      </c>
      <c r="H3964" s="10">
        <v>212251</v>
      </c>
      <c r="I3964">
        <f>IFERROR(VLOOKUP(Final!F3964,'LEAID Match'!$A$2:$B$374,2,FALSE),"")</f>
        <v>400520</v>
      </c>
      <c r="K3964" s="10">
        <f t="shared" si="61"/>
        <v>212251</v>
      </c>
    </row>
    <row r="3965" spans="1:11">
      <c r="A3965">
        <v>400520</v>
      </c>
      <c r="B3965" s="10">
        <v>2016</v>
      </c>
      <c r="C3965" t="s">
        <v>67</v>
      </c>
      <c r="D3965" t="s">
        <v>2472</v>
      </c>
      <c r="E3965" t="s">
        <v>2474</v>
      </c>
      <c r="F3965" t="s">
        <v>1492</v>
      </c>
      <c r="G3965" t="s">
        <v>14</v>
      </c>
      <c r="H3965" s="10">
        <v>220095</v>
      </c>
      <c r="I3965">
        <f>IFERROR(VLOOKUP(Final!F3965,'LEAID Match'!$A$2:$B$374,2,FALSE),"")</f>
        <v>400520</v>
      </c>
      <c r="K3965" s="10">
        <f t="shared" si="61"/>
        <v>220095</v>
      </c>
    </row>
    <row r="3966" spans="1:11">
      <c r="A3966">
        <v>400520</v>
      </c>
      <c r="B3966" s="10">
        <v>2017</v>
      </c>
      <c r="C3966" t="s">
        <v>67</v>
      </c>
      <c r="D3966" t="s">
        <v>2472</v>
      </c>
      <c r="E3966" t="s">
        <v>2474</v>
      </c>
      <c r="F3966" t="s">
        <v>1492</v>
      </c>
      <c r="G3966" t="s">
        <v>1492</v>
      </c>
      <c r="H3966" s="10">
        <v>187914</v>
      </c>
      <c r="I3966">
        <f>IFERROR(VLOOKUP(Final!F3966,'LEAID Match'!$A$2:$B$374,2,FALSE),"")</f>
        <v>400520</v>
      </c>
      <c r="K3966" s="10">
        <f t="shared" si="61"/>
        <v>187914</v>
      </c>
    </row>
    <row r="3967" spans="1:11">
      <c r="A3967">
        <v>400520</v>
      </c>
      <c r="B3967" s="10">
        <v>2018</v>
      </c>
      <c r="C3967" t="s">
        <v>67</v>
      </c>
      <c r="D3967" t="s">
        <v>2472</v>
      </c>
      <c r="E3967" t="s">
        <v>2474</v>
      </c>
      <c r="F3967" t="s">
        <v>1492</v>
      </c>
      <c r="G3967" t="s">
        <v>1492</v>
      </c>
      <c r="H3967" s="10">
        <v>195117</v>
      </c>
      <c r="I3967">
        <f>IFERROR(VLOOKUP(Final!F3967,'LEAID Match'!$A$2:$B$374,2,FALSE),"")</f>
        <v>400520</v>
      </c>
      <c r="K3967" s="10">
        <f t="shared" si="61"/>
        <v>195117</v>
      </c>
    </row>
    <row r="3968" spans="1:11">
      <c r="A3968">
        <v>400520</v>
      </c>
      <c r="B3968" s="10">
        <v>2019</v>
      </c>
      <c r="C3968" t="s">
        <v>67</v>
      </c>
      <c r="D3968" t="s">
        <v>2472</v>
      </c>
      <c r="E3968" t="s">
        <v>2474</v>
      </c>
      <c r="F3968" t="s">
        <v>1492</v>
      </c>
      <c r="G3968" t="s">
        <v>1492</v>
      </c>
      <c r="H3968" s="10">
        <v>191454</v>
      </c>
      <c r="I3968">
        <f>IFERROR(VLOOKUP(Final!F3968,'LEAID Match'!$A$2:$B$374,2,FALSE),"")</f>
        <v>400520</v>
      </c>
      <c r="K3968" s="10">
        <f t="shared" si="61"/>
        <v>191454</v>
      </c>
    </row>
    <row r="3969" spans="1:11">
      <c r="A3969">
        <v>400520</v>
      </c>
      <c r="B3969" s="10">
        <v>2020</v>
      </c>
      <c r="C3969" t="s">
        <v>67</v>
      </c>
      <c r="D3969" t="s">
        <v>2472</v>
      </c>
      <c r="E3969" t="s">
        <v>2474</v>
      </c>
      <c r="F3969" t="s">
        <v>1492</v>
      </c>
      <c r="G3969" t="s">
        <v>1492</v>
      </c>
      <c r="H3969" s="10">
        <v>213606</v>
      </c>
      <c r="I3969">
        <f>IFERROR(VLOOKUP(Final!F3969,'LEAID Match'!$A$2:$B$374,2,FALSE),"")</f>
        <v>400520</v>
      </c>
      <c r="K3969" s="10">
        <f t="shared" si="61"/>
        <v>213606</v>
      </c>
    </row>
    <row r="3970" spans="1:11">
      <c r="A3970">
        <v>400520</v>
      </c>
      <c r="B3970" s="10">
        <v>2021</v>
      </c>
      <c r="C3970" t="s">
        <v>67</v>
      </c>
      <c r="D3970" t="s">
        <v>2472</v>
      </c>
      <c r="E3970" t="s">
        <v>2474</v>
      </c>
      <c r="F3970" t="s">
        <v>1492</v>
      </c>
      <c r="G3970" t="s">
        <v>1492</v>
      </c>
      <c r="H3970" s="10">
        <v>210014</v>
      </c>
      <c r="I3970">
        <f>IFERROR(VLOOKUP(Final!F3970,'LEAID Match'!$A$2:$B$374,2,FALSE),"")</f>
        <v>400520</v>
      </c>
      <c r="K3970" s="10">
        <f t="shared" si="61"/>
        <v>210014</v>
      </c>
    </row>
    <row r="3971" spans="1:11">
      <c r="A3971">
        <v>400520</v>
      </c>
      <c r="B3971" s="10">
        <v>2022</v>
      </c>
      <c r="C3971" t="s">
        <v>67</v>
      </c>
      <c r="D3971" t="s">
        <v>2472</v>
      </c>
      <c r="E3971" t="s">
        <v>2474</v>
      </c>
      <c r="F3971" t="s">
        <v>1492</v>
      </c>
      <c r="G3971" t="s">
        <v>1492</v>
      </c>
      <c r="H3971" s="10">
        <v>212680</v>
      </c>
      <c r="I3971">
        <f>IFERROR(VLOOKUP(Final!F3971,'LEAID Match'!$A$2:$B$374,2,FALSE),"")</f>
        <v>400520</v>
      </c>
      <c r="K3971" s="10">
        <f t="shared" ref="K3971:K4034" si="62">SUM(H3971,J3971)</f>
        <v>212680</v>
      </c>
    </row>
    <row r="3972" spans="1:11">
      <c r="A3972">
        <v>400520</v>
      </c>
      <c r="B3972" s="10">
        <v>2023</v>
      </c>
      <c r="C3972" t="s">
        <v>67</v>
      </c>
      <c r="D3972" t="s">
        <v>2472</v>
      </c>
      <c r="E3972" t="s">
        <v>2474</v>
      </c>
      <c r="F3972" t="s">
        <v>1492</v>
      </c>
      <c r="G3972" t="s">
        <v>1492</v>
      </c>
      <c r="H3972" s="10">
        <v>233216</v>
      </c>
      <c r="I3972">
        <f>IFERROR(VLOOKUP(Final!F3972,'LEAID Match'!$A$2:$B$374,2,FALSE),"")</f>
        <v>400520</v>
      </c>
      <c r="K3972" s="10">
        <f t="shared" si="62"/>
        <v>233216</v>
      </c>
    </row>
    <row r="3973" spans="1:11">
      <c r="A3973">
        <v>401760</v>
      </c>
      <c r="B3973" s="10">
        <v>2015</v>
      </c>
      <c r="C3973" t="s">
        <v>349</v>
      </c>
      <c r="D3973" t="s">
        <v>2472</v>
      </c>
      <c r="E3973" t="s">
        <v>2474</v>
      </c>
      <c r="F3973" t="s">
        <v>1647</v>
      </c>
      <c r="G3973" t="s">
        <v>295</v>
      </c>
      <c r="H3973" s="10">
        <v>2363271</v>
      </c>
      <c r="I3973">
        <f>IFERROR(VLOOKUP(Final!F3973,'LEAID Match'!$A$2:$B$374,2,FALSE),"")</f>
        <v>401760</v>
      </c>
      <c r="K3973" s="10">
        <f t="shared" si="62"/>
        <v>2363271</v>
      </c>
    </row>
    <row r="3974" spans="1:11">
      <c r="A3974">
        <v>401760</v>
      </c>
      <c r="B3974" s="10">
        <v>2016</v>
      </c>
      <c r="C3974" t="s">
        <v>349</v>
      </c>
      <c r="D3974" t="s">
        <v>2472</v>
      </c>
      <c r="E3974" t="s">
        <v>2474</v>
      </c>
      <c r="F3974" t="s">
        <v>1647</v>
      </c>
      <c r="G3974" t="s">
        <v>295</v>
      </c>
      <c r="H3974" s="10">
        <v>2341361</v>
      </c>
      <c r="I3974">
        <f>IFERROR(VLOOKUP(Final!F3974,'LEAID Match'!$A$2:$B$374,2,FALSE),"")</f>
        <v>401760</v>
      </c>
      <c r="K3974" s="10">
        <f t="shared" si="62"/>
        <v>2341361</v>
      </c>
    </row>
    <row r="3975" spans="1:11">
      <c r="A3975">
        <v>401760</v>
      </c>
      <c r="B3975" s="10">
        <v>2017</v>
      </c>
      <c r="C3975" t="s">
        <v>349</v>
      </c>
      <c r="D3975" t="s">
        <v>2472</v>
      </c>
      <c r="E3975" t="s">
        <v>2474</v>
      </c>
      <c r="F3975" t="s">
        <v>1647</v>
      </c>
      <c r="G3975" t="s">
        <v>1647</v>
      </c>
      <c r="H3975" s="10">
        <v>2420209</v>
      </c>
      <c r="I3975">
        <f>IFERROR(VLOOKUP(Final!F3975,'LEAID Match'!$A$2:$B$374,2,FALSE),"")</f>
        <v>401760</v>
      </c>
      <c r="K3975" s="10">
        <f t="shared" si="62"/>
        <v>2420209</v>
      </c>
    </row>
    <row r="3976" spans="1:11">
      <c r="A3976">
        <v>401760</v>
      </c>
      <c r="B3976" s="10">
        <v>2018</v>
      </c>
      <c r="C3976" t="s">
        <v>349</v>
      </c>
      <c r="D3976" t="s">
        <v>2472</v>
      </c>
      <c r="E3976" t="s">
        <v>2474</v>
      </c>
      <c r="F3976" t="s">
        <v>1647</v>
      </c>
      <c r="G3976" t="s">
        <v>2143</v>
      </c>
      <c r="H3976" s="10">
        <v>2606687</v>
      </c>
      <c r="I3976">
        <f>IFERROR(VLOOKUP(Final!F3976,'LEAID Match'!$A$2:$B$374,2,FALSE),"")</f>
        <v>401760</v>
      </c>
      <c r="K3976" s="10">
        <f t="shared" si="62"/>
        <v>2606687</v>
      </c>
    </row>
    <row r="3977" spans="1:11">
      <c r="A3977">
        <v>401760</v>
      </c>
      <c r="B3977" s="10">
        <v>2019</v>
      </c>
      <c r="C3977" t="s">
        <v>349</v>
      </c>
      <c r="D3977" t="s">
        <v>2472</v>
      </c>
      <c r="E3977" t="s">
        <v>2474</v>
      </c>
      <c r="F3977" t="s">
        <v>1647</v>
      </c>
      <c r="G3977" t="s">
        <v>1647</v>
      </c>
      <c r="H3977" s="10">
        <v>2869509</v>
      </c>
      <c r="I3977">
        <f>IFERROR(VLOOKUP(Final!F3977,'LEAID Match'!$A$2:$B$374,2,FALSE),"")</f>
        <v>401760</v>
      </c>
      <c r="K3977" s="10">
        <f t="shared" si="62"/>
        <v>2869509</v>
      </c>
    </row>
    <row r="3978" spans="1:11">
      <c r="A3978">
        <v>401760</v>
      </c>
      <c r="B3978" s="10">
        <v>2020</v>
      </c>
      <c r="C3978" t="s">
        <v>349</v>
      </c>
      <c r="D3978" t="s">
        <v>2472</v>
      </c>
      <c r="E3978" t="s">
        <v>2474</v>
      </c>
      <c r="F3978" t="s">
        <v>1647</v>
      </c>
      <c r="G3978" t="s">
        <v>1647</v>
      </c>
      <c r="H3978" s="10">
        <v>2999074</v>
      </c>
      <c r="I3978">
        <f>IFERROR(VLOOKUP(Final!F3978,'LEAID Match'!$A$2:$B$374,2,FALSE),"")</f>
        <v>401760</v>
      </c>
      <c r="K3978" s="10">
        <f t="shared" si="62"/>
        <v>2999074</v>
      </c>
    </row>
    <row r="3979" spans="1:11">
      <c r="A3979">
        <v>401760</v>
      </c>
      <c r="B3979" s="10">
        <v>2021</v>
      </c>
      <c r="C3979" t="s">
        <v>349</v>
      </c>
      <c r="D3979" t="s">
        <v>2472</v>
      </c>
      <c r="E3979" t="s">
        <v>2474</v>
      </c>
      <c r="F3979" t="s">
        <v>1647</v>
      </c>
      <c r="G3979" t="s">
        <v>1647</v>
      </c>
      <c r="H3979" s="10">
        <v>3069394</v>
      </c>
      <c r="I3979">
        <f>IFERROR(VLOOKUP(Final!F3979,'LEAID Match'!$A$2:$B$374,2,FALSE),"")</f>
        <v>401760</v>
      </c>
      <c r="K3979" s="10">
        <f t="shared" si="62"/>
        <v>3069394</v>
      </c>
    </row>
    <row r="3980" spans="1:11">
      <c r="A3980">
        <v>401760</v>
      </c>
      <c r="B3980" s="10">
        <v>2022</v>
      </c>
      <c r="C3980" t="s">
        <v>349</v>
      </c>
      <c r="D3980" t="s">
        <v>2472</v>
      </c>
      <c r="E3980" t="s">
        <v>2474</v>
      </c>
      <c r="F3980" t="s">
        <v>1647</v>
      </c>
      <c r="G3980" t="s">
        <v>1647</v>
      </c>
      <c r="H3980" s="10">
        <v>3243082</v>
      </c>
      <c r="I3980">
        <f>IFERROR(VLOOKUP(Final!F3980,'LEAID Match'!$A$2:$B$374,2,FALSE),"")</f>
        <v>401760</v>
      </c>
      <c r="K3980" s="10">
        <f t="shared" si="62"/>
        <v>3243082</v>
      </c>
    </row>
    <row r="3981" spans="1:11">
      <c r="A3981">
        <v>401760</v>
      </c>
      <c r="B3981" s="10">
        <v>2023</v>
      </c>
      <c r="C3981" t="s">
        <v>349</v>
      </c>
      <c r="D3981" t="s">
        <v>2472</v>
      </c>
      <c r="E3981" t="s">
        <v>2474</v>
      </c>
      <c r="F3981" t="s">
        <v>1647</v>
      </c>
      <c r="G3981" t="s">
        <v>1647</v>
      </c>
      <c r="H3981" s="10">
        <v>3481242</v>
      </c>
      <c r="I3981">
        <f>IFERROR(VLOOKUP(Final!F3981,'LEAID Match'!$A$2:$B$374,2,FALSE),"")</f>
        <v>401760</v>
      </c>
      <c r="K3981" s="10">
        <f t="shared" si="62"/>
        <v>3481242</v>
      </c>
    </row>
    <row r="3982" spans="1:11">
      <c r="A3982">
        <v>408850</v>
      </c>
      <c r="B3982" s="10">
        <v>2015</v>
      </c>
      <c r="C3982" t="s">
        <v>1313</v>
      </c>
      <c r="D3982" t="s">
        <v>2472</v>
      </c>
      <c r="E3982" t="s">
        <v>2474</v>
      </c>
      <c r="F3982" t="s">
        <v>2001</v>
      </c>
      <c r="G3982" t="s">
        <v>1265</v>
      </c>
      <c r="H3982" s="10">
        <v>5784006</v>
      </c>
      <c r="I3982">
        <f>IFERROR(VLOOKUP(Final!F3982,'LEAID Match'!$A$2:$B$374,2,FALSE),"")</f>
        <v>408850</v>
      </c>
      <c r="K3982" s="10">
        <f t="shared" si="62"/>
        <v>5784006</v>
      </c>
    </row>
    <row r="3983" spans="1:11">
      <c r="A3983">
        <v>408850</v>
      </c>
      <c r="B3983" s="10">
        <v>2016</v>
      </c>
      <c r="C3983" t="s">
        <v>1313</v>
      </c>
      <c r="D3983" t="s">
        <v>2472</v>
      </c>
      <c r="E3983" t="s">
        <v>2474</v>
      </c>
      <c r="F3983" t="s">
        <v>2001</v>
      </c>
      <c r="G3983" t="s">
        <v>1265</v>
      </c>
      <c r="H3983" s="10">
        <v>5997035</v>
      </c>
      <c r="I3983">
        <f>IFERROR(VLOOKUP(Final!F3983,'LEAID Match'!$A$2:$B$374,2,FALSE),"")</f>
        <v>408850</v>
      </c>
      <c r="K3983" s="10">
        <f t="shared" si="62"/>
        <v>5997035</v>
      </c>
    </row>
    <row r="3984" spans="1:11">
      <c r="A3984">
        <v>408850</v>
      </c>
      <c r="B3984" s="10">
        <v>2017</v>
      </c>
      <c r="C3984" t="s">
        <v>1313</v>
      </c>
      <c r="D3984" t="s">
        <v>2472</v>
      </c>
      <c r="E3984" t="s">
        <v>2474</v>
      </c>
      <c r="F3984" t="s">
        <v>2001</v>
      </c>
      <c r="G3984" t="s">
        <v>2001</v>
      </c>
      <c r="H3984" s="10">
        <v>6761334</v>
      </c>
      <c r="I3984">
        <f>IFERROR(VLOOKUP(Final!F3984,'LEAID Match'!$A$2:$B$374,2,FALSE),"")</f>
        <v>408850</v>
      </c>
      <c r="K3984" s="10">
        <f t="shared" si="62"/>
        <v>6761334</v>
      </c>
    </row>
    <row r="3985" spans="1:11">
      <c r="A3985">
        <v>408850</v>
      </c>
      <c r="B3985" s="10">
        <v>2018</v>
      </c>
      <c r="C3985" t="s">
        <v>1313</v>
      </c>
      <c r="D3985" t="s">
        <v>2472</v>
      </c>
      <c r="E3985" t="s">
        <v>2474</v>
      </c>
      <c r="F3985" t="s">
        <v>2001</v>
      </c>
      <c r="G3985" t="s">
        <v>2001</v>
      </c>
      <c r="H3985" s="10">
        <v>7216261</v>
      </c>
      <c r="I3985">
        <f>IFERROR(VLOOKUP(Final!F3985,'LEAID Match'!$A$2:$B$374,2,FALSE),"")</f>
        <v>408850</v>
      </c>
      <c r="K3985" s="10">
        <f t="shared" si="62"/>
        <v>7216261</v>
      </c>
    </row>
    <row r="3986" spans="1:11">
      <c r="A3986">
        <v>408850</v>
      </c>
      <c r="B3986" s="10">
        <v>2019</v>
      </c>
      <c r="C3986" t="s">
        <v>1313</v>
      </c>
      <c r="D3986" t="s">
        <v>2472</v>
      </c>
      <c r="E3986" t="s">
        <v>2474</v>
      </c>
      <c r="F3986" t="s">
        <v>2001</v>
      </c>
      <c r="G3986" t="s">
        <v>2001</v>
      </c>
      <c r="H3986" s="10">
        <v>8049218</v>
      </c>
      <c r="I3986">
        <f>IFERROR(VLOOKUP(Final!F3986,'LEAID Match'!$A$2:$B$374,2,FALSE),"")</f>
        <v>408850</v>
      </c>
      <c r="K3986" s="10">
        <f t="shared" si="62"/>
        <v>8049218</v>
      </c>
    </row>
    <row r="3987" spans="1:11">
      <c r="A3987">
        <v>408850</v>
      </c>
      <c r="B3987" s="10">
        <v>2020</v>
      </c>
      <c r="C3987" t="s">
        <v>1313</v>
      </c>
      <c r="D3987" t="s">
        <v>2472</v>
      </c>
      <c r="E3987" t="s">
        <v>2474</v>
      </c>
      <c r="F3987" t="s">
        <v>2001</v>
      </c>
      <c r="G3987" t="s">
        <v>2001</v>
      </c>
      <c r="H3987" s="10">
        <v>8496568</v>
      </c>
      <c r="I3987">
        <f>IFERROR(VLOOKUP(Final!F3987,'LEAID Match'!$A$2:$B$374,2,FALSE),"")</f>
        <v>408850</v>
      </c>
      <c r="K3987" s="10">
        <f t="shared" si="62"/>
        <v>8496568</v>
      </c>
    </row>
    <row r="3988" spans="1:11">
      <c r="A3988">
        <v>408850</v>
      </c>
      <c r="B3988" s="10">
        <v>2021</v>
      </c>
      <c r="C3988" t="s">
        <v>1313</v>
      </c>
      <c r="D3988" t="s">
        <v>2472</v>
      </c>
      <c r="E3988" t="s">
        <v>2474</v>
      </c>
      <c r="F3988" t="s">
        <v>2001</v>
      </c>
      <c r="G3988" t="s">
        <v>2001</v>
      </c>
      <c r="H3988" s="10">
        <v>9086096</v>
      </c>
      <c r="I3988">
        <f>IFERROR(VLOOKUP(Final!F3988,'LEAID Match'!$A$2:$B$374,2,FALSE),"")</f>
        <v>408850</v>
      </c>
      <c r="K3988" s="10">
        <f t="shared" si="62"/>
        <v>9086096</v>
      </c>
    </row>
    <row r="3989" spans="1:11">
      <c r="A3989">
        <v>408850</v>
      </c>
      <c r="B3989" s="10">
        <v>2022</v>
      </c>
      <c r="C3989" t="s">
        <v>1313</v>
      </c>
      <c r="D3989" t="s">
        <v>2472</v>
      </c>
      <c r="E3989" t="s">
        <v>2474</v>
      </c>
      <c r="F3989" t="s">
        <v>2001</v>
      </c>
      <c r="G3989" t="s">
        <v>2001</v>
      </c>
      <c r="H3989" s="10">
        <v>10515302</v>
      </c>
      <c r="I3989">
        <f>IFERROR(VLOOKUP(Final!F3989,'LEAID Match'!$A$2:$B$374,2,FALSE),"")</f>
        <v>408850</v>
      </c>
      <c r="K3989" s="10">
        <f t="shared" si="62"/>
        <v>10515302</v>
      </c>
    </row>
    <row r="3990" spans="1:11">
      <c r="A3990">
        <v>408850</v>
      </c>
      <c r="B3990" s="10">
        <v>2023</v>
      </c>
      <c r="C3990" t="s">
        <v>1313</v>
      </c>
      <c r="D3990" t="s">
        <v>2472</v>
      </c>
      <c r="E3990" t="s">
        <v>2474</v>
      </c>
      <c r="F3990" t="s">
        <v>2001</v>
      </c>
      <c r="G3990" t="s">
        <v>2001</v>
      </c>
      <c r="H3990" s="10">
        <v>11717714</v>
      </c>
      <c r="I3990">
        <f>IFERROR(VLOOKUP(Final!F3990,'LEAID Match'!$A$2:$B$374,2,FALSE),"")</f>
        <v>408850</v>
      </c>
      <c r="K3990" s="10">
        <f t="shared" si="62"/>
        <v>11717714</v>
      </c>
    </row>
    <row r="3991" spans="1:11">
      <c r="A3991">
        <v>407300</v>
      </c>
      <c r="B3991" s="10">
        <v>2015</v>
      </c>
      <c r="C3991" t="s">
        <v>1101</v>
      </c>
      <c r="D3991" t="s">
        <v>2472</v>
      </c>
      <c r="E3991" t="s">
        <v>2474</v>
      </c>
      <c r="F3991" t="s">
        <v>1925</v>
      </c>
      <c r="G3991" t="s">
        <v>1046</v>
      </c>
      <c r="H3991" s="10">
        <v>2646873</v>
      </c>
      <c r="I3991">
        <f>IFERROR(VLOOKUP(Final!F3991,'LEAID Match'!$A$2:$B$374,2,FALSE),"")</f>
        <v>407300</v>
      </c>
      <c r="K3991" s="10">
        <f t="shared" si="62"/>
        <v>2646873</v>
      </c>
    </row>
    <row r="3992" spans="1:11">
      <c r="A3992">
        <v>407300</v>
      </c>
      <c r="B3992" s="10">
        <v>2016</v>
      </c>
      <c r="C3992" t="s">
        <v>1101</v>
      </c>
      <c r="D3992" t="s">
        <v>2472</v>
      </c>
      <c r="E3992" t="s">
        <v>2474</v>
      </c>
      <c r="F3992" t="s">
        <v>1925</v>
      </c>
      <c r="G3992" t="s">
        <v>1046</v>
      </c>
      <c r="H3992" s="10">
        <v>2750191</v>
      </c>
      <c r="I3992">
        <f>IFERROR(VLOOKUP(Final!F3992,'LEAID Match'!$A$2:$B$374,2,FALSE),"")</f>
        <v>407300</v>
      </c>
      <c r="K3992" s="10">
        <f t="shared" si="62"/>
        <v>2750191</v>
      </c>
    </row>
    <row r="3993" spans="1:11">
      <c r="A3993">
        <v>407300</v>
      </c>
      <c r="B3993" s="10">
        <v>2017</v>
      </c>
      <c r="C3993" t="s">
        <v>1101</v>
      </c>
      <c r="D3993" t="s">
        <v>2472</v>
      </c>
      <c r="E3993" t="s">
        <v>2474</v>
      </c>
      <c r="F3993" t="s">
        <v>1925</v>
      </c>
      <c r="G3993" t="s">
        <v>1925</v>
      </c>
      <c r="H3993" s="10">
        <v>2896010</v>
      </c>
      <c r="I3993">
        <f>IFERROR(VLOOKUP(Final!F3993,'LEAID Match'!$A$2:$B$374,2,FALSE),"")</f>
        <v>407300</v>
      </c>
      <c r="K3993" s="10">
        <f t="shared" si="62"/>
        <v>2896010</v>
      </c>
    </row>
    <row r="3994" spans="1:11">
      <c r="A3994">
        <v>407300</v>
      </c>
      <c r="B3994" s="10">
        <v>2018</v>
      </c>
      <c r="C3994" t="s">
        <v>1101</v>
      </c>
      <c r="D3994" t="s">
        <v>2472</v>
      </c>
      <c r="E3994" t="s">
        <v>2474</v>
      </c>
      <c r="F3994" t="s">
        <v>1925</v>
      </c>
      <c r="G3994" t="s">
        <v>1925</v>
      </c>
      <c r="H3994" s="10">
        <v>3137595</v>
      </c>
      <c r="I3994">
        <f>IFERROR(VLOOKUP(Final!F3994,'LEAID Match'!$A$2:$B$374,2,FALSE),"")</f>
        <v>407300</v>
      </c>
      <c r="K3994" s="10">
        <f t="shared" si="62"/>
        <v>3137595</v>
      </c>
    </row>
    <row r="3995" spans="1:11">
      <c r="A3995">
        <v>407300</v>
      </c>
      <c r="B3995" s="10">
        <v>2019</v>
      </c>
      <c r="C3995" t="s">
        <v>1101</v>
      </c>
      <c r="D3995" t="s">
        <v>2472</v>
      </c>
      <c r="E3995" t="s">
        <v>2474</v>
      </c>
      <c r="F3995" t="s">
        <v>1925</v>
      </c>
      <c r="G3995" t="s">
        <v>1925</v>
      </c>
      <c r="H3995" s="10">
        <v>3609683</v>
      </c>
      <c r="I3995">
        <f>IFERROR(VLOOKUP(Final!F3995,'LEAID Match'!$A$2:$B$374,2,FALSE),"")</f>
        <v>407300</v>
      </c>
      <c r="K3995" s="10">
        <f t="shared" si="62"/>
        <v>3609683</v>
      </c>
    </row>
    <row r="3996" spans="1:11">
      <c r="A3996">
        <v>407300</v>
      </c>
      <c r="B3996" s="10">
        <v>2020</v>
      </c>
      <c r="C3996" t="s">
        <v>1101</v>
      </c>
      <c r="D3996" t="s">
        <v>2472</v>
      </c>
      <c r="E3996" t="s">
        <v>2474</v>
      </c>
      <c r="F3996" t="s">
        <v>1925</v>
      </c>
      <c r="G3996" t="s">
        <v>1925</v>
      </c>
      <c r="H3996" s="10">
        <v>3905480</v>
      </c>
      <c r="I3996">
        <f>IFERROR(VLOOKUP(Final!F3996,'LEAID Match'!$A$2:$B$374,2,FALSE),"")</f>
        <v>407300</v>
      </c>
      <c r="K3996" s="10">
        <f t="shared" si="62"/>
        <v>3905480</v>
      </c>
    </row>
    <row r="3997" spans="1:11">
      <c r="A3997">
        <v>407300</v>
      </c>
      <c r="B3997" s="10">
        <v>2021</v>
      </c>
      <c r="C3997" t="s">
        <v>1101</v>
      </c>
      <c r="D3997" t="s">
        <v>2472</v>
      </c>
      <c r="E3997" t="s">
        <v>2474</v>
      </c>
      <c r="F3997" t="s">
        <v>1925</v>
      </c>
      <c r="G3997" t="s">
        <v>1925</v>
      </c>
      <c r="H3997" s="10">
        <v>3992034</v>
      </c>
      <c r="I3997">
        <f>IFERROR(VLOOKUP(Final!F3997,'LEAID Match'!$A$2:$B$374,2,FALSE),"")</f>
        <v>407300</v>
      </c>
      <c r="K3997" s="10">
        <f t="shared" si="62"/>
        <v>3992034</v>
      </c>
    </row>
    <row r="3998" spans="1:11">
      <c r="A3998">
        <v>407300</v>
      </c>
      <c r="B3998" s="10">
        <v>2022</v>
      </c>
      <c r="C3998" t="s">
        <v>1101</v>
      </c>
      <c r="D3998" t="s">
        <v>2472</v>
      </c>
      <c r="E3998" t="s">
        <v>2474</v>
      </c>
      <c r="F3998" t="s">
        <v>1925</v>
      </c>
      <c r="G3998" t="s">
        <v>1925</v>
      </c>
      <c r="H3998" s="10">
        <v>4055860</v>
      </c>
      <c r="I3998">
        <f>IFERROR(VLOOKUP(Final!F3998,'LEAID Match'!$A$2:$B$374,2,FALSE),"")</f>
        <v>407300</v>
      </c>
      <c r="K3998" s="10">
        <f t="shared" si="62"/>
        <v>4055860</v>
      </c>
    </row>
    <row r="3999" spans="1:11">
      <c r="A3999">
        <v>407300</v>
      </c>
      <c r="B3999" s="10">
        <v>2023</v>
      </c>
      <c r="C3999" t="s">
        <v>1101</v>
      </c>
      <c r="D3999" t="s">
        <v>2472</v>
      </c>
      <c r="E3999" t="s">
        <v>2474</v>
      </c>
      <c r="F3999" t="s">
        <v>1925</v>
      </c>
      <c r="G3999" t="s">
        <v>1925</v>
      </c>
      <c r="H3999" s="10">
        <v>4134426</v>
      </c>
      <c r="I3999">
        <f>IFERROR(VLOOKUP(Final!F3999,'LEAID Match'!$A$2:$B$374,2,FALSE),"")</f>
        <v>407300</v>
      </c>
      <c r="K3999" s="10">
        <f t="shared" si="62"/>
        <v>4134426</v>
      </c>
    </row>
    <row r="4000" spans="1:11">
      <c r="A4000" t="s">
        <v>2470</v>
      </c>
      <c r="B4000" s="10">
        <v>2017</v>
      </c>
      <c r="C4000" t="s">
        <v>1885</v>
      </c>
      <c r="D4000" t="s">
        <v>2472</v>
      </c>
      <c r="E4000" t="s">
        <v>2474</v>
      </c>
      <c r="F4000" t="s">
        <v>1882</v>
      </c>
      <c r="G4000" t="s">
        <v>1882</v>
      </c>
      <c r="H4000" s="10"/>
      <c r="I4000" t="str">
        <f>IFERROR(VLOOKUP(Final!F4000,'LEAID Match'!$A$2:$B$374,2,FALSE),"")</f>
        <v/>
      </c>
      <c r="K4000" s="10">
        <f t="shared" si="62"/>
        <v>0</v>
      </c>
    </row>
    <row r="4001" spans="1:11">
      <c r="A4001" t="s">
        <v>2470</v>
      </c>
      <c r="B4001" s="10">
        <v>2018</v>
      </c>
      <c r="C4001" t="s">
        <v>1885</v>
      </c>
      <c r="D4001" t="s">
        <v>2472</v>
      </c>
      <c r="E4001" t="s">
        <v>2474</v>
      </c>
      <c r="F4001" t="s">
        <v>1882</v>
      </c>
      <c r="G4001" t="s">
        <v>1882</v>
      </c>
      <c r="H4001" s="10"/>
      <c r="I4001" t="str">
        <f>IFERROR(VLOOKUP(Final!F4001,'LEAID Match'!$A$2:$B$374,2,FALSE),"")</f>
        <v/>
      </c>
      <c r="K4001" s="10">
        <f t="shared" si="62"/>
        <v>0</v>
      </c>
    </row>
    <row r="4002" spans="1:11">
      <c r="A4002" t="s">
        <v>2470</v>
      </c>
      <c r="B4002" s="10">
        <v>2019</v>
      </c>
      <c r="C4002" t="s">
        <v>1885</v>
      </c>
      <c r="D4002" t="s">
        <v>2472</v>
      </c>
      <c r="E4002" t="s">
        <v>2474</v>
      </c>
      <c r="F4002" t="s">
        <v>1882</v>
      </c>
      <c r="G4002" t="s">
        <v>1882</v>
      </c>
      <c r="H4002" s="10"/>
      <c r="I4002" t="str">
        <f>IFERROR(VLOOKUP(Final!F4002,'LEAID Match'!$A$2:$B$374,2,FALSE),"")</f>
        <v/>
      </c>
      <c r="K4002" s="10">
        <f t="shared" si="62"/>
        <v>0</v>
      </c>
    </row>
    <row r="4003" spans="1:11">
      <c r="A4003" t="s">
        <v>2470</v>
      </c>
      <c r="B4003" s="10">
        <v>2020</v>
      </c>
      <c r="C4003" t="s">
        <v>1885</v>
      </c>
      <c r="D4003" t="s">
        <v>2472</v>
      </c>
      <c r="E4003" t="s">
        <v>2474</v>
      </c>
      <c r="F4003" t="s">
        <v>1882</v>
      </c>
      <c r="G4003" t="s">
        <v>1882</v>
      </c>
      <c r="H4003" s="10"/>
      <c r="I4003" t="str">
        <f>IFERROR(VLOOKUP(Final!F4003,'LEAID Match'!$A$2:$B$374,2,FALSE),"")</f>
        <v/>
      </c>
      <c r="K4003" s="10">
        <f t="shared" si="62"/>
        <v>0</v>
      </c>
    </row>
    <row r="4004" spans="1:11">
      <c r="A4004" t="s">
        <v>2470</v>
      </c>
      <c r="B4004" s="10">
        <v>2021</v>
      </c>
      <c r="C4004" t="s">
        <v>1885</v>
      </c>
      <c r="D4004" t="s">
        <v>2472</v>
      </c>
      <c r="E4004" t="s">
        <v>2474</v>
      </c>
      <c r="F4004" t="s">
        <v>1882</v>
      </c>
      <c r="G4004" t="s">
        <v>1882</v>
      </c>
      <c r="H4004" s="10"/>
      <c r="I4004" t="str">
        <f>IFERROR(VLOOKUP(Final!F4004,'LEAID Match'!$A$2:$B$374,2,FALSE),"")</f>
        <v/>
      </c>
      <c r="K4004" s="10">
        <f t="shared" si="62"/>
        <v>0</v>
      </c>
    </row>
    <row r="4005" spans="1:11">
      <c r="A4005" t="s">
        <v>2470</v>
      </c>
      <c r="B4005" s="10">
        <v>2022</v>
      </c>
      <c r="C4005" t="s">
        <v>1885</v>
      </c>
      <c r="D4005" t="s">
        <v>2472</v>
      </c>
      <c r="E4005" t="s">
        <v>2474</v>
      </c>
      <c r="F4005" t="s">
        <v>1882</v>
      </c>
      <c r="G4005" t="s">
        <v>1882</v>
      </c>
      <c r="H4005" s="10"/>
      <c r="I4005" t="str">
        <f>IFERROR(VLOOKUP(Final!F4005,'LEAID Match'!$A$2:$B$374,2,FALSE),"")</f>
        <v/>
      </c>
      <c r="K4005" s="10">
        <f t="shared" si="62"/>
        <v>0</v>
      </c>
    </row>
    <row r="4006" spans="1:11">
      <c r="A4006" t="s">
        <v>2470</v>
      </c>
      <c r="B4006" s="10">
        <v>2023</v>
      </c>
      <c r="C4006" t="s">
        <v>1885</v>
      </c>
      <c r="D4006" t="s">
        <v>2472</v>
      </c>
      <c r="E4006" t="s">
        <v>2474</v>
      </c>
      <c r="F4006" t="s">
        <v>1882</v>
      </c>
      <c r="G4006" t="s">
        <v>1882</v>
      </c>
      <c r="H4006" s="10"/>
      <c r="I4006" t="str">
        <f>IFERROR(VLOOKUP(Final!F4006,'LEAID Match'!$A$2:$B$374,2,FALSE),"")</f>
        <v/>
      </c>
      <c r="K4006" s="10">
        <f t="shared" si="62"/>
        <v>0</v>
      </c>
    </row>
    <row r="4007" spans="1:11">
      <c r="A4007">
        <v>407380</v>
      </c>
      <c r="B4007" s="10">
        <v>2015</v>
      </c>
      <c r="C4007" t="s">
        <v>1105</v>
      </c>
      <c r="D4007" t="s">
        <v>2472</v>
      </c>
      <c r="E4007" t="s">
        <v>2474</v>
      </c>
      <c r="F4007" t="s">
        <v>1931</v>
      </c>
      <c r="G4007" t="s">
        <v>1050</v>
      </c>
      <c r="H4007" s="10">
        <v>19099</v>
      </c>
      <c r="I4007">
        <f>IFERROR(VLOOKUP(Final!F4007,'LEAID Match'!$A$2:$B$374,2,FALSE),"")</f>
        <v>407380</v>
      </c>
      <c r="K4007" s="10">
        <f t="shared" si="62"/>
        <v>19099</v>
      </c>
    </row>
    <row r="4008" spans="1:11">
      <c r="A4008">
        <v>407380</v>
      </c>
      <c r="B4008" s="10">
        <v>2016</v>
      </c>
      <c r="C4008" t="s">
        <v>1105</v>
      </c>
      <c r="D4008" t="s">
        <v>2472</v>
      </c>
      <c r="E4008" t="s">
        <v>2474</v>
      </c>
      <c r="F4008" t="s">
        <v>1931</v>
      </c>
      <c r="G4008" t="s">
        <v>1050</v>
      </c>
      <c r="H4008" s="10">
        <v>13111</v>
      </c>
      <c r="I4008">
        <f>IFERROR(VLOOKUP(Final!F4008,'LEAID Match'!$A$2:$B$374,2,FALSE),"")</f>
        <v>407380</v>
      </c>
      <c r="K4008" s="10">
        <f t="shared" si="62"/>
        <v>13111</v>
      </c>
    </row>
    <row r="4009" spans="1:11">
      <c r="A4009">
        <v>407380</v>
      </c>
      <c r="B4009" s="10">
        <v>2017</v>
      </c>
      <c r="C4009" t="s">
        <v>1105</v>
      </c>
      <c r="D4009" t="s">
        <v>2472</v>
      </c>
      <c r="E4009" t="s">
        <v>2474</v>
      </c>
      <c r="F4009" t="s">
        <v>1931</v>
      </c>
      <c r="G4009" t="s">
        <v>1931</v>
      </c>
      <c r="H4009" s="10">
        <v>15269</v>
      </c>
      <c r="I4009">
        <f>IFERROR(VLOOKUP(Final!F4009,'LEAID Match'!$A$2:$B$374,2,FALSE),"")</f>
        <v>407380</v>
      </c>
      <c r="K4009" s="10">
        <f t="shared" si="62"/>
        <v>15269</v>
      </c>
    </row>
    <row r="4010" spans="1:11">
      <c r="A4010">
        <v>407380</v>
      </c>
      <c r="B4010" s="10">
        <v>2018</v>
      </c>
      <c r="C4010" t="s">
        <v>1105</v>
      </c>
      <c r="D4010" t="s">
        <v>2472</v>
      </c>
      <c r="E4010" t="s">
        <v>2474</v>
      </c>
      <c r="F4010" t="s">
        <v>1931</v>
      </c>
      <c r="G4010" t="s">
        <v>2302</v>
      </c>
      <c r="H4010" s="10">
        <v>16425</v>
      </c>
      <c r="I4010">
        <f>IFERROR(VLOOKUP(Final!F4010,'LEAID Match'!$A$2:$B$374,2,FALSE),"")</f>
        <v>407380</v>
      </c>
      <c r="K4010" s="10">
        <f t="shared" si="62"/>
        <v>16425</v>
      </c>
    </row>
    <row r="4011" spans="1:11">
      <c r="A4011">
        <v>407380</v>
      </c>
      <c r="B4011" s="10">
        <v>2019</v>
      </c>
      <c r="C4011" t="s">
        <v>1105</v>
      </c>
      <c r="D4011" t="s">
        <v>2472</v>
      </c>
      <c r="E4011" t="s">
        <v>2474</v>
      </c>
      <c r="F4011" t="s">
        <v>1931</v>
      </c>
      <c r="G4011" t="s">
        <v>1931</v>
      </c>
      <c r="H4011" s="10">
        <v>14258</v>
      </c>
      <c r="I4011">
        <f>IFERROR(VLOOKUP(Final!F4011,'LEAID Match'!$A$2:$B$374,2,FALSE),"")</f>
        <v>407380</v>
      </c>
      <c r="K4011" s="10">
        <f t="shared" si="62"/>
        <v>14258</v>
      </c>
    </row>
    <row r="4012" spans="1:11">
      <c r="A4012">
        <v>407380</v>
      </c>
      <c r="B4012" s="10">
        <v>2020</v>
      </c>
      <c r="C4012" t="s">
        <v>1105</v>
      </c>
      <c r="D4012" t="s">
        <v>2472</v>
      </c>
      <c r="E4012" t="s">
        <v>2474</v>
      </c>
      <c r="F4012" t="s">
        <v>1931</v>
      </c>
      <c r="G4012" t="s">
        <v>1931</v>
      </c>
      <c r="H4012" s="10">
        <v>18538</v>
      </c>
      <c r="I4012">
        <f>IFERROR(VLOOKUP(Final!F4012,'LEAID Match'!$A$2:$B$374,2,FALSE),"")</f>
        <v>407380</v>
      </c>
      <c r="K4012" s="10">
        <f t="shared" si="62"/>
        <v>18538</v>
      </c>
    </row>
    <row r="4013" spans="1:11">
      <c r="A4013">
        <v>407380</v>
      </c>
      <c r="B4013" s="10">
        <v>2021</v>
      </c>
      <c r="C4013" t="s">
        <v>1105</v>
      </c>
      <c r="D4013" t="s">
        <v>2472</v>
      </c>
      <c r="E4013" t="s">
        <v>2474</v>
      </c>
      <c r="F4013" t="s">
        <v>1931</v>
      </c>
      <c r="G4013" t="s">
        <v>1931</v>
      </c>
      <c r="H4013" s="10">
        <v>16471</v>
      </c>
      <c r="I4013">
        <f>IFERROR(VLOOKUP(Final!F4013,'LEAID Match'!$A$2:$B$374,2,FALSE),"")</f>
        <v>407380</v>
      </c>
      <c r="K4013" s="10">
        <f t="shared" si="62"/>
        <v>16471</v>
      </c>
    </row>
    <row r="4014" spans="1:11">
      <c r="A4014">
        <v>407380</v>
      </c>
      <c r="B4014" s="10">
        <v>2022</v>
      </c>
      <c r="C4014" t="s">
        <v>1105</v>
      </c>
      <c r="D4014" t="s">
        <v>2472</v>
      </c>
      <c r="E4014" t="s">
        <v>2474</v>
      </c>
      <c r="F4014" t="s">
        <v>1931</v>
      </c>
      <c r="G4014" t="s">
        <v>1931</v>
      </c>
      <c r="H4014" s="10">
        <v>21049</v>
      </c>
      <c r="I4014">
        <f>IFERROR(VLOOKUP(Final!F4014,'LEAID Match'!$A$2:$B$374,2,FALSE),"")</f>
        <v>407380</v>
      </c>
      <c r="K4014" s="10">
        <f t="shared" si="62"/>
        <v>21049</v>
      </c>
    </row>
    <row r="4015" spans="1:11">
      <c r="A4015">
        <v>407380</v>
      </c>
      <c r="B4015" s="10">
        <v>2023</v>
      </c>
      <c r="C4015" t="s">
        <v>1105</v>
      </c>
      <c r="D4015" t="s">
        <v>2472</v>
      </c>
      <c r="E4015" t="s">
        <v>2474</v>
      </c>
      <c r="F4015" t="s">
        <v>1931</v>
      </c>
      <c r="G4015" t="s">
        <v>1931</v>
      </c>
      <c r="H4015" s="10">
        <v>18505</v>
      </c>
      <c r="I4015">
        <f>IFERROR(VLOOKUP(Final!F4015,'LEAID Match'!$A$2:$B$374,2,FALSE),"")</f>
        <v>407380</v>
      </c>
      <c r="K4015" s="10">
        <f t="shared" si="62"/>
        <v>18505</v>
      </c>
    </row>
    <row r="4016" spans="1:11">
      <c r="A4016">
        <v>402250</v>
      </c>
      <c r="B4016" s="10">
        <v>2015</v>
      </c>
      <c r="C4016" t="s">
        <v>484</v>
      </c>
      <c r="D4016" t="s">
        <v>2472</v>
      </c>
      <c r="E4016" t="s">
        <v>2474</v>
      </c>
      <c r="F4016" t="s">
        <v>1674</v>
      </c>
      <c r="G4016" t="s">
        <v>429</v>
      </c>
      <c r="H4016" s="10">
        <v>267216</v>
      </c>
      <c r="I4016">
        <f>IFERROR(VLOOKUP(Final!F4016,'LEAID Match'!$A$2:$B$374,2,FALSE),"")</f>
        <v>402250</v>
      </c>
      <c r="K4016" s="10">
        <f t="shared" si="62"/>
        <v>267216</v>
      </c>
    </row>
    <row r="4017" spans="1:11">
      <c r="A4017">
        <v>402250</v>
      </c>
      <c r="B4017" s="10">
        <v>2016</v>
      </c>
      <c r="C4017" t="s">
        <v>484</v>
      </c>
      <c r="D4017" t="s">
        <v>2472</v>
      </c>
      <c r="E4017" t="s">
        <v>2474</v>
      </c>
      <c r="F4017" t="s">
        <v>1674</v>
      </c>
      <c r="G4017" t="s">
        <v>429</v>
      </c>
      <c r="H4017" s="10">
        <v>284116</v>
      </c>
      <c r="I4017">
        <f>IFERROR(VLOOKUP(Final!F4017,'LEAID Match'!$A$2:$B$374,2,FALSE),"")</f>
        <v>402250</v>
      </c>
      <c r="K4017" s="10">
        <f t="shared" si="62"/>
        <v>284116</v>
      </c>
    </row>
    <row r="4018" spans="1:11">
      <c r="A4018">
        <v>402250</v>
      </c>
      <c r="B4018" s="10">
        <v>2017</v>
      </c>
      <c r="C4018" t="s">
        <v>484</v>
      </c>
      <c r="D4018" t="s">
        <v>2472</v>
      </c>
      <c r="E4018" t="s">
        <v>2474</v>
      </c>
      <c r="F4018" t="s">
        <v>1674</v>
      </c>
      <c r="G4018" t="s">
        <v>1674</v>
      </c>
      <c r="H4018" s="10">
        <v>299196</v>
      </c>
      <c r="I4018">
        <f>IFERROR(VLOOKUP(Final!F4018,'LEAID Match'!$A$2:$B$374,2,FALSE),"")</f>
        <v>402250</v>
      </c>
      <c r="K4018" s="10">
        <f t="shared" si="62"/>
        <v>299196</v>
      </c>
    </row>
    <row r="4019" spans="1:11">
      <c r="A4019">
        <v>402250</v>
      </c>
      <c r="B4019" s="10">
        <v>2018</v>
      </c>
      <c r="C4019" t="s">
        <v>484</v>
      </c>
      <c r="D4019" t="s">
        <v>2472</v>
      </c>
      <c r="E4019" t="s">
        <v>2474</v>
      </c>
      <c r="F4019" t="s">
        <v>1674</v>
      </c>
      <c r="G4019" t="s">
        <v>1674</v>
      </c>
      <c r="H4019" s="10">
        <v>308542</v>
      </c>
      <c r="I4019">
        <f>IFERROR(VLOOKUP(Final!F4019,'LEAID Match'!$A$2:$B$374,2,FALSE),"")</f>
        <v>402250</v>
      </c>
      <c r="K4019" s="10">
        <f t="shared" si="62"/>
        <v>308542</v>
      </c>
    </row>
    <row r="4020" spans="1:11">
      <c r="A4020">
        <v>402250</v>
      </c>
      <c r="B4020" s="10">
        <v>2019</v>
      </c>
      <c r="C4020" t="s">
        <v>484</v>
      </c>
      <c r="D4020" t="s">
        <v>2472</v>
      </c>
      <c r="E4020" t="s">
        <v>2474</v>
      </c>
      <c r="F4020" t="s">
        <v>1674</v>
      </c>
      <c r="G4020" t="s">
        <v>1674</v>
      </c>
      <c r="H4020" s="10">
        <v>330852</v>
      </c>
      <c r="I4020">
        <f>IFERROR(VLOOKUP(Final!F4020,'LEAID Match'!$A$2:$B$374,2,FALSE),"")</f>
        <v>402250</v>
      </c>
      <c r="K4020" s="10">
        <f t="shared" si="62"/>
        <v>330852</v>
      </c>
    </row>
    <row r="4021" spans="1:11">
      <c r="A4021">
        <v>402250</v>
      </c>
      <c r="B4021" s="10">
        <v>2020</v>
      </c>
      <c r="C4021" t="s">
        <v>484</v>
      </c>
      <c r="D4021" t="s">
        <v>2472</v>
      </c>
      <c r="E4021" t="s">
        <v>2474</v>
      </c>
      <c r="F4021" t="s">
        <v>1674</v>
      </c>
      <c r="G4021" t="s">
        <v>1674</v>
      </c>
      <c r="H4021" s="10">
        <v>355127</v>
      </c>
      <c r="I4021">
        <f>IFERROR(VLOOKUP(Final!F4021,'LEAID Match'!$A$2:$B$374,2,FALSE),"")</f>
        <v>402250</v>
      </c>
      <c r="K4021" s="10">
        <f t="shared" si="62"/>
        <v>355127</v>
      </c>
    </row>
    <row r="4022" spans="1:11">
      <c r="A4022">
        <v>402250</v>
      </c>
      <c r="B4022" s="10">
        <v>2021</v>
      </c>
      <c r="C4022" t="s">
        <v>484</v>
      </c>
      <c r="D4022" t="s">
        <v>2472</v>
      </c>
      <c r="E4022" t="s">
        <v>2474</v>
      </c>
      <c r="F4022" t="s">
        <v>1674</v>
      </c>
      <c r="G4022" t="s">
        <v>1674</v>
      </c>
      <c r="H4022" s="10">
        <v>358735</v>
      </c>
      <c r="I4022">
        <f>IFERROR(VLOOKUP(Final!F4022,'LEAID Match'!$A$2:$B$374,2,FALSE),"")</f>
        <v>402250</v>
      </c>
      <c r="K4022" s="10">
        <f t="shared" si="62"/>
        <v>358735</v>
      </c>
    </row>
    <row r="4023" spans="1:11">
      <c r="A4023">
        <v>402250</v>
      </c>
      <c r="B4023" s="10">
        <v>2022</v>
      </c>
      <c r="C4023" t="s">
        <v>484</v>
      </c>
      <c r="D4023" t="s">
        <v>2472</v>
      </c>
      <c r="E4023" t="s">
        <v>2474</v>
      </c>
      <c r="F4023" t="s">
        <v>1674</v>
      </c>
      <c r="G4023" t="s">
        <v>1674</v>
      </c>
      <c r="H4023" s="10">
        <v>483557</v>
      </c>
      <c r="I4023">
        <f>IFERROR(VLOOKUP(Final!F4023,'LEAID Match'!$A$2:$B$374,2,FALSE),"")</f>
        <v>402250</v>
      </c>
      <c r="K4023" s="10">
        <f t="shared" si="62"/>
        <v>483557</v>
      </c>
    </row>
    <row r="4024" spans="1:11">
      <c r="A4024">
        <v>402250</v>
      </c>
      <c r="B4024" s="10">
        <v>2023</v>
      </c>
      <c r="C4024" t="s">
        <v>484</v>
      </c>
      <c r="D4024" t="s">
        <v>2472</v>
      </c>
      <c r="E4024" t="s">
        <v>2474</v>
      </c>
      <c r="F4024" t="s">
        <v>1674</v>
      </c>
      <c r="G4024" t="s">
        <v>1674</v>
      </c>
      <c r="H4024" s="10">
        <v>469509</v>
      </c>
      <c r="I4024">
        <f>IFERROR(VLOOKUP(Final!F4024,'LEAID Match'!$A$2:$B$374,2,FALSE),"")</f>
        <v>402250</v>
      </c>
      <c r="K4024" s="10">
        <f t="shared" si="62"/>
        <v>469509</v>
      </c>
    </row>
    <row r="4025" spans="1:11">
      <c r="A4025">
        <v>403950</v>
      </c>
      <c r="B4025" s="10">
        <v>2015</v>
      </c>
      <c r="C4025" t="s">
        <v>1429</v>
      </c>
      <c r="D4025" t="s">
        <v>2472</v>
      </c>
      <c r="E4025" t="s">
        <v>2474</v>
      </c>
      <c r="F4025" t="s">
        <v>2422</v>
      </c>
      <c r="G4025" t="s">
        <v>262</v>
      </c>
      <c r="H4025" s="10">
        <v>996612</v>
      </c>
      <c r="I4025">
        <f>IFERROR(VLOOKUP(Final!F4025,'LEAID Match'!$A$2:$B$374,2,FALSE),"")</f>
        <v>403950</v>
      </c>
      <c r="K4025" s="10">
        <f t="shared" si="62"/>
        <v>996612</v>
      </c>
    </row>
    <row r="4026" spans="1:11">
      <c r="A4026">
        <v>403950</v>
      </c>
      <c r="B4026" s="10">
        <v>2016</v>
      </c>
      <c r="C4026" t="s">
        <v>1429</v>
      </c>
      <c r="D4026" t="s">
        <v>2472</v>
      </c>
      <c r="E4026" t="s">
        <v>2474</v>
      </c>
      <c r="F4026" t="s">
        <v>2422</v>
      </c>
      <c r="G4026" t="s">
        <v>262</v>
      </c>
      <c r="H4026" s="10">
        <v>1059845</v>
      </c>
      <c r="I4026">
        <f>IFERROR(VLOOKUP(Final!F4026,'LEAID Match'!$A$2:$B$374,2,FALSE),"")</f>
        <v>403950</v>
      </c>
      <c r="K4026" s="10">
        <f t="shared" si="62"/>
        <v>1059845</v>
      </c>
    </row>
    <row r="4027" spans="1:11">
      <c r="A4027">
        <v>403950</v>
      </c>
      <c r="B4027" s="10">
        <v>2017</v>
      </c>
      <c r="C4027" t="s">
        <v>1429</v>
      </c>
      <c r="D4027" t="s">
        <v>2472</v>
      </c>
      <c r="E4027" t="s">
        <v>2474</v>
      </c>
      <c r="F4027" t="s">
        <v>2422</v>
      </c>
      <c r="G4027" t="s">
        <v>1618</v>
      </c>
      <c r="H4027" s="10">
        <v>999412</v>
      </c>
      <c r="I4027">
        <f>IFERROR(VLOOKUP(Final!F4027,'LEAID Match'!$A$2:$B$374,2,FALSE),"")</f>
        <v>403950</v>
      </c>
      <c r="K4027" s="10">
        <f t="shared" si="62"/>
        <v>999412</v>
      </c>
    </row>
    <row r="4028" spans="1:11">
      <c r="A4028">
        <v>403950</v>
      </c>
      <c r="B4028" s="10">
        <v>2018</v>
      </c>
      <c r="C4028" t="s">
        <v>1429</v>
      </c>
      <c r="D4028" t="s">
        <v>2472</v>
      </c>
      <c r="E4028" t="s">
        <v>2474</v>
      </c>
      <c r="F4028" t="s">
        <v>2422</v>
      </c>
      <c r="G4028" t="s">
        <v>2122</v>
      </c>
      <c r="H4028" s="10">
        <v>1020007</v>
      </c>
      <c r="I4028">
        <f>IFERROR(VLOOKUP(Final!F4028,'LEAID Match'!$A$2:$B$374,2,FALSE),"")</f>
        <v>403950</v>
      </c>
      <c r="K4028" s="10">
        <f t="shared" si="62"/>
        <v>1020007</v>
      </c>
    </row>
    <row r="4029" spans="1:11">
      <c r="A4029">
        <v>403950</v>
      </c>
      <c r="B4029" s="10">
        <v>2019</v>
      </c>
      <c r="C4029" t="s">
        <v>1429</v>
      </c>
      <c r="D4029" t="s">
        <v>2472</v>
      </c>
      <c r="E4029" t="s">
        <v>2474</v>
      </c>
      <c r="F4029" t="s">
        <v>2422</v>
      </c>
      <c r="G4029" t="s">
        <v>2358</v>
      </c>
      <c r="H4029" s="10">
        <v>1096653</v>
      </c>
      <c r="I4029">
        <f>IFERROR(VLOOKUP(Final!F4029,'LEAID Match'!$A$2:$B$374,2,FALSE),"")</f>
        <v>403950</v>
      </c>
      <c r="K4029" s="10">
        <f t="shared" si="62"/>
        <v>1096653</v>
      </c>
    </row>
    <row r="4030" spans="1:11">
      <c r="A4030">
        <v>403950</v>
      </c>
      <c r="B4030" s="10">
        <v>2020</v>
      </c>
      <c r="C4030" t="s">
        <v>1429</v>
      </c>
      <c r="D4030" t="s">
        <v>2472</v>
      </c>
      <c r="E4030" t="s">
        <v>2474</v>
      </c>
      <c r="F4030" t="s">
        <v>2422</v>
      </c>
      <c r="G4030" t="s">
        <v>2358</v>
      </c>
      <c r="H4030" s="10">
        <v>1210447</v>
      </c>
      <c r="I4030">
        <f>IFERROR(VLOOKUP(Final!F4030,'LEAID Match'!$A$2:$B$374,2,FALSE),"")</f>
        <v>403950</v>
      </c>
      <c r="K4030" s="10">
        <f t="shared" si="62"/>
        <v>1210447</v>
      </c>
    </row>
    <row r="4031" spans="1:11">
      <c r="A4031">
        <v>403950</v>
      </c>
      <c r="B4031" s="10">
        <v>2021</v>
      </c>
      <c r="C4031" t="s">
        <v>1429</v>
      </c>
      <c r="D4031" t="s">
        <v>2472</v>
      </c>
      <c r="E4031" t="s">
        <v>2474</v>
      </c>
      <c r="F4031" t="s">
        <v>2422</v>
      </c>
      <c r="G4031" t="s">
        <v>2422</v>
      </c>
      <c r="H4031" s="10">
        <v>1178478</v>
      </c>
      <c r="I4031">
        <f>IFERROR(VLOOKUP(Final!F4031,'LEAID Match'!$A$2:$B$374,2,FALSE),"")</f>
        <v>403950</v>
      </c>
      <c r="K4031" s="10">
        <f t="shared" si="62"/>
        <v>1178478</v>
      </c>
    </row>
    <row r="4032" spans="1:11">
      <c r="A4032">
        <v>403950</v>
      </c>
      <c r="B4032" s="10">
        <v>2022</v>
      </c>
      <c r="C4032" t="s">
        <v>1429</v>
      </c>
      <c r="D4032" t="s">
        <v>2472</v>
      </c>
      <c r="E4032" t="s">
        <v>2474</v>
      </c>
      <c r="F4032" t="s">
        <v>2422</v>
      </c>
      <c r="G4032" t="s">
        <v>2422</v>
      </c>
      <c r="H4032" s="10">
        <v>1264533</v>
      </c>
      <c r="I4032">
        <f>IFERROR(VLOOKUP(Final!F4032,'LEAID Match'!$A$2:$B$374,2,FALSE),"")</f>
        <v>403950</v>
      </c>
      <c r="K4032" s="10">
        <f t="shared" si="62"/>
        <v>1264533</v>
      </c>
    </row>
    <row r="4033" spans="1:11">
      <c r="A4033">
        <v>403950</v>
      </c>
      <c r="B4033" s="10">
        <v>2023</v>
      </c>
      <c r="C4033" t="s">
        <v>1429</v>
      </c>
      <c r="D4033" t="s">
        <v>2472</v>
      </c>
      <c r="E4033" t="s">
        <v>2474</v>
      </c>
      <c r="F4033" t="s">
        <v>2422</v>
      </c>
      <c r="G4033" t="s">
        <v>2422</v>
      </c>
      <c r="H4033" s="10">
        <v>1350733</v>
      </c>
      <c r="I4033">
        <f>IFERROR(VLOOKUP(Final!F4033,'LEAID Match'!$A$2:$B$374,2,FALSE),"")</f>
        <v>403950</v>
      </c>
      <c r="K4033" s="10">
        <f t="shared" si="62"/>
        <v>1350733</v>
      </c>
    </row>
    <row r="4034" spans="1:11">
      <c r="A4034">
        <v>404770</v>
      </c>
      <c r="B4034" s="10">
        <v>2015</v>
      </c>
      <c r="C4034" t="s">
        <v>72</v>
      </c>
      <c r="D4034" t="s">
        <v>2472</v>
      </c>
      <c r="E4034" t="s">
        <v>2474</v>
      </c>
      <c r="F4034" t="s">
        <v>1497</v>
      </c>
      <c r="G4034" t="s">
        <v>19</v>
      </c>
      <c r="H4034" s="10">
        <v>319595</v>
      </c>
      <c r="I4034">
        <f>IFERROR(VLOOKUP(Final!F4034,'LEAID Match'!$A$2:$B$374,2,FALSE),"")</f>
        <v>404770</v>
      </c>
      <c r="K4034" s="10">
        <f t="shared" si="62"/>
        <v>319595</v>
      </c>
    </row>
    <row r="4035" spans="1:11">
      <c r="A4035">
        <v>404770</v>
      </c>
      <c r="B4035" s="10">
        <v>2016</v>
      </c>
      <c r="C4035" t="s">
        <v>72</v>
      </c>
      <c r="D4035" t="s">
        <v>2472</v>
      </c>
      <c r="E4035" t="s">
        <v>2474</v>
      </c>
      <c r="F4035" t="s">
        <v>1497</v>
      </c>
      <c r="G4035" t="s">
        <v>19</v>
      </c>
      <c r="H4035" s="10">
        <v>323923</v>
      </c>
      <c r="I4035">
        <f>IFERROR(VLOOKUP(Final!F4035,'LEAID Match'!$A$2:$B$374,2,FALSE),"")</f>
        <v>404770</v>
      </c>
      <c r="K4035" s="10">
        <f t="shared" ref="K4035:K4098" si="63">SUM(H4035,J4035)</f>
        <v>323923</v>
      </c>
    </row>
    <row r="4036" spans="1:11">
      <c r="A4036">
        <v>404770</v>
      </c>
      <c r="B4036" s="10">
        <v>2017</v>
      </c>
      <c r="C4036" t="s">
        <v>72</v>
      </c>
      <c r="D4036" t="s">
        <v>2472</v>
      </c>
      <c r="E4036" t="s">
        <v>2474</v>
      </c>
      <c r="F4036" t="s">
        <v>1497</v>
      </c>
      <c r="G4036" t="s">
        <v>1497</v>
      </c>
      <c r="H4036" s="10">
        <v>372329</v>
      </c>
      <c r="I4036">
        <f>IFERROR(VLOOKUP(Final!F4036,'LEAID Match'!$A$2:$B$374,2,FALSE),"")</f>
        <v>404770</v>
      </c>
      <c r="K4036" s="10">
        <f t="shared" si="63"/>
        <v>372329</v>
      </c>
    </row>
    <row r="4037" spans="1:11">
      <c r="A4037">
        <v>404770</v>
      </c>
      <c r="B4037" s="10">
        <v>2018</v>
      </c>
      <c r="C4037" t="s">
        <v>72</v>
      </c>
      <c r="D4037" t="s">
        <v>2472</v>
      </c>
      <c r="E4037" t="s">
        <v>2474</v>
      </c>
      <c r="F4037" t="s">
        <v>1497</v>
      </c>
      <c r="G4037" t="s">
        <v>1497</v>
      </c>
      <c r="H4037" s="10">
        <v>382373</v>
      </c>
      <c r="I4037">
        <f>IFERROR(VLOOKUP(Final!F4037,'LEAID Match'!$A$2:$B$374,2,FALSE),"")</f>
        <v>404770</v>
      </c>
      <c r="K4037" s="10">
        <f t="shared" si="63"/>
        <v>382373</v>
      </c>
    </row>
    <row r="4038" spans="1:11">
      <c r="A4038">
        <v>404770</v>
      </c>
      <c r="B4038" s="10">
        <v>2019</v>
      </c>
      <c r="C4038" t="s">
        <v>72</v>
      </c>
      <c r="D4038" t="s">
        <v>2472</v>
      </c>
      <c r="E4038" t="s">
        <v>2474</v>
      </c>
      <c r="F4038" t="s">
        <v>1497</v>
      </c>
      <c r="G4038" t="s">
        <v>1497</v>
      </c>
      <c r="H4038" s="10">
        <v>402458</v>
      </c>
      <c r="I4038">
        <f>IFERROR(VLOOKUP(Final!F4038,'LEAID Match'!$A$2:$B$374,2,FALSE),"")</f>
        <v>404770</v>
      </c>
      <c r="K4038" s="10">
        <f t="shared" si="63"/>
        <v>402458</v>
      </c>
    </row>
    <row r="4039" spans="1:11">
      <c r="A4039">
        <v>404770</v>
      </c>
      <c r="B4039" s="10">
        <v>2020</v>
      </c>
      <c r="C4039" t="s">
        <v>72</v>
      </c>
      <c r="D4039" t="s">
        <v>2472</v>
      </c>
      <c r="E4039" t="s">
        <v>2474</v>
      </c>
      <c r="F4039" t="s">
        <v>1497</v>
      </c>
      <c r="G4039" t="s">
        <v>1497</v>
      </c>
      <c r="H4039" s="10">
        <v>384074</v>
      </c>
      <c r="I4039">
        <f>IFERROR(VLOOKUP(Final!F4039,'LEAID Match'!$A$2:$B$374,2,FALSE),"")</f>
        <v>404770</v>
      </c>
      <c r="K4039" s="10">
        <f t="shared" si="63"/>
        <v>384074</v>
      </c>
    </row>
    <row r="4040" spans="1:11">
      <c r="A4040">
        <v>404770</v>
      </c>
      <c r="B4040" s="10">
        <v>2021</v>
      </c>
      <c r="C4040" t="s">
        <v>72</v>
      </c>
      <c r="D4040" t="s">
        <v>2472</v>
      </c>
      <c r="E4040" t="s">
        <v>2474</v>
      </c>
      <c r="F4040" t="s">
        <v>1497</v>
      </c>
      <c r="G4040" t="s">
        <v>1497</v>
      </c>
      <c r="H4040" s="10">
        <v>339829</v>
      </c>
      <c r="I4040">
        <f>IFERROR(VLOOKUP(Final!F4040,'LEAID Match'!$A$2:$B$374,2,FALSE),"")</f>
        <v>404770</v>
      </c>
      <c r="K4040" s="10">
        <f t="shared" si="63"/>
        <v>339829</v>
      </c>
    </row>
    <row r="4041" spans="1:11">
      <c r="A4041">
        <v>404770</v>
      </c>
      <c r="B4041" s="10">
        <v>2022</v>
      </c>
      <c r="C4041" t="s">
        <v>72</v>
      </c>
      <c r="D4041" t="s">
        <v>2472</v>
      </c>
      <c r="E4041" t="s">
        <v>2474</v>
      </c>
      <c r="F4041" t="s">
        <v>1497</v>
      </c>
      <c r="G4041" t="s">
        <v>1497</v>
      </c>
      <c r="H4041" s="10">
        <v>359355</v>
      </c>
      <c r="I4041">
        <f>IFERROR(VLOOKUP(Final!F4041,'LEAID Match'!$A$2:$B$374,2,FALSE),"")</f>
        <v>404770</v>
      </c>
      <c r="K4041" s="10">
        <f t="shared" si="63"/>
        <v>359355</v>
      </c>
    </row>
    <row r="4042" spans="1:11">
      <c r="A4042">
        <v>404770</v>
      </c>
      <c r="B4042" s="10">
        <v>2023</v>
      </c>
      <c r="C4042" t="s">
        <v>72</v>
      </c>
      <c r="D4042" t="s">
        <v>2472</v>
      </c>
      <c r="E4042" t="s">
        <v>2474</v>
      </c>
      <c r="F4042" t="s">
        <v>1497</v>
      </c>
      <c r="G4042" t="s">
        <v>1497</v>
      </c>
      <c r="H4042" s="10">
        <v>332680</v>
      </c>
      <c r="I4042">
        <f>IFERROR(VLOOKUP(Final!F4042,'LEAID Match'!$A$2:$B$374,2,FALSE),"")</f>
        <v>404770</v>
      </c>
      <c r="K4042" s="10">
        <f t="shared" si="63"/>
        <v>332680</v>
      </c>
    </row>
    <row r="4043" spans="1:11">
      <c r="A4043">
        <v>400202</v>
      </c>
      <c r="B4043" s="10">
        <v>2015</v>
      </c>
      <c r="C4043" t="s">
        <v>60</v>
      </c>
      <c r="D4043" t="s">
        <v>2472</v>
      </c>
      <c r="E4043" t="s">
        <v>2474</v>
      </c>
      <c r="F4043" t="s">
        <v>7</v>
      </c>
      <c r="G4043" t="s">
        <v>7</v>
      </c>
      <c r="H4043" s="10">
        <v>263201</v>
      </c>
      <c r="I4043">
        <f>IFERROR(VLOOKUP(Final!F4043,'LEAID Match'!$A$2:$B$374,2,FALSE),"")</f>
        <v>400202</v>
      </c>
      <c r="K4043" s="10">
        <f t="shared" si="63"/>
        <v>263201</v>
      </c>
    </row>
    <row r="4044" spans="1:11">
      <c r="A4044">
        <v>400202</v>
      </c>
      <c r="B4044" s="10">
        <v>2016</v>
      </c>
      <c r="C4044" t="s">
        <v>60</v>
      </c>
      <c r="D4044" t="s">
        <v>2472</v>
      </c>
      <c r="E4044" t="s">
        <v>2474</v>
      </c>
      <c r="F4044" t="s">
        <v>7</v>
      </c>
      <c r="G4044" t="s">
        <v>7</v>
      </c>
      <c r="H4044" s="10">
        <v>280329</v>
      </c>
      <c r="I4044">
        <f>IFERROR(VLOOKUP(Final!F4044,'LEAID Match'!$A$2:$B$374,2,FALSE),"")</f>
        <v>400202</v>
      </c>
      <c r="K4044" s="10">
        <f t="shared" si="63"/>
        <v>280329</v>
      </c>
    </row>
    <row r="4045" spans="1:11">
      <c r="A4045">
        <v>400202</v>
      </c>
      <c r="B4045" s="10">
        <v>2017</v>
      </c>
      <c r="C4045" t="s">
        <v>60</v>
      </c>
      <c r="D4045" t="s">
        <v>2472</v>
      </c>
      <c r="E4045" t="s">
        <v>2474</v>
      </c>
      <c r="F4045" t="s">
        <v>7</v>
      </c>
      <c r="G4045" t="s">
        <v>7</v>
      </c>
      <c r="H4045" s="10">
        <v>297080</v>
      </c>
      <c r="I4045">
        <f>IFERROR(VLOOKUP(Final!F4045,'LEAID Match'!$A$2:$B$374,2,FALSE),"")</f>
        <v>400202</v>
      </c>
      <c r="K4045" s="10">
        <f t="shared" si="63"/>
        <v>297080</v>
      </c>
    </row>
    <row r="4046" spans="1:11">
      <c r="A4046">
        <v>400202</v>
      </c>
      <c r="B4046" s="10">
        <v>2018</v>
      </c>
      <c r="C4046" t="s">
        <v>60</v>
      </c>
      <c r="D4046" t="s">
        <v>2472</v>
      </c>
      <c r="E4046" t="s">
        <v>2474</v>
      </c>
      <c r="F4046" t="s">
        <v>7</v>
      </c>
      <c r="G4046" t="s">
        <v>7</v>
      </c>
      <c r="H4046" s="10">
        <v>304511</v>
      </c>
      <c r="I4046">
        <f>IFERROR(VLOOKUP(Final!F4046,'LEAID Match'!$A$2:$B$374,2,FALSE),"")</f>
        <v>400202</v>
      </c>
      <c r="K4046" s="10">
        <f t="shared" si="63"/>
        <v>304511</v>
      </c>
    </row>
    <row r="4047" spans="1:11">
      <c r="A4047">
        <v>400202</v>
      </c>
      <c r="B4047" s="10">
        <v>2019</v>
      </c>
      <c r="C4047" t="s">
        <v>60</v>
      </c>
      <c r="D4047" t="s">
        <v>2472</v>
      </c>
      <c r="E4047" t="s">
        <v>2474</v>
      </c>
      <c r="F4047" t="s">
        <v>7</v>
      </c>
      <c r="G4047" t="s">
        <v>7</v>
      </c>
      <c r="H4047" s="10">
        <v>321887</v>
      </c>
      <c r="I4047">
        <f>IFERROR(VLOOKUP(Final!F4047,'LEAID Match'!$A$2:$B$374,2,FALSE),"")</f>
        <v>400202</v>
      </c>
      <c r="K4047" s="10">
        <f t="shared" si="63"/>
        <v>321887</v>
      </c>
    </row>
    <row r="4048" spans="1:11">
      <c r="A4048">
        <v>400202</v>
      </c>
      <c r="B4048" s="10">
        <v>2020</v>
      </c>
      <c r="C4048" t="s">
        <v>60</v>
      </c>
      <c r="D4048" t="s">
        <v>2472</v>
      </c>
      <c r="E4048" t="s">
        <v>2474</v>
      </c>
      <c r="F4048" t="s">
        <v>7</v>
      </c>
      <c r="G4048" t="s">
        <v>7</v>
      </c>
      <c r="H4048" s="10">
        <v>328523</v>
      </c>
      <c r="I4048">
        <f>IFERROR(VLOOKUP(Final!F4048,'LEAID Match'!$A$2:$B$374,2,FALSE),"")</f>
        <v>400202</v>
      </c>
      <c r="K4048" s="10">
        <f t="shared" si="63"/>
        <v>328523</v>
      </c>
    </row>
    <row r="4049" spans="1:11">
      <c r="A4049">
        <v>400202</v>
      </c>
      <c r="B4049" s="10">
        <v>2021</v>
      </c>
      <c r="C4049" t="s">
        <v>60</v>
      </c>
      <c r="D4049" t="s">
        <v>2472</v>
      </c>
      <c r="E4049" t="s">
        <v>2474</v>
      </c>
      <c r="F4049" t="s">
        <v>7</v>
      </c>
      <c r="G4049" t="s">
        <v>7</v>
      </c>
      <c r="H4049" s="10">
        <v>328126</v>
      </c>
      <c r="I4049">
        <f>IFERROR(VLOOKUP(Final!F4049,'LEAID Match'!$A$2:$B$374,2,FALSE),"")</f>
        <v>400202</v>
      </c>
      <c r="K4049" s="10">
        <f t="shared" si="63"/>
        <v>328126</v>
      </c>
    </row>
    <row r="4050" spans="1:11">
      <c r="A4050">
        <v>400202</v>
      </c>
      <c r="B4050" s="10">
        <v>2022</v>
      </c>
      <c r="C4050" t="s">
        <v>60</v>
      </c>
      <c r="D4050" t="s">
        <v>2472</v>
      </c>
      <c r="E4050" t="s">
        <v>2474</v>
      </c>
      <c r="F4050" t="s">
        <v>7</v>
      </c>
      <c r="G4050" t="s">
        <v>7</v>
      </c>
      <c r="H4050" s="10">
        <v>368671</v>
      </c>
      <c r="I4050">
        <f>IFERROR(VLOOKUP(Final!F4050,'LEAID Match'!$A$2:$B$374,2,FALSE),"")</f>
        <v>400202</v>
      </c>
      <c r="K4050" s="10">
        <f t="shared" si="63"/>
        <v>368671</v>
      </c>
    </row>
    <row r="4051" spans="1:11">
      <c r="A4051">
        <v>400202</v>
      </c>
      <c r="B4051" s="10">
        <v>2023</v>
      </c>
      <c r="C4051" t="s">
        <v>60</v>
      </c>
      <c r="D4051" t="s">
        <v>2472</v>
      </c>
      <c r="E4051" t="s">
        <v>2474</v>
      </c>
      <c r="F4051" t="s">
        <v>7</v>
      </c>
      <c r="G4051" t="s">
        <v>7</v>
      </c>
      <c r="H4051" s="10">
        <v>359121</v>
      </c>
      <c r="I4051">
        <f>IFERROR(VLOOKUP(Final!F4051,'LEAID Match'!$A$2:$B$374,2,FALSE),"")</f>
        <v>400202</v>
      </c>
      <c r="K4051" s="10">
        <f t="shared" si="63"/>
        <v>359121</v>
      </c>
    </row>
    <row r="4052" spans="1:11">
      <c r="A4052">
        <v>400206</v>
      </c>
      <c r="B4052" s="10">
        <v>2015</v>
      </c>
      <c r="C4052" t="s">
        <v>554</v>
      </c>
      <c r="D4052" t="s">
        <v>2472</v>
      </c>
      <c r="E4052" t="s">
        <v>2474</v>
      </c>
      <c r="F4052" t="s">
        <v>499</v>
      </c>
      <c r="G4052" t="s">
        <v>499</v>
      </c>
      <c r="H4052" s="10">
        <v>36144</v>
      </c>
      <c r="I4052">
        <f>IFERROR(VLOOKUP(Final!F4052,'LEAID Match'!$A$2:$B$374,2,FALSE),"")</f>
        <v>400206</v>
      </c>
      <c r="K4052" s="10">
        <f t="shared" si="63"/>
        <v>36144</v>
      </c>
    </row>
    <row r="4053" spans="1:11">
      <c r="A4053">
        <v>400206</v>
      </c>
      <c r="B4053" s="10">
        <v>2016</v>
      </c>
      <c r="C4053" t="s">
        <v>554</v>
      </c>
      <c r="D4053" t="s">
        <v>2472</v>
      </c>
      <c r="E4053" t="s">
        <v>2474</v>
      </c>
      <c r="F4053" t="s">
        <v>499</v>
      </c>
      <c r="G4053" t="s">
        <v>499</v>
      </c>
      <c r="H4053" s="10">
        <v>30737</v>
      </c>
      <c r="I4053">
        <f>IFERROR(VLOOKUP(Final!F4053,'LEAID Match'!$A$2:$B$374,2,FALSE),"")</f>
        <v>400206</v>
      </c>
      <c r="K4053" s="10">
        <f t="shared" si="63"/>
        <v>30737</v>
      </c>
    </row>
    <row r="4054" spans="1:11">
      <c r="A4054">
        <v>400206</v>
      </c>
      <c r="B4054" s="10">
        <v>2017</v>
      </c>
      <c r="C4054" t="s">
        <v>554</v>
      </c>
      <c r="D4054" t="s">
        <v>2472</v>
      </c>
      <c r="E4054" t="s">
        <v>2474</v>
      </c>
      <c r="F4054" t="s">
        <v>499</v>
      </c>
      <c r="G4054" t="s">
        <v>499</v>
      </c>
      <c r="H4054" s="10">
        <v>25421</v>
      </c>
      <c r="I4054">
        <f>IFERROR(VLOOKUP(Final!F4054,'LEAID Match'!$A$2:$B$374,2,FALSE),"")</f>
        <v>400206</v>
      </c>
      <c r="K4054" s="10">
        <f t="shared" si="63"/>
        <v>25421</v>
      </c>
    </row>
    <row r="4055" spans="1:11">
      <c r="A4055">
        <v>400206</v>
      </c>
      <c r="B4055" s="10">
        <v>2018</v>
      </c>
      <c r="C4055" t="s">
        <v>554</v>
      </c>
      <c r="D4055" t="s">
        <v>2472</v>
      </c>
      <c r="E4055" t="s">
        <v>2474</v>
      </c>
      <c r="F4055" t="s">
        <v>499</v>
      </c>
      <c r="G4055" t="s">
        <v>499</v>
      </c>
      <c r="H4055" s="10">
        <v>26568</v>
      </c>
      <c r="I4055">
        <f>IFERROR(VLOOKUP(Final!F4055,'LEAID Match'!$A$2:$B$374,2,FALSE),"")</f>
        <v>400206</v>
      </c>
      <c r="K4055" s="10">
        <f t="shared" si="63"/>
        <v>26568</v>
      </c>
    </row>
    <row r="4056" spans="1:11">
      <c r="A4056">
        <v>400206</v>
      </c>
      <c r="B4056" s="10">
        <v>2019</v>
      </c>
      <c r="C4056" t="s">
        <v>554</v>
      </c>
      <c r="D4056" t="s">
        <v>2472</v>
      </c>
      <c r="E4056" t="s">
        <v>2474</v>
      </c>
      <c r="F4056" t="s">
        <v>499</v>
      </c>
      <c r="G4056" t="s">
        <v>499</v>
      </c>
      <c r="H4056" s="10"/>
      <c r="I4056">
        <f>IFERROR(VLOOKUP(Final!F4056,'LEAID Match'!$A$2:$B$374,2,FALSE),"")</f>
        <v>400206</v>
      </c>
      <c r="K4056" s="10">
        <f t="shared" si="63"/>
        <v>0</v>
      </c>
    </row>
    <row r="4057" spans="1:11">
      <c r="A4057">
        <v>400206</v>
      </c>
      <c r="B4057" s="10">
        <v>2020</v>
      </c>
      <c r="C4057" t="s">
        <v>554</v>
      </c>
      <c r="D4057" t="s">
        <v>2472</v>
      </c>
      <c r="E4057" t="s">
        <v>2474</v>
      </c>
      <c r="F4057" t="s">
        <v>499</v>
      </c>
      <c r="G4057" t="s">
        <v>499</v>
      </c>
      <c r="H4057" s="10"/>
      <c r="I4057">
        <f>IFERROR(VLOOKUP(Final!F4057,'LEAID Match'!$A$2:$B$374,2,FALSE),"")</f>
        <v>400206</v>
      </c>
      <c r="K4057" s="10">
        <f t="shared" si="63"/>
        <v>0</v>
      </c>
    </row>
    <row r="4058" spans="1:11">
      <c r="A4058">
        <v>400206</v>
      </c>
      <c r="B4058" s="10">
        <v>2021</v>
      </c>
      <c r="C4058" t="s">
        <v>554</v>
      </c>
      <c r="D4058" t="s">
        <v>2472</v>
      </c>
      <c r="E4058" t="s">
        <v>2474</v>
      </c>
      <c r="F4058" t="s">
        <v>499</v>
      </c>
      <c r="G4058" t="s">
        <v>499</v>
      </c>
      <c r="H4058" s="10"/>
      <c r="I4058">
        <f>IFERROR(VLOOKUP(Final!F4058,'LEAID Match'!$A$2:$B$374,2,FALSE),"")</f>
        <v>400206</v>
      </c>
      <c r="K4058" s="10">
        <f t="shared" si="63"/>
        <v>0</v>
      </c>
    </row>
    <row r="4059" spans="1:11">
      <c r="A4059">
        <v>400206</v>
      </c>
      <c r="B4059" s="10">
        <v>2022</v>
      </c>
      <c r="C4059" t="s">
        <v>554</v>
      </c>
      <c r="D4059" t="s">
        <v>2472</v>
      </c>
      <c r="E4059" t="s">
        <v>2474</v>
      </c>
      <c r="F4059" t="s">
        <v>499</v>
      </c>
      <c r="G4059" t="s">
        <v>499</v>
      </c>
      <c r="H4059" s="10"/>
      <c r="I4059">
        <f>IFERROR(VLOOKUP(Final!F4059,'LEAID Match'!$A$2:$B$374,2,FALSE),"")</f>
        <v>400206</v>
      </c>
      <c r="K4059" s="10">
        <f t="shared" si="63"/>
        <v>0</v>
      </c>
    </row>
    <row r="4060" spans="1:11">
      <c r="A4060">
        <v>400206</v>
      </c>
      <c r="B4060" s="10">
        <v>2023</v>
      </c>
      <c r="C4060" t="s">
        <v>554</v>
      </c>
      <c r="D4060" t="s">
        <v>2472</v>
      </c>
      <c r="E4060" t="s">
        <v>2474</v>
      </c>
      <c r="F4060" t="s">
        <v>499</v>
      </c>
      <c r="G4060" t="s">
        <v>499</v>
      </c>
      <c r="H4060" s="10"/>
      <c r="I4060">
        <f>IFERROR(VLOOKUP(Final!F4060,'LEAID Match'!$A$2:$B$374,2,FALSE),"")</f>
        <v>400206</v>
      </c>
      <c r="K4060" s="10">
        <f t="shared" si="63"/>
        <v>0</v>
      </c>
    </row>
    <row r="4061" spans="1:11">
      <c r="A4061">
        <v>400254</v>
      </c>
      <c r="B4061" s="10">
        <v>2015</v>
      </c>
      <c r="C4061" t="s">
        <v>1133</v>
      </c>
      <c r="D4061" t="s">
        <v>2472</v>
      </c>
      <c r="E4061" t="s">
        <v>2474</v>
      </c>
      <c r="F4061" t="s">
        <v>1962</v>
      </c>
      <c r="G4061" t="s">
        <v>1078</v>
      </c>
      <c r="H4061" s="10">
        <v>76642</v>
      </c>
      <c r="I4061">
        <f>IFERROR(VLOOKUP(Final!F4061,'LEAID Match'!$A$2:$B$374,2,FALSE),"")</f>
        <v>400254</v>
      </c>
      <c r="K4061" s="10">
        <f t="shared" si="63"/>
        <v>76642</v>
      </c>
    </row>
    <row r="4062" spans="1:11">
      <c r="A4062">
        <v>400254</v>
      </c>
      <c r="B4062" s="10">
        <v>2016</v>
      </c>
      <c r="C4062" t="s">
        <v>1133</v>
      </c>
      <c r="D4062" t="s">
        <v>2472</v>
      </c>
      <c r="E4062" t="s">
        <v>2474</v>
      </c>
      <c r="F4062" t="s">
        <v>1962</v>
      </c>
      <c r="G4062" t="s">
        <v>1078</v>
      </c>
      <c r="H4062" s="10">
        <v>73675</v>
      </c>
      <c r="I4062">
        <f>IFERROR(VLOOKUP(Final!F4062,'LEAID Match'!$A$2:$B$374,2,FALSE),"")</f>
        <v>400254</v>
      </c>
      <c r="K4062" s="10">
        <f t="shared" si="63"/>
        <v>73675</v>
      </c>
    </row>
    <row r="4063" spans="1:11">
      <c r="A4063">
        <v>400254</v>
      </c>
      <c r="B4063" s="10">
        <v>2017</v>
      </c>
      <c r="C4063" t="s">
        <v>1133</v>
      </c>
      <c r="D4063" t="s">
        <v>2472</v>
      </c>
      <c r="E4063" t="s">
        <v>2474</v>
      </c>
      <c r="F4063" t="s">
        <v>1962</v>
      </c>
      <c r="G4063" t="s">
        <v>1962</v>
      </c>
      <c r="H4063" s="10">
        <v>81991</v>
      </c>
      <c r="I4063">
        <f>IFERROR(VLOOKUP(Final!F4063,'LEAID Match'!$A$2:$B$374,2,FALSE),"")</f>
        <v>400254</v>
      </c>
      <c r="K4063" s="10">
        <f t="shared" si="63"/>
        <v>81991</v>
      </c>
    </row>
    <row r="4064" spans="1:11">
      <c r="A4064">
        <v>400254</v>
      </c>
      <c r="B4064" s="10">
        <v>2018</v>
      </c>
      <c r="C4064" t="s">
        <v>1133</v>
      </c>
      <c r="D4064" t="s">
        <v>2472</v>
      </c>
      <c r="E4064" t="s">
        <v>2474</v>
      </c>
      <c r="F4064" t="s">
        <v>1962</v>
      </c>
      <c r="G4064" t="s">
        <v>1962</v>
      </c>
      <c r="H4064" s="10">
        <v>77710</v>
      </c>
      <c r="I4064">
        <f>IFERROR(VLOOKUP(Final!F4064,'LEAID Match'!$A$2:$B$374,2,FALSE),"")</f>
        <v>400254</v>
      </c>
      <c r="K4064" s="10">
        <f t="shared" si="63"/>
        <v>77710</v>
      </c>
    </row>
    <row r="4065" spans="1:11">
      <c r="A4065">
        <v>400254</v>
      </c>
      <c r="B4065" s="10">
        <v>2019</v>
      </c>
      <c r="C4065" t="s">
        <v>1133</v>
      </c>
      <c r="D4065" t="s">
        <v>2472</v>
      </c>
      <c r="E4065" t="s">
        <v>2474</v>
      </c>
      <c r="F4065" t="s">
        <v>1962</v>
      </c>
      <c r="G4065" t="s">
        <v>1962</v>
      </c>
      <c r="H4065" s="10">
        <v>76574</v>
      </c>
      <c r="I4065">
        <f>IFERROR(VLOOKUP(Final!F4065,'LEAID Match'!$A$2:$B$374,2,FALSE),"")</f>
        <v>400254</v>
      </c>
      <c r="K4065" s="10">
        <f t="shared" si="63"/>
        <v>76574</v>
      </c>
    </row>
    <row r="4066" spans="1:11">
      <c r="A4066">
        <v>400254</v>
      </c>
      <c r="B4066" s="10">
        <v>2020</v>
      </c>
      <c r="C4066" t="s">
        <v>1133</v>
      </c>
      <c r="D4066" t="s">
        <v>2472</v>
      </c>
      <c r="E4066" t="s">
        <v>2474</v>
      </c>
      <c r="F4066" t="s">
        <v>1962</v>
      </c>
      <c r="G4066" t="s">
        <v>1962</v>
      </c>
      <c r="H4066" s="10">
        <v>82649</v>
      </c>
      <c r="I4066">
        <f>IFERROR(VLOOKUP(Final!F4066,'LEAID Match'!$A$2:$B$374,2,FALSE),"")</f>
        <v>400254</v>
      </c>
      <c r="K4066" s="10">
        <f t="shared" si="63"/>
        <v>82649</v>
      </c>
    </row>
    <row r="4067" spans="1:11">
      <c r="A4067">
        <v>400254</v>
      </c>
      <c r="B4067" s="10">
        <v>2021</v>
      </c>
      <c r="C4067" t="s">
        <v>1133</v>
      </c>
      <c r="D4067" t="s">
        <v>2472</v>
      </c>
      <c r="E4067" t="s">
        <v>2474</v>
      </c>
      <c r="F4067" t="s">
        <v>1962</v>
      </c>
      <c r="G4067" t="s">
        <v>1962</v>
      </c>
      <c r="H4067" s="10">
        <v>70904</v>
      </c>
      <c r="I4067">
        <f>IFERROR(VLOOKUP(Final!F4067,'LEAID Match'!$A$2:$B$374,2,FALSE),"")</f>
        <v>400254</v>
      </c>
      <c r="K4067" s="10">
        <f t="shared" si="63"/>
        <v>70904</v>
      </c>
    </row>
    <row r="4068" spans="1:11">
      <c r="A4068">
        <v>400254</v>
      </c>
      <c r="B4068" s="10">
        <v>2022</v>
      </c>
      <c r="C4068" t="s">
        <v>1133</v>
      </c>
      <c r="D4068" t="s">
        <v>2472</v>
      </c>
      <c r="E4068" t="s">
        <v>2474</v>
      </c>
      <c r="F4068" t="s">
        <v>1962</v>
      </c>
      <c r="G4068" t="s">
        <v>1962</v>
      </c>
      <c r="H4068" s="10">
        <v>76838</v>
      </c>
      <c r="I4068">
        <f>IFERROR(VLOOKUP(Final!F4068,'LEAID Match'!$A$2:$B$374,2,FALSE),"")</f>
        <v>400254</v>
      </c>
      <c r="K4068" s="10">
        <f t="shared" si="63"/>
        <v>76838</v>
      </c>
    </row>
    <row r="4069" spans="1:11">
      <c r="A4069">
        <v>400254</v>
      </c>
      <c r="B4069" s="10">
        <v>2023</v>
      </c>
      <c r="C4069" t="s">
        <v>1133</v>
      </c>
      <c r="D4069" t="s">
        <v>2472</v>
      </c>
      <c r="E4069" t="s">
        <v>2474</v>
      </c>
      <c r="F4069" t="s">
        <v>1962</v>
      </c>
      <c r="G4069" t="s">
        <v>1962</v>
      </c>
      <c r="H4069" s="10">
        <v>71339</v>
      </c>
      <c r="I4069">
        <f>IFERROR(VLOOKUP(Final!F4069,'LEAID Match'!$A$2:$B$374,2,FALSE),"")</f>
        <v>400254</v>
      </c>
      <c r="K4069" s="10">
        <f t="shared" si="63"/>
        <v>71339</v>
      </c>
    </row>
    <row r="4070" spans="1:11">
      <c r="A4070" t="s">
        <v>2470</v>
      </c>
      <c r="B4070" s="10">
        <v>2015</v>
      </c>
      <c r="C4070" t="s">
        <v>990</v>
      </c>
      <c r="D4070" t="s">
        <v>2472</v>
      </c>
      <c r="E4070" t="s">
        <v>2474</v>
      </c>
      <c r="F4070" t="s">
        <v>935</v>
      </c>
      <c r="G4070" t="s">
        <v>935</v>
      </c>
      <c r="H4070" s="10">
        <v>8262540</v>
      </c>
      <c r="I4070" t="str">
        <f>IFERROR(VLOOKUP(Final!F4070,'LEAID Match'!$A$2:$B$374,2,FALSE),"")</f>
        <v/>
      </c>
      <c r="K4070" s="10">
        <f t="shared" si="63"/>
        <v>8262540</v>
      </c>
    </row>
    <row r="4071" spans="1:11">
      <c r="A4071" t="s">
        <v>2470</v>
      </c>
      <c r="B4071" s="10">
        <v>2016</v>
      </c>
      <c r="C4071" t="s">
        <v>990</v>
      </c>
      <c r="D4071" t="s">
        <v>2472</v>
      </c>
      <c r="E4071" t="s">
        <v>2474</v>
      </c>
      <c r="F4071" t="s">
        <v>935</v>
      </c>
      <c r="G4071" t="s">
        <v>935</v>
      </c>
      <c r="H4071" s="10">
        <v>8281527</v>
      </c>
      <c r="I4071" t="str">
        <f>IFERROR(VLOOKUP(Final!F4071,'LEAID Match'!$A$2:$B$374,2,FALSE),"")</f>
        <v/>
      </c>
      <c r="K4071" s="10">
        <f t="shared" si="63"/>
        <v>8281527</v>
      </c>
    </row>
    <row r="4072" spans="1:11">
      <c r="A4072" t="s">
        <v>2470</v>
      </c>
      <c r="B4072" s="10">
        <v>2017</v>
      </c>
      <c r="C4072" t="s">
        <v>990</v>
      </c>
      <c r="D4072" t="s">
        <v>2472</v>
      </c>
      <c r="E4072" t="s">
        <v>2474</v>
      </c>
      <c r="F4072" t="s">
        <v>935</v>
      </c>
      <c r="G4072" t="s">
        <v>935</v>
      </c>
      <c r="H4072" s="10">
        <v>7964124</v>
      </c>
      <c r="I4072" t="str">
        <f>IFERROR(VLOOKUP(Final!F4072,'LEAID Match'!$A$2:$B$374,2,FALSE),"")</f>
        <v/>
      </c>
      <c r="K4072" s="10">
        <f t="shared" si="63"/>
        <v>7964124</v>
      </c>
    </row>
    <row r="4073" spans="1:11">
      <c r="A4073" t="s">
        <v>2470</v>
      </c>
      <c r="B4073" s="10">
        <v>2018</v>
      </c>
      <c r="C4073" t="s">
        <v>990</v>
      </c>
      <c r="D4073" t="s">
        <v>2472</v>
      </c>
      <c r="E4073" t="s">
        <v>2474</v>
      </c>
      <c r="F4073" t="s">
        <v>935</v>
      </c>
      <c r="G4073" t="s">
        <v>935</v>
      </c>
      <c r="H4073" s="10">
        <v>8019129</v>
      </c>
      <c r="I4073" t="str">
        <f>IFERROR(VLOOKUP(Final!F4073,'LEAID Match'!$A$2:$B$374,2,FALSE),"")</f>
        <v/>
      </c>
      <c r="K4073" s="10">
        <f t="shared" si="63"/>
        <v>8019129</v>
      </c>
    </row>
    <row r="4074" spans="1:11">
      <c r="A4074" t="s">
        <v>2470</v>
      </c>
      <c r="B4074" s="10">
        <v>2019</v>
      </c>
      <c r="C4074" t="s">
        <v>990</v>
      </c>
      <c r="D4074" t="s">
        <v>2472</v>
      </c>
      <c r="E4074" t="s">
        <v>2474</v>
      </c>
      <c r="F4074" t="s">
        <v>935</v>
      </c>
      <c r="G4074" t="s">
        <v>935</v>
      </c>
      <c r="H4074" s="10">
        <v>7642722</v>
      </c>
      <c r="I4074" t="str">
        <f>IFERROR(VLOOKUP(Final!F4074,'LEAID Match'!$A$2:$B$374,2,FALSE),"")</f>
        <v/>
      </c>
      <c r="K4074" s="10">
        <f t="shared" si="63"/>
        <v>7642722</v>
      </c>
    </row>
    <row r="4075" spans="1:11">
      <c r="A4075" t="s">
        <v>2470</v>
      </c>
      <c r="B4075" s="10">
        <v>2020</v>
      </c>
      <c r="C4075" t="s">
        <v>990</v>
      </c>
      <c r="D4075" t="s">
        <v>2472</v>
      </c>
      <c r="E4075" t="s">
        <v>2474</v>
      </c>
      <c r="F4075" t="s">
        <v>935</v>
      </c>
      <c r="G4075" t="s">
        <v>935</v>
      </c>
      <c r="H4075" s="10">
        <v>7954767</v>
      </c>
      <c r="I4075" t="str">
        <f>IFERROR(VLOOKUP(Final!F4075,'LEAID Match'!$A$2:$B$374,2,FALSE),"")</f>
        <v/>
      </c>
      <c r="K4075" s="10">
        <f t="shared" si="63"/>
        <v>7954767</v>
      </c>
    </row>
    <row r="4076" spans="1:11">
      <c r="A4076" t="s">
        <v>2470</v>
      </c>
      <c r="B4076" s="10">
        <v>2021</v>
      </c>
      <c r="C4076" t="s">
        <v>990</v>
      </c>
      <c r="D4076" t="s">
        <v>2472</v>
      </c>
      <c r="E4076" t="s">
        <v>2474</v>
      </c>
      <c r="F4076" t="s">
        <v>935</v>
      </c>
      <c r="G4076" t="s">
        <v>935</v>
      </c>
      <c r="H4076" s="10">
        <v>8082984</v>
      </c>
      <c r="I4076" t="str">
        <f>IFERROR(VLOOKUP(Final!F4076,'LEAID Match'!$A$2:$B$374,2,FALSE),"")</f>
        <v/>
      </c>
      <c r="K4076" s="10">
        <f t="shared" si="63"/>
        <v>8082984</v>
      </c>
    </row>
    <row r="4077" spans="1:11">
      <c r="A4077" t="s">
        <v>2470</v>
      </c>
      <c r="B4077" s="10">
        <v>2022</v>
      </c>
      <c r="C4077" t="s">
        <v>990</v>
      </c>
      <c r="D4077" t="s">
        <v>2472</v>
      </c>
      <c r="E4077" t="s">
        <v>2474</v>
      </c>
      <c r="F4077" t="s">
        <v>935</v>
      </c>
      <c r="G4077" t="s">
        <v>935</v>
      </c>
      <c r="H4077" s="10">
        <v>8527343</v>
      </c>
      <c r="I4077" t="str">
        <f>IFERROR(VLOOKUP(Final!F4077,'LEAID Match'!$A$2:$B$374,2,FALSE),"")</f>
        <v/>
      </c>
      <c r="K4077" s="10">
        <f t="shared" si="63"/>
        <v>8527343</v>
      </c>
    </row>
    <row r="4078" spans="1:11">
      <c r="A4078" t="s">
        <v>2470</v>
      </c>
      <c r="B4078" s="10">
        <v>2023</v>
      </c>
      <c r="C4078" t="s">
        <v>990</v>
      </c>
      <c r="D4078" t="s">
        <v>2472</v>
      </c>
      <c r="E4078" t="s">
        <v>2474</v>
      </c>
      <c r="F4078" t="s">
        <v>935</v>
      </c>
      <c r="G4078" t="s">
        <v>935</v>
      </c>
      <c r="H4078" s="10">
        <v>10212093</v>
      </c>
      <c r="I4078" t="str">
        <f>IFERROR(VLOOKUP(Final!F4078,'LEAID Match'!$A$2:$B$374,2,FALSE),"")</f>
        <v/>
      </c>
      <c r="K4078" s="10">
        <f t="shared" si="63"/>
        <v>10212093</v>
      </c>
    </row>
    <row r="4079" spans="1:11">
      <c r="A4079">
        <v>400972</v>
      </c>
      <c r="B4079" s="10">
        <v>2015</v>
      </c>
      <c r="C4079" t="s">
        <v>1345</v>
      </c>
      <c r="D4079" t="s">
        <v>2472</v>
      </c>
      <c r="E4079" t="s">
        <v>2474</v>
      </c>
      <c r="F4079" t="s">
        <v>2031</v>
      </c>
      <c r="G4079" t="s">
        <v>1297</v>
      </c>
      <c r="H4079" s="10">
        <v>60773</v>
      </c>
      <c r="I4079">
        <f>IFERROR(VLOOKUP(Final!F4079,'LEAID Match'!$A$2:$B$374,2,FALSE),"")</f>
        <v>400972</v>
      </c>
      <c r="K4079" s="10">
        <f t="shared" si="63"/>
        <v>60773</v>
      </c>
    </row>
    <row r="4080" spans="1:11">
      <c r="A4080">
        <v>400972</v>
      </c>
      <c r="B4080" s="10">
        <v>2016</v>
      </c>
      <c r="C4080" t="s">
        <v>1345</v>
      </c>
      <c r="D4080" t="s">
        <v>2472</v>
      </c>
      <c r="E4080" t="s">
        <v>2474</v>
      </c>
      <c r="F4080" t="s">
        <v>2031</v>
      </c>
      <c r="G4080" t="s">
        <v>1486</v>
      </c>
      <c r="H4080" s="10"/>
      <c r="I4080">
        <f>IFERROR(VLOOKUP(Final!F4080,'LEAID Match'!$A$2:$B$374,2,FALSE),"")</f>
        <v>400972</v>
      </c>
      <c r="K4080" s="10">
        <f t="shared" si="63"/>
        <v>0</v>
      </c>
    </row>
    <row r="4081" spans="1:11">
      <c r="A4081">
        <v>400972</v>
      </c>
      <c r="B4081" s="10">
        <v>2017</v>
      </c>
      <c r="C4081" t="s">
        <v>1345</v>
      </c>
      <c r="D4081" t="s">
        <v>2472</v>
      </c>
      <c r="E4081" t="s">
        <v>2474</v>
      </c>
      <c r="F4081" t="s">
        <v>2031</v>
      </c>
      <c r="G4081" t="s">
        <v>2031</v>
      </c>
      <c r="H4081" s="10"/>
      <c r="I4081">
        <f>IFERROR(VLOOKUP(Final!F4081,'LEAID Match'!$A$2:$B$374,2,FALSE),"")</f>
        <v>400972</v>
      </c>
      <c r="K4081" s="10">
        <f t="shared" si="63"/>
        <v>0</v>
      </c>
    </row>
    <row r="4082" spans="1:11">
      <c r="A4082">
        <v>400972</v>
      </c>
      <c r="B4082" s="10">
        <v>2018</v>
      </c>
      <c r="C4082" t="s">
        <v>1345</v>
      </c>
      <c r="D4082" t="s">
        <v>2472</v>
      </c>
      <c r="E4082" t="s">
        <v>2474</v>
      </c>
      <c r="F4082" t="s">
        <v>2031</v>
      </c>
      <c r="G4082" t="s">
        <v>2344</v>
      </c>
      <c r="H4082" s="10"/>
      <c r="I4082">
        <f>IFERROR(VLOOKUP(Final!F4082,'LEAID Match'!$A$2:$B$374,2,FALSE),"")</f>
        <v>400972</v>
      </c>
      <c r="K4082" s="10">
        <f t="shared" si="63"/>
        <v>0</v>
      </c>
    </row>
    <row r="4083" spans="1:11">
      <c r="A4083">
        <v>400972</v>
      </c>
      <c r="B4083" s="10">
        <v>2019</v>
      </c>
      <c r="C4083" t="s">
        <v>1345</v>
      </c>
      <c r="D4083" t="s">
        <v>2472</v>
      </c>
      <c r="E4083" t="s">
        <v>2474</v>
      </c>
      <c r="F4083" t="s">
        <v>2031</v>
      </c>
      <c r="G4083" t="s">
        <v>2031</v>
      </c>
      <c r="H4083" s="10"/>
      <c r="I4083">
        <f>IFERROR(VLOOKUP(Final!F4083,'LEAID Match'!$A$2:$B$374,2,FALSE),"")</f>
        <v>400972</v>
      </c>
      <c r="K4083" s="10">
        <f t="shared" si="63"/>
        <v>0</v>
      </c>
    </row>
    <row r="4084" spans="1:11">
      <c r="A4084" t="s">
        <v>2470</v>
      </c>
      <c r="B4084" s="10">
        <v>2017</v>
      </c>
      <c r="C4084" t="s">
        <v>1524</v>
      </c>
      <c r="D4084" t="s">
        <v>2472</v>
      </c>
      <c r="E4084" t="s">
        <v>2474</v>
      </c>
      <c r="F4084" t="s">
        <v>1501</v>
      </c>
      <c r="G4084" t="s">
        <v>1501</v>
      </c>
      <c r="H4084" s="10"/>
      <c r="I4084" t="str">
        <f>IFERROR(VLOOKUP(Final!F4084,'LEAID Match'!$A$2:$B$374,2,FALSE),"")</f>
        <v/>
      </c>
      <c r="K4084" s="10">
        <f t="shared" si="63"/>
        <v>0</v>
      </c>
    </row>
    <row r="4085" spans="1:11">
      <c r="A4085" t="s">
        <v>2470</v>
      </c>
      <c r="B4085" s="10">
        <v>2018</v>
      </c>
      <c r="C4085" t="s">
        <v>1524</v>
      </c>
      <c r="D4085" t="s">
        <v>2472</v>
      </c>
      <c r="E4085" t="s">
        <v>2474</v>
      </c>
      <c r="F4085" t="s">
        <v>1501</v>
      </c>
      <c r="G4085" t="s">
        <v>2050</v>
      </c>
      <c r="H4085" s="10"/>
      <c r="I4085" t="str">
        <f>IFERROR(VLOOKUP(Final!F4085,'LEAID Match'!$A$2:$B$374,2,FALSE),"")</f>
        <v/>
      </c>
      <c r="K4085" s="10">
        <f t="shared" si="63"/>
        <v>0</v>
      </c>
    </row>
    <row r="4086" spans="1:11">
      <c r="A4086" t="s">
        <v>2470</v>
      </c>
      <c r="B4086" s="10">
        <v>2019</v>
      </c>
      <c r="C4086" t="s">
        <v>1524</v>
      </c>
      <c r="D4086" t="s">
        <v>2472</v>
      </c>
      <c r="E4086" t="s">
        <v>2474</v>
      </c>
      <c r="F4086" t="s">
        <v>1501</v>
      </c>
      <c r="G4086" t="s">
        <v>1501</v>
      </c>
      <c r="H4086" s="10"/>
      <c r="I4086" t="str">
        <f>IFERROR(VLOOKUP(Final!F4086,'LEAID Match'!$A$2:$B$374,2,FALSE),"")</f>
        <v/>
      </c>
      <c r="K4086" s="10">
        <f t="shared" si="63"/>
        <v>0</v>
      </c>
    </row>
    <row r="4087" spans="1:11">
      <c r="A4087">
        <v>408080</v>
      </c>
      <c r="B4087" s="10">
        <v>2015</v>
      </c>
      <c r="C4087" t="s">
        <v>1136</v>
      </c>
      <c r="D4087" t="s">
        <v>2472</v>
      </c>
      <c r="E4087" t="s">
        <v>2474</v>
      </c>
      <c r="F4087" t="s">
        <v>1966</v>
      </c>
      <c r="G4087" t="s">
        <v>1081</v>
      </c>
      <c r="H4087" s="10">
        <v>471741</v>
      </c>
      <c r="I4087">
        <f>IFERROR(VLOOKUP(Final!F4087,'LEAID Match'!$A$2:$B$374,2,FALSE),"")</f>
        <v>408080</v>
      </c>
      <c r="K4087" s="10">
        <f t="shared" si="63"/>
        <v>471741</v>
      </c>
    </row>
    <row r="4088" spans="1:11">
      <c r="A4088">
        <v>408080</v>
      </c>
      <c r="B4088" s="10">
        <v>2016</v>
      </c>
      <c r="C4088" t="s">
        <v>1136</v>
      </c>
      <c r="D4088" t="s">
        <v>2472</v>
      </c>
      <c r="E4088" t="s">
        <v>2474</v>
      </c>
      <c r="F4088" t="s">
        <v>1966</v>
      </c>
      <c r="G4088" t="s">
        <v>1081</v>
      </c>
      <c r="H4088" s="10">
        <v>429568</v>
      </c>
      <c r="I4088">
        <f>IFERROR(VLOOKUP(Final!F4088,'LEAID Match'!$A$2:$B$374,2,FALSE),"")</f>
        <v>408080</v>
      </c>
      <c r="K4088" s="10">
        <f t="shared" si="63"/>
        <v>429568</v>
      </c>
    </row>
    <row r="4089" spans="1:11">
      <c r="A4089">
        <v>408080</v>
      </c>
      <c r="B4089" s="10">
        <v>2017</v>
      </c>
      <c r="C4089" t="s">
        <v>1136</v>
      </c>
      <c r="D4089" t="s">
        <v>2472</v>
      </c>
      <c r="E4089" t="s">
        <v>2474</v>
      </c>
      <c r="F4089" t="s">
        <v>1966</v>
      </c>
      <c r="G4089" t="s">
        <v>1966</v>
      </c>
      <c r="H4089" s="10">
        <v>435773</v>
      </c>
      <c r="I4089">
        <f>IFERROR(VLOOKUP(Final!F4089,'LEAID Match'!$A$2:$B$374,2,FALSE),"")</f>
        <v>408080</v>
      </c>
      <c r="K4089" s="10">
        <f t="shared" si="63"/>
        <v>435773</v>
      </c>
    </row>
    <row r="4090" spans="1:11">
      <c r="A4090">
        <v>408080</v>
      </c>
      <c r="B4090" s="10">
        <v>2018</v>
      </c>
      <c r="C4090" t="s">
        <v>1136</v>
      </c>
      <c r="D4090" t="s">
        <v>2472</v>
      </c>
      <c r="E4090" t="s">
        <v>2474</v>
      </c>
      <c r="F4090" t="s">
        <v>1966</v>
      </c>
      <c r="G4090" t="s">
        <v>1966</v>
      </c>
      <c r="H4090" s="10">
        <v>474557</v>
      </c>
      <c r="I4090">
        <f>IFERROR(VLOOKUP(Final!F4090,'LEAID Match'!$A$2:$B$374,2,FALSE),"")</f>
        <v>408080</v>
      </c>
      <c r="K4090" s="10">
        <f t="shared" si="63"/>
        <v>474557</v>
      </c>
    </row>
    <row r="4091" spans="1:11">
      <c r="A4091">
        <v>408080</v>
      </c>
      <c r="B4091" s="10">
        <v>2019</v>
      </c>
      <c r="C4091" t="s">
        <v>1136</v>
      </c>
      <c r="D4091" t="s">
        <v>2472</v>
      </c>
      <c r="E4091" t="s">
        <v>2474</v>
      </c>
      <c r="F4091" t="s">
        <v>1966</v>
      </c>
      <c r="G4091" t="s">
        <v>1966</v>
      </c>
      <c r="H4091" s="10">
        <v>504888</v>
      </c>
      <c r="I4091">
        <f>IFERROR(VLOOKUP(Final!F4091,'LEAID Match'!$A$2:$B$374,2,FALSE),"")</f>
        <v>408080</v>
      </c>
      <c r="K4091" s="10">
        <f t="shared" si="63"/>
        <v>504888</v>
      </c>
    </row>
    <row r="4092" spans="1:11">
      <c r="A4092">
        <v>408080</v>
      </c>
      <c r="B4092" s="10">
        <v>2020</v>
      </c>
      <c r="C4092" t="s">
        <v>1136</v>
      </c>
      <c r="D4092" t="s">
        <v>2472</v>
      </c>
      <c r="E4092" t="s">
        <v>2474</v>
      </c>
      <c r="F4092" t="s">
        <v>1966</v>
      </c>
      <c r="G4092" t="s">
        <v>1966</v>
      </c>
      <c r="H4092" s="10">
        <v>551682</v>
      </c>
      <c r="I4092">
        <f>IFERROR(VLOOKUP(Final!F4092,'LEAID Match'!$A$2:$B$374,2,FALSE),"")</f>
        <v>408080</v>
      </c>
      <c r="K4092" s="10">
        <f t="shared" si="63"/>
        <v>551682</v>
      </c>
    </row>
    <row r="4093" spans="1:11">
      <c r="A4093">
        <v>408080</v>
      </c>
      <c r="B4093" s="10">
        <v>2021</v>
      </c>
      <c r="C4093" t="s">
        <v>1136</v>
      </c>
      <c r="D4093" t="s">
        <v>2472</v>
      </c>
      <c r="E4093" t="s">
        <v>2474</v>
      </c>
      <c r="F4093" t="s">
        <v>1966</v>
      </c>
      <c r="G4093" t="s">
        <v>1966</v>
      </c>
      <c r="H4093" s="10">
        <v>641265</v>
      </c>
      <c r="I4093">
        <f>IFERROR(VLOOKUP(Final!F4093,'LEAID Match'!$A$2:$B$374,2,FALSE),"")</f>
        <v>408080</v>
      </c>
      <c r="K4093" s="10">
        <f t="shared" si="63"/>
        <v>641265</v>
      </c>
    </row>
    <row r="4094" spans="1:11">
      <c r="A4094">
        <v>408080</v>
      </c>
      <c r="B4094" s="10">
        <v>2022</v>
      </c>
      <c r="C4094" t="s">
        <v>1136</v>
      </c>
      <c r="D4094" t="s">
        <v>2472</v>
      </c>
      <c r="E4094" t="s">
        <v>2474</v>
      </c>
      <c r="F4094" t="s">
        <v>1966</v>
      </c>
      <c r="G4094" t="s">
        <v>1966</v>
      </c>
      <c r="H4094" s="10">
        <v>647216</v>
      </c>
      <c r="I4094">
        <f>IFERROR(VLOOKUP(Final!F4094,'LEAID Match'!$A$2:$B$374,2,FALSE),"")</f>
        <v>408080</v>
      </c>
      <c r="K4094" s="10">
        <f t="shared" si="63"/>
        <v>647216</v>
      </c>
    </row>
    <row r="4095" spans="1:11">
      <c r="A4095">
        <v>408080</v>
      </c>
      <c r="B4095" s="10">
        <v>2023</v>
      </c>
      <c r="C4095" t="s">
        <v>1136</v>
      </c>
      <c r="D4095" t="s">
        <v>2472</v>
      </c>
      <c r="E4095" t="s">
        <v>2474</v>
      </c>
      <c r="F4095" t="s">
        <v>1966</v>
      </c>
      <c r="G4095" t="s">
        <v>1966</v>
      </c>
      <c r="H4095" s="10">
        <v>693338</v>
      </c>
      <c r="I4095">
        <f>IFERROR(VLOOKUP(Final!F4095,'LEAID Match'!$A$2:$B$374,2,FALSE),"")</f>
        <v>408080</v>
      </c>
      <c r="K4095" s="10">
        <f t="shared" si="63"/>
        <v>693338</v>
      </c>
    </row>
    <row r="4096" spans="1:11">
      <c r="A4096">
        <v>402190</v>
      </c>
      <c r="B4096" s="10">
        <v>2015</v>
      </c>
      <c r="C4096" t="s">
        <v>482</v>
      </c>
      <c r="D4096" t="s">
        <v>2472</v>
      </c>
      <c r="E4096" t="s">
        <v>2474</v>
      </c>
      <c r="F4096" t="s">
        <v>1672</v>
      </c>
      <c r="G4096" t="s">
        <v>427</v>
      </c>
      <c r="H4096" s="10">
        <v>145915</v>
      </c>
      <c r="I4096">
        <f>IFERROR(VLOOKUP(Final!F4096,'LEAID Match'!$A$2:$B$374,2,FALSE),"")</f>
        <v>402190</v>
      </c>
      <c r="K4096" s="10">
        <f t="shared" si="63"/>
        <v>145915</v>
      </c>
    </row>
    <row r="4097" spans="1:11">
      <c r="A4097">
        <v>402190</v>
      </c>
      <c r="B4097" s="10">
        <v>2016</v>
      </c>
      <c r="C4097" t="s">
        <v>482</v>
      </c>
      <c r="D4097" t="s">
        <v>2472</v>
      </c>
      <c r="E4097" t="s">
        <v>2474</v>
      </c>
      <c r="F4097" t="s">
        <v>1672</v>
      </c>
      <c r="G4097" t="s">
        <v>427</v>
      </c>
      <c r="H4097" s="10">
        <v>147347</v>
      </c>
      <c r="I4097">
        <f>IFERROR(VLOOKUP(Final!F4097,'LEAID Match'!$A$2:$B$374,2,FALSE),"")</f>
        <v>402190</v>
      </c>
      <c r="K4097" s="10">
        <f t="shared" si="63"/>
        <v>147347</v>
      </c>
    </row>
    <row r="4098" spans="1:11">
      <c r="A4098">
        <v>402190</v>
      </c>
      <c r="B4098" s="10">
        <v>2017</v>
      </c>
      <c r="C4098" t="s">
        <v>482</v>
      </c>
      <c r="D4098" t="s">
        <v>2472</v>
      </c>
      <c r="E4098" t="s">
        <v>2474</v>
      </c>
      <c r="F4098" t="s">
        <v>1672</v>
      </c>
      <c r="G4098" t="s">
        <v>1672</v>
      </c>
      <c r="H4098" s="10">
        <v>143582</v>
      </c>
      <c r="I4098">
        <f>IFERROR(VLOOKUP(Final!F4098,'LEAID Match'!$A$2:$B$374,2,FALSE),"")</f>
        <v>402190</v>
      </c>
      <c r="K4098" s="10">
        <f t="shared" si="63"/>
        <v>143582</v>
      </c>
    </row>
    <row r="4099" spans="1:11">
      <c r="A4099">
        <v>402190</v>
      </c>
      <c r="B4099" s="10">
        <v>2018</v>
      </c>
      <c r="C4099" t="s">
        <v>482</v>
      </c>
      <c r="D4099" t="s">
        <v>2472</v>
      </c>
      <c r="E4099" t="s">
        <v>2474</v>
      </c>
      <c r="F4099" t="s">
        <v>1672</v>
      </c>
      <c r="G4099" t="s">
        <v>2160</v>
      </c>
      <c r="H4099" s="10">
        <v>154591</v>
      </c>
      <c r="I4099">
        <f>IFERROR(VLOOKUP(Final!F4099,'LEAID Match'!$A$2:$B$374,2,FALSE),"")</f>
        <v>402190</v>
      </c>
      <c r="K4099" s="10">
        <f t="shared" ref="K4099:K4162" si="64">SUM(H4099,J4099)</f>
        <v>154591</v>
      </c>
    </row>
    <row r="4100" spans="1:11">
      <c r="A4100">
        <v>402190</v>
      </c>
      <c r="B4100" s="10">
        <v>2019</v>
      </c>
      <c r="C4100" t="s">
        <v>482</v>
      </c>
      <c r="D4100" t="s">
        <v>2472</v>
      </c>
      <c r="E4100" t="s">
        <v>2474</v>
      </c>
      <c r="F4100" t="s">
        <v>1672</v>
      </c>
      <c r="G4100" t="s">
        <v>1672</v>
      </c>
      <c r="H4100" s="10">
        <v>160657</v>
      </c>
      <c r="I4100">
        <f>IFERROR(VLOOKUP(Final!F4100,'LEAID Match'!$A$2:$B$374,2,FALSE),"")</f>
        <v>402190</v>
      </c>
      <c r="K4100" s="10">
        <f t="shared" si="64"/>
        <v>160657</v>
      </c>
    </row>
    <row r="4101" spans="1:11">
      <c r="A4101">
        <v>402190</v>
      </c>
      <c r="B4101" s="10">
        <v>2020</v>
      </c>
      <c r="C4101" t="s">
        <v>482</v>
      </c>
      <c r="D4101" t="s">
        <v>2472</v>
      </c>
      <c r="E4101" t="s">
        <v>2474</v>
      </c>
      <c r="F4101" t="s">
        <v>1672</v>
      </c>
      <c r="G4101" t="s">
        <v>1672</v>
      </c>
      <c r="H4101" s="10">
        <v>162373</v>
      </c>
      <c r="I4101">
        <f>IFERROR(VLOOKUP(Final!F4101,'LEAID Match'!$A$2:$B$374,2,FALSE),"")</f>
        <v>402190</v>
      </c>
      <c r="K4101" s="10">
        <f t="shared" si="64"/>
        <v>162373</v>
      </c>
    </row>
    <row r="4102" spans="1:11">
      <c r="A4102">
        <v>402190</v>
      </c>
      <c r="B4102" s="10">
        <v>2021</v>
      </c>
      <c r="C4102" t="s">
        <v>482</v>
      </c>
      <c r="D4102" t="s">
        <v>2472</v>
      </c>
      <c r="E4102" t="s">
        <v>2474</v>
      </c>
      <c r="F4102" t="s">
        <v>1672</v>
      </c>
      <c r="G4102" t="s">
        <v>1672</v>
      </c>
      <c r="H4102" s="10">
        <v>177303</v>
      </c>
      <c r="I4102">
        <f>IFERROR(VLOOKUP(Final!F4102,'LEAID Match'!$A$2:$B$374,2,FALSE),"")</f>
        <v>402190</v>
      </c>
      <c r="K4102" s="10">
        <f t="shared" si="64"/>
        <v>177303</v>
      </c>
    </row>
    <row r="4103" spans="1:11">
      <c r="A4103">
        <v>402190</v>
      </c>
      <c r="B4103" s="10">
        <v>2022</v>
      </c>
      <c r="C4103" t="s">
        <v>482</v>
      </c>
      <c r="D4103" t="s">
        <v>2472</v>
      </c>
      <c r="E4103" t="s">
        <v>2474</v>
      </c>
      <c r="F4103" t="s">
        <v>1672</v>
      </c>
      <c r="G4103" t="s">
        <v>1672</v>
      </c>
      <c r="H4103" s="10">
        <v>201095</v>
      </c>
      <c r="I4103">
        <f>IFERROR(VLOOKUP(Final!F4103,'LEAID Match'!$A$2:$B$374,2,FALSE),"")</f>
        <v>402190</v>
      </c>
      <c r="K4103" s="10">
        <f t="shared" si="64"/>
        <v>201095</v>
      </c>
    </row>
    <row r="4104" spans="1:11">
      <c r="A4104">
        <v>402190</v>
      </c>
      <c r="B4104" s="10">
        <v>2023</v>
      </c>
      <c r="C4104" t="s">
        <v>482</v>
      </c>
      <c r="D4104" t="s">
        <v>2472</v>
      </c>
      <c r="E4104" t="s">
        <v>2474</v>
      </c>
      <c r="F4104" t="s">
        <v>1672</v>
      </c>
      <c r="G4104" t="s">
        <v>1672</v>
      </c>
      <c r="H4104" s="10">
        <v>220482</v>
      </c>
      <c r="I4104">
        <f>IFERROR(VLOOKUP(Final!F4104,'LEAID Match'!$A$2:$B$374,2,FALSE),"")</f>
        <v>402190</v>
      </c>
      <c r="K4104" s="10">
        <f t="shared" si="64"/>
        <v>220482</v>
      </c>
    </row>
    <row r="4105" spans="1:11">
      <c r="A4105">
        <v>400630</v>
      </c>
      <c r="B4105" s="10">
        <v>2015</v>
      </c>
      <c r="C4105" t="s">
        <v>71</v>
      </c>
      <c r="D4105" t="s">
        <v>2472</v>
      </c>
      <c r="E4105" t="s">
        <v>2474</v>
      </c>
      <c r="F4105" t="s">
        <v>1496</v>
      </c>
      <c r="G4105" t="s">
        <v>18</v>
      </c>
      <c r="H4105" s="10">
        <v>54805</v>
      </c>
      <c r="I4105">
        <f>IFERROR(VLOOKUP(Final!F4105,'LEAID Match'!$A$2:$B$374,2,FALSE),"")</f>
        <v>400630</v>
      </c>
      <c r="K4105" s="10">
        <f t="shared" si="64"/>
        <v>54805</v>
      </c>
    </row>
    <row r="4106" spans="1:11">
      <c r="A4106">
        <v>400630</v>
      </c>
      <c r="B4106" s="10">
        <v>2016</v>
      </c>
      <c r="C4106" t="s">
        <v>71</v>
      </c>
      <c r="D4106" t="s">
        <v>2472</v>
      </c>
      <c r="E4106" t="s">
        <v>2474</v>
      </c>
      <c r="F4106" t="s">
        <v>1496</v>
      </c>
      <c r="G4106" t="s">
        <v>18</v>
      </c>
      <c r="H4106" s="10">
        <v>55513</v>
      </c>
      <c r="I4106">
        <f>IFERROR(VLOOKUP(Final!F4106,'LEAID Match'!$A$2:$B$374,2,FALSE),"")</f>
        <v>400630</v>
      </c>
      <c r="K4106" s="10">
        <f t="shared" si="64"/>
        <v>55513</v>
      </c>
    </row>
    <row r="4107" spans="1:11">
      <c r="A4107">
        <v>400630</v>
      </c>
      <c r="B4107" s="10">
        <v>2017</v>
      </c>
      <c r="C4107" t="s">
        <v>71</v>
      </c>
      <c r="D4107" t="s">
        <v>2472</v>
      </c>
      <c r="E4107" t="s">
        <v>2474</v>
      </c>
      <c r="F4107" t="s">
        <v>1496</v>
      </c>
      <c r="G4107" t="s">
        <v>1496</v>
      </c>
      <c r="H4107" s="10">
        <v>53324</v>
      </c>
      <c r="I4107">
        <f>IFERROR(VLOOKUP(Final!F4107,'LEAID Match'!$A$2:$B$374,2,FALSE),"")</f>
        <v>400630</v>
      </c>
      <c r="K4107" s="10">
        <f t="shared" si="64"/>
        <v>53324</v>
      </c>
    </row>
    <row r="4108" spans="1:11">
      <c r="A4108">
        <v>400630</v>
      </c>
      <c r="B4108" s="10">
        <v>2018</v>
      </c>
      <c r="C4108" t="s">
        <v>71</v>
      </c>
      <c r="D4108" t="s">
        <v>2472</v>
      </c>
      <c r="E4108" t="s">
        <v>2474</v>
      </c>
      <c r="F4108" t="s">
        <v>1496</v>
      </c>
      <c r="G4108" t="s">
        <v>2047</v>
      </c>
      <c r="H4108" s="10">
        <v>52262</v>
      </c>
      <c r="I4108">
        <f>IFERROR(VLOOKUP(Final!F4108,'LEAID Match'!$A$2:$B$374,2,FALSE),"")</f>
        <v>400630</v>
      </c>
      <c r="K4108" s="10">
        <f t="shared" si="64"/>
        <v>52262</v>
      </c>
    </row>
    <row r="4109" spans="1:11">
      <c r="A4109">
        <v>400630</v>
      </c>
      <c r="B4109" s="10">
        <v>2019</v>
      </c>
      <c r="C4109" t="s">
        <v>71</v>
      </c>
      <c r="D4109" t="s">
        <v>2472</v>
      </c>
      <c r="E4109" t="s">
        <v>2474</v>
      </c>
      <c r="F4109" t="s">
        <v>1496</v>
      </c>
      <c r="G4109" t="s">
        <v>1496</v>
      </c>
      <c r="H4109" s="10">
        <v>62492</v>
      </c>
      <c r="I4109">
        <f>IFERROR(VLOOKUP(Final!F4109,'LEAID Match'!$A$2:$B$374,2,FALSE),"")</f>
        <v>400630</v>
      </c>
      <c r="K4109" s="10">
        <f t="shared" si="64"/>
        <v>62492</v>
      </c>
    </row>
    <row r="4110" spans="1:11">
      <c r="A4110">
        <v>400630</v>
      </c>
      <c r="B4110" s="10">
        <v>2020</v>
      </c>
      <c r="C4110" t="s">
        <v>71</v>
      </c>
      <c r="D4110" t="s">
        <v>2472</v>
      </c>
      <c r="E4110" t="s">
        <v>2474</v>
      </c>
      <c r="F4110" t="s">
        <v>1496</v>
      </c>
      <c r="G4110" t="s">
        <v>1496</v>
      </c>
      <c r="H4110" s="10">
        <v>71519</v>
      </c>
      <c r="I4110">
        <f>IFERROR(VLOOKUP(Final!F4110,'LEAID Match'!$A$2:$B$374,2,FALSE),"")</f>
        <v>400630</v>
      </c>
      <c r="K4110" s="10">
        <f t="shared" si="64"/>
        <v>71519</v>
      </c>
    </row>
    <row r="4111" spans="1:11">
      <c r="A4111">
        <v>400630</v>
      </c>
      <c r="B4111" s="10">
        <v>2021</v>
      </c>
      <c r="C4111" t="s">
        <v>71</v>
      </c>
      <c r="D4111" t="s">
        <v>2472</v>
      </c>
      <c r="E4111" t="s">
        <v>2474</v>
      </c>
      <c r="F4111" t="s">
        <v>1496</v>
      </c>
      <c r="G4111" t="s">
        <v>1496</v>
      </c>
      <c r="H4111" s="10">
        <v>72091</v>
      </c>
      <c r="I4111">
        <f>IFERROR(VLOOKUP(Final!F4111,'LEAID Match'!$A$2:$B$374,2,FALSE),"")</f>
        <v>400630</v>
      </c>
      <c r="K4111" s="10">
        <f t="shared" si="64"/>
        <v>72091</v>
      </c>
    </row>
    <row r="4112" spans="1:11">
      <c r="A4112">
        <v>400630</v>
      </c>
      <c r="B4112" s="10">
        <v>2022</v>
      </c>
      <c r="C4112" t="s">
        <v>71</v>
      </c>
      <c r="D4112" t="s">
        <v>2472</v>
      </c>
      <c r="E4112" t="s">
        <v>2474</v>
      </c>
      <c r="F4112" t="s">
        <v>1496</v>
      </c>
      <c r="G4112" t="s">
        <v>1496</v>
      </c>
      <c r="H4112" s="10">
        <v>80516</v>
      </c>
      <c r="I4112">
        <f>IFERROR(VLOOKUP(Final!F4112,'LEAID Match'!$A$2:$B$374,2,FALSE),"")</f>
        <v>400630</v>
      </c>
      <c r="K4112" s="10">
        <f t="shared" si="64"/>
        <v>80516</v>
      </c>
    </row>
    <row r="4113" spans="1:11">
      <c r="A4113">
        <v>400630</v>
      </c>
      <c r="B4113" s="10">
        <v>2023</v>
      </c>
      <c r="C4113" t="s">
        <v>71</v>
      </c>
      <c r="D4113" t="s">
        <v>2472</v>
      </c>
      <c r="E4113" t="s">
        <v>2474</v>
      </c>
      <c r="F4113" t="s">
        <v>1496</v>
      </c>
      <c r="G4113" t="s">
        <v>1496</v>
      </c>
      <c r="H4113" s="10">
        <v>76896</v>
      </c>
      <c r="I4113">
        <f>IFERROR(VLOOKUP(Final!F4113,'LEAID Match'!$A$2:$B$374,2,FALSE),"")</f>
        <v>400630</v>
      </c>
      <c r="K4113" s="10">
        <f t="shared" si="64"/>
        <v>76896</v>
      </c>
    </row>
    <row r="4114" spans="1:11">
      <c r="A4114">
        <v>409430</v>
      </c>
      <c r="B4114" s="10">
        <v>2015</v>
      </c>
      <c r="C4114" t="s">
        <v>1340</v>
      </c>
      <c r="D4114" t="s">
        <v>2472</v>
      </c>
      <c r="E4114" t="s">
        <v>2474</v>
      </c>
      <c r="F4114" t="s">
        <v>2026</v>
      </c>
      <c r="G4114" t="s">
        <v>1292</v>
      </c>
      <c r="H4114" s="10">
        <v>1181654</v>
      </c>
      <c r="I4114">
        <f>IFERROR(VLOOKUP(Final!F4114,'LEAID Match'!$A$2:$B$374,2,FALSE),"")</f>
        <v>409430</v>
      </c>
      <c r="K4114" s="10">
        <f t="shared" si="64"/>
        <v>1181654</v>
      </c>
    </row>
    <row r="4115" spans="1:11">
      <c r="A4115">
        <v>409430</v>
      </c>
      <c r="B4115" s="10">
        <v>2016</v>
      </c>
      <c r="C4115" t="s">
        <v>1340</v>
      </c>
      <c r="D4115" t="s">
        <v>2472</v>
      </c>
      <c r="E4115" t="s">
        <v>2474</v>
      </c>
      <c r="F4115" t="s">
        <v>2026</v>
      </c>
      <c r="G4115" t="s">
        <v>1292</v>
      </c>
      <c r="H4115" s="10">
        <v>1137047</v>
      </c>
      <c r="I4115">
        <f>IFERROR(VLOOKUP(Final!F4115,'LEAID Match'!$A$2:$B$374,2,FALSE),"")</f>
        <v>409430</v>
      </c>
      <c r="K4115" s="10">
        <f t="shared" si="64"/>
        <v>1137047</v>
      </c>
    </row>
    <row r="4116" spans="1:11">
      <c r="A4116">
        <v>409430</v>
      </c>
      <c r="B4116" s="10">
        <v>2017</v>
      </c>
      <c r="C4116" t="s">
        <v>1340</v>
      </c>
      <c r="D4116" t="s">
        <v>2472</v>
      </c>
      <c r="E4116" t="s">
        <v>2474</v>
      </c>
      <c r="F4116" t="s">
        <v>2026</v>
      </c>
      <c r="G4116" t="s">
        <v>2026</v>
      </c>
      <c r="H4116" s="10">
        <v>1655934</v>
      </c>
      <c r="I4116">
        <f>IFERROR(VLOOKUP(Final!F4116,'LEAID Match'!$A$2:$B$374,2,FALSE),"")</f>
        <v>409430</v>
      </c>
      <c r="K4116" s="10">
        <f t="shared" si="64"/>
        <v>1655934</v>
      </c>
    </row>
    <row r="4117" spans="1:11">
      <c r="A4117">
        <v>409430</v>
      </c>
      <c r="B4117" s="10">
        <v>2018</v>
      </c>
      <c r="C4117" t="s">
        <v>1340</v>
      </c>
      <c r="D4117" t="s">
        <v>2472</v>
      </c>
      <c r="E4117" t="s">
        <v>2474</v>
      </c>
      <c r="F4117" t="s">
        <v>2026</v>
      </c>
      <c r="G4117" t="s">
        <v>2342</v>
      </c>
      <c r="H4117" s="10">
        <v>1712059</v>
      </c>
      <c r="I4117">
        <f>IFERROR(VLOOKUP(Final!F4117,'LEAID Match'!$A$2:$B$374,2,FALSE),"")</f>
        <v>409430</v>
      </c>
      <c r="K4117" s="10">
        <f t="shared" si="64"/>
        <v>1712059</v>
      </c>
    </row>
    <row r="4118" spans="1:11">
      <c r="A4118">
        <v>409430</v>
      </c>
      <c r="B4118" s="10">
        <v>2019</v>
      </c>
      <c r="C4118" t="s">
        <v>1340</v>
      </c>
      <c r="D4118" t="s">
        <v>2472</v>
      </c>
      <c r="E4118" t="s">
        <v>2474</v>
      </c>
      <c r="F4118" t="s">
        <v>2026</v>
      </c>
      <c r="G4118" t="s">
        <v>2026</v>
      </c>
      <c r="H4118" s="10">
        <v>1817957</v>
      </c>
      <c r="I4118">
        <f>IFERROR(VLOOKUP(Final!F4118,'LEAID Match'!$A$2:$B$374,2,FALSE),"")</f>
        <v>409430</v>
      </c>
      <c r="K4118" s="10">
        <f t="shared" si="64"/>
        <v>1817957</v>
      </c>
    </row>
    <row r="4119" spans="1:11">
      <c r="A4119">
        <v>409430</v>
      </c>
      <c r="B4119" s="10">
        <v>2020</v>
      </c>
      <c r="C4119" t="s">
        <v>1340</v>
      </c>
      <c r="D4119" t="s">
        <v>2472</v>
      </c>
      <c r="E4119" t="s">
        <v>2474</v>
      </c>
      <c r="F4119" t="s">
        <v>2026</v>
      </c>
      <c r="G4119" t="s">
        <v>2026</v>
      </c>
      <c r="H4119" s="10">
        <v>1816808</v>
      </c>
      <c r="I4119">
        <f>IFERROR(VLOOKUP(Final!F4119,'LEAID Match'!$A$2:$B$374,2,FALSE),"")</f>
        <v>409430</v>
      </c>
      <c r="K4119" s="10">
        <f t="shared" si="64"/>
        <v>1816808</v>
      </c>
    </row>
    <row r="4120" spans="1:11">
      <c r="A4120">
        <v>409430</v>
      </c>
      <c r="B4120" s="10">
        <v>2021</v>
      </c>
      <c r="C4120" t="s">
        <v>1340</v>
      </c>
      <c r="D4120" t="s">
        <v>2472</v>
      </c>
      <c r="E4120" t="s">
        <v>2474</v>
      </c>
      <c r="F4120" t="s">
        <v>2026</v>
      </c>
      <c r="G4120" t="s">
        <v>2026</v>
      </c>
      <c r="H4120" s="10">
        <v>1782796</v>
      </c>
      <c r="I4120">
        <f>IFERROR(VLOOKUP(Final!F4120,'LEAID Match'!$A$2:$B$374,2,FALSE),"")</f>
        <v>409430</v>
      </c>
      <c r="K4120" s="10">
        <f t="shared" si="64"/>
        <v>1782796</v>
      </c>
    </row>
    <row r="4121" spans="1:11">
      <c r="A4121">
        <v>409430</v>
      </c>
      <c r="B4121" s="10">
        <v>2022</v>
      </c>
      <c r="C4121" t="s">
        <v>1340</v>
      </c>
      <c r="D4121" t="s">
        <v>2472</v>
      </c>
      <c r="E4121" t="s">
        <v>2474</v>
      </c>
      <c r="F4121" t="s">
        <v>2026</v>
      </c>
      <c r="G4121" t="s">
        <v>2026</v>
      </c>
      <c r="H4121" s="10">
        <v>1716985</v>
      </c>
      <c r="I4121">
        <f>IFERROR(VLOOKUP(Final!F4121,'LEAID Match'!$A$2:$B$374,2,FALSE),"")</f>
        <v>409430</v>
      </c>
      <c r="K4121" s="10">
        <f t="shared" si="64"/>
        <v>1716985</v>
      </c>
    </row>
    <row r="4122" spans="1:11">
      <c r="A4122">
        <v>409430</v>
      </c>
      <c r="B4122" s="10">
        <v>2023</v>
      </c>
      <c r="C4122" t="s">
        <v>1340</v>
      </c>
      <c r="D4122" t="s">
        <v>2472</v>
      </c>
      <c r="E4122" t="s">
        <v>2474</v>
      </c>
      <c r="F4122" t="s">
        <v>2026</v>
      </c>
      <c r="G4122" t="s">
        <v>2026</v>
      </c>
      <c r="H4122" s="10">
        <v>1574698</v>
      </c>
      <c r="I4122">
        <f>IFERROR(VLOOKUP(Final!F4122,'LEAID Match'!$A$2:$B$374,2,FALSE),"")</f>
        <v>409430</v>
      </c>
      <c r="K4122" s="10">
        <f t="shared" si="64"/>
        <v>1574698</v>
      </c>
    </row>
    <row r="4123" spans="1:11">
      <c r="A4123">
        <v>400022</v>
      </c>
      <c r="B4123" s="10">
        <v>2015</v>
      </c>
      <c r="C4123" t="s">
        <v>1320</v>
      </c>
      <c r="D4123" t="s">
        <v>2472</v>
      </c>
      <c r="E4123" t="s">
        <v>2474</v>
      </c>
      <c r="F4123" t="s">
        <v>2009</v>
      </c>
      <c r="G4123" t="s">
        <v>1272</v>
      </c>
      <c r="H4123" s="10">
        <v>92523</v>
      </c>
      <c r="I4123">
        <f>IFERROR(VLOOKUP(Final!F4123,'LEAID Match'!$A$2:$B$374,2,FALSE),"")</f>
        <v>400022</v>
      </c>
      <c r="K4123" s="10">
        <f t="shared" si="64"/>
        <v>92523</v>
      </c>
    </row>
    <row r="4124" spans="1:11">
      <c r="A4124">
        <v>400022</v>
      </c>
      <c r="B4124" s="10">
        <v>2016</v>
      </c>
      <c r="C4124" t="s">
        <v>1320</v>
      </c>
      <c r="D4124" t="s">
        <v>2472</v>
      </c>
      <c r="E4124" t="s">
        <v>2474</v>
      </c>
      <c r="F4124" t="s">
        <v>2009</v>
      </c>
      <c r="G4124" t="s">
        <v>1272</v>
      </c>
      <c r="H4124" s="10">
        <v>91247</v>
      </c>
      <c r="I4124">
        <f>IFERROR(VLOOKUP(Final!F4124,'LEAID Match'!$A$2:$B$374,2,FALSE),"")</f>
        <v>400022</v>
      </c>
      <c r="K4124" s="10">
        <f t="shared" si="64"/>
        <v>91247</v>
      </c>
    </row>
    <row r="4125" spans="1:11">
      <c r="A4125">
        <v>400022</v>
      </c>
      <c r="B4125" s="10">
        <v>2017</v>
      </c>
      <c r="C4125" t="s">
        <v>1320</v>
      </c>
      <c r="D4125" t="s">
        <v>2472</v>
      </c>
      <c r="E4125" t="s">
        <v>2474</v>
      </c>
      <c r="F4125" t="s">
        <v>2009</v>
      </c>
      <c r="G4125" t="s">
        <v>2009</v>
      </c>
      <c r="H4125" s="10">
        <v>77521</v>
      </c>
      <c r="I4125">
        <f>IFERROR(VLOOKUP(Final!F4125,'LEAID Match'!$A$2:$B$374,2,FALSE),"")</f>
        <v>400022</v>
      </c>
      <c r="K4125" s="10">
        <f t="shared" si="64"/>
        <v>77521</v>
      </c>
    </row>
    <row r="4126" spans="1:11">
      <c r="A4126">
        <v>400022</v>
      </c>
      <c r="B4126" s="10">
        <v>2018</v>
      </c>
      <c r="C4126" t="s">
        <v>1320</v>
      </c>
      <c r="D4126" t="s">
        <v>2472</v>
      </c>
      <c r="E4126" t="s">
        <v>2474</v>
      </c>
      <c r="F4126" t="s">
        <v>2009</v>
      </c>
      <c r="G4126" t="s">
        <v>2332</v>
      </c>
      <c r="H4126" s="10">
        <v>84324</v>
      </c>
      <c r="I4126">
        <f>IFERROR(VLOOKUP(Final!F4126,'LEAID Match'!$A$2:$B$374,2,FALSE),"")</f>
        <v>400022</v>
      </c>
      <c r="K4126" s="10">
        <f t="shared" si="64"/>
        <v>84324</v>
      </c>
    </row>
    <row r="4127" spans="1:11">
      <c r="A4127">
        <v>400022</v>
      </c>
      <c r="B4127" s="10">
        <v>2019</v>
      </c>
      <c r="C4127" t="s">
        <v>1320</v>
      </c>
      <c r="D4127" t="s">
        <v>2472</v>
      </c>
      <c r="E4127" t="s">
        <v>2474</v>
      </c>
      <c r="F4127" t="s">
        <v>2009</v>
      </c>
      <c r="G4127" t="s">
        <v>2009</v>
      </c>
      <c r="H4127" s="10">
        <v>96546</v>
      </c>
      <c r="I4127">
        <f>IFERROR(VLOOKUP(Final!F4127,'LEAID Match'!$A$2:$B$374,2,FALSE),"")</f>
        <v>400022</v>
      </c>
      <c r="K4127" s="10">
        <f t="shared" si="64"/>
        <v>96546</v>
      </c>
    </row>
    <row r="4128" spans="1:11">
      <c r="A4128">
        <v>400022</v>
      </c>
      <c r="B4128" s="10">
        <v>2020</v>
      </c>
      <c r="C4128" t="s">
        <v>1320</v>
      </c>
      <c r="D4128" t="s">
        <v>2472</v>
      </c>
      <c r="E4128" t="s">
        <v>2474</v>
      </c>
      <c r="F4128" t="s">
        <v>2009</v>
      </c>
      <c r="G4128" t="s">
        <v>2009</v>
      </c>
      <c r="H4128" s="10">
        <v>106217</v>
      </c>
      <c r="I4128">
        <f>IFERROR(VLOOKUP(Final!F4128,'LEAID Match'!$A$2:$B$374,2,FALSE),"")</f>
        <v>400022</v>
      </c>
      <c r="K4128" s="10">
        <f t="shared" si="64"/>
        <v>106217</v>
      </c>
    </row>
    <row r="4129" spans="1:11">
      <c r="A4129">
        <v>400022</v>
      </c>
      <c r="B4129" s="10">
        <v>2021</v>
      </c>
      <c r="C4129" t="s">
        <v>1320</v>
      </c>
      <c r="D4129" t="s">
        <v>2472</v>
      </c>
      <c r="E4129" t="s">
        <v>2474</v>
      </c>
      <c r="F4129" t="s">
        <v>2009</v>
      </c>
      <c r="G4129" t="s">
        <v>2009</v>
      </c>
      <c r="H4129" s="10">
        <v>124511</v>
      </c>
      <c r="I4129">
        <f>IFERROR(VLOOKUP(Final!F4129,'LEAID Match'!$A$2:$B$374,2,FALSE),"")</f>
        <v>400022</v>
      </c>
      <c r="K4129" s="10">
        <f t="shared" si="64"/>
        <v>124511</v>
      </c>
    </row>
    <row r="4130" spans="1:11">
      <c r="A4130">
        <v>400022</v>
      </c>
      <c r="B4130" s="10">
        <v>2022</v>
      </c>
      <c r="C4130" t="s">
        <v>1320</v>
      </c>
      <c r="D4130" t="s">
        <v>2472</v>
      </c>
      <c r="E4130" t="s">
        <v>2474</v>
      </c>
      <c r="F4130" t="s">
        <v>2009</v>
      </c>
      <c r="G4130" t="s">
        <v>2009</v>
      </c>
      <c r="H4130" s="10">
        <v>134327</v>
      </c>
      <c r="I4130">
        <f>IFERROR(VLOOKUP(Final!F4130,'LEAID Match'!$A$2:$B$374,2,FALSE),"")</f>
        <v>400022</v>
      </c>
      <c r="K4130" s="10">
        <f t="shared" si="64"/>
        <v>134327</v>
      </c>
    </row>
    <row r="4131" spans="1:11">
      <c r="A4131">
        <v>400022</v>
      </c>
      <c r="B4131" s="10">
        <v>2023</v>
      </c>
      <c r="C4131" t="s">
        <v>1320</v>
      </c>
      <c r="D4131" t="s">
        <v>2472</v>
      </c>
      <c r="E4131" t="s">
        <v>2474</v>
      </c>
      <c r="F4131" t="s">
        <v>2009</v>
      </c>
      <c r="G4131" t="s">
        <v>2009</v>
      </c>
      <c r="H4131" s="10">
        <v>139786</v>
      </c>
      <c r="I4131">
        <f>IFERROR(VLOOKUP(Final!F4131,'LEAID Match'!$A$2:$B$374,2,FALSE),"")</f>
        <v>400022</v>
      </c>
      <c r="K4131" s="10">
        <f t="shared" si="64"/>
        <v>139786</v>
      </c>
    </row>
    <row r="4132" spans="1:11">
      <c r="A4132">
        <v>407130</v>
      </c>
      <c r="B4132" s="10">
        <v>2015</v>
      </c>
      <c r="C4132" t="s">
        <v>1041</v>
      </c>
      <c r="D4132" t="s">
        <v>2472</v>
      </c>
      <c r="E4132" t="s">
        <v>2474</v>
      </c>
      <c r="F4132" t="s">
        <v>1919</v>
      </c>
      <c r="G4132" t="s">
        <v>986</v>
      </c>
      <c r="H4132" s="10">
        <v>662603</v>
      </c>
      <c r="I4132">
        <f>IFERROR(VLOOKUP(Final!F4132,'LEAID Match'!$A$2:$B$374,2,FALSE),"")</f>
        <v>407130</v>
      </c>
      <c r="K4132" s="10">
        <f t="shared" si="64"/>
        <v>662603</v>
      </c>
    </row>
    <row r="4133" spans="1:11">
      <c r="A4133">
        <v>407130</v>
      </c>
      <c r="B4133" s="10">
        <v>2016</v>
      </c>
      <c r="C4133" t="s">
        <v>1041</v>
      </c>
      <c r="D4133" t="s">
        <v>2472</v>
      </c>
      <c r="E4133" t="s">
        <v>2474</v>
      </c>
      <c r="F4133" t="s">
        <v>1919</v>
      </c>
      <c r="G4133" t="s">
        <v>986</v>
      </c>
      <c r="H4133" s="10">
        <v>622452</v>
      </c>
      <c r="I4133">
        <f>IFERROR(VLOOKUP(Final!F4133,'LEAID Match'!$A$2:$B$374,2,FALSE),"")</f>
        <v>407130</v>
      </c>
      <c r="K4133" s="10">
        <f t="shared" si="64"/>
        <v>622452</v>
      </c>
    </row>
    <row r="4134" spans="1:11">
      <c r="A4134">
        <v>407130</v>
      </c>
      <c r="B4134" s="10">
        <v>2017</v>
      </c>
      <c r="C4134" t="s">
        <v>1041</v>
      </c>
      <c r="D4134" t="s">
        <v>2472</v>
      </c>
      <c r="E4134" t="s">
        <v>2474</v>
      </c>
      <c r="F4134" t="s">
        <v>1919</v>
      </c>
      <c r="G4134" t="s">
        <v>1919</v>
      </c>
      <c r="H4134" s="10">
        <v>566894</v>
      </c>
      <c r="I4134">
        <f>IFERROR(VLOOKUP(Final!F4134,'LEAID Match'!$A$2:$B$374,2,FALSE),"")</f>
        <v>407130</v>
      </c>
      <c r="K4134" s="10">
        <f t="shared" si="64"/>
        <v>566894</v>
      </c>
    </row>
    <row r="4135" spans="1:11">
      <c r="A4135">
        <v>407130</v>
      </c>
      <c r="B4135" s="10">
        <v>2018</v>
      </c>
      <c r="C4135" t="s">
        <v>1041</v>
      </c>
      <c r="D4135" t="s">
        <v>2472</v>
      </c>
      <c r="E4135" t="s">
        <v>2474</v>
      </c>
      <c r="F4135" t="s">
        <v>1919</v>
      </c>
      <c r="G4135" t="s">
        <v>1919</v>
      </c>
      <c r="H4135" s="10">
        <v>584565</v>
      </c>
      <c r="I4135">
        <f>IFERROR(VLOOKUP(Final!F4135,'LEAID Match'!$A$2:$B$374,2,FALSE),"")</f>
        <v>407130</v>
      </c>
      <c r="K4135" s="10">
        <f t="shared" si="64"/>
        <v>584565</v>
      </c>
    </row>
    <row r="4136" spans="1:11">
      <c r="A4136">
        <v>407130</v>
      </c>
      <c r="B4136" s="10">
        <v>2019</v>
      </c>
      <c r="C4136" t="s">
        <v>1041</v>
      </c>
      <c r="D4136" t="s">
        <v>2472</v>
      </c>
      <c r="E4136" t="s">
        <v>2474</v>
      </c>
      <c r="F4136" t="s">
        <v>1919</v>
      </c>
      <c r="G4136" t="s">
        <v>1919</v>
      </c>
      <c r="H4136" s="10">
        <v>663105</v>
      </c>
      <c r="I4136">
        <f>IFERROR(VLOOKUP(Final!F4136,'LEAID Match'!$A$2:$B$374,2,FALSE),"")</f>
        <v>407130</v>
      </c>
      <c r="K4136" s="10">
        <f t="shared" si="64"/>
        <v>663105</v>
      </c>
    </row>
    <row r="4137" spans="1:11">
      <c r="A4137">
        <v>407130</v>
      </c>
      <c r="B4137" s="10">
        <v>2020</v>
      </c>
      <c r="C4137" t="s">
        <v>1041</v>
      </c>
      <c r="D4137" t="s">
        <v>2472</v>
      </c>
      <c r="E4137" t="s">
        <v>2474</v>
      </c>
      <c r="F4137" t="s">
        <v>1919</v>
      </c>
      <c r="G4137" t="s">
        <v>1919</v>
      </c>
      <c r="H4137" s="10">
        <v>664614</v>
      </c>
      <c r="I4137">
        <f>IFERROR(VLOOKUP(Final!F4137,'LEAID Match'!$A$2:$B$374,2,FALSE),"")</f>
        <v>407130</v>
      </c>
      <c r="K4137" s="10">
        <f t="shared" si="64"/>
        <v>664614</v>
      </c>
    </row>
    <row r="4138" spans="1:11">
      <c r="A4138">
        <v>407130</v>
      </c>
      <c r="B4138" s="10">
        <v>2021</v>
      </c>
      <c r="C4138" t="s">
        <v>1041</v>
      </c>
      <c r="D4138" t="s">
        <v>2472</v>
      </c>
      <c r="E4138" t="s">
        <v>2474</v>
      </c>
      <c r="F4138" t="s">
        <v>1919</v>
      </c>
      <c r="G4138" t="s">
        <v>1919</v>
      </c>
      <c r="H4138" s="10">
        <v>801291</v>
      </c>
      <c r="I4138">
        <f>IFERROR(VLOOKUP(Final!F4138,'LEAID Match'!$A$2:$B$374,2,FALSE),"")</f>
        <v>407130</v>
      </c>
      <c r="K4138" s="10">
        <f t="shared" si="64"/>
        <v>801291</v>
      </c>
    </row>
    <row r="4139" spans="1:11">
      <c r="A4139">
        <v>407130</v>
      </c>
      <c r="B4139" s="10">
        <v>2022</v>
      </c>
      <c r="C4139" t="s">
        <v>1041</v>
      </c>
      <c r="D4139" t="s">
        <v>2472</v>
      </c>
      <c r="E4139" t="s">
        <v>2474</v>
      </c>
      <c r="F4139" t="s">
        <v>1919</v>
      </c>
      <c r="G4139" t="s">
        <v>1919</v>
      </c>
      <c r="H4139" s="10">
        <v>956589</v>
      </c>
      <c r="I4139">
        <f>IFERROR(VLOOKUP(Final!F4139,'LEAID Match'!$A$2:$B$374,2,FALSE),"")</f>
        <v>407130</v>
      </c>
      <c r="K4139" s="10">
        <f t="shared" si="64"/>
        <v>956589</v>
      </c>
    </row>
    <row r="4140" spans="1:11">
      <c r="A4140">
        <v>407130</v>
      </c>
      <c r="B4140" s="10">
        <v>2023</v>
      </c>
      <c r="C4140" t="s">
        <v>1041</v>
      </c>
      <c r="D4140" t="s">
        <v>2472</v>
      </c>
      <c r="E4140" t="s">
        <v>2474</v>
      </c>
      <c r="F4140" t="s">
        <v>1919</v>
      </c>
      <c r="G4140" t="s">
        <v>1919</v>
      </c>
      <c r="H4140" s="10">
        <v>921494</v>
      </c>
      <c r="I4140">
        <f>IFERROR(VLOOKUP(Final!F4140,'LEAID Match'!$A$2:$B$374,2,FALSE),"")</f>
        <v>407130</v>
      </c>
      <c r="K4140" s="10">
        <f t="shared" si="64"/>
        <v>921494</v>
      </c>
    </row>
    <row r="4141" spans="1:11">
      <c r="A4141">
        <v>406740</v>
      </c>
      <c r="B4141" s="10">
        <v>2015</v>
      </c>
      <c r="C4141" t="s">
        <v>1107</v>
      </c>
      <c r="D4141" t="s">
        <v>2472</v>
      </c>
      <c r="E4141" t="s">
        <v>2474</v>
      </c>
      <c r="F4141" t="s">
        <v>1934</v>
      </c>
      <c r="G4141" t="s">
        <v>1052</v>
      </c>
      <c r="H4141" s="10">
        <v>667467</v>
      </c>
      <c r="I4141">
        <f>IFERROR(VLOOKUP(Final!F4141,'LEAID Match'!$A$2:$B$374,2,FALSE),"")</f>
        <v>406740</v>
      </c>
      <c r="K4141" s="10">
        <f t="shared" si="64"/>
        <v>667467</v>
      </c>
    </row>
    <row r="4142" spans="1:11">
      <c r="A4142">
        <v>406740</v>
      </c>
      <c r="B4142" s="10">
        <v>2016</v>
      </c>
      <c r="C4142" t="s">
        <v>1107</v>
      </c>
      <c r="D4142" t="s">
        <v>2472</v>
      </c>
      <c r="E4142" t="s">
        <v>2474</v>
      </c>
      <c r="F4142" t="s">
        <v>1934</v>
      </c>
      <c r="G4142" t="s">
        <v>1052</v>
      </c>
      <c r="H4142" s="10">
        <v>635587</v>
      </c>
      <c r="I4142">
        <f>IFERROR(VLOOKUP(Final!F4142,'LEAID Match'!$A$2:$B$374,2,FALSE),"")</f>
        <v>406740</v>
      </c>
      <c r="K4142" s="10">
        <f t="shared" si="64"/>
        <v>635587</v>
      </c>
    </row>
    <row r="4143" spans="1:11">
      <c r="A4143">
        <v>406740</v>
      </c>
      <c r="B4143" s="10">
        <v>2017</v>
      </c>
      <c r="C4143" t="s">
        <v>1107</v>
      </c>
      <c r="D4143" t="s">
        <v>2472</v>
      </c>
      <c r="E4143" t="s">
        <v>2474</v>
      </c>
      <c r="F4143" t="s">
        <v>1934</v>
      </c>
      <c r="G4143" t="s">
        <v>1934</v>
      </c>
      <c r="H4143" s="10">
        <v>618420</v>
      </c>
      <c r="I4143">
        <f>IFERROR(VLOOKUP(Final!F4143,'LEAID Match'!$A$2:$B$374,2,FALSE),"")</f>
        <v>406740</v>
      </c>
      <c r="K4143" s="10">
        <f t="shared" si="64"/>
        <v>618420</v>
      </c>
    </row>
    <row r="4144" spans="1:11">
      <c r="A4144">
        <v>406740</v>
      </c>
      <c r="B4144" s="10">
        <v>2018</v>
      </c>
      <c r="C4144" t="s">
        <v>1107</v>
      </c>
      <c r="D4144" t="s">
        <v>2472</v>
      </c>
      <c r="E4144" t="s">
        <v>2474</v>
      </c>
      <c r="F4144" t="s">
        <v>1934</v>
      </c>
      <c r="G4144" t="s">
        <v>1934</v>
      </c>
      <c r="H4144" s="10">
        <v>638614</v>
      </c>
      <c r="I4144">
        <f>IFERROR(VLOOKUP(Final!F4144,'LEAID Match'!$A$2:$B$374,2,FALSE),"")</f>
        <v>406740</v>
      </c>
      <c r="K4144" s="10">
        <f t="shared" si="64"/>
        <v>638614</v>
      </c>
    </row>
    <row r="4145" spans="1:11">
      <c r="A4145">
        <v>406740</v>
      </c>
      <c r="B4145" s="10">
        <v>2019</v>
      </c>
      <c r="C4145" t="s">
        <v>1107</v>
      </c>
      <c r="D4145" t="s">
        <v>2472</v>
      </c>
      <c r="E4145" t="s">
        <v>2474</v>
      </c>
      <c r="F4145" t="s">
        <v>1934</v>
      </c>
      <c r="G4145" t="s">
        <v>1934</v>
      </c>
      <c r="H4145" s="10">
        <v>664169</v>
      </c>
      <c r="I4145">
        <f>IFERROR(VLOOKUP(Final!F4145,'LEAID Match'!$A$2:$B$374,2,FALSE),"")</f>
        <v>406740</v>
      </c>
      <c r="K4145" s="10">
        <f t="shared" si="64"/>
        <v>664169</v>
      </c>
    </row>
    <row r="4146" spans="1:11">
      <c r="A4146">
        <v>406740</v>
      </c>
      <c r="B4146" s="10">
        <v>2020</v>
      </c>
      <c r="C4146" t="s">
        <v>1107</v>
      </c>
      <c r="D4146" t="s">
        <v>2472</v>
      </c>
      <c r="E4146" t="s">
        <v>2474</v>
      </c>
      <c r="F4146" t="s">
        <v>1934</v>
      </c>
      <c r="G4146" t="s">
        <v>1934</v>
      </c>
      <c r="H4146" s="10">
        <v>585722</v>
      </c>
      <c r="I4146">
        <f>IFERROR(VLOOKUP(Final!F4146,'LEAID Match'!$A$2:$B$374,2,FALSE),"")</f>
        <v>406740</v>
      </c>
      <c r="K4146" s="10">
        <f t="shared" si="64"/>
        <v>585722</v>
      </c>
    </row>
    <row r="4147" spans="1:11">
      <c r="A4147">
        <v>406740</v>
      </c>
      <c r="B4147" s="10">
        <v>2021</v>
      </c>
      <c r="C4147" t="s">
        <v>1107</v>
      </c>
      <c r="D4147" t="s">
        <v>2472</v>
      </c>
      <c r="E4147" t="s">
        <v>2474</v>
      </c>
      <c r="F4147" t="s">
        <v>1934</v>
      </c>
      <c r="G4147" t="s">
        <v>1934</v>
      </c>
      <c r="H4147" s="10">
        <v>609397</v>
      </c>
      <c r="I4147">
        <f>IFERROR(VLOOKUP(Final!F4147,'LEAID Match'!$A$2:$B$374,2,FALSE),"")</f>
        <v>406740</v>
      </c>
      <c r="K4147" s="10">
        <f t="shared" si="64"/>
        <v>609397</v>
      </c>
    </row>
    <row r="4148" spans="1:11">
      <c r="A4148">
        <v>406740</v>
      </c>
      <c r="B4148" s="10">
        <v>2022</v>
      </c>
      <c r="C4148" t="s">
        <v>1107</v>
      </c>
      <c r="D4148" t="s">
        <v>2472</v>
      </c>
      <c r="E4148" t="s">
        <v>2474</v>
      </c>
      <c r="F4148" t="s">
        <v>1934</v>
      </c>
      <c r="G4148" t="s">
        <v>1934</v>
      </c>
      <c r="H4148" s="10">
        <v>735225</v>
      </c>
      <c r="I4148">
        <f>IFERROR(VLOOKUP(Final!F4148,'LEAID Match'!$A$2:$B$374,2,FALSE),"")</f>
        <v>406740</v>
      </c>
      <c r="K4148" s="10">
        <f t="shared" si="64"/>
        <v>735225</v>
      </c>
    </row>
    <row r="4149" spans="1:11">
      <c r="A4149">
        <v>406740</v>
      </c>
      <c r="B4149" s="10">
        <v>2023</v>
      </c>
      <c r="C4149" t="s">
        <v>1107</v>
      </c>
      <c r="D4149" t="s">
        <v>2472</v>
      </c>
      <c r="E4149" t="s">
        <v>2474</v>
      </c>
      <c r="F4149" t="s">
        <v>1934</v>
      </c>
      <c r="G4149" t="s">
        <v>1934</v>
      </c>
      <c r="H4149" s="10">
        <v>680926</v>
      </c>
      <c r="I4149">
        <f>IFERROR(VLOOKUP(Final!F4149,'LEAID Match'!$A$2:$B$374,2,FALSE),"")</f>
        <v>406740</v>
      </c>
      <c r="K4149" s="10">
        <f t="shared" si="64"/>
        <v>680926</v>
      </c>
    </row>
    <row r="4150" spans="1:11">
      <c r="A4150">
        <v>403290</v>
      </c>
      <c r="B4150" s="10">
        <v>2015</v>
      </c>
      <c r="C4150" t="s">
        <v>601</v>
      </c>
      <c r="D4150" t="s">
        <v>2472</v>
      </c>
      <c r="E4150" t="s">
        <v>2474</v>
      </c>
      <c r="F4150" t="s">
        <v>1728</v>
      </c>
      <c r="G4150" t="s">
        <v>546</v>
      </c>
      <c r="H4150" s="10">
        <v>1016844</v>
      </c>
      <c r="I4150">
        <f>IFERROR(VLOOKUP(Final!F4150,'LEAID Match'!$A$2:$B$374,2,FALSE),"")</f>
        <v>403290</v>
      </c>
      <c r="K4150" s="10">
        <f t="shared" si="64"/>
        <v>1016844</v>
      </c>
    </row>
    <row r="4151" spans="1:11">
      <c r="A4151">
        <v>403290</v>
      </c>
      <c r="B4151" s="10">
        <v>2016</v>
      </c>
      <c r="C4151" t="s">
        <v>601</v>
      </c>
      <c r="D4151" t="s">
        <v>2472</v>
      </c>
      <c r="E4151" t="s">
        <v>2474</v>
      </c>
      <c r="F4151" t="s">
        <v>1728</v>
      </c>
      <c r="G4151" t="s">
        <v>546</v>
      </c>
      <c r="H4151" s="10">
        <v>1057558</v>
      </c>
      <c r="I4151">
        <f>IFERROR(VLOOKUP(Final!F4151,'LEAID Match'!$A$2:$B$374,2,FALSE),"")</f>
        <v>403290</v>
      </c>
      <c r="K4151" s="10">
        <f t="shared" si="64"/>
        <v>1057558</v>
      </c>
    </row>
    <row r="4152" spans="1:11">
      <c r="A4152">
        <v>403290</v>
      </c>
      <c r="B4152" s="10">
        <v>2017</v>
      </c>
      <c r="C4152" t="s">
        <v>601</v>
      </c>
      <c r="D4152" t="s">
        <v>2472</v>
      </c>
      <c r="E4152" t="s">
        <v>2474</v>
      </c>
      <c r="F4152" t="s">
        <v>1728</v>
      </c>
      <c r="G4152" t="s">
        <v>1728</v>
      </c>
      <c r="H4152" s="10">
        <v>1133551</v>
      </c>
      <c r="I4152">
        <f>IFERROR(VLOOKUP(Final!F4152,'LEAID Match'!$A$2:$B$374,2,FALSE),"")</f>
        <v>403290</v>
      </c>
      <c r="K4152" s="10">
        <f t="shared" si="64"/>
        <v>1133551</v>
      </c>
    </row>
    <row r="4153" spans="1:11">
      <c r="A4153">
        <v>403290</v>
      </c>
      <c r="B4153" s="10">
        <v>2018</v>
      </c>
      <c r="C4153" t="s">
        <v>601</v>
      </c>
      <c r="D4153" t="s">
        <v>2472</v>
      </c>
      <c r="E4153" t="s">
        <v>2474</v>
      </c>
      <c r="F4153" t="s">
        <v>1728</v>
      </c>
      <c r="G4153" t="s">
        <v>1728</v>
      </c>
      <c r="H4153" s="10">
        <v>1062198</v>
      </c>
      <c r="I4153">
        <f>IFERROR(VLOOKUP(Final!F4153,'LEAID Match'!$A$2:$B$374,2,FALSE),"")</f>
        <v>403290</v>
      </c>
      <c r="K4153" s="10">
        <f t="shared" si="64"/>
        <v>1062198</v>
      </c>
    </row>
    <row r="4154" spans="1:11">
      <c r="A4154">
        <v>403290</v>
      </c>
      <c r="B4154" s="10">
        <v>2019</v>
      </c>
      <c r="C4154" t="s">
        <v>601</v>
      </c>
      <c r="D4154" t="s">
        <v>2472</v>
      </c>
      <c r="E4154" t="s">
        <v>2474</v>
      </c>
      <c r="F4154" t="s">
        <v>1728</v>
      </c>
      <c r="G4154" t="s">
        <v>1728</v>
      </c>
      <c r="H4154" s="10">
        <v>1218369</v>
      </c>
      <c r="I4154">
        <f>IFERROR(VLOOKUP(Final!F4154,'LEAID Match'!$A$2:$B$374,2,FALSE),"")</f>
        <v>403290</v>
      </c>
      <c r="K4154" s="10">
        <f t="shared" si="64"/>
        <v>1218369</v>
      </c>
    </row>
    <row r="4155" spans="1:11">
      <c r="A4155">
        <v>403290</v>
      </c>
      <c r="B4155" s="10">
        <v>2020</v>
      </c>
      <c r="C4155" t="s">
        <v>601</v>
      </c>
      <c r="D4155" t="s">
        <v>2472</v>
      </c>
      <c r="E4155" t="s">
        <v>2474</v>
      </c>
      <c r="F4155" t="s">
        <v>1728</v>
      </c>
      <c r="G4155" t="s">
        <v>1728</v>
      </c>
      <c r="H4155" s="10">
        <v>1214467</v>
      </c>
      <c r="I4155">
        <f>IFERROR(VLOOKUP(Final!F4155,'LEAID Match'!$A$2:$B$374,2,FALSE),"")</f>
        <v>403290</v>
      </c>
      <c r="K4155" s="10">
        <f t="shared" si="64"/>
        <v>1214467</v>
      </c>
    </row>
    <row r="4156" spans="1:11">
      <c r="A4156">
        <v>403290</v>
      </c>
      <c r="B4156" s="10">
        <v>2021</v>
      </c>
      <c r="C4156" t="s">
        <v>601</v>
      </c>
      <c r="D4156" t="s">
        <v>2472</v>
      </c>
      <c r="E4156" t="s">
        <v>2474</v>
      </c>
      <c r="F4156" t="s">
        <v>1728</v>
      </c>
      <c r="G4156" t="s">
        <v>1728</v>
      </c>
      <c r="H4156" s="10">
        <v>1217457</v>
      </c>
      <c r="I4156">
        <f>IFERROR(VLOOKUP(Final!F4156,'LEAID Match'!$A$2:$B$374,2,FALSE),"")</f>
        <v>403290</v>
      </c>
      <c r="K4156" s="10">
        <f t="shared" si="64"/>
        <v>1217457</v>
      </c>
    </row>
    <row r="4157" spans="1:11">
      <c r="A4157">
        <v>403290</v>
      </c>
      <c r="B4157" s="10">
        <v>2022</v>
      </c>
      <c r="C4157" t="s">
        <v>601</v>
      </c>
      <c r="D4157" t="s">
        <v>2472</v>
      </c>
      <c r="E4157" t="s">
        <v>2474</v>
      </c>
      <c r="F4157" t="s">
        <v>1728</v>
      </c>
      <c r="G4157" t="s">
        <v>1728</v>
      </c>
      <c r="H4157" s="10">
        <v>1143251</v>
      </c>
      <c r="I4157">
        <f>IFERROR(VLOOKUP(Final!F4157,'LEAID Match'!$A$2:$B$374,2,FALSE),"")</f>
        <v>403290</v>
      </c>
      <c r="K4157" s="10">
        <f t="shared" si="64"/>
        <v>1143251</v>
      </c>
    </row>
    <row r="4158" spans="1:11">
      <c r="A4158">
        <v>403290</v>
      </c>
      <c r="B4158" s="10">
        <v>2023</v>
      </c>
      <c r="C4158" t="s">
        <v>601</v>
      </c>
      <c r="D4158" t="s">
        <v>2472</v>
      </c>
      <c r="E4158" t="s">
        <v>2474</v>
      </c>
      <c r="F4158" t="s">
        <v>1728</v>
      </c>
      <c r="G4158" t="s">
        <v>1728</v>
      </c>
      <c r="H4158" s="10">
        <v>1060666</v>
      </c>
      <c r="I4158">
        <f>IFERROR(VLOOKUP(Final!F4158,'LEAID Match'!$A$2:$B$374,2,FALSE),"")</f>
        <v>403290</v>
      </c>
      <c r="K4158" s="10">
        <f t="shared" si="64"/>
        <v>1060666</v>
      </c>
    </row>
    <row r="4159" spans="1:11">
      <c r="A4159">
        <v>404860</v>
      </c>
      <c r="B4159" s="10">
        <v>2015</v>
      </c>
      <c r="C4159" t="s">
        <v>793</v>
      </c>
      <c r="D4159" t="s">
        <v>2472</v>
      </c>
      <c r="E4159" t="s">
        <v>2474</v>
      </c>
      <c r="F4159" t="s">
        <v>1804</v>
      </c>
      <c r="G4159" t="s">
        <v>738</v>
      </c>
      <c r="H4159" s="10">
        <v>109551</v>
      </c>
      <c r="I4159">
        <f>IFERROR(VLOOKUP(Final!F4159,'LEAID Match'!$A$2:$B$374,2,FALSE),"")</f>
        <v>404860</v>
      </c>
      <c r="K4159" s="10">
        <f t="shared" si="64"/>
        <v>109551</v>
      </c>
    </row>
    <row r="4160" spans="1:11">
      <c r="A4160">
        <v>404860</v>
      </c>
      <c r="B4160" s="10">
        <v>2016</v>
      </c>
      <c r="C4160" t="s">
        <v>793</v>
      </c>
      <c r="D4160" t="s">
        <v>2472</v>
      </c>
      <c r="E4160" t="s">
        <v>2474</v>
      </c>
      <c r="F4160" t="s">
        <v>1804</v>
      </c>
      <c r="G4160" t="s">
        <v>1465</v>
      </c>
      <c r="H4160" s="10">
        <v>114049</v>
      </c>
      <c r="I4160">
        <f>IFERROR(VLOOKUP(Final!F4160,'LEAID Match'!$A$2:$B$374,2,FALSE),"")</f>
        <v>404860</v>
      </c>
      <c r="K4160" s="10">
        <f t="shared" si="64"/>
        <v>114049</v>
      </c>
    </row>
    <row r="4161" spans="1:11">
      <c r="A4161">
        <v>404860</v>
      </c>
      <c r="B4161" s="10">
        <v>2017</v>
      </c>
      <c r="C4161" t="s">
        <v>793</v>
      </c>
      <c r="D4161" t="s">
        <v>2472</v>
      </c>
      <c r="E4161" t="s">
        <v>2474</v>
      </c>
      <c r="F4161" t="s">
        <v>1804</v>
      </c>
      <c r="G4161" t="s">
        <v>1804</v>
      </c>
      <c r="H4161" s="10">
        <v>113504</v>
      </c>
      <c r="I4161">
        <f>IFERROR(VLOOKUP(Final!F4161,'LEAID Match'!$A$2:$B$374,2,FALSE),"")</f>
        <v>404860</v>
      </c>
      <c r="K4161" s="10">
        <f t="shared" si="64"/>
        <v>113504</v>
      </c>
    </row>
    <row r="4162" spans="1:11">
      <c r="A4162">
        <v>404860</v>
      </c>
      <c r="B4162" s="10">
        <v>2018</v>
      </c>
      <c r="C4162" t="s">
        <v>793</v>
      </c>
      <c r="D4162" t="s">
        <v>2472</v>
      </c>
      <c r="E4162" t="s">
        <v>2474</v>
      </c>
      <c r="F4162" t="s">
        <v>1804</v>
      </c>
      <c r="G4162" t="s">
        <v>2236</v>
      </c>
      <c r="H4162" s="10">
        <v>113787</v>
      </c>
      <c r="I4162">
        <f>IFERROR(VLOOKUP(Final!F4162,'LEAID Match'!$A$2:$B$374,2,FALSE),"")</f>
        <v>404860</v>
      </c>
      <c r="K4162" s="10">
        <f t="shared" si="64"/>
        <v>113787</v>
      </c>
    </row>
    <row r="4163" spans="1:11">
      <c r="A4163">
        <v>404860</v>
      </c>
      <c r="B4163" s="10">
        <v>2019</v>
      </c>
      <c r="C4163" t="s">
        <v>793</v>
      </c>
      <c r="D4163" t="s">
        <v>2472</v>
      </c>
      <c r="E4163" t="s">
        <v>2474</v>
      </c>
      <c r="F4163" t="s">
        <v>1804</v>
      </c>
      <c r="G4163" t="s">
        <v>1804</v>
      </c>
      <c r="H4163" s="10">
        <v>130329</v>
      </c>
      <c r="I4163">
        <f>IFERROR(VLOOKUP(Final!F4163,'LEAID Match'!$A$2:$B$374,2,FALSE),"")</f>
        <v>404860</v>
      </c>
      <c r="K4163" s="10">
        <f t="shared" ref="K4163:K4226" si="65">SUM(H4163,J4163)</f>
        <v>130329</v>
      </c>
    </row>
    <row r="4164" spans="1:11">
      <c r="A4164">
        <v>404860</v>
      </c>
      <c r="B4164" s="10">
        <v>2020</v>
      </c>
      <c r="C4164" t="s">
        <v>793</v>
      </c>
      <c r="D4164" t="s">
        <v>2472</v>
      </c>
      <c r="E4164" t="s">
        <v>2474</v>
      </c>
      <c r="F4164" t="s">
        <v>1804</v>
      </c>
      <c r="G4164" t="s">
        <v>1804</v>
      </c>
      <c r="H4164" s="10">
        <v>168037</v>
      </c>
      <c r="I4164">
        <f>IFERROR(VLOOKUP(Final!F4164,'LEAID Match'!$A$2:$B$374,2,FALSE),"")</f>
        <v>404860</v>
      </c>
      <c r="K4164" s="10">
        <f t="shared" si="65"/>
        <v>168037</v>
      </c>
    </row>
    <row r="4165" spans="1:11">
      <c r="A4165">
        <v>404860</v>
      </c>
      <c r="B4165" s="10">
        <v>2021</v>
      </c>
      <c r="C4165" t="s">
        <v>793</v>
      </c>
      <c r="D4165" t="s">
        <v>2472</v>
      </c>
      <c r="E4165" t="s">
        <v>2474</v>
      </c>
      <c r="F4165" t="s">
        <v>1804</v>
      </c>
      <c r="G4165" t="s">
        <v>1804</v>
      </c>
      <c r="H4165" s="10">
        <v>159297</v>
      </c>
      <c r="I4165">
        <f>IFERROR(VLOOKUP(Final!F4165,'LEAID Match'!$A$2:$B$374,2,FALSE),"")</f>
        <v>404860</v>
      </c>
      <c r="K4165" s="10">
        <f t="shared" si="65"/>
        <v>159297</v>
      </c>
    </row>
    <row r="4166" spans="1:11">
      <c r="A4166">
        <v>404860</v>
      </c>
      <c r="B4166" s="10">
        <v>2022</v>
      </c>
      <c r="C4166" t="s">
        <v>793</v>
      </c>
      <c r="D4166" t="s">
        <v>2472</v>
      </c>
      <c r="E4166" t="s">
        <v>2474</v>
      </c>
      <c r="F4166" t="s">
        <v>1804</v>
      </c>
      <c r="G4166" t="s">
        <v>1804</v>
      </c>
      <c r="H4166" s="10">
        <v>166242</v>
      </c>
      <c r="I4166">
        <f>IFERROR(VLOOKUP(Final!F4166,'LEAID Match'!$A$2:$B$374,2,FALSE),"")</f>
        <v>404860</v>
      </c>
      <c r="K4166" s="10">
        <f t="shared" si="65"/>
        <v>166242</v>
      </c>
    </row>
    <row r="4167" spans="1:11">
      <c r="A4167">
        <v>404860</v>
      </c>
      <c r="B4167" s="10">
        <v>2023</v>
      </c>
      <c r="C4167" t="s">
        <v>793</v>
      </c>
      <c r="D4167" t="s">
        <v>2472</v>
      </c>
      <c r="E4167" t="s">
        <v>2474</v>
      </c>
      <c r="F4167" t="s">
        <v>1804</v>
      </c>
      <c r="G4167" t="s">
        <v>1804</v>
      </c>
      <c r="H4167" s="10">
        <v>177186</v>
      </c>
      <c r="I4167">
        <f>IFERROR(VLOOKUP(Final!F4167,'LEAID Match'!$A$2:$B$374,2,FALSE),"")</f>
        <v>404860</v>
      </c>
      <c r="K4167" s="10">
        <f t="shared" si="65"/>
        <v>177186</v>
      </c>
    </row>
    <row r="4168" spans="1:11">
      <c r="A4168">
        <v>401940</v>
      </c>
      <c r="B4168" s="10">
        <v>2015</v>
      </c>
      <c r="C4168" t="s">
        <v>363</v>
      </c>
      <c r="D4168" t="s">
        <v>2472</v>
      </c>
      <c r="E4168" t="s">
        <v>2474</v>
      </c>
      <c r="F4168" t="s">
        <v>1657</v>
      </c>
      <c r="G4168" t="s">
        <v>309</v>
      </c>
      <c r="H4168" s="10">
        <v>2799576</v>
      </c>
      <c r="I4168">
        <f>IFERROR(VLOOKUP(Final!F4168,'LEAID Match'!$A$2:$B$374,2,FALSE),"")</f>
        <v>401940</v>
      </c>
      <c r="K4168" s="10">
        <f t="shared" si="65"/>
        <v>2799576</v>
      </c>
    </row>
    <row r="4169" spans="1:11">
      <c r="A4169">
        <v>401940</v>
      </c>
      <c r="B4169" s="10">
        <v>2016</v>
      </c>
      <c r="C4169" t="s">
        <v>363</v>
      </c>
      <c r="D4169" t="s">
        <v>2472</v>
      </c>
      <c r="E4169" t="s">
        <v>2474</v>
      </c>
      <c r="F4169" t="s">
        <v>1657</v>
      </c>
      <c r="G4169" t="s">
        <v>309</v>
      </c>
      <c r="H4169" s="10">
        <v>2833249</v>
      </c>
      <c r="I4169">
        <f>IFERROR(VLOOKUP(Final!F4169,'LEAID Match'!$A$2:$B$374,2,FALSE),"")</f>
        <v>401940</v>
      </c>
      <c r="K4169" s="10">
        <f t="shared" si="65"/>
        <v>2833249</v>
      </c>
    </row>
    <row r="4170" spans="1:11">
      <c r="A4170">
        <v>401940</v>
      </c>
      <c r="B4170" s="10">
        <v>2017</v>
      </c>
      <c r="C4170" t="s">
        <v>363</v>
      </c>
      <c r="D4170" t="s">
        <v>2472</v>
      </c>
      <c r="E4170" t="s">
        <v>2474</v>
      </c>
      <c r="F4170" t="s">
        <v>1657</v>
      </c>
      <c r="G4170" t="s">
        <v>1657</v>
      </c>
      <c r="H4170" s="10">
        <v>2755603</v>
      </c>
      <c r="I4170">
        <f>IFERROR(VLOOKUP(Final!F4170,'LEAID Match'!$A$2:$B$374,2,FALSE),"")</f>
        <v>401940</v>
      </c>
      <c r="K4170" s="10">
        <f t="shared" si="65"/>
        <v>2755603</v>
      </c>
    </row>
    <row r="4171" spans="1:11">
      <c r="A4171">
        <v>401940</v>
      </c>
      <c r="B4171" s="10">
        <v>2018</v>
      </c>
      <c r="C4171" t="s">
        <v>363</v>
      </c>
      <c r="D4171" t="s">
        <v>2472</v>
      </c>
      <c r="E4171" t="s">
        <v>2474</v>
      </c>
      <c r="F4171" t="s">
        <v>1657</v>
      </c>
      <c r="G4171" t="s">
        <v>1657</v>
      </c>
      <c r="H4171" s="10">
        <v>2811318</v>
      </c>
      <c r="I4171">
        <f>IFERROR(VLOOKUP(Final!F4171,'LEAID Match'!$A$2:$B$374,2,FALSE),"")</f>
        <v>401940</v>
      </c>
      <c r="K4171" s="10">
        <f t="shared" si="65"/>
        <v>2811318</v>
      </c>
    </row>
    <row r="4172" spans="1:11">
      <c r="A4172">
        <v>401940</v>
      </c>
      <c r="B4172" s="10">
        <v>2019</v>
      </c>
      <c r="C4172" t="s">
        <v>363</v>
      </c>
      <c r="D4172" t="s">
        <v>2472</v>
      </c>
      <c r="E4172" t="s">
        <v>2474</v>
      </c>
      <c r="F4172" t="s">
        <v>1657</v>
      </c>
      <c r="G4172" t="s">
        <v>1657</v>
      </c>
      <c r="H4172" s="10">
        <v>3037377</v>
      </c>
      <c r="I4172">
        <f>IFERROR(VLOOKUP(Final!F4172,'LEAID Match'!$A$2:$B$374,2,FALSE),"")</f>
        <v>401940</v>
      </c>
      <c r="K4172" s="10">
        <f t="shared" si="65"/>
        <v>3037377</v>
      </c>
    </row>
    <row r="4173" spans="1:11">
      <c r="A4173">
        <v>401940</v>
      </c>
      <c r="B4173" s="10">
        <v>2020</v>
      </c>
      <c r="C4173" t="s">
        <v>363</v>
      </c>
      <c r="D4173" t="s">
        <v>2472</v>
      </c>
      <c r="E4173" t="s">
        <v>2474</v>
      </c>
      <c r="F4173" t="s">
        <v>1657</v>
      </c>
      <c r="G4173" t="s">
        <v>1657</v>
      </c>
      <c r="H4173" s="10">
        <v>3179095</v>
      </c>
      <c r="I4173">
        <f>IFERROR(VLOOKUP(Final!F4173,'LEAID Match'!$A$2:$B$374,2,FALSE),"")</f>
        <v>401940</v>
      </c>
      <c r="K4173" s="10">
        <f t="shared" si="65"/>
        <v>3179095</v>
      </c>
    </row>
    <row r="4174" spans="1:11">
      <c r="A4174">
        <v>401940</v>
      </c>
      <c r="B4174" s="10">
        <v>2021</v>
      </c>
      <c r="C4174" t="s">
        <v>363</v>
      </c>
      <c r="D4174" t="s">
        <v>2472</v>
      </c>
      <c r="E4174" t="s">
        <v>2474</v>
      </c>
      <c r="F4174" t="s">
        <v>1657</v>
      </c>
      <c r="G4174" t="s">
        <v>1657</v>
      </c>
      <c r="H4174" s="10">
        <v>3185791</v>
      </c>
      <c r="I4174">
        <f>IFERROR(VLOOKUP(Final!F4174,'LEAID Match'!$A$2:$B$374,2,FALSE),"")</f>
        <v>401940</v>
      </c>
      <c r="K4174" s="10">
        <f t="shared" si="65"/>
        <v>3185791</v>
      </c>
    </row>
    <row r="4175" spans="1:11">
      <c r="A4175">
        <v>401940</v>
      </c>
      <c r="B4175" s="10">
        <v>2022</v>
      </c>
      <c r="C4175" t="s">
        <v>363</v>
      </c>
      <c r="D4175" t="s">
        <v>2472</v>
      </c>
      <c r="E4175" t="s">
        <v>2474</v>
      </c>
      <c r="F4175" t="s">
        <v>1657</v>
      </c>
      <c r="G4175" t="s">
        <v>1657</v>
      </c>
      <c r="H4175" s="10">
        <v>3539715</v>
      </c>
      <c r="I4175">
        <f>IFERROR(VLOOKUP(Final!F4175,'LEAID Match'!$A$2:$B$374,2,FALSE),"")</f>
        <v>401940</v>
      </c>
      <c r="K4175" s="10">
        <f t="shared" si="65"/>
        <v>3539715</v>
      </c>
    </row>
    <row r="4176" spans="1:11">
      <c r="A4176">
        <v>401940</v>
      </c>
      <c r="B4176" s="10">
        <v>2023</v>
      </c>
      <c r="C4176" t="s">
        <v>363</v>
      </c>
      <c r="D4176" t="s">
        <v>2472</v>
      </c>
      <c r="E4176" t="s">
        <v>2474</v>
      </c>
      <c r="F4176" t="s">
        <v>1657</v>
      </c>
      <c r="G4176" t="s">
        <v>1657</v>
      </c>
      <c r="H4176" s="10">
        <v>3915103</v>
      </c>
      <c r="I4176">
        <f>IFERROR(VLOOKUP(Final!F4176,'LEAID Match'!$A$2:$B$374,2,FALSE),"")</f>
        <v>401940</v>
      </c>
      <c r="K4176" s="10">
        <f t="shared" si="65"/>
        <v>3915103</v>
      </c>
    </row>
    <row r="4177" spans="1:11">
      <c r="A4177">
        <v>406870</v>
      </c>
      <c r="B4177" s="10">
        <v>2015</v>
      </c>
      <c r="C4177" t="s">
        <v>1031</v>
      </c>
      <c r="D4177" t="s">
        <v>2472</v>
      </c>
      <c r="E4177" t="s">
        <v>2474</v>
      </c>
      <c r="F4177" t="s">
        <v>1911</v>
      </c>
      <c r="G4177" t="s">
        <v>976</v>
      </c>
      <c r="H4177" s="10">
        <v>664511</v>
      </c>
      <c r="I4177">
        <f>IFERROR(VLOOKUP(Final!F4177,'LEAID Match'!$A$2:$B$374,2,FALSE),"")</f>
        <v>406870</v>
      </c>
      <c r="K4177" s="10">
        <f t="shared" si="65"/>
        <v>664511</v>
      </c>
    </row>
    <row r="4178" spans="1:11">
      <c r="A4178">
        <v>406870</v>
      </c>
      <c r="B4178" s="10">
        <v>2016</v>
      </c>
      <c r="C4178" t="s">
        <v>1031</v>
      </c>
      <c r="D4178" t="s">
        <v>2472</v>
      </c>
      <c r="E4178" t="s">
        <v>2474</v>
      </c>
      <c r="F4178" t="s">
        <v>1911</v>
      </c>
      <c r="G4178" t="s">
        <v>976</v>
      </c>
      <c r="H4178" s="10">
        <v>578168</v>
      </c>
      <c r="I4178">
        <f>IFERROR(VLOOKUP(Final!F4178,'LEAID Match'!$A$2:$B$374,2,FALSE),"")</f>
        <v>406870</v>
      </c>
      <c r="K4178" s="10">
        <f t="shared" si="65"/>
        <v>578168</v>
      </c>
    </row>
    <row r="4179" spans="1:11">
      <c r="A4179">
        <v>406870</v>
      </c>
      <c r="B4179" s="10">
        <v>2017</v>
      </c>
      <c r="C4179" t="s">
        <v>1031</v>
      </c>
      <c r="D4179" t="s">
        <v>2472</v>
      </c>
      <c r="E4179" t="s">
        <v>2474</v>
      </c>
      <c r="F4179" t="s">
        <v>1911</v>
      </c>
      <c r="G4179" t="s">
        <v>1911</v>
      </c>
      <c r="H4179" s="10">
        <v>552004</v>
      </c>
      <c r="I4179">
        <f>IFERROR(VLOOKUP(Final!F4179,'LEAID Match'!$A$2:$B$374,2,FALSE),"")</f>
        <v>406870</v>
      </c>
      <c r="K4179" s="10">
        <f t="shared" si="65"/>
        <v>552004</v>
      </c>
    </row>
    <row r="4180" spans="1:11">
      <c r="A4180">
        <v>406870</v>
      </c>
      <c r="B4180" s="10">
        <v>2018</v>
      </c>
      <c r="C4180" t="s">
        <v>1031</v>
      </c>
      <c r="D4180" t="s">
        <v>2472</v>
      </c>
      <c r="E4180" t="s">
        <v>2474</v>
      </c>
      <c r="F4180" t="s">
        <v>1911</v>
      </c>
      <c r="G4180" t="s">
        <v>2293</v>
      </c>
      <c r="H4180" s="10">
        <v>485120</v>
      </c>
      <c r="I4180">
        <f>IFERROR(VLOOKUP(Final!F4180,'LEAID Match'!$A$2:$B$374,2,FALSE),"")</f>
        <v>406870</v>
      </c>
      <c r="K4180" s="10">
        <f t="shared" si="65"/>
        <v>485120</v>
      </c>
    </row>
    <row r="4181" spans="1:11">
      <c r="A4181">
        <v>406870</v>
      </c>
      <c r="B4181" s="10">
        <v>2019</v>
      </c>
      <c r="C4181" t="s">
        <v>1031</v>
      </c>
      <c r="D4181" t="s">
        <v>2472</v>
      </c>
      <c r="E4181" t="s">
        <v>2474</v>
      </c>
      <c r="F4181" t="s">
        <v>1911</v>
      </c>
      <c r="G4181" t="s">
        <v>1911</v>
      </c>
      <c r="H4181" s="10">
        <v>490464</v>
      </c>
      <c r="I4181">
        <f>IFERROR(VLOOKUP(Final!F4181,'LEAID Match'!$A$2:$B$374,2,FALSE),"")</f>
        <v>406870</v>
      </c>
      <c r="K4181" s="10">
        <f t="shared" si="65"/>
        <v>490464</v>
      </c>
    </row>
    <row r="4182" spans="1:11">
      <c r="A4182">
        <v>406870</v>
      </c>
      <c r="B4182" s="10">
        <v>2020</v>
      </c>
      <c r="C4182" t="s">
        <v>1031</v>
      </c>
      <c r="D4182" t="s">
        <v>2472</v>
      </c>
      <c r="E4182" t="s">
        <v>2474</v>
      </c>
      <c r="F4182" t="s">
        <v>1911</v>
      </c>
      <c r="G4182" t="s">
        <v>1911</v>
      </c>
      <c r="H4182" s="10">
        <v>479885</v>
      </c>
      <c r="I4182">
        <f>IFERROR(VLOOKUP(Final!F4182,'LEAID Match'!$A$2:$B$374,2,FALSE),"")</f>
        <v>406870</v>
      </c>
      <c r="K4182" s="10">
        <f t="shared" si="65"/>
        <v>479885</v>
      </c>
    </row>
    <row r="4183" spans="1:11">
      <c r="A4183">
        <v>406870</v>
      </c>
      <c r="B4183" s="10">
        <v>2021</v>
      </c>
      <c r="C4183" t="s">
        <v>1031</v>
      </c>
      <c r="D4183" t="s">
        <v>2472</v>
      </c>
      <c r="E4183" t="s">
        <v>2474</v>
      </c>
      <c r="F4183" t="s">
        <v>1911</v>
      </c>
      <c r="G4183" t="s">
        <v>1911</v>
      </c>
      <c r="H4183" s="10">
        <v>516715</v>
      </c>
      <c r="I4183">
        <f>IFERROR(VLOOKUP(Final!F4183,'LEAID Match'!$A$2:$B$374,2,FALSE),"")</f>
        <v>406870</v>
      </c>
      <c r="K4183" s="10">
        <f t="shared" si="65"/>
        <v>516715</v>
      </c>
    </row>
    <row r="4184" spans="1:11">
      <c r="A4184">
        <v>406870</v>
      </c>
      <c r="B4184" s="10">
        <v>2022</v>
      </c>
      <c r="C4184" t="s">
        <v>1031</v>
      </c>
      <c r="D4184" t="s">
        <v>2472</v>
      </c>
      <c r="E4184" t="s">
        <v>2474</v>
      </c>
      <c r="F4184" t="s">
        <v>1911</v>
      </c>
      <c r="G4184" t="s">
        <v>1911</v>
      </c>
      <c r="H4184" s="10">
        <v>609051</v>
      </c>
      <c r="I4184">
        <f>IFERROR(VLOOKUP(Final!F4184,'LEAID Match'!$A$2:$B$374,2,FALSE),"")</f>
        <v>406870</v>
      </c>
      <c r="K4184" s="10">
        <f t="shared" si="65"/>
        <v>609051</v>
      </c>
    </row>
    <row r="4185" spans="1:11">
      <c r="A4185">
        <v>406870</v>
      </c>
      <c r="B4185" s="10">
        <v>2023</v>
      </c>
      <c r="C4185" t="s">
        <v>1031</v>
      </c>
      <c r="D4185" t="s">
        <v>2472</v>
      </c>
      <c r="E4185" t="s">
        <v>2474</v>
      </c>
      <c r="F4185" t="s">
        <v>1911</v>
      </c>
      <c r="G4185" t="s">
        <v>1911</v>
      </c>
      <c r="H4185" s="10">
        <v>656115</v>
      </c>
      <c r="I4185">
        <f>IFERROR(VLOOKUP(Final!F4185,'LEAID Match'!$A$2:$B$374,2,FALSE),"")</f>
        <v>406870</v>
      </c>
      <c r="K4185" s="10">
        <f t="shared" si="65"/>
        <v>656115</v>
      </c>
    </row>
    <row r="4186" spans="1:11">
      <c r="A4186" t="s">
        <v>2470</v>
      </c>
      <c r="B4186" s="10">
        <v>2015</v>
      </c>
      <c r="C4186" t="s">
        <v>473</v>
      </c>
      <c r="D4186" t="s">
        <v>2472</v>
      </c>
      <c r="E4186" t="s">
        <v>2474</v>
      </c>
      <c r="F4186" t="s">
        <v>418</v>
      </c>
      <c r="G4186" t="s">
        <v>418</v>
      </c>
      <c r="H4186" s="10"/>
      <c r="I4186" t="str">
        <f>IFERROR(VLOOKUP(Final!F4186,'LEAID Match'!$A$2:$B$374,2,FALSE),"")</f>
        <v/>
      </c>
      <c r="K4186" s="10">
        <f t="shared" si="65"/>
        <v>0</v>
      </c>
    </row>
    <row r="4187" spans="1:11">
      <c r="A4187" t="s">
        <v>2470</v>
      </c>
      <c r="B4187" s="10">
        <v>2016</v>
      </c>
      <c r="C4187" t="s">
        <v>473</v>
      </c>
      <c r="D4187" t="s">
        <v>2472</v>
      </c>
      <c r="E4187" t="s">
        <v>2474</v>
      </c>
      <c r="F4187" t="s">
        <v>418</v>
      </c>
      <c r="G4187" t="s">
        <v>418</v>
      </c>
      <c r="H4187" s="10"/>
      <c r="I4187" t="str">
        <f>IFERROR(VLOOKUP(Final!F4187,'LEAID Match'!$A$2:$B$374,2,FALSE),"")</f>
        <v/>
      </c>
      <c r="K4187" s="10">
        <f t="shared" si="65"/>
        <v>0</v>
      </c>
    </row>
    <row r="4188" spans="1:11">
      <c r="A4188" t="s">
        <v>2470</v>
      </c>
      <c r="B4188" s="10">
        <v>2017</v>
      </c>
      <c r="C4188" t="s">
        <v>473</v>
      </c>
      <c r="D4188" t="s">
        <v>2472</v>
      </c>
      <c r="E4188" t="s">
        <v>2474</v>
      </c>
      <c r="F4188" t="s">
        <v>418</v>
      </c>
      <c r="G4188" t="s">
        <v>418</v>
      </c>
      <c r="H4188" s="10"/>
      <c r="I4188" t="str">
        <f>IFERROR(VLOOKUP(Final!F4188,'LEAID Match'!$A$2:$B$374,2,FALSE),"")</f>
        <v/>
      </c>
      <c r="K4188" s="10">
        <f t="shared" si="65"/>
        <v>0</v>
      </c>
    </row>
    <row r="4189" spans="1:11">
      <c r="A4189" t="s">
        <v>2470</v>
      </c>
      <c r="B4189" s="10">
        <v>2018</v>
      </c>
      <c r="C4189" t="s">
        <v>473</v>
      </c>
      <c r="D4189" t="s">
        <v>2472</v>
      </c>
      <c r="E4189" t="s">
        <v>2474</v>
      </c>
      <c r="F4189" t="s">
        <v>418</v>
      </c>
      <c r="G4189" t="s">
        <v>418</v>
      </c>
      <c r="H4189" s="10"/>
      <c r="I4189" t="str">
        <f>IFERROR(VLOOKUP(Final!F4189,'LEAID Match'!$A$2:$B$374,2,FALSE),"")</f>
        <v/>
      </c>
      <c r="K4189" s="10">
        <f t="shared" si="65"/>
        <v>0</v>
      </c>
    </row>
    <row r="4190" spans="1:11">
      <c r="A4190">
        <v>408600</v>
      </c>
      <c r="B4190" s="10">
        <v>2015</v>
      </c>
      <c r="C4190" t="s">
        <v>1215</v>
      </c>
      <c r="D4190" t="s">
        <v>2472</v>
      </c>
      <c r="E4190" t="s">
        <v>2474</v>
      </c>
      <c r="F4190" t="s">
        <v>1991</v>
      </c>
      <c r="G4190" t="s">
        <v>1161</v>
      </c>
      <c r="H4190" s="10">
        <v>448508</v>
      </c>
      <c r="I4190">
        <f>IFERROR(VLOOKUP(Final!F4190,'LEAID Match'!$A$2:$B$374,2,FALSE),"")</f>
        <v>408600</v>
      </c>
      <c r="K4190" s="10">
        <f t="shared" si="65"/>
        <v>448508</v>
      </c>
    </row>
    <row r="4191" spans="1:11">
      <c r="A4191">
        <v>408600</v>
      </c>
      <c r="B4191" s="10">
        <v>2016</v>
      </c>
      <c r="C4191" t="s">
        <v>1215</v>
      </c>
      <c r="D4191" t="s">
        <v>2472</v>
      </c>
      <c r="E4191" t="s">
        <v>2474</v>
      </c>
      <c r="F4191" t="s">
        <v>1991</v>
      </c>
      <c r="G4191" t="s">
        <v>1161</v>
      </c>
      <c r="H4191" s="10">
        <v>417961</v>
      </c>
      <c r="I4191">
        <f>IFERROR(VLOOKUP(Final!F4191,'LEAID Match'!$A$2:$B$374,2,FALSE),"")</f>
        <v>408600</v>
      </c>
      <c r="K4191" s="10">
        <f t="shared" si="65"/>
        <v>417961</v>
      </c>
    </row>
    <row r="4192" spans="1:11">
      <c r="A4192">
        <v>408600</v>
      </c>
      <c r="B4192" s="10">
        <v>2017</v>
      </c>
      <c r="C4192" t="s">
        <v>1215</v>
      </c>
      <c r="D4192" t="s">
        <v>2472</v>
      </c>
      <c r="E4192" t="s">
        <v>2474</v>
      </c>
      <c r="F4192" t="s">
        <v>1991</v>
      </c>
      <c r="G4192" t="s">
        <v>1991</v>
      </c>
      <c r="H4192" s="10">
        <v>390382</v>
      </c>
      <c r="I4192">
        <f>IFERROR(VLOOKUP(Final!F4192,'LEAID Match'!$A$2:$B$374,2,FALSE),"")</f>
        <v>408600</v>
      </c>
      <c r="K4192" s="10">
        <f t="shared" si="65"/>
        <v>390382</v>
      </c>
    </row>
    <row r="4193" spans="1:11">
      <c r="A4193">
        <v>408600</v>
      </c>
      <c r="B4193" s="10">
        <v>2018</v>
      </c>
      <c r="C4193" t="s">
        <v>1215</v>
      </c>
      <c r="D4193" t="s">
        <v>2472</v>
      </c>
      <c r="E4193" t="s">
        <v>2474</v>
      </c>
      <c r="F4193" t="s">
        <v>1991</v>
      </c>
      <c r="G4193" t="s">
        <v>2327</v>
      </c>
      <c r="H4193" s="10">
        <v>407187</v>
      </c>
      <c r="I4193">
        <f>IFERROR(VLOOKUP(Final!F4193,'LEAID Match'!$A$2:$B$374,2,FALSE),"")</f>
        <v>408600</v>
      </c>
      <c r="K4193" s="10">
        <f t="shared" si="65"/>
        <v>407187</v>
      </c>
    </row>
    <row r="4194" spans="1:11">
      <c r="A4194">
        <v>408600</v>
      </c>
      <c r="B4194" s="10">
        <v>2019</v>
      </c>
      <c r="C4194" t="s">
        <v>1215</v>
      </c>
      <c r="D4194" t="s">
        <v>2472</v>
      </c>
      <c r="E4194" t="s">
        <v>2474</v>
      </c>
      <c r="F4194" t="s">
        <v>1991</v>
      </c>
      <c r="G4194" t="s">
        <v>1991</v>
      </c>
      <c r="H4194" s="10">
        <v>461547</v>
      </c>
      <c r="I4194">
        <f>IFERROR(VLOOKUP(Final!F4194,'LEAID Match'!$A$2:$B$374,2,FALSE),"")</f>
        <v>408600</v>
      </c>
      <c r="K4194" s="10">
        <f t="shared" si="65"/>
        <v>461547</v>
      </c>
    </row>
    <row r="4195" spans="1:11">
      <c r="A4195">
        <v>408600</v>
      </c>
      <c r="B4195" s="10">
        <v>2020</v>
      </c>
      <c r="C4195" t="s">
        <v>1215</v>
      </c>
      <c r="D4195" t="s">
        <v>2472</v>
      </c>
      <c r="E4195" t="s">
        <v>2474</v>
      </c>
      <c r="F4195" t="s">
        <v>1991</v>
      </c>
      <c r="G4195" t="s">
        <v>1991</v>
      </c>
      <c r="H4195" s="10">
        <v>530142</v>
      </c>
      <c r="I4195">
        <f>IFERROR(VLOOKUP(Final!F4195,'LEAID Match'!$A$2:$B$374,2,FALSE),"")</f>
        <v>408600</v>
      </c>
      <c r="K4195" s="10">
        <f t="shared" si="65"/>
        <v>530142</v>
      </c>
    </row>
    <row r="4196" spans="1:11">
      <c r="A4196">
        <v>408600</v>
      </c>
      <c r="B4196" s="10">
        <v>2021</v>
      </c>
      <c r="C4196" t="s">
        <v>1215</v>
      </c>
      <c r="D4196" t="s">
        <v>2472</v>
      </c>
      <c r="E4196" t="s">
        <v>2474</v>
      </c>
      <c r="F4196" t="s">
        <v>1991</v>
      </c>
      <c r="G4196" t="s">
        <v>1991</v>
      </c>
      <c r="H4196" s="10">
        <v>547370</v>
      </c>
      <c r="I4196">
        <f>IFERROR(VLOOKUP(Final!F4196,'LEAID Match'!$A$2:$B$374,2,FALSE),"")</f>
        <v>408600</v>
      </c>
      <c r="K4196" s="10">
        <f t="shared" si="65"/>
        <v>547370</v>
      </c>
    </row>
    <row r="4197" spans="1:11">
      <c r="A4197">
        <v>408600</v>
      </c>
      <c r="B4197" s="10">
        <v>2022</v>
      </c>
      <c r="C4197" t="s">
        <v>1215</v>
      </c>
      <c r="D4197" t="s">
        <v>2472</v>
      </c>
      <c r="E4197" t="s">
        <v>2474</v>
      </c>
      <c r="F4197" t="s">
        <v>1991</v>
      </c>
      <c r="G4197" t="s">
        <v>2393</v>
      </c>
      <c r="H4197" s="10">
        <v>636273</v>
      </c>
      <c r="I4197">
        <f>IFERROR(VLOOKUP(Final!F4197,'LEAID Match'!$A$2:$B$374,2,FALSE),"")</f>
        <v>408600</v>
      </c>
      <c r="K4197" s="10">
        <f t="shared" si="65"/>
        <v>636273</v>
      </c>
    </row>
    <row r="4198" spans="1:11">
      <c r="A4198">
        <v>408600</v>
      </c>
      <c r="B4198" s="10">
        <v>2023</v>
      </c>
      <c r="C4198" t="s">
        <v>1215</v>
      </c>
      <c r="D4198" t="s">
        <v>2472</v>
      </c>
      <c r="E4198" t="s">
        <v>2474</v>
      </c>
      <c r="F4198" t="s">
        <v>1991</v>
      </c>
      <c r="G4198" t="s">
        <v>1991</v>
      </c>
      <c r="H4198" s="10">
        <v>686845</v>
      </c>
      <c r="I4198">
        <f>IFERROR(VLOOKUP(Final!F4198,'LEAID Match'!$A$2:$B$374,2,FALSE),"")</f>
        <v>408600</v>
      </c>
      <c r="K4198" s="10">
        <f t="shared" si="65"/>
        <v>686845</v>
      </c>
    </row>
    <row r="4199" spans="1:11">
      <c r="A4199">
        <v>401180</v>
      </c>
      <c r="B4199" s="10">
        <v>2015</v>
      </c>
      <c r="C4199" t="s">
        <v>1440</v>
      </c>
      <c r="D4199" t="s">
        <v>2472</v>
      </c>
      <c r="E4199" t="s">
        <v>2474</v>
      </c>
      <c r="F4199" t="s">
        <v>1625</v>
      </c>
      <c r="G4199" t="s">
        <v>273</v>
      </c>
      <c r="H4199" s="10">
        <v>436870</v>
      </c>
      <c r="I4199">
        <f>IFERROR(VLOOKUP(Final!F4199,'LEAID Match'!$A$2:$B$374,2,FALSE),"")</f>
        <v>401180</v>
      </c>
      <c r="K4199" s="10">
        <f t="shared" si="65"/>
        <v>436870</v>
      </c>
    </row>
    <row r="4200" spans="1:11">
      <c r="A4200">
        <v>401180</v>
      </c>
      <c r="B4200" s="10">
        <v>2016</v>
      </c>
      <c r="C4200" t="s">
        <v>1440</v>
      </c>
      <c r="D4200" t="s">
        <v>2472</v>
      </c>
      <c r="E4200" t="s">
        <v>2474</v>
      </c>
      <c r="F4200" t="s">
        <v>1625</v>
      </c>
      <c r="G4200" t="s">
        <v>273</v>
      </c>
      <c r="H4200" s="10">
        <v>397709</v>
      </c>
      <c r="I4200">
        <f>IFERROR(VLOOKUP(Final!F4200,'LEAID Match'!$A$2:$B$374,2,FALSE),"")</f>
        <v>401180</v>
      </c>
      <c r="K4200" s="10">
        <f t="shared" si="65"/>
        <v>397709</v>
      </c>
    </row>
    <row r="4201" spans="1:11">
      <c r="A4201">
        <v>401180</v>
      </c>
      <c r="B4201" s="10">
        <v>2017</v>
      </c>
      <c r="C4201" t="s">
        <v>1440</v>
      </c>
      <c r="D4201" t="s">
        <v>2472</v>
      </c>
      <c r="E4201" t="s">
        <v>2474</v>
      </c>
      <c r="F4201" t="s">
        <v>1625</v>
      </c>
      <c r="G4201" t="s">
        <v>1625</v>
      </c>
      <c r="H4201" s="10">
        <v>425314</v>
      </c>
      <c r="I4201">
        <f>IFERROR(VLOOKUP(Final!F4201,'LEAID Match'!$A$2:$B$374,2,FALSE),"")</f>
        <v>401180</v>
      </c>
      <c r="K4201" s="10">
        <f t="shared" si="65"/>
        <v>425314</v>
      </c>
    </row>
    <row r="4202" spans="1:11">
      <c r="A4202">
        <v>401180</v>
      </c>
      <c r="B4202" s="10">
        <v>2018</v>
      </c>
      <c r="C4202" t="s">
        <v>1440</v>
      </c>
      <c r="D4202" t="s">
        <v>2472</v>
      </c>
      <c r="E4202" t="s">
        <v>2474</v>
      </c>
      <c r="F4202" t="s">
        <v>1625</v>
      </c>
      <c r="G4202" t="s">
        <v>1625</v>
      </c>
      <c r="H4202" s="10">
        <v>417873</v>
      </c>
      <c r="I4202">
        <f>IFERROR(VLOOKUP(Final!F4202,'LEAID Match'!$A$2:$B$374,2,FALSE),"")</f>
        <v>401180</v>
      </c>
      <c r="K4202" s="10">
        <f t="shared" si="65"/>
        <v>417873</v>
      </c>
    </row>
    <row r="4203" spans="1:11">
      <c r="A4203">
        <v>401180</v>
      </c>
      <c r="B4203" s="10">
        <v>2019</v>
      </c>
      <c r="C4203" t="s">
        <v>1440</v>
      </c>
      <c r="D4203" t="s">
        <v>2472</v>
      </c>
      <c r="E4203" t="s">
        <v>2474</v>
      </c>
      <c r="F4203" t="s">
        <v>1625</v>
      </c>
      <c r="G4203" t="s">
        <v>1625</v>
      </c>
      <c r="H4203" s="10">
        <v>407336</v>
      </c>
      <c r="I4203">
        <f>IFERROR(VLOOKUP(Final!F4203,'LEAID Match'!$A$2:$B$374,2,FALSE),"")</f>
        <v>401180</v>
      </c>
      <c r="K4203" s="10">
        <f t="shared" si="65"/>
        <v>407336</v>
      </c>
    </row>
    <row r="4204" spans="1:11">
      <c r="A4204">
        <v>401180</v>
      </c>
      <c r="B4204" s="10">
        <v>2020</v>
      </c>
      <c r="C4204" t="s">
        <v>1440</v>
      </c>
      <c r="D4204" t="s">
        <v>2472</v>
      </c>
      <c r="E4204" t="s">
        <v>2474</v>
      </c>
      <c r="F4204" t="s">
        <v>1625</v>
      </c>
      <c r="G4204" t="s">
        <v>1625</v>
      </c>
      <c r="H4204" s="10">
        <v>403632</v>
      </c>
      <c r="I4204">
        <f>IFERROR(VLOOKUP(Final!F4204,'LEAID Match'!$A$2:$B$374,2,FALSE),"")</f>
        <v>401180</v>
      </c>
      <c r="K4204" s="10">
        <f t="shared" si="65"/>
        <v>403632</v>
      </c>
    </row>
    <row r="4205" spans="1:11">
      <c r="A4205">
        <v>401180</v>
      </c>
      <c r="B4205" s="10">
        <v>2021</v>
      </c>
      <c r="C4205" t="s">
        <v>1440</v>
      </c>
      <c r="D4205" t="s">
        <v>2472</v>
      </c>
      <c r="E4205" t="s">
        <v>2474</v>
      </c>
      <c r="F4205" t="s">
        <v>1625</v>
      </c>
      <c r="G4205" t="s">
        <v>1625</v>
      </c>
      <c r="H4205" s="10">
        <v>442297</v>
      </c>
      <c r="I4205">
        <f>IFERROR(VLOOKUP(Final!F4205,'LEAID Match'!$A$2:$B$374,2,FALSE),"")</f>
        <v>401180</v>
      </c>
      <c r="K4205" s="10">
        <f t="shared" si="65"/>
        <v>442297</v>
      </c>
    </row>
    <row r="4206" spans="1:11">
      <c r="A4206">
        <v>401180</v>
      </c>
      <c r="B4206" s="10">
        <v>2022</v>
      </c>
      <c r="C4206" t="s">
        <v>1440</v>
      </c>
      <c r="D4206" t="s">
        <v>2472</v>
      </c>
      <c r="E4206" t="s">
        <v>2474</v>
      </c>
      <c r="F4206" t="s">
        <v>1625</v>
      </c>
      <c r="G4206" t="s">
        <v>1625</v>
      </c>
      <c r="H4206" s="10">
        <v>490237</v>
      </c>
      <c r="I4206">
        <f>IFERROR(VLOOKUP(Final!F4206,'LEAID Match'!$A$2:$B$374,2,FALSE),"")</f>
        <v>401180</v>
      </c>
      <c r="K4206" s="10">
        <f t="shared" si="65"/>
        <v>490237</v>
      </c>
    </row>
    <row r="4207" spans="1:11">
      <c r="A4207">
        <v>401180</v>
      </c>
      <c r="B4207" s="10">
        <v>2023</v>
      </c>
      <c r="C4207" t="s">
        <v>1440</v>
      </c>
      <c r="D4207" t="s">
        <v>2472</v>
      </c>
      <c r="E4207" t="s">
        <v>2474</v>
      </c>
      <c r="F4207" t="s">
        <v>1625</v>
      </c>
      <c r="G4207" t="s">
        <v>1625</v>
      </c>
      <c r="H4207" s="10">
        <v>478882</v>
      </c>
      <c r="I4207">
        <f>IFERROR(VLOOKUP(Final!F4207,'LEAID Match'!$A$2:$B$374,2,FALSE),"")</f>
        <v>401180</v>
      </c>
      <c r="K4207" s="10">
        <f t="shared" si="65"/>
        <v>478882</v>
      </c>
    </row>
    <row r="4208" spans="1:11">
      <c r="A4208">
        <v>400212</v>
      </c>
      <c r="B4208" s="10">
        <v>2015</v>
      </c>
      <c r="C4208" t="s">
        <v>1438</v>
      </c>
      <c r="D4208" t="s">
        <v>2472</v>
      </c>
      <c r="E4208" t="s">
        <v>2474</v>
      </c>
      <c r="F4208" t="s">
        <v>1622</v>
      </c>
      <c r="G4208" t="s">
        <v>271</v>
      </c>
      <c r="H4208" s="10">
        <v>585808</v>
      </c>
      <c r="I4208">
        <f>IFERROR(VLOOKUP(Final!F4208,'LEAID Match'!$A$2:$B$374,2,FALSE),"")</f>
        <v>400212</v>
      </c>
      <c r="K4208" s="10">
        <f t="shared" si="65"/>
        <v>585808</v>
      </c>
    </row>
    <row r="4209" spans="1:11">
      <c r="A4209">
        <v>400212</v>
      </c>
      <c r="B4209" s="10">
        <v>2016</v>
      </c>
      <c r="C4209" t="s">
        <v>1438</v>
      </c>
      <c r="D4209" t="s">
        <v>2472</v>
      </c>
      <c r="E4209" t="s">
        <v>2474</v>
      </c>
      <c r="F4209" t="s">
        <v>1622</v>
      </c>
      <c r="G4209" t="s">
        <v>271</v>
      </c>
      <c r="H4209" s="10">
        <v>596126</v>
      </c>
      <c r="I4209">
        <f>IFERROR(VLOOKUP(Final!F4209,'LEAID Match'!$A$2:$B$374,2,FALSE),"")</f>
        <v>400212</v>
      </c>
      <c r="K4209" s="10">
        <f t="shared" si="65"/>
        <v>596126</v>
      </c>
    </row>
    <row r="4210" spans="1:11">
      <c r="A4210">
        <v>400212</v>
      </c>
      <c r="B4210" s="10">
        <v>2017</v>
      </c>
      <c r="C4210" t="s">
        <v>1438</v>
      </c>
      <c r="D4210" t="s">
        <v>2472</v>
      </c>
      <c r="E4210" t="s">
        <v>2474</v>
      </c>
      <c r="F4210" t="s">
        <v>1622</v>
      </c>
      <c r="G4210" t="s">
        <v>1622</v>
      </c>
      <c r="H4210" s="10">
        <v>625047</v>
      </c>
      <c r="I4210">
        <f>IFERROR(VLOOKUP(Final!F4210,'LEAID Match'!$A$2:$B$374,2,FALSE),"")</f>
        <v>400212</v>
      </c>
      <c r="K4210" s="10">
        <f t="shared" si="65"/>
        <v>625047</v>
      </c>
    </row>
    <row r="4211" spans="1:11">
      <c r="A4211">
        <v>400212</v>
      </c>
      <c r="B4211" s="10">
        <v>2018</v>
      </c>
      <c r="C4211" t="s">
        <v>1438</v>
      </c>
      <c r="D4211" t="s">
        <v>2472</v>
      </c>
      <c r="E4211" t="s">
        <v>2474</v>
      </c>
      <c r="F4211" t="s">
        <v>1622</v>
      </c>
      <c r="G4211" t="s">
        <v>1622</v>
      </c>
      <c r="H4211" s="10">
        <v>654267</v>
      </c>
      <c r="I4211">
        <f>IFERROR(VLOOKUP(Final!F4211,'LEAID Match'!$A$2:$B$374,2,FALSE),"")</f>
        <v>400212</v>
      </c>
      <c r="K4211" s="10">
        <f t="shared" si="65"/>
        <v>654267</v>
      </c>
    </row>
    <row r="4212" spans="1:11">
      <c r="A4212">
        <v>400212</v>
      </c>
      <c r="B4212" s="10">
        <v>2019</v>
      </c>
      <c r="C4212" t="s">
        <v>1438</v>
      </c>
      <c r="D4212" t="s">
        <v>2472</v>
      </c>
      <c r="E4212" t="s">
        <v>2474</v>
      </c>
      <c r="F4212" t="s">
        <v>1622</v>
      </c>
      <c r="G4212" t="s">
        <v>1622</v>
      </c>
      <c r="H4212" s="10">
        <v>724326</v>
      </c>
      <c r="I4212">
        <f>IFERROR(VLOOKUP(Final!F4212,'LEAID Match'!$A$2:$B$374,2,FALSE),"")</f>
        <v>400212</v>
      </c>
      <c r="K4212" s="10">
        <f t="shared" si="65"/>
        <v>724326</v>
      </c>
    </row>
    <row r="4213" spans="1:11">
      <c r="A4213">
        <v>400212</v>
      </c>
      <c r="B4213" s="10">
        <v>2020</v>
      </c>
      <c r="C4213" t="s">
        <v>1438</v>
      </c>
      <c r="D4213" t="s">
        <v>2472</v>
      </c>
      <c r="E4213" t="s">
        <v>2474</v>
      </c>
      <c r="F4213" t="s">
        <v>1622</v>
      </c>
      <c r="G4213" t="s">
        <v>1622</v>
      </c>
      <c r="H4213" s="10">
        <v>812557</v>
      </c>
      <c r="I4213">
        <f>IFERROR(VLOOKUP(Final!F4213,'LEAID Match'!$A$2:$B$374,2,FALSE),"")</f>
        <v>400212</v>
      </c>
      <c r="K4213" s="10">
        <f t="shared" si="65"/>
        <v>812557</v>
      </c>
    </row>
    <row r="4214" spans="1:11">
      <c r="A4214">
        <v>400212</v>
      </c>
      <c r="B4214" s="10">
        <v>2021</v>
      </c>
      <c r="C4214" t="s">
        <v>1438</v>
      </c>
      <c r="D4214" t="s">
        <v>2472</v>
      </c>
      <c r="E4214" t="s">
        <v>2474</v>
      </c>
      <c r="F4214" t="s">
        <v>1622</v>
      </c>
      <c r="G4214" t="s">
        <v>1622</v>
      </c>
      <c r="H4214" s="10">
        <v>889523</v>
      </c>
      <c r="I4214">
        <f>IFERROR(VLOOKUP(Final!F4214,'LEAID Match'!$A$2:$B$374,2,FALSE),"")</f>
        <v>400212</v>
      </c>
      <c r="K4214" s="10">
        <f t="shared" si="65"/>
        <v>889523</v>
      </c>
    </row>
    <row r="4215" spans="1:11">
      <c r="A4215">
        <v>400212</v>
      </c>
      <c r="B4215" s="10">
        <v>2022</v>
      </c>
      <c r="C4215" t="s">
        <v>1438</v>
      </c>
      <c r="D4215" t="s">
        <v>2472</v>
      </c>
      <c r="E4215" t="s">
        <v>2474</v>
      </c>
      <c r="F4215" t="s">
        <v>1622</v>
      </c>
      <c r="G4215" t="s">
        <v>1622</v>
      </c>
      <c r="H4215" s="10">
        <v>990148</v>
      </c>
      <c r="I4215">
        <f>IFERROR(VLOOKUP(Final!F4215,'LEAID Match'!$A$2:$B$374,2,FALSE),"")</f>
        <v>400212</v>
      </c>
      <c r="K4215" s="10">
        <f t="shared" si="65"/>
        <v>990148</v>
      </c>
    </row>
    <row r="4216" spans="1:11">
      <c r="A4216">
        <v>400212</v>
      </c>
      <c r="B4216" s="10">
        <v>2023</v>
      </c>
      <c r="C4216" t="s">
        <v>1438</v>
      </c>
      <c r="D4216" t="s">
        <v>2472</v>
      </c>
      <c r="E4216" t="s">
        <v>2474</v>
      </c>
      <c r="F4216" t="s">
        <v>1622</v>
      </c>
      <c r="G4216" t="s">
        <v>1622</v>
      </c>
      <c r="H4216" s="10">
        <v>1041655</v>
      </c>
      <c r="I4216">
        <f>IFERROR(VLOOKUP(Final!F4216,'LEAID Match'!$A$2:$B$374,2,FALSE),"")</f>
        <v>400212</v>
      </c>
      <c r="K4216" s="10">
        <f t="shared" si="65"/>
        <v>1041655</v>
      </c>
    </row>
    <row r="4217" spans="1:11">
      <c r="A4217">
        <v>402760</v>
      </c>
      <c r="B4217" s="10">
        <v>2015</v>
      </c>
      <c r="C4217" t="s">
        <v>580</v>
      </c>
      <c r="D4217" t="s">
        <v>2472</v>
      </c>
      <c r="E4217" t="s">
        <v>2474</v>
      </c>
      <c r="F4217" t="s">
        <v>1709</v>
      </c>
      <c r="G4217" t="s">
        <v>525</v>
      </c>
      <c r="H4217" s="10">
        <v>75359</v>
      </c>
      <c r="I4217">
        <f>IFERROR(VLOOKUP(Final!F4217,'LEAID Match'!$A$2:$B$374,2,FALSE),"")</f>
        <v>402760</v>
      </c>
      <c r="K4217" s="10">
        <f t="shared" si="65"/>
        <v>75359</v>
      </c>
    </row>
    <row r="4218" spans="1:11">
      <c r="A4218">
        <v>402760</v>
      </c>
      <c r="B4218" s="10">
        <v>2016</v>
      </c>
      <c r="C4218" t="s">
        <v>580</v>
      </c>
      <c r="D4218" t="s">
        <v>2472</v>
      </c>
      <c r="E4218" t="s">
        <v>2474</v>
      </c>
      <c r="F4218" t="s">
        <v>1709</v>
      </c>
      <c r="G4218" t="s">
        <v>525</v>
      </c>
      <c r="H4218" s="10">
        <v>71816</v>
      </c>
      <c r="I4218">
        <f>IFERROR(VLOOKUP(Final!F4218,'LEAID Match'!$A$2:$B$374,2,FALSE),"")</f>
        <v>402760</v>
      </c>
      <c r="K4218" s="10">
        <f t="shared" si="65"/>
        <v>71816</v>
      </c>
    </row>
    <row r="4219" spans="1:11">
      <c r="A4219">
        <v>402760</v>
      </c>
      <c r="B4219" s="10">
        <v>2017</v>
      </c>
      <c r="C4219" t="s">
        <v>580</v>
      </c>
      <c r="D4219" t="s">
        <v>2472</v>
      </c>
      <c r="E4219" t="s">
        <v>2474</v>
      </c>
      <c r="F4219" t="s">
        <v>1709</v>
      </c>
      <c r="G4219" t="s">
        <v>1709</v>
      </c>
      <c r="H4219" s="10">
        <v>63240</v>
      </c>
      <c r="I4219">
        <f>IFERROR(VLOOKUP(Final!F4219,'LEAID Match'!$A$2:$B$374,2,FALSE),"")</f>
        <v>402760</v>
      </c>
      <c r="K4219" s="10">
        <f t="shared" si="65"/>
        <v>63240</v>
      </c>
    </row>
    <row r="4220" spans="1:11">
      <c r="A4220">
        <v>402760</v>
      </c>
      <c r="B4220" s="10">
        <v>2018</v>
      </c>
      <c r="C4220" t="s">
        <v>580</v>
      </c>
      <c r="D4220" t="s">
        <v>2472</v>
      </c>
      <c r="E4220" t="s">
        <v>2474</v>
      </c>
      <c r="F4220" t="s">
        <v>1709</v>
      </c>
      <c r="G4220" t="s">
        <v>2181</v>
      </c>
      <c r="H4220" s="10">
        <v>69864</v>
      </c>
      <c r="I4220">
        <f>IFERROR(VLOOKUP(Final!F4220,'LEAID Match'!$A$2:$B$374,2,FALSE),"")</f>
        <v>402760</v>
      </c>
      <c r="K4220" s="10">
        <f t="shared" si="65"/>
        <v>69864</v>
      </c>
    </row>
    <row r="4221" spans="1:11">
      <c r="A4221">
        <v>402760</v>
      </c>
      <c r="B4221" s="10">
        <v>2019</v>
      </c>
      <c r="C4221" t="s">
        <v>580</v>
      </c>
      <c r="D4221" t="s">
        <v>2472</v>
      </c>
      <c r="E4221" t="s">
        <v>2474</v>
      </c>
      <c r="F4221" t="s">
        <v>1709</v>
      </c>
      <c r="G4221" t="s">
        <v>1709</v>
      </c>
      <c r="H4221" s="10">
        <v>73147</v>
      </c>
      <c r="I4221">
        <f>IFERROR(VLOOKUP(Final!F4221,'LEAID Match'!$A$2:$B$374,2,FALSE),"")</f>
        <v>402760</v>
      </c>
      <c r="K4221" s="10">
        <f t="shared" si="65"/>
        <v>73147</v>
      </c>
    </row>
    <row r="4222" spans="1:11">
      <c r="A4222">
        <v>402760</v>
      </c>
      <c r="B4222" s="10">
        <v>2020</v>
      </c>
      <c r="C4222" t="s">
        <v>580</v>
      </c>
      <c r="D4222" t="s">
        <v>2472</v>
      </c>
      <c r="E4222" t="s">
        <v>2474</v>
      </c>
      <c r="F4222" t="s">
        <v>1709</v>
      </c>
      <c r="G4222" t="s">
        <v>1709</v>
      </c>
      <c r="H4222" s="10">
        <v>79784</v>
      </c>
      <c r="I4222">
        <f>IFERROR(VLOOKUP(Final!F4222,'LEAID Match'!$A$2:$B$374,2,FALSE),"")</f>
        <v>402760</v>
      </c>
      <c r="K4222" s="10">
        <f t="shared" si="65"/>
        <v>79784</v>
      </c>
    </row>
    <row r="4223" spans="1:11">
      <c r="A4223">
        <v>402760</v>
      </c>
      <c r="B4223" s="10">
        <v>2021</v>
      </c>
      <c r="C4223" t="s">
        <v>580</v>
      </c>
      <c r="D4223" t="s">
        <v>2472</v>
      </c>
      <c r="E4223" t="s">
        <v>2474</v>
      </c>
      <c r="F4223" t="s">
        <v>1709</v>
      </c>
      <c r="G4223" t="s">
        <v>1709</v>
      </c>
      <c r="H4223" s="10">
        <v>73098</v>
      </c>
      <c r="I4223">
        <f>IFERROR(VLOOKUP(Final!F4223,'LEAID Match'!$A$2:$B$374,2,FALSE),"")</f>
        <v>402760</v>
      </c>
      <c r="K4223" s="10">
        <f t="shared" si="65"/>
        <v>73098</v>
      </c>
    </row>
    <row r="4224" spans="1:11">
      <c r="A4224">
        <v>402760</v>
      </c>
      <c r="B4224" s="10">
        <v>2022</v>
      </c>
      <c r="C4224" t="s">
        <v>580</v>
      </c>
      <c r="D4224" t="s">
        <v>2472</v>
      </c>
      <c r="E4224" t="s">
        <v>2474</v>
      </c>
      <c r="F4224" t="s">
        <v>1709</v>
      </c>
      <c r="G4224" t="s">
        <v>1709</v>
      </c>
      <c r="H4224" s="10">
        <v>69908</v>
      </c>
      <c r="I4224">
        <f>IFERROR(VLOOKUP(Final!F4224,'LEAID Match'!$A$2:$B$374,2,FALSE),"")</f>
        <v>402760</v>
      </c>
      <c r="K4224" s="10">
        <f t="shared" si="65"/>
        <v>69908</v>
      </c>
    </row>
    <row r="4225" spans="1:11">
      <c r="A4225">
        <v>402760</v>
      </c>
      <c r="B4225" s="10">
        <v>2023</v>
      </c>
      <c r="C4225" t="s">
        <v>580</v>
      </c>
      <c r="D4225" t="s">
        <v>2472</v>
      </c>
      <c r="E4225" t="s">
        <v>2474</v>
      </c>
      <c r="F4225" t="s">
        <v>1709</v>
      </c>
      <c r="G4225" t="s">
        <v>1709</v>
      </c>
      <c r="H4225" s="10">
        <v>56399</v>
      </c>
      <c r="I4225">
        <f>IFERROR(VLOOKUP(Final!F4225,'LEAID Match'!$A$2:$B$374,2,FALSE),"")</f>
        <v>402760</v>
      </c>
      <c r="K4225" s="10">
        <f t="shared" si="65"/>
        <v>56399</v>
      </c>
    </row>
    <row r="4226" spans="1:11">
      <c r="A4226">
        <v>409250</v>
      </c>
      <c r="B4226" s="10">
        <v>2015</v>
      </c>
      <c r="C4226" t="s">
        <v>1336</v>
      </c>
      <c r="D4226" t="s">
        <v>2472</v>
      </c>
      <c r="E4226" t="s">
        <v>2474</v>
      </c>
      <c r="F4226" t="s">
        <v>2019</v>
      </c>
      <c r="G4226" t="s">
        <v>1288</v>
      </c>
      <c r="H4226" s="10">
        <v>569076</v>
      </c>
      <c r="I4226">
        <f>IFERROR(VLOOKUP(Final!F4226,'LEAID Match'!$A$2:$B$374,2,FALSE),"")</f>
        <v>409250</v>
      </c>
      <c r="K4226" s="10">
        <f t="shared" si="65"/>
        <v>569076</v>
      </c>
    </row>
    <row r="4227" spans="1:11">
      <c r="A4227">
        <v>409250</v>
      </c>
      <c r="B4227" s="10">
        <v>2016</v>
      </c>
      <c r="C4227" t="s">
        <v>1336</v>
      </c>
      <c r="D4227" t="s">
        <v>2472</v>
      </c>
      <c r="E4227" t="s">
        <v>2474</v>
      </c>
      <c r="F4227" t="s">
        <v>2019</v>
      </c>
      <c r="G4227" t="s">
        <v>1288</v>
      </c>
      <c r="H4227" s="10">
        <v>535144</v>
      </c>
      <c r="I4227">
        <f>IFERROR(VLOOKUP(Final!F4227,'LEAID Match'!$A$2:$B$374,2,FALSE),"")</f>
        <v>409250</v>
      </c>
      <c r="K4227" s="10">
        <f t="shared" ref="K4227:K4290" si="66">SUM(H4227,J4227)</f>
        <v>535144</v>
      </c>
    </row>
    <row r="4228" spans="1:11">
      <c r="A4228">
        <v>409250</v>
      </c>
      <c r="B4228" s="10">
        <v>2017</v>
      </c>
      <c r="C4228" t="s">
        <v>1336</v>
      </c>
      <c r="D4228" t="s">
        <v>2472</v>
      </c>
      <c r="E4228" t="s">
        <v>2474</v>
      </c>
      <c r="F4228" t="s">
        <v>2019</v>
      </c>
      <c r="G4228" t="s">
        <v>2019</v>
      </c>
      <c r="H4228" s="10">
        <v>564776</v>
      </c>
      <c r="I4228">
        <f>IFERROR(VLOOKUP(Final!F4228,'LEAID Match'!$A$2:$B$374,2,FALSE),"")</f>
        <v>409250</v>
      </c>
      <c r="K4228" s="10">
        <f t="shared" si="66"/>
        <v>564776</v>
      </c>
    </row>
    <row r="4229" spans="1:11">
      <c r="A4229">
        <v>409250</v>
      </c>
      <c r="B4229" s="10">
        <v>2018</v>
      </c>
      <c r="C4229" t="s">
        <v>1336</v>
      </c>
      <c r="D4229" t="s">
        <v>2472</v>
      </c>
      <c r="E4229" t="s">
        <v>2474</v>
      </c>
      <c r="F4229" t="s">
        <v>2019</v>
      </c>
      <c r="G4229" t="s">
        <v>2019</v>
      </c>
      <c r="H4229" s="10">
        <v>544403</v>
      </c>
      <c r="I4229">
        <f>IFERROR(VLOOKUP(Final!F4229,'LEAID Match'!$A$2:$B$374,2,FALSE),"")</f>
        <v>409250</v>
      </c>
      <c r="K4229" s="10">
        <f t="shared" si="66"/>
        <v>544403</v>
      </c>
    </row>
    <row r="4230" spans="1:11">
      <c r="A4230">
        <v>409250</v>
      </c>
      <c r="B4230" s="10">
        <v>2019</v>
      </c>
      <c r="C4230" t="s">
        <v>1336</v>
      </c>
      <c r="D4230" t="s">
        <v>2472</v>
      </c>
      <c r="E4230" t="s">
        <v>2474</v>
      </c>
      <c r="F4230" t="s">
        <v>2019</v>
      </c>
      <c r="G4230" t="s">
        <v>2019</v>
      </c>
      <c r="H4230" s="10">
        <v>604081</v>
      </c>
      <c r="I4230">
        <f>IFERROR(VLOOKUP(Final!F4230,'LEAID Match'!$A$2:$B$374,2,FALSE),"")</f>
        <v>409250</v>
      </c>
      <c r="K4230" s="10">
        <f t="shared" si="66"/>
        <v>604081</v>
      </c>
    </row>
    <row r="4231" spans="1:11">
      <c r="A4231">
        <v>409250</v>
      </c>
      <c r="B4231" s="10">
        <v>2020</v>
      </c>
      <c r="C4231" t="s">
        <v>1336</v>
      </c>
      <c r="D4231" t="s">
        <v>2472</v>
      </c>
      <c r="E4231" t="s">
        <v>2474</v>
      </c>
      <c r="F4231" t="s">
        <v>2019</v>
      </c>
      <c r="G4231" t="s">
        <v>2019</v>
      </c>
      <c r="H4231" s="10">
        <v>633614</v>
      </c>
      <c r="I4231">
        <f>IFERROR(VLOOKUP(Final!F4231,'LEAID Match'!$A$2:$B$374,2,FALSE),"")</f>
        <v>409250</v>
      </c>
      <c r="K4231" s="10">
        <f t="shared" si="66"/>
        <v>633614</v>
      </c>
    </row>
    <row r="4232" spans="1:11">
      <c r="A4232">
        <v>409250</v>
      </c>
      <c r="B4232" s="10">
        <v>2021</v>
      </c>
      <c r="C4232" t="s">
        <v>1336</v>
      </c>
      <c r="D4232" t="s">
        <v>2472</v>
      </c>
      <c r="E4232" t="s">
        <v>2474</v>
      </c>
      <c r="F4232" t="s">
        <v>2019</v>
      </c>
      <c r="G4232" t="s">
        <v>2019</v>
      </c>
      <c r="H4232" s="10">
        <v>630430</v>
      </c>
      <c r="I4232">
        <f>IFERROR(VLOOKUP(Final!F4232,'LEAID Match'!$A$2:$B$374,2,FALSE),"")</f>
        <v>409250</v>
      </c>
      <c r="K4232" s="10">
        <f t="shared" si="66"/>
        <v>630430</v>
      </c>
    </row>
    <row r="4233" spans="1:11">
      <c r="A4233">
        <v>409250</v>
      </c>
      <c r="B4233" s="10">
        <v>2022</v>
      </c>
      <c r="C4233" t="s">
        <v>1336</v>
      </c>
      <c r="D4233" t="s">
        <v>2472</v>
      </c>
      <c r="E4233" t="s">
        <v>2474</v>
      </c>
      <c r="F4233" t="s">
        <v>2019</v>
      </c>
      <c r="G4233" t="s">
        <v>2019</v>
      </c>
      <c r="H4233" s="10">
        <v>803609</v>
      </c>
      <c r="I4233">
        <f>IFERROR(VLOOKUP(Final!F4233,'LEAID Match'!$A$2:$B$374,2,FALSE),"")</f>
        <v>409250</v>
      </c>
      <c r="K4233" s="10">
        <f t="shared" si="66"/>
        <v>803609</v>
      </c>
    </row>
    <row r="4234" spans="1:11">
      <c r="A4234">
        <v>409250</v>
      </c>
      <c r="B4234" s="10">
        <v>2023</v>
      </c>
      <c r="C4234" t="s">
        <v>1336</v>
      </c>
      <c r="D4234" t="s">
        <v>2472</v>
      </c>
      <c r="E4234" t="s">
        <v>2474</v>
      </c>
      <c r="F4234" t="s">
        <v>2019</v>
      </c>
      <c r="G4234" t="s">
        <v>2019</v>
      </c>
      <c r="H4234" s="10">
        <v>881823</v>
      </c>
      <c r="I4234">
        <f>IFERROR(VLOOKUP(Final!F4234,'LEAID Match'!$A$2:$B$374,2,FALSE),"")</f>
        <v>409250</v>
      </c>
      <c r="K4234" s="10">
        <f t="shared" si="66"/>
        <v>881823</v>
      </c>
    </row>
    <row r="4235" spans="1:11">
      <c r="A4235">
        <v>401330</v>
      </c>
      <c r="B4235" s="10">
        <v>2015</v>
      </c>
      <c r="C4235" t="s">
        <v>334</v>
      </c>
      <c r="D4235" t="s">
        <v>2472</v>
      </c>
      <c r="E4235" t="s">
        <v>2474</v>
      </c>
      <c r="F4235" t="s">
        <v>1632</v>
      </c>
      <c r="G4235" t="s">
        <v>280</v>
      </c>
      <c r="H4235" s="10">
        <v>55923</v>
      </c>
      <c r="I4235">
        <f>IFERROR(VLOOKUP(Final!F4235,'LEAID Match'!$A$2:$B$374,2,FALSE),"")</f>
        <v>401330</v>
      </c>
      <c r="K4235" s="10">
        <f t="shared" si="66"/>
        <v>55923</v>
      </c>
    </row>
    <row r="4236" spans="1:11">
      <c r="A4236">
        <v>401330</v>
      </c>
      <c r="B4236" s="10">
        <v>2016</v>
      </c>
      <c r="C4236" t="s">
        <v>334</v>
      </c>
      <c r="D4236" t="s">
        <v>2472</v>
      </c>
      <c r="E4236" t="s">
        <v>2474</v>
      </c>
      <c r="F4236" t="s">
        <v>1632</v>
      </c>
      <c r="G4236" t="s">
        <v>280</v>
      </c>
      <c r="H4236" s="10">
        <v>57439</v>
      </c>
      <c r="I4236">
        <f>IFERROR(VLOOKUP(Final!F4236,'LEAID Match'!$A$2:$B$374,2,FALSE),"")</f>
        <v>401330</v>
      </c>
      <c r="K4236" s="10">
        <f t="shared" si="66"/>
        <v>57439</v>
      </c>
    </row>
    <row r="4237" spans="1:11">
      <c r="A4237">
        <v>401330</v>
      </c>
      <c r="B4237" s="10">
        <v>2017</v>
      </c>
      <c r="C4237" t="s">
        <v>334</v>
      </c>
      <c r="D4237" t="s">
        <v>2472</v>
      </c>
      <c r="E4237" t="s">
        <v>2474</v>
      </c>
      <c r="F4237" t="s">
        <v>1632</v>
      </c>
      <c r="G4237" t="s">
        <v>1632</v>
      </c>
      <c r="H4237" s="10">
        <v>58930</v>
      </c>
      <c r="I4237">
        <f>IFERROR(VLOOKUP(Final!F4237,'LEAID Match'!$A$2:$B$374,2,FALSE),"")</f>
        <v>401330</v>
      </c>
      <c r="K4237" s="10">
        <f t="shared" si="66"/>
        <v>58930</v>
      </c>
    </row>
    <row r="4238" spans="1:11">
      <c r="A4238">
        <v>401330</v>
      </c>
      <c r="B4238" s="10">
        <v>2018</v>
      </c>
      <c r="C4238" t="s">
        <v>334</v>
      </c>
      <c r="D4238" t="s">
        <v>2472</v>
      </c>
      <c r="E4238" t="s">
        <v>2474</v>
      </c>
      <c r="F4238" t="s">
        <v>1632</v>
      </c>
      <c r="G4238" t="s">
        <v>1632</v>
      </c>
      <c r="H4238" s="10">
        <v>64794</v>
      </c>
      <c r="I4238">
        <f>IFERROR(VLOOKUP(Final!F4238,'LEAID Match'!$A$2:$B$374,2,FALSE),"")</f>
        <v>401330</v>
      </c>
      <c r="K4238" s="10">
        <f t="shared" si="66"/>
        <v>64794</v>
      </c>
    </row>
    <row r="4239" spans="1:11">
      <c r="A4239">
        <v>401330</v>
      </c>
      <c r="B4239" s="10">
        <v>2019</v>
      </c>
      <c r="C4239" t="s">
        <v>334</v>
      </c>
      <c r="D4239" t="s">
        <v>2472</v>
      </c>
      <c r="E4239" t="s">
        <v>2474</v>
      </c>
      <c r="F4239" t="s">
        <v>1632</v>
      </c>
      <c r="G4239" t="s">
        <v>1632</v>
      </c>
      <c r="H4239" s="10">
        <v>83266</v>
      </c>
      <c r="I4239">
        <f>IFERROR(VLOOKUP(Final!F4239,'LEAID Match'!$A$2:$B$374,2,FALSE),"")</f>
        <v>401330</v>
      </c>
      <c r="K4239" s="10">
        <f t="shared" si="66"/>
        <v>83266</v>
      </c>
    </row>
    <row r="4240" spans="1:11">
      <c r="A4240">
        <v>401330</v>
      </c>
      <c r="B4240" s="10">
        <v>2020</v>
      </c>
      <c r="C4240" t="s">
        <v>334</v>
      </c>
      <c r="D4240" t="s">
        <v>2472</v>
      </c>
      <c r="E4240" t="s">
        <v>2474</v>
      </c>
      <c r="F4240" t="s">
        <v>1632</v>
      </c>
      <c r="G4240" t="s">
        <v>1632</v>
      </c>
      <c r="H4240" s="10">
        <v>58181</v>
      </c>
      <c r="I4240">
        <f>IFERROR(VLOOKUP(Final!F4240,'LEAID Match'!$A$2:$B$374,2,FALSE),"")</f>
        <v>401330</v>
      </c>
      <c r="K4240" s="10">
        <f t="shared" si="66"/>
        <v>58181</v>
      </c>
    </row>
    <row r="4241" spans="1:11">
      <c r="A4241">
        <v>401330</v>
      </c>
      <c r="B4241" s="10">
        <v>2021</v>
      </c>
      <c r="C4241" t="s">
        <v>334</v>
      </c>
      <c r="D4241" t="s">
        <v>2472</v>
      </c>
      <c r="E4241" t="s">
        <v>2474</v>
      </c>
      <c r="F4241" t="s">
        <v>1632</v>
      </c>
      <c r="G4241" t="s">
        <v>1632</v>
      </c>
      <c r="H4241" s="10">
        <v>79634</v>
      </c>
      <c r="I4241">
        <f>IFERROR(VLOOKUP(Final!F4241,'LEAID Match'!$A$2:$B$374,2,FALSE),"")</f>
        <v>401330</v>
      </c>
      <c r="K4241" s="10">
        <f t="shared" si="66"/>
        <v>79634</v>
      </c>
    </row>
    <row r="4242" spans="1:11">
      <c r="A4242">
        <v>401330</v>
      </c>
      <c r="B4242" s="10">
        <v>2022</v>
      </c>
      <c r="C4242" t="s">
        <v>334</v>
      </c>
      <c r="D4242" t="s">
        <v>2472</v>
      </c>
      <c r="E4242" t="s">
        <v>2474</v>
      </c>
      <c r="F4242" t="s">
        <v>1632</v>
      </c>
      <c r="G4242" t="s">
        <v>1632</v>
      </c>
      <c r="H4242" s="10">
        <v>73699</v>
      </c>
      <c r="I4242">
        <f>IFERROR(VLOOKUP(Final!F4242,'LEAID Match'!$A$2:$B$374,2,FALSE),"")</f>
        <v>401330</v>
      </c>
      <c r="K4242" s="10">
        <f t="shared" si="66"/>
        <v>73699</v>
      </c>
    </row>
    <row r="4243" spans="1:11">
      <c r="A4243">
        <v>401330</v>
      </c>
      <c r="B4243" s="10">
        <v>2023</v>
      </c>
      <c r="C4243" t="s">
        <v>334</v>
      </c>
      <c r="D4243" t="s">
        <v>2472</v>
      </c>
      <c r="E4243" t="s">
        <v>2474</v>
      </c>
      <c r="F4243" t="s">
        <v>1632</v>
      </c>
      <c r="G4243" t="s">
        <v>1632</v>
      </c>
      <c r="H4243" s="10">
        <v>65745</v>
      </c>
      <c r="I4243">
        <f>IFERROR(VLOOKUP(Final!F4243,'LEAID Match'!$A$2:$B$374,2,FALSE),"")</f>
        <v>401330</v>
      </c>
      <c r="K4243" s="10">
        <f t="shared" si="66"/>
        <v>65745</v>
      </c>
    </row>
    <row r="4244" spans="1:11">
      <c r="A4244">
        <v>407430</v>
      </c>
      <c r="B4244" s="10">
        <v>2015</v>
      </c>
      <c r="C4244" t="s">
        <v>1106</v>
      </c>
      <c r="D4244" t="s">
        <v>2472</v>
      </c>
      <c r="E4244" t="s">
        <v>2474</v>
      </c>
      <c r="F4244" t="s">
        <v>1933</v>
      </c>
      <c r="G4244" t="s">
        <v>1051</v>
      </c>
      <c r="H4244" s="10">
        <v>126992</v>
      </c>
      <c r="I4244">
        <f>IFERROR(VLOOKUP(Final!F4244,'LEAID Match'!$A$2:$B$374,2,FALSE),"")</f>
        <v>407430</v>
      </c>
      <c r="K4244" s="10">
        <f t="shared" si="66"/>
        <v>126992</v>
      </c>
    </row>
    <row r="4245" spans="1:11">
      <c r="A4245">
        <v>407430</v>
      </c>
      <c r="B4245" s="10">
        <v>2016</v>
      </c>
      <c r="C4245" t="s">
        <v>1106</v>
      </c>
      <c r="D4245" t="s">
        <v>2472</v>
      </c>
      <c r="E4245" t="s">
        <v>2474</v>
      </c>
      <c r="F4245" t="s">
        <v>1933</v>
      </c>
      <c r="G4245" t="s">
        <v>1051</v>
      </c>
      <c r="H4245" s="10">
        <v>101255</v>
      </c>
      <c r="I4245">
        <f>IFERROR(VLOOKUP(Final!F4245,'LEAID Match'!$A$2:$B$374,2,FALSE),"")</f>
        <v>407430</v>
      </c>
      <c r="K4245" s="10">
        <f t="shared" si="66"/>
        <v>101255</v>
      </c>
    </row>
    <row r="4246" spans="1:11">
      <c r="A4246">
        <v>407430</v>
      </c>
      <c r="B4246" s="10">
        <v>2017</v>
      </c>
      <c r="C4246" t="s">
        <v>1106</v>
      </c>
      <c r="D4246" t="s">
        <v>2472</v>
      </c>
      <c r="E4246" t="s">
        <v>2474</v>
      </c>
      <c r="F4246" t="s">
        <v>1933</v>
      </c>
      <c r="G4246" t="s">
        <v>1933</v>
      </c>
      <c r="H4246" s="10">
        <v>91670</v>
      </c>
      <c r="I4246">
        <f>IFERROR(VLOOKUP(Final!F4246,'LEAID Match'!$A$2:$B$374,2,FALSE),"")</f>
        <v>407430</v>
      </c>
      <c r="K4246" s="10">
        <f t="shared" si="66"/>
        <v>91670</v>
      </c>
    </row>
    <row r="4247" spans="1:11">
      <c r="A4247">
        <v>407430</v>
      </c>
      <c r="B4247" s="10">
        <v>2018</v>
      </c>
      <c r="C4247" t="s">
        <v>1106</v>
      </c>
      <c r="D4247" t="s">
        <v>2472</v>
      </c>
      <c r="E4247" t="s">
        <v>2474</v>
      </c>
      <c r="F4247" t="s">
        <v>1933</v>
      </c>
      <c r="G4247" t="s">
        <v>2303</v>
      </c>
      <c r="H4247" s="10">
        <v>89395</v>
      </c>
      <c r="I4247">
        <f>IFERROR(VLOOKUP(Final!F4247,'LEAID Match'!$A$2:$B$374,2,FALSE),"")</f>
        <v>407430</v>
      </c>
      <c r="K4247" s="10">
        <f t="shared" si="66"/>
        <v>89395</v>
      </c>
    </row>
    <row r="4248" spans="1:11">
      <c r="A4248">
        <v>407430</v>
      </c>
      <c r="B4248" s="10">
        <v>2019</v>
      </c>
      <c r="C4248" t="s">
        <v>1106</v>
      </c>
      <c r="D4248" t="s">
        <v>2472</v>
      </c>
      <c r="E4248" t="s">
        <v>2474</v>
      </c>
      <c r="F4248" t="s">
        <v>1933</v>
      </c>
      <c r="G4248" t="s">
        <v>1933</v>
      </c>
      <c r="H4248" s="10">
        <v>109455</v>
      </c>
      <c r="I4248">
        <f>IFERROR(VLOOKUP(Final!F4248,'LEAID Match'!$A$2:$B$374,2,FALSE),"")</f>
        <v>407430</v>
      </c>
      <c r="K4248" s="10">
        <f t="shared" si="66"/>
        <v>109455</v>
      </c>
    </row>
    <row r="4249" spans="1:11">
      <c r="A4249">
        <v>407430</v>
      </c>
      <c r="B4249" s="10">
        <v>2020</v>
      </c>
      <c r="C4249" t="s">
        <v>1106</v>
      </c>
      <c r="D4249" t="s">
        <v>2472</v>
      </c>
      <c r="E4249" t="s">
        <v>2474</v>
      </c>
      <c r="F4249" t="s">
        <v>1933</v>
      </c>
      <c r="G4249" t="s">
        <v>1933</v>
      </c>
      <c r="H4249" s="10">
        <v>130063</v>
      </c>
      <c r="I4249">
        <f>IFERROR(VLOOKUP(Final!F4249,'LEAID Match'!$A$2:$B$374,2,FALSE),"")</f>
        <v>407430</v>
      </c>
      <c r="K4249" s="10">
        <f t="shared" si="66"/>
        <v>130063</v>
      </c>
    </row>
    <row r="4250" spans="1:11">
      <c r="A4250">
        <v>407430</v>
      </c>
      <c r="B4250" s="10">
        <v>2021</v>
      </c>
      <c r="C4250" t="s">
        <v>1106</v>
      </c>
      <c r="D4250" t="s">
        <v>2472</v>
      </c>
      <c r="E4250" t="s">
        <v>2474</v>
      </c>
      <c r="F4250" t="s">
        <v>1933</v>
      </c>
      <c r="G4250" t="s">
        <v>1933</v>
      </c>
      <c r="H4250" s="10">
        <v>128341</v>
      </c>
      <c r="I4250">
        <f>IFERROR(VLOOKUP(Final!F4250,'LEAID Match'!$A$2:$B$374,2,FALSE),"")</f>
        <v>407430</v>
      </c>
      <c r="K4250" s="10">
        <f t="shared" si="66"/>
        <v>128341</v>
      </c>
    </row>
    <row r="4251" spans="1:11">
      <c r="A4251">
        <v>407430</v>
      </c>
      <c r="B4251" s="10">
        <v>2022</v>
      </c>
      <c r="C4251" t="s">
        <v>1106</v>
      </c>
      <c r="D4251" t="s">
        <v>2472</v>
      </c>
      <c r="E4251" t="s">
        <v>2474</v>
      </c>
      <c r="F4251" t="s">
        <v>1933</v>
      </c>
      <c r="G4251" t="s">
        <v>1933</v>
      </c>
      <c r="H4251" s="10">
        <v>141691</v>
      </c>
      <c r="I4251">
        <f>IFERROR(VLOOKUP(Final!F4251,'LEAID Match'!$A$2:$B$374,2,FALSE),"")</f>
        <v>407430</v>
      </c>
      <c r="K4251" s="10">
        <f t="shared" si="66"/>
        <v>141691</v>
      </c>
    </row>
    <row r="4252" spans="1:11">
      <c r="A4252">
        <v>407430</v>
      </c>
      <c r="B4252" s="10">
        <v>2023</v>
      </c>
      <c r="C4252" t="s">
        <v>1106</v>
      </c>
      <c r="D4252" t="s">
        <v>2472</v>
      </c>
      <c r="E4252" t="s">
        <v>2474</v>
      </c>
      <c r="F4252" t="s">
        <v>1933</v>
      </c>
      <c r="G4252" t="s">
        <v>1933</v>
      </c>
      <c r="H4252" s="10">
        <v>129020</v>
      </c>
      <c r="I4252">
        <f>IFERROR(VLOOKUP(Final!F4252,'LEAID Match'!$A$2:$B$374,2,FALSE),"")</f>
        <v>407430</v>
      </c>
      <c r="K4252" s="10">
        <f t="shared" si="66"/>
        <v>129020</v>
      </c>
    </row>
    <row r="4253" spans="1:11">
      <c r="A4253">
        <v>408020</v>
      </c>
      <c r="B4253" s="10">
        <v>2015</v>
      </c>
      <c r="C4253" t="s">
        <v>1135</v>
      </c>
      <c r="D4253" t="s">
        <v>2472</v>
      </c>
      <c r="E4253" t="s">
        <v>2474</v>
      </c>
      <c r="F4253" t="s">
        <v>1965</v>
      </c>
      <c r="G4253" t="s">
        <v>1080</v>
      </c>
      <c r="H4253" s="10">
        <v>230593</v>
      </c>
      <c r="I4253">
        <f>IFERROR(VLOOKUP(Final!F4253,'LEAID Match'!$A$2:$B$374,2,FALSE),"")</f>
        <v>408020</v>
      </c>
      <c r="K4253" s="10">
        <f t="shared" si="66"/>
        <v>230593</v>
      </c>
    </row>
    <row r="4254" spans="1:11">
      <c r="A4254">
        <v>408020</v>
      </c>
      <c r="B4254" s="10">
        <v>2016</v>
      </c>
      <c r="C4254" t="s">
        <v>1135</v>
      </c>
      <c r="D4254" t="s">
        <v>2472</v>
      </c>
      <c r="E4254" t="s">
        <v>2474</v>
      </c>
      <c r="F4254" t="s">
        <v>1965</v>
      </c>
      <c r="G4254" t="s">
        <v>1080</v>
      </c>
      <c r="H4254" s="10">
        <v>225935</v>
      </c>
      <c r="I4254">
        <f>IFERROR(VLOOKUP(Final!F4254,'LEAID Match'!$A$2:$B$374,2,FALSE),"")</f>
        <v>408020</v>
      </c>
      <c r="K4254" s="10">
        <f t="shared" si="66"/>
        <v>225935</v>
      </c>
    </row>
    <row r="4255" spans="1:11">
      <c r="A4255">
        <v>408020</v>
      </c>
      <c r="B4255" s="10">
        <v>2017</v>
      </c>
      <c r="C4255" t="s">
        <v>1135</v>
      </c>
      <c r="D4255" t="s">
        <v>2472</v>
      </c>
      <c r="E4255" t="s">
        <v>2474</v>
      </c>
      <c r="F4255" t="s">
        <v>1965</v>
      </c>
      <c r="G4255" t="s">
        <v>1965</v>
      </c>
      <c r="H4255" s="10">
        <v>240094</v>
      </c>
      <c r="I4255">
        <f>IFERROR(VLOOKUP(Final!F4255,'LEAID Match'!$A$2:$B$374,2,FALSE),"")</f>
        <v>408020</v>
      </c>
      <c r="K4255" s="10">
        <f t="shared" si="66"/>
        <v>240094</v>
      </c>
    </row>
    <row r="4256" spans="1:11">
      <c r="A4256">
        <v>408020</v>
      </c>
      <c r="B4256" s="10">
        <v>2018</v>
      </c>
      <c r="C4256" t="s">
        <v>1135</v>
      </c>
      <c r="D4256" t="s">
        <v>2472</v>
      </c>
      <c r="E4256" t="s">
        <v>2474</v>
      </c>
      <c r="F4256" t="s">
        <v>1965</v>
      </c>
      <c r="G4256" t="s">
        <v>2317</v>
      </c>
      <c r="H4256" s="10">
        <v>231290</v>
      </c>
      <c r="I4256">
        <f>IFERROR(VLOOKUP(Final!F4256,'LEAID Match'!$A$2:$B$374,2,FALSE),"")</f>
        <v>408020</v>
      </c>
      <c r="K4256" s="10">
        <f t="shared" si="66"/>
        <v>231290</v>
      </c>
    </row>
    <row r="4257" spans="1:11">
      <c r="A4257">
        <v>408020</v>
      </c>
      <c r="B4257" s="10">
        <v>2019</v>
      </c>
      <c r="C4257" t="s">
        <v>1135</v>
      </c>
      <c r="D4257" t="s">
        <v>2472</v>
      </c>
      <c r="E4257" t="s">
        <v>2474</v>
      </c>
      <c r="F4257" t="s">
        <v>1965</v>
      </c>
      <c r="G4257" t="s">
        <v>1965</v>
      </c>
      <c r="H4257" s="10">
        <v>241228</v>
      </c>
      <c r="I4257">
        <f>IFERROR(VLOOKUP(Final!F4257,'LEAID Match'!$A$2:$B$374,2,FALSE),"")</f>
        <v>408020</v>
      </c>
      <c r="K4257" s="10">
        <f t="shared" si="66"/>
        <v>241228</v>
      </c>
    </row>
    <row r="4258" spans="1:11">
      <c r="A4258">
        <v>408020</v>
      </c>
      <c r="B4258" s="10">
        <v>2020</v>
      </c>
      <c r="C4258" t="s">
        <v>1135</v>
      </c>
      <c r="D4258" t="s">
        <v>2472</v>
      </c>
      <c r="E4258" t="s">
        <v>2474</v>
      </c>
      <c r="F4258" t="s">
        <v>1965</v>
      </c>
      <c r="G4258" t="s">
        <v>1965</v>
      </c>
      <c r="H4258" s="10">
        <v>276244</v>
      </c>
      <c r="I4258">
        <f>IFERROR(VLOOKUP(Final!F4258,'LEAID Match'!$A$2:$B$374,2,FALSE),"")</f>
        <v>408020</v>
      </c>
      <c r="K4258" s="10">
        <f t="shared" si="66"/>
        <v>276244</v>
      </c>
    </row>
    <row r="4259" spans="1:11">
      <c r="A4259">
        <v>408020</v>
      </c>
      <c r="B4259" s="10">
        <v>2021</v>
      </c>
      <c r="C4259" t="s">
        <v>1135</v>
      </c>
      <c r="D4259" t="s">
        <v>2472</v>
      </c>
      <c r="E4259" t="s">
        <v>2474</v>
      </c>
      <c r="F4259" t="s">
        <v>1965</v>
      </c>
      <c r="G4259" t="s">
        <v>1965</v>
      </c>
      <c r="H4259" s="10">
        <v>248996</v>
      </c>
      <c r="I4259">
        <f>IFERROR(VLOOKUP(Final!F4259,'LEAID Match'!$A$2:$B$374,2,FALSE),"")</f>
        <v>408020</v>
      </c>
      <c r="K4259" s="10">
        <f t="shared" si="66"/>
        <v>248996</v>
      </c>
    </row>
    <row r="4260" spans="1:11">
      <c r="A4260">
        <v>408020</v>
      </c>
      <c r="B4260" s="10">
        <v>2022</v>
      </c>
      <c r="C4260" t="s">
        <v>1135</v>
      </c>
      <c r="D4260" t="s">
        <v>2472</v>
      </c>
      <c r="E4260" t="s">
        <v>2474</v>
      </c>
      <c r="F4260" t="s">
        <v>1965</v>
      </c>
      <c r="G4260" t="s">
        <v>1965</v>
      </c>
      <c r="H4260" s="10">
        <v>291422</v>
      </c>
      <c r="I4260">
        <f>IFERROR(VLOOKUP(Final!F4260,'LEAID Match'!$A$2:$B$374,2,FALSE),"")</f>
        <v>408020</v>
      </c>
      <c r="K4260" s="10">
        <f t="shared" si="66"/>
        <v>291422</v>
      </c>
    </row>
    <row r="4261" spans="1:11">
      <c r="A4261">
        <v>408020</v>
      </c>
      <c r="B4261" s="10">
        <v>2023</v>
      </c>
      <c r="C4261" t="s">
        <v>1135</v>
      </c>
      <c r="D4261" t="s">
        <v>2472</v>
      </c>
      <c r="E4261" t="s">
        <v>2474</v>
      </c>
      <c r="F4261" t="s">
        <v>1965</v>
      </c>
      <c r="G4261" t="s">
        <v>1965</v>
      </c>
      <c r="H4261" s="10">
        <v>319721</v>
      </c>
      <c r="I4261">
        <f>IFERROR(VLOOKUP(Final!F4261,'LEAID Match'!$A$2:$B$374,2,FALSE),"")</f>
        <v>408020</v>
      </c>
      <c r="K4261" s="10">
        <f t="shared" si="66"/>
        <v>319721</v>
      </c>
    </row>
    <row r="4262" spans="1:11">
      <c r="A4262">
        <v>406150</v>
      </c>
      <c r="B4262" s="10">
        <v>2015</v>
      </c>
      <c r="C4262" t="s">
        <v>924</v>
      </c>
      <c r="D4262" t="s">
        <v>2472</v>
      </c>
      <c r="E4262" t="s">
        <v>2474</v>
      </c>
      <c r="F4262" t="s">
        <v>1868</v>
      </c>
      <c r="G4262" t="s">
        <v>869</v>
      </c>
      <c r="H4262" s="10">
        <v>82000</v>
      </c>
      <c r="I4262">
        <f>IFERROR(VLOOKUP(Final!F4262,'LEAID Match'!$A$2:$B$374,2,FALSE),"")</f>
        <v>406150</v>
      </c>
      <c r="K4262" s="10">
        <f t="shared" si="66"/>
        <v>82000</v>
      </c>
    </row>
    <row r="4263" spans="1:11">
      <c r="A4263">
        <v>406150</v>
      </c>
      <c r="B4263" s="10">
        <v>2016</v>
      </c>
      <c r="C4263" t="s">
        <v>924</v>
      </c>
      <c r="D4263" t="s">
        <v>2472</v>
      </c>
      <c r="E4263" t="s">
        <v>2474</v>
      </c>
      <c r="F4263" t="s">
        <v>1868</v>
      </c>
      <c r="G4263" t="s">
        <v>869</v>
      </c>
      <c r="H4263" s="10">
        <v>85062</v>
      </c>
      <c r="I4263">
        <f>IFERROR(VLOOKUP(Final!F4263,'LEAID Match'!$A$2:$B$374,2,FALSE),"")</f>
        <v>406150</v>
      </c>
      <c r="K4263" s="10">
        <f t="shared" si="66"/>
        <v>85062</v>
      </c>
    </row>
    <row r="4264" spans="1:11">
      <c r="A4264">
        <v>406150</v>
      </c>
      <c r="B4264" s="10">
        <v>2017</v>
      </c>
      <c r="C4264" t="s">
        <v>924</v>
      </c>
      <c r="D4264" t="s">
        <v>2472</v>
      </c>
      <c r="E4264" t="s">
        <v>2474</v>
      </c>
      <c r="F4264" t="s">
        <v>1868</v>
      </c>
      <c r="G4264" t="s">
        <v>1868</v>
      </c>
      <c r="H4264" s="10">
        <v>84179</v>
      </c>
      <c r="I4264">
        <f>IFERROR(VLOOKUP(Final!F4264,'LEAID Match'!$A$2:$B$374,2,FALSE),"")</f>
        <v>406150</v>
      </c>
      <c r="K4264" s="10">
        <f t="shared" si="66"/>
        <v>84179</v>
      </c>
    </row>
    <row r="4265" spans="1:11">
      <c r="A4265">
        <v>406150</v>
      </c>
      <c r="B4265" s="10">
        <v>2018</v>
      </c>
      <c r="C4265" t="s">
        <v>924</v>
      </c>
      <c r="D4265" t="s">
        <v>2472</v>
      </c>
      <c r="E4265" t="s">
        <v>2474</v>
      </c>
      <c r="F4265" t="s">
        <v>1868</v>
      </c>
      <c r="G4265" t="s">
        <v>2272</v>
      </c>
      <c r="H4265" s="10">
        <v>93357</v>
      </c>
      <c r="I4265">
        <f>IFERROR(VLOOKUP(Final!F4265,'LEAID Match'!$A$2:$B$374,2,FALSE),"")</f>
        <v>406150</v>
      </c>
      <c r="K4265" s="10">
        <f t="shared" si="66"/>
        <v>93357</v>
      </c>
    </row>
    <row r="4266" spans="1:11">
      <c r="A4266">
        <v>406150</v>
      </c>
      <c r="B4266" s="10">
        <v>2019</v>
      </c>
      <c r="C4266" t="s">
        <v>924</v>
      </c>
      <c r="D4266" t="s">
        <v>2472</v>
      </c>
      <c r="E4266" t="s">
        <v>2474</v>
      </c>
      <c r="F4266" t="s">
        <v>1868</v>
      </c>
      <c r="G4266" t="s">
        <v>1868</v>
      </c>
      <c r="H4266" s="10">
        <v>85143</v>
      </c>
      <c r="I4266">
        <f>IFERROR(VLOOKUP(Final!F4266,'LEAID Match'!$A$2:$B$374,2,FALSE),"")</f>
        <v>406150</v>
      </c>
      <c r="K4266" s="10">
        <f t="shared" si="66"/>
        <v>85143</v>
      </c>
    </row>
    <row r="4267" spans="1:11">
      <c r="A4267">
        <v>406150</v>
      </c>
      <c r="B4267" s="10">
        <v>2020</v>
      </c>
      <c r="C4267" t="s">
        <v>924</v>
      </c>
      <c r="D4267" t="s">
        <v>2472</v>
      </c>
      <c r="E4267" t="s">
        <v>2474</v>
      </c>
      <c r="F4267" t="s">
        <v>1868</v>
      </c>
      <c r="G4267" t="s">
        <v>1868</v>
      </c>
      <c r="H4267" s="10">
        <v>84790</v>
      </c>
      <c r="I4267">
        <f>IFERROR(VLOOKUP(Final!F4267,'LEAID Match'!$A$2:$B$374,2,FALSE),"")</f>
        <v>406150</v>
      </c>
      <c r="K4267" s="10">
        <f t="shared" si="66"/>
        <v>84790</v>
      </c>
    </row>
    <row r="4268" spans="1:11">
      <c r="A4268">
        <v>406150</v>
      </c>
      <c r="B4268" s="10">
        <v>2021</v>
      </c>
      <c r="C4268" t="s">
        <v>924</v>
      </c>
      <c r="D4268" t="s">
        <v>2472</v>
      </c>
      <c r="E4268" t="s">
        <v>2474</v>
      </c>
      <c r="F4268" t="s">
        <v>1868</v>
      </c>
      <c r="G4268" t="s">
        <v>1868</v>
      </c>
      <c r="H4268" s="10">
        <v>100439</v>
      </c>
      <c r="I4268">
        <f>IFERROR(VLOOKUP(Final!F4268,'LEAID Match'!$A$2:$B$374,2,FALSE),"")</f>
        <v>406150</v>
      </c>
      <c r="K4268" s="10">
        <f t="shared" si="66"/>
        <v>100439</v>
      </c>
    </row>
    <row r="4269" spans="1:11">
      <c r="A4269">
        <v>406150</v>
      </c>
      <c r="B4269" s="10">
        <v>2022</v>
      </c>
      <c r="C4269" t="s">
        <v>924</v>
      </c>
      <c r="D4269" t="s">
        <v>2472</v>
      </c>
      <c r="E4269" t="s">
        <v>2474</v>
      </c>
      <c r="F4269" t="s">
        <v>1868</v>
      </c>
      <c r="G4269" t="s">
        <v>1868</v>
      </c>
      <c r="H4269" s="10">
        <v>116015</v>
      </c>
      <c r="I4269">
        <f>IFERROR(VLOOKUP(Final!F4269,'LEAID Match'!$A$2:$B$374,2,FALSE),"")</f>
        <v>406150</v>
      </c>
      <c r="K4269" s="10">
        <f t="shared" si="66"/>
        <v>116015</v>
      </c>
    </row>
    <row r="4270" spans="1:11">
      <c r="A4270">
        <v>406150</v>
      </c>
      <c r="B4270" s="10">
        <v>2023</v>
      </c>
      <c r="C4270" t="s">
        <v>924</v>
      </c>
      <c r="D4270" t="s">
        <v>2472</v>
      </c>
      <c r="E4270" t="s">
        <v>2474</v>
      </c>
      <c r="F4270" t="s">
        <v>1868</v>
      </c>
      <c r="G4270" t="s">
        <v>1868</v>
      </c>
      <c r="H4270" s="10">
        <v>126012</v>
      </c>
      <c r="I4270">
        <f>IFERROR(VLOOKUP(Final!F4270,'LEAID Match'!$A$2:$B$374,2,FALSE),"")</f>
        <v>406150</v>
      </c>
      <c r="K4270" s="10">
        <f t="shared" si="66"/>
        <v>126012</v>
      </c>
    </row>
    <row r="4271" spans="1:11">
      <c r="A4271">
        <v>405430</v>
      </c>
      <c r="B4271" s="10">
        <v>2015</v>
      </c>
      <c r="C4271" t="s">
        <v>822</v>
      </c>
      <c r="D4271" t="s">
        <v>2472</v>
      </c>
      <c r="E4271" t="s">
        <v>2474</v>
      </c>
      <c r="F4271" t="s">
        <v>2406</v>
      </c>
      <c r="G4271" t="s">
        <v>767</v>
      </c>
      <c r="H4271" s="10">
        <v>138557</v>
      </c>
      <c r="I4271">
        <f>IFERROR(VLOOKUP(Final!F4271,'LEAID Match'!$A$2:$B$374,2,FALSE),"")</f>
        <v>405430</v>
      </c>
      <c r="K4271" s="10">
        <f t="shared" si="66"/>
        <v>138557</v>
      </c>
    </row>
    <row r="4272" spans="1:11">
      <c r="A4272">
        <v>405430</v>
      </c>
      <c r="B4272" s="10">
        <v>2016</v>
      </c>
      <c r="C4272" t="s">
        <v>822</v>
      </c>
      <c r="D4272" t="s">
        <v>2472</v>
      </c>
      <c r="E4272" t="s">
        <v>2474</v>
      </c>
      <c r="F4272" t="s">
        <v>2406</v>
      </c>
      <c r="G4272" t="s">
        <v>767</v>
      </c>
      <c r="H4272" s="10">
        <v>134054</v>
      </c>
      <c r="I4272">
        <f>IFERROR(VLOOKUP(Final!F4272,'LEAID Match'!$A$2:$B$374,2,FALSE),"")</f>
        <v>405430</v>
      </c>
      <c r="K4272" s="10">
        <f t="shared" si="66"/>
        <v>134054</v>
      </c>
    </row>
    <row r="4273" spans="1:11">
      <c r="A4273">
        <v>405430</v>
      </c>
      <c r="B4273" s="10">
        <v>2017</v>
      </c>
      <c r="C4273" t="s">
        <v>822</v>
      </c>
      <c r="D4273" t="s">
        <v>2472</v>
      </c>
      <c r="E4273" t="s">
        <v>2474</v>
      </c>
      <c r="F4273" t="s">
        <v>2406</v>
      </c>
      <c r="G4273" t="s">
        <v>1823</v>
      </c>
      <c r="H4273" s="10">
        <v>128356</v>
      </c>
      <c r="I4273">
        <f>IFERROR(VLOOKUP(Final!F4273,'LEAID Match'!$A$2:$B$374,2,FALSE),"")</f>
        <v>405430</v>
      </c>
      <c r="K4273" s="10">
        <f t="shared" si="66"/>
        <v>128356</v>
      </c>
    </row>
    <row r="4274" spans="1:11">
      <c r="A4274">
        <v>405430</v>
      </c>
      <c r="B4274" s="10">
        <v>2018</v>
      </c>
      <c r="C4274" t="s">
        <v>822</v>
      </c>
      <c r="D4274" t="s">
        <v>2472</v>
      </c>
      <c r="E4274" t="s">
        <v>2474</v>
      </c>
      <c r="F4274" t="s">
        <v>2406</v>
      </c>
      <c r="G4274" t="s">
        <v>2248</v>
      </c>
      <c r="H4274" s="10">
        <v>131640</v>
      </c>
      <c r="I4274">
        <f>IFERROR(VLOOKUP(Final!F4274,'LEAID Match'!$A$2:$B$374,2,FALSE),"")</f>
        <v>405430</v>
      </c>
      <c r="K4274" s="10">
        <f t="shared" si="66"/>
        <v>131640</v>
      </c>
    </row>
    <row r="4275" spans="1:11">
      <c r="A4275">
        <v>405430</v>
      </c>
      <c r="B4275" s="10">
        <v>2019</v>
      </c>
      <c r="C4275" t="s">
        <v>822</v>
      </c>
      <c r="D4275" t="s">
        <v>2472</v>
      </c>
      <c r="E4275" t="s">
        <v>2474</v>
      </c>
      <c r="F4275" t="s">
        <v>2406</v>
      </c>
      <c r="G4275" t="s">
        <v>1823</v>
      </c>
      <c r="H4275" s="10">
        <v>119094</v>
      </c>
      <c r="I4275">
        <f>IFERROR(VLOOKUP(Final!F4275,'LEAID Match'!$A$2:$B$374,2,FALSE),"")</f>
        <v>405430</v>
      </c>
      <c r="K4275" s="10">
        <f t="shared" si="66"/>
        <v>119094</v>
      </c>
    </row>
    <row r="4276" spans="1:11">
      <c r="A4276">
        <v>405430</v>
      </c>
      <c r="B4276" s="10">
        <v>2020</v>
      </c>
      <c r="C4276" t="s">
        <v>822</v>
      </c>
      <c r="D4276" t="s">
        <v>2472</v>
      </c>
      <c r="E4276" t="s">
        <v>2474</v>
      </c>
      <c r="F4276" t="s">
        <v>2406</v>
      </c>
      <c r="G4276" t="s">
        <v>2406</v>
      </c>
      <c r="H4276" s="10">
        <v>133581</v>
      </c>
      <c r="I4276">
        <f>IFERROR(VLOOKUP(Final!F4276,'LEAID Match'!$A$2:$B$374,2,FALSE),"")</f>
        <v>405430</v>
      </c>
      <c r="K4276" s="10">
        <f t="shared" si="66"/>
        <v>133581</v>
      </c>
    </row>
    <row r="4277" spans="1:11">
      <c r="A4277">
        <v>405430</v>
      </c>
      <c r="B4277" s="10">
        <v>2021</v>
      </c>
      <c r="C4277" t="s">
        <v>822</v>
      </c>
      <c r="D4277" t="s">
        <v>2472</v>
      </c>
      <c r="E4277" t="s">
        <v>2474</v>
      </c>
      <c r="F4277" t="s">
        <v>2406</v>
      </c>
      <c r="G4277" t="s">
        <v>2406</v>
      </c>
      <c r="H4277" s="10">
        <v>145217</v>
      </c>
      <c r="I4277">
        <f>IFERROR(VLOOKUP(Final!F4277,'LEAID Match'!$A$2:$B$374,2,FALSE),"")</f>
        <v>405430</v>
      </c>
      <c r="K4277" s="10">
        <f t="shared" si="66"/>
        <v>145217</v>
      </c>
    </row>
    <row r="4278" spans="1:11">
      <c r="A4278">
        <v>405430</v>
      </c>
      <c r="B4278" s="10">
        <v>2022</v>
      </c>
      <c r="C4278" t="s">
        <v>822</v>
      </c>
      <c r="D4278" t="s">
        <v>2472</v>
      </c>
      <c r="E4278" t="s">
        <v>2474</v>
      </c>
      <c r="F4278" t="s">
        <v>2406</v>
      </c>
      <c r="G4278" t="s">
        <v>2406</v>
      </c>
      <c r="H4278" s="10">
        <v>200569</v>
      </c>
      <c r="I4278">
        <f>IFERROR(VLOOKUP(Final!F4278,'LEAID Match'!$A$2:$B$374,2,FALSE),"")</f>
        <v>405430</v>
      </c>
      <c r="K4278" s="10">
        <f t="shared" si="66"/>
        <v>200569</v>
      </c>
    </row>
    <row r="4279" spans="1:11">
      <c r="A4279">
        <v>405430</v>
      </c>
      <c r="B4279" s="10">
        <v>2023</v>
      </c>
      <c r="C4279" t="s">
        <v>822</v>
      </c>
      <c r="D4279" t="s">
        <v>2472</v>
      </c>
      <c r="E4279" t="s">
        <v>2474</v>
      </c>
      <c r="F4279" t="s">
        <v>2406</v>
      </c>
      <c r="G4279" t="s">
        <v>2406</v>
      </c>
      <c r="H4279" s="10">
        <v>175205</v>
      </c>
      <c r="I4279">
        <f>IFERROR(VLOOKUP(Final!F4279,'LEAID Match'!$A$2:$B$374,2,FALSE),"")</f>
        <v>405430</v>
      </c>
      <c r="K4279" s="10">
        <f t="shared" si="66"/>
        <v>175205</v>
      </c>
    </row>
    <row r="4280" spans="1:11">
      <c r="A4280">
        <v>402130</v>
      </c>
      <c r="B4280" s="10">
        <v>2015</v>
      </c>
      <c r="C4280" t="s">
        <v>474</v>
      </c>
      <c r="D4280" t="s">
        <v>2472</v>
      </c>
      <c r="E4280" t="s">
        <v>2474</v>
      </c>
      <c r="F4280" t="s">
        <v>1666</v>
      </c>
      <c r="G4280" t="s">
        <v>419</v>
      </c>
      <c r="H4280" s="10">
        <v>75473</v>
      </c>
      <c r="I4280">
        <f>IFERROR(VLOOKUP(Final!F4280,'LEAID Match'!$A$2:$B$374,2,FALSE),"")</f>
        <v>402130</v>
      </c>
      <c r="K4280" s="10">
        <f t="shared" si="66"/>
        <v>75473</v>
      </c>
    </row>
    <row r="4281" spans="1:11">
      <c r="A4281">
        <v>402130</v>
      </c>
      <c r="B4281" s="10">
        <v>2016</v>
      </c>
      <c r="C4281" t="s">
        <v>474</v>
      </c>
      <c r="D4281" t="s">
        <v>2472</v>
      </c>
      <c r="E4281" t="s">
        <v>2474</v>
      </c>
      <c r="F4281" t="s">
        <v>1666</v>
      </c>
      <c r="G4281" t="s">
        <v>419</v>
      </c>
      <c r="H4281" s="10">
        <v>75965</v>
      </c>
      <c r="I4281">
        <f>IFERROR(VLOOKUP(Final!F4281,'LEAID Match'!$A$2:$B$374,2,FALSE),"")</f>
        <v>402130</v>
      </c>
      <c r="K4281" s="10">
        <f t="shared" si="66"/>
        <v>75965</v>
      </c>
    </row>
    <row r="4282" spans="1:11">
      <c r="A4282">
        <v>402130</v>
      </c>
      <c r="B4282" s="10">
        <v>2017</v>
      </c>
      <c r="C4282" t="s">
        <v>474</v>
      </c>
      <c r="D4282" t="s">
        <v>2472</v>
      </c>
      <c r="E4282" t="s">
        <v>2474</v>
      </c>
      <c r="F4282" t="s">
        <v>1666</v>
      </c>
      <c r="G4282" t="s">
        <v>1666</v>
      </c>
      <c r="H4282" s="10">
        <v>80093</v>
      </c>
      <c r="I4282">
        <f>IFERROR(VLOOKUP(Final!F4282,'LEAID Match'!$A$2:$B$374,2,FALSE),"")</f>
        <v>402130</v>
      </c>
      <c r="K4282" s="10">
        <f t="shared" si="66"/>
        <v>80093</v>
      </c>
    </row>
    <row r="4283" spans="1:11">
      <c r="A4283">
        <v>402130</v>
      </c>
      <c r="B4283" s="10">
        <v>2018</v>
      </c>
      <c r="C4283" t="s">
        <v>474</v>
      </c>
      <c r="D4283" t="s">
        <v>2472</v>
      </c>
      <c r="E4283" t="s">
        <v>2474</v>
      </c>
      <c r="F4283" t="s">
        <v>1666</v>
      </c>
      <c r="G4283" t="s">
        <v>2155</v>
      </c>
      <c r="H4283" s="10">
        <v>79891</v>
      </c>
      <c r="I4283">
        <f>IFERROR(VLOOKUP(Final!F4283,'LEAID Match'!$A$2:$B$374,2,FALSE),"")</f>
        <v>402130</v>
      </c>
      <c r="K4283" s="10">
        <f t="shared" si="66"/>
        <v>79891</v>
      </c>
    </row>
    <row r="4284" spans="1:11">
      <c r="A4284">
        <v>402130</v>
      </c>
      <c r="B4284" s="10">
        <v>2019</v>
      </c>
      <c r="C4284" t="s">
        <v>474</v>
      </c>
      <c r="D4284" t="s">
        <v>2472</v>
      </c>
      <c r="E4284" t="s">
        <v>2474</v>
      </c>
      <c r="F4284" t="s">
        <v>1666</v>
      </c>
      <c r="G4284" t="s">
        <v>1666</v>
      </c>
      <c r="H4284" s="10">
        <v>93159</v>
      </c>
      <c r="I4284">
        <f>IFERROR(VLOOKUP(Final!F4284,'LEAID Match'!$A$2:$B$374,2,FALSE),"")</f>
        <v>402130</v>
      </c>
      <c r="K4284" s="10">
        <f t="shared" si="66"/>
        <v>93159</v>
      </c>
    </row>
    <row r="4285" spans="1:11">
      <c r="A4285">
        <v>402130</v>
      </c>
      <c r="B4285" s="10">
        <v>2020</v>
      </c>
      <c r="C4285" t="s">
        <v>474</v>
      </c>
      <c r="D4285" t="s">
        <v>2472</v>
      </c>
      <c r="E4285" t="s">
        <v>2474</v>
      </c>
      <c r="F4285" t="s">
        <v>1666</v>
      </c>
      <c r="G4285" t="s">
        <v>1666</v>
      </c>
      <c r="H4285" s="10">
        <v>100868</v>
      </c>
      <c r="I4285">
        <f>IFERROR(VLOOKUP(Final!F4285,'LEAID Match'!$A$2:$B$374,2,FALSE),"")</f>
        <v>402130</v>
      </c>
      <c r="K4285" s="10">
        <f t="shared" si="66"/>
        <v>100868</v>
      </c>
    </row>
    <row r="4286" spans="1:11">
      <c r="A4286">
        <v>402130</v>
      </c>
      <c r="B4286" s="10">
        <v>2021</v>
      </c>
      <c r="C4286" t="s">
        <v>474</v>
      </c>
      <c r="D4286" t="s">
        <v>2472</v>
      </c>
      <c r="E4286" t="s">
        <v>2474</v>
      </c>
      <c r="F4286" t="s">
        <v>1666</v>
      </c>
      <c r="G4286" t="s">
        <v>1666</v>
      </c>
      <c r="H4286" s="10">
        <v>107136</v>
      </c>
      <c r="I4286">
        <f>IFERROR(VLOOKUP(Final!F4286,'LEAID Match'!$A$2:$B$374,2,FALSE),"")</f>
        <v>402130</v>
      </c>
      <c r="K4286" s="10">
        <f t="shared" si="66"/>
        <v>107136</v>
      </c>
    </row>
    <row r="4287" spans="1:11">
      <c r="A4287">
        <v>402130</v>
      </c>
      <c r="B4287" s="10">
        <v>2022</v>
      </c>
      <c r="C4287" t="s">
        <v>474</v>
      </c>
      <c r="D4287" t="s">
        <v>2472</v>
      </c>
      <c r="E4287" t="s">
        <v>2474</v>
      </c>
      <c r="F4287" t="s">
        <v>1666</v>
      </c>
      <c r="G4287" t="s">
        <v>1666</v>
      </c>
      <c r="H4287" s="10">
        <v>110547</v>
      </c>
      <c r="I4287">
        <f>IFERROR(VLOOKUP(Final!F4287,'LEAID Match'!$A$2:$B$374,2,FALSE),"")</f>
        <v>402130</v>
      </c>
      <c r="K4287" s="10">
        <f t="shared" si="66"/>
        <v>110547</v>
      </c>
    </row>
    <row r="4288" spans="1:11">
      <c r="A4288">
        <v>402130</v>
      </c>
      <c r="B4288" s="10">
        <v>2023</v>
      </c>
      <c r="C4288" t="s">
        <v>474</v>
      </c>
      <c r="D4288" t="s">
        <v>2472</v>
      </c>
      <c r="E4288" t="s">
        <v>2474</v>
      </c>
      <c r="F4288" t="s">
        <v>1666</v>
      </c>
      <c r="G4288" t="s">
        <v>1666</v>
      </c>
      <c r="H4288" s="10">
        <v>84055</v>
      </c>
      <c r="I4288">
        <f>IFERROR(VLOOKUP(Final!F4288,'LEAID Match'!$A$2:$B$374,2,FALSE),"")</f>
        <v>402130</v>
      </c>
      <c r="K4288" s="10">
        <f t="shared" si="66"/>
        <v>84055</v>
      </c>
    </row>
    <row r="4289" spans="1:11">
      <c r="A4289">
        <v>402530</v>
      </c>
      <c r="B4289" s="10">
        <v>2015</v>
      </c>
      <c r="C4289" t="s">
        <v>559</v>
      </c>
      <c r="D4289" t="s">
        <v>2472</v>
      </c>
      <c r="E4289" t="s">
        <v>2474</v>
      </c>
      <c r="F4289" t="s">
        <v>1692</v>
      </c>
      <c r="G4289" t="s">
        <v>504</v>
      </c>
      <c r="H4289" s="10">
        <v>1671680</v>
      </c>
      <c r="I4289">
        <f>IFERROR(VLOOKUP(Final!F4289,'LEAID Match'!$A$2:$B$374,2,FALSE),"")</f>
        <v>402530</v>
      </c>
      <c r="K4289" s="10">
        <f t="shared" si="66"/>
        <v>1671680</v>
      </c>
    </row>
    <row r="4290" spans="1:11">
      <c r="A4290">
        <v>402530</v>
      </c>
      <c r="B4290" s="10">
        <v>2016</v>
      </c>
      <c r="C4290" t="s">
        <v>559</v>
      </c>
      <c r="D4290" t="s">
        <v>2472</v>
      </c>
      <c r="E4290" t="s">
        <v>2474</v>
      </c>
      <c r="F4290" t="s">
        <v>1692</v>
      </c>
      <c r="G4290" t="s">
        <v>504</v>
      </c>
      <c r="H4290" s="10">
        <v>1626811</v>
      </c>
      <c r="I4290">
        <f>IFERROR(VLOOKUP(Final!F4290,'LEAID Match'!$A$2:$B$374,2,FALSE),"")</f>
        <v>402530</v>
      </c>
      <c r="K4290" s="10">
        <f t="shared" si="66"/>
        <v>1626811</v>
      </c>
    </row>
    <row r="4291" spans="1:11">
      <c r="A4291">
        <v>402530</v>
      </c>
      <c r="B4291" s="10">
        <v>2017</v>
      </c>
      <c r="C4291" t="s">
        <v>559</v>
      </c>
      <c r="D4291" t="s">
        <v>2472</v>
      </c>
      <c r="E4291" t="s">
        <v>2474</v>
      </c>
      <c r="F4291" t="s">
        <v>1692</v>
      </c>
      <c r="G4291" t="s">
        <v>1692</v>
      </c>
      <c r="H4291" s="10">
        <v>1575964</v>
      </c>
      <c r="I4291">
        <f>IFERROR(VLOOKUP(Final!F4291,'LEAID Match'!$A$2:$B$374,2,FALSE),"")</f>
        <v>402530</v>
      </c>
      <c r="K4291" s="10">
        <f t="shared" ref="K4291:K4354" si="67">SUM(H4291,J4291)</f>
        <v>1575964</v>
      </c>
    </row>
    <row r="4292" spans="1:11">
      <c r="A4292">
        <v>402530</v>
      </c>
      <c r="B4292" s="10">
        <v>2018</v>
      </c>
      <c r="C4292" t="s">
        <v>559</v>
      </c>
      <c r="D4292" t="s">
        <v>2472</v>
      </c>
      <c r="E4292" t="s">
        <v>2474</v>
      </c>
      <c r="F4292" t="s">
        <v>1692</v>
      </c>
      <c r="G4292" t="s">
        <v>1692</v>
      </c>
      <c r="H4292" s="10">
        <v>1659970</v>
      </c>
      <c r="I4292">
        <f>IFERROR(VLOOKUP(Final!F4292,'LEAID Match'!$A$2:$B$374,2,FALSE),"")</f>
        <v>402530</v>
      </c>
      <c r="K4292" s="10">
        <f t="shared" si="67"/>
        <v>1659970</v>
      </c>
    </row>
    <row r="4293" spans="1:11">
      <c r="A4293">
        <v>402530</v>
      </c>
      <c r="B4293" s="10">
        <v>2019</v>
      </c>
      <c r="C4293" t="s">
        <v>559</v>
      </c>
      <c r="D4293" t="s">
        <v>2472</v>
      </c>
      <c r="E4293" t="s">
        <v>2474</v>
      </c>
      <c r="F4293" t="s">
        <v>1692</v>
      </c>
      <c r="G4293" t="s">
        <v>1692</v>
      </c>
      <c r="H4293" s="10">
        <v>1866204</v>
      </c>
      <c r="I4293">
        <f>IFERROR(VLOOKUP(Final!F4293,'LEAID Match'!$A$2:$B$374,2,FALSE),"")</f>
        <v>402530</v>
      </c>
      <c r="K4293" s="10">
        <f t="shared" si="67"/>
        <v>1866204</v>
      </c>
    </row>
    <row r="4294" spans="1:11">
      <c r="A4294">
        <v>402530</v>
      </c>
      <c r="B4294" s="10">
        <v>2020</v>
      </c>
      <c r="C4294" t="s">
        <v>559</v>
      </c>
      <c r="D4294" t="s">
        <v>2472</v>
      </c>
      <c r="E4294" t="s">
        <v>2474</v>
      </c>
      <c r="F4294" t="s">
        <v>1692</v>
      </c>
      <c r="G4294" t="s">
        <v>1692</v>
      </c>
      <c r="H4294" s="10">
        <v>2020532</v>
      </c>
      <c r="I4294">
        <f>IFERROR(VLOOKUP(Final!F4294,'LEAID Match'!$A$2:$B$374,2,FALSE),"")</f>
        <v>402530</v>
      </c>
      <c r="K4294" s="10">
        <f t="shared" si="67"/>
        <v>2020532</v>
      </c>
    </row>
    <row r="4295" spans="1:11">
      <c r="A4295">
        <v>402530</v>
      </c>
      <c r="B4295" s="10">
        <v>2021</v>
      </c>
      <c r="C4295" t="s">
        <v>559</v>
      </c>
      <c r="D4295" t="s">
        <v>2472</v>
      </c>
      <c r="E4295" t="s">
        <v>2474</v>
      </c>
      <c r="F4295" t="s">
        <v>1692</v>
      </c>
      <c r="G4295" t="s">
        <v>1692</v>
      </c>
      <c r="H4295" s="10">
        <v>2032977</v>
      </c>
      <c r="I4295">
        <f>IFERROR(VLOOKUP(Final!F4295,'LEAID Match'!$A$2:$B$374,2,FALSE),"")</f>
        <v>402530</v>
      </c>
      <c r="K4295" s="10">
        <f t="shared" si="67"/>
        <v>2032977</v>
      </c>
    </row>
    <row r="4296" spans="1:11">
      <c r="A4296">
        <v>402530</v>
      </c>
      <c r="B4296" s="10">
        <v>2022</v>
      </c>
      <c r="C4296" t="s">
        <v>559</v>
      </c>
      <c r="D4296" t="s">
        <v>2472</v>
      </c>
      <c r="E4296" t="s">
        <v>2474</v>
      </c>
      <c r="F4296" t="s">
        <v>1692</v>
      </c>
      <c r="G4296" t="s">
        <v>1692</v>
      </c>
      <c r="H4296" s="10">
        <v>2446068</v>
      </c>
      <c r="I4296">
        <f>IFERROR(VLOOKUP(Final!F4296,'LEAID Match'!$A$2:$B$374,2,FALSE),"")</f>
        <v>402530</v>
      </c>
      <c r="K4296" s="10">
        <f t="shared" si="67"/>
        <v>2446068</v>
      </c>
    </row>
    <row r="4297" spans="1:11">
      <c r="A4297">
        <v>402530</v>
      </c>
      <c r="B4297" s="10">
        <v>2023</v>
      </c>
      <c r="C4297" t="s">
        <v>559</v>
      </c>
      <c r="D4297" t="s">
        <v>2472</v>
      </c>
      <c r="E4297" t="s">
        <v>2474</v>
      </c>
      <c r="F4297" t="s">
        <v>1692</v>
      </c>
      <c r="G4297" t="s">
        <v>1692</v>
      </c>
      <c r="H4297" s="10">
        <v>2930389</v>
      </c>
      <c r="I4297">
        <f>IFERROR(VLOOKUP(Final!F4297,'LEAID Match'!$A$2:$B$374,2,FALSE),"")</f>
        <v>402530</v>
      </c>
      <c r="K4297" s="10">
        <f t="shared" si="67"/>
        <v>2930389</v>
      </c>
    </row>
    <row r="4298" spans="1:11">
      <c r="A4298">
        <v>400750</v>
      </c>
      <c r="B4298" s="10">
        <v>2015</v>
      </c>
      <c r="C4298" t="s">
        <v>79</v>
      </c>
      <c r="D4298" t="s">
        <v>2472</v>
      </c>
      <c r="E4298" t="s">
        <v>2474</v>
      </c>
      <c r="F4298" t="s">
        <v>1502</v>
      </c>
      <c r="G4298" t="s">
        <v>26</v>
      </c>
      <c r="H4298" s="10">
        <v>12061</v>
      </c>
      <c r="I4298">
        <f>IFERROR(VLOOKUP(Final!F4298,'LEAID Match'!$A$2:$B$374,2,FALSE),"")</f>
        <v>400750</v>
      </c>
      <c r="K4298" s="10">
        <f t="shared" si="67"/>
        <v>12061</v>
      </c>
    </row>
    <row r="4299" spans="1:11">
      <c r="A4299">
        <v>400750</v>
      </c>
      <c r="B4299" s="10">
        <v>2016</v>
      </c>
      <c r="C4299" t="s">
        <v>79</v>
      </c>
      <c r="D4299" t="s">
        <v>2472</v>
      </c>
      <c r="E4299" t="s">
        <v>2474</v>
      </c>
      <c r="F4299" t="s">
        <v>1502</v>
      </c>
      <c r="G4299" t="s">
        <v>26</v>
      </c>
      <c r="H4299" s="10">
        <v>11830</v>
      </c>
      <c r="I4299">
        <f>IFERROR(VLOOKUP(Final!F4299,'LEAID Match'!$A$2:$B$374,2,FALSE),"")</f>
        <v>400750</v>
      </c>
      <c r="K4299" s="10">
        <f t="shared" si="67"/>
        <v>11830</v>
      </c>
    </row>
    <row r="4300" spans="1:11">
      <c r="A4300">
        <v>400750</v>
      </c>
      <c r="B4300" s="10">
        <v>2017</v>
      </c>
      <c r="C4300" t="s">
        <v>79</v>
      </c>
      <c r="D4300" t="s">
        <v>2472</v>
      </c>
      <c r="E4300" t="s">
        <v>2474</v>
      </c>
      <c r="F4300" t="s">
        <v>1502</v>
      </c>
      <c r="G4300" t="s">
        <v>1502</v>
      </c>
      <c r="H4300" s="10">
        <v>12179</v>
      </c>
      <c r="I4300">
        <f>IFERROR(VLOOKUP(Final!F4300,'LEAID Match'!$A$2:$B$374,2,FALSE),"")</f>
        <v>400750</v>
      </c>
      <c r="K4300" s="10">
        <f t="shared" si="67"/>
        <v>12179</v>
      </c>
    </row>
    <row r="4301" spans="1:11">
      <c r="A4301">
        <v>400750</v>
      </c>
      <c r="B4301" s="10">
        <v>2018</v>
      </c>
      <c r="C4301" t="s">
        <v>79</v>
      </c>
      <c r="D4301" t="s">
        <v>2472</v>
      </c>
      <c r="E4301" t="s">
        <v>2474</v>
      </c>
      <c r="F4301" t="s">
        <v>1502</v>
      </c>
      <c r="G4301" t="s">
        <v>2051</v>
      </c>
      <c r="H4301" s="10">
        <v>9777</v>
      </c>
      <c r="I4301">
        <f>IFERROR(VLOOKUP(Final!F4301,'LEAID Match'!$A$2:$B$374,2,FALSE),"")</f>
        <v>400750</v>
      </c>
      <c r="K4301" s="10">
        <f t="shared" si="67"/>
        <v>9777</v>
      </c>
    </row>
    <row r="4302" spans="1:11">
      <c r="A4302">
        <v>400750</v>
      </c>
      <c r="B4302" s="10">
        <v>2019</v>
      </c>
      <c r="C4302" t="s">
        <v>79</v>
      </c>
      <c r="D4302" t="s">
        <v>2472</v>
      </c>
      <c r="E4302" t="s">
        <v>2474</v>
      </c>
      <c r="F4302" t="s">
        <v>1502</v>
      </c>
      <c r="G4302" t="s">
        <v>1502</v>
      </c>
      <c r="H4302" s="10">
        <v>11895</v>
      </c>
      <c r="I4302">
        <f>IFERROR(VLOOKUP(Final!F4302,'LEAID Match'!$A$2:$B$374,2,FALSE),"")</f>
        <v>400750</v>
      </c>
      <c r="K4302" s="10">
        <f t="shared" si="67"/>
        <v>11895</v>
      </c>
    </row>
    <row r="4303" spans="1:11">
      <c r="A4303">
        <v>400750</v>
      </c>
      <c r="B4303" s="10">
        <v>2020</v>
      </c>
      <c r="C4303" t="s">
        <v>79</v>
      </c>
      <c r="D4303" t="s">
        <v>2472</v>
      </c>
      <c r="E4303" t="s">
        <v>2474</v>
      </c>
      <c r="F4303" t="s">
        <v>1502</v>
      </c>
      <c r="G4303" t="s">
        <v>1502</v>
      </c>
      <c r="H4303" s="10">
        <v>12766</v>
      </c>
      <c r="I4303">
        <f>IFERROR(VLOOKUP(Final!F4303,'LEAID Match'!$A$2:$B$374,2,FALSE),"")</f>
        <v>400750</v>
      </c>
      <c r="K4303" s="10">
        <f t="shared" si="67"/>
        <v>12766</v>
      </c>
    </row>
    <row r="4304" spans="1:11">
      <c r="A4304">
        <v>400750</v>
      </c>
      <c r="B4304" s="10">
        <v>2021</v>
      </c>
      <c r="C4304" t="s">
        <v>79</v>
      </c>
      <c r="D4304" t="s">
        <v>2472</v>
      </c>
      <c r="E4304" t="s">
        <v>2474</v>
      </c>
      <c r="F4304" t="s">
        <v>1502</v>
      </c>
      <c r="G4304" t="s">
        <v>1502</v>
      </c>
      <c r="H4304" s="10">
        <v>13776</v>
      </c>
      <c r="I4304">
        <f>IFERROR(VLOOKUP(Final!F4304,'LEAID Match'!$A$2:$B$374,2,FALSE),"")</f>
        <v>400750</v>
      </c>
      <c r="K4304" s="10">
        <f t="shared" si="67"/>
        <v>13776</v>
      </c>
    </row>
    <row r="4305" spans="1:11">
      <c r="A4305">
        <v>400750</v>
      </c>
      <c r="B4305" s="10">
        <v>2022</v>
      </c>
      <c r="C4305" t="s">
        <v>79</v>
      </c>
      <c r="D4305" t="s">
        <v>2472</v>
      </c>
      <c r="E4305" t="s">
        <v>2474</v>
      </c>
      <c r="F4305" t="s">
        <v>1502</v>
      </c>
      <c r="G4305" t="s">
        <v>1502</v>
      </c>
      <c r="H4305" s="10">
        <v>17018</v>
      </c>
      <c r="I4305">
        <f>IFERROR(VLOOKUP(Final!F4305,'LEAID Match'!$A$2:$B$374,2,FALSE),"")</f>
        <v>400750</v>
      </c>
      <c r="K4305" s="10">
        <f t="shared" si="67"/>
        <v>17018</v>
      </c>
    </row>
    <row r="4306" spans="1:11">
      <c r="A4306">
        <v>400750</v>
      </c>
      <c r="B4306" s="10">
        <v>2023</v>
      </c>
      <c r="C4306" t="s">
        <v>79</v>
      </c>
      <c r="D4306" t="s">
        <v>2472</v>
      </c>
      <c r="E4306" t="s">
        <v>2474</v>
      </c>
      <c r="F4306" t="s">
        <v>1502</v>
      </c>
      <c r="G4306" t="s">
        <v>1502</v>
      </c>
      <c r="H4306" s="10">
        <v>16771</v>
      </c>
      <c r="I4306">
        <f>IFERROR(VLOOKUP(Final!F4306,'LEAID Match'!$A$2:$B$374,2,FALSE),"")</f>
        <v>400750</v>
      </c>
      <c r="K4306" s="10">
        <f t="shared" si="67"/>
        <v>16771</v>
      </c>
    </row>
    <row r="4307" spans="1:11">
      <c r="A4307">
        <v>402490</v>
      </c>
      <c r="B4307" s="10">
        <v>2015</v>
      </c>
      <c r="C4307" t="s">
        <v>558</v>
      </c>
      <c r="D4307" t="s">
        <v>2472</v>
      </c>
      <c r="E4307" t="s">
        <v>2474</v>
      </c>
      <c r="F4307" t="s">
        <v>1691</v>
      </c>
      <c r="G4307" t="s">
        <v>503</v>
      </c>
      <c r="H4307" s="10">
        <v>27555</v>
      </c>
      <c r="I4307">
        <f>IFERROR(VLOOKUP(Final!F4307,'LEAID Match'!$A$2:$B$374,2,FALSE),"")</f>
        <v>402490</v>
      </c>
      <c r="K4307" s="10">
        <f t="shared" si="67"/>
        <v>27555</v>
      </c>
    </row>
    <row r="4308" spans="1:11">
      <c r="A4308">
        <v>402490</v>
      </c>
      <c r="B4308" s="10">
        <v>2016</v>
      </c>
      <c r="C4308" t="s">
        <v>558</v>
      </c>
      <c r="D4308" t="s">
        <v>2472</v>
      </c>
      <c r="E4308" t="s">
        <v>2474</v>
      </c>
      <c r="F4308" t="s">
        <v>1691</v>
      </c>
      <c r="G4308" t="s">
        <v>503</v>
      </c>
      <c r="H4308" s="10">
        <v>28768</v>
      </c>
      <c r="I4308">
        <f>IFERROR(VLOOKUP(Final!F4308,'LEAID Match'!$A$2:$B$374,2,FALSE),"")</f>
        <v>402490</v>
      </c>
      <c r="K4308" s="10">
        <f t="shared" si="67"/>
        <v>28768</v>
      </c>
    </row>
    <row r="4309" spans="1:11">
      <c r="A4309">
        <v>402490</v>
      </c>
      <c r="B4309" s="10">
        <v>2017</v>
      </c>
      <c r="C4309" t="s">
        <v>558</v>
      </c>
      <c r="D4309" t="s">
        <v>2472</v>
      </c>
      <c r="E4309" t="s">
        <v>2474</v>
      </c>
      <c r="F4309" t="s">
        <v>1691</v>
      </c>
      <c r="G4309" t="s">
        <v>1691</v>
      </c>
      <c r="H4309" s="10">
        <v>29356</v>
      </c>
      <c r="I4309">
        <f>IFERROR(VLOOKUP(Final!F4309,'LEAID Match'!$A$2:$B$374,2,FALSE),"")</f>
        <v>402490</v>
      </c>
      <c r="K4309" s="10">
        <f t="shared" si="67"/>
        <v>29356</v>
      </c>
    </row>
    <row r="4310" spans="1:11">
      <c r="A4310">
        <v>402490</v>
      </c>
      <c r="B4310" s="10">
        <v>2018</v>
      </c>
      <c r="C4310" t="s">
        <v>558</v>
      </c>
      <c r="D4310" t="s">
        <v>2472</v>
      </c>
      <c r="E4310" t="s">
        <v>2474</v>
      </c>
      <c r="F4310" t="s">
        <v>1691</v>
      </c>
      <c r="G4310" t="s">
        <v>2172</v>
      </c>
      <c r="H4310" s="10">
        <v>29291</v>
      </c>
      <c r="I4310">
        <f>IFERROR(VLOOKUP(Final!F4310,'LEAID Match'!$A$2:$B$374,2,FALSE),"")</f>
        <v>402490</v>
      </c>
      <c r="K4310" s="10">
        <f t="shared" si="67"/>
        <v>29291</v>
      </c>
    </row>
    <row r="4311" spans="1:11">
      <c r="A4311">
        <v>402490</v>
      </c>
      <c r="B4311" s="10">
        <v>2019</v>
      </c>
      <c r="C4311" t="s">
        <v>558</v>
      </c>
      <c r="D4311" t="s">
        <v>2472</v>
      </c>
      <c r="E4311" t="s">
        <v>2474</v>
      </c>
      <c r="F4311" t="s">
        <v>1691</v>
      </c>
      <c r="G4311" t="s">
        <v>1691</v>
      </c>
      <c r="H4311" s="10">
        <v>32853</v>
      </c>
      <c r="I4311">
        <f>IFERROR(VLOOKUP(Final!F4311,'LEAID Match'!$A$2:$B$374,2,FALSE),"")</f>
        <v>402490</v>
      </c>
      <c r="K4311" s="10">
        <f t="shared" si="67"/>
        <v>32853</v>
      </c>
    </row>
    <row r="4312" spans="1:11">
      <c r="A4312">
        <v>402490</v>
      </c>
      <c r="B4312" s="10">
        <v>2020</v>
      </c>
      <c r="C4312" t="s">
        <v>558</v>
      </c>
      <c r="D4312" t="s">
        <v>2472</v>
      </c>
      <c r="E4312" t="s">
        <v>2474</v>
      </c>
      <c r="F4312" t="s">
        <v>1691</v>
      </c>
      <c r="G4312" t="s">
        <v>1691</v>
      </c>
      <c r="H4312" s="10">
        <v>34209</v>
      </c>
      <c r="I4312">
        <f>IFERROR(VLOOKUP(Final!F4312,'LEAID Match'!$A$2:$B$374,2,FALSE),"")</f>
        <v>402490</v>
      </c>
      <c r="K4312" s="10">
        <f t="shared" si="67"/>
        <v>34209</v>
      </c>
    </row>
    <row r="4313" spans="1:11">
      <c r="A4313">
        <v>402490</v>
      </c>
      <c r="B4313" s="10">
        <v>2021</v>
      </c>
      <c r="C4313" t="s">
        <v>558</v>
      </c>
      <c r="D4313" t="s">
        <v>2472</v>
      </c>
      <c r="E4313" t="s">
        <v>2474</v>
      </c>
      <c r="F4313" t="s">
        <v>1691</v>
      </c>
      <c r="G4313" t="s">
        <v>1691</v>
      </c>
      <c r="H4313" s="10">
        <v>24559</v>
      </c>
      <c r="I4313">
        <f>IFERROR(VLOOKUP(Final!F4313,'LEAID Match'!$A$2:$B$374,2,FALSE),"")</f>
        <v>402490</v>
      </c>
      <c r="K4313" s="10">
        <f t="shared" si="67"/>
        <v>24559</v>
      </c>
    </row>
    <row r="4314" spans="1:11">
      <c r="A4314">
        <v>402490</v>
      </c>
      <c r="B4314" s="10">
        <v>2022</v>
      </c>
      <c r="C4314" t="s">
        <v>558</v>
      </c>
      <c r="D4314" t="s">
        <v>2472</v>
      </c>
      <c r="E4314" t="s">
        <v>2474</v>
      </c>
      <c r="F4314" t="s">
        <v>1691</v>
      </c>
      <c r="G4314" t="s">
        <v>1691</v>
      </c>
      <c r="H4314" s="10">
        <v>29715</v>
      </c>
      <c r="I4314">
        <f>IFERROR(VLOOKUP(Final!F4314,'LEAID Match'!$A$2:$B$374,2,FALSE),"")</f>
        <v>402490</v>
      </c>
      <c r="K4314" s="10">
        <f t="shared" si="67"/>
        <v>29715</v>
      </c>
    </row>
    <row r="4315" spans="1:11">
      <c r="A4315">
        <v>402490</v>
      </c>
      <c r="B4315" s="10">
        <v>2023</v>
      </c>
      <c r="C4315" t="s">
        <v>558</v>
      </c>
      <c r="D4315" t="s">
        <v>2472</v>
      </c>
      <c r="E4315" t="s">
        <v>2474</v>
      </c>
      <c r="F4315" t="s">
        <v>1691</v>
      </c>
      <c r="G4315" t="s">
        <v>1691</v>
      </c>
      <c r="H4315" s="10">
        <v>32358</v>
      </c>
      <c r="I4315">
        <f>IFERROR(VLOOKUP(Final!F4315,'LEAID Match'!$A$2:$B$374,2,FALSE),"")</f>
        <v>402490</v>
      </c>
      <c r="K4315" s="10">
        <f t="shared" si="67"/>
        <v>32358</v>
      </c>
    </row>
    <row r="4316" spans="1:11">
      <c r="A4316">
        <v>405880</v>
      </c>
      <c r="B4316" s="10">
        <v>2015</v>
      </c>
      <c r="C4316" t="s">
        <v>910</v>
      </c>
      <c r="D4316" t="s">
        <v>2472</v>
      </c>
      <c r="E4316" t="s">
        <v>2474</v>
      </c>
      <c r="F4316" t="s">
        <v>1853</v>
      </c>
      <c r="G4316" t="s">
        <v>855</v>
      </c>
      <c r="H4316" s="10">
        <v>541875</v>
      </c>
      <c r="I4316">
        <f>IFERROR(VLOOKUP(Final!F4316,'LEAID Match'!$A$2:$B$374,2,FALSE),"")</f>
        <v>405880</v>
      </c>
      <c r="K4316" s="10">
        <f t="shared" si="67"/>
        <v>541875</v>
      </c>
    </row>
    <row r="4317" spans="1:11">
      <c r="A4317">
        <v>405880</v>
      </c>
      <c r="B4317" s="10">
        <v>2016</v>
      </c>
      <c r="C4317" t="s">
        <v>910</v>
      </c>
      <c r="D4317" t="s">
        <v>2472</v>
      </c>
      <c r="E4317" t="s">
        <v>2474</v>
      </c>
      <c r="F4317" t="s">
        <v>1853</v>
      </c>
      <c r="G4317" t="s">
        <v>855</v>
      </c>
      <c r="H4317" s="10">
        <v>522823</v>
      </c>
      <c r="I4317">
        <f>IFERROR(VLOOKUP(Final!F4317,'LEAID Match'!$A$2:$B$374,2,FALSE),"")</f>
        <v>405880</v>
      </c>
      <c r="K4317" s="10">
        <f t="shared" si="67"/>
        <v>522823</v>
      </c>
    </row>
    <row r="4318" spans="1:11">
      <c r="A4318">
        <v>405880</v>
      </c>
      <c r="B4318" s="10">
        <v>2017</v>
      </c>
      <c r="C4318" t="s">
        <v>910</v>
      </c>
      <c r="D4318" t="s">
        <v>2472</v>
      </c>
      <c r="E4318" t="s">
        <v>2474</v>
      </c>
      <c r="F4318" t="s">
        <v>1853</v>
      </c>
      <c r="G4318" t="s">
        <v>1853</v>
      </c>
      <c r="H4318" s="10">
        <v>499403</v>
      </c>
      <c r="I4318">
        <f>IFERROR(VLOOKUP(Final!F4318,'LEAID Match'!$A$2:$B$374,2,FALSE),"")</f>
        <v>405880</v>
      </c>
      <c r="K4318" s="10">
        <f t="shared" si="67"/>
        <v>499403</v>
      </c>
    </row>
    <row r="4319" spans="1:11">
      <c r="A4319">
        <v>405880</v>
      </c>
      <c r="B4319" s="10">
        <v>2018</v>
      </c>
      <c r="C4319" t="s">
        <v>910</v>
      </c>
      <c r="D4319" t="s">
        <v>2472</v>
      </c>
      <c r="E4319" t="s">
        <v>2474</v>
      </c>
      <c r="F4319" t="s">
        <v>1853</v>
      </c>
      <c r="G4319" t="s">
        <v>2264</v>
      </c>
      <c r="H4319" s="10">
        <v>497427</v>
      </c>
      <c r="I4319">
        <f>IFERROR(VLOOKUP(Final!F4319,'LEAID Match'!$A$2:$B$374,2,FALSE),"")</f>
        <v>405880</v>
      </c>
      <c r="K4319" s="10">
        <f t="shared" si="67"/>
        <v>497427</v>
      </c>
    </row>
    <row r="4320" spans="1:11">
      <c r="A4320">
        <v>405880</v>
      </c>
      <c r="B4320" s="10">
        <v>2019</v>
      </c>
      <c r="C4320" t="s">
        <v>910</v>
      </c>
      <c r="D4320" t="s">
        <v>2472</v>
      </c>
      <c r="E4320" t="s">
        <v>2474</v>
      </c>
      <c r="F4320" t="s">
        <v>1853</v>
      </c>
      <c r="G4320" t="s">
        <v>1853</v>
      </c>
      <c r="H4320" s="10">
        <v>586903</v>
      </c>
      <c r="I4320">
        <f>IFERROR(VLOOKUP(Final!F4320,'LEAID Match'!$A$2:$B$374,2,FALSE),"")</f>
        <v>405880</v>
      </c>
      <c r="K4320" s="10">
        <f t="shared" si="67"/>
        <v>586903</v>
      </c>
    </row>
    <row r="4321" spans="1:11">
      <c r="A4321">
        <v>405880</v>
      </c>
      <c r="B4321" s="10">
        <v>2020</v>
      </c>
      <c r="C4321" t="s">
        <v>910</v>
      </c>
      <c r="D4321" t="s">
        <v>2472</v>
      </c>
      <c r="E4321" t="s">
        <v>2474</v>
      </c>
      <c r="F4321" t="s">
        <v>1853</v>
      </c>
      <c r="G4321" t="s">
        <v>1853</v>
      </c>
      <c r="H4321" s="10">
        <v>633300</v>
      </c>
      <c r="I4321">
        <f>IFERROR(VLOOKUP(Final!F4321,'LEAID Match'!$A$2:$B$374,2,FALSE),"")</f>
        <v>405880</v>
      </c>
      <c r="K4321" s="10">
        <f t="shared" si="67"/>
        <v>633300</v>
      </c>
    </row>
    <row r="4322" spans="1:11">
      <c r="A4322">
        <v>405880</v>
      </c>
      <c r="B4322" s="10">
        <v>2021</v>
      </c>
      <c r="C4322" t="s">
        <v>910</v>
      </c>
      <c r="D4322" t="s">
        <v>2472</v>
      </c>
      <c r="E4322" t="s">
        <v>2474</v>
      </c>
      <c r="F4322" t="s">
        <v>1853</v>
      </c>
      <c r="G4322" t="s">
        <v>1853</v>
      </c>
      <c r="H4322" s="10">
        <v>659546</v>
      </c>
      <c r="I4322">
        <f>IFERROR(VLOOKUP(Final!F4322,'LEAID Match'!$A$2:$B$374,2,FALSE),"")</f>
        <v>405880</v>
      </c>
      <c r="K4322" s="10">
        <f t="shared" si="67"/>
        <v>659546</v>
      </c>
    </row>
    <row r="4323" spans="1:11">
      <c r="A4323">
        <v>405880</v>
      </c>
      <c r="B4323" s="10">
        <v>2022</v>
      </c>
      <c r="C4323" t="s">
        <v>910</v>
      </c>
      <c r="D4323" t="s">
        <v>2472</v>
      </c>
      <c r="E4323" t="s">
        <v>2474</v>
      </c>
      <c r="F4323" t="s">
        <v>1853</v>
      </c>
      <c r="G4323" t="s">
        <v>1853</v>
      </c>
      <c r="H4323" s="10">
        <v>657016</v>
      </c>
      <c r="I4323">
        <f>IFERROR(VLOOKUP(Final!F4323,'LEAID Match'!$A$2:$B$374,2,FALSE),"")</f>
        <v>405880</v>
      </c>
      <c r="K4323" s="10">
        <f t="shared" si="67"/>
        <v>657016</v>
      </c>
    </row>
    <row r="4324" spans="1:11">
      <c r="A4324">
        <v>405880</v>
      </c>
      <c r="B4324" s="10">
        <v>2023</v>
      </c>
      <c r="C4324" t="s">
        <v>910</v>
      </c>
      <c r="D4324" t="s">
        <v>2472</v>
      </c>
      <c r="E4324" t="s">
        <v>2474</v>
      </c>
      <c r="F4324" t="s">
        <v>1853</v>
      </c>
      <c r="G4324" t="s">
        <v>1853</v>
      </c>
      <c r="H4324" s="10">
        <v>684734</v>
      </c>
      <c r="I4324">
        <f>IFERROR(VLOOKUP(Final!F4324,'LEAID Match'!$A$2:$B$374,2,FALSE),"")</f>
        <v>405880</v>
      </c>
      <c r="K4324" s="10">
        <f t="shared" si="67"/>
        <v>684734</v>
      </c>
    </row>
    <row r="4325" spans="1:11">
      <c r="A4325">
        <v>400870</v>
      </c>
      <c r="B4325" s="10">
        <v>2015</v>
      </c>
      <c r="C4325" t="s">
        <v>1421</v>
      </c>
      <c r="D4325" t="s">
        <v>2472</v>
      </c>
      <c r="E4325" t="s">
        <v>2474</v>
      </c>
      <c r="F4325" t="s">
        <v>1615</v>
      </c>
      <c r="G4325" t="s">
        <v>254</v>
      </c>
      <c r="H4325" s="10">
        <v>24521</v>
      </c>
      <c r="I4325">
        <f>IFERROR(VLOOKUP(Final!F4325,'LEAID Match'!$A$2:$B$374,2,FALSE),"")</f>
        <v>400870</v>
      </c>
      <c r="K4325" s="10">
        <f t="shared" si="67"/>
        <v>24521</v>
      </c>
    </row>
    <row r="4326" spans="1:11">
      <c r="A4326">
        <v>400870</v>
      </c>
      <c r="B4326" s="10">
        <v>2016</v>
      </c>
      <c r="C4326" t="s">
        <v>1421</v>
      </c>
      <c r="D4326" t="s">
        <v>2472</v>
      </c>
      <c r="E4326" t="s">
        <v>2474</v>
      </c>
      <c r="F4326" t="s">
        <v>1615</v>
      </c>
      <c r="G4326" t="s">
        <v>254</v>
      </c>
      <c r="H4326" s="10">
        <v>26982</v>
      </c>
      <c r="I4326">
        <f>IFERROR(VLOOKUP(Final!F4326,'LEAID Match'!$A$2:$B$374,2,FALSE),"")</f>
        <v>400870</v>
      </c>
      <c r="K4326" s="10">
        <f t="shared" si="67"/>
        <v>26982</v>
      </c>
    </row>
    <row r="4327" spans="1:11">
      <c r="A4327">
        <v>400870</v>
      </c>
      <c r="B4327" s="10">
        <v>2017</v>
      </c>
      <c r="C4327" t="s">
        <v>1421</v>
      </c>
      <c r="D4327" t="s">
        <v>2472</v>
      </c>
      <c r="E4327" t="s">
        <v>2474</v>
      </c>
      <c r="F4327" t="s">
        <v>1615</v>
      </c>
      <c r="G4327" t="s">
        <v>1615</v>
      </c>
      <c r="H4327" s="10">
        <v>27158</v>
      </c>
      <c r="I4327">
        <f>IFERROR(VLOOKUP(Final!F4327,'LEAID Match'!$A$2:$B$374,2,FALSE),"")</f>
        <v>400870</v>
      </c>
      <c r="K4327" s="10">
        <f t="shared" si="67"/>
        <v>27158</v>
      </c>
    </row>
    <row r="4328" spans="1:11">
      <c r="A4328">
        <v>400870</v>
      </c>
      <c r="B4328" s="10">
        <v>2018</v>
      </c>
      <c r="C4328" t="s">
        <v>1421</v>
      </c>
      <c r="D4328" t="s">
        <v>2472</v>
      </c>
      <c r="E4328" t="s">
        <v>2474</v>
      </c>
      <c r="F4328" t="s">
        <v>1615</v>
      </c>
      <c r="G4328" t="s">
        <v>2119</v>
      </c>
      <c r="H4328" s="10">
        <v>27445</v>
      </c>
      <c r="I4328">
        <f>IFERROR(VLOOKUP(Final!F4328,'LEAID Match'!$A$2:$B$374,2,FALSE),"")</f>
        <v>400870</v>
      </c>
      <c r="K4328" s="10">
        <f t="shared" si="67"/>
        <v>27445</v>
      </c>
    </row>
    <row r="4329" spans="1:11">
      <c r="A4329">
        <v>400870</v>
      </c>
      <c r="B4329" s="10">
        <v>2019</v>
      </c>
      <c r="C4329" t="s">
        <v>1421</v>
      </c>
      <c r="D4329" t="s">
        <v>2472</v>
      </c>
      <c r="E4329" t="s">
        <v>2474</v>
      </c>
      <c r="F4329" t="s">
        <v>1615</v>
      </c>
      <c r="G4329" t="s">
        <v>1615</v>
      </c>
      <c r="H4329" s="10">
        <v>33767</v>
      </c>
      <c r="I4329">
        <f>IFERROR(VLOOKUP(Final!F4329,'LEAID Match'!$A$2:$B$374,2,FALSE),"")</f>
        <v>400870</v>
      </c>
      <c r="K4329" s="10">
        <f t="shared" si="67"/>
        <v>33767</v>
      </c>
    </row>
    <row r="4330" spans="1:11">
      <c r="A4330">
        <v>400870</v>
      </c>
      <c r="B4330" s="10">
        <v>2020</v>
      </c>
      <c r="C4330" t="s">
        <v>1421</v>
      </c>
      <c r="D4330" t="s">
        <v>2472</v>
      </c>
      <c r="E4330" t="s">
        <v>2474</v>
      </c>
      <c r="F4330" t="s">
        <v>1615</v>
      </c>
      <c r="G4330" t="s">
        <v>1615</v>
      </c>
      <c r="H4330" s="10">
        <v>34496</v>
      </c>
      <c r="I4330">
        <f>IFERROR(VLOOKUP(Final!F4330,'LEAID Match'!$A$2:$B$374,2,FALSE),"")</f>
        <v>400870</v>
      </c>
      <c r="K4330" s="10">
        <f t="shared" si="67"/>
        <v>34496</v>
      </c>
    </row>
    <row r="4331" spans="1:11">
      <c r="A4331">
        <v>400870</v>
      </c>
      <c r="B4331" s="10">
        <v>2021</v>
      </c>
      <c r="C4331" t="s">
        <v>1421</v>
      </c>
      <c r="D4331" t="s">
        <v>2472</v>
      </c>
      <c r="E4331" t="s">
        <v>2474</v>
      </c>
      <c r="F4331" t="s">
        <v>1615</v>
      </c>
      <c r="G4331" t="s">
        <v>1615</v>
      </c>
      <c r="H4331" s="10">
        <v>33988</v>
      </c>
      <c r="I4331">
        <f>IFERROR(VLOOKUP(Final!F4331,'LEAID Match'!$A$2:$B$374,2,FALSE),"")</f>
        <v>400870</v>
      </c>
      <c r="K4331" s="10">
        <f t="shared" si="67"/>
        <v>33988</v>
      </c>
    </row>
    <row r="4332" spans="1:11">
      <c r="A4332">
        <v>400870</v>
      </c>
      <c r="B4332" s="10">
        <v>2022</v>
      </c>
      <c r="C4332" t="s">
        <v>1421</v>
      </c>
      <c r="D4332" t="s">
        <v>2472</v>
      </c>
      <c r="E4332" t="s">
        <v>2474</v>
      </c>
      <c r="F4332" t="s">
        <v>1615</v>
      </c>
      <c r="G4332" t="s">
        <v>1615</v>
      </c>
      <c r="H4332" s="10">
        <v>38264</v>
      </c>
      <c r="I4332">
        <f>IFERROR(VLOOKUP(Final!F4332,'LEAID Match'!$A$2:$B$374,2,FALSE),"")</f>
        <v>400870</v>
      </c>
      <c r="K4332" s="10">
        <f t="shared" si="67"/>
        <v>38264</v>
      </c>
    </row>
    <row r="4333" spans="1:11">
      <c r="A4333">
        <v>400870</v>
      </c>
      <c r="B4333" s="10">
        <v>2023</v>
      </c>
      <c r="C4333" t="s">
        <v>1421</v>
      </c>
      <c r="D4333" t="s">
        <v>2472</v>
      </c>
      <c r="E4333" t="s">
        <v>2474</v>
      </c>
      <c r="F4333" t="s">
        <v>1615</v>
      </c>
      <c r="G4333" t="s">
        <v>1615</v>
      </c>
      <c r="H4333" s="10">
        <v>36204</v>
      </c>
      <c r="I4333">
        <f>IFERROR(VLOOKUP(Final!F4333,'LEAID Match'!$A$2:$B$374,2,FALSE),"")</f>
        <v>400870</v>
      </c>
      <c r="K4333" s="10">
        <f t="shared" si="67"/>
        <v>36204</v>
      </c>
    </row>
    <row r="4334" spans="1:11">
      <c r="A4334">
        <v>404920</v>
      </c>
      <c r="B4334" s="10">
        <v>2015</v>
      </c>
      <c r="C4334" t="s">
        <v>794</v>
      </c>
      <c r="D4334" t="s">
        <v>2472</v>
      </c>
      <c r="E4334" t="s">
        <v>2474</v>
      </c>
      <c r="F4334" t="s">
        <v>1805</v>
      </c>
      <c r="G4334" t="s">
        <v>739</v>
      </c>
      <c r="H4334" s="10">
        <v>36849</v>
      </c>
      <c r="I4334">
        <f>IFERROR(VLOOKUP(Final!F4334,'LEAID Match'!$A$2:$B$374,2,FALSE),"")</f>
        <v>404920</v>
      </c>
      <c r="K4334" s="10">
        <f t="shared" si="67"/>
        <v>36849</v>
      </c>
    </row>
    <row r="4335" spans="1:11">
      <c r="A4335">
        <v>404920</v>
      </c>
      <c r="B4335" s="10">
        <v>2016</v>
      </c>
      <c r="C4335" t="s">
        <v>794</v>
      </c>
      <c r="D4335" t="s">
        <v>2472</v>
      </c>
      <c r="E4335" t="s">
        <v>2474</v>
      </c>
      <c r="F4335" t="s">
        <v>1805</v>
      </c>
      <c r="G4335" t="s">
        <v>1466</v>
      </c>
      <c r="H4335" s="10">
        <v>37273</v>
      </c>
      <c r="I4335">
        <f>IFERROR(VLOOKUP(Final!F4335,'LEAID Match'!$A$2:$B$374,2,FALSE),"")</f>
        <v>404920</v>
      </c>
      <c r="K4335" s="10">
        <f t="shared" si="67"/>
        <v>37273</v>
      </c>
    </row>
    <row r="4336" spans="1:11">
      <c r="A4336">
        <v>404920</v>
      </c>
      <c r="B4336" s="10">
        <v>2017</v>
      </c>
      <c r="C4336" t="s">
        <v>794</v>
      </c>
      <c r="D4336" t="s">
        <v>2472</v>
      </c>
      <c r="E4336" t="s">
        <v>2474</v>
      </c>
      <c r="F4336" t="s">
        <v>1805</v>
      </c>
      <c r="G4336" t="s">
        <v>1805</v>
      </c>
      <c r="H4336" s="10">
        <v>43393</v>
      </c>
      <c r="I4336">
        <f>IFERROR(VLOOKUP(Final!F4336,'LEAID Match'!$A$2:$B$374,2,FALSE),"")</f>
        <v>404920</v>
      </c>
      <c r="K4336" s="10">
        <f t="shared" si="67"/>
        <v>43393</v>
      </c>
    </row>
    <row r="4337" spans="1:11">
      <c r="A4337">
        <v>404920</v>
      </c>
      <c r="B4337" s="10">
        <v>2018</v>
      </c>
      <c r="C4337" t="s">
        <v>794</v>
      </c>
      <c r="D4337" t="s">
        <v>2472</v>
      </c>
      <c r="E4337" t="s">
        <v>2474</v>
      </c>
      <c r="F4337" t="s">
        <v>1805</v>
      </c>
      <c r="G4337" t="s">
        <v>2237</v>
      </c>
      <c r="H4337" s="10">
        <v>42644</v>
      </c>
      <c r="I4337">
        <f>IFERROR(VLOOKUP(Final!F4337,'LEAID Match'!$A$2:$B$374,2,FALSE),"")</f>
        <v>404920</v>
      </c>
      <c r="K4337" s="10">
        <f t="shared" si="67"/>
        <v>42644</v>
      </c>
    </row>
    <row r="4338" spans="1:11">
      <c r="A4338">
        <v>404920</v>
      </c>
      <c r="B4338" s="10">
        <v>2019</v>
      </c>
      <c r="C4338" t="s">
        <v>794</v>
      </c>
      <c r="D4338" t="s">
        <v>2472</v>
      </c>
      <c r="E4338" t="s">
        <v>2474</v>
      </c>
      <c r="F4338" t="s">
        <v>1805</v>
      </c>
      <c r="G4338" t="s">
        <v>1805</v>
      </c>
      <c r="H4338" s="10">
        <v>42317</v>
      </c>
      <c r="I4338">
        <f>IFERROR(VLOOKUP(Final!F4338,'LEAID Match'!$A$2:$B$374,2,FALSE),"")</f>
        <v>404920</v>
      </c>
      <c r="K4338" s="10">
        <f t="shared" si="67"/>
        <v>42317</v>
      </c>
    </row>
    <row r="4339" spans="1:11">
      <c r="A4339">
        <v>404920</v>
      </c>
      <c r="B4339" s="10">
        <v>2020</v>
      </c>
      <c r="C4339" t="s">
        <v>794</v>
      </c>
      <c r="D4339" t="s">
        <v>2472</v>
      </c>
      <c r="E4339" t="s">
        <v>2474</v>
      </c>
      <c r="F4339" t="s">
        <v>1805</v>
      </c>
      <c r="G4339" t="s">
        <v>1805</v>
      </c>
      <c r="H4339" s="10">
        <v>40494</v>
      </c>
      <c r="I4339">
        <f>IFERROR(VLOOKUP(Final!F4339,'LEAID Match'!$A$2:$B$374,2,FALSE),"")</f>
        <v>404920</v>
      </c>
      <c r="K4339" s="10">
        <f t="shared" si="67"/>
        <v>40494</v>
      </c>
    </row>
    <row r="4340" spans="1:11">
      <c r="A4340">
        <v>404920</v>
      </c>
      <c r="B4340" s="10">
        <v>2021</v>
      </c>
      <c r="C4340" t="s">
        <v>794</v>
      </c>
      <c r="D4340" t="s">
        <v>2472</v>
      </c>
      <c r="E4340" t="s">
        <v>2474</v>
      </c>
      <c r="F4340" t="s">
        <v>1805</v>
      </c>
      <c r="G4340" t="s">
        <v>1805</v>
      </c>
      <c r="H4340" s="10">
        <v>41314</v>
      </c>
      <c r="I4340">
        <f>IFERROR(VLOOKUP(Final!F4340,'LEAID Match'!$A$2:$B$374,2,FALSE),"")</f>
        <v>404920</v>
      </c>
      <c r="K4340" s="10">
        <f t="shared" si="67"/>
        <v>41314</v>
      </c>
    </row>
    <row r="4341" spans="1:11">
      <c r="A4341">
        <v>404920</v>
      </c>
      <c r="B4341" s="10">
        <v>2022</v>
      </c>
      <c r="C4341" t="s">
        <v>794</v>
      </c>
      <c r="D4341" t="s">
        <v>2472</v>
      </c>
      <c r="E4341" t="s">
        <v>2474</v>
      </c>
      <c r="F4341" t="s">
        <v>1805</v>
      </c>
      <c r="G4341" t="s">
        <v>1805</v>
      </c>
      <c r="H4341" s="10">
        <v>51039</v>
      </c>
      <c r="I4341">
        <f>IFERROR(VLOOKUP(Final!F4341,'LEAID Match'!$A$2:$B$374,2,FALSE),"")</f>
        <v>404920</v>
      </c>
      <c r="K4341" s="10">
        <f t="shared" si="67"/>
        <v>51039</v>
      </c>
    </row>
    <row r="4342" spans="1:11">
      <c r="A4342">
        <v>404920</v>
      </c>
      <c r="B4342" s="10">
        <v>2023</v>
      </c>
      <c r="C4342" t="s">
        <v>794</v>
      </c>
      <c r="D4342" t="s">
        <v>2472</v>
      </c>
      <c r="E4342" t="s">
        <v>2474</v>
      </c>
      <c r="F4342" t="s">
        <v>1805</v>
      </c>
      <c r="G4342" t="s">
        <v>1805</v>
      </c>
      <c r="H4342" s="10">
        <v>48845</v>
      </c>
      <c r="I4342">
        <f>IFERROR(VLOOKUP(Final!F4342,'LEAID Match'!$A$2:$B$374,2,FALSE),"")</f>
        <v>404920</v>
      </c>
      <c r="K4342" s="10">
        <f t="shared" si="67"/>
        <v>48845</v>
      </c>
    </row>
    <row r="4343" spans="1:11">
      <c r="A4343">
        <v>406630</v>
      </c>
      <c r="B4343" s="10">
        <v>2015</v>
      </c>
      <c r="C4343" t="s">
        <v>1017</v>
      </c>
      <c r="D4343" t="s">
        <v>2472</v>
      </c>
      <c r="E4343" t="s">
        <v>2474</v>
      </c>
      <c r="F4343" t="s">
        <v>1898</v>
      </c>
      <c r="G4343" t="s">
        <v>962</v>
      </c>
      <c r="H4343" s="10">
        <v>62038</v>
      </c>
      <c r="I4343">
        <f>IFERROR(VLOOKUP(Final!F4343,'LEAID Match'!$A$2:$B$374,2,FALSE),"")</f>
        <v>406630</v>
      </c>
      <c r="K4343" s="10">
        <f t="shared" si="67"/>
        <v>62038</v>
      </c>
    </row>
    <row r="4344" spans="1:11">
      <c r="A4344">
        <v>406630</v>
      </c>
      <c r="B4344" s="10">
        <v>2016</v>
      </c>
      <c r="C4344" t="s">
        <v>1017</v>
      </c>
      <c r="D4344" t="s">
        <v>2472</v>
      </c>
      <c r="E4344" t="s">
        <v>2474</v>
      </c>
      <c r="F4344" t="s">
        <v>1898</v>
      </c>
      <c r="G4344" t="s">
        <v>962</v>
      </c>
      <c r="H4344" s="10">
        <v>52180</v>
      </c>
      <c r="I4344">
        <f>IFERROR(VLOOKUP(Final!F4344,'LEAID Match'!$A$2:$B$374,2,FALSE),"")</f>
        <v>406630</v>
      </c>
      <c r="K4344" s="10">
        <f t="shared" si="67"/>
        <v>52180</v>
      </c>
    </row>
    <row r="4345" spans="1:11">
      <c r="A4345">
        <v>406630</v>
      </c>
      <c r="B4345" s="10">
        <v>2017</v>
      </c>
      <c r="C4345" t="s">
        <v>1017</v>
      </c>
      <c r="D4345" t="s">
        <v>2472</v>
      </c>
      <c r="E4345" t="s">
        <v>2474</v>
      </c>
      <c r="F4345" t="s">
        <v>1898</v>
      </c>
      <c r="G4345" t="s">
        <v>1898</v>
      </c>
      <c r="H4345" s="10">
        <v>53748</v>
      </c>
      <c r="I4345">
        <f>IFERROR(VLOOKUP(Final!F4345,'LEAID Match'!$A$2:$B$374,2,FALSE),"")</f>
        <v>406630</v>
      </c>
      <c r="K4345" s="10">
        <f t="shared" si="67"/>
        <v>53748</v>
      </c>
    </row>
    <row r="4346" spans="1:11">
      <c r="A4346">
        <v>406630</v>
      </c>
      <c r="B4346" s="10">
        <v>2018</v>
      </c>
      <c r="C4346" t="s">
        <v>1017</v>
      </c>
      <c r="D4346" t="s">
        <v>2472</v>
      </c>
      <c r="E4346" t="s">
        <v>2474</v>
      </c>
      <c r="F4346" t="s">
        <v>1898</v>
      </c>
      <c r="G4346" t="s">
        <v>1898</v>
      </c>
      <c r="H4346" s="10">
        <v>60344</v>
      </c>
      <c r="I4346">
        <f>IFERROR(VLOOKUP(Final!F4346,'LEAID Match'!$A$2:$B$374,2,FALSE),"")</f>
        <v>406630</v>
      </c>
      <c r="K4346" s="10">
        <f t="shared" si="67"/>
        <v>60344</v>
      </c>
    </row>
    <row r="4347" spans="1:11">
      <c r="A4347">
        <v>406630</v>
      </c>
      <c r="B4347" s="10">
        <v>2019</v>
      </c>
      <c r="C4347" t="s">
        <v>1017</v>
      </c>
      <c r="D4347" t="s">
        <v>2472</v>
      </c>
      <c r="E4347" t="s">
        <v>2474</v>
      </c>
      <c r="F4347" t="s">
        <v>1898</v>
      </c>
      <c r="G4347" t="s">
        <v>1898</v>
      </c>
      <c r="H4347" s="10">
        <v>59255</v>
      </c>
      <c r="I4347">
        <f>IFERROR(VLOOKUP(Final!F4347,'LEAID Match'!$A$2:$B$374,2,FALSE),"")</f>
        <v>406630</v>
      </c>
      <c r="K4347" s="10">
        <f t="shared" si="67"/>
        <v>59255</v>
      </c>
    </row>
    <row r="4348" spans="1:11">
      <c r="A4348">
        <v>406630</v>
      </c>
      <c r="B4348" s="10">
        <v>2020</v>
      </c>
      <c r="C4348" t="s">
        <v>1017</v>
      </c>
      <c r="D4348" t="s">
        <v>2472</v>
      </c>
      <c r="E4348" t="s">
        <v>2474</v>
      </c>
      <c r="F4348" t="s">
        <v>1898</v>
      </c>
      <c r="G4348" t="s">
        <v>1898</v>
      </c>
      <c r="H4348" s="10">
        <v>74686</v>
      </c>
      <c r="I4348">
        <f>IFERROR(VLOOKUP(Final!F4348,'LEAID Match'!$A$2:$B$374,2,FALSE),"")</f>
        <v>406630</v>
      </c>
      <c r="K4348" s="10">
        <f t="shared" si="67"/>
        <v>74686</v>
      </c>
    </row>
    <row r="4349" spans="1:11">
      <c r="A4349">
        <v>406630</v>
      </c>
      <c r="B4349" s="10">
        <v>2021</v>
      </c>
      <c r="C4349" t="s">
        <v>1017</v>
      </c>
      <c r="D4349" t="s">
        <v>2472</v>
      </c>
      <c r="E4349" t="s">
        <v>2474</v>
      </c>
      <c r="F4349" t="s">
        <v>1898</v>
      </c>
      <c r="G4349" t="s">
        <v>1898</v>
      </c>
      <c r="H4349" s="10">
        <v>79415</v>
      </c>
      <c r="I4349">
        <f>IFERROR(VLOOKUP(Final!F4349,'LEAID Match'!$A$2:$B$374,2,FALSE),"")</f>
        <v>406630</v>
      </c>
      <c r="K4349" s="10">
        <f t="shared" si="67"/>
        <v>79415</v>
      </c>
    </row>
    <row r="4350" spans="1:11">
      <c r="A4350">
        <v>406630</v>
      </c>
      <c r="B4350" s="10">
        <v>2022</v>
      </c>
      <c r="C4350" t="s">
        <v>1017</v>
      </c>
      <c r="D4350" t="s">
        <v>2472</v>
      </c>
      <c r="E4350" t="s">
        <v>2474</v>
      </c>
      <c r="F4350" t="s">
        <v>1898</v>
      </c>
      <c r="G4350" t="s">
        <v>1898</v>
      </c>
      <c r="H4350" s="10">
        <v>96985</v>
      </c>
      <c r="I4350">
        <f>IFERROR(VLOOKUP(Final!F4350,'LEAID Match'!$A$2:$B$374,2,FALSE),"")</f>
        <v>406630</v>
      </c>
      <c r="K4350" s="10">
        <f t="shared" si="67"/>
        <v>96985</v>
      </c>
    </row>
    <row r="4351" spans="1:11">
      <c r="A4351">
        <v>406630</v>
      </c>
      <c r="B4351" s="10">
        <v>2023</v>
      </c>
      <c r="C4351" t="s">
        <v>1017</v>
      </c>
      <c r="D4351" t="s">
        <v>2472</v>
      </c>
      <c r="E4351" t="s">
        <v>2474</v>
      </c>
      <c r="F4351" t="s">
        <v>1898</v>
      </c>
      <c r="G4351" t="s">
        <v>1898</v>
      </c>
      <c r="H4351" s="10">
        <v>92180</v>
      </c>
      <c r="I4351">
        <f>IFERROR(VLOOKUP(Final!F4351,'LEAID Match'!$A$2:$B$374,2,FALSE),"")</f>
        <v>406630</v>
      </c>
      <c r="K4351" s="10">
        <f t="shared" si="67"/>
        <v>92180</v>
      </c>
    </row>
    <row r="4352" spans="1:11">
      <c r="A4352">
        <v>401460</v>
      </c>
      <c r="B4352" s="10">
        <v>2015</v>
      </c>
      <c r="C4352" t="s">
        <v>1121</v>
      </c>
      <c r="D4352" t="s">
        <v>2472</v>
      </c>
      <c r="E4352" t="s">
        <v>2474</v>
      </c>
      <c r="F4352" t="s">
        <v>1949</v>
      </c>
      <c r="G4352" t="s">
        <v>1066</v>
      </c>
      <c r="H4352" s="10">
        <v>2731043</v>
      </c>
      <c r="I4352">
        <f>IFERROR(VLOOKUP(Final!F4352,'LEAID Match'!$A$2:$B$374,2,FALSE),"")</f>
        <v>401460</v>
      </c>
      <c r="K4352" s="10">
        <f t="shared" si="67"/>
        <v>2731043</v>
      </c>
    </row>
    <row r="4353" spans="1:11">
      <c r="A4353">
        <v>401460</v>
      </c>
      <c r="B4353" s="10">
        <v>2016</v>
      </c>
      <c r="C4353" t="s">
        <v>1121</v>
      </c>
      <c r="D4353" t="s">
        <v>2472</v>
      </c>
      <c r="E4353" t="s">
        <v>2474</v>
      </c>
      <c r="F4353" t="s">
        <v>1949</v>
      </c>
      <c r="G4353" t="s">
        <v>1066</v>
      </c>
      <c r="H4353" s="10">
        <v>2796001</v>
      </c>
      <c r="I4353">
        <f>IFERROR(VLOOKUP(Final!F4353,'LEAID Match'!$A$2:$B$374,2,FALSE),"")</f>
        <v>401460</v>
      </c>
      <c r="K4353" s="10">
        <f t="shared" si="67"/>
        <v>2796001</v>
      </c>
    </row>
    <row r="4354" spans="1:11">
      <c r="A4354">
        <v>401460</v>
      </c>
      <c r="B4354" s="10">
        <v>2017</v>
      </c>
      <c r="C4354" t="s">
        <v>1121</v>
      </c>
      <c r="D4354" t="s">
        <v>2472</v>
      </c>
      <c r="E4354" t="s">
        <v>2474</v>
      </c>
      <c r="F4354" t="s">
        <v>1949</v>
      </c>
      <c r="G4354" t="s">
        <v>1949</v>
      </c>
      <c r="H4354" s="10">
        <v>2961416</v>
      </c>
      <c r="I4354">
        <f>IFERROR(VLOOKUP(Final!F4354,'LEAID Match'!$A$2:$B$374,2,FALSE),"")</f>
        <v>401460</v>
      </c>
      <c r="K4354" s="10">
        <f t="shared" si="67"/>
        <v>2961416</v>
      </c>
    </row>
    <row r="4355" spans="1:11">
      <c r="A4355">
        <v>401460</v>
      </c>
      <c r="B4355" s="10">
        <v>2018</v>
      </c>
      <c r="C4355" t="s">
        <v>1121</v>
      </c>
      <c r="D4355" t="s">
        <v>2472</v>
      </c>
      <c r="E4355" t="s">
        <v>2474</v>
      </c>
      <c r="F4355" t="s">
        <v>1949</v>
      </c>
      <c r="G4355" t="s">
        <v>2311</v>
      </c>
      <c r="H4355" s="10">
        <v>2961487</v>
      </c>
      <c r="I4355">
        <f>IFERROR(VLOOKUP(Final!F4355,'LEAID Match'!$A$2:$B$374,2,FALSE),"")</f>
        <v>401460</v>
      </c>
      <c r="K4355" s="10">
        <f t="shared" ref="K4355:K4418" si="68">SUM(H4355,J4355)</f>
        <v>2961487</v>
      </c>
    </row>
    <row r="4356" spans="1:11">
      <c r="A4356">
        <v>401460</v>
      </c>
      <c r="B4356" s="10">
        <v>2019</v>
      </c>
      <c r="C4356" t="s">
        <v>1121</v>
      </c>
      <c r="D4356" t="s">
        <v>2472</v>
      </c>
      <c r="E4356" t="s">
        <v>2474</v>
      </c>
      <c r="F4356" t="s">
        <v>1949</v>
      </c>
      <c r="G4356" t="s">
        <v>1949</v>
      </c>
      <c r="H4356" s="10">
        <v>3029654</v>
      </c>
      <c r="I4356">
        <f>IFERROR(VLOOKUP(Final!F4356,'LEAID Match'!$A$2:$B$374,2,FALSE),"")</f>
        <v>401460</v>
      </c>
      <c r="K4356" s="10">
        <f t="shared" si="68"/>
        <v>3029654</v>
      </c>
    </row>
    <row r="4357" spans="1:11">
      <c r="A4357">
        <v>401460</v>
      </c>
      <c r="B4357" s="10">
        <v>2020</v>
      </c>
      <c r="C4357" t="s">
        <v>1121</v>
      </c>
      <c r="D4357" t="s">
        <v>2472</v>
      </c>
      <c r="E4357" t="s">
        <v>2474</v>
      </c>
      <c r="F4357" t="s">
        <v>1949</v>
      </c>
      <c r="G4357" t="s">
        <v>1949</v>
      </c>
      <c r="H4357" s="10">
        <v>2881562</v>
      </c>
      <c r="I4357">
        <f>IFERROR(VLOOKUP(Final!F4357,'LEAID Match'!$A$2:$B$374,2,FALSE),"")</f>
        <v>401460</v>
      </c>
      <c r="K4357" s="10">
        <f t="shared" si="68"/>
        <v>2881562</v>
      </c>
    </row>
    <row r="4358" spans="1:11">
      <c r="A4358">
        <v>401460</v>
      </c>
      <c r="B4358" s="10">
        <v>2021</v>
      </c>
      <c r="C4358" t="s">
        <v>1121</v>
      </c>
      <c r="D4358" t="s">
        <v>2472</v>
      </c>
      <c r="E4358" t="s">
        <v>2474</v>
      </c>
      <c r="F4358" t="s">
        <v>1949</v>
      </c>
      <c r="G4358" t="s">
        <v>1949</v>
      </c>
      <c r="H4358" s="10">
        <v>2970168</v>
      </c>
      <c r="I4358">
        <f>IFERROR(VLOOKUP(Final!F4358,'LEAID Match'!$A$2:$B$374,2,FALSE),"")</f>
        <v>401460</v>
      </c>
      <c r="K4358" s="10">
        <f t="shared" si="68"/>
        <v>2970168</v>
      </c>
    </row>
    <row r="4359" spans="1:11">
      <c r="A4359">
        <v>401460</v>
      </c>
      <c r="B4359" s="10">
        <v>2022</v>
      </c>
      <c r="C4359" t="s">
        <v>1121</v>
      </c>
      <c r="D4359" t="s">
        <v>2472</v>
      </c>
      <c r="E4359" t="s">
        <v>2474</v>
      </c>
      <c r="F4359" t="s">
        <v>1949</v>
      </c>
      <c r="G4359" t="s">
        <v>1949</v>
      </c>
      <c r="H4359" s="10">
        <v>2984081</v>
      </c>
      <c r="I4359">
        <f>IFERROR(VLOOKUP(Final!F4359,'LEAID Match'!$A$2:$B$374,2,FALSE),"")</f>
        <v>401460</v>
      </c>
      <c r="K4359" s="10">
        <f t="shared" si="68"/>
        <v>2984081</v>
      </c>
    </row>
    <row r="4360" spans="1:11">
      <c r="A4360">
        <v>401460</v>
      </c>
      <c r="B4360" s="10">
        <v>2023</v>
      </c>
      <c r="C4360" t="s">
        <v>1121</v>
      </c>
      <c r="D4360" t="s">
        <v>2472</v>
      </c>
      <c r="E4360" t="s">
        <v>2474</v>
      </c>
      <c r="F4360" t="s">
        <v>1949</v>
      </c>
      <c r="G4360" t="s">
        <v>1949</v>
      </c>
      <c r="H4360" s="10">
        <v>3230844</v>
      </c>
      <c r="I4360">
        <f>IFERROR(VLOOKUP(Final!F4360,'LEAID Match'!$A$2:$B$374,2,FALSE),"")</f>
        <v>401460</v>
      </c>
      <c r="K4360" s="10">
        <f t="shared" si="68"/>
        <v>3230844</v>
      </c>
    </row>
    <row r="4361" spans="1:11">
      <c r="A4361">
        <v>403150</v>
      </c>
      <c r="B4361" s="10">
        <v>2015</v>
      </c>
      <c r="C4361" t="s">
        <v>593</v>
      </c>
      <c r="D4361" t="s">
        <v>2472</v>
      </c>
      <c r="E4361" t="s">
        <v>2474</v>
      </c>
      <c r="F4361" t="s">
        <v>1721</v>
      </c>
      <c r="G4361" t="s">
        <v>538</v>
      </c>
      <c r="H4361" s="10">
        <v>637256</v>
      </c>
      <c r="I4361">
        <f>IFERROR(VLOOKUP(Final!F4361,'LEAID Match'!$A$2:$B$374,2,FALSE),"")</f>
        <v>403150</v>
      </c>
      <c r="K4361" s="10">
        <f t="shared" si="68"/>
        <v>637256</v>
      </c>
    </row>
    <row r="4362" spans="1:11">
      <c r="A4362">
        <v>403150</v>
      </c>
      <c r="B4362" s="10">
        <v>2016</v>
      </c>
      <c r="C4362" t="s">
        <v>593</v>
      </c>
      <c r="D4362" t="s">
        <v>2472</v>
      </c>
      <c r="E4362" t="s">
        <v>2474</v>
      </c>
      <c r="F4362" t="s">
        <v>1721</v>
      </c>
      <c r="G4362" t="s">
        <v>1454</v>
      </c>
      <c r="H4362" s="10">
        <v>636520</v>
      </c>
      <c r="I4362">
        <f>IFERROR(VLOOKUP(Final!F4362,'LEAID Match'!$A$2:$B$374,2,FALSE),"")</f>
        <v>403150</v>
      </c>
      <c r="K4362" s="10">
        <f t="shared" si="68"/>
        <v>636520</v>
      </c>
    </row>
    <row r="4363" spans="1:11">
      <c r="A4363">
        <v>403150</v>
      </c>
      <c r="B4363" s="10">
        <v>2017</v>
      </c>
      <c r="C4363" t="s">
        <v>593</v>
      </c>
      <c r="D4363" t="s">
        <v>2472</v>
      </c>
      <c r="E4363" t="s">
        <v>2474</v>
      </c>
      <c r="F4363" t="s">
        <v>1721</v>
      </c>
      <c r="G4363" t="s">
        <v>1721</v>
      </c>
      <c r="H4363" s="10">
        <v>652972</v>
      </c>
      <c r="I4363">
        <f>IFERROR(VLOOKUP(Final!F4363,'LEAID Match'!$A$2:$B$374,2,FALSE),"")</f>
        <v>403150</v>
      </c>
      <c r="K4363" s="10">
        <f t="shared" si="68"/>
        <v>652972</v>
      </c>
    </row>
    <row r="4364" spans="1:11">
      <c r="A4364">
        <v>403150</v>
      </c>
      <c r="B4364" s="10">
        <v>2018</v>
      </c>
      <c r="C4364" t="s">
        <v>593</v>
      </c>
      <c r="D4364" t="s">
        <v>2472</v>
      </c>
      <c r="E4364" t="s">
        <v>2474</v>
      </c>
      <c r="F4364" t="s">
        <v>1721</v>
      </c>
      <c r="G4364" t="s">
        <v>1721</v>
      </c>
      <c r="H4364" s="10">
        <v>596683</v>
      </c>
      <c r="I4364">
        <f>IFERROR(VLOOKUP(Final!F4364,'LEAID Match'!$A$2:$B$374,2,FALSE),"")</f>
        <v>403150</v>
      </c>
      <c r="K4364" s="10">
        <f t="shared" si="68"/>
        <v>596683</v>
      </c>
    </row>
    <row r="4365" spans="1:11">
      <c r="A4365">
        <v>403150</v>
      </c>
      <c r="B4365" s="10">
        <v>2019</v>
      </c>
      <c r="C4365" t="s">
        <v>593</v>
      </c>
      <c r="D4365" t="s">
        <v>2472</v>
      </c>
      <c r="E4365" t="s">
        <v>2474</v>
      </c>
      <c r="F4365" t="s">
        <v>1721</v>
      </c>
      <c r="G4365" t="s">
        <v>1721</v>
      </c>
      <c r="H4365" s="10">
        <v>670126</v>
      </c>
      <c r="I4365">
        <f>IFERROR(VLOOKUP(Final!F4365,'LEAID Match'!$A$2:$B$374,2,FALSE),"")</f>
        <v>403150</v>
      </c>
      <c r="K4365" s="10">
        <f t="shared" si="68"/>
        <v>670126</v>
      </c>
    </row>
    <row r="4366" spans="1:11">
      <c r="A4366">
        <v>403150</v>
      </c>
      <c r="B4366" s="10">
        <v>2020</v>
      </c>
      <c r="C4366" t="s">
        <v>593</v>
      </c>
      <c r="D4366" t="s">
        <v>2472</v>
      </c>
      <c r="E4366" t="s">
        <v>2474</v>
      </c>
      <c r="F4366" t="s">
        <v>1721</v>
      </c>
      <c r="G4366" t="s">
        <v>1721</v>
      </c>
      <c r="H4366" s="10">
        <v>747794</v>
      </c>
      <c r="I4366">
        <f>IFERROR(VLOOKUP(Final!F4366,'LEAID Match'!$A$2:$B$374,2,FALSE),"")</f>
        <v>403150</v>
      </c>
      <c r="K4366" s="10">
        <f t="shared" si="68"/>
        <v>747794</v>
      </c>
    </row>
    <row r="4367" spans="1:11">
      <c r="A4367">
        <v>403150</v>
      </c>
      <c r="B4367" s="10">
        <v>2021</v>
      </c>
      <c r="C4367" t="s">
        <v>593</v>
      </c>
      <c r="D4367" t="s">
        <v>2472</v>
      </c>
      <c r="E4367" t="s">
        <v>2474</v>
      </c>
      <c r="F4367" t="s">
        <v>1721</v>
      </c>
      <c r="G4367" t="s">
        <v>1721</v>
      </c>
      <c r="H4367" s="10">
        <v>769347</v>
      </c>
      <c r="I4367">
        <f>IFERROR(VLOOKUP(Final!F4367,'LEAID Match'!$A$2:$B$374,2,FALSE),"")</f>
        <v>403150</v>
      </c>
      <c r="K4367" s="10">
        <f t="shared" si="68"/>
        <v>769347</v>
      </c>
    </row>
    <row r="4368" spans="1:11">
      <c r="A4368">
        <v>403150</v>
      </c>
      <c r="B4368" s="10">
        <v>2022</v>
      </c>
      <c r="C4368" t="s">
        <v>593</v>
      </c>
      <c r="D4368" t="s">
        <v>2472</v>
      </c>
      <c r="E4368" t="s">
        <v>2474</v>
      </c>
      <c r="F4368" t="s">
        <v>1721</v>
      </c>
      <c r="G4368" t="s">
        <v>1721</v>
      </c>
      <c r="H4368" s="10">
        <v>831000</v>
      </c>
      <c r="I4368">
        <f>IFERROR(VLOOKUP(Final!F4368,'LEAID Match'!$A$2:$B$374,2,FALSE),"")</f>
        <v>403150</v>
      </c>
      <c r="K4368" s="10">
        <f t="shared" si="68"/>
        <v>831000</v>
      </c>
    </row>
    <row r="4369" spans="1:11">
      <c r="A4369">
        <v>403150</v>
      </c>
      <c r="B4369" s="10">
        <v>2023</v>
      </c>
      <c r="C4369" t="s">
        <v>593</v>
      </c>
      <c r="D4369" t="s">
        <v>2472</v>
      </c>
      <c r="E4369" t="s">
        <v>2474</v>
      </c>
      <c r="F4369" t="s">
        <v>1721</v>
      </c>
      <c r="G4369" t="s">
        <v>1721</v>
      </c>
      <c r="H4369" s="10">
        <v>837583</v>
      </c>
      <c r="I4369">
        <f>IFERROR(VLOOKUP(Final!F4369,'LEAID Match'!$A$2:$B$374,2,FALSE),"")</f>
        <v>403150</v>
      </c>
      <c r="K4369" s="10">
        <f t="shared" si="68"/>
        <v>837583</v>
      </c>
    </row>
    <row r="4370" spans="1:11">
      <c r="A4370">
        <v>408910</v>
      </c>
      <c r="B4370" s="10">
        <v>2015</v>
      </c>
      <c r="C4370" t="s">
        <v>1317</v>
      </c>
      <c r="D4370" t="s">
        <v>2472</v>
      </c>
      <c r="E4370" t="s">
        <v>2474</v>
      </c>
      <c r="F4370" t="s">
        <v>2007</v>
      </c>
      <c r="G4370" t="s">
        <v>1269</v>
      </c>
      <c r="H4370" s="10">
        <v>106781</v>
      </c>
      <c r="I4370">
        <f>IFERROR(VLOOKUP(Final!F4370,'LEAID Match'!$A$2:$B$374,2,FALSE),"")</f>
        <v>408910</v>
      </c>
      <c r="K4370" s="10">
        <f t="shared" si="68"/>
        <v>106781</v>
      </c>
    </row>
    <row r="4371" spans="1:11">
      <c r="A4371">
        <v>408910</v>
      </c>
      <c r="B4371" s="10">
        <v>2016</v>
      </c>
      <c r="C4371" t="s">
        <v>1317</v>
      </c>
      <c r="D4371" t="s">
        <v>2472</v>
      </c>
      <c r="E4371" t="s">
        <v>2474</v>
      </c>
      <c r="F4371" t="s">
        <v>2007</v>
      </c>
      <c r="G4371" t="s">
        <v>1269</v>
      </c>
      <c r="H4371" s="10">
        <v>93861</v>
      </c>
      <c r="I4371">
        <f>IFERROR(VLOOKUP(Final!F4371,'LEAID Match'!$A$2:$B$374,2,FALSE),"")</f>
        <v>408910</v>
      </c>
      <c r="K4371" s="10">
        <f t="shared" si="68"/>
        <v>93861</v>
      </c>
    </row>
    <row r="4372" spans="1:11">
      <c r="A4372">
        <v>408910</v>
      </c>
      <c r="B4372" s="10">
        <v>2017</v>
      </c>
      <c r="C4372" t="s">
        <v>1317</v>
      </c>
      <c r="D4372" t="s">
        <v>2472</v>
      </c>
      <c r="E4372" t="s">
        <v>2474</v>
      </c>
      <c r="F4372" t="s">
        <v>2007</v>
      </c>
      <c r="G4372" t="s">
        <v>2007</v>
      </c>
      <c r="H4372" s="10">
        <v>94353</v>
      </c>
      <c r="I4372">
        <f>IFERROR(VLOOKUP(Final!F4372,'LEAID Match'!$A$2:$B$374,2,FALSE),"")</f>
        <v>408910</v>
      </c>
      <c r="K4372" s="10">
        <f t="shared" si="68"/>
        <v>94353</v>
      </c>
    </row>
    <row r="4373" spans="1:11">
      <c r="A4373">
        <v>408910</v>
      </c>
      <c r="B4373" s="10">
        <v>2018</v>
      </c>
      <c r="C4373" t="s">
        <v>1317</v>
      </c>
      <c r="D4373" t="s">
        <v>2472</v>
      </c>
      <c r="E4373" t="s">
        <v>2474</v>
      </c>
      <c r="F4373" t="s">
        <v>2007</v>
      </c>
      <c r="G4373" t="s">
        <v>2007</v>
      </c>
      <c r="H4373" s="10">
        <v>106282</v>
      </c>
      <c r="I4373">
        <f>IFERROR(VLOOKUP(Final!F4373,'LEAID Match'!$A$2:$B$374,2,FALSE),"")</f>
        <v>408910</v>
      </c>
      <c r="K4373" s="10">
        <f t="shared" si="68"/>
        <v>106282</v>
      </c>
    </row>
    <row r="4374" spans="1:11">
      <c r="A4374">
        <v>408910</v>
      </c>
      <c r="B4374" s="10">
        <v>2019</v>
      </c>
      <c r="C4374" t="s">
        <v>1317</v>
      </c>
      <c r="D4374" t="s">
        <v>2472</v>
      </c>
      <c r="E4374" t="s">
        <v>2474</v>
      </c>
      <c r="F4374" t="s">
        <v>2007</v>
      </c>
      <c r="G4374" t="s">
        <v>2007</v>
      </c>
      <c r="H4374" s="10">
        <v>102918</v>
      </c>
      <c r="I4374">
        <f>IFERROR(VLOOKUP(Final!F4374,'LEAID Match'!$A$2:$B$374,2,FALSE),"")</f>
        <v>408910</v>
      </c>
      <c r="K4374" s="10">
        <f t="shared" si="68"/>
        <v>102918</v>
      </c>
    </row>
    <row r="4375" spans="1:11">
      <c r="A4375">
        <v>408910</v>
      </c>
      <c r="B4375" s="10">
        <v>2020</v>
      </c>
      <c r="C4375" t="s">
        <v>1317</v>
      </c>
      <c r="D4375" t="s">
        <v>2472</v>
      </c>
      <c r="E4375" t="s">
        <v>2474</v>
      </c>
      <c r="F4375" t="s">
        <v>2007</v>
      </c>
      <c r="G4375" t="s">
        <v>2007</v>
      </c>
      <c r="H4375" s="10">
        <v>106031</v>
      </c>
      <c r="I4375">
        <f>IFERROR(VLOOKUP(Final!F4375,'LEAID Match'!$A$2:$B$374,2,FALSE),"")</f>
        <v>408910</v>
      </c>
      <c r="K4375" s="10">
        <f t="shared" si="68"/>
        <v>106031</v>
      </c>
    </row>
    <row r="4376" spans="1:11">
      <c r="A4376">
        <v>408910</v>
      </c>
      <c r="B4376" s="10">
        <v>2021</v>
      </c>
      <c r="C4376" t="s">
        <v>1317</v>
      </c>
      <c r="D4376" t="s">
        <v>2472</v>
      </c>
      <c r="E4376" t="s">
        <v>2474</v>
      </c>
      <c r="F4376" t="s">
        <v>2007</v>
      </c>
      <c r="G4376" t="s">
        <v>2007</v>
      </c>
      <c r="H4376" s="10">
        <v>110860</v>
      </c>
      <c r="I4376">
        <f>IFERROR(VLOOKUP(Final!F4376,'LEAID Match'!$A$2:$B$374,2,FALSE),"")</f>
        <v>408910</v>
      </c>
      <c r="K4376" s="10">
        <f t="shared" si="68"/>
        <v>110860</v>
      </c>
    </row>
    <row r="4377" spans="1:11">
      <c r="A4377">
        <v>408910</v>
      </c>
      <c r="B4377" s="10">
        <v>2022</v>
      </c>
      <c r="C4377" t="s">
        <v>1317</v>
      </c>
      <c r="D4377" t="s">
        <v>2472</v>
      </c>
      <c r="E4377" t="s">
        <v>2474</v>
      </c>
      <c r="F4377" t="s">
        <v>2007</v>
      </c>
      <c r="G4377" t="s">
        <v>2007</v>
      </c>
      <c r="H4377" s="10">
        <v>127210</v>
      </c>
      <c r="I4377">
        <f>IFERROR(VLOOKUP(Final!F4377,'LEAID Match'!$A$2:$B$374,2,FALSE),"")</f>
        <v>408910</v>
      </c>
      <c r="K4377" s="10">
        <f t="shared" si="68"/>
        <v>127210</v>
      </c>
    </row>
    <row r="4378" spans="1:11">
      <c r="A4378">
        <v>408910</v>
      </c>
      <c r="B4378" s="10">
        <v>2023</v>
      </c>
      <c r="C4378" t="s">
        <v>1317</v>
      </c>
      <c r="D4378" t="s">
        <v>2472</v>
      </c>
      <c r="E4378" t="s">
        <v>2474</v>
      </c>
      <c r="F4378" t="s">
        <v>2007</v>
      </c>
      <c r="G4378" t="s">
        <v>2007</v>
      </c>
      <c r="H4378" s="10">
        <v>131513</v>
      </c>
      <c r="I4378">
        <f>IFERROR(VLOOKUP(Final!F4378,'LEAID Match'!$A$2:$B$374,2,FALSE),"")</f>
        <v>408910</v>
      </c>
      <c r="K4378" s="10">
        <f t="shared" si="68"/>
        <v>131513</v>
      </c>
    </row>
    <row r="4379" spans="1:11">
      <c r="A4379">
        <v>400345</v>
      </c>
      <c r="B4379" s="10">
        <v>2015</v>
      </c>
      <c r="C4379" t="s">
        <v>475</v>
      </c>
      <c r="D4379" t="s">
        <v>2472</v>
      </c>
      <c r="E4379" t="s">
        <v>2474</v>
      </c>
      <c r="F4379" t="s">
        <v>1667</v>
      </c>
      <c r="G4379" t="s">
        <v>420</v>
      </c>
      <c r="H4379" s="10">
        <v>16393</v>
      </c>
      <c r="I4379">
        <f>IFERROR(VLOOKUP(Final!F4379,'LEAID Match'!$A$2:$B$374,2,FALSE),"")</f>
        <v>400345</v>
      </c>
      <c r="K4379" s="10">
        <f t="shared" si="68"/>
        <v>16393</v>
      </c>
    </row>
    <row r="4380" spans="1:11">
      <c r="A4380">
        <v>400345</v>
      </c>
      <c r="B4380" s="10">
        <v>2016</v>
      </c>
      <c r="C4380" t="s">
        <v>475</v>
      </c>
      <c r="D4380" t="s">
        <v>2472</v>
      </c>
      <c r="E4380" t="s">
        <v>2474</v>
      </c>
      <c r="F4380" t="s">
        <v>1667</v>
      </c>
      <c r="G4380" t="s">
        <v>420</v>
      </c>
      <c r="H4380" s="10">
        <v>16918</v>
      </c>
      <c r="I4380">
        <f>IFERROR(VLOOKUP(Final!F4380,'LEAID Match'!$A$2:$B$374,2,FALSE),"")</f>
        <v>400345</v>
      </c>
      <c r="K4380" s="10">
        <f t="shared" si="68"/>
        <v>16918</v>
      </c>
    </row>
    <row r="4381" spans="1:11">
      <c r="A4381">
        <v>400345</v>
      </c>
      <c r="B4381" s="10">
        <v>2017</v>
      </c>
      <c r="C4381" t="s">
        <v>475</v>
      </c>
      <c r="D4381" t="s">
        <v>2472</v>
      </c>
      <c r="E4381" t="s">
        <v>2474</v>
      </c>
      <c r="F4381" t="s">
        <v>1667</v>
      </c>
      <c r="G4381" t="s">
        <v>1667</v>
      </c>
      <c r="H4381" s="10">
        <v>17210</v>
      </c>
      <c r="I4381">
        <f>IFERROR(VLOOKUP(Final!F4381,'LEAID Match'!$A$2:$B$374,2,FALSE),"")</f>
        <v>400345</v>
      </c>
      <c r="K4381" s="10">
        <f t="shared" si="68"/>
        <v>17210</v>
      </c>
    </row>
    <row r="4382" spans="1:11">
      <c r="A4382">
        <v>400345</v>
      </c>
      <c r="B4382" s="10">
        <v>2018</v>
      </c>
      <c r="C4382" t="s">
        <v>475</v>
      </c>
      <c r="D4382" t="s">
        <v>2472</v>
      </c>
      <c r="E4382" t="s">
        <v>2474</v>
      </c>
      <c r="F4382" t="s">
        <v>1667</v>
      </c>
      <c r="G4382" t="s">
        <v>1667</v>
      </c>
      <c r="H4382" s="10">
        <v>16845</v>
      </c>
      <c r="I4382">
        <f>IFERROR(VLOOKUP(Final!F4382,'LEAID Match'!$A$2:$B$374,2,FALSE),"")</f>
        <v>400345</v>
      </c>
      <c r="K4382" s="10">
        <f t="shared" si="68"/>
        <v>16845</v>
      </c>
    </row>
    <row r="4383" spans="1:11">
      <c r="A4383">
        <v>400345</v>
      </c>
      <c r="B4383" s="10">
        <v>2019</v>
      </c>
      <c r="C4383" t="s">
        <v>475</v>
      </c>
      <c r="D4383" t="s">
        <v>2472</v>
      </c>
      <c r="E4383" t="s">
        <v>2474</v>
      </c>
      <c r="F4383" t="s">
        <v>1667</v>
      </c>
      <c r="G4383" t="s">
        <v>1667</v>
      </c>
      <c r="H4383" s="10">
        <v>29196</v>
      </c>
      <c r="I4383">
        <f>IFERROR(VLOOKUP(Final!F4383,'LEAID Match'!$A$2:$B$374,2,FALSE),"")</f>
        <v>400345</v>
      </c>
      <c r="K4383" s="10">
        <f t="shared" si="68"/>
        <v>29196</v>
      </c>
    </row>
    <row r="4384" spans="1:11">
      <c r="A4384">
        <v>400345</v>
      </c>
      <c r="B4384" s="10">
        <v>2020</v>
      </c>
      <c r="C4384" t="s">
        <v>475</v>
      </c>
      <c r="D4384" t="s">
        <v>2472</v>
      </c>
      <c r="E4384" t="s">
        <v>2474</v>
      </c>
      <c r="F4384" t="s">
        <v>1667</v>
      </c>
      <c r="G4384" t="s">
        <v>1667</v>
      </c>
      <c r="H4384" s="10">
        <v>33631</v>
      </c>
      <c r="I4384">
        <f>IFERROR(VLOOKUP(Final!F4384,'LEAID Match'!$A$2:$B$374,2,FALSE),"")</f>
        <v>400345</v>
      </c>
      <c r="K4384" s="10">
        <f t="shared" si="68"/>
        <v>33631</v>
      </c>
    </row>
    <row r="4385" spans="1:11">
      <c r="A4385">
        <v>400345</v>
      </c>
      <c r="B4385" s="10">
        <v>2021</v>
      </c>
      <c r="C4385" t="s">
        <v>475</v>
      </c>
      <c r="D4385" t="s">
        <v>2472</v>
      </c>
      <c r="E4385" t="s">
        <v>2474</v>
      </c>
      <c r="F4385" t="s">
        <v>1667</v>
      </c>
      <c r="G4385" t="s">
        <v>1667</v>
      </c>
      <c r="H4385" s="10">
        <v>27913</v>
      </c>
      <c r="I4385">
        <f>IFERROR(VLOOKUP(Final!F4385,'LEAID Match'!$A$2:$B$374,2,FALSE),"")</f>
        <v>400345</v>
      </c>
      <c r="K4385" s="10">
        <f t="shared" si="68"/>
        <v>27913</v>
      </c>
    </row>
    <row r="4386" spans="1:11">
      <c r="A4386">
        <v>400345</v>
      </c>
      <c r="B4386" s="10">
        <v>2022</v>
      </c>
      <c r="C4386" t="s">
        <v>475</v>
      </c>
      <c r="D4386" t="s">
        <v>2472</v>
      </c>
      <c r="E4386" t="s">
        <v>2474</v>
      </c>
      <c r="F4386" t="s">
        <v>1667</v>
      </c>
      <c r="G4386" t="s">
        <v>1667</v>
      </c>
      <c r="H4386" s="10">
        <v>27843</v>
      </c>
      <c r="I4386">
        <f>IFERROR(VLOOKUP(Final!F4386,'LEAID Match'!$A$2:$B$374,2,FALSE),"")</f>
        <v>400345</v>
      </c>
      <c r="K4386" s="10">
        <f t="shared" si="68"/>
        <v>27843</v>
      </c>
    </row>
    <row r="4387" spans="1:11">
      <c r="A4387">
        <v>400345</v>
      </c>
      <c r="B4387" s="10">
        <v>2023</v>
      </c>
      <c r="C4387" t="s">
        <v>475</v>
      </c>
      <c r="D4387" t="s">
        <v>2472</v>
      </c>
      <c r="E4387" t="s">
        <v>2474</v>
      </c>
      <c r="F4387" t="s">
        <v>1667</v>
      </c>
      <c r="G4387" t="s">
        <v>1667</v>
      </c>
      <c r="H4387" s="10">
        <v>31092</v>
      </c>
      <c r="I4387">
        <f>IFERROR(VLOOKUP(Final!F4387,'LEAID Match'!$A$2:$B$374,2,FALSE),"")</f>
        <v>400345</v>
      </c>
      <c r="K4387" s="10">
        <f t="shared" si="68"/>
        <v>31092</v>
      </c>
    </row>
    <row r="4388" spans="1:11">
      <c r="A4388" t="s">
        <v>2470</v>
      </c>
      <c r="B4388" s="10">
        <v>2015</v>
      </c>
      <c r="C4388" t="s">
        <v>471</v>
      </c>
      <c r="D4388" t="s">
        <v>2472</v>
      </c>
      <c r="E4388" t="s">
        <v>2474</v>
      </c>
      <c r="F4388" t="s">
        <v>416</v>
      </c>
      <c r="G4388" t="s">
        <v>416</v>
      </c>
      <c r="H4388" s="10">
        <v>2098811</v>
      </c>
      <c r="I4388" t="str">
        <f>IFERROR(VLOOKUP(Final!F4388,'LEAID Match'!$A$2:$B$374,2,FALSE),"")</f>
        <v/>
      </c>
      <c r="K4388" s="10">
        <f t="shared" si="68"/>
        <v>2098811</v>
      </c>
    </row>
    <row r="4389" spans="1:11">
      <c r="A4389" t="s">
        <v>2470</v>
      </c>
      <c r="B4389" s="10">
        <v>2016</v>
      </c>
      <c r="C4389" t="s">
        <v>471</v>
      </c>
      <c r="D4389" t="s">
        <v>2472</v>
      </c>
      <c r="E4389" t="s">
        <v>2474</v>
      </c>
      <c r="F4389" t="s">
        <v>416</v>
      </c>
      <c r="G4389" t="s">
        <v>416</v>
      </c>
      <c r="H4389" s="10">
        <v>2147806</v>
      </c>
      <c r="I4389" t="str">
        <f>IFERROR(VLOOKUP(Final!F4389,'LEAID Match'!$A$2:$B$374,2,FALSE),"")</f>
        <v/>
      </c>
      <c r="K4389" s="10">
        <f t="shared" si="68"/>
        <v>2147806</v>
      </c>
    </row>
    <row r="4390" spans="1:11">
      <c r="A4390" t="s">
        <v>2470</v>
      </c>
      <c r="B4390" s="10">
        <v>2017</v>
      </c>
      <c r="C4390" t="s">
        <v>471</v>
      </c>
      <c r="D4390" t="s">
        <v>2472</v>
      </c>
      <c r="E4390" t="s">
        <v>2474</v>
      </c>
      <c r="F4390" t="s">
        <v>416</v>
      </c>
      <c r="G4390" t="s">
        <v>416</v>
      </c>
      <c r="H4390" s="10">
        <v>2192345</v>
      </c>
      <c r="I4390" t="str">
        <f>IFERROR(VLOOKUP(Final!F4390,'LEAID Match'!$A$2:$B$374,2,FALSE),"")</f>
        <v/>
      </c>
      <c r="K4390" s="10">
        <f t="shared" si="68"/>
        <v>2192345</v>
      </c>
    </row>
    <row r="4391" spans="1:11">
      <c r="A4391" t="s">
        <v>2470</v>
      </c>
      <c r="B4391" s="10">
        <v>2018</v>
      </c>
      <c r="C4391" t="s">
        <v>471</v>
      </c>
      <c r="D4391" t="s">
        <v>2472</v>
      </c>
      <c r="E4391" t="s">
        <v>2474</v>
      </c>
      <c r="F4391" t="s">
        <v>416</v>
      </c>
      <c r="G4391" t="s">
        <v>416</v>
      </c>
      <c r="H4391" s="10">
        <v>2183290</v>
      </c>
      <c r="I4391" t="str">
        <f>IFERROR(VLOOKUP(Final!F4391,'LEAID Match'!$A$2:$B$374,2,FALSE),"")</f>
        <v/>
      </c>
      <c r="K4391" s="10">
        <f t="shared" si="68"/>
        <v>2183290</v>
      </c>
    </row>
    <row r="4392" spans="1:11">
      <c r="A4392" t="s">
        <v>2470</v>
      </c>
      <c r="B4392" s="10">
        <v>2019</v>
      </c>
      <c r="C4392" t="s">
        <v>471</v>
      </c>
      <c r="D4392" t="s">
        <v>2472</v>
      </c>
      <c r="E4392" t="s">
        <v>2474</v>
      </c>
      <c r="F4392" t="s">
        <v>416</v>
      </c>
      <c r="G4392" t="s">
        <v>416</v>
      </c>
      <c r="H4392" s="10">
        <v>2230443</v>
      </c>
      <c r="I4392" t="str">
        <f>IFERROR(VLOOKUP(Final!F4392,'LEAID Match'!$A$2:$B$374,2,FALSE),"")</f>
        <v/>
      </c>
      <c r="K4392" s="10">
        <f t="shared" si="68"/>
        <v>2230443</v>
      </c>
    </row>
    <row r="4393" spans="1:11">
      <c r="A4393" t="s">
        <v>2470</v>
      </c>
      <c r="B4393" s="10">
        <v>2020</v>
      </c>
      <c r="C4393" t="s">
        <v>471</v>
      </c>
      <c r="D4393" t="s">
        <v>2472</v>
      </c>
      <c r="E4393" t="s">
        <v>2474</v>
      </c>
      <c r="F4393" t="s">
        <v>416</v>
      </c>
      <c r="G4393" t="s">
        <v>416</v>
      </c>
      <c r="H4393" s="10">
        <v>2357069</v>
      </c>
      <c r="I4393" t="str">
        <f>IFERROR(VLOOKUP(Final!F4393,'LEAID Match'!$A$2:$B$374,2,FALSE),"")</f>
        <v/>
      </c>
      <c r="K4393" s="10">
        <f t="shared" si="68"/>
        <v>2357069</v>
      </c>
    </row>
    <row r="4394" spans="1:11">
      <c r="A4394" t="s">
        <v>2470</v>
      </c>
      <c r="B4394" s="10">
        <v>2021</v>
      </c>
      <c r="C4394" t="s">
        <v>471</v>
      </c>
      <c r="D4394" t="s">
        <v>2472</v>
      </c>
      <c r="E4394" t="s">
        <v>2474</v>
      </c>
      <c r="F4394" t="s">
        <v>416</v>
      </c>
      <c r="G4394" t="s">
        <v>416</v>
      </c>
      <c r="H4394" s="10">
        <v>2319990</v>
      </c>
      <c r="I4394" t="str">
        <f>IFERROR(VLOOKUP(Final!F4394,'LEAID Match'!$A$2:$B$374,2,FALSE),"")</f>
        <v/>
      </c>
      <c r="K4394" s="10">
        <f t="shared" si="68"/>
        <v>2319990</v>
      </c>
    </row>
    <row r="4395" spans="1:11">
      <c r="A4395" t="s">
        <v>2470</v>
      </c>
      <c r="B4395" s="10">
        <v>2022</v>
      </c>
      <c r="C4395" t="s">
        <v>471</v>
      </c>
      <c r="D4395" t="s">
        <v>2472</v>
      </c>
      <c r="E4395" t="s">
        <v>2474</v>
      </c>
      <c r="F4395" t="s">
        <v>416</v>
      </c>
      <c r="G4395" t="s">
        <v>416</v>
      </c>
      <c r="H4395" s="10">
        <v>2448603</v>
      </c>
      <c r="I4395" t="str">
        <f>IFERROR(VLOOKUP(Final!F4395,'LEAID Match'!$A$2:$B$374,2,FALSE),"")</f>
        <v/>
      </c>
      <c r="K4395" s="10">
        <f t="shared" si="68"/>
        <v>2448603</v>
      </c>
    </row>
    <row r="4396" spans="1:11">
      <c r="A4396" t="s">
        <v>2470</v>
      </c>
      <c r="B4396" s="10">
        <v>2023</v>
      </c>
      <c r="C4396" t="s">
        <v>471</v>
      </c>
      <c r="D4396" t="s">
        <v>2472</v>
      </c>
      <c r="E4396" t="s">
        <v>2474</v>
      </c>
      <c r="F4396" t="s">
        <v>416</v>
      </c>
      <c r="G4396" t="s">
        <v>416</v>
      </c>
      <c r="H4396" s="10">
        <v>2687666</v>
      </c>
      <c r="I4396" t="str">
        <f>IFERROR(VLOOKUP(Final!F4396,'LEAID Match'!$A$2:$B$374,2,FALSE),"")</f>
        <v/>
      </c>
      <c r="K4396" s="10">
        <f t="shared" si="68"/>
        <v>2687666</v>
      </c>
    </row>
    <row r="4397" spans="1:11">
      <c r="A4397">
        <v>402860</v>
      </c>
      <c r="B4397" s="10">
        <v>2015</v>
      </c>
      <c r="C4397" t="s">
        <v>589</v>
      </c>
      <c r="D4397" t="s">
        <v>2472</v>
      </c>
      <c r="E4397" t="s">
        <v>2474</v>
      </c>
      <c r="F4397" t="s">
        <v>1715</v>
      </c>
      <c r="G4397" t="s">
        <v>534</v>
      </c>
      <c r="H4397" s="10">
        <v>4949469</v>
      </c>
      <c r="I4397">
        <f>IFERROR(VLOOKUP(Final!F4397,'LEAID Match'!$A$2:$B$374,2,FALSE),"")</f>
        <v>402860</v>
      </c>
      <c r="K4397" s="10">
        <f t="shared" si="68"/>
        <v>4949469</v>
      </c>
    </row>
    <row r="4398" spans="1:11">
      <c r="A4398">
        <v>402860</v>
      </c>
      <c r="B4398" s="10">
        <v>2016</v>
      </c>
      <c r="C4398" t="s">
        <v>589</v>
      </c>
      <c r="D4398" t="s">
        <v>2472</v>
      </c>
      <c r="E4398" t="s">
        <v>2474</v>
      </c>
      <c r="F4398" t="s">
        <v>1715</v>
      </c>
      <c r="G4398" t="s">
        <v>534</v>
      </c>
      <c r="H4398" s="10">
        <v>5178202</v>
      </c>
      <c r="I4398">
        <f>IFERROR(VLOOKUP(Final!F4398,'LEAID Match'!$A$2:$B$374,2,FALSE),"")</f>
        <v>402860</v>
      </c>
      <c r="K4398" s="10">
        <f t="shared" si="68"/>
        <v>5178202</v>
      </c>
    </row>
    <row r="4399" spans="1:11">
      <c r="A4399">
        <v>402860</v>
      </c>
      <c r="B4399" s="10">
        <v>2017</v>
      </c>
      <c r="C4399" t="s">
        <v>589</v>
      </c>
      <c r="D4399" t="s">
        <v>2472</v>
      </c>
      <c r="E4399" t="s">
        <v>2474</v>
      </c>
      <c r="F4399" t="s">
        <v>1715</v>
      </c>
      <c r="G4399" t="s">
        <v>1715</v>
      </c>
      <c r="H4399" s="10">
        <v>5196465</v>
      </c>
      <c r="I4399">
        <f>IFERROR(VLOOKUP(Final!F4399,'LEAID Match'!$A$2:$B$374,2,FALSE),"")</f>
        <v>402860</v>
      </c>
      <c r="K4399" s="10">
        <f t="shared" si="68"/>
        <v>5196465</v>
      </c>
    </row>
    <row r="4400" spans="1:11">
      <c r="A4400">
        <v>402860</v>
      </c>
      <c r="B4400" s="10">
        <v>2018</v>
      </c>
      <c r="C4400" t="s">
        <v>589</v>
      </c>
      <c r="D4400" t="s">
        <v>2472</v>
      </c>
      <c r="E4400" t="s">
        <v>2474</v>
      </c>
      <c r="F4400" t="s">
        <v>1715</v>
      </c>
      <c r="G4400" t="s">
        <v>2186</v>
      </c>
      <c r="H4400" s="10">
        <v>5352017</v>
      </c>
      <c r="I4400">
        <f>IFERROR(VLOOKUP(Final!F4400,'LEAID Match'!$A$2:$B$374,2,FALSE),"")</f>
        <v>402860</v>
      </c>
      <c r="K4400" s="10">
        <f t="shared" si="68"/>
        <v>5352017</v>
      </c>
    </row>
    <row r="4401" spans="1:11">
      <c r="A4401">
        <v>402860</v>
      </c>
      <c r="B4401" s="10">
        <v>2019</v>
      </c>
      <c r="C4401" t="s">
        <v>589</v>
      </c>
      <c r="D4401" t="s">
        <v>2472</v>
      </c>
      <c r="E4401" t="s">
        <v>2474</v>
      </c>
      <c r="F4401" t="s">
        <v>1715</v>
      </c>
      <c r="G4401" t="s">
        <v>1715</v>
      </c>
      <c r="H4401" s="10">
        <v>6003361</v>
      </c>
      <c r="I4401">
        <f>IFERROR(VLOOKUP(Final!F4401,'LEAID Match'!$A$2:$B$374,2,FALSE),"")</f>
        <v>402860</v>
      </c>
      <c r="K4401" s="10">
        <f t="shared" si="68"/>
        <v>6003361</v>
      </c>
    </row>
    <row r="4402" spans="1:11">
      <c r="A4402">
        <v>402860</v>
      </c>
      <c r="B4402" s="10">
        <v>2020</v>
      </c>
      <c r="C4402" t="s">
        <v>589</v>
      </c>
      <c r="D4402" t="s">
        <v>2472</v>
      </c>
      <c r="E4402" t="s">
        <v>2474</v>
      </c>
      <c r="F4402" t="s">
        <v>1715</v>
      </c>
      <c r="G4402" t="s">
        <v>1715</v>
      </c>
      <c r="H4402" s="10">
        <v>6348734</v>
      </c>
      <c r="I4402">
        <f>IFERROR(VLOOKUP(Final!F4402,'LEAID Match'!$A$2:$B$374,2,FALSE),"")</f>
        <v>402860</v>
      </c>
      <c r="K4402" s="10">
        <f t="shared" si="68"/>
        <v>6348734</v>
      </c>
    </row>
    <row r="4403" spans="1:11">
      <c r="A4403">
        <v>402860</v>
      </c>
      <c r="B4403" s="10">
        <v>2021</v>
      </c>
      <c r="C4403" t="s">
        <v>589</v>
      </c>
      <c r="D4403" t="s">
        <v>2472</v>
      </c>
      <c r="E4403" t="s">
        <v>2474</v>
      </c>
      <c r="F4403" t="s">
        <v>1715</v>
      </c>
      <c r="G4403" t="s">
        <v>1715</v>
      </c>
      <c r="H4403" s="10">
        <v>6544245</v>
      </c>
      <c r="I4403">
        <f>IFERROR(VLOOKUP(Final!F4403,'LEAID Match'!$A$2:$B$374,2,FALSE),"")</f>
        <v>402860</v>
      </c>
      <c r="K4403" s="10">
        <f t="shared" si="68"/>
        <v>6544245</v>
      </c>
    </row>
    <row r="4404" spans="1:11">
      <c r="A4404">
        <v>402860</v>
      </c>
      <c r="B4404" s="10">
        <v>2022</v>
      </c>
      <c r="C4404" t="s">
        <v>589</v>
      </c>
      <c r="D4404" t="s">
        <v>2472</v>
      </c>
      <c r="E4404" t="s">
        <v>2474</v>
      </c>
      <c r="F4404" t="s">
        <v>1715</v>
      </c>
      <c r="G4404" t="s">
        <v>1715</v>
      </c>
      <c r="H4404" s="10">
        <v>7389826</v>
      </c>
      <c r="I4404">
        <f>IFERROR(VLOOKUP(Final!F4404,'LEAID Match'!$A$2:$B$374,2,FALSE),"")</f>
        <v>402860</v>
      </c>
      <c r="K4404" s="10">
        <f t="shared" si="68"/>
        <v>7389826</v>
      </c>
    </row>
    <row r="4405" spans="1:11">
      <c r="A4405">
        <v>402860</v>
      </c>
      <c r="B4405" s="10">
        <v>2023</v>
      </c>
      <c r="C4405" t="s">
        <v>589</v>
      </c>
      <c r="D4405" t="s">
        <v>2472</v>
      </c>
      <c r="E4405" t="s">
        <v>2474</v>
      </c>
      <c r="F4405" t="s">
        <v>1715</v>
      </c>
      <c r="G4405" t="s">
        <v>1715</v>
      </c>
      <c r="H4405" s="10">
        <v>7451445</v>
      </c>
      <c r="I4405">
        <f>IFERROR(VLOOKUP(Final!F4405,'LEAID Match'!$A$2:$B$374,2,FALSE),"")</f>
        <v>402860</v>
      </c>
      <c r="K4405" s="10">
        <f t="shared" si="68"/>
        <v>7451445</v>
      </c>
    </row>
    <row r="4406" spans="1:11">
      <c r="A4406">
        <v>409310</v>
      </c>
      <c r="B4406" s="10">
        <v>2015</v>
      </c>
      <c r="C4406" t="s">
        <v>1337</v>
      </c>
      <c r="D4406" t="s">
        <v>2472</v>
      </c>
      <c r="E4406" t="s">
        <v>2474</v>
      </c>
      <c r="F4406" t="s">
        <v>2021</v>
      </c>
      <c r="G4406" t="s">
        <v>1289</v>
      </c>
      <c r="H4406" s="10">
        <v>327443</v>
      </c>
      <c r="I4406">
        <f>IFERROR(VLOOKUP(Final!F4406,'LEAID Match'!$A$2:$B$374,2,FALSE),"")</f>
        <v>409310</v>
      </c>
      <c r="K4406" s="10">
        <f t="shared" si="68"/>
        <v>327443</v>
      </c>
    </row>
    <row r="4407" spans="1:11">
      <c r="A4407">
        <v>409310</v>
      </c>
      <c r="B4407" s="10">
        <v>2016</v>
      </c>
      <c r="C4407" t="s">
        <v>1337</v>
      </c>
      <c r="D4407" t="s">
        <v>2472</v>
      </c>
      <c r="E4407" t="s">
        <v>2474</v>
      </c>
      <c r="F4407" t="s">
        <v>2021</v>
      </c>
      <c r="G4407" t="s">
        <v>1289</v>
      </c>
      <c r="H4407" s="10">
        <v>338670</v>
      </c>
      <c r="I4407">
        <f>IFERROR(VLOOKUP(Final!F4407,'LEAID Match'!$A$2:$B$374,2,FALSE),"")</f>
        <v>409310</v>
      </c>
      <c r="K4407" s="10">
        <f t="shared" si="68"/>
        <v>338670</v>
      </c>
    </row>
    <row r="4408" spans="1:11">
      <c r="A4408">
        <v>409310</v>
      </c>
      <c r="B4408" s="10">
        <v>2017</v>
      </c>
      <c r="C4408" t="s">
        <v>1337</v>
      </c>
      <c r="D4408" t="s">
        <v>2472</v>
      </c>
      <c r="E4408" t="s">
        <v>2474</v>
      </c>
      <c r="F4408" t="s">
        <v>2021</v>
      </c>
      <c r="G4408" t="s">
        <v>2021</v>
      </c>
      <c r="H4408" s="10">
        <v>332801</v>
      </c>
      <c r="I4408">
        <f>IFERROR(VLOOKUP(Final!F4408,'LEAID Match'!$A$2:$B$374,2,FALSE),"")</f>
        <v>409310</v>
      </c>
      <c r="K4408" s="10">
        <f t="shared" si="68"/>
        <v>332801</v>
      </c>
    </row>
    <row r="4409" spans="1:11">
      <c r="A4409">
        <v>409310</v>
      </c>
      <c r="B4409" s="10">
        <v>2018</v>
      </c>
      <c r="C4409" t="s">
        <v>1337</v>
      </c>
      <c r="D4409" t="s">
        <v>2472</v>
      </c>
      <c r="E4409" t="s">
        <v>2474</v>
      </c>
      <c r="F4409" t="s">
        <v>2021</v>
      </c>
      <c r="G4409" t="s">
        <v>2021</v>
      </c>
      <c r="H4409" s="10">
        <v>367131</v>
      </c>
      <c r="I4409">
        <f>IFERROR(VLOOKUP(Final!F4409,'LEAID Match'!$A$2:$B$374,2,FALSE),"")</f>
        <v>409310</v>
      </c>
      <c r="K4409" s="10">
        <f t="shared" si="68"/>
        <v>367131</v>
      </c>
    </row>
    <row r="4410" spans="1:11">
      <c r="A4410">
        <v>409310</v>
      </c>
      <c r="B4410" s="10">
        <v>2019</v>
      </c>
      <c r="C4410" t="s">
        <v>1337</v>
      </c>
      <c r="D4410" t="s">
        <v>2472</v>
      </c>
      <c r="E4410" t="s">
        <v>2474</v>
      </c>
      <c r="F4410" t="s">
        <v>2021</v>
      </c>
      <c r="G4410" t="s">
        <v>2021</v>
      </c>
      <c r="H4410" s="10">
        <v>407339</v>
      </c>
      <c r="I4410">
        <f>IFERROR(VLOOKUP(Final!F4410,'LEAID Match'!$A$2:$B$374,2,FALSE),"")</f>
        <v>409310</v>
      </c>
      <c r="K4410" s="10">
        <f t="shared" si="68"/>
        <v>407339</v>
      </c>
    </row>
    <row r="4411" spans="1:11">
      <c r="A4411">
        <v>409310</v>
      </c>
      <c r="B4411" s="10">
        <v>2020</v>
      </c>
      <c r="C4411" t="s">
        <v>1337</v>
      </c>
      <c r="D4411" t="s">
        <v>2472</v>
      </c>
      <c r="E4411" t="s">
        <v>2474</v>
      </c>
      <c r="F4411" t="s">
        <v>2021</v>
      </c>
      <c r="G4411" t="s">
        <v>2021</v>
      </c>
      <c r="H4411" s="10">
        <v>434593</v>
      </c>
      <c r="I4411">
        <f>IFERROR(VLOOKUP(Final!F4411,'LEAID Match'!$A$2:$B$374,2,FALSE),"")</f>
        <v>409310</v>
      </c>
      <c r="K4411" s="10">
        <f t="shared" si="68"/>
        <v>434593</v>
      </c>
    </row>
    <row r="4412" spans="1:11">
      <c r="A4412">
        <v>409310</v>
      </c>
      <c r="B4412" s="10">
        <v>2021</v>
      </c>
      <c r="C4412" t="s">
        <v>1337</v>
      </c>
      <c r="D4412" t="s">
        <v>2472</v>
      </c>
      <c r="E4412" t="s">
        <v>2474</v>
      </c>
      <c r="F4412" t="s">
        <v>2021</v>
      </c>
      <c r="G4412" t="s">
        <v>2021</v>
      </c>
      <c r="H4412" s="10">
        <v>462053</v>
      </c>
      <c r="I4412">
        <f>IFERROR(VLOOKUP(Final!F4412,'LEAID Match'!$A$2:$B$374,2,FALSE),"")</f>
        <v>409310</v>
      </c>
      <c r="K4412" s="10">
        <f t="shared" si="68"/>
        <v>462053</v>
      </c>
    </row>
    <row r="4413" spans="1:11">
      <c r="A4413">
        <v>409310</v>
      </c>
      <c r="B4413" s="10">
        <v>2022</v>
      </c>
      <c r="C4413" t="s">
        <v>1337</v>
      </c>
      <c r="D4413" t="s">
        <v>2472</v>
      </c>
      <c r="E4413" t="s">
        <v>2474</v>
      </c>
      <c r="F4413" t="s">
        <v>2021</v>
      </c>
      <c r="G4413" t="s">
        <v>2021</v>
      </c>
      <c r="H4413" s="10">
        <v>538911</v>
      </c>
      <c r="I4413">
        <f>IFERROR(VLOOKUP(Final!F4413,'LEAID Match'!$A$2:$B$374,2,FALSE),"")</f>
        <v>409310</v>
      </c>
      <c r="K4413" s="10">
        <f t="shared" si="68"/>
        <v>538911</v>
      </c>
    </row>
    <row r="4414" spans="1:11">
      <c r="A4414">
        <v>409310</v>
      </c>
      <c r="B4414" s="10">
        <v>2023</v>
      </c>
      <c r="C4414" t="s">
        <v>1337</v>
      </c>
      <c r="D4414" t="s">
        <v>2472</v>
      </c>
      <c r="E4414" t="s">
        <v>2474</v>
      </c>
      <c r="F4414" t="s">
        <v>2021</v>
      </c>
      <c r="G4414" t="s">
        <v>2021</v>
      </c>
      <c r="H4414" s="10">
        <v>608911</v>
      </c>
      <c r="I4414">
        <f>IFERROR(VLOOKUP(Final!F4414,'LEAID Match'!$A$2:$B$374,2,FALSE),"")</f>
        <v>409310</v>
      </c>
      <c r="K4414" s="10">
        <f t="shared" si="68"/>
        <v>608911</v>
      </c>
    </row>
    <row r="4415" spans="1:11">
      <c r="A4415">
        <v>403550</v>
      </c>
      <c r="B4415" s="10">
        <v>2015</v>
      </c>
      <c r="C4415" t="s">
        <v>672</v>
      </c>
      <c r="D4415" t="s">
        <v>2472</v>
      </c>
      <c r="E4415" t="s">
        <v>2474</v>
      </c>
      <c r="F4415" t="s">
        <v>1739</v>
      </c>
      <c r="G4415" t="s">
        <v>617</v>
      </c>
      <c r="H4415" s="10">
        <v>173732</v>
      </c>
      <c r="I4415">
        <f>IFERROR(VLOOKUP(Final!F4415,'LEAID Match'!$A$2:$B$374,2,FALSE),"")</f>
        <v>403550</v>
      </c>
      <c r="K4415" s="10">
        <f t="shared" si="68"/>
        <v>173732</v>
      </c>
    </row>
    <row r="4416" spans="1:11">
      <c r="A4416">
        <v>403550</v>
      </c>
      <c r="B4416" s="10">
        <v>2016</v>
      </c>
      <c r="C4416" t="s">
        <v>672</v>
      </c>
      <c r="D4416" t="s">
        <v>2472</v>
      </c>
      <c r="E4416" t="s">
        <v>2474</v>
      </c>
      <c r="F4416" t="s">
        <v>1739</v>
      </c>
      <c r="G4416" t="s">
        <v>617</v>
      </c>
      <c r="H4416" s="10">
        <v>246837</v>
      </c>
      <c r="I4416">
        <f>IFERROR(VLOOKUP(Final!F4416,'LEAID Match'!$A$2:$B$374,2,FALSE),"")</f>
        <v>403550</v>
      </c>
      <c r="K4416" s="10">
        <f t="shared" si="68"/>
        <v>246837</v>
      </c>
    </row>
    <row r="4417" spans="1:11">
      <c r="A4417">
        <v>403550</v>
      </c>
      <c r="B4417" s="10">
        <v>2017</v>
      </c>
      <c r="C4417" t="s">
        <v>672</v>
      </c>
      <c r="D4417" t="s">
        <v>2472</v>
      </c>
      <c r="E4417" t="s">
        <v>2474</v>
      </c>
      <c r="F4417" t="s">
        <v>1739</v>
      </c>
      <c r="G4417" t="s">
        <v>1739</v>
      </c>
      <c r="H4417" s="10">
        <v>273949</v>
      </c>
      <c r="I4417">
        <f>IFERROR(VLOOKUP(Final!F4417,'LEAID Match'!$A$2:$B$374,2,FALSE),"")</f>
        <v>403550</v>
      </c>
      <c r="K4417" s="10">
        <f t="shared" si="68"/>
        <v>273949</v>
      </c>
    </row>
    <row r="4418" spans="1:11">
      <c r="A4418">
        <v>403550</v>
      </c>
      <c r="B4418" s="10">
        <v>2018</v>
      </c>
      <c r="C4418" t="s">
        <v>672</v>
      </c>
      <c r="D4418" t="s">
        <v>2472</v>
      </c>
      <c r="E4418" t="s">
        <v>2474</v>
      </c>
      <c r="F4418" t="s">
        <v>1739</v>
      </c>
      <c r="G4418" t="s">
        <v>2201</v>
      </c>
      <c r="H4418" s="10">
        <v>295791</v>
      </c>
      <c r="I4418">
        <f>IFERROR(VLOOKUP(Final!F4418,'LEAID Match'!$A$2:$B$374,2,FALSE),"")</f>
        <v>403550</v>
      </c>
      <c r="K4418" s="10">
        <f t="shared" si="68"/>
        <v>295791</v>
      </c>
    </row>
    <row r="4419" spans="1:11">
      <c r="A4419">
        <v>403550</v>
      </c>
      <c r="B4419" s="10">
        <v>2019</v>
      </c>
      <c r="C4419" t="s">
        <v>672</v>
      </c>
      <c r="D4419" t="s">
        <v>2472</v>
      </c>
      <c r="E4419" t="s">
        <v>2474</v>
      </c>
      <c r="F4419" t="s">
        <v>1739</v>
      </c>
      <c r="G4419" t="s">
        <v>1739</v>
      </c>
      <c r="H4419" s="10">
        <v>341819</v>
      </c>
      <c r="I4419">
        <f>IFERROR(VLOOKUP(Final!F4419,'LEAID Match'!$A$2:$B$374,2,FALSE),"")</f>
        <v>403550</v>
      </c>
      <c r="K4419" s="10">
        <f t="shared" ref="K4419:K4482" si="69">SUM(H4419,J4419)</f>
        <v>341819</v>
      </c>
    </row>
    <row r="4420" spans="1:11">
      <c r="A4420">
        <v>403550</v>
      </c>
      <c r="B4420" s="10">
        <v>2020</v>
      </c>
      <c r="C4420" t="s">
        <v>672</v>
      </c>
      <c r="D4420" t="s">
        <v>2472</v>
      </c>
      <c r="E4420" t="s">
        <v>2474</v>
      </c>
      <c r="F4420" t="s">
        <v>1739</v>
      </c>
      <c r="G4420" t="s">
        <v>1739</v>
      </c>
      <c r="H4420" s="10">
        <v>343351</v>
      </c>
      <c r="I4420">
        <f>IFERROR(VLOOKUP(Final!F4420,'LEAID Match'!$A$2:$B$374,2,FALSE),"")</f>
        <v>403550</v>
      </c>
      <c r="K4420" s="10">
        <f t="shared" si="69"/>
        <v>343351</v>
      </c>
    </row>
    <row r="4421" spans="1:11">
      <c r="A4421">
        <v>403550</v>
      </c>
      <c r="B4421" s="10">
        <v>2021</v>
      </c>
      <c r="C4421" t="s">
        <v>672</v>
      </c>
      <c r="D4421" t="s">
        <v>2472</v>
      </c>
      <c r="E4421" t="s">
        <v>2474</v>
      </c>
      <c r="F4421" t="s">
        <v>1739</v>
      </c>
      <c r="G4421" t="s">
        <v>1739</v>
      </c>
      <c r="H4421" s="10">
        <v>324704</v>
      </c>
      <c r="I4421">
        <f>IFERROR(VLOOKUP(Final!F4421,'LEAID Match'!$A$2:$B$374,2,FALSE),"")</f>
        <v>403550</v>
      </c>
      <c r="K4421" s="10">
        <f t="shared" si="69"/>
        <v>324704</v>
      </c>
    </row>
    <row r="4422" spans="1:11">
      <c r="A4422">
        <v>403550</v>
      </c>
      <c r="B4422" s="10">
        <v>2022</v>
      </c>
      <c r="C4422" t="s">
        <v>672</v>
      </c>
      <c r="D4422" t="s">
        <v>2472</v>
      </c>
      <c r="E4422" t="s">
        <v>2474</v>
      </c>
      <c r="F4422" t="s">
        <v>1739</v>
      </c>
      <c r="G4422" t="s">
        <v>1739</v>
      </c>
      <c r="H4422" s="10">
        <v>334378</v>
      </c>
      <c r="I4422">
        <f>IFERROR(VLOOKUP(Final!F4422,'LEAID Match'!$A$2:$B$374,2,FALSE),"")</f>
        <v>403550</v>
      </c>
      <c r="K4422" s="10">
        <f t="shared" si="69"/>
        <v>334378</v>
      </c>
    </row>
    <row r="4423" spans="1:11">
      <c r="A4423">
        <v>403550</v>
      </c>
      <c r="B4423" s="10">
        <v>2023</v>
      </c>
      <c r="C4423" t="s">
        <v>672</v>
      </c>
      <c r="D4423" t="s">
        <v>2472</v>
      </c>
      <c r="E4423" t="s">
        <v>2474</v>
      </c>
      <c r="F4423" t="s">
        <v>1739</v>
      </c>
      <c r="G4423" t="s">
        <v>1739</v>
      </c>
      <c r="H4423" s="10">
        <v>359789</v>
      </c>
      <c r="I4423">
        <f>IFERROR(VLOOKUP(Final!F4423,'LEAID Match'!$A$2:$B$374,2,FALSE),"")</f>
        <v>403550</v>
      </c>
      <c r="K4423" s="10">
        <f t="shared" si="69"/>
        <v>359789</v>
      </c>
    </row>
    <row r="4424" spans="1:11">
      <c r="A4424">
        <v>401920</v>
      </c>
      <c r="B4424" s="10">
        <v>2015</v>
      </c>
      <c r="C4424" t="s">
        <v>362</v>
      </c>
      <c r="D4424" t="s">
        <v>2472</v>
      </c>
      <c r="E4424" t="s">
        <v>2474</v>
      </c>
      <c r="F4424" t="s">
        <v>1656</v>
      </c>
      <c r="G4424" t="s">
        <v>308</v>
      </c>
      <c r="H4424" s="10">
        <v>6667</v>
      </c>
      <c r="I4424">
        <f>IFERROR(VLOOKUP(Final!F4424,'LEAID Match'!$A$2:$B$374,2,FALSE),"")</f>
        <v>401920</v>
      </c>
      <c r="K4424" s="10">
        <f t="shared" si="69"/>
        <v>6667</v>
      </c>
    </row>
    <row r="4425" spans="1:11">
      <c r="A4425">
        <v>401920</v>
      </c>
      <c r="B4425" s="10">
        <v>2016</v>
      </c>
      <c r="C4425" t="s">
        <v>362</v>
      </c>
      <c r="D4425" t="s">
        <v>2472</v>
      </c>
      <c r="E4425" t="s">
        <v>2474</v>
      </c>
      <c r="F4425" t="s">
        <v>1656</v>
      </c>
      <c r="G4425" t="s">
        <v>308</v>
      </c>
      <c r="H4425" s="10">
        <v>6749</v>
      </c>
      <c r="I4425">
        <f>IFERROR(VLOOKUP(Final!F4425,'LEAID Match'!$A$2:$B$374,2,FALSE),"")</f>
        <v>401920</v>
      </c>
      <c r="K4425" s="10">
        <f t="shared" si="69"/>
        <v>6749</v>
      </c>
    </row>
    <row r="4426" spans="1:11">
      <c r="A4426">
        <v>401920</v>
      </c>
      <c r="B4426" s="10">
        <v>2017</v>
      </c>
      <c r="C4426" t="s">
        <v>362</v>
      </c>
      <c r="D4426" t="s">
        <v>2472</v>
      </c>
      <c r="E4426" t="s">
        <v>2474</v>
      </c>
      <c r="F4426" t="s">
        <v>1656</v>
      </c>
      <c r="G4426" t="s">
        <v>1656</v>
      </c>
      <c r="H4426" s="10">
        <v>5479</v>
      </c>
      <c r="I4426">
        <f>IFERROR(VLOOKUP(Final!F4426,'LEAID Match'!$A$2:$B$374,2,FALSE),"")</f>
        <v>401920</v>
      </c>
      <c r="K4426" s="10">
        <f t="shared" si="69"/>
        <v>5479</v>
      </c>
    </row>
    <row r="4427" spans="1:11">
      <c r="A4427">
        <v>401920</v>
      </c>
      <c r="B4427" s="10">
        <v>2018</v>
      </c>
      <c r="C4427" t="s">
        <v>362</v>
      </c>
      <c r="D4427" t="s">
        <v>2472</v>
      </c>
      <c r="E4427" t="s">
        <v>2474</v>
      </c>
      <c r="F4427" t="s">
        <v>1656</v>
      </c>
      <c r="G4427" t="s">
        <v>2151</v>
      </c>
      <c r="H4427" s="10">
        <v>6534</v>
      </c>
      <c r="I4427">
        <f>IFERROR(VLOOKUP(Final!F4427,'LEAID Match'!$A$2:$B$374,2,FALSE),"")</f>
        <v>401920</v>
      </c>
      <c r="K4427" s="10">
        <f t="shared" si="69"/>
        <v>6534</v>
      </c>
    </row>
    <row r="4428" spans="1:11">
      <c r="A4428">
        <v>401920</v>
      </c>
      <c r="B4428" s="10">
        <v>2019</v>
      </c>
      <c r="C4428" t="s">
        <v>362</v>
      </c>
      <c r="D4428" t="s">
        <v>2472</v>
      </c>
      <c r="E4428" t="s">
        <v>2474</v>
      </c>
      <c r="F4428" t="s">
        <v>1656</v>
      </c>
      <c r="G4428" t="s">
        <v>1656</v>
      </c>
      <c r="H4428" s="10">
        <v>5780</v>
      </c>
      <c r="I4428">
        <f>IFERROR(VLOOKUP(Final!F4428,'LEAID Match'!$A$2:$B$374,2,FALSE),"")</f>
        <v>401920</v>
      </c>
      <c r="K4428" s="10">
        <f t="shared" si="69"/>
        <v>5780</v>
      </c>
    </row>
    <row r="4429" spans="1:11">
      <c r="A4429">
        <v>401920</v>
      </c>
      <c r="B4429" s="10">
        <v>2020</v>
      </c>
      <c r="C4429" t="s">
        <v>362</v>
      </c>
      <c r="D4429" t="s">
        <v>2472</v>
      </c>
      <c r="E4429" t="s">
        <v>2474</v>
      </c>
      <c r="F4429" t="s">
        <v>1656</v>
      </c>
      <c r="G4429" t="s">
        <v>1656</v>
      </c>
      <c r="H4429" s="10">
        <v>7653</v>
      </c>
      <c r="I4429">
        <f>IFERROR(VLOOKUP(Final!F4429,'LEAID Match'!$A$2:$B$374,2,FALSE),"")</f>
        <v>401920</v>
      </c>
      <c r="K4429" s="10">
        <f t="shared" si="69"/>
        <v>7653</v>
      </c>
    </row>
    <row r="4430" spans="1:11">
      <c r="A4430">
        <v>401920</v>
      </c>
      <c r="B4430" s="10">
        <v>2021</v>
      </c>
      <c r="C4430" t="s">
        <v>362</v>
      </c>
      <c r="D4430" t="s">
        <v>2472</v>
      </c>
      <c r="E4430" t="s">
        <v>2474</v>
      </c>
      <c r="F4430" t="s">
        <v>1656</v>
      </c>
      <c r="G4430" t="s">
        <v>1656</v>
      </c>
      <c r="H4430" s="10">
        <v>9171</v>
      </c>
      <c r="I4430">
        <f>IFERROR(VLOOKUP(Final!F4430,'LEAID Match'!$A$2:$B$374,2,FALSE),"")</f>
        <v>401920</v>
      </c>
      <c r="K4430" s="10">
        <f t="shared" si="69"/>
        <v>9171</v>
      </c>
    </row>
    <row r="4431" spans="1:11">
      <c r="A4431">
        <v>401920</v>
      </c>
      <c r="B4431" s="10">
        <v>2022</v>
      </c>
      <c r="C4431" t="s">
        <v>362</v>
      </c>
      <c r="D4431" t="s">
        <v>2472</v>
      </c>
      <c r="E4431" t="s">
        <v>2474</v>
      </c>
      <c r="F4431" t="s">
        <v>1656</v>
      </c>
      <c r="G4431" t="s">
        <v>1656</v>
      </c>
      <c r="H4431" s="10">
        <v>9319</v>
      </c>
      <c r="I4431">
        <f>IFERROR(VLOOKUP(Final!F4431,'LEAID Match'!$A$2:$B$374,2,FALSE),"")</f>
        <v>401920</v>
      </c>
      <c r="K4431" s="10">
        <f t="shared" si="69"/>
        <v>9319</v>
      </c>
    </row>
    <row r="4432" spans="1:11">
      <c r="A4432">
        <v>401920</v>
      </c>
      <c r="B4432" s="10">
        <v>2023</v>
      </c>
      <c r="C4432" t="s">
        <v>362</v>
      </c>
      <c r="D4432" t="s">
        <v>2472</v>
      </c>
      <c r="E4432" t="s">
        <v>2474</v>
      </c>
      <c r="F4432" t="s">
        <v>1656</v>
      </c>
      <c r="G4432" t="s">
        <v>1656</v>
      </c>
      <c r="H4432" s="10">
        <v>17605</v>
      </c>
      <c r="I4432">
        <f>IFERROR(VLOOKUP(Final!F4432,'LEAID Match'!$A$2:$B$374,2,FALSE),"")</f>
        <v>401920</v>
      </c>
      <c r="K4432" s="10">
        <f t="shared" si="69"/>
        <v>17605</v>
      </c>
    </row>
    <row r="4433" spans="1:11">
      <c r="A4433">
        <v>403080</v>
      </c>
      <c r="B4433" s="10">
        <v>2015</v>
      </c>
      <c r="C4433" t="s">
        <v>599</v>
      </c>
      <c r="D4433" t="s">
        <v>2472</v>
      </c>
      <c r="E4433" t="s">
        <v>2474</v>
      </c>
      <c r="F4433" t="s">
        <v>1726</v>
      </c>
      <c r="G4433" t="s">
        <v>544</v>
      </c>
      <c r="H4433" s="10">
        <v>142407</v>
      </c>
      <c r="I4433">
        <f>IFERROR(VLOOKUP(Final!F4433,'LEAID Match'!$A$2:$B$374,2,FALSE),"")</f>
        <v>403080</v>
      </c>
      <c r="K4433" s="10">
        <f t="shared" si="69"/>
        <v>142407</v>
      </c>
    </row>
    <row r="4434" spans="1:11">
      <c r="A4434">
        <v>403080</v>
      </c>
      <c r="B4434" s="10">
        <v>2016</v>
      </c>
      <c r="C4434" t="s">
        <v>599</v>
      </c>
      <c r="D4434" t="s">
        <v>2472</v>
      </c>
      <c r="E4434" t="s">
        <v>2474</v>
      </c>
      <c r="F4434" t="s">
        <v>1726</v>
      </c>
      <c r="G4434" t="s">
        <v>544</v>
      </c>
      <c r="H4434" s="10">
        <v>150860</v>
      </c>
      <c r="I4434">
        <f>IFERROR(VLOOKUP(Final!F4434,'LEAID Match'!$A$2:$B$374,2,FALSE),"")</f>
        <v>403080</v>
      </c>
      <c r="K4434" s="10">
        <f t="shared" si="69"/>
        <v>150860</v>
      </c>
    </row>
    <row r="4435" spans="1:11">
      <c r="A4435">
        <v>403080</v>
      </c>
      <c r="B4435" s="10">
        <v>2017</v>
      </c>
      <c r="C4435" t="s">
        <v>599</v>
      </c>
      <c r="D4435" t="s">
        <v>2472</v>
      </c>
      <c r="E4435" t="s">
        <v>2474</v>
      </c>
      <c r="F4435" t="s">
        <v>1726</v>
      </c>
      <c r="G4435" t="s">
        <v>1726</v>
      </c>
      <c r="H4435" s="10">
        <v>134547</v>
      </c>
      <c r="I4435">
        <f>IFERROR(VLOOKUP(Final!F4435,'LEAID Match'!$A$2:$B$374,2,FALSE),"")</f>
        <v>403080</v>
      </c>
      <c r="K4435" s="10">
        <f t="shared" si="69"/>
        <v>134547</v>
      </c>
    </row>
    <row r="4436" spans="1:11">
      <c r="A4436">
        <v>403080</v>
      </c>
      <c r="B4436" s="10">
        <v>2018</v>
      </c>
      <c r="C4436" t="s">
        <v>599</v>
      </c>
      <c r="D4436" t="s">
        <v>2472</v>
      </c>
      <c r="E4436" t="s">
        <v>2474</v>
      </c>
      <c r="F4436" t="s">
        <v>1726</v>
      </c>
      <c r="G4436" t="s">
        <v>2194</v>
      </c>
      <c r="H4436" s="10">
        <v>140699</v>
      </c>
      <c r="I4436">
        <f>IFERROR(VLOOKUP(Final!F4436,'LEAID Match'!$A$2:$B$374,2,FALSE),"")</f>
        <v>403080</v>
      </c>
      <c r="K4436" s="10">
        <f t="shared" si="69"/>
        <v>140699</v>
      </c>
    </row>
    <row r="4437" spans="1:11">
      <c r="A4437">
        <v>403080</v>
      </c>
      <c r="B4437" s="10">
        <v>2019</v>
      </c>
      <c r="C4437" t="s">
        <v>599</v>
      </c>
      <c r="D4437" t="s">
        <v>2472</v>
      </c>
      <c r="E4437" t="s">
        <v>2474</v>
      </c>
      <c r="F4437" t="s">
        <v>1726</v>
      </c>
      <c r="G4437" t="s">
        <v>1726</v>
      </c>
      <c r="H4437" s="10">
        <v>146776</v>
      </c>
      <c r="I4437">
        <f>IFERROR(VLOOKUP(Final!F4437,'LEAID Match'!$A$2:$B$374,2,FALSE),"")</f>
        <v>403080</v>
      </c>
      <c r="K4437" s="10">
        <f t="shared" si="69"/>
        <v>146776</v>
      </c>
    </row>
    <row r="4438" spans="1:11">
      <c r="A4438">
        <v>403080</v>
      </c>
      <c r="B4438" s="10">
        <v>2020</v>
      </c>
      <c r="C4438" t="s">
        <v>599</v>
      </c>
      <c r="D4438" t="s">
        <v>2472</v>
      </c>
      <c r="E4438" t="s">
        <v>2474</v>
      </c>
      <c r="F4438" t="s">
        <v>1726</v>
      </c>
      <c r="G4438" t="s">
        <v>1726</v>
      </c>
      <c r="H4438" s="10">
        <v>156207</v>
      </c>
      <c r="I4438">
        <f>IFERROR(VLOOKUP(Final!F4438,'LEAID Match'!$A$2:$B$374,2,FALSE),"")</f>
        <v>403080</v>
      </c>
      <c r="K4438" s="10">
        <f t="shared" si="69"/>
        <v>156207</v>
      </c>
    </row>
    <row r="4439" spans="1:11">
      <c r="A4439">
        <v>403080</v>
      </c>
      <c r="B4439" s="10">
        <v>2021</v>
      </c>
      <c r="C4439" t="s">
        <v>599</v>
      </c>
      <c r="D4439" t="s">
        <v>2472</v>
      </c>
      <c r="E4439" t="s">
        <v>2474</v>
      </c>
      <c r="F4439" t="s">
        <v>1726</v>
      </c>
      <c r="G4439" t="s">
        <v>1726</v>
      </c>
      <c r="H4439" s="10">
        <v>161678</v>
      </c>
      <c r="I4439">
        <f>IFERROR(VLOOKUP(Final!F4439,'LEAID Match'!$A$2:$B$374,2,FALSE),"")</f>
        <v>403080</v>
      </c>
      <c r="K4439" s="10">
        <f t="shared" si="69"/>
        <v>161678</v>
      </c>
    </row>
    <row r="4440" spans="1:11">
      <c r="A4440">
        <v>403080</v>
      </c>
      <c r="B4440" s="10">
        <v>2022</v>
      </c>
      <c r="C4440" t="s">
        <v>599</v>
      </c>
      <c r="D4440" t="s">
        <v>2472</v>
      </c>
      <c r="E4440" t="s">
        <v>2474</v>
      </c>
      <c r="F4440" t="s">
        <v>1726</v>
      </c>
      <c r="G4440" t="s">
        <v>1726</v>
      </c>
      <c r="H4440" s="10">
        <v>171202</v>
      </c>
      <c r="I4440">
        <f>IFERROR(VLOOKUP(Final!F4440,'LEAID Match'!$A$2:$B$374,2,FALSE),"")</f>
        <v>403080</v>
      </c>
      <c r="K4440" s="10">
        <f t="shared" si="69"/>
        <v>171202</v>
      </c>
    </row>
    <row r="4441" spans="1:11">
      <c r="A4441">
        <v>403080</v>
      </c>
      <c r="B4441" s="10">
        <v>2023</v>
      </c>
      <c r="C4441" t="s">
        <v>599</v>
      </c>
      <c r="D4441" t="s">
        <v>2472</v>
      </c>
      <c r="E4441" t="s">
        <v>2474</v>
      </c>
      <c r="F4441" t="s">
        <v>1726</v>
      </c>
      <c r="G4441" t="s">
        <v>1726</v>
      </c>
      <c r="H4441" s="10">
        <v>192815</v>
      </c>
      <c r="I4441">
        <f>IFERROR(VLOOKUP(Final!F4441,'LEAID Match'!$A$2:$B$374,2,FALSE),"")</f>
        <v>403080</v>
      </c>
      <c r="K4441" s="10">
        <f t="shared" si="69"/>
        <v>192815</v>
      </c>
    </row>
    <row r="4442" spans="1:11">
      <c r="A4442">
        <v>405820</v>
      </c>
      <c r="B4442" s="10">
        <v>2015</v>
      </c>
      <c r="C4442" t="s">
        <v>906</v>
      </c>
      <c r="D4442" t="s">
        <v>2472</v>
      </c>
      <c r="E4442" t="s">
        <v>2474</v>
      </c>
      <c r="F4442" t="s">
        <v>1848</v>
      </c>
      <c r="G4442" t="s">
        <v>851</v>
      </c>
      <c r="H4442" s="10">
        <v>1556545</v>
      </c>
      <c r="I4442">
        <f>IFERROR(VLOOKUP(Final!F4442,'LEAID Match'!$A$2:$B$374,2,FALSE),"")</f>
        <v>405820</v>
      </c>
      <c r="K4442" s="10">
        <f t="shared" si="69"/>
        <v>1556545</v>
      </c>
    </row>
    <row r="4443" spans="1:11">
      <c r="A4443">
        <v>405820</v>
      </c>
      <c r="B4443" s="10">
        <v>2016</v>
      </c>
      <c r="C4443" t="s">
        <v>906</v>
      </c>
      <c r="D4443" t="s">
        <v>2472</v>
      </c>
      <c r="E4443" t="s">
        <v>2474</v>
      </c>
      <c r="F4443" t="s">
        <v>1848</v>
      </c>
      <c r="G4443" t="s">
        <v>851</v>
      </c>
      <c r="H4443" s="10">
        <v>1564840</v>
      </c>
      <c r="I4443">
        <f>IFERROR(VLOOKUP(Final!F4443,'LEAID Match'!$A$2:$B$374,2,FALSE),"")</f>
        <v>405820</v>
      </c>
      <c r="K4443" s="10">
        <f t="shared" si="69"/>
        <v>1564840</v>
      </c>
    </row>
    <row r="4444" spans="1:11">
      <c r="A4444">
        <v>405820</v>
      </c>
      <c r="B4444" s="10">
        <v>2017</v>
      </c>
      <c r="C4444" t="s">
        <v>906</v>
      </c>
      <c r="D4444" t="s">
        <v>2472</v>
      </c>
      <c r="E4444" t="s">
        <v>2474</v>
      </c>
      <c r="F4444" t="s">
        <v>1848</v>
      </c>
      <c r="G4444" t="s">
        <v>1848</v>
      </c>
      <c r="H4444" s="10">
        <v>1608628</v>
      </c>
      <c r="I4444">
        <f>IFERROR(VLOOKUP(Final!F4444,'LEAID Match'!$A$2:$B$374,2,FALSE),"")</f>
        <v>405820</v>
      </c>
      <c r="K4444" s="10">
        <f t="shared" si="69"/>
        <v>1608628</v>
      </c>
    </row>
    <row r="4445" spans="1:11">
      <c r="A4445">
        <v>405820</v>
      </c>
      <c r="B4445" s="10">
        <v>2018</v>
      </c>
      <c r="C4445" t="s">
        <v>906</v>
      </c>
      <c r="D4445" t="s">
        <v>2472</v>
      </c>
      <c r="E4445" t="s">
        <v>2474</v>
      </c>
      <c r="F4445" t="s">
        <v>1848</v>
      </c>
      <c r="G4445" t="s">
        <v>1848</v>
      </c>
      <c r="H4445" s="10">
        <v>1628955</v>
      </c>
      <c r="I4445">
        <f>IFERROR(VLOOKUP(Final!F4445,'LEAID Match'!$A$2:$B$374,2,FALSE),"")</f>
        <v>405820</v>
      </c>
      <c r="K4445" s="10">
        <f t="shared" si="69"/>
        <v>1628955</v>
      </c>
    </row>
    <row r="4446" spans="1:11">
      <c r="A4446">
        <v>405820</v>
      </c>
      <c r="B4446" s="10">
        <v>2019</v>
      </c>
      <c r="C4446" t="s">
        <v>906</v>
      </c>
      <c r="D4446" t="s">
        <v>2472</v>
      </c>
      <c r="E4446" t="s">
        <v>2474</v>
      </c>
      <c r="F4446" t="s">
        <v>1848</v>
      </c>
      <c r="G4446" t="s">
        <v>1848</v>
      </c>
      <c r="H4446" s="10">
        <v>1624694</v>
      </c>
      <c r="I4446">
        <f>IFERROR(VLOOKUP(Final!F4446,'LEAID Match'!$A$2:$B$374,2,FALSE),"")</f>
        <v>405820</v>
      </c>
      <c r="K4446" s="10">
        <f t="shared" si="69"/>
        <v>1624694</v>
      </c>
    </row>
    <row r="4447" spans="1:11">
      <c r="A4447">
        <v>405820</v>
      </c>
      <c r="B4447" s="10">
        <v>2020</v>
      </c>
      <c r="C4447" t="s">
        <v>906</v>
      </c>
      <c r="D4447" t="s">
        <v>2472</v>
      </c>
      <c r="E4447" t="s">
        <v>2474</v>
      </c>
      <c r="F4447" t="s">
        <v>1848</v>
      </c>
      <c r="G4447" t="s">
        <v>1848</v>
      </c>
      <c r="H4447" s="10">
        <v>1698977</v>
      </c>
      <c r="I4447">
        <f>IFERROR(VLOOKUP(Final!F4447,'LEAID Match'!$A$2:$B$374,2,FALSE),"")</f>
        <v>405820</v>
      </c>
      <c r="K4447" s="10">
        <f t="shared" si="69"/>
        <v>1698977</v>
      </c>
    </row>
    <row r="4448" spans="1:11">
      <c r="A4448">
        <v>405820</v>
      </c>
      <c r="B4448" s="10">
        <v>2021</v>
      </c>
      <c r="C4448" t="s">
        <v>906</v>
      </c>
      <c r="D4448" t="s">
        <v>2472</v>
      </c>
      <c r="E4448" t="s">
        <v>2474</v>
      </c>
      <c r="F4448" t="s">
        <v>1848</v>
      </c>
      <c r="G4448" t="s">
        <v>1848</v>
      </c>
      <c r="H4448" s="10">
        <v>1690159</v>
      </c>
      <c r="I4448">
        <f>IFERROR(VLOOKUP(Final!F4448,'LEAID Match'!$A$2:$B$374,2,FALSE),"")</f>
        <v>405820</v>
      </c>
      <c r="K4448" s="10">
        <f t="shared" si="69"/>
        <v>1690159</v>
      </c>
    </row>
    <row r="4449" spans="1:11">
      <c r="A4449">
        <v>405820</v>
      </c>
      <c r="B4449" s="10">
        <v>2022</v>
      </c>
      <c r="C4449" t="s">
        <v>906</v>
      </c>
      <c r="D4449" t="s">
        <v>2472</v>
      </c>
      <c r="E4449" t="s">
        <v>2474</v>
      </c>
      <c r="F4449" t="s">
        <v>1848</v>
      </c>
      <c r="G4449" t="s">
        <v>1848</v>
      </c>
      <c r="H4449" s="10">
        <v>1714494</v>
      </c>
      <c r="I4449">
        <f>IFERROR(VLOOKUP(Final!F4449,'LEAID Match'!$A$2:$B$374,2,FALSE),"")</f>
        <v>405820</v>
      </c>
      <c r="K4449" s="10">
        <f t="shared" si="69"/>
        <v>1714494</v>
      </c>
    </row>
    <row r="4450" spans="1:11">
      <c r="A4450">
        <v>405820</v>
      </c>
      <c r="B4450" s="10">
        <v>2023</v>
      </c>
      <c r="C4450" t="s">
        <v>906</v>
      </c>
      <c r="D4450" t="s">
        <v>2472</v>
      </c>
      <c r="E4450" t="s">
        <v>2474</v>
      </c>
      <c r="F4450" t="s">
        <v>1848</v>
      </c>
      <c r="G4450" t="s">
        <v>1848</v>
      </c>
      <c r="H4450" s="10">
        <v>1637656</v>
      </c>
      <c r="I4450">
        <f>IFERROR(VLOOKUP(Final!F4450,'LEAID Match'!$A$2:$B$374,2,FALSE),"")</f>
        <v>405820</v>
      </c>
      <c r="K4450" s="10">
        <f t="shared" si="69"/>
        <v>1637656</v>
      </c>
    </row>
    <row r="4451" spans="1:11">
      <c r="A4451">
        <v>404530</v>
      </c>
      <c r="B4451" s="10">
        <v>2015</v>
      </c>
      <c r="C4451" t="s">
        <v>779</v>
      </c>
      <c r="D4451" t="s">
        <v>2472</v>
      </c>
      <c r="E4451" t="s">
        <v>2474</v>
      </c>
      <c r="F4451" t="s">
        <v>1789</v>
      </c>
      <c r="G4451" t="s">
        <v>724</v>
      </c>
      <c r="H4451" s="10">
        <v>123126</v>
      </c>
      <c r="I4451">
        <f>IFERROR(VLOOKUP(Final!F4451,'LEAID Match'!$A$2:$B$374,2,FALSE),"")</f>
        <v>404530</v>
      </c>
      <c r="K4451" s="10">
        <f t="shared" si="69"/>
        <v>123126</v>
      </c>
    </row>
    <row r="4452" spans="1:11">
      <c r="A4452">
        <v>404530</v>
      </c>
      <c r="B4452" s="10">
        <v>2016</v>
      </c>
      <c r="C4452" t="s">
        <v>779</v>
      </c>
      <c r="D4452" t="s">
        <v>2472</v>
      </c>
      <c r="E4452" t="s">
        <v>2474</v>
      </c>
      <c r="F4452" t="s">
        <v>1789</v>
      </c>
      <c r="G4452" t="s">
        <v>724</v>
      </c>
      <c r="H4452" s="10">
        <v>123464</v>
      </c>
      <c r="I4452">
        <f>IFERROR(VLOOKUP(Final!F4452,'LEAID Match'!$A$2:$B$374,2,FALSE),"")</f>
        <v>404530</v>
      </c>
      <c r="K4452" s="10">
        <f t="shared" si="69"/>
        <v>123464</v>
      </c>
    </row>
    <row r="4453" spans="1:11">
      <c r="A4453">
        <v>404530</v>
      </c>
      <c r="B4453" s="10">
        <v>2017</v>
      </c>
      <c r="C4453" t="s">
        <v>779</v>
      </c>
      <c r="D4453" t="s">
        <v>2472</v>
      </c>
      <c r="E4453" t="s">
        <v>2474</v>
      </c>
      <c r="F4453" t="s">
        <v>1789</v>
      </c>
      <c r="G4453" t="s">
        <v>1789</v>
      </c>
      <c r="H4453" s="10">
        <v>131341</v>
      </c>
      <c r="I4453">
        <f>IFERROR(VLOOKUP(Final!F4453,'LEAID Match'!$A$2:$B$374,2,FALSE),"")</f>
        <v>404530</v>
      </c>
      <c r="K4453" s="10">
        <f t="shared" si="69"/>
        <v>131341</v>
      </c>
    </row>
    <row r="4454" spans="1:11">
      <c r="A4454">
        <v>404530</v>
      </c>
      <c r="B4454" s="10">
        <v>2018</v>
      </c>
      <c r="C4454" t="s">
        <v>779</v>
      </c>
      <c r="D4454" t="s">
        <v>2472</v>
      </c>
      <c r="E4454" t="s">
        <v>2474</v>
      </c>
      <c r="F4454" t="s">
        <v>1789</v>
      </c>
      <c r="G4454" t="s">
        <v>2226</v>
      </c>
      <c r="H4454" s="10">
        <v>135034</v>
      </c>
      <c r="I4454">
        <f>IFERROR(VLOOKUP(Final!F4454,'LEAID Match'!$A$2:$B$374,2,FALSE),"")</f>
        <v>404530</v>
      </c>
      <c r="K4454" s="10">
        <f t="shared" si="69"/>
        <v>135034</v>
      </c>
    </row>
    <row r="4455" spans="1:11">
      <c r="A4455">
        <v>404530</v>
      </c>
      <c r="B4455" s="10">
        <v>2019</v>
      </c>
      <c r="C4455" t="s">
        <v>779</v>
      </c>
      <c r="D4455" t="s">
        <v>2472</v>
      </c>
      <c r="E4455" t="s">
        <v>2474</v>
      </c>
      <c r="F4455" t="s">
        <v>1789</v>
      </c>
      <c r="G4455" t="s">
        <v>1789</v>
      </c>
      <c r="H4455" s="10">
        <v>145948</v>
      </c>
      <c r="I4455">
        <f>IFERROR(VLOOKUP(Final!F4455,'LEAID Match'!$A$2:$B$374,2,FALSE),"")</f>
        <v>404530</v>
      </c>
      <c r="K4455" s="10">
        <f t="shared" si="69"/>
        <v>145948</v>
      </c>
    </row>
    <row r="4456" spans="1:11">
      <c r="A4456">
        <v>404530</v>
      </c>
      <c r="B4456" s="10">
        <v>2020</v>
      </c>
      <c r="C4456" t="s">
        <v>779</v>
      </c>
      <c r="D4456" t="s">
        <v>2472</v>
      </c>
      <c r="E4456" t="s">
        <v>2474</v>
      </c>
      <c r="F4456" t="s">
        <v>1789</v>
      </c>
      <c r="G4456" t="s">
        <v>1789</v>
      </c>
      <c r="H4456" s="10">
        <v>146300</v>
      </c>
      <c r="I4456">
        <f>IFERROR(VLOOKUP(Final!F4456,'LEAID Match'!$A$2:$B$374,2,FALSE),"")</f>
        <v>404530</v>
      </c>
      <c r="K4456" s="10">
        <f t="shared" si="69"/>
        <v>146300</v>
      </c>
    </row>
    <row r="4457" spans="1:11">
      <c r="A4457">
        <v>404530</v>
      </c>
      <c r="B4457" s="10">
        <v>2021</v>
      </c>
      <c r="C4457" t="s">
        <v>779</v>
      </c>
      <c r="D4457" t="s">
        <v>2472</v>
      </c>
      <c r="E4457" t="s">
        <v>2474</v>
      </c>
      <c r="F4457" t="s">
        <v>1789</v>
      </c>
      <c r="G4457" t="s">
        <v>1789</v>
      </c>
      <c r="H4457" s="10">
        <v>162293</v>
      </c>
      <c r="I4457">
        <f>IFERROR(VLOOKUP(Final!F4457,'LEAID Match'!$A$2:$B$374,2,FALSE),"")</f>
        <v>404530</v>
      </c>
      <c r="K4457" s="10">
        <f t="shared" si="69"/>
        <v>162293</v>
      </c>
    </row>
    <row r="4458" spans="1:11">
      <c r="A4458">
        <v>404530</v>
      </c>
      <c r="B4458" s="10">
        <v>2022</v>
      </c>
      <c r="C4458" t="s">
        <v>779</v>
      </c>
      <c r="D4458" t="s">
        <v>2472</v>
      </c>
      <c r="E4458" t="s">
        <v>2474</v>
      </c>
      <c r="F4458" t="s">
        <v>1789</v>
      </c>
      <c r="G4458" t="s">
        <v>1789</v>
      </c>
      <c r="H4458" s="10">
        <v>168972</v>
      </c>
      <c r="I4458">
        <f>IFERROR(VLOOKUP(Final!F4458,'LEAID Match'!$A$2:$B$374,2,FALSE),"")</f>
        <v>404530</v>
      </c>
      <c r="K4458" s="10">
        <f t="shared" si="69"/>
        <v>168972</v>
      </c>
    </row>
    <row r="4459" spans="1:11">
      <c r="A4459">
        <v>404530</v>
      </c>
      <c r="B4459" s="10">
        <v>2023</v>
      </c>
      <c r="C4459" t="s">
        <v>779</v>
      </c>
      <c r="D4459" t="s">
        <v>2472</v>
      </c>
      <c r="E4459" t="s">
        <v>2474</v>
      </c>
      <c r="F4459" t="s">
        <v>1789</v>
      </c>
      <c r="G4459" t="s">
        <v>1789</v>
      </c>
      <c r="H4459" s="10">
        <v>196601</v>
      </c>
      <c r="I4459">
        <f>IFERROR(VLOOKUP(Final!F4459,'LEAID Match'!$A$2:$B$374,2,FALSE),"")</f>
        <v>404530</v>
      </c>
      <c r="K4459" s="10">
        <f t="shared" si="69"/>
        <v>196601</v>
      </c>
    </row>
    <row r="4460" spans="1:11">
      <c r="A4460">
        <v>408680</v>
      </c>
      <c r="B4460" s="10">
        <v>2015</v>
      </c>
      <c r="C4460" t="s">
        <v>1257</v>
      </c>
      <c r="D4460" t="s">
        <v>2472</v>
      </c>
      <c r="E4460" t="s">
        <v>2474</v>
      </c>
      <c r="F4460" t="s">
        <v>1996</v>
      </c>
      <c r="G4460" t="s">
        <v>1203</v>
      </c>
      <c r="H4460" s="10">
        <v>1348523</v>
      </c>
      <c r="I4460">
        <f>IFERROR(VLOOKUP(Final!F4460,'LEAID Match'!$A$2:$B$374,2,FALSE),"")</f>
        <v>408680</v>
      </c>
      <c r="K4460" s="10">
        <f t="shared" si="69"/>
        <v>1348523</v>
      </c>
    </row>
    <row r="4461" spans="1:11">
      <c r="A4461">
        <v>408680</v>
      </c>
      <c r="B4461" s="10">
        <v>2016</v>
      </c>
      <c r="C4461" t="s">
        <v>1257</v>
      </c>
      <c r="D4461" t="s">
        <v>2472</v>
      </c>
      <c r="E4461" t="s">
        <v>2474</v>
      </c>
      <c r="F4461" t="s">
        <v>1996</v>
      </c>
      <c r="G4461" t="s">
        <v>1203</v>
      </c>
      <c r="H4461" s="10">
        <v>1258168</v>
      </c>
      <c r="I4461">
        <f>IFERROR(VLOOKUP(Final!F4461,'LEAID Match'!$A$2:$B$374,2,FALSE),"")</f>
        <v>408680</v>
      </c>
      <c r="K4461" s="10">
        <f t="shared" si="69"/>
        <v>1258168</v>
      </c>
    </row>
    <row r="4462" spans="1:11">
      <c r="A4462">
        <v>408680</v>
      </c>
      <c r="B4462" s="10">
        <v>2017</v>
      </c>
      <c r="C4462" t="s">
        <v>1257</v>
      </c>
      <c r="D4462" t="s">
        <v>2472</v>
      </c>
      <c r="E4462" t="s">
        <v>2474</v>
      </c>
      <c r="F4462" t="s">
        <v>1996</v>
      </c>
      <c r="G4462" t="s">
        <v>1996</v>
      </c>
      <c r="H4462" s="10">
        <v>1184683</v>
      </c>
      <c r="I4462">
        <f>IFERROR(VLOOKUP(Final!F4462,'LEAID Match'!$A$2:$B$374,2,FALSE),"")</f>
        <v>408680</v>
      </c>
      <c r="K4462" s="10">
        <f t="shared" si="69"/>
        <v>1184683</v>
      </c>
    </row>
    <row r="4463" spans="1:11">
      <c r="A4463">
        <v>408680</v>
      </c>
      <c r="B4463" s="10">
        <v>2018</v>
      </c>
      <c r="C4463" t="s">
        <v>1257</v>
      </c>
      <c r="D4463" t="s">
        <v>2472</v>
      </c>
      <c r="E4463" t="s">
        <v>2474</v>
      </c>
      <c r="F4463" t="s">
        <v>1996</v>
      </c>
      <c r="G4463" t="s">
        <v>2328</v>
      </c>
      <c r="H4463" s="10">
        <v>1250592</v>
      </c>
      <c r="I4463">
        <f>IFERROR(VLOOKUP(Final!F4463,'LEAID Match'!$A$2:$B$374,2,FALSE),"")</f>
        <v>408680</v>
      </c>
      <c r="K4463" s="10">
        <f t="shared" si="69"/>
        <v>1250592</v>
      </c>
    </row>
    <row r="4464" spans="1:11">
      <c r="A4464">
        <v>408680</v>
      </c>
      <c r="B4464" s="10">
        <v>2019</v>
      </c>
      <c r="C4464" t="s">
        <v>1257</v>
      </c>
      <c r="D4464" t="s">
        <v>2472</v>
      </c>
      <c r="E4464" t="s">
        <v>2474</v>
      </c>
      <c r="F4464" t="s">
        <v>1996</v>
      </c>
      <c r="G4464" t="s">
        <v>1996</v>
      </c>
      <c r="H4464" s="10">
        <v>1290654</v>
      </c>
      <c r="I4464">
        <f>IFERROR(VLOOKUP(Final!F4464,'LEAID Match'!$A$2:$B$374,2,FALSE),"")</f>
        <v>408680</v>
      </c>
      <c r="K4464" s="10">
        <f t="shared" si="69"/>
        <v>1290654</v>
      </c>
    </row>
    <row r="4465" spans="1:11">
      <c r="A4465">
        <v>408680</v>
      </c>
      <c r="B4465" s="10">
        <v>2020</v>
      </c>
      <c r="C4465" t="s">
        <v>1257</v>
      </c>
      <c r="D4465" t="s">
        <v>2472</v>
      </c>
      <c r="E4465" t="s">
        <v>2474</v>
      </c>
      <c r="F4465" t="s">
        <v>1996</v>
      </c>
      <c r="G4465" t="s">
        <v>1996</v>
      </c>
      <c r="H4465" s="10">
        <v>1339807</v>
      </c>
      <c r="I4465">
        <f>IFERROR(VLOOKUP(Final!F4465,'LEAID Match'!$A$2:$B$374,2,FALSE),"")</f>
        <v>408680</v>
      </c>
      <c r="K4465" s="10">
        <f t="shared" si="69"/>
        <v>1339807</v>
      </c>
    </row>
    <row r="4466" spans="1:11">
      <c r="A4466">
        <v>408680</v>
      </c>
      <c r="B4466" s="10">
        <v>2021</v>
      </c>
      <c r="C4466" t="s">
        <v>1257</v>
      </c>
      <c r="D4466" t="s">
        <v>2472</v>
      </c>
      <c r="E4466" t="s">
        <v>2474</v>
      </c>
      <c r="F4466" t="s">
        <v>1996</v>
      </c>
      <c r="G4466" t="s">
        <v>1996</v>
      </c>
      <c r="H4466" s="10">
        <v>1317929</v>
      </c>
      <c r="I4466">
        <f>IFERROR(VLOOKUP(Final!F4466,'LEAID Match'!$A$2:$B$374,2,FALSE),"")</f>
        <v>408680</v>
      </c>
      <c r="K4466" s="10">
        <f t="shared" si="69"/>
        <v>1317929</v>
      </c>
    </row>
    <row r="4467" spans="1:11">
      <c r="A4467">
        <v>408680</v>
      </c>
      <c r="B4467" s="10">
        <v>2022</v>
      </c>
      <c r="C4467" t="s">
        <v>1257</v>
      </c>
      <c r="D4467" t="s">
        <v>2472</v>
      </c>
      <c r="E4467" t="s">
        <v>2474</v>
      </c>
      <c r="F4467" t="s">
        <v>1996</v>
      </c>
      <c r="G4467" t="s">
        <v>1996</v>
      </c>
      <c r="H4467" s="10">
        <v>1461232</v>
      </c>
      <c r="I4467">
        <f>IFERROR(VLOOKUP(Final!F4467,'LEAID Match'!$A$2:$B$374,2,FALSE),"")</f>
        <v>408680</v>
      </c>
      <c r="K4467" s="10">
        <f t="shared" si="69"/>
        <v>1461232</v>
      </c>
    </row>
    <row r="4468" spans="1:11">
      <c r="A4468">
        <v>408680</v>
      </c>
      <c r="B4468" s="10">
        <v>2023</v>
      </c>
      <c r="C4468" t="s">
        <v>1257</v>
      </c>
      <c r="D4468" t="s">
        <v>2472</v>
      </c>
      <c r="E4468" t="s">
        <v>2474</v>
      </c>
      <c r="F4468" t="s">
        <v>1996</v>
      </c>
      <c r="G4468" t="s">
        <v>1996</v>
      </c>
      <c r="H4468" s="10">
        <v>1461657</v>
      </c>
      <c r="I4468">
        <f>IFERROR(VLOOKUP(Final!F4468,'LEAID Match'!$A$2:$B$374,2,FALSE),"")</f>
        <v>408680</v>
      </c>
      <c r="K4468" s="10">
        <f t="shared" si="69"/>
        <v>1461657</v>
      </c>
    </row>
    <row r="4469" spans="1:11">
      <c r="A4469">
        <v>400347</v>
      </c>
      <c r="B4469" s="10">
        <v>2015</v>
      </c>
      <c r="C4469" t="s">
        <v>351</v>
      </c>
      <c r="D4469" t="s">
        <v>2472</v>
      </c>
      <c r="E4469" t="s">
        <v>2474</v>
      </c>
      <c r="F4469" t="s">
        <v>297</v>
      </c>
      <c r="G4469" t="s">
        <v>297</v>
      </c>
      <c r="H4469" s="10">
        <v>27420</v>
      </c>
      <c r="I4469">
        <f>IFERROR(VLOOKUP(Final!F4469,'LEAID Match'!$A$2:$B$374,2,FALSE),"")</f>
        <v>400347</v>
      </c>
      <c r="K4469" s="10">
        <f t="shared" si="69"/>
        <v>27420</v>
      </c>
    </row>
    <row r="4470" spans="1:11">
      <c r="A4470">
        <v>400347</v>
      </c>
      <c r="B4470" s="10">
        <v>2016</v>
      </c>
      <c r="C4470" t="s">
        <v>351</v>
      </c>
      <c r="D4470" t="s">
        <v>2472</v>
      </c>
      <c r="E4470" t="s">
        <v>2474</v>
      </c>
      <c r="F4470" t="s">
        <v>297</v>
      </c>
      <c r="G4470" t="s">
        <v>297</v>
      </c>
      <c r="H4470" s="10">
        <v>22896</v>
      </c>
      <c r="I4470">
        <f>IFERROR(VLOOKUP(Final!F4470,'LEAID Match'!$A$2:$B$374,2,FALSE),"")</f>
        <v>400347</v>
      </c>
      <c r="K4470" s="10">
        <f t="shared" si="69"/>
        <v>22896</v>
      </c>
    </row>
    <row r="4471" spans="1:11">
      <c r="A4471">
        <v>400347</v>
      </c>
      <c r="B4471" s="10">
        <v>2017</v>
      </c>
      <c r="C4471" t="s">
        <v>351</v>
      </c>
      <c r="D4471" t="s">
        <v>2472</v>
      </c>
      <c r="E4471" t="s">
        <v>2474</v>
      </c>
      <c r="F4471" t="s">
        <v>297</v>
      </c>
      <c r="G4471" t="s">
        <v>297</v>
      </c>
      <c r="H4471" s="10">
        <v>23547</v>
      </c>
      <c r="I4471">
        <f>IFERROR(VLOOKUP(Final!F4471,'LEAID Match'!$A$2:$B$374,2,FALSE),"")</f>
        <v>400347</v>
      </c>
      <c r="K4471" s="10">
        <f t="shared" si="69"/>
        <v>23547</v>
      </c>
    </row>
    <row r="4472" spans="1:11">
      <c r="A4472">
        <v>400347</v>
      </c>
      <c r="B4472" s="10">
        <v>2018</v>
      </c>
      <c r="C4472" t="s">
        <v>351</v>
      </c>
      <c r="D4472" t="s">
        <v>2472</v>
      </c>
      <c r="E4472" t="s">
        <v>2474</v>
      </c>
      <c r="F4472" t="s">
        <v>297</v>
      </c>
      <c r="G4472" t="s">
        <v>297</v>
      </c>
      <c r="H4472" s="10">
        <v>22891</v>
      </c>
      <c r="I4472">
        <f>IFERROR(VLOOKUP(Final!F4472,'LEAID Match'!$A$2:$B$374,2,FALSE),"")</f>
        <v>400347</v>
      </c>
      <c r="K4472" s="10">
        <f t="shared" si="69"/>
        <v>22891</v>
      </c>
    </row>
    <row r="4473" spans="1:11">
      <c r="A4473">
        <v>400347</v>
      </c>
      <c r="B4473" s="10">
        <v>2019</v>
      </c>
      <c r="C4473" t="s">
        <v>351</v>
      </c>
      <c r="D4473" t="s">
        <v>2472</v>
      </c>
      <c r="E4473" t="s">
        <v>2474</v>
      </c>
      <c r="F4473" t="s">
        <v>297</v>
      </c>
      <c r="G4473" t="s">
        <v>297</v>
      </c>
      <c r="H4473" s="10">
        <v>22772</v>
      </c>
      <c r="I4473">
        <f>IFERROR(VLOOKUP(Final!F4473,'LEAID Match'!$A$2:$B$374,2,FALSE),"")</f>
        <v>400347</v>
      </c>
      <c r="K4473" s="10">
        <f t="shared" si="69"/>
        <v>22772</v>
      </c>
    </row>
    <row r="4474" spans="1:11">
      <c r="A4474">
        <v>400347</v>
      </c>
      <c r="B4474" s="10">
        <v>2020</v>
      </c>
      <c r="C4474" t="s">
        <v>351</v>
      </c>
      <c r="D4474" t="s">
        <v>2472</v>
      </c>
      <c r="E4474" t="s">
        <v>2474</v>
      </c>
      <c r="F4474" t="s">
        <v>297</v>
      </c>
      <c r="G4474" t="s">
        <v>297</v>
      </c>
      <c r="H4474" s="10">
        <v>24370</v>
      </c>
      <c r="I4474">
        <f>IFERROR(VLOOKUP(Final!F4474,'LEAID Match'!$A$2:$B$374,2,FALSE),"")</f>
        <v>400347</v>
      </c>
      <c r="K4474" s="10">
        <f t="shared" si="69"/>
        <v>24370</v>
      </c>
    </row>
    <row r="4475" spans="1:11">
      <c r="A4475">
        <v>400347</v>
      </c>
      <c r="B4475" s="10">
        <v>2021</v>
      </c>
      <c r="C4475" t="s">
        <v>351</v>
      </c>
      <c r="D4475" t="s">
        <v>2472</v>
      </c>
      <c r="E4475" t="s">
        <v>2474</v>
      </c>
      <c r="F4475" t="s">
        <v>297</v>
      </c>
      <c r="G4475" t="s">
        <v>297</v>
      </c>
      <c r="H4475" s="10">
        <v>26292</v>
      </c>
      <c r="I4475">
        <f>IFERROR(VLOOKUP(Final!F4475,'LEAID Match'!$A$2:$B$374,2,FALSE),"")</f>
        <v>400347</v>
      </c>
      <c r="K4475" s="10">
        <f t="shared" si="69"/>
        <v>26292</v>
      </c>
    </row>
    <row r="4476" spans="1:11">
      <c r="A4476">
        <v>400347</v>
      </c>
      <c r="B4476" s="10">
        <v>2022</v>
      </c>
      <c r="C4476" t="s">
        <v>351</v>
      </c>
      <c r="D4476" t="s">
        <v>2472</v>
      </c>
      <c r="E4476" t="s">
        <v>2474</v>
      </c>
      <c r="F4476" t="s">
        <v>297</v>
      </c>
      <c r="G4476" t="s">
        <v>297</v>
      </c>
      <c r="H4476" s="10">
        <v>27403</v>
      </c>
      <c r="I4476">
        <f>IFERROR(VLOOKUP(Final!F4476,'LEAID Match'!$A$2:$B$374,2,FALSE),"")</f>
        <v>400347</v>
      </c>
      <c r="K4476" s="10">
        <f t="shared" si="69"/>
        <v>27403</v>
      </c>
    </row>
    <row r="4477" spans="1:11">
      <c r="A4477">
        <v>400347</v>
      </c>
      <c r="B4477" s="10">
        <v>2023</v>
      </c>
      <c r="C4477" t="s">
        <v>351</v>
      </c>
      <c r="D4477" t="s">
        <v>2472</v>
      </c>
      <c r="E4477" t="s">
        <v>2474</v>
      </c>
      <c r="F4477" t="s">
        <v>297</v>
      </c>
      <c r="G4477" t="s">
        <v>297</v>
      </c>
      <c r="H4477" s="10">
        <v>27925</v>
      </c>
      <c r="I4477">
        <f>IFERROR(VLOOKUP(Final!F4477,'LEAID Match'!$A$2:$B$374,2,FALSE),"")</f>
        <v>400347</v>
      </c>
      <c r="K4477" s="10">
        <f t="shared" si="69"/>
        <v>27925</v>
      </c>
    </row>
    <row r="4478" spans="1:11">
      <c r="A4478" t="s">
        <v>2470</v>
      </c>
      <c r="B4478" s="10">
        <v>2015</v>
      </c>
      <c r="C4478" t="s">
        <v>477</v>
      </c>
      <c r="D4478" t="s">
        <v>2472</v>
      </c>
      <c r="E4478" t="s">
        <v>2474</v>
      </c>
      <c r="F4478" t="s">
        <v>422</v>
      </c>
      <c r="G4478" t="s">
        <v>422</v>
      </c>
      <c r="H4478" s="10">
        <v>750800</v>
      </c>
      <c r="I4478" t="str">
        <f>IFERROR(VLOOKUP(Final!F4478,'LEAID Match'!$A$2:$B$374,2,FALSE),"")</f>
        <v/>
      </c>
      <c r="K4478" s="10">
        <f t="shared" si="69"/>
        <v>750800</v>
      </c>
    </row>
    <row r="4479" spans="1:11">
      <c r="A4479" t="s">
        <v>2470</v>
      </c>
      <c r="B4479" s="10">
        <v>2016</v>
      </c>
      <c r="C4479" t="s">
        <v>477</v>
      </c>
      <c r="D4479" t="s">
        <v>2472</v>
      </c>
      <c r="E4479" t="s">
        <v>2474</v>
      </c>
      <c r="F4479" t="s">
        <v>422</v>
      </c>
      <c r="G4479" t="s">
        <v>422</v>
      </c>
      <c r="H4479" s="10">
        <v>737204</v>
      </c>
      <c r="I4479" t="str">
        <f>IFERROR(VLOOKUP(Final!F4479,'LEAID Match'!$A$2:$B$374,2,FALSE),"")</f>
        <v/>
      </c>
      <c r="K4479" s="10">
        <f t="shared" si="69"/>
        <v>737204</v>
      </c>
    </row>
    <row r="4480" spans="1:11">
      <c r="A4480" t="s">
        <v>2470</v>
      </c>
      <c r="B4480" s="10">
        <v>2017</v>
      </c>
      <c r="C4480" t="s">
        <v>477</v>
      </c>
      <c r="D4480" t="s">
        <v>2472</v>
      </c>
      <c r="E4480" t="s">
        <v>2474</v>
      </c>
      <c r="F4480" t="s">
        <v>422</v>
      </c>
      <c r="G4480" t="s">
        <v>422</v>
      </c>
      <c r="H4480" s="10">
        <v>827983</v>
      </c>
      <c r="I4480" t="str">
        <f>IFERROR(VLOOKUP(Final!F4480,'LEAID Match'!$A$2:$B$374,2,FALSE),"")</f>
        <v/>
      </c>
      <c r="K4480" s="10">
        <f t="shared" si="69"/>
        <v>827983</v>
      </c>
    </row>
    <row r="4481" spans="1:11">
      <c r="A4481" t="s">
        <v>2470</v>
      </c>
      <c r="B4481" s="10">
        <v>2018</v>
      </c>
      <c r="C4481" t="s">
        <v>477</v>
      </c>
      <c r="D4481" t="s">
        <v>2472</v>
      </c>
      <c r="E4481" t="s">
        <v>2474</v>
      </c>
      <c r="F4481" t="s">
        <v>422</v>
      </c>
      <c r="G4481" t="s">
        <v>422</v>
      </c>
      <c r="H4481" s="10">
        <v>974114</v>
      </c>
      <c r="I4481" t="str">
        <f>IFERROR(VLOOKUP(Final!F4481,'LEAID Match'!$A$2:$B$374,2,FALSE),"")</f>
        <v/>
      </c>
      <c r="K4481" s="10">
        <f t="shared" si="69"/>
        <v>974114</v>
      </c>
    </row>
    <row r="4482" spans="1:11">
      <c r="A4482" t="s">
        <v>2470</v>
      </c>
      <c r="B4482" s="10">
        <v>2019</v>
      </c>
      <c r="C4482" t="s">
        <v>477</v>
      </c>
      <c r="D4482" t="s">
        <v>2472</v>
      </c>
      <c r="E4482" t="s">
        <v>2474</v>
      </c>
      <c r="F4482" t="s">
        <v>422</v>
      </c>
      <c r="G4482" t="s">
        <v>422</v>
      </c>
      <c r="H4482" s="10">
        <v>1044468</v>
      </c>
      <c r="I4482" t="str">
        <f>IFERROR(VLOOKUP(Final!F4482,'LEAID Match'!$A$2:$B$374,2,FALSE),"")</f>
        <v/>
      </c>
      <c r="K4482" s="10">
        <f t="shared" si="69"/>
        <v>1044468</v>
      </c>
    </row>
    <row r="4483" spans="1:11">
      <c r="A4483" t="s">
        <v>2470</v>
      </c>
      <c r="B4483" s="10">
        <v>2020</v>
      </c>
      <c r="C4483" t="s">
        <v>477</v>
      </c>
      <c r="D4483" t="s">
        <v>2472</v>
      </c>
      <c r="E4483" t="s">
        <v>2474</v>
      </c>
      <c r="F4483" t="s">
        <v>422</v>
      </c>
      <c r="G4483" t="s">
        <v>422</v>
      </c>
      <c r="H4483" s="10">
        <v>1112558</v>
      </c>
      <c r="I4483" t="str">
        <f>IFERROR(VLOOKUP(Final!F4483,'LEAID Match'!$A$2:$B$374,2,FALSE),"")</f>
        <v/>
      </c>
      <c r="K4483" s="10">
        <f t="shared" ref="K4483:K4546" si="70">SUM(H4483,J4483)</f>
        <v>1112558</v>
      </c>
    </row>
    <row r="4484" spans="1:11">
      <c r="A4484" t="s">
        <v>2470</v>
      </c>
      <c r="B4484" s="10">
        <v>2021</v>
      </c>
      <c r="C4484" t="s">
        <v>477</v>
      </c>
      <c r="D4484" t="s">
        <v>2472</v>
      </c>
      <c r="E4484" t="s">
        <v>2474</v>
      </c>
      <c r="F4484" t="s">
        <v>422</v>
      </c>
      <c r="G4484" t="s">
        <v>422</v>
      </c>
      <c r="H4484" s="10">
        <v>1142012</v>
      </c>
      <c r="I4484" t="str">
        <f>IFERROR(VLOOKUP(Final!F4484,'LEAID Match'!$A$2:$B$374,2,FALSE),"")</f>
        <v/>
      </c>
      <c r="K4484" s="10">
        <f t="shared" si="70"/>
        <v>1142012</v>
      </c>
    </row>
    <row r="4485" spans="1:11">
      <c r="A4485" t="s">
        <v>2470</v>
      </c>
      <c r="B4485" s="10">
        <v>2022</v>
      </c>
      <c r="C4485" t="s">
        <v>477</v>
      </c>
      <c r="D4485" t="s">
        <v>2472</v>
      </c>
      <c r="E4485" t="s">
        <v>2474</v>
      </c>
      <c r="F4485" t="s">
        <v>422</v>
      </c>
      <c r="G4485" t="s">
        <v>422</v>
      </c>
      <c r="H4485" s="10">
        <v>1166116</v>
      </c>
      <c r="I4485" t="str">
        <f>IFERROR(VLOOKUP(Final!F4485,'LEAID Match'!$A$2:$B$374,2,FALSE),"")</f>
        <v/>
      </c>
      <c r="K4485" s="10">
        <f t="shared" si="70"/>
        <v>1166116</v>
      </c>
    </row>
    <row r="4486" spans="1:11">
      <c r="A4486" t="s">
        <v>2470</v>
      </c>
      <c r="B4486" s="10">
        <v>2023</v>
      </c>
      <c r="C4486" t="s">
        <v>477</v>
      </c>
      <c r="D4486" t="s">
        <v>2472</v>
      </c>
      <c r="E4486" t="s">
        <v>2474</v>
      </c>
      <c r="F4486" t="s">
        <v>422</v>
      </c>
      <c r="G4486" t="s">
        <v>422</v>
      </c>
      <c r="H4486" s="10">
        <v>1285479</v>
      </c>
      <c r="I4486" t="str">
        <f>IFERROR(VLOOKUP(Final!F4486,'LEAID Match'!$A$2:$B$374,2,FALSE),"")</f>
        <v/>
      </c>
      <c r="K4486" s="10">
        <f t="shared" si="70"/>
        <v>1285479</v>
      </c>
    </row>
    <row r="4487" spans="1:11">
      <c r="A4487" t="s">
        <v>2470</v>
      </c>
      <c r="B4487" s="10">
        <v>2015</v>
      </c>
      <c r="C4487" t="s">
        <v>661</v>
      </c>
      <c r="D4487" t="s">
        <v>2472</v>
      </c>
      <c r="E4487" t="s">
        <v>2474</v>
      </c>
      <c r="F4487" t="s">
        <v>1455</v>
      </c>
      <c r="G4487" t="s">
        <v>606</v>
      </c>
      <c r="H4487" s="10">
        <v>32962</v>
      </c>
      <c r="I4487" t="str">
        <f>IFERROR(VLOOKUP(Final!F4487,'LEAID Match'!$A$2:$B$374,2,FALSE),"")</f>
        <v/>
      </c>
      <c r="K4487" s="10">
        <f t="shared" si="70"/>
        <v>32962</v>
      </c>
    </row>
    <row r="4488" spans="1:11">
      <c r="A4488" t="s">
        <v>2470</v>
      </c>
      <c r="B4488" s="10">
        <v>2016</v>
      </c>
      <c r="C4488" t="s">
        <v>661</v>
      </c>
      <c r="D4488" t="s">
        <v>2472</v>
      </c>
      <c r="E4488" t="s">
        <v>2474</v>
      </c>
      <c r="F4488" t="s">
        <v>1455</v>
      </c>
      <c r="G4488" t="s">
        <v>1455</v>
      </c>
      <c r="H4488" s="10">
        <v>28412</v>
      </c>
      <c r="I4488" t="str">
        <f>IFERROR(VLOOKUP(Final!F4488,'LEAID Match'!$A$2:$B$374,2,FALSE),"")</f>
        <v/>
      </c>
      <c r="K4488" s="10">
        <f t="shared" si="70"/>
        <v>28412</v>
      </c>
    </row>
    <row r="4489" spans="1:11">
      <c r="A4489" t="s">
        <v>2470</v>
      </c>
      <c r="B4489" s="10">
        <v>2017</v>
      </c>
      <c r="C4489" t="s">
        <v>661</v>
      </c>
      <c r="D4489" t="s">
        <v>2472</v>
      </c>
      <c r="E4489" t="s">
        <v>2474</v>
      </c>
      <c r="F4489" t="s">
        <v>1455</v>
      </c>
      <c r="G4489" t="s">
        <v>1455</v>
      </c>
      <c r="H4489" s="10">
        <v>17913</v>
      </c>
      <c r="I4489" t="str">
        <f>IFERROR(VLOOKUP(Final!F4489,'LEAID Match'!$A$2:$B$374,2,FALSE),"")</f>
        <v/>
      </c>
      <c r="K4489" s="10">
        <f t="shared" si="70"/>
        <v>17913</v>
      </c>
    </row>
    <row r="4490" spans="1:11">
      <c r="A4490" t="s">
        <v>2470</v>
      </c>
      <c r="B4490" s="10">
        <v>2018</v>
      </c>
      <c r="C4490" t="s">
        <v>661</v>
      </c>
      <c r="D4490" t="s">
        <v>2472</v>
      </c>
      <c r="E4490" t="s">
        <v>2474</v>
      </c>
      <c r="F4490" t="s">
        <v>1455</v>
      </c>
      <c r="G4490" t="s">
        <v>2197</v>
      </c>
      <c r="H4490" s="10">
        <v>19021</v>
      </c>
      <c r="I4490" t="str">
        <f>IFERROR(VLOOKUP(Final!F4490,'LEAID Match'!$A$2:$B$374,2,FALSE),"")</f>
        <v/>
      </c>
      <c r="K4490" s="10">
        <f t="shared" si="70"/>
        <v>19021</v>
      </c>
    </row>
    <row r="4491" spans="1:11">
      <c r="A4491" t="s">
        <v>2470</v>
      </c>
      <c r="B4491" s="10">
        <v>2019</v>
      </c>
      <c r="C4491" t="s">
        <v>661</v>
      </c>
      <c r="D4491" t="s">
        <v>2472</v>
      </c>
      <c r="E4491" t="s">
        <v>2474</v>
      </c>
      <c r="F4491" t="s">
        <v>1455</v>
      </c>
      <c r="G4491" t="s">
        <v>1455</v>
      </c>
      <c r="H4491" s="10">
        <v>19414</v>
      </c>
      <c r="I4491" t="str">
        <f>IFERROR(VLOOKUP(Final!F4491,'LEAID Match'!$A$2:$B$374,2,FALSE),"")</f>
        <v/>
      </c>
      <c r="K4491" s="10">
        <f t="shared" si="70"/>
        <v>19414</v>
      </c>
    </row>
    <row r="4492" spans="1:11">
      <c r="A4492" t="s">
        <v>2470</v>
      </c>
      <c r="B4492" s="10">
        <v>2020</v>
      </c>
      <c r="C4492" t="s">
        <v>661</v>
      </c>
      <c r="D4492" t="s">
        <v>2472</v>
      </c>
      <c r="E4492" t="s">
        <v>2474</v>
      </c>
      <c r="F4492" t="s">
        <v>1455</v>
      </c>
      <c r="G4492" t="s">
        <v>1455</v>
      </c>
      <c r="H4492" s="10">
        <v>22613</v>
      </c>
      <c r="I4492" t="str">
        <f>IFERROR(VLOOKUP(Final!F4492,'LEAID Match'!$A$2:$B$374,2,FALSE),"")</f>
        <v/>
      </c>
      <c r="K4492" s="10">
        <f t="shared" si="70"/>
        <v>22613</v>
      </c>
    </row>
    <row r="4493" spans="1:11">
      <c r="A4493" t="s">
        <v>2470</v>
      </c>
      <c r="B4493" s="10">
        <v>2021</v>
      </c>
      <c r="C4493" t="s">
        <v>661</v>
      </c>
      <c r="D4493" t="s">
        <v>2472</v>
      </c>
      <c r="E4493" t="s">
        <v>2474</v>
      </c>
      <c r="F4493" t="s">
        <v>1455</v>
      </c>
      <c r="G4493" t="s">
        <v>1455</v>
      </c>
      <c r="H4493" s="10">
        <v>28694</v>
      </c>
      <c r="I4493" t="str">
        <f>IFERROR(VLOOKUP(Final!F4493,'LEAID Match'!$A$2:$B$374,2,FALSE),"")</f>
        <v/>
      </c>
      <c r="K4493" s="10">
        <f t="shared" si="70"/>
        <v>28694</v>
      </c>
    </row>
    <row r="4494" spans="1:11">
      <c r="A4494" t="s">
        <v>2470</v>
      </c>
      <c r="B4494" s="10">
        <v>2022</v>
      </c>
      <c r="C4494" t="s">
        <v>661</v>
      </c>
      <c r="D4494" t="s">
        <v>2472</v>
      </c>
      <c r="E4494" t="s">
        <v>2474</v>
      </c>
      <c r="F4494" t="s">
        <v>1455</v>
      </c>
      <c r="G4494" t="s">
        <v>1455</v>
      </c>
      <c r="H4494" s="10">
        <v>27547</v>
      </c>
      <c r="I4494" t="str">
        <f>IFERROR(VLOOKUP(Final!F4494,'LEAID Match'!$A$2:$B$374,2,FALSE),"")</f>
        <v/>
      </c>
      <c r="K4494" s="10">
        <f t="shared" si="70"/>
        <v>27547</v>
      </c>
    </row>
    <row r="4495" spans="1:11">
      <c r="A4495" t="s">
        <v>2470</v>
      </c>
      <c r="B4495" s="10">
        <v>2023</v>
      </c>
      <c r="C4495" t="s">
        <v>661</v>
      </c>
      <c r="D4495" t="s">
        <v>2472</v>
      </c>
      <c r="E4495" t="s">
        <v>2474</v>
      </c>
      <c r="F4495" t="s">
        <v>1455</v>
      </c>
      <c r="G4495" t="s">
        <v>1455</v>
      </c>
      <c r="H4495" s="10">
        <v>24423</v>
      </c>
      <c r="I4495" t="str">
        <f>IFERROR(VLOOKUP(Final!F4495,'LEAID Match'!$A$2:$B$374,2,FALSE),"")</f>
        <v/>
      </c>
      <c r="K4495" s="10">
        <f t="shared" si="70"/>
        <v>24423</v>
      </c>
    </row>
    <row r="4496" spans="1:11">
      <c r="A4496">
        <v>403500</v>
      </c>
      <c r="B4496" s="10">
        <v>2015</v>
      </c>
      <c r="C4496" t="s">
        <v>667</v>
      </c>
      <c r="D4496" t="s">
        <v>2472</v>
      </c>
      <c r="E4496" t="s">
        <v>2474</v>
      </c>
      <c r="F4496" t="s">
        <v>1735</v>
      </c>
      <c r="G4496" t="s">
        <v>612</v>
      </c>
      <c r="H4496" s="10">
        <v>726223</v>
      </c>
      <c r="I4496">
        <f>IFERROR(VLOOKUP(Final!F4496,'LEAID Match'!$A$2:$B$374,2,FALSE),"")</f>
        <v>403500</v>
      </c>
      <c r="K4496" s="10">
        <f t="shared" si="70"/>
        <v>726223</v>
      </c>
    </row>
    <row r="4497" spans="1:11">
      <c r="A4497">
        <v>403500</v>
      </c>
      <c r="B4497" s="10">
        <v>2016</v>
      </c>
      <c r="C4497" t="s">
        <v>667</v>
      </c>
      <c r="D4497" t="s">
        <v>2472</v>
      </c>
      <c r="E4497" t="s">
        <v>2474</v>
      </c>
      <c r="F4497" t="s">
        <v>1735</v>
      </c>
      <c r="G4497" t="s">
        <v>612</v>
      </c>
      <c r="H4497" s="10">
        <v>731415</v>
      </c>
      <c r="I4497">
        <f>IFERROR(VLOOKUP(Final!F4497,'LEAID Match'!$A$2:$B$374,2,FALSE),"")</f>
        <v>403500</v>
      </c>
      <c r="K4497" s="10">
        <f t="shared" si="70"/>
        <v>731415</v>
      </c>
    </row>
    <row r="4498" spans="1:11">
      <c r="A4498">
        <v>403500</v>
      </c>
      <c r="B4498" s="10">
        <v>2017</v>
      </c>
      <c r="C4498" t="s">
        <v>667</v>
      </c>
      <c r="D4498" t="s">
        <v>2472</v>
      </c>
      <c r="E4498" t="s">
        <v>2474</v>
      </c>
      <c r="F4498" t="s">
        <v>1735</v>
      </c>
      <c r="G4498" t="s">
        <v>1735</v>
      </c>
      <c r="H4498" s="10">
        <v>726048</v>
      </c>
      <c r="I4498">
        <f>IFERROR(VLOOKUP(Final!F4498,'LEAID Match'!$A$2:$B$374,2,FALSE),"")</f>
        <v>403500</v>
      </c>
      <c r="K4498" s="10">
        <f t="shared" si="70"/>
        <v>726048</v>
      </c>
    </row>
    <row r="4499" spans="1:11">
      <c r="A4499">
        <v>403500</v>
      </c>
      <c r="B4499" s="10">
        <v>2018</v>
      </c>
      <c r="C4499" t="s">
        <v>667</v>
      </c>
      <c r="D4499" t="s">
        <v>2472</v>
      </c>
      <c r="E4499" t="s">
        <v>2474</v>
      </c>
      <c r="F4499" t="s">
        <v>1735</v>
      </c>
      <c r="G4499" t="s">
        <v>1735</v>
      </c>
      <c r="H4499" s="10">
        <v>772057</v>
      </c>
      <c r="I4499">
        <f>IFERROR(VLOOKUP(Final!F4499,'LEAID Match'!$A$2:$B$374,2,FALSE),"")</f>
        <v>403500</v>
      </c>
      <c r="K4499" s="10">
        <f t="shared" si="70"/>
        <v>772057</v>
      </c>
    </row>
    <row r="4500" spans="1:11">
      <c r="A4500">
        <v>403500</v>
      </c>
      <c r="B4500" s="10">
        <v>2019</v>
      </c>
      <c r="C4500" t="s">
        <v>667</v>
      </c>
      <c r="D4500" t="s">
        <v>2472</v>
      </c>
      <c r="E4500" t="s">
        <v>2474</v>
      </c>
      <c r="F4500" t="s">
        <v>1735</v>
      </c>
      <c r="G4500" t="s">
        <v>1735</v>
      </c>
      <c r="H4500" s="10">
        <v>824400</v>
      </c>
      <c r="I4500">
        <f>IFERROR(VLOOKUP(Final!F4500,'LEAID Match'!$A$2:$B$374,2,FALSE),"")</f>
        <v>403500</v>
      </c>
      <c r="K4500" s="10">
        <f t="shared" si="70"/>
        <v>824400</v>
      </c>
    </row>
    <row r="4501" spans="1:11">
      <c r="A4501">
        <v>403500</v>
      </c>
      <c r="B4501" s="10">
        <v>2020</v>
      </c>
      <c r="C4501" t="s">
        <v>667</v>
      </c>
      <c r="D4501" t="s">
        <v>2472</v>
      </c>
      <c r="E4501" t="s">
        <v>2474</v>
      </c>
      <c r="F4501" t="s">
        <v>1735</v>
      </c>
      <c r="G4501" t="s">
        <v>1735</v>
      </c>
      <c r="H4501" s="10">
        <v>857785</v>
      </c>
      <c r="I4501">
        <f>IFERROR(VLOOKUP(Final!F4501,'LEAID Match'!$A$2:$B$374,2,FALSE),"")</f>
        <v>403500</v>
      </c>
      <c r="K4501" s="10">
        <f t="shared" si="70"/>
        <v>857785</v>
      </c>
    </row>
    <row r="4502" spans="1:11">
      <c r="A4502">
        <v>403500</v>
      </c>
      <c r="B4502" s="10">
        <v>2021</v>
      </c>
      <c r="C4502" t="s">
        <v>667</v>
      </c>
      <c r="D4502" t="s">
        <v>2472</v>
      </c>
      <c r="E4502" t="s">
        <v>2474</v>
      </c>
      <c r="F4502" t="s">
        <v>1735</v>
      </c>
      <c r="G4502" t="s">
        <v>1735</v>
      </c>
      <c r="H4502" s="10">
        <v>900976</v>
      </c>
      <c r="I4502">
        <f>IFERROR(VLOOKUP(Final!F4502,'LEAID Match'!$A$2:$B$374,2,FALSE),"")</f>
        <v>403500</v>
      </c>
      <c r="K4502" s="10">
        <f t="shared" si="70"/>
        <v>900976</v>
      </c>
    </row>
    <row r="4503" spans="1:11">
      <c r="A4503">
        <v>403500</v>
      </c>
      <c r="B4503" s="10">
        <v>2022</v>
      </c>
      <c r="C4503" t="s">
        <v>667</v>
      </c>
      <c r="D4503" t="s">
        <v>2472</v>
      </c>
      <c r="E4503" t="s">
        <v>2474</v>
      </c>
      <c r="F4503" t="s">
        <v>1735</v>
      </c>
      <c r="G4503" t="s">
        <v>1735</v>
      </c>
      <c r="H4503" s="10">
        <v>958943</v>
      </c>
      <c r="I4503">
        <f>IFERROR(VLOOKUP(Final!F4503,'LEAID Match'!$A$2:$B$374,2,FALSE),"")</f>
        <v>403500</v>
      </c>
      <c r="K4503" s="10">
        <f t="shared" si="70"/>
        <v>958943</v>
      </c>
    </row>
    <row r="4504" spans="1:11">
      <c r="A4504">
        <v>403500</v>
      </c>
      <c r="B4504" s="10">
        <v>2023</v>
      </c>
      <c r="C4504" t="s">
        <v>667</v>
      </c>
      <c r="D4504" t="s">
        <v>2472</v>
      </c>
      <c r="E4504" t="s">
        <v>2474</v>
      </c>
      <c r="F4504" t="s">
        <v>1735</v>
      </c>
      <c r="G4504" t="s">
        <v>1735</v>
      </c>
      <c r="H4504" s="10">
        <v>1021890</v>
      </c>
      <c r="I4504">
        <f>IFERROR(VLOOKUP(Final!F4504,'LEAID Match'!$A$2:$B$374,2,FALSE),"")</f>
        <v>403500</v>
      </c>
      <c r="K4504" s="10">
        <f t="shared" si="70"/>
        <v>1021890</v>
      </c>
    </row>
    <row r="4505" spans="1:11">
      <c r="A4505">
        <v>409540</v>
      </c>
      <c r="B4505" s="10">
        <v>2015</v>
      </c>
      <c r="C4505" t="s">
        <v>1348</v>
      </c>
      <c r="D4505" t="s">
        <v>2472</v>
      </c>
      <c r="E4505" t="s">
        <v>2474</v>
      </c>
      <c r="F4505" t="s">
        <v>2032</v>
      </c>
      <c r="G4505" t="s">
        <v>1300</v>
      </c>
      <c r="H4505" s="10">
        <v>80291</v>
      </c>
      <c r="I4505">
        <f>IFERROR(VLOOKUP(Final!F4505,'LEAID Match'!$A$2:$B$374,2,FALSE),"")</f>
        <v>409540</v>
      </c>
      <c r="K4505" s="10">
        <f t="shared" si="70"/>
        <v>80291</v>
      </c>
    </row>
    <row r="4506" spans="1:11">
      <c r="A4506">
        <v>409540</v>
      </c>
      <c r="B4506" s="10">
        <v>2016</v>
      </c>
      <c r="C4506" t="s">
        <v>1348</v>
      </c>
      <c r="D4506" t="s">
        <v>2472</v>
      </c>
      <c r="E4506" t="s">
        <v>2474</v>
      </c>
      <c r="F4506" t="s">
        <v>2032</v>
      </c>
      <c r="G4506" t="s">
        <v>1300</v>
      </c>
      <c r="H4506" s="10">
        <v>80833</v>
      </c>
      <c r="I4506">
        <f>IFERROR(VLOOKUP(Final!F4506,'LEAID Match'!$A$2:$B$374,2,FALSE),"")</f>
        <v>409540</v>
      </c>
      <c r="K4506" s="10">
        <f t="shared" si="70"/>
        <v>80833</v>
      </c>
    </row>
    <row r="4507" spans="1:11">
      <c r="A4507">
        <v>409540</v>
      </c>
      <c r="B4507" s="10">
        <v>2017</v>
      </c>
      <c r="C4507" t="s">
        <v>1348</v>
      </c>
      <c r="D4507" t="s">
        <v>2472</v>
      </c>
      <c r="E4507" t="s">
        <v>2474</v>
      </c>
      <c r="F4507" t="s">
        <v>2032</v>
      </c>
      <c r="G4507" t="s">
        <v>2032</v>
      </c>
      <c r="H4507" s="10">
        <v>77127</v>
      </c>
      <c r="I4507">
        <f>IFERROR(VLOOKUP(Final!F4507,'LEAID Match'!$A$2:$B$374,2,FALSE),"")</f>
        <v>409540</v>
      </c>
      <c r="K4507" s="10">
        <f t="shared" si="70"/>
        <v>77127</v>
      </c>
    </row>
    <row r="4508" spans="1:11">
      <c r="A4508">
        <v>409540</v>
      </c>
      <c r="B4508" s="10">
        <v>2018</v>
      </c>
      <c r="C4508" t="s">
        <v>1348</v>
      </c>
      <c r="D4508" t="s">
        <v>2472</v>
      </c>
      <c r="E4508" t="s">
        <v>2474</v>
      </c>
      <c r="F4508" t="s">
        <v>2032</v>
      </c>
      <c r="G4508" t="s">
        <v>2032</v>
      </c>
      <c r="H4508" s="10">
        <v>85680</v>
      </c>
      <c r="I4508">
        <f>IFERROR(VLOOKUP(Final!F4508,'LEAID Match'!$A$2:$B$374,2,FALSE),"")</f>
        <v>409540</v>
      </c>
      <c r="K4508" s="10">
        <f t="shared" si="70"/>
        <v>85680</v>
      </c>
    </row>
    <row r="4509" spans="1:11">
      <c r="A4509">
        <v>409540</v>
      </c>
      <c r="B4509" s="10">
        <v>2019</v>
      </c>
      <c r="C4509" t="s">
        <v>1348</v>
      </c>
      <c r="D4509" t="s">
        <v>2472</v>
      </c>
      <c r="E4509" t="s">
        <v>2474</v>
      </c>
      <c r="F4509" t="s">
        <v>2032</v>
      </c>
      <c r="G4509" t="s">
        <v>2032</v>
      </c>
      <c r="H4509" s="10">
        <v>90001</v>
      </c>
      <c r="I4509">
        <f>IFERROR(VLOOKUP(Final!F4509,'LEAID Match'!$A$2:$B$374,2,FALSE),"")</f>
        <v>409540</v>
      </c>
      <c r="K4509" s="10">
        <f t="shared" si="70"/>
        <v>90001</v>
      </c>
    </row>
    <row r="4510" spans="1:11">
      <c r="A4510">
        <v>409540</v>
      </c>
      <c r="B4510" s="10">
        <v>2020</v>
      </c>
      <c r="C4510" t="s">
        <v>1348</v>
      </c>
      <c r="D4510" t="s">
        <v>2472</v>
      </c>
      <c r="E4510" t="s">
        <v>2474</v>
      </c>
      <c r="F4510" t="s">
        <v>2032</v>
      </c>
      <c r="G4510" t="s">
        <v>2032</v>
      </c>
      <c r="H4510" s="10">
        <v>86105</v>
      </c>
      <c r="I4510">
        <f>IFERROR(VLOOKUP(Final!F4510,'LEAID Match'!$A$2:$B$374,2,FALSE),"")</f>
        <v>409540</v>
      </c>
      <c r="K4510" s="10">
        <f t="shared" si="70"/>
        <v>86105</v>
      </c>
    </row>
    <row r="4511" spans="1:11">
      <c r="A4511">
        <v>409540</v>
      </c>
      <c r="B4511" s="10">
        <v>2021</v>
      </c>
      <c r="C4511" t="s">
        <v>1348</v>
      </c>
      <c r="D4511" t="s">
        <v>2472</v>
      </c>
      <c r="E4511" t="s">
        <v>2474</v>
      </c>
      <c r="F4511" t="s">
        <v>2032</v>
      </c>
      <c r="G4511" t="s">
        <v>2032</v>
      </c>
      <c r="H4511" s="10">
        <v>80014</v>
      </c>
      <c r="I4511">
        <f>IFERROR(VLOOKUP(Final!F4511,'LEAID Match'!$A$2:$B$374,2,FALSE),"")</f>
        <v>409540</v>
      </c>
      <c r="K4511" s="10">
        <f t="shared" si="70"/>
        <v>80014</v>
      </c>
    </row>
    <row r="4512" spans="1:11">
      <c r="A4512">
        <v>409540</v>
      </c>
      <c r="B4512" s="10">
        <v>2022</v>
      </c>
      <c r="C4512" t="s">
        <v>1348</v>
      </c>
      <c r="D4512" t="s">
        <v>2472</v>
      </c>
      <c r="E4512" t="s">
        <v>2474</v>
      </c>
      <c r="F4512" t="s">
        <v>2032</v>
      </c>
      <c r="G4512" t="s">
        <v>2032</v>
      </c>
      <c r="H4512" s="10">
        <v>93430</v>
      </c>
      <c r="I4512">
        <f>IFERROR(VLOOKUP(Final!F4512,'LEAID Match'!$A$2:$B$374,2,FALSE),"")</f>
        <v>409540</v>
      </c>
      <c r="K4512" s="10">
        <f t="shared" si="70"/>
        <v>93430</v>
      </c>
    </row>
    <row r="4513" spans="1:11">
      <c r="A4513">
        <v>409540</v>
      </c>
      <c r="B4513" s="10">
        <v>2023</v>
      </c>
      <c r="C4513" t="s">
        <v>1348</v>
      </c>
      <c r="D4513" t="s">
        <v>2472</v>
      </c>
      <c r="E4513" t="s">
        <v>2474</v>
      </c>
      <c r="F4513" t="s">
        <v>2032</v>
      </c>
      <c r="G4513" t="s">
        <v>2032</v>
      </c>
      <c r="H4513" s="10">
        <v>94910</v>
      </c>
      <c r="I4513">
        <f>IFERROR(VLOOKUP(Final!F4513,'LEAID Match'!$A$2:$B$374,2,FALSE),"")</f>
        <v>409540</v>
      </c>
      <c r="K4513" s="10">
        <f t="shared" si="70"/>
        <v>94910</v>
      </c>
    </row>
    <row r="4514" spans="1:11">
      <c r="A4514">
        <v>406070</v>
      </c>
      <c r="B4514" s="10">
        <v>2015</v>
      </c>
      <c r="C4514" t="s">
        <v>921</v>
      </c>
      <c r="D4514" t="s">
        <v>2472</v>
      </c>
      <c r="E4514" t="s">
        <v>2474</v>
      </c>
      <c r="F4514" t="s">
        <v>1865</v>
      </c>
      <c r="G4514" t="s">
        <v>866</v>
      </c>
      <c r="H4514" s="10">
        <v>1073508</v>
      </c>
      <c r="I4514">
        <f>IFERROR(VLOOKUP(Final!F4514,'LEAID Match'!$A$2:$B$374,2,FALSE),"")</f>
        <v>406070</v>
      </c>
      <c r="K4514" s="10">
        <f t="shared" si="70"/>
        <v>1073508</v>
      </c>
    </row>
    <row r="4515" spans="1:11">
      <c r="A4515">
        <v>406070</v>
      </c>
      <c r="B4515" s="10">
        <v>2016</v>
      </c>
      <c r="C4515" t="s">
        <v>921</v>
      </c>
      <c r="D4515" t="s">
        <v>2472</v>
      </c>
      <c r="E4515" t="s">
        <v>2474</v>
      </c>
      <c r="F4515" t="s">
        <v>1865</v>
      </c>
      <c r="G4515" t="s">
        <v>866</v>
      </c>
      <c r="H4515" s="10">
        <v>1041424</v>
      </c>
      <c r="I4515">
        <f>IFERROR(VLOOKUP(Final!F4515,'LEAID Match'!$A$2:$B$374,2,FALSE),"")</f>
        <v>406070</v>
      </c>
      <c r="K4515" s="10">
        <f t="shared" si="70"/>
        <v>1041424</v>
      </c>
    </row>
    <row r="4516" spans="1:11">
      <c r="A4516">
        <v>406070</v>
      </c>
      <c r="B4516" s="10">
        <v>2017</v>
      </c>
      <c r="C4516" t="s">
        <v>921</v>
      </c>
      <c r="D4516" t="s">
        <v>2472</v>
      </c>
      <c r="E4516" t="s">
        <v>2474</v>
      </c>
      <c r="F4516" t="s">
        <v>1865</v>
      </c>
      <c r="G4516" t="s">
        <v>1865</v>
      </c>
      <c r="H4516" s="10">
        <v>1083160</v>
      </c>
      <c r="I4516">
        <f>IFERROR(VLOOKUP(Final!F4516,'LEAID Match'!$A$2:$B$374,2,FALSE),"")</f>
        <v>406070</v>
      </c>
      <c r="K4516" s="10">
        <f t="shared" si="70"/>
        <v>1083160</v>
      </c>
    </row>
    <row r="4517" spans="1:11">
      <c r="A4517">
        <v>406070</v>
      </c>
      <c r="B4517" s="10">
        <v>2018</v>
      </c>
      <c r="C4517" t="s">
        <v>921</v>
      </c>
      <c r="D4517" t="s">
        <v>2472</v>
      </c>
      <c r="E4517" t="s">
        <v>2474</v>
      </c>
      <c r="F4517" t="s">
        <v>1865</v>
      </c>
      <c r="G4517" t="s">
        <v>1865</v>
      </c>
      <c r="H4517" s="10">
        <v>1097957</v>
      </c>
      <c r="I4517">
        <f>IFERROR(VLOOKUP(Final!F4517,'LEAID Match'!$A$2:$B$374,2,FALSE),"")</f>
        <v>406070</v>
      </c>
      <c r="K4517" s="10">
        <f t="shared" si="70"/>
        <v>1097957</v>
      </c>
    </row>
    <row r="4518" spans="1:11">
      <c r="A4518">
        <v>406070</v>
      </c>
      <c r="B4518" s="10">
        <v>2019</v>
      </c>
      <c r="C4518" t="s">
        <v>921</v>
      </c>
      <c r="D4518" t="s">
        <v>2472</v>
      </c>
      <c r="E4518" t="s">
        <v>2474</v>
      </c>
      <c r="F4518" t="s">
        <v>1865</v>
      </c>
      <c r="G4518" t="s">
        <v>1865</v>
      </c>
      <c r="H4518" s="10">
        <v>1221358</v>
      </c>
      <c r="I4518">
        <f>IFERROR(VLOOKUP(Final!F4518,'LEAID Match'!$A$2:$B$374,2,FALSE),"")</f>
        <v>406070</v>
      </c>
      <c r="K4518" s="10">
        <f t="shared" si="70"/>
        <v>1221358</v>
      </c>
    </row>
    <row r="4519" spans="1:11">
      <c r="A4519">
        <v>406070</v>
      </c>
      <c r="B4519" s="10">
        <v>2020</v>
      </c>
      <c r="C4519" t="s">
        <v>921</v>
      </c>
      <c r="D4519" t="s">
        <v>2472</v>
      </c>
      <c r="E4519" t="s">
        <v>2474</v>
      </c>
      <c r="F4519" t="s">
        <v>1865</v>
      </c>
      <c r="G4519" t="s">
        <v>1865</v>
      </c>
      <c r="H4519" s="10">
        <v>1317258</v>
      </c>
      <c r="I4519">
        <f>IFERROR(VLOOKUP(Final!F4519,'LEAID Match'!$A$2:$B$374,2,FALSE),"")</f>
        <v>406070</v>
      </c>
      <c r="K4519" s="10">
        <f t="shared" si="70"/>
        <v>1317258</v>
      </c>
    </row>
    <row r="4520" spans="1:11">
      <c r="A4520">
        <v>406070</v>
      </c>
      <c r="B4520" s="10">
        <v>2021</v>
      </c>
      <c r="C4520" t="s">
        <v>921</v>
      </c>
      <c r="D4520" t="s">
        <v>2472</v>
      </c>
      <c r="E4520" t="s">
        <v>2474</v>
      </c>
      <c r="F4520" t="s">
        <v>1865</v>
      </c>
      <c r="G4520" t="s">
        <v>1865</v>
      </c>
      <c r="H4520" s="10">
        <v>1454476</v>
      </c>
      <c r="I4520">
        <f>IFERROR(VLOOKUP(Final!F4520,'LEAID Match'!$A$2:$B$374,2,FALSE),"")</f>
        <v>406070</v>
      </c>
      <c r="K4520" s="10">
        <f t="shared" si="70"/>
        <v>1454476</v>
      </c>
    </row>
    <row r="4521" spans="1:11">
      <c r="A4521">
        <v>406070</v>
      </c>
      <c r="B4521" s="10">
        <v>2022</v>
      </c>
      <c r="C4521" t="s">
        <v>921</v>
      </c>
      <c r="D4521" t="s">
        <v>2472</v>
      </c>
      <c r="E4521" t="s">
        <v>2474</v>
      </c>
      <c r="F4521" t="s">
        <v>1865</v>
      </c>
      <c r="G4521" t="s">
        <v>1865</v>
      </c>
      <c r="H4521" s="10">
        <v>1576006</v>
      </c>
      <c r="I4521">
        <f>IFERROR(VLOOKUP(Final!F4521,'LEAID Match'!$A$2:$B$374,2,FALSE),"")</f>
        <v>406070</v>
      </c>
      <c r="K4521" s="10">
        <f t="shared" si="70"/>
        <v>1576006</v>
      </c>
    </row>
    <row r="4522" spans="1:11">
      <c r="A4522">
        <v>406070</v>
      </c>
      <c r="B4522" s="10">
        <v>2023</v>
      </c>
      <c r="C4522" t="s">
        <v>921</v>
      </c>
      <c r="D4522" t="s">
        <v>2472</v>
      </c>
      <c r="E4522" t="s">
        <v>2474</v>
      </c>
      <c r="F4522" t="s">
        <v>1865</v>
      </c>
      <c r="G4522" t="s">
        <v>1865</v>
      </c>
      <c r="H4522" s="10">
        <v>1713699</v>
      </c>
      <c r="I4522">
        <f>IFERROR(VLOOKUP(Final!F4522,'LEAID Match'!$A$2:$B$374,2,FALSE),"")</f>
        <v>406070</v>
      </c>
      <c r="K4522" s="10">
        <f t="shared" si="70"/>
        <v>1713699</v>
      </c>
    </row>
    <row r="4523" spans="1:11">
      <c r="A4523">
        <v>406510</v>
      </c>
      <c r="B4523" s="10">
        <v>2015</v>
      </c>
      <c r="C4523" t="s">
        <v>1006</v>
      </c>
      <c r="D4523" t="s">
        <v>2472</v>
      </c>
      <c r="E4523" t="s">
        <v>2474</v>
      </c>
      <c r="F4523" t="s">
        <v>1889</v>
      </c>
      <c r="G4523" t="s">
        <v>951</v>
      </c>
      <c r="H4523" s="10">
        <v>172313</v>
      </c>
      <c r="I4523">
        <f>IFERROR(VLOOKUP(Final!F4523,'LEAID Match'!$A$2:$B$374,2,FALSE),"")</f>
        <v>406510</v>
      </c>
      <c r="K4523" s="10">
        <f t="shared" si="70"/>
        <v>172313</v>
      </c>
    </row>
    <row r="4524" spans="1:11">
      <c r="A4524">
        <v>406510</v>
      </c>
      <c r="B4524" s="10">
        <v>2016</v>
      </c>
      <c r="C4524" t="s">
        <v>1006</v>
      </c>
      <c r="D4524" t="s">
        <v>2472</v>
      </c>
      <c r="E4524" t="s">
        <v>2474</v>
      </c>
      <c r="F4524" t="s">
        <v>1889</v>
      </c>
      <c r="G4524" t="s">
        <v>951</v>
      </c>
      <c r="H4524" s="10">
        <v>173589</v>
      </c>
      <c r="I4524">
        <f>IFERROR(VLOOKUP(Final!F4524,'LEAID Match'!$A$2:$B$374,2,FALSE),"")</f>
        <v>406510</v>
      </c>
      <c r="K4524" s="10">
        <f t="shared" si="70"/>
        <v>173589</v>
      </c>
    </row>
    <row r="4525" spans="1:11">
      <c r="A4525">
        <v>406510</v>
      </c>
      <c r="B4525" s="10">
        <v>2017</v>
      </c>
      <c r="C4525" t="s">
        <v>1006</v>
      </c>
      <c r="D4525" t="s">
        <v>2472</v>
      </c>
      <c r="E4525" t="s">
        <v>2474</v>
      </c>
      <c r="F4525" t="s">
        <v>1889</v>
      </c>
      <c r="G4525" t="s">
        <v>1889</v>
      </c>
      <c r="H4525" s="10">
        <v>172413</v>
      </c>
      <c r="I4525">
        <f>IFERROR(VLOOKUP(Final!F4525,'LEAID Match'!$A$2:$B$374,2,FALSE),"")</f>
        <v>406510</v>
      </c>
      <c r="K4525" s="10">
        <f t="shared" si="70"/>
        <v>172413</v>
      </c>
    </row>
    <row r="4526" spans="1:11">
      <c r="A4526">
        <v>406510</v>
      </c>
      <c r="B4526" s="10">
        <v>2018</v>
      </c>
      <c r="C4526" t="s">
        <v>1006</v>
      </c>
      <c r="D4526" t="s">
        <v>2472</v>
      </c>
      <c r="E4526" t="s">
        <v>2474</v>
      </c>
      <c r="F4526" t="s">
        <v>1889</v>
      </c>
      <c r="G4526" t="s">
        <v>1889</v>
      </c>
      <c r="H4526" s="10">
        <v>186198</v>
      </c>
      <c r="I4526">
        <f>IFERROR(VLOOKUP(Final!F4526,'LEAID Match'!$A$2:$B$374,2,FALSE),"")</f>
        <v>406510</v>
      </c>
      <c r="K4526" s="10">
        <f t="shared" si="70"/>
        <v>186198</v>
      </c>
    </row>
    <row r="4527" spans="1:11">
      <c r="A4527">
        <v>406510</v>
      </c>
      <c r="B4527" s="10">
        <v>2019</v>
      </c>
      <c r="C4527" t="s">
        <v>1006</v>
      </c>
      <c r="D4527" t="s">
        <v>2472</v>
      </c>
      <c r="E4527" t="s">
        <v>2474</v>
      </c>
      <c r="F4527" t="s">
        <v>1889</v>
      </c>
      <c r="G4527" t="s">
        <v>1889</v>
      </c>
      <c r="H4527" s="10">
        <v>191121</v>
      </c>
      <c r="I4527">
        <f>IFERROR(VLOOKUP(Final!F4527,'LEAID Match'!$A$2:$B$374,2,FALSE),"")</f>
        <v>406510</v>
      </c>
      <c r="K4527" s="10">
        <f t="shared" si="70"/>
        <v>191121</v>
      </c>
    </row>
    <row r="4528" spans="1:11">
      <c r="A4528">
        <v>406510</v>
      </c>
      <c r="B4528" s="10">
        <v>2020</v>
      </c>
      <c r="C4528" t="s">
        <v>1006</v>
      </c>
      <c r="D4528" t="s">
        <v>2472</v>
      </c>
      <c r="E4528" t="s">
        <v>2474</v>
      </c>
      <c r="F4528" t="s">
        <v>1889</v>
      </c>
      <c r="G4528" t="s">
        <v>1889</v>
      </c>
      <c r="H4528" s="10">
        <v>206100</v>
      </c>
      <c r="I4528">
        <f>IFERROR(VLOOKUP(Final!F4528,'LEAID Match'!$A$2:$B$374,2,FALSE),"")</f>
        <v>406510</v>
      </c>
      <c r="K4528" s="10">
        <f t="shared" si="70"/>
        <v>206100</v>
      </c>
    </row>
    <row r="4529" spans="1:11">
      <c r="A4529">
        <v>406510</v>
      </c>
      <c r="B4529" s="10">
        <v>2021</v>
      </c>
      <c r="C4529" t="s">
        <v>1006</v>
      </c>
      <c r="D4529" t="s">
        <v>2472</v>
      </c>
      <c r="E4529" t="s">
        <v>2474</v>
      </c>
      <c r="F4529" t="s">
        <v>1889</v>
      </c>
      <c r="G4529" t="s">
        <v>1889</v>
      </c>
      <c r="H4529" s="10">
        <v>211947</v>
      </c>
      <c r="I4529">
        <f>IFERROR(VLOOKUP(Final!F4529,'LEAID Match'!$A$2:$B$374,2,FALSE),"")</f>
        <v>406510</v>
      </c>
      <c r="K4529" s="10">
        <f t="shared" si="70"/>
        <v>211947</v>
      </c>
    </row>
    <row r="4530" spans="1:11">
      <c r="A4530">
        <v>406510</v>
      </c>
      <c r="B4530" s="10">
        <v>2022</v>
      </c>
      <c r="C4530" t="s">
        <v>1006</v>
      </c>
      <c r="D4530" t="s">
        <v>2472</v>
      </c>
      <c r="E4530" t="s">
        <v>2474</v>
      </c>
      <c r="F4530" t="s">
        <v>1889</v>
      </c>
      <c r="G4530" t="s">
        <v>1889</v>
      </c>
      <c r="H4530" s="10">
        <v>267543</v>
      </c>
      <c r="I4530">
        <f>IFERROR(VLOOKUP(Final!F4530,'LEAID Match'!$A$2:$B$374,2,FALSE),"")</f>
        <v>406510</v>
      </c>
      <c r="K4530" s="10">
        <f t="shared" si="70"/>
        <v>267543</v>
      </c>
    </row>
    <row r="4531" spans="1:11">
      <c r="A4531">
        <v>406510</v>
      </c>
      <c r="B4531" s="10">
        <v>2023</v>
      </c>
      <c r="C4531" t="s">
        <v>1006</v>
      </c>
      <c r="D4531" t="s">
        <v>2472</v>
      </c>
      <c r="E4531" t="s">
        <v>2474</v>
      </c>
      <c r="F4531" t="s">
        <v>1889</v>
      </c>
      <c r="G4531" t="s">
        <v>1889</v>
      </c>
      <c r="H4531" s="10">
        <v>235183</v>
      </c>
      <c r="I4531">
        <f>IFERROR(VLOOKUP(Final!F4531,'LEAID Match'!$A$2:$B$374,2,FALSE),"")</f>
        <v>406510</v>
      </c>
      <c r="K4531" s="10">
        <f t="shared" si="70"/>
        <v>235183</v>
      </c>
    </row>
    <row r="4532" spans="1:11">
      <c r="A4532">
        <v>406960</v>
      </c>
      <c r="B4532" s="10">
        <v>2015</v>
      </c>
      <c r="C4532" t="s">
        <v>1104</v>
      </c>
      <c r="D4532" t="s">
        <v>2472</v>
      </c>
      <c r="E4532" t="s">
        <v>2474</v>
      </c>
      <c r="F4532" t="s">
        <v>1930</v>
      </c>
      <c r="G4532" t="s">
        <v>1049</v>
      </c>
      <c r="H4532" s="10">
        <v>1150000</v>
      </c>
      <c r="I4532">
        <f>IFERROR(VLOOKUP(Final!F4532,'LEAID Match'!$A$2:$B$374,2,FALSE),"")</f>
        <v>406960</v>
      </c>
      <c r="K4532" s="10">
        <f t="shared" si="70"/>
        <v>1150000</v>
      </c>
    </row>
    <row r="4533" spans="1:11">
      <c r="A4533">
        <v>406960</v>
      </c>
      <c r="B4533" s="10">
        <v>2016</v>
      </c>
      <c r="C4533" t="s">
        <v>1104</v>
      </c>
      <c r="D4533" t="s">
        <v>2472</v>
      </c>
      <c r="E4533" t="s">
        <v>2474</v>
      </c>
      <c r="F4533" t="s">
        <v>1930</v>
      </c>
      <c r="G4533" t="s">
        <v>1049</v>
      </c>
      <c r="H4533" s="10">
        <v>1218679</v>
      </c>
      <c r="I4533">
        <f>IFERROR(VLOOKUP(Final!F4533,'LEAID Match'!$A$2:$B$374,2,FALSE),"")</f>
        <v>406960</v>
      </c>
      <c r="K4533" s="10">
        <f t="shared" si="70"/>
        <v>1218679</v>
      </c>
    </row>
    <row r="4534" spans="1:11">
      <c r="A4534">
        <v>406960</v>
      </c>
      <c r="B4534" s="10">
        <v>2017</v>
      </c>
      <c r="C4534" t="s">
        <v>1104</v>
      </c>
      <c r="D4534" t="s">
        <v>2472</v>
      </c>
      <c r="E4534" t="s">
        <v>2474</v>
      </c>
      <c r="F4534" t="s">
        <v>1930</v>
      </c>
      <c r="G4534" t="s">
        <v>1930</v>
      </c>
      <c r="H4534" s="10">
        <v>1216966</v>
      </c>
      <c r="I4534">
        <f>IFERROR(VLOOKUP(Final!F4534,'LEAID Match'!$A$2:$B$374,2,FALSE),"")</f>
        <v>406960</v>
      </c>
      <c r="K4534" s="10">
        <f t="shared" si="70"/>
        <v>1216966</v>
      </c>
    </row>
    <row r="4535" spans="1:11">
      <c r="A4535">
        <v>406960</v>
      </c>
      <c r="B4535" s="10">
        <v>2018</v>
      </c>
      <c r="C4535" t="s">
        <v>1104</v>
      </c>
      <c r="D4535" t="s">
        <v>2472</v>
      </c>
      <c r="E4535" t="s">
        <v>2474</v>
      </c>
      <c r="F4535" t="s">
        <v>1930</v>
      </c>
      <c r="G4535" t="s">
        <v>2301</v>
      </c>
      <c r="H4535" s="10">
        <v>1223452</v>
      </c>
      <c r="I4535">
        <f>IFERROR(VLOOKUP(Final!F4535,'LEAID Match'!$A$2:$B$374,2,FALSE),"")</f>
        <v>406960</v>
      </c>
      <c r="K4535" s="10">
        <f t="shared" si="70"/>
        <v>1223452</v>
      </c>
    </row>
    <row r="4536" spans="1:11">
      <c r="A4536">
        <v>406960</v>
      </c>
      <c r="B4536" s="10">
        <v>2019</v>
      </c>
      <c r="C4536" t="s">
        <v>1104</v>
      </c>
      <c r="D4536" t="s">
        <v>2472</v>
      </c>
      <c r="E4536" t="s">
        <v>2474</v>
      </c>
      <c r="F4536" t="s">
        <v>1930</v>
      </c>
      <c r="G4536" t="s">
        <v>1930</v>
      </c>
      <c r="H4536" s="10">
        <v>1234669</v>
      </c>
      <c r="I4536">
        <f>IFERROR(VLOOKUP(Final!F4536,'LEAID Match'!$A$2:$B$374,2,FALSE),"")</f>
        <v>406960</v>
      </c>
      <c r="K4536" s="10">
        <f t="shared" si="70"/>
        <v>1234669</v>
      </c>
    </row>
    <row r="4537" spans="1:11">
      <c r="A4537">
        <v>406960</v>
      </c>
      <c r="B4537" s="10">
        <v>2020</v>
      </c>
      <c r="C4537" t="s">
        <v>1104</v>
      </c>
      <c r="D4537" t="s">
        <v>2472</v>
      </c>
      <c r="E4537" t="s">
        <v>2474</v>
      </c>
      <c r="F4537" t="s">
        <v>1930</v>
      </c>
      <c r="G4537" t="s">
        <v>1930</v>
      </c>
      <c r="H4537" s="10">
        <v>1329044</v>
      </c>
      <c r="I4537">
        <f>IFERROR(VLOOKUP(Final!F4537,'LEAID Match'!$A$2:$B$374,2,FALSE),"")</f>
        <v>406960</v>
      </c>
      <c r="K4537" s="10">
        <f t="shared" si="70"/>
        <v>1329044</v>
      </c>
    </row>
    <row r="4538" spans="1:11">
      <c r="A4538">
        <v>406960</v>
      </c>
      <c r="B4538" s="10">
        <v>2021</v>
      </c>
      <c r="C4538" t="s">
        <v>1104</v>
      </c>
      <c r="D4538" t="s">
        <v>2472</v>
      </c>
      <c r="E4538" t="s">
        <v>2474</v>
      </c>
      <c r="F4538" t="s">
        <v>1930</v>
      </c>
      <c r="G4538" t="s">
        <v>1930</v>
      </c>
      <c r="H4538" s="10">
        <v>1367662</v>
      </c>
      <c r="I4538">
        <f>IFERROR(VLOOKUP(Final!F4538,'LEAID Match'!$A$2:$B$374,2,FALSE),"")</f>
        <v>406960</v>
      </c>
      <c r="K4538" s="10">
        <f t="shared" si="70"/>
        <v>1367662</v>
      </c>
    </row>
    <row r="4539" spans="1:11">
      <c r="A4539">
        <v>406960</v>
      </c>
      <c r="B4539" s="10">
        <v>2022</v>
      </c>
      <c r="C4539" t="s">
        <v>1104</v>
      </c>
      <c r="D4539" t="s">
        <v>2472</v>
      </c>
      <c r="E4539" t="s">
        <v>2474</v>
      </c>
      <c r="F4539" t="s">
        <v>1930</v>
      </c>
      <c r="G4539" t="s">
        <v>1930</v>
      </c>
      <c r="H4539" s="10">
        <v>1476494</v>
      </c>
      <c r="I4539">
        <f>IFERROR(VLOOKUP(Final!F4539,'LEAID Match'!$A$2:$B$374,2,FALSE),"")</f>
        <v>406960</v>
      </c>
      <c r="K4539" s="10">
        <f t="shared" si="70"/>
        <v>1476494</v>
      </c>
    </row>
    <row r="4540" spans="1:11">
      <c r="A4540">
        <v>406960</v>
      </c>
      <c r="B4540" s="10">
        <v>2023</v>
      </c>
      <c r="C4540" t="s">
        <v>1104</v>
      </c>
      <c r="D4540" t="s">
        <v>2472</v>
      </c>
      <c r="E4540" t="s">
        <v>2474</v>
      </c>
      <c r="F4540" t="s">
        <v>1930</v>
      </c>
      <c r="G4540" t="s">
        <v>1930</v>
      </c>
      <c r="H4540" s="10">
        <v>1487809</v>
      </c>
      <c r="I4540">
        <f>IFERROR(VLOOKUP(Final!F4540,'LEAID Match'!$A$2:$B$374,2,FALSE),"")</f>
        <v>406960</v>
      </c>
      <c r="K4540" s="10">
        <f t="shared" si="70"/>
        <v>1487809</v>
      </c>
    </row>
    <row r="4541" spans="1:11">
      <c r="A4541">
        <v>405760</v>
      </c>
      <c r="B4541" s="10">
        <v>2015</v>
      </c>
      <c r="C4541" t="s">
        <v>1217</v>
      </c>
      <c r="D4541" t="s">
        <v>2472</v>
      </c>
      <c r="E4541" t="s">
        <v>2474</v>
      </c>
      <c r="F4541" t="s">
        <v>1993</v>
      </c>
      <c r="G4541" t="s">
        <v>1163</v>
      </c>
      <c r="H4541" s="10">
        <v>67015</v>
      </c>
      <c r="I4541">
        <f>IFERROR(VLOOKUP(Final!F4541,'LEAID Match'!$A$2:$B$374,2,FALSE),"")</f>
        <v>405760</v>
      </c>
      <c r="K4541" s="10">
        <f t="shared" si="70"/>
        <v>67015</v>
      </c>
    </row>
    <row r="4542" spans="1:11">
      <c r="A4542">
        <v>405760</v>
      </c>
      <c r="B4542" s="10">
        <v>2016</v>
      </c>
      <c r="C4542" t="s">
        <v>1217</v>
      </c>
      <c r="D4542" t="s">
        <v>2472</v>
      </c>
      <c r="E4542" t="s">
        <v>2474</v>
      </c>
      <c r="F4542" t="s">
        <v>1993</v>
      </c>
      <c r="G4542" t="s">
        <v>1163</v>
      </c>
      <c r="H4542" s="10">
        <v>64307</v>
      </c>
      <c r="I4542">
        <f>IFERROR(VLOOKUP(Final!F4542,'LEAID Match'!$A$2:$B$374,2,FALSE),"")</f>
        <v>405760</v>
      </c>
      <c r="K4542" s="10">
        <f t="shared" si="70"/>
        <v>64307</v>
      </c>
    </row>
    <row r="4543" spans="1:11">
      <c r="A4543">
        <v>405760</v>
      </c>
      <c r="B4543" s="10">
        <v>2017</v>
      </c>
      <c r="C4543" t="s">
        <v>1217</v>
      </c>
      <c r="D4543" t="s">
        <v>2472</v>
      </c>
      <c r="E4543" t="s">
        <v>2474</v>
      </c>
      <c r="F4543" t="s">
        <v>1993</v>
      </c>
      <c r="G4543" t="s">
        <v>1993</v>
      </c>
      <c r="H4543" s="10">
        <v>89697</v>
      </c>
      <c r="I4543">
        <f>IFERROR(VLOOKUP(Final!F4543,'LEAID Match'!$A$2:$B$374,2,FALSE),"")</f>
        <v>405760</v>
      </c>
      <c r="K4543" s="10">
        <f t="shared" si="70"/>
        <v>89697</v>
      </c>
    </row>
    <row r="4544" spans="1:11">
      <c r="A4544">
        <v>405760</v>
      </c>
      <c r="B4544" s="10">
        <v>2018</v>
      </c>
      <c r="C4544" t="s">
        <v>1217</v>
      </c>
      <c r="D4544" t="s">
        <v>2472</v>
      </c>
      <c r="E4544" t="s">
        <v>2474</v>
      </c>
      <c r="F4544" t="s">
        <v>1993</v>
      </c>
      <c r="G4544" t="s">
        <v>1993</v>
      </c>
      <c r="H4544" s="10">
        <v>97227</v>
      </c>
      <c r="I4544">
        <f>IFERROR(VLOOKUP(Final!F4544,'LEAID Match'!$A$2:$B$374,2,FALSE),"")</f>
        <v>405760</v>
      </c>
      <c r="K4544" s="10">
        <f t="shared" si="70"/>
        <v>97227</v>
      </c>
    </row>
    <row r="4545" spans="1:11">
      <c r="A4545">
        <v>405760</v>
      </c>
      <c r="B4545" s="10">
        <v>2019</v>
      </c>
      <c r="C4545" t="s">
        <v>1217</v>
      </c>
      <c r="D4545" t="s">
        <v>2472</v>
      </c>
      <c r="E4545" t="s">
        <v>2474</v>
      </c>
      <c r="F4545" t="s">
        <v>1993</v>
      </c>
      <c r="G4545" t="s">
        <v>1993</v>
      </c>
      <c r="H4545" s="10">
        <v>97970</v>
      </c>
      <c r="I4545">
        <f>IFERROR(VLOOKUP(Final!F4545,'LEAID Match'!$A$2:$B$374,2,FALSE),"")</f>
        <v>405760</v>
      </c>
      <c r="K4545" s="10">
        <f t="shared" si="70"/>
        <v>97970</v>
      </c>
    </row>
    <row r="4546" spans="1:11">
      <c r="A4546">
        <v>405760</v>
      </c>
      <c r="B4546" s="10">
        <v>2020</v>
      </c>
      <c r="C4546" t="s">
        <v>1217</v>
      </c>
      <c r="D4546" t="s">
        <v>2472</v>
      </c>
      <c r="E4546" t="s">
        <v>2474</v>
      </c>
      <c r="F4546" t="s">
        <v>1993</v>
      </c>
      <c r="G4546" t="s">
        <v>1993</v>
      </c>
      <c r="H4546" s="10">
        <v>102095</v>
      </c>
      <c r="I4546">
        <f>IFERROR(VLOOKUP(Final!F4546,'LEAID Match'!$A$2:$B$374,2,FALSE),"")</f>
        <v>405760</v>
      </c>
      <c r="K4546" s="10">
        <f t="shared" si="70"/>
        <v>102095</v>
      </c>
    </row>
    <row r="4547" spans="1:11">
      <c r="A4547">
        <v>405760</v>
      </c>
      <c r="B4547" s="10">
        <v>2021</v>
      </c>
      <c r="C4547" t="s">
        <v>1217</v>
      </c>
      <c r="D4547" t="s">
        <v>2472</v>
      </c>
      <c r="E4547" t="s">
        <v>2474</v>
      </c>
      <c r="F4547" t="s">
        <v>1993</v>
      </c>
      <c r="G4547" t="s">
        <v>1993</v>
      </c>
      <c r="H4547" s="10">
        <v>99947</v>
      </c>
      <c r="I4547">
        <f>IFERROR(VLOOKUP(Final!F4547,'LEAID Match'!$A$2:$B$374,2,FALSE),"")</f>
        <v>405760</v>
      </c>
      <c r="K4547" s="10">
        <f t="shared" ref="K4547:K4610" si="71">SUM(H4547,J4547)</f>
        <v>99947</v>
      </c>
    </row>
    <row r="4548" spans="1:11">
      <c r="A4548">
        <v>405760</v>
      </c>
      <c r="B4548" s="10">
        <v>2022</v>
      </c>
      <c r="C4548" t="s">
        <v>1217</v>
      </c>
      <c r="D4548" t="s">
        <v>2472</v>
      </c>
      <c r="E4548" t="s">
        <v>2474</v>
      </c>
      <c r="F4548" t="s">
        <v>1993</v>
      </c>
      <c r="G4548" t="s">
        <v>1993</v>
      </c>
      <c r="H4548" s="10">
        <v>105862</v>
      </c>
      <c r="I4548">
        <f>IFERROR(VLOOKUP(Final!F4548,'LEAID Match'!$A$2:$B$374,2,FALSE),"")</f>
        <v>405760</v>
      </c>
      <c r="K4548" s="10">
        <f t="shared" si="71"/>
        <v>105862</v>
      </c>
    </row>
    <row r="4549" spans="1:11">
      <c r="A4549">
        <v>405760</v>
      </c>
      <c r="B4549" s="10">
        <v>2023</v>
      </c>
      <c r="C4549" t="s">
        <v>1217</v>
      </c>
      <c r="D4549" t="s">
        <v>2472</v>
      </c>
      <c r="E4549" t="s">
        <v>2474</v>
      </c>
      <c r="F4549" t="s">
        <v>1993</v>
      </c>
      <c r="G4549" t="s">
        <v>1993</v>
      </c>
      <c r="H4549" s="10">
        <v>100794</v>
      </c>
      <c r="I4549">
        <f>IFERROR(VLOOKUP(Final!F4549,'LEAID Match'!$A$2:$B$374,2,FALSE),"")</f>
        <v>405760</v>
      </c>
      <c r="K4549" s="10">
        <f t="shared" si="71"/>
        <v>100794</v>
      </c>
    </row>
    <row r="4550" spans="1:11">
      <c r="A4550">
        <v>405030</v>
      </c>
      <c r="B4550" s="10">
        <v>2015</v>
      </c>
      <c r="C4550" t="s">
        <v>799</v>
      </c>
      <c r="D4550" t="s">
        <v>2472</v>
      </c>
      <c r="E4550" t="s">
        <v>2474</v>
      </c>
      <c r="F4550" t="s">
        <v>1809</v>
      </c>
      <c r="G4550" t="s">
        <v>744</v>
      </c>
      <c r="H4550" s="10">
        <v>472500</v>
      </c>
      <c r="I4550">
        <f>IFERROR(VLOOKUP(Final!F4550,'LEAID Match'!$A$2:$B$374,2,FALSE),"")</f>
        <v>405030</v>
      </c>
      <c r="K4550" s="10">
        <f t="shared" si="71"/>
        <v>472500</v>
      </c>
    </row>
    <row r="4551" spans="1:11">
      <c r="A4551">
        <v>405030</v>
      </c>
      <c r="B4551" s="10">
        <v>2016</v>
      </c>
      <c r="C4551" t="s">
        <v>799</v>
      </c>
      <c r="D4551" t="s">
        <v>2472</v>
      </c>
      <c r="E4551" t="s">
        <v>2474</v>
      </c>
      <c r="F4551" t="s">
        <v>1809</v>
      </c>
      <c r="G4551" t="s">
        <v>744</v>
      </c>
      <c r="H4551" s="10">
        <v>483464</v>
      </c>
      <c r="I4551">
        <f>IFERROR(VLOOKUP(Final!F4551,'LEAID Match'!$A$2:$B$374,2,FALSE),"")</f>
        <v>405030</v>
      </c>
      <c r="K4551" s="10">
        <f t="shared" si="71"/>
        <v>483464</v>
      </c>
    </row>
    <row r="4552" spans="1:11">
      <c r="A4552">
        <v>405030</v>
      </c>
      <c r="B4552" s="10">
        <v>2017</v>
      </c>
      <c r="C4552" t="s">
        <v>799</v>
      </c>
      <c r="D4552" t="s">
        <v>2472</v>
      </c>
      <c r="E4552" t="s">
        <v>2474</v>
      </c>
      <c r="F4552" t="s">
        <v>1809</v>
      </c>
      <c r="G4552" t="s">
        <v>1809</v>
      </c>
      <c r="H4552" s="10">
        <v>508558</v>
      </c>
      <c r="I4552">
        <f>IFERROR(VLOOKUP(Final!F4552,'LEAID Match'!$A$2:$B$374,2,FALSE),"")</f>
        <v>405030</v>
      </c>
      <c r="K4552" s="10">
        <f t="shared" si="71"/>
        <v>508558</v>
      </c>
    </row>
    <row r="4553" spans="1:11">
      <c r="A4553">
        <v>405030</v>
      </c>
      <c r="B4553" s="10">
        <v>2018</v>
      </c>
      <c r="C4553" t="s">
        <v>799</v>
      </c>
      <c r="D4553" t="s">
        <v>2472</v>
      </c>
      <c r="E4553" t="s">
        <v>2474</v>
      </c>
      <c r="F4553" t="s">
        <v>1809</v>
      </c>
      <c r="G4553" t="s">
        <v>1809</v>
      </c>
      <c r="H4553" s="10">
        <v>484058</v>
      </c>
      <c r="I4553">
        <f>IFERROR(VLOOKUP(Final!F4553,'LEAID Match'!$A$2:$B$374,2,FALSE),"")</f>
        <v>405030</v>
      </c>
      <c r="K4553" s="10">
        <f t="shared" si="71"/>
        <v>484058</v>
      </c>
    </row>
    <row r="4554" spans="1:11">
      <c r="A4554">
        <v>405030</v>
      </c>
      <c r="B4554" s="10">
        <v>2019</v>
      </c>
      <c r="C4554" t="s">
        <v>799</v>
      </c>
      <c r="D4554" t="s">
        <v>2472</v>
      </c>
      <c r="E4554" t="s">
        <v>2474</v>
      </c>
      <c r="F4554" t="s">
        <v>1809</v>
      </c>
      <c r="G4554" t="s">
        <v>1809</v>
      </c>
      <c r="H4554" s="10">
        <v>514884</v>
      </c>
      <c r="I4554">
        <f>IFERROR(VLOOKUP(Final!F4554,'LEAID Match'!$A$2:$B$374,2,FALSE),"")</f>
        <v>405030</v>
      </c>
      <c r="K4554" s="10">
        <f t="shared" si="71"/>
        <v>514884</v>
      </c>
    </row>
    <row r="4555" spans="1:11">
      <c r="A4555">
        <v>405030</v>
      </c>
      <c r="B4555" s="10">
        <v>2020</v>
      </c>
      <c r="C4555" t="s">
        <v>799</v>
      </c>
      <c r="D4555" t="s">
        <v>2472</v>
      </c>
      <c r="E4555" t="s">
        <v>2474</v>
      </c>
      <c r="F4555" t="s">
        <v>1809</v>
      </c>
      <c r="G4555" t="s">
        <v>1809</v>
      </c>
      <c r="H4555" s="10">
        <v>530554</v>
      </c>
      <c r="I4555">
        <f>IFERROR(VLOOKUP(Final!F4555,'LEAID Match'!$A$2:$B$374,2,FALSE),"")</f>
        <v>405030</v>
      </c>
      <c r="K4555" s="10">
        <f t="shared" si="71"/>
        <v>530554</v>
      </c>
    </row>
    <row r="4556" spans="1:11">
      <c r="A4556">
        <v>405030</v>
      </c>
      <c r="B4556" s="10">
        <v>2021</v>
      </c>
      <c r="C4556" t="s">
        <v>799</v>
      </c>
      <c r="D4556" t="s">
        <v>2472</v>
      </c>
      <c r="E4556" t="s">
        <v>2474</v>
      </c>
      <c r="F4556" t="s">
        <v>1809</v>
      </c>
      <c r="G4556" t="s">
        <v>1809</v>
      </c>
      <c r="H4556" s="10">
        <v>547692</v>
      </c>
      <c r="I4556">
        <f>IFERROR(VLOOKUP(Final!F4556,'LEAID Match'!$A$2:$B$374,2,FALSE),"")</f>
        <v>405030</v>
      </c>
      <c r="K4556" s="10">
        <f t="shared" si="71"/>
        <v>547692</v>
      </c>
    </row>
    <row r="4557" spans="1:11">
      <c r="A4557">
        <v>405030</v>
      </c>
      <c r="B4557" s="10">
        <v>2022</v>
      </c>
      <c r="C4557" t="s">
        <v>799</v>
      </c>
      <c r="D4557" t="s">
        <v>2472</v>
      </c>
      <c r="E4557" t="s">
        <v>2474</v>
      </c>
      <c r="F4557" t="s">
        <v>1809</v>
      </c>
      <c r="G4557" t="s">
        <v>1809</v>
      </c>
      <c r="H4557" s="10">
        <v>620185</v>
      </c>
      <c r="I4557">
        <f>IFERROR(VLOOKUP(Final!F4557,'LEAID Match'!$A$2:$B$374,2,FALSE),"")</f>
        <v>405030</v>
      </c>
      <c r="K4557" s="10">
        <f t="shared" si="71"/>
        <v>620185</v>
      </c>
    </row>
    <row r="4558" spans="1:11">
      <c r="A4558">
        <v>405030</v>
      </c>
      <c r="B4558" s="10">
        <v>2023</v>
      </c>
      <c r="C4558" t="s">
        <v>799</v>
      </c>
      <c r="D4558" t="s">
        <v>2472</v>
      </c>
      <c r="E4558" t="s">
        <v>2474</v>
      </c>
      <c r="F4558" t="s">
        <v>1809</v>
      </c>
      <c r="G4558" t="s">
        <v>1809</v>
      </c>
      <c r="H4558" s="10">
        <v>590718</v>
      </c>
      <c r="I4558">
        <f>IFERROR(VLOOKUP(Final!F4558,'LEAID Match'!$A$2:$B$374,2,FALSE),"")</f>
        <v>405030</v>
      </c>
      <c r="K4558" s="10">
        <f t="shared" si="71"/>
        <v>590718</v>
      </c>
    </row>
    <row r="4559" spans="1:11">
      <c r="A4559">
        <v>403730</v>
      </c>
      <c r="B4559" s="10">
        <v>2015</v>
      </c>
      <c r="C4559" t="s">
        <v>683</v>
      </c>
      <c r="D4559" t="s">
        <v>2472</v>
      </c>
      <c r="E4559" t="s">
        <v>2474</v>
      </c>
      <c r="F4559" t="s">
        <v>1746</v>
      </c>
      <c r="G4559" t="s">
        <v>628</v>
      </c>
      <c r="H4559" s="10">
        <v>157602</v>
      </c>
      <c r="I4559">
        <f>IFERROR(VLOOKUP(Final!F4559,'LEAID Match'!$A$2:$B$374,2,FALSE),"")</f>
        <v>403730</v>
      </c>
      <c r="K4559" s="10">
        <f t="shared" si="71"/>
        <v>157602</v>
      </c>
    </row>
    <row r="4560" spans="1:11">
      <c r="A4560">
        <v>403730</v>
      </c>
      <c r="B4560" s="10">
        <v>2016</v>
      </c>
      <c r="C4560" t="s">
        <v>683</v>
      </c>
      <c r="D4560" t="s">
        <v>2472</v>
      </c>
      <c r="E4560" t="s">
        <v>2474</v>
      </c>
      <c r="F4560" t="s">
        <v>1746</v>
      </c>
      <c r="G4560" t="s">
        <v>628</v>
      </c>
      <c r="H4560" s="10">
        <v>173492</v>
      </c>
      <c r="I4560">
        <f>IFERROR(VLOOKUP(Final!F4560,'LEAID Match'!$A$2:$B$374,2,FALSE),"")</f>
        <v>403730</v>
      </c>
      <c r="K4560" s="10">
        <f t="shared" si="71"/>
        <v>173492</v>
      </c>
    </row>
    <row r="4561" spans="1:11">
      <c r="A4561">
        <v>403730</v>
      </c>
      <c r="B4561" s="10">
        <v>2017</v>
      </c>
      <c r="C4561" t="s">
        <v>683</v>
      </c>
      <c r="D4561" t="s">
        <v>2472</v>
      </c>
      <c r="E4561" t="s">
        <v>2474</v>
      </c>
      <c r="F4561" t="s">
        <v>1746</v>
      </c>
      <c r="G4561" t="s">
        <v>1746</v>
      </c>
      <c r="H4561" s="10">
        <v>205908</v>
      </c>
      <c r="I4561">
        <f>IFERROR(VLOOKUP(Final!F4561,'LEAID Match'!$A$2:$B$374,2,FALSE),"")</f>
        <v>403730</v>
      </c>
      <c r="K4561" s="10">
        <f t="shared" si="71"/>
        <v>205908</v>
      </c>
    </row>
    <row r="4562" spans="1:11">
      <c r="A4562">
        <v>403730</v>
      </c>
      <c r="B4562" s="10">
        <v>2018</v>
      </c>
      <c r="C4562" t="s">
        <v>683</v>
      </c>
      <c r="D4562" t="s">
        <v>2472</v>
      </c>
      <c r="E4562" t="s">
        <v>2474</v>
      </c>
      <c r="F4562" t="s">
        <v>1746</v>
      </c>
      <c r="G4562" t="s">
        <v>2207</v>
      </c>
      <c r="H4562" s="10">
        <v>192784</v>
      </c>
      <c r="I4562">
        <f>IFERROR(VLOOKUP(Final!F4562,'LEAID Match'!$A$2:$B$374,2,FALSE),"")</f>
        <v>403730</v>
      </c>
      <c r="K4562" s="10">
        <f t="shared" si="71"/>
        <v>192784</v>
      </c>
    </row>
    <row r="4563" spans="1:11">
      <c r="A4563">
        <v>403730</v>
      </c>
      <c r="B4563" s="10">
        <v>2019</v>
      </c>
      <c r="C4563" t="s">
        <v>683</v>
      </c>
      <c r="D4563" t="s">
        <v>2472</v>
      </c>
      <c r="E4563" t="s">
        <v>2474</v>
      </c>
      <c r="F4563" t="s">
        <v>1746</v>
      </c>
      <c r="G4563" t="s">
        <v>1746</v>
      </c>
      <c r="H4563" s="10">
        <v>215771</v>
      </c>
      <c r="I4563">
        <f>IFERROR(VLOOKUP(Final!F4563,'LEAID Match'!$A$2:$B$374,2,FALSE),"")</f>
        <v>403730</v>
      </c>
      <c r="K4563" s="10">
        <f t="shared" si="71"/>
        <v>215771</v>
      </c>
    </row>
    <row r="4564" spans="1:11">
      <c r="A4564">
        <v>403730</v>
      </c>
      <c r="B4564" s="10">
        <v>2020</v>
      </c>
      <c r="C4564" t="s">
        <v>683</v>
      </c>
      <c r="D4564" t="s">
        <v>2472</v>
      </c>
      <c r="E4564" t="s">
        <v>2474</v>
      </c>
      <c r="F4564" t="s">
        <v>1746</v>
      </c>
      <c r="G4564" t="s">
        <v>1746</v>
      </c>
      <c r="H4564" s="10">
        <v>246820</v>
      </c>
      <c r="I4564">
        <f>IFERROR(VLOOKUP(Final!F4564,'LEAID Match'!$A$2:$B$374,2,FALSE),"")</f>
        <v>403730</v>
      </c>
      <c r="K4564" s="10">
        <f t="shared" si="71"/>
        <v>246820</v>
      </c>
    </row>
    <row r="4565" spans="1:11">
      <c r="A4565">
        <v>403730</v>
      </c>
      <c r="B4565" s="10">
        <v>2021</v>
      </c>
      <c r="C4565" t="s">
        <v>683</v>
      </c>
      <c r="D4565" t="s">
        <v>2472</v>
      </c>
      <c r="E4565" t="s">
        <v>2474</v>
      </c>
      <c r="F4565" t="s">
        <v>1746</v>
      </c>
      <c r="G4565" t="s">
        <v>1746</v>
      </c>
      <c r="H4565" s="10">
        <v>267814</v>
      </c>
      <c r="I4565">
        <f>IFERROR(VLOOKUP(Final!F4565,'LEAID Match'!$A$2:$B$374,2,FALSE),"")</f>
        <v>403730</v>
      </c>
      <c r="K4565" s="10">
        <f t="shared" si="71"/>
        <v>267814</v>
      </c>
    </row>
    <row r="4566" spans="1:11">
      <c r="A4566">
        <v>403730</v>
      </c>
      <c r="B4566" s="10">
        <v>2022</v>
      </c>
      <c r="C4566" t="s">
        <v>683</v>
      </c>
      <c r="D4566" t="s">
        <v>2472</v>
      </c>
      <c r="E4566" t="s">
        <v>2474</v>
      </c>
      <c r="F4566" t="s">
        <v>1746</v>
      </c>
      <c r="G4566" t="s">
        <v>1746</v>
      </c>
      <c r="H4566" s="10">
        <v>314824</v>
      </c>
      <c r="I4566">
        <f>IFERROR(VLOOKUP(Final!F4566,'LEAID Match'!$A$2:$B$374,2,FALSE),"")</f>
        <v>403730</v>
      </c>
      <c r="K4566" s="10">
        <f t="shared" si="71"/>
        <v>314824</v>
      </c>
    </row>
    <row r="4567" spans="1:11">
      <c r="A4567">
        <v>403730</v>
      </c>
      <c r="B4567" s="10">
        <v>2023</v>
      </c>
      <c r="C4567" t="s">
        <v>683</v>
      </c>
      <c r="D4567" t="s">
        <v>2472</v>
      </c>
      <c r="E4567" t="s">
        <v>2474</v>
      </c>
      <c r="F4567" t="s">
        <v>1746</v>
      </c>
      <c r="G4567" t="s">
        <v>1746</v>
      </c>
      <c r="H4567" s="10">
        <v>273926</v>
      </c>
      <c r="I4567">
        <f>IFERROR(VLOOKUP(Final!F4567,'LEAID Match'!$A$2:$B$374,2,FALSE),"")</f>
        <v>403730</v>
      </c>
      <c r="K4567" s="10">
        <f t="shared" si="71"/>
        <v>273926</v>
      </c>
    </row>
    <row r="4568" spans="1:11">
      <c r="A4568">
        <v>400316</v>
      </c>
      <c r="B4568" s="10">
        <v>2015</v>
      </c>
      <c r="C4568" t="s">
        <v>470</v>
      </c>
      <c r="D4568" t="s">
        <v>2472</v>
      </c>
      <c r="E4568" t="s">
        <v>2474</v>
      </c>
      <c r="F4568" t="s">
        <v>2361</v>
      </c>
      <c r="G4568" t="s">
        <v>415</v>
      </c>
      <c r="H4568" s="10">
        <v>21667</v>
      </c>
      <c r="I4568">
        <f>IFERROR(VLOOKUP(Final!F4568,'LEAID Match'!$A$2:$B$374,2,FALSE),"")</f>
        <v>400316</v>
      </c>
      <c r="K4568" s="10">
        <f t="shared" si="71"/>
        <v>21667</v>
      </c>
    </row>
    <row r="4569" spans="1:11">
      <c r="A4569">
        <v>400316</v>
      </c>
      <c r="B4569" s="10">
        <v>2016</v>
      </c>
      <c r="C4569" t="s">
        <v>470</v>
      </c>
      <c r="D4569" t="s">
        <v>2472</v>
      </c>
      <c r="E4569" t="s">
        <v>2474</v>
      </c>
      <c r="F4569" t="s">
        <v>2361</v>
      </c>
      <c r="G4569" t="s">
        <v>415</v>
      </c>
      <c r="H4569" s="10">
        <v>24496</v>
      </c>
      <c r="I4569">
        <f>IFERROR(VLOOKUP(Final!F4569,'LEAID Match'!$A$2:$B$374,2,FALSE),"")</f>
        <v>400316</v>
      </c>
      <c r="K4569" s="10">
        <f t="shared" si="71"/>
        <v>24496</v>
      </c>
    </row>
    <row r="4570" spans="1:11">
      <c r="A4570">
        <v>400316</v>
      </c>
      <c r="B4570" s="10">
        <v>2017</v>
      </c>
      <c r="C4570" t="s">
        <v>470</v>
      </c>
      <c r="D4570" t="s">
        <v>2472</v>
      </c>
      <c r="E4570" t="s">
        <v>2474</v>
      </c>
      <c r="F4570" t="s">
        <v>2361</v>
      </c>
      <c r="G4570" t="s">
        <v>415</v>
      </c>
      <c r="H4570" s="10">
        <v>24183</v>
      </c>
      <c r="I4570">
        <f>IFERROR(VLOOKUP(Final!F4570,'LEAID Match'!$A$2:$B$374,2,FALSE),"")</f>
        <v>400316</v>
      </c>
      <c r="K4570" s="10">
        <f t="shared" si="71"/>
        <v>24183</v>
      </c>
    </row>
    <row r="4571" spans="1:11">
      <c r="A4571">
        <v>400316</v>
      </c>
      <c r="B4571" s="10">
        <v>2018</v>
      </c>
      <c r="C4571" t="s">
        <v>470</v>
      </c>
      <c r="D4571" t="s">
        <v>2472</v>
      </c>
      <c r="E4571" t="s">
        <v>2474</v>
      </c>
      <c r="F4571" t="s">
        <v>2361</v>
      </c>
      <c r="G4571" t="s">
        <v>415</v>
      </c>
      <c r="H4571" s="10">
        <v>25198</v>
      </c>
      <c r="I4571">
        <f>IFERROR(VLOOKUP(Final!F4571,'LEAID Match'!$A$2:$B$374,2,FALSE),"")</f>
        <v>400316</v>
      </c>
      <c r="K4571" s="10">
        <f t="shared" si="71"/>
        <v>25198</v>
      </c>
    </row>
    <row r="4572" spans="1:11">
      <c r="A4572">
        <v>400316</v>
      </c>
      <c r="B4572" s="10">
        <v>2019</v>
      </c>
      <c r="C4572" t="s">
        <v>470</v>
      </c>
      <c r="D4572" t="s">
        <v>2472</v>
      </c>
      <c r="E4572" t="s">
        <v>2474</v>
      </c>
      <c r="F4572" t="s">
        <v>2361</v>
      </c>
      <c r="G4572" t="s">
        <v>2361</v>
      </c>
      <c r="H4572" s="10">
        <v>27690</v>
      </c>
      <c r="I4572">
        <f>IFERROR(VLOOKUP(Final!F4572,'LEAID Match'!$A$2:$B$374,2,FALSE),"")</f>
        <v>400316</v>
      </c>
      <c r="K4572" s="10">
        <f t="shared" si="71"/>
        <v>27690</v>
      </c>
    </row>
    <row r="4573" spans="1:11">
      <c r="A4573">
        <v>400316</v>
      </c>
      <c r="B4573" s="10">
        <v>2020</v>
      </c>
      <c r="C4573" t="s">
        <v>470</v>
      </c>
      <c r="D4573" t="s">
        <v>2472</v>
      </c>
      <c r="E4573" t="s">
        <v>2474</v>
      </c>
      <c r="F4573" t="s">
        <v>2361</v>
      </c>
      <c r="G4573" t="s">
        <v>2361</v>
      </c>
      <c r="H4573" s="10">
        <v>31033</v>
      </c>
      <c r="I4573">
        <f>IFERROR(VLOOKUP(Final!F4573,'LEAID Match'!$A$2:$B$374,2,FALSE),"")</f>
        <v>400316</v>
      </c>
      <c r="K4573" s="10">
        <f t="shared" si="71"/>
        <v>31033</v>
      </c>
    </row>
    <row r="4574" spans="1:11">
      <c r="A4574">
        <v>400316</v>
      </c>
      <c r="B4574" s="10">
        <v>2021</v>
      </c>
      <c r="C4574" t="s">
        <v>470</v>
      </c>
      <c r="D4574" t="s">
        <v>2472</v>
      </c>
      <c r="E4574" t="s">
        <v>2474</v>
      </c>
      <c r="F4574" t="s">
        <v>2361</v>
      </c>
      <c r="G4574" t="s">
        <v>2361</v>
      </c>
      <c r="H4574" s="10">
        <v>27990</v>
      </c>
      <c r="I4574">
        <f>IFERROR(VLOOKUP(Final!F4574,'LEAID Match'!$A$2:$B$374,2,FALSE),"")</f>
        <v>400316</v>
      </c>
      <c r="K4574" s="10">
        <f t="shared" si="71"/>
        <v>27990</v>
      </c>
    </row>
    <row r="4575" spans="1:11">
      <c r="A4575">
        <v>400316</v>
      </c>
      <c r="B4575" s="10">
        <v>2022</v>
      </c>
      <c r="C4575" t="s">
        <v>470</v>
      </c>
      <c r="D4575" t="s">
        <v>2472</v>
      </c>
      <c r="E4575" t="s">
        <v>2474</v>
      </c>
      <c r="F4575" t="s">
        <v>2361</v>
      </c>
      <c r="G4575" t="s">
        <v>2361</v>
      </c>
      <c r="H4575" s="10">
        <v>30968</v>
      </c>
      <c r="I4575">
        <f>IFERROR(VLOOKUP(Final!F4575,'LEAID Match'!$A$2:$B$374,2,FALSE),"")</f>
        <v>400316</v>
      </c>
      <c r="K4575" s="10">
        <f t="shared" si="71"/>
        <v>30968</v>
      </c>
    </row>
    <row r="4576" spans="1:11">
      <c r="A4576">
        <v>400316</v>
      </c>
      <c r="B4576" s="10">
        <v>2023</v>
      </c>
      <c r="C4576" t="s">
        <v>470</v>
      </c>
      <c r="D4576" t="s">
        <v>2472</v>
      </c>
      <c r="E4576" t="s">
        <v>2474</v>
      </c>
      <c r="F4576" t="s">
        <v>2361</v>
      </c>
      <c r="G4576" t="s">
        <v>2361</v>
      </c>
      <c r="H4576" s="10">
        <v>38709</v>
      </c>
      <c r="I4576">
        <f>IFERROR(VLOOKUP(Final!F4576,'LEAID Match'!$A$2:$B$374,2,FALSE),"")</f>
        <v>400316</v>
      </c>
      <c r="K4576" s="10">
        <f t="shared" si="71"/>
        <v>38709</v>
      </c>
    </row>
    <row r="4577" spans="1:11">
      <c r="A4577">
        <v>407240</v>
      </c>
      <c r="B4577" s="10">
        <v>2015</v>
      </c>
      <c r="C4577" t="s">
        <v>1100</v>
      </c>
      <c r="D4577" t="s">
        <v>2472</v>
      </c>
      <c r="E4577" t="s">
        <v>2474</v>
      </c>
      <c r="F4577" t="s">
        <v>1923</v>
      </c>
      <c r="G4577" t="s">
        <v>1045</v>
      </c>
      <c r="H4577" s="10">
        <v>1446523</v>
      </c>
      <c r="I4577">
        <f>IFERROR(VLOOKUP(Final!F4577,'LEAID Match'!$A$2:$B$374,2,FALSE),"")</f>
        <v>407240</v>
      </c>
      <c r="K4577" s="10">
        <f t="shared" si="71"/>
        <v>1446523</v>
      </c>
    </row>
    <row r="4578" spans="1:11">
      <c r="A4578">
        <v>407240</v>
      </c>
      <c r="B4578" s="10">
        <v>2016</v>
      </c>
      <c r="C4578" t="s">
        <v>1100</v>
      </c>
      <c r="D4578" t="s">
        <v>2472</v>
      </c>
      <c r="E4578" t="s">
        <v>2474</v>
      </c>
      <c r="F4578" t="s">
        <v>1923</v>
      </c>
      <c r="G4578" t="s">
        <v>1045</v>
      </c>
      <c r="H4578" s="10">
        <v>1417155</v>
      </c>
      <c r="I4578">
        <f>IFERROR(VLOOKUP(Final!F4578,'LEAID Match'!$A$2:$B$374,2,FALSE),"")</f>
        <v>407240</v>
      </c>
      <c r="K4578" s="10">
        <f t="shared" si="71"/>
        <v>1417155</v>
      </c>
    </row>
    <row r="4579" spans="1:11">
      <c r="A4579">
        <v>407240</v>
      </c>
      <c r="B4579" s="10">
        <v>2017</v>
      </c>
      <c r="C4579" t="s">
        <v>1100</v>
      </c>
      <c r="D4579" t="s">
        <v>2472</v>
      </c>
      <c r="E4579" t="s">
        <v>2474</v>
      </c>
      <c r="F4579" t="s">
        <v>1923</v>
      </c>
      <c r="G4579" t="s">
        <v>1923</v>
      </c>
      <c r="H4579" s="10">
        <v>1428974</v>
      </c>
      <c r="I4579">
        <f>IFERROR(VLOOKUP(Final!F4579,'LEAID Match'!$A$2:$B$374,2,FALSE),"")</f>
        <v>407240</v>
      </c>
      <c r="K4579" s="10">
        <f t="shared" si="71"/>
        <v>1428974</v>
      </c>
    </row>
    <row r="4580" spans="1:11">
      <c r="A4580">
        <v>407240</v>
      </c>
      <c r="B4580" s="10">
        <v>2018</v>
      </c>
      <c r="C4580" t="s">
        <v>1100</v>
      </c>
      <c r="D4580" t="s">
        <v>2472</v>
      </c>
      <c r="E4580" t="s">
        <v>2474</v>
      </c>
      <c r="F4580" t="s">
        <v>1923</v>
      </c>
      <c r="G4580" t="s">
        <v>1923</v>
      </c>
      <c r="H4580" s="10">
        <v>1468080</v>
      </c>
      <c r="I4580">
        <f>IFERROR(VLOOKUP(Final!F4580,'LEAID Match'!$A$2:$B$374,2,FALSE),"")</f>
        <v>407240</v>
      </c>
      <c r="K4580" s="10">
        <f t="shared" si="71"/>
        <v>1468080</v>
      </c>
    </row>
    <row r="4581" spans="1:11">
      <c r="A4581">
        <v>407240</v>
      </c>
      <c r="B4581" s="10">
        <v>2019</v>
      </c>
      <c r="C4581" t="s">
        <v>1100</v>
      </c>
      <c r="D4581" t="s">
        <v>2472</v>
      </c>
      <c r="E4581" t="s">
        <v>2474</v>
      </c>
      <c r="F4581" t="s">
        <v>1923</v>
      </c>
      <c r="G4581" t="s">
        <v>1923</v>
      </c>
      <c r="H4581" s="10">
        <v>1592775</v>
      </c>
      <c r="I4581">
        <f>IFERROR(VLOOKUP(Final!F4581,'LEAID Match'!$A$2:$B$374,2,FALSE),"")</f>
        <v>407240</v>
      </c>
      <c r="K4581" s="10">
        <f t="shared" si="71"/>
        <v>1592775</v>
      </c>
    </row>
    <row r="4582" spans="1:11">
      <c r="A4582">
        <v>407240</v>
      </c>
      <c r="B4582" s="10">
        <v>2020</v>
      </c>
      <c r="C4582" t="s">
        <v>1100</v>
      </c>
      <c r="D4582" t="s">
        <v>2472</v>
      </c>
      <c r="E4582" t="s">
        <v>2474</v>
      </c>
      <c r="F4582" t="s">
        <v>1923</v>
      </c>
      <c r="G4582" t="s">
        <v>1923</v>
      </c>
      <c r="H4582" s="10">
        <v>1645368</v>
      </c>
      <c r="I4582">
        <f>IFERROR(VLOOKUP(Final!F4582,'LEAID Match'!$A$2:$B$374,2,FALSE),"")</f>
        <v>407240</v>
      </c>
      <c r="K4582" s="10">
        <f t="shared" si="71"/>
        <v>1645368</v>
      </c>
    </row>
    <row r="4583" spans="1:11">
      <c r="A4583">
        <v>407240</v>
      </c>
      <c r="B4583" s="10">
        <v>2021</v>
      </c>
      <c r="C4583" t="s">
        <v>1100</v>
      </c>
      <c r="D4583" t="s">
        <v>2472</v>
      </c>
      <c r="E4583" t="s">
        <v>2474</v>
      </c>
      <c r="F4583" t="s">
        <v>1923</v>
      </c>
      <c r="G4583" t="s">
        <v>1923</v>
      </c>
      <c r="H4583" s="10">
        <v>1736707</v>
      </c>
      <c r="I4583">
        <f>IFERROR(VLOOKUP(Final!F4583,'LEAID Match'!$A$2:$B$374,2,FALSE),"")</f>
        <v>407240</v>
      </c>
      <c r="K4583" s="10">
        <f t="shared" si="71"/>
        <v>1736707</v>
      </c>
    </row>
    <row r="4584" spans="1:11">
      <c r="A4584">
        <v>407240</v>
      </c>
      <c r="B4584" s="10">
        <v>2022</v>
      </c>
      <c r="C4584" t="s">
        <v>1100</v>
      </c>
      <c r="D4584" t="s">
        <v>2472</v>
      </c>
      <c r="E4584" t="s">
        <v>2474</v>
      </c>
      <c r="F4584" t="s">
        <v>1923</v>
      </c>
      <c r="G4584" t="s">
        <v>1923</v>
      </c>
      <c r="H4584" s="10">
        <v>1809857</v>
      </c>
      <c r="I4584">
        <f>IFERROR(VLOOKUP(Final!F4584,'LEAID Match'!$A$2:$B$374,2,FALSE),"")</f>
        <v>407240</v>
      </c>
      <c r="K4584" s="10">
        <f t="shared" si="71"/>
        <v>1809857</v>
      </c>
    </row>
    <row r="4585" spans="1:11">
      <c r="A4585">
        <v>407240</v>
      </c>
      <c r="B4585" s="10">
        <v>2023</v>
      </c>
      <c r="C4585" t="s">
        <v>1100</v>
      </c>
      <c r="D4585" t="s">
        <v>2472</v>
      </c>
      <c r="E4585" t="s">
        <v>2474</v>
      </c>
      <c r="F4585" t="s">
        <v>1923</v>
      </c>
      <c r="G4585" t="s">
        <v>1923</v>
      </c>
      <c r="H4585" s="10">
        <v>1903891</v>
      </c>
      <c r="I4585">
        <f>IFERROR(VLOOKUP(Final!F4585,'LEAID Match'!$A$2:$B$374,2,FALSE),"")</f>
        <v>407240</v>
      </c>
      <c r="K4585" s="10">
        <f t="shared" si="71"/>
        <v>1903891</v>
      </c>
    </row>
    <row r="4586" spans="1:11">
      <c r="A4586">
        <v>408410</v>
      </c>
      <c r="B4586" s="10">
        <v>2015</v>
      </c>
      <c r="C4586" t="s">
        <v>1210</v>
      </c>
      <c r="D4586" t="s">
        <v>2472</v>
      </c>
      <c r="E4586" t="s">
        <v>2474</v>
      </c>
      <c r="F4586" t="s">
        <v>1985</v>
      </c>
      <c r="G4586" t="s">
        <v>1156</v>
      </c>
      <c r="H4586" s="10">
        <v>584678</v>
      </c>
      <c r="I4586">
        <f>IFERROR(VLOOKUP(Final!F4586,'LEAID Match'!$A$2:$B$374,2,FALSE),"")</f>
        <v>408410</v>
      </c>
      <c r="K4586" s="10">
        <f t="shared" si="71"/>
        <v>584678</v>
      </c>
    </row>
    <row r="4587" spans="1:11">
      <c r="A4587">
        <v>408410</v>
      </c>
      <c r="B4587" s="10">
        <v>2016</v>
      </c>
      <c r="C4587" t="s">
        <v>1210</v>
      </c>
      <c r="D4587" t="s">
        <v>2472</v>
      </c>
      <c r="E4587" t="s">
        <v>2474</v>
      </c>
      <c r="F4587" t="s">
        <v>1985</v>
      </c>
      <c r="G4587" t="s">
        <v>1156</v>
      </c>
      <c r="H4587" s="10">
        <v>600988</v>
      </c>
      <c r="I4587">
        <f>IFERROR(VLOOKUP(Final!F4587,'LEAID Match'!$A$2:$B$374,2,FALSE),"")</f>
        <v>408410</v>
      </c>
      <c r="K4587" s="10">
        <f t="shared" si="71"/>
        <v>600988</v>
      </c>
    </row>
    <row r="4588" spans="1:11">
      <c r="A4588">
        <v>408410</v>
      </c>
      <c r="B4588" s="10">
        <v>2017</v>
      </c>
      <c r="C4588" t="s">
        <v>1210</v>
      </c>
      <c r="D4588" t="s">
        <v>2472</v>
      </c>
      <c r="E4588" t="s">
        <v>2474</v>
      </c>
      <c r="F4588" t="s">
        <v>1985</v>
      </c>
      <c r="G4588" t="s">
        <v>1985</v>
      </c>
      <c r="H4588" s="10">
        <v>618644</v>
      </c>
      <c r="I4588">
        <f>IFERROR(VLOOKUP(Final!F4588,'LEAID Match'!$A$2:$B$374,2,FALSE),"")</f>
        <v>408410</v>
      </c>
      <c r="K4588" s="10">
        <f t="shared" si="71"/>
        <v>618644</v>
      </c>
    </row>
    <row r="4589" spans="1:11">
      <c r="A4589">
        <v>408410</v>
      </c>
      <c r="B4589" s="10">
        <v>2018</v>
      </c>
      <c r="C4589" t="s">
        <v>1210</v>
      </c>
      <c r="D4589" t="s">
        <v>2472</v>
      </c>
      <c r="E4589" t="s">
        <v>2474</v>
      </c>
      <c r="F4589" t="s">
        <v>1985</v>
      </c>
      <c r="G4589" t="s">
        <v>1985</v>
      </c>
      <c r="H4589" s="10">
        <v>630177</v>
      </c>
      <c r="I4589">
        <f>IFERROR(VLOOKUP(Final!F4589,'LEAID Match'!$A$2:$B$374,2,FALSE),"")</f>
        <v>408410</v>
      </c>
      <c r="K4589" s="10">
        <f t="shared" si="71"/>
        <v>630177</v>
      </c>
    </row>
    <row r="4590" spans="1:11">
      <c r="A4590">
        <v>408410</v>
      </c>
      <c r="B4590" s="10">
        <v>2019</v>
      </c>
      <c r="C4590" t="s">
        <v>1210</v>
      </c>
      <c r="D4590" t="s">
        <v>2472</v>
      </c>
      <c r="E4590" t="s">
        <v>2474</v>
      </c>
      <c r="F4590" t="s">
        <v>1985</v>
      </c>
      <c r="G4590" t="s">
        <v>1985</v>
      </c>
      <c r="H4590" s="10">
        <v>743048</v>
      </c>
      <c r="I4590">
        <f>IFERROR(VLOOKUP(Final!F4590,'LEAID Match'!$A$2:$B$374,2,FALSE),"")</f>
        <v>408410</v>
      </c>
      <c r="K4590" s="10">
        <f t="shared" si="71"/>
        <v>743048</v>
      </c>
    </row>
    <row r="4591" spans="1:11">
      <c r="A4591">
        <v>408410</v>
      </c>
      <c r="B4591" s="10">
        <v>2020</v>
      </c>
      <c r="C4591" t="s">
        <v>1210</v>
      </c>
      <c r="D4591" t="s">
        <v>2472</v>
      </c>
      <c r="E4591" t="s">
        <v>2474</v>
      </c>
      <c r="F4591" t="s">
        <v>1985</v>
      </c>
      <c r="G4591" t="s">
        <v>1985</v>
      </c>
      <c r="H4591" s="10">
        <v>827464</v>
      </c>
      <c r="I4591">
        <f>IFERROR(VLOOKUP(Final!F4591,'LEAID Match'!$A$2:$B$374,2,FALSE),"")</f>
        <v>408410</v>
      </c>
      <c r="K4591" s="10">
        <f t="shared" si="71"/>
        <v>827464</v>
      </c>
    </row>
    <row r="4592" spans="1:11">
      <c r="A4592">
        <v>408410</v>
      </c>
      <c r="B4592" s="10">
        <v>2021</v>
      </c>
      <c r="C4592" t="s">
        <v>1210</v>
      </c>
      <c r="D4592" t="s">
        <v>2472</v>
      </c>
      <c r="E4592" t="s">
        <v>2474</v>
      </c>
      <c r="F4592" t="s">
        <v>1985</v>
      </c>
      <c r="G4592" t="s">
        <v>1985</v>
      </c>
      <c r="H4592" s="10">
        <v>896325</v>
      </c>
      <c r="I4592">
        <f>IFERROR(VLOOKUP(Final!F4592,'LEAID Match'!$A$2:$B$374,2,FALSE),"")</f>
        <v>408410</v>
      </c>
      <c r="K4592" s="10">
        <f t="shared" si="71"/>
        <v>896325</v>
      </c>
    </row>
    <row r="4593" spans="1:11">
      <c r="A4593">
        <v>408410</v>
      </c>
      <c r="B4593" s="10">
        <v>2022</v>
      </c>
      <c r="C4593" t="s">
        <v>1210</v>
      </c>
      <c r="D4593" t="s">
        <v>2472</v>
      </c>
      <c r="E4593" t="s">
        <v>2474</v>
      </c>
      <c r="F4593" t="s">
        <v>1985</v>
      </c>
      <c r="G4593" t="s">
        <v>1985</v>
      </c>
      <c r="H4593" s="10">
        <v>1001630</v>
      </c>
      <c r="I4593">
        <f>IFERROR(VLOOKUP(Final!F4593,'LEAID Match'!$A$2:$B$374,2,FALSE),"")</f>
        <v>408410</v>
      </c>
      <c r="K4593" s="10">
        <f t="shared" si="71"/>
        <v>1001630</v>
      </c>
    </row>
    <row r="4594" spans="1:11">
      <c r="A4594">
        <v>408410</v>
      </c>
      <c r="B4594" s="10">
        <v>2023</v>
      </c>
      <c r="C4594" t="s">
        <v>1210</v>
      </c>
      <c r="D4594" t="s">
        <v>2472</v>
      </c>
      <c r="E4594" t="s">
        <v>2474</v>
      </c>
      <c r="F4594" t="s">
        <v>1985</v>
      </c>
      <c r="G4594" t="s">
        <v>1985</v>
      </c>
      <c r="H4594" s="10">
        <v>1058204</v>
      </c>
      <c r="I4594">
        <f>IFERROR(VLOOKUP(Final!F4594,'LEAID Match'!$A$2:$B$374,2,FALSE),"")</f>
        <v>408410</v>
      </c>
      <c r="K4594" s="10">
        <f t="shared" si="71"/>
        <v>1058204</v>
      </c>
    </row>
    <row r="4595" spans="1:11">
      <c r="A4595">
        <v>407860</v>
      </c>
      <c r="B4595" s="10">
        <v>2015</v>
      </c>
      <c r="C4595" t="s">
        <v>1126</v>
      </c>
      <c r="D4595" t="s">
        <v>2472</v>
      </c>
      <c r="E4595" t="s">
        <v>2474</v>
      </c>
      <c r="F4595" t="s">
        <v>1956</v>
      </c>
      <c r="G4595" t="s">
        <v>1071</v>
      </c>
      <c r="H4595" s="10">
        <v>88143</v>
      </c>
      <c r="I4595">
        <f>IFERROR(VLOOKUP(Final!F4595,'LEAID Match'!$A$2:$B$374,2,FALSE),"")</f>
        <v>407860</v>
      </c>
      <c r="K4595" s="10">
        <f t="shared" si="71"/>
        <v>88143</v>
      </c>
    </row>
    <row r="4596" spans="1:11">
      <c r="A4596">
        <v>407860</v>
      </c>
      <c r="B4596" s="10">
        <v>2016</v>
      </c>
      <c r="C4596" t="s">
        <v>1126</v>
      </c>
      <c r="D4596" t="s">
        <v>2472</v>
      </c>
      <c r="E4596" t="s">
        <v>2474</v>
      </c>
      <c r="F4596" t="s">
        <v>1956</v>
      </c>
      <c r="G4596" t="s">
        <v>1071</v>
      </c>
      <c r="H4596" s="10">
        <v>104027</v>
      </c>
      <c r="I4596">
        <f>IFERROR(VLOOKUP(Final!F4596,'LEAID Match'!$A$2:$B$374,2,FALSE),"")</f>
        <v>407860</v>
      </c>
      <c r="K4596" s="10">
        <f t="shared" si="71"/>
        <v>104027</v>
      </c>
    </row>
    <row r="4597" spans="1:11">
      <c r="A4597">
        <v>407860</v>
      </c>
      <c r="B4597" s="10">
        <v>2017</v>
      </c>
      <c r="C4597" t="s">
        <v>1126</v>
      </c>
      <c r="D4597" t="s">
        <v>2472</v>
      </c>
      <c r="E4597" t="s">
        <v>2474</v>
      </c>
      <c r="F4597" t="s">
        <v>1956</v>
      </c>
      <c r="G4597" t="s">
        <v>1956</v>
      </c>
      <c r="H4597" s="10">
        <v>84660</v>
      </c>
      <c r="I4597">
        <f>IFERROR(VLOOKUP(Final!F4597,'LEAID Match'!$A$2:$B$374,2,FALSE),"")</f>
        <v>407860</v>
      </c>
      <c r="K4597" s="10">
        <f t="shared" si="71"/>
        <v>84660</v>
      </c>
    </row>
    <row r="4598" spans="1:11">
      <c r="A4598">
        <v>407860</v>
      </c>
      <c r="B4598" s="10">
        <v>2018</v>
      </c>
      <c r="C4598" t="s">
        <v>1126</v>
      </c>
      <c r="D4598" t="s">
        <v>2472</v>
      </c>
      <c r="E4598" t="s">
        <v>2474</v>
      </c>
      <c r="F4598" t="s">
        <v>1956</v>
      </c>
      <c r="G4598" t="s">
        <v>1956</v>
      </c>
      <c r="H4598" s="10">
        <v>84124</v>
      </c>
      <c r="I4598">
        <f>IFERROR(VLOOKUP(Final!F4598,'LEAID Match'!$A$2:$B$374,2,FALSE),"")</f>
        <v>407860</v>
      </c>
      <c r="K4598" s="10">
        <f t="shared" si="71"/>
        <v>84124</v>
      </c>
    </row>
    <row r="4599" spans="1:11">
      <c r="A4599">
        <v>407860</v>
      </c>
      <c r="B4599" s="10">
        <v>2019</v>
      </c>
      <c r="C4599" t="s">
        <v>1126</v>
      </c>
      <c r="D4599" t="s">
        <v>2472</v>
      </c>
      <c r="E4599" t="s">
        <v>2474</v>
      </c>
      <c r="F4599" t="s">
        <v>1956</v>
      </c>
      <c r="G4599" t="s">
        <v>1956</v>
      </c>
      <c r="H4599" s="10">
        <v>100136</v>
      </c>
      <c r="I4599">
        <f>IFERROR(VLOOKUP(Final!F4599,'LEAID Match'!$A$2:$B$374,2,FALSE),"")</f>
        <v>407860</v>
      </c>
      <c r="K4599" s="10">
        <f t="shared" si="71"/>
        <v>100136</v>
      </c>
    </row>
    <row r="4600" spans="1:11">
      <c r="A4600">
        <v>407860</v>
      </c>
      <c r="B4600" s="10">
        <v>2020</v>
      </c>
      <c r="C4600" t="s">
        <v>1126</v>
      </c>
      <c r="D4600" t="s">
        <v>2472</v>
      </c>
      <c r="E4600" t="s">
        <v>2474</v>
      </c>
      <c r="F4600" t="s">
        <v>1956</v>
      </c>
      <c r="G4600" t="s">
        <v>1956</v>
      </c>
      <c r="H4600" s="10">
        <v>107206</v>
      </c>
      <c r="I4600">
        <f>IFERROR(VLOOKUP(Final!F4600,'LEAID Match'!$A$2:$B$374,2,FALSE),"")</f>
        <v>407860</v>
      </c>
      <c r="K4600" s="10">
        <f t="shared" si="71"/>
        <v>107206</v>
      </c>
    </row>
    <row r="4601" spans="1:11">
      <c r="A4601">
        <v>407860</v>
      </c>
      <c r="B4601" s="10">
        <v>2021</v>
      </c>
      <c r="C4601" t="s">
        <v>1126</v>
      </c>
      <c r="D4601" t="s">
        <v>2472</v>
      </c>
      <c r="E4601" t="s">
        <v>2474</v>
      </c>
      <c r="F4601" t="s">
        <v>1956</v>
      </c>
      <c r="G4601" t="s">
        <v>1956</v>
      </c>
      <c r="H4601" s="10">
        <v>117918</v>
      </c>
      <c r="I4601">
        <f>IFERROR(VLOOKUP(Final!F4601,'LEAID Match'!$A$2:$B$374,2,FALSE),"")</f>
        <v>407860</v>
      </c>
      <c r="K4601" s="10">
        <f t="shared" si="71"/>
        <v>117918</v>
      </c>
    </row>
    <row r="4602" spans="1:11">
      <c r="A4602">
        <v>407860</v>
      </c>
      <c r="B4602" s="10">
        <v>2022</v>
      </c>
      <c r="C4602" t="s">
        <v>1126</v>
      </c>
      <c r="D4602" t="s">
        <v>2472</v>
      </c>
      <c r="E4602" t="s">
        <v>2474</v>
      </c>
      <c r="F4602" t="s">
        <v>1956</v>
      </c>
      <c r="G4602" t="s">
        <v>1956</v>
      </c>
      <c r="H4602" s="10">
        <v>136049</v>
      </c>
      <c r="I4602">
        <f>IFERROR(VLOOKUP(Final!F4602,'LEAID Match'!$A$2:$B$374,2,FALSE),"")</f>
        <v>407860</v>
      </c>
      <c r="K4602" s="10">
        <f t="shared" si="71"/>
        <v>136049</v>
      </c>
    </row>
    <row r="4603" spans="1:11">
      <c r="A4603">
        <v>407860</v>
      </c>
      <c r="B4603" s="10">
        <v>2023</v>
      </c>
      <c r="C4603" t="s">
        <v>1126</v>
      </c>
      <c r="D4603" t="s">
        <v>2472</v>
      </c>
      <c r="E4603" t="s">
        <v>2474</v>
      </c>
      <c r="F4603" t="s">
        <v>1956</v>
      </c>
      <c r="G4603" t="s">
        <v>1956</v>
      </c>
      <c r="H4603" s="10">
        <v>134486</v>
      </c>
      <c r="I4603">
        <f>IFERROR(VLOOKUP(Final!F4603,'LEAID Match'!$A$2:$B$374,2,FALSE),"")</f>
        <v>407860</v>
      </c>
      <c r="K4603" s="10">
        <f t="shared" si="71"/>
        <v>134486</v>
      </c>
    </row>
    <row r="4604" spans="1:11">
      <c r="A4604">
        <v>406440</v>
      </c>
      <c r="B4604" s="10">
        <v>2015</v>
      </c>
      <c r="C4604" t="s">
        <v>999</v>
      </c>
      <c r="D4604" t="s">
        <v>2472</v>
      </c>
      <c r="E4604" t="s">
        <v>2474</v>
      </c>
      <c r="F4604" t="s">
        <v>1884</v>
      </c>
      <c r="G4604" t="s">
        <v>944</v>
      </c>
      <c r="H4604" s="10">
        <v>279474</v>
      </c>
      <c r="I4604">
        <f>IFERROR(VLOOKUP(Final!F4604,'LEAID Match'!$A$2:$B$374,2,FALSE),"")</f>
        <v>406440</v>
      </c>
      <c r="K4604" s="10">
        <f t="shared" si="71"/>
        <v>279474</v>
      </c>
    </row>
    <row r="4605" spans="1:11">
      <c r="A4605">
        <v>406440</v>
      </c>
      <c r="B4605" s="10">
        <v>2016</v>
      </c>
      <c r="C4605" t="s">
        <v>999</v>
      </c>
      <c r="D4605" t="s">
        <v>2472</v>
      </c>
      <c r="E4605" t="s">
        <v>2474</v>
      </c>
      <c r="F4605" t="s">
        <v>1884</v>
      </c>
      <c r="G4605" t="s">
        <v>944</v>
      </c>
      <c r="H4605" s="10">
        <v>314722</v>
      </c>
      <c r="I4605">
        <f>IFERROR(VLOOKUP(Final!F4605,'LEAID Match'!$A$2:$B$374,2,FALSE),"")</f>
        <v>406440</v>
      </c>
      <c r="K4605" s="10">
        <f t="shared" si="71"/>
        <v>314722</v>
      </c>
    </row>
    <row r="4606" spans="1:11">
      <c r="A4606">
        <v>406440</v>
      </c>
      <c r="B4606" s="10">
        <v>2017</v>
      </c>
      <c r="C4606" t="s">
        <v>999</v>
      </c>
      <c r="D4606" t="s">
        <v>2472</v>
      </c>
      <c r="E4606" t="s">
        <v>2474</v>
      </c>
      <c r="F4606" t="s">
        <v>1884</v>
      </c>
      <c r="G4606" t="s">
        <v>1884</v>
      </c>
      <c r="H4606" s="10">
        <v>315867</v>
      </c>
      <c r="I4606">
        <f>IFERROR(VLOOKUP(Final!F4606,'LEAID Match'!$A$2:$B$374,2,FALSE),"")</f>
        <v>406440</v>
      </c>
      <c r="K4606" s="10">
        <f t="shared" si="71"/>
        <v>315867</v>
      </c>
    </row>
    <row r="4607" spans="1:11">
      <c r="A4607">
        <v>406440</v>
      </c>
      <c r="B4607" s="10">
        <v>2018</v>
      </c>
      <c r="C4607" t="s">
        <v>999</v>
      </c>
      <c r="D4607" t="s">
        <v>2472</v>
      </c>
      <c r="E4607" t="s">
        <v>2474</v>
      </c>
      <c r="F4607" t="s">
        <v>1884</v>
      </c>
      <c r="G4607" t="s">
        <v>1884</v>
      </c>
      <c r="H4607" s="10">
        <v>344040</v>
      </c>
      <c r="I4607">
        <f>IFERROR(VLOOKUP(Final!F4607,'LEAID Match'!$A$2:$B$374,2,FALSE),"")</f>
        <v>406440</v>
      </c>
      <c r="K4607" s="10">
        <f t="shared" si="71"/>
        <v>344040</v>
      </c>
    </row>
    <row r="4608" spans="1:11">
      <c r="A4608">
        <v>406440</v>
      </c>
      <c r="B4608" s="10">
        <v>2019</v>
      </c>
      <c r="C4608" t="s">
        <v>999</v>
      </c>
      <c r="D4608" t="s">
        <v>2472</v>
      </c>
      <c r="E4608" t="s">
        <v>2474</v>
      </c>
      <c r="F4608" t="s">
        <v>1884</v>
      </c>
      <c r="G4608" t="s">
        <v>1884</v>
      </c>
      <c r="H4608" s="10">
        <v>423736</v>
      </c>
      <c r="I4608">
        <f>IFERROR(VLOOKUP(Final!F4608,'LEAID Match'!$A$2:$B$374,2,FALSE),"")</f>
        <v>406440</v>
      </c>
      <c r="K4608" s="10">
        <f t="shared" si="71"/>
        <v>423736</v>
      </c>
    </row>
    <row r="4609" spans="1:11">
      <c r="A4609">
        <v>406440</v>
      </c>
      <c r="B4609" s="10">
        <v>2020</v>
      </c>
      <c r="C4609" t="s">
        <v>999</v>
      </c>
      <c r="D4609" t="s">
        <v>2472</v>
      </c>
      <c r="E4609" t="s">
        <v>2474</v>
      </c>
      <c r="F4609" t="s">
        <v>1884</v>
      </c>
      <c r="G4609" t="s">
        <v>1884</v>
      </c>
      <c r="H4609" s="10">
        <v>474375</v>
      </c>
      <c r="I4609">
        <f>IFERROR(VLOOKUP(Final!F4609,'LEAID Match'!$A$2:$B$374,2,FALSE),"")</f>
        <v>406440</v>
      </c>
      <c r="K4609" s="10">
        <f t="shared" si="71"/>
        <v>474375</v>
      </c>
    </row>
    <row r="4610" spans="1:11">
      <c r="A4610">
        <v>406440</v>
      </c>
      <c r="B4610" s="10">
        <v>2021</v>
      </c>
      <c r="C4610" t="s">
        <v>999</v>
      </c>
      <c r="D4610" t="s">
        <v>2472</v>
      </c>
      <c r="E4610" t="s">
        <v>2474</v>
      </c>
      <c r="F4610" t="s">
        <v>1884</v>
      </c>
      <c r="G4610" t="s">
        <v>1884</v>
      </c>
      <c r="H4610" s="10">
        <v>531673</v>
      </c>
      <c r="I4610">
        <f>IFERROR(VLOOKUP(Final!F4610,'LEAID Match'!$A$2:$B$374,2,FALSE),"")</f>
        <v>406440</v>
      </c>
      <c r="K4610" s="10">
        <f t="shared" si="71"/>
        <v>531673</v>
      </c>
    </row>
    <row r="4611" spans="1:11">
      <c r="A4611">
        <v>406440</v>
      </c>
      <c r="B4611" s="10">
        <v>2022</v>
      </c>
      <c r="C4611" t="s">
        <v>999</v>
      </c>
      <c r="D4611" t="s">
        <v>2472</v>
      </c>
      <c r="E4611" t="s">
        <v>2474</v>
      </c>
      <c r="F4611" t="s">
        <v>1884</v>
      </c>
      <c r="G4611" t="s">
        <v>1884</v>
      </c>
      <c r="H4611" s="10">
        <v>620330</v>
      </c>
      <c r="I4611">
        <f>IFERROR(VLOOKUP(Final!F4611,'LEAID Match'!$A$2:$B$374,2,FALSE),"")</f>
        <v>406440</v>
      </c>
      <c r="K4611" s="10">
        <f t="shared" ref="K4611:K4674" si="72">SUM(H4611,J4611)</f>
        <v>620330</v>
      </c>
    </row>
    <row r="4612" spans="1:11">
      <c r="A4612">
        <v>406440</v>
      </c>
      <c r="B4612" s="10">
        <v>2023</v>
      </c>
      <c r="C4612" t="s">
        <v>999</v>
      </c>
      <c r="D4612" t="s">
        <v>2472</v>
      </c>
      <c r="E4612" t="s">
        <v>2474</v>
      </c>
      <c r="F4612" t="s">
        <v>1884</v>
      </c>
      <c r="G4612" t="s">
        <v>1884</v>
      </c>
      <c r="H4612" s="10">
        <v>666679</v>
      </c>
      <c r="I4612">
        <f>IFERROR(VLOOKUP(Final!F4612,'LEAID Match'!$A$2:$B$374,2,FALSE),"")</f>
        <v>406440</v>
      </c>
      <c r="K4612" s="10">
        <f t="shared" si="72"/>
        <v>666679</v>
      </c>
    </row>
    <row r="4613" spans="1:11">
      <c r="A4613">
        <v>403200</v>
      </c>
      <c r="B4613" s="10">
        <v>2015</v>
      </c>
      <c r="C4613" t="s">
        <v>595</v>
      </c>
      <c r="D4613" t="s">
        <v>2472</v>
      </c>
      <c r="E4613" t="s">
        <v>2474</v>
      </c>
      <c r="F4613" t="s">
        <v>1722</v>
      </c>
      <c r="G4613" t="s">
        <v>540</v>
      </c>
      <c r="H4613" s="10">
        <v>489800</v>
      </c>
      <c r="I4613">
        <f>IFERROR(VLOOKUP(Final!F4613,'LEAID Match'!$A$2:$B$374,2,FALSE),"")</f>
        <v>403200</v>
      </c>
      <c r="K4613" s="10">
        <f t="shared" si="72"/>
        <v>489800</v>
      </c>
    </row>
    <row r="4614" spans="1:11">
      <c r="A4614">
        <v>403200</v>
      </c>
      <c r="B4614" s="10">
        <v>2016</v>
      </c>
      <c r="C4614" t="s">
        <v>595</v>
      </c>
      <c r="D4614" t="s">
        <v>2472</v>
      </c>
      <c r="E4614" t="s">
        <v>2474</v>
      </c>
      <c r="F4614" t="s">
        <v>1722</v>
      </c>
      <c r="G4614" t="s">
        <v>540</v>
      </c>
      <c r="H4614" s="10">
        <v>474790</v>
      </c>
      <c r="I4614">
        <f>IFERROR(VLOOKUP(Final!F4614,'LEAID Match'!$A$2:$B$374,2,FALSE),"")</f>
        <v>403200</v>
      </c>
      <c r="K4614" s="10">
        <f t="shared" si="72"/>
        <v>474790</v>
      </c>
    </row>
    <row r="4615" spans="1:11">
      <c r="A4615">
        <v>403200</v>
      </c>
      <c r="B4615" s="10">
        <v>2017</v>
      </c>
      <c r="C4615" t="s">
        <v>595</v>
      </c>
      <c r="D4615" t="s">
        <v>2472</v>
      </c>
      <c r="E4615" t="s">
        <v>2474</v>
      </c>
      <c r="F4615" t="s">
        <v>1722</v>
      </c>
      <c r="G4615" t="s">
        <v>1722</v>
      </c>
      <c r="H4615" s="10">
        <v>490110</v>
      </c>
      <c r="I4615">
        <f>IFERROR(VLOOKUP(Final!F4615,'LEAID Match'!$A$2:$B$374,2,FALSE),"")</f>
        <v>403200</v>
      </c>
      <c r="K4615" s="10">
        <f t="shared" si="72"/>
        <v>490110</v>
      </c>
    </row>
    <row r="4616" spans="1:11">
      <c r="A4616">
        <v>403200</v>
      </c>
      <c r="B4616" s="10">
        <v>2018</v>
      </c>
      <c r="C4616" t="s">
        <v>595</v>
      </c>
      <c r="D4616" t="s">
        <v>2472</v>
      </c>
      <c r="E4616" t="s">
        <v>2474</v>
      </c>
      <c r="F4616" t="s">
        <v>1722</v>
      </c>
      <c r="G4616" t="s">
        <v>2191</v>
      </c>
      <c r="H4616" s="10">
        <v>510661</v>
      </c>
      <c r="I4616">
        <f>IFERROR(VLOOKUP(Final!F4616,'LEAID Match'!$A$2:$B$374,2,FALSE),"")</f>
        <v>403200</v>
      </c>
      <c r="K4616" s="10">
        <f t="shared" si="72"/>
        <v>510661</v>
      </c>
    </row>
    <row r="4617" spans="1:11">
      <c r="A4617">
        <v>403200</v>
      </c>
      <c r="B4617" s="10">
        <v>2019</v>
      </c>
      <c r="C4617" t="s">
        <v>595</v>
      </c>
      <c r="D4617" t="s">
        <v>2472</v>
      </c>
      <c r="E4617" t="s">
        <v>2474</v>
      </c>
      <c r="F4617" t="s">
        <v>1722</v>
      </c>
      <c r="G4617" t="s">
        <v>1722</v>
      </c>
      <c r="H4617" s="10">
        <v>580589</v>
      </c>
      <c r="I4617">
        <f>IFERROR(VLOOKUP(Final!F4617,'LEAID Match'!$A$2:$B$374,2,FALSE),"")</f>
        <v>403200</v>
      </c>
      <c r="K4617" s="10">
        <f t="shared" si="72"/>
        <v>580589</v>
      </c>
    </row>
    <row r="4618" spans="1:11">
      <c r="A4618">
        <v>403200</v>
      </c>
      <c r="B4618" s="10">
        <v>2020</v>
      </c>
      <c r="C4618" t="s">
        <v>595</v>
      </c>
      <c r="D4618" t="s">
        <v>2472</v>
      </c>
      <c r="E4618" t="s">
        <v>2474</v>
      </c>
      <c r="F4618" t="s">
        <v>1722</v>
      </c>
      <c r="G4618" t="s">
        <v>1722</v>
      </c>
      <c r="H4618" s="10">
        <v>619333</v>
      </c>
      <c r="I4618">
        <f>IFERROR(VLOOKUP(Final!F4618,'LEAID Match'!$A$2:$B$374,2,FALSE),"")</f>
        <v>403200</v>
      </c>
      <c r="K4618" s="10">
        <f t="shared" si="72"/>
        <v>619333</v>
      </c>
    </row>
    <row r="4619" spans="1:11">
      <c r="A4619">
        <v>403200</v>
      </c>
      <c r="B4619" s="10">
        <v>2021</v>
      </c>
      <c r="C4619" t="s">
        <v>595</v>
      </c>
      <c r="D4619" t="s">
        <v>2472</v>
      </c>
      <c r="E4619" t="s">
        <v>2474</v>
      </c>
      <c r="F4619" t="s">
        <v>1722</v>
      </c>
      <c r="G4619" t="s">
        <v>1722</v>
      </c>
      <c r="H4619" s="10">
        <v>670183</v>
      </c>
      <c r="I4619">
        <f>IFERROR(VLOOKUP(Final!F4619,'LEAID Match'!$A$2:$B$374,2,FALSE),"")</f>
        <v>403200</v>
      </c>
      <c r="K4619" s="10">
        <f t="shared" si="72"/>
        <v>670183</v>
      </c>
    </row>
    <row r="4620" spans="1:11">
      <c r="A4620">
        <v>403200</v>
      </c>
      <c r="B4620" s="10">
        <v>2022</v>
      </c>
      <c r="C4620" t="s">
        <v>595</v>
      </c>
      <c r="D4620" t="s">
        <v>2472</v>
      </c>
      <c r="E4620" t="s">
        <v>2474</v>
      </c>
      <c r="F4620" t="s">
        <v>1722</v>
      </c>
      <c r="G4620" t="s">
        <v>1722</v>
      </c>
      <c r="H4620" s="10">
        <v>791199</v>
      </c>
      <c r="I4620">
        <f>IFERROR(VLOOKUP(Final!F4620,'LEAID Match'!$A$2:$B$374,2,FALSE),"")</f>
        <v>403200</v>
      </c>
      <c r="K4620" s="10">
        <f t="shared" si="72"/>
        <v>791199</v>
      </c>
    </row>
    <row r="4621" spans="1:11">
      <c r="A4621">
        <v>403200</v>
      </c>
      <c r="B4621" s="10">
        <v>2023</v>
      </c>
      <c r="C4621" t="s">
        <v>595</v>
      </c>
      <c r="D4621" t="s">
        <v>2472</v>
      </c>
      <c r="E4621" t="s">
        <v>2474</v>
      </c>
      <c r="F4621" t="s">
        <v>1722</v>
      </c>
      <c r="G4621" t="s">
        <v>1722</v>
      </c>
      <c r="H4621" s="10">
        <v>804622</v>
      </c>
      <c r="I4621">
        <f>IFERROR(VLOOKUP(Final!F4621,'LEAID Match'!$A$2:$B$374,2,FALSE),"")</f>
        <v>403200</v>
      </c>
      <c r="K4621" s="10">
        <f t="shared" si="72"/>
        <v>804622</v>
      </c>
    </row>
    <row r="4622" spans="1:11">
      <c r="A4622">
        <v>401260</v>
      </c>
      <c r="B4622" s="10">
        <v>2015</v>
      </c>
      <c r="C4622" t="s">
        <v>332</v>
      </c>
      <c r="D4622" t="s">
        <v>2472</v>
      </c>
      <c r="E4622" t="s">
        <v>2474</v>
      </c>
      <c r="F4622" t="s">
        <v>1630</v>
      </c>
      <c r="G4622" t="s">
        <v>278</v>
      </c>
      <c r="H4622" s="10">
        <v>98866</v>
      </c>
      <c r="I4622">
        <f>IFERROR(VLOOKUP(Final!F4622,'LEAID Match'!$A$2:$B$374,2,FALSE),"")</f>
        <v>401260</v>
      </c>
      <c r="K4622" s="10">
        <f t="shared" si="72"/>
        <v>98866</v>
      </c>
    </row>
    <row r="4623" spans="1:11">
      <c r="A4623">
        <v>401260</v>
      </c>
      <c r="B4623" s="10">
        <v>2016</v>
      </c>
      <c r="C4623" t="s">
        <v>332</v>
      </c>
      <c r="D4623" t="s">
        <v>2472</v>
      </c>
      <c r="E4623" t="s">
        <v>2474</v>
      </c>
      <c r="F4623" t="s">
        <v>1630</v>
      </c>
      <c r="G4623" t="s">
        <v>278</v>
      </c>
      <c r="H4623" s="10">
        <v>92730</v>
      </c>
      <c r="I4623">
        <f>IFERROR(VLOOKUP(Final!F4623,'LEAID Match'!$A$2:$B$374,2,FALSE),"")</f>
        <v>401260</v>
      </c>
      <c r="K4623" s="10">
        <f t="shared" si="72"/>
        <v>92730</v>
      </c>
    </row>
    <row r="4624" spans="1:11">
      <c r="A4624">
        <v>401260</v>
      </c>
      <c r="B4624" s="10">
        <v>2017</v>
      </c>
      <c r="C4624" t="s">
        <v>332</v>
      </c>
      <c r="D4624" t="s">
        <v>2472</v>
      </c>
      <c r="E4624" t="s">
        <v>2474</v>
      </c>
      <c r="F4624" t="s">
        <v>1630</v>
      </c>
      <c r="G4624" t="s">
        <v>1630</v>
      </c>
      <c r="H4624" s="10">
        <v>91468</v>
      </c>
      <c r="I4624">
        <f>IFERROR(VLOOKUP(Final!F4624,'LEAID Match'!$A$2:$B$374,2,FALSE),"")</f>
        <v>401260</v>
      </c>
      <c r="K4624" s="10">
        <f t="shared" si="72"/>
        <v>91468</v>
      </c>
    </row>
    <row r="4625" spans="1:11">
      <c r="A4625">
        <v>401260</v>
      </c>
      <c r="B4625" s="10">
        <v>2018</v>
      </c>
      <c r="C4625" t="s">
        <v>332</v>
      </c>
      <c r="D4625" t="s">
        <v>2472</v>
      </c>
      <c r="E4625" t="s">
        <v>2474</v>
      </c>
      <c r="F4625" t="s">
        <v>1630</v>
      </c>
      <c r="G4625" t="s">
        <v>2131</v>
      </c>
      <c r="H4625" s="10">
        <v>92800</v>
      </c>
      <c r="I4625">
        <f>IFERROR(VLOOKUP(Final!F4625,'LEAID Match'!$A$2:$B$374,2,FALSE),"")</f>
        <v>401260</v>
      </c>
      <c r="K4625" s="10">
        <f t="shared" si="72"/>
        <v>92800</v>
      </c>
    </row>
    <row r="4626" spans="1:11">
      <c r="A4626">
        <v>401260</v>
      </c>
      <c r="B4626" s="10">
        <v>2019</v>
      </c>
      <c r="C4626" t="s">
        <v>332</v>
      </c>
      <c r="D4626" t="s">
        <v>2472</v>
      </c>
      <c r="E4626" t="s">
        <v>2474</v>
      </c>
      <c r="F4626" t="s">
        <v>1630</v>
      </c>
      <c r="G4626" t="s">
        <v>1630</v>
      </c>
      <c r="H4626" s="10">
        <v>96224</v>
      </c>
      <c r="I4626">
        <f>IFERROR(VLOOKUP(Final!F4626,'LEAID Match'!$A$2:$B$374,2,FALSE),"")</f>
        <v>401260</v>
      </c>
      <c r="K4626" s="10">
        <f t="shared" si="72"/>
        <v>96224</v>
      </c>
    </row>
    <row r="4627" spans="1:11">
      <c r="A4627">
        <v>401260</v>
      </c>
      <c r="B4627" s="10">
        <v>2020</v>
      </c>
      <c r="C4627" t="s">
        <v>332</v>
      </c>
      <c r="D4627" t="s">
        <v>2472</v>
      </c>
      <c r="E4627" t="s">
        <v>2474</v>
      </c>
      <c r="F4627" t="s">
        <v>1630</v>
      </c>
      <c r="G4627" t="s">
        <v>1630</v>
      </c>
      <c r="H4627" s="10">
        <v>96948</v>
      </c>
      <c r="I4627">
        <f>IFERROR(VLOOKUP(Final!F4627,'LEAID Match'!$A$2:$B$374,2,FALSE),"")</f>
        <v>401260</v>
      </c>
      <c r="K4627" s="10">
        <f t="shared" si="72"/>
        <v>96948</v>
      </c>
    </row>
    <row r="4628" spans="1:11">
      <c r="A4628">
        <v>401260</v>
      </c>
      <c r="B4628" s="10">
        <v>2021</v>
      </c>
      <c r="C4628" t="s">
        <v>332</v>
      </c>
      <c r="D4628" t="s">
        <v>2472</v>
      </c>
      <c r="E4628" t="s">
        <v>2474</v>
      </c>
      <c r="F4628" t="s">
        <v>1630</v>
      </c>
      <c r="G4628" t="s">
        <v>1630</v>
      </c>
      <c r="H4628" s="10">
        <v>121064</v>
      </c>
      <c r="I4628">
        <f>IFERROR(VLOOKUP(Final!F4628,'LEAID Match'!$A$2:$B$374,2,FALSE),"")</f>
        <v>401260</v>
      </c>
      <c r="K4628" s="10">
        <f t="shared" si="72"/>
        <v>121064</v>
      </c>
    </row>
    <row r="4629" spans="1:11">
      <c r="A4629">
        <v>401260</v>
      </c>
      <c r="B4629" s="10">
        <v>2022</v>
      </c>
      <c r="C4629" t="s">
        <v>332</v>
      </c>
      <c r="D4629" t="s">
        <v>2472</v>
      </c>
      <c r="E4629" t="s">
        <v>2474</v>
      </c>
      <c r="F4629" t="s">
        <v>1630</v>
      </c>
      <c r="G4629" t="s">
        <v>1630</v>
      </c>
      <c r="H4629" s="10">
        <v>132181</v>
      </c>
      <c r="I4629">
        <f>IFERROR(VLOOKUP(Final!F4629,'LEAID Match'!$A$2:$B$374,2,FALSE),"")</f>
        <v>401260</v>
      </c>
      <c r="K4629" s="10">
        <f t="shared" si="72"/>
        <v>132181</v>
      </c>
    </row>
    <row r="4630" spans="1:11">
      <c r="A4630">
        <v>401260</v>
      </c>
      <c r="B4630" s="10">
        <v>2023</v>
      </c>
      <c r="C4630" t="s">
        <v>332</v>
      </c>
      <c r="D4630" t="s">
        <v>2472</v>
      </c>
      <c r="E4630" t="s">
        <v>2474</v>
      </c>
      <c r="F4630" t="s">
        <v>1630</v>
      </c>
      <c r="G4630" t="s">
        <v>1630</v>
      </c>
      <c r="H4630" s="10">
        <v>132712</v>
      </c>
      <c r="I4630">
        <f>IFERROR(VLOOKUP(Final!F4630,'LEAID Match'!$A$2:$B$374,2,FALSE),"")</f>
        <v>401260</v>
      </c>
      <c r="K4630" s="10">
        <f t="shared" si="72"/>
        <v>132712</v>
      </c>
    </row>
    <row r="4631" spans="1:11">
      <c r="A4631">
        <v>402480</v>
      </c>
      <c r="B4631" s="10">
        <v>2015</v>
      </c>
      <c r="C4631" t="s">
        <v>551</v>
      </c>
      <c r="D4631" t="s">
        <v>2472</v>
      </c>
      <c r="E4631" t="s">
        <v>2474</v>
      </c>
      <c r="F4631" t="s">
        <v>1687</v>
      </c>
      <c r="G4631" t="s">
        <v>496</v>
      </c>
      <c r="H4631" s="10">
        <v>76429</v>
      </c>
      <c r="I4631">
        <f>IFERROR(VLOOKUP(Final!F4631,'LEAID Match'!$A$2:$B$374,2,FALSE),"")</f>
        <v>402480</v>
      </c>
      <c r="K4631" s="10">
        <f t="shared" si="72"/>
        <v>76429</v>
      </c>
    </row>
    <row r="4632" spans="1:11">
      <c r="A4632">
        <v>402480</v>
      </c>
      <c r="B4632" s="10">
        <v>2016</v>
      </c>
      <c r="C4632" t="s">
        <v>551</v>
      </c>
      <c r="D4632" t="s">
        <v>2472</v>
      </c>
      <c r="E4632" t="s">
        <v>2474</v>
      </c>
      <c r="F4632" t="s">
        <v>1687</v>
      </c>
      <c r="G4632" t="s">
        <v>496</v>
      </c>
      <c r="H4632" s="10">
        <v>74950</v>
      </c>
      <c r="I4632">
        <f>IFERROR(VLOOKUP(Final!F4632,'LEAID Match'!$A$2:$B$374,2,FALSE),"")</f>
        <v>402480</v>
      </c>
      <c r="K4632" s="10">
        <f t="shared" si="72"/>
        <v>74950</v>
      </c>
    </row>
    <row r="4633" spans="1:11">
      <c r="A4633">
        <v>402480</v>
      </c>
      <c r="B4633" s="10">
        <v>2017</v>
      </c>
      <c r="C4633" t="s">
        <v>551</v>
      </c>
      <c r="D4633" t="s">
        <v>2472</v>
      </c>
      <c r="E4633" t="s">
        <v>2474</v>
      </c>
      <c r="F4633" t="s">
        <v>1687</v>
      </c>
      <c r="G4633" t="s">
        <v>1687</v>
      </c>
      <c r="H4633" s="10">
        <v>76057</v>
      </c>
      <c r="I4633">
        <f>IFERROR(VLOOKUP(Final!F4633,'LEAID Match'!$A$2:$B$374,2,FALSE),"")</f>
        <v>402480</v>
      </c>
      <c r="K4633" s="10">
        <f t="shared" si="72"/>
        <v>76057</v>
      </c>
    </row>
    <row r="4634" spans="1:11">
      <c r="A4634">
        <v>402480</v>
      </c>
      <c r="B4634" s="10">
        <v>2018</v>
      </c>
      <c r="C4634" t="s">
        <v>551</v>
      </c>
      <c r="D4634" t="s">
        <v>2472</v>
      </c>
      <c r="E4634" t="s">
        <v>2474</v>
      </c>
      <c r="F4634" t="s">
        <v>1687</v>
      </c>
      <c r="G4634" t="s">
        <v>2170</v>
      </c>
      <c r="H4634" s="10">
        <v>74829</v>
      </c>
      <c r="I4634">
        <f>IFERROR(VLOOKUP(Final!F4634,'LEAID Match'!$A$2:$B$374,2,FALSE),"")</f>
        <v>402480</v>
      </c>
      <c r="K4634" s="10">
        <f t="shared" si="72"/>
        <v>74829</v>
      </c>
    </row>
    <row r="4635" spans="1:11">
      <c r="A4635">
        <v>402480</v>
      </c>
      <c r="B4635" s="10">
        <v>2019</v>
      </c>
      <c r="C4635" t="s">
        <v>551</v>
      </c>
      <c r="D4635" t="s">
        <v>2472</v>
      </c>
      <c r="E4635" t="s">
        <v>2474</v>
      </c>
      <c r="F4635" t="s">
        <v>1687</v>
      </c>
      <c r="G4635" t="s">
        <v>2364</v>
      </c>
      <c r="H4635" s="10">
        <v>86356</v>
      </c>
      <c r="I4635">
        <f>IFERROR(VLOOKUP(Final!F4635,'LEAID Match'!$A$2:$B$374,2,FALSE),"")</f>
        <v>402480</v>
      </c>
      <c r="K4635" s="10">
        <f t="shared" si="72"/>
        <v>86356</v>
      </c>
    </row>
    <row r="4636" spans="1:11">
      <c r="A4636">
        <v>402480</v>
      </c>
      <c r="B4636" s="10">
        <v>2020</v>
      </c>
      <c r="C4636" t="s">
        <v>551</v>
      </c>
      <c r="D4636" t="s">
        <v>2472</v>
      </c>
      <c r="E4636" t="s">
        <v>2474</v>
      </c>
      <c r="F4636" t="s">
        <v>1687</v>
      </c>
      <c r="G4636" t="s">
        <v>1687</v>
      </c>
      <c r="H4636" s="10">
        <v>91185</v>
      </c>
      <c r="I4636">
        <f>IFERROR(VLOOKUP(Final!F4636,'LEAID Match'!$A$2:$B$374,2,FALSE),"")</f>
        <v>402480</v>
      </c>
      <c r="K4636" s="10">
        <f t="shared" si="72"/>
        <v>91185</v>
      </c>
    </row>
    <row r="4637" spans="1:11">
      <c r="A4637">
        <v>402480</v>
      </c>
      <c r="B4637" s="10">
        <v>2021</v>
      </c>
      <c r="C4637" t="s">
        <v>551</v>
      </c>
      <c r="D4637" t="s">
        <v>2472</v>
      </c>
      <c r="E4637" t="s">
        <v>2474</v>
      </c>
      <c r="F4637" t="s">
        <v>1687</v>
      </c>
      <c r="G4637" t="s">
        <v>1687</v>
      </c>
      <c r="H4637" s="10">
        <v>104654</v>
      </c>
      <c r="I4637">
        <f>IFERROR(VLOOKUP(Final!F4637,'LEAID Match'!$A$2:$B$374,2,FALSE),"")</f>
        <v>402480</v>
      </c>
      <c r="K4637" s="10">
        <f t="shared" si="72"/>
        <v>104654</v>
      </c>
    </row>
    <row r="4638" spans="1:11">
      <c r="A4638">
        <v>402480</v>
      </c>
      <c r="B4638" s="10">
        <v>2022</v>
      </c>
      <c r="C4638" t="s">
        <v>551</v>
      </c>
      <c r="D4638" t="s">
        <v>2472</v>
      </c>
      <c r="E4638" t="s">
        <v>2474</v>
      </c>
      <c r="F4638" t="s">
        <v>1687</v>
      </c>
      <c r="G4638" t="s">
        <v>1687</v>
      </c>
      <c r="H4638" s="10">
        <v>113482</v>
      </c>
      <c r="I4638">
        <f>IFERROR(VLOOKUP(Final!F4638,'LEAID Match'!$A$2:$B$374,2,FALSE),"")</f>
        <v>402480</v>
      </c>
      <c r="K4638" s="10">
        <f t="shared" si="72"/>
        <v>113482</v>
      </c>
    </row>
    <row r="4639" spans="1:11">
      <c r="A4639">
        <v>402480</v>
      </c>
      <c r="B4639" s="10">
        <v>2023</v>
      </c>
      <c r="C4639" t="s">
        <v>551</v>
      </c>
      <c r="D4639" t="s">
        <v>2472</v>
      </c>
      <c r="E4639" t="s">
        <v>2474</v>
      </c>
      <c r="F4639" t="s">
        <v>1687</v>
      </c>
      <c r="G4639" t="s">
        <v>1687</v>
      </c>
      <c r="H4639" s="10">
        <v>116617</v>
      </c>
      <c r="I4639">
        <f>IFERROR(VLOOKUP(Final!F4639,'LEAID Match'!$A$2:$B$374,2,FALSE),"")</f>
        <v>402480</v>
      </c>
      <c r="K4639" s="10">
        <f t="shared" si="72"/>
        <v>116617</v>
      </c>
    </row>
    <row r="4640" spans="1:11">
      <c r="A4640" t="s">
        <v>2470</v>
      </c>
      <c r="B4640" s="10">
        <v>2015</v>
      </c>
      <c r="C4640" t="s">
        <v>565</v>
      </c>
      <c r="D4640" t="s">
        <v>2472</v>
      </c>
      <c r="E4640" t="s">
        <v>2474</v>
      </c>
      <c r="F4640" t="s">
        <v>510</v>
      </c>
      <c r="G4640" t="s">
        <v>510</v>
      </c>
      <c r="H4640" s="10">
        <v>2038136</v>
      </c>
      <c r="I4640" t="str">
        <f>IFERROR(VLOOKUP(Final!F4640,'LEAID Match'!$A$2:$B$374,2,FALSE),"")</f>
        <v/>
      </c>
      <c r="K4640" s="10">
        <f t="shared" si="72"/>
        <v>2038136</v>
      </c>
    </row>
    <row r="4641" spans="1:11">
      <c r="A4641" t="s">
        <v>2470</v>
      </c>
      <c r="B4641" s="10">
        <v>2016</v>
      </c>
      <c r="C4641" t="s">
        <v>565</v>
      </c>
      <c r="D4641" t="s">
        <v>2472</v>
      </c>
      <c r="E4641" t="s">
        <v>2474</v>
      </c>
      <c r="F4641" t="s">
        <v>510</v>
      </c>
      <c r="G4641" t="s">
        <v>510</v>
      </c>
      <c r="H4641" s="10">
        <v>2091235</v>
      </c>
      <c r="I4641" t="str">
        <f>IFERROR(VLOOKUP(Final!F4641,'LEAID Match'!$A$2:$B$374,2,FALSE),"")</f>
        <v/>
      </c>
      <c r="K4641" s="10">
        <f t="shared" si="72"/>
        <v>2091235</v>
      </c>
    </row>
    <row r="4642" spans="1:11">
      <c r="A4642" t="s">
        <v>2470</v>
      </c>
      <c r="B4642" s="10">
        <v>2017</v>
      </c>
      <c r="C4642" t="s">
        <v>565</v>
      </c>
      <c r="D4642" t="s">
        <v>2472</v>
      </c>
      <c r="E4642" t="s">
        <v>2474</v>
      </c>
      <c r="F4642" t="s">
        <v>510</v>
      </c>
      <c r="G4642" t="s">
        <v>510</v>
      </c>
      <c r="H4642" s="10">
        <v>2065841</v>
      </c>
      <c r="I4642" t="str">
        <f>IFERROR(VLOOKUP(Final!F4642,'LEAID Match'!$A$2:$B$374,2,FALSE),"")</f>
        <v/>
      </c>
      <c r="K4642" s="10">
        <f t="shared" si="72"/>
        <v>2065841</v>
      </c>
    </row>
    <row r="4643" spans="1:11">
      <c r="A4643" t="s">
        <v>2470</v>
      </c>
      <c r="B4643" s="10">
        <v>2018</v>
      </c>
      <c r="C4643" t="s">
        <v>565</v>
      </c>
      <c r="D4643" t="s">
        <v>2472</v>
      </c>
      <c r="E4643" t="s">
        <v>2474</v>
      </c>
      <c r="F4643" t="s">
        <v>510</v>
      </c>
      <c r="G4643" t="s">
        <v>510</v>
      </c>
      <c r="H4643" s="10">
        <v>2088689</v>
      </c>
      <c r="I4643" t="str">
        <f>IFERROR(VLOOKUP(Final!F4643,'LEAID Match'!$A$2:$B$374,2,FALSE),"")</f>
        <v/>
      </c>
      <c r="K4643" s="10">
        <f t="shared" si="72"/>
        <v>2088689</v>
      </c>
    </row>
    <row r="4644" spans="1:11">
      <c r="A4644" t="s">
        <v>2470</v>
      </c>
      <c r="B4644" s="10">
        <v>2019</v>
      </c>
      <c r="C4644" t="s">
        <v>565</v>
      </c>
      <c r="D4644" t="s">
        <v>2472</v>
      </c>
      <c r="E4644" t="s">
        <v>2474</v>
      </c>
      <c r="F4644" t="s">
        <v>510</v>
      </c>
      <c r="G4644" t="s">
        <v>510</v>
      </c>
      <c r="H4644" s="10">
        <v>2130772</v>
      </c>
      <c r="I4644" t="str">
        <f>IFERROR(VLOOKUP(Final!F4644,'LEAID Match'!$A$2:$B$374,2,FALSE),"")</f>
        <v/>
      </c>
      <c r="K4644" s="10">
        <f t="shared" si="72"/>
        <v>2130772</v>
      </c>
    </row>
    <row r="4645" spans="1:11">
      <c r="A4645" t="s">
        <v>2470</v>
      </c>
      <c r="B4645" s="10">
        <v>2020</v>
      </c>
      <c r="C4645" t="s">
        <v>565</v>
      </c>
      <c r="D4645" t="s">
        <v>2472</v>
      </c>
      <c r="E4645" t="s">
        <v>2474</v>
      </c>
      <c r="F4645" t="s">
        <v>510</v>
      </c>
      <c r="G4645" t="s">
        <v>510</v>
      </c>
      <c r="H4645" s="10">
        <v>2127876</v>
      </c>
      <c r="I4645" t="str">
        <f>IFERROR(VLOOKUP(Final!F4645,'LEAID Match'!$A$2:$B$374,2,FALSE),"")</f>
        <v/>
      </c>
      <c r="K4645" s="10">
        <f t="shared" si="72"/>
        <v>2127876</v>
      </c>
    </row>
    <row r="4646" spans="1:11">
      <c r="A4646" t="s">
        <v>2470</v>
      </c>
      <c r="B4646" s="10">
        <v>2021</v>
      </c>
      <c r="C4646" t="s">
        <v>565</v>
      </c>
      <c r="D4646" t="s">
        <v>2472</v>
      </c>
      <c r="E4646" t="s">
        <v>2474</v>
      </c>
      <c r="F4646" t="s">
        <v>510</v>
      </c>
      <c r="G4646" t="s">
        <v>510</v>
      </c>
      <c r="H4646" s="10">
        <v>2086023</v>
      </c>
      <c r="I4646" t="str">
        <f>IFERROR(VLOOKUP(Final!F4646,'LEAID Match'!$A$2:$B$374,2,FALSE),"")</f>
        <v/>
      </c>
      <c r="K4646" s="10">
        <f t="shared" si="72"/>
        <v>2086023</v>
      </c>
    </row>
    <row r="4647" spans="1:11">
      <c r="A4647" t="s">
        <v>2470</v>
      </c>
      <c r="B4647" s="10">
        <v>2022</v>
      </c>
      <c r="C4647" t="s">
        <v>565</v>
      </c>
      <c r="D4647" t="s">
        <v>2472</v>
      </c>
      <c r="E4647" t="s">
        <v>2474</v>
      </c>
      <c r="F4647" t="s">
        <v>510</v>
      </c>
      <c r="G4647" t="s">
        <v>510</v>
      </c>
      <c r="H4647" s="10">
        <v>2268412</v>
      </c>
      <c r="I4647" t="str">
        <f>IFERROR(VLOOKUP(Final!F4647,'LEAID Match'!$A$2:$B$374,2,FALSE),"")</f>
        <v/>
      </c>
      <c r="K4647" s="10">
        <f t="shared" si="72"/>
        <v>2268412</v>
      </c>
    </row>
    <row r="4648" spans="1:11">
      <c r="A4648" t="s">
        <v>2470</v>
      </c>
      <c r="B4648" s="10">
        <v>2023</v>
      </c>
      <c r="C4648" t="s">
        <v>565</v>
      </c>
      <c r="D4648" t="s">
        <v>2472</v>
      </c>
      <c r="E4648" t="s">
        <v>2474</v>
      </c>
      <c r="F4648" t="s">
        <v>510</v>
      </c>
      <c r="G4648" t="s">
        <v>510</v>
      </c>
      <c r="H4648" s="10">
        <v>2491599</v>
      </c>
      <c r="I4648" t="str">
        <f>IFERROR(VLOOKUP(Final!F4648,'LEAID Match'!$A$2:$B$374,2,FALSE),"")</f>
        <v/>
      </c>
      <c r="K4648" s="10">
        <f t="shared" si="72"/>
        <v>2491599</v>
      </c>
    </row>
    <row r="4649" spans="1:11">
      <c r="A4649">
        <v>400860</v>
      </c>
      <c r="B4649" s="10">
        <v>2015</v>
      </c>
      <c r="C4649" t="s">
        <v>677</v>
      </c>
      <c r="D4649" t="s">
        <v>2472</v>
      </c>
      <c r="E4649" t="s">
        <v>2474</v>
      </c>
      <c r="F4649" t="s">
        <v>622</v>
      </c>
      <c r="G4649" t="s">
        <v>622</v>
      </c>
      <c r="H4649" s="10">
        <v>5640</v>
      </c>
      <c r="I4649">
        <f>IFERROR(VLOOKUP(Final!F4649,'LEAID Match'!$A$2:$B$374,2,FALSE),"")</f>
        <v>400860</v>
      </c>
      <c r="K4649" s="10">
        <f t="shared" si="72"/>
        <v>5640</v>
      </c>
    </row>
    <row r="4650" spans="1:11">
      <c r="A4650">
        <v>400860</v>
      </c>
      <c r="B4650" s="10">
        <v>2016</v>
      </c>
      <c r="C4650" t="s">
        <v>677</v>
      </c>
      <c r="D4650" t="s">
        <v>2472</v>
      </c>
      <c r="E4650" t="s">
        <v>2474</v>
      </c>
      <c r="F4650" t="s">
        <v>622</v>
      </c>
      <c r="G4650" t="s">
        <v>622</v>
      </c>
      <c r="H4650" s="10">
        <v>5583</v>
      </c>
      <c r="I4650">
        <f>IFERROR(VLOOKUP(Final!F4650,'LEAID Match'!$A$2:$B$374,2,FALSE),"")</f>
        <v>400860</v>
      </c>
      <c r="K4650" s="10">
        <f t="shared" si="72"/>
        <v>5583</v>
      </c>
    </row>
    <row r="4651" spans="1:11">
      <c r="A4651">
        <v>400860</v>
      </c>
      <c r="B4651" s="10">
        <v>2017</v>
      </c>
      <c r="C4651" t="s">
        <v>677</v>
      </c>
      <c r="D4651" t="s">
        <v>2472</v>
      </c>
      <c r="E4651" t="s">
        <v>2474</v>
      </c>
      <c r="F4651" t="s">
        <v>622</v>
      </c>
      <c r="G4651" t="s">
        <v>622</v>
      </c>
      <c r="H4651" s="10">
        <v>5713</v>
      </c>
      <c r="I4651">
        <f>IFERROR(VLOOKUP(Final!F4651,'LEAID Match'!$A$2:$B$374,2,FALSE),"")</f>
        <v>400860</v>
      </c>
      <c r="K4651" s="10">
        <f t="shared" si="72"/>
        <v>5713</v>
      </c>
    </row>
    <row r="4652" spans="1:11">
      <c r="A4652">
        <v>400860</v>
      </c>
      <c r="B4652" s="10">
        <v>2018</v>
      </c>
      <c r="C4652" t="s">
        <v>677</v>
      </c>
      <c r="D4652" t="s">
        <v>2472</v>
      </c>
      <c r="E4652" t="s">
        <v>2474</v>
      </c>
      <c r="F4652" t="s">
        <v>622</v>
      </c>
      <c r="G4652" t="s">
        <v>622</v>
      </c>
      <c r="H4652" s="10">
        <v>5848</v>
      </c>
      <c r="I4652">
        <f>IFERROR(VLOOKUP(Final!F4652,'LEAID Match'!$A$2:$B$374,2,FALSE),"")</f>
        <v>400860</v>
      </c>
      <c r="K4652" s="10">
        <f t="shared" si="72"/>
        <v>5848</v>
      </c>
    </row>
    <row r="4653" spans="1:11">
      <c r="A4653">
        <v>400860</v>
      </c>
      <c r="B4653" s="10">
        <v>2019</v>
      </c>
      <c r="C4653" t="s">
        <v>677</v>
      </c>
      <c r="D4653" t="s">
        <v>2472</v>
      </c>
      <c r="E4653" t="s">
        <v>2474</v>
      </c>
      <c r="F4653" t="s">
        <v>622</v>
      </c>
      <c r="G4653" t="s">
        <v>622</v>
      </c>
      <c r="H4653" s="10"/>
      <c r="I4653">
        <f>IFERROR(VLOOKUP(Final!F4653,'LEAID Match'!$A$2:$B$374,2,FALSE),"")</f>
        <v>400860</v>
      </c>
      <c r="K4653" s="10">
        <f t="shared" si="72"/>
        <v>0</v>
      </c>
    </row>
    <row r="4654" spans="1:11">
      <c r="A4654">
        <v>400860</v>
      </c>
      <c r="B4654" s="10">
        <v>2020</v>
      </c>
      <c r="C4654" t="s">
        <v>677</v>
      </c>
      <c r="D4654" t="s">
        <v>2472</v>
      </c>
      <c r="E4654" t="s">
        <v>2474</v>
      </c>
      <c r="F4654" t="s">
        <v>622</v>
      </c>
      <c r="G4654" t="s">
        <v>622</v>
      </c>
      <c r="H4654" s="10"/>
      <c r="I4654">
        <f>IFERROR(VLOOKUP(Final!F4654,'LEAID Match'!$A$2:$B$374,2,FALSE),"")</f>
        <v>400860</v>
      </c>
      <c r="K4654" s="10">
        <f t="shared" si="72"/>
        <v>0</v>
      </c>
    </row>
    <row r="4655" spans="1:11">
      <c r="A4655">
        <v>400860</v>
      </c>
      <c r="B4655" s="10">
        <v>2021</v>
      </c>
      <c r="C4655" t="s">
        <v>677</v>
      </c>
      <c r="D4655" t="s">
        <v>2472</v>
      </c>
      <c r="E4655" t="s">
        <v>2474</v>
      </c>
      <c r="F4655" t="s">
        <v>622</v>
      </c>
      <c r="G4655" t="s">
        <v>622</v>
      </c>
      <c r="H4655" s="10">
        <v>466</v>
      </c>
      <c r="I4655">
        <f>IFERROR(VLOOKUP(Final!F4655,'LEAID Match'!$A$2:$B$374,2,FALSE),"")</f>
        <v>400860</v>
      </c>
      <c r="K4655" s="10">
        <f t="shared" si="72"/>
        <v>466</v>
      </c>
    </row>
    <row r="4656" spans="1:11">
      <c r="A4656">
        <v>400860</v>
      </c>
      <c r="B4656" s="10">
        <v>2022</v>
      </c>
      <c r="C4656" t="s">
        <v>677</v>
      </c>
      <c r="D4656" t="s">
        <v>2472</v>
      </c>
      <c r="E4656" t="s">
        <v>2474</v>
      </c>
      <c r="F4656" t="s">
        <v>622</v>
      </c>
      <c r="G4656" t="s">
        <v>622</v>
      </c>
      <c r="H4656" s="10"/>
      <c r="I4656">
        <f>IFERROR(VLOOKUP(Final!F4656,'LEAID Match'!$A$2:$B$374,2,FALSE),"")</f>
        <v>400860</v>
      </c>
      <c r="K4656" s="10">
        <f t="shared" si="72"/>
        <v>0</v>
      </c>
    </row>
    <row r="4657" spans="1:11">
      <c r="A4657">
        <v>400860</v>
      </c>
      <c r="B4657" s="10">
        <v>2023</v>
      </c>
      <c r="C4657" t="s">
        <v>677</v>
      </c>
      <c r="D4657" t="s">
        <v>2472</v>
      </c>
      <c r="E4657" t="s">
        <v>2474</v>
      </c>
      <c r="F4657" t="s">
        <v>622</v>
      </c>
      <c r="G4657" t="s">
        <v>622</v>
      </c>
      <c r="H4657" s="10"/>
      <c r="I4657">
        <f>IFERROR(VLOOKUP(Final!F4657,'LEAID Match'!$A$2:$B$374,2,FALSE),"")</f>
        <v>400860</v>
      </c>
      <c r="K4657" s="10">
        <f t="shared" si="72"/>
        <v>0</v>
      </c>
    </row>
    <row r="4658" spans="1:11">
      <c r="A4658">
        <v>400349</v>
      </c>
      <c r="B4658" s="10">
        <v>2015</v>
      </c>
      <c r="C4658" t="s">
        <v>663</v>
      </c>
      <c r="D4658" t="s">
        <v>2472</v>
      </c>
      <c r="E4658" t="s">
        <v>2474</v>
      </c>
      <c r="F4658" t="s">
        <v>608</v>
      </c>
      <c r="G4658" t="s">
        <v>608</v>
      </c>
      <c r="H4658" s="10">
        <v>24394</v>
      </c>
      <c r="I4658">
        <f>IFERROR(VLOOKUP(Final!F4658,'LEAID Match'!$A$2:$B$374,2,FALSE),"")</f>
        <v>400349</v>
      </c>
      <c r="K4658" s="10">
        <f t="shared" si="72"/>
        <v>24394</v>
      </c>
    </row>
    <row r="4659" spans="1:11">
      <c r="A4659">
        <v>400349</v>
      </c>
      <c r="B4659" s="10">
        <v>2016</v>
      </c>
      <c r="C4659" t="s">
        <v>663</v>
      </c>
      <c r="D4659" t="s">
        <v>2472</v>
      </c>
      <c r="E4659" t="s">
        <v>2474</v>
      </c>
      <c r="F4659" t="s">
        <v>608</v>
      </c>
      <c r="G4659" t="s">
        <v>608</v>
      </c>
      <c r="H4659" s="10">
        <v>25970</v>
      </c>
      <c r="I4659">
        <f>IFERROR(VLOOKUP(Final!F4659,'LEAID Match'!$A$2:$B$374,2,FALSE),"")</f>
        <v>400349</v>
      </c>
      <c r="K4659" s="10">
        <f t="shared" si="72"/>
        <v>25970</v>
      </c>
    </row>
    <row r="4660" spans="1:11">
      <c r="A4660">
        <v>400349</v>
      </c>
      <c r="B4660" s="10">
        <v>2017</v>
      </c>
      <c r="C4660" t="s">
        <v>663</v>
      </c>
      <c r="D4660" t="s">
        <v>2472</v>
      </c>
      <c r="E4660" t="s">
        <v>2474</v>
      </c>
      <c r="F4660" t="s">
        <v>608</v>
      </c>
      <c r="G4660" t="s">
        <v>608</v>
      </c>
      <c r="H4660" s="10">
        <v>26483</v>
      </c>
      <c r="I4660">
        <f>IFERROR(VLOOKUP(Final!F4660,'LEAID Match'!$A$2:$B$374,2,FALSE),"")</f>
        <v>400349</v>
      </c>
      <c r="K4660" s="10">
        <f t="shared" si="72"/>
        <v>26483</v>
      </c>
    </row>
    <row r="4661" spans="1:11">
      <c r="A4661">
        <v>400349</v>
      </c>
      <c r="B4661" s="10">
        <v>2018</v>
      </c>
      <c r="C4661" t="s">
        <v>663</v>
      </c>
      <c r="D4661" t="s">
        <v>2472</v>
      </c>
      <c r="E4661" t="s">
        <v>2474</v>
      </c>
      <c r="F4661" t="s">
        <v>608</v>
      </c>
      <c r="G4661" t="s">
        <v>608</v>
      </c>
      <c r="H4661" s="10">
        <v>28036</v>
      </c>
      <c r="I4661">
        <f>IFERROR(VLOOKUP(Final!F4661,'LEAID Match'!$A$2:$B$374,2,FALSE),"")</f>
        <v>400349</v>
      </c>
      <c r="K4661" s="10">
        <f t="shared" si="72"/>
        <v>28036</v>
      </c>
    </row>
    <row r="4662" spans="1:11">
      <c r="A4662">
        <v>400349</v>
      </c>
      <c r="B4662" s="10">
        <v>2019</v>
      </c>
      <c r="C4662" t="s">
        <v>663</v>
      </c>
      <c r="D4662" t="s">
        <v>2472</v>
      </c>
      <c r="E4662" t="s">
        <v>2474</v>
      </c>
      <c r="F4662" t="s">
        <v>608</v>
      </c>
      <c r="G4662" t="s">
        <v>608</v>
      </c>
      <c r="H4662" s="10">
        <v>30032</v>
      </c>
      <c r="I4662">
        <f>IFERROR(VLOOKUP(Final!F4662,'LEAID Match'!$A$2:$B$374,2,FALSE),"")</f>
        <v>400349</v>
      </c>
      <c r="K4662" s="10">
        <f t="shared" si="72"/>
        <v>30032</v>
      </c>
    </row>
    <row r="4663" spans="1:11">
      <c r="A4663">
        <v>400349</v>
      </c>
      <c r="B4663" s="10">
        <v>2020</v>
      </c>
      <c r="C4663" t="s">
        <v>663</v>
      </c>
      <c r="D4663" t="s">
        <v>2472</v>
      </c>
      <c r="E4663" t="s">
        <v>2474</v>
      </c>
      <c r="F4663" t="s">
        <v>608</v>
      </c>
      <c r="G4663" t="s">
        <v>608</v>
      </c>
      <c r="H4663" s="10">
        <v>32491</v>
      </c>
      <c r="I4663">
        <f>IFERROR(VLOOKUP(Final!F4663,'LEAID Match'!$A$2:$B$374,2,FALSE),"")</f>
        <v>400349</v>
      </c>
      <c r="K4663" s="10">
        <f t="shared" si="72"/>
        <v>32491</v>
      </c>
    </row>
    <row r="4664" spans="1:11">
      <c r="A4664">
        <v>400349</v>
      </c>
      <c r="B4664" s="10">
        <v>2021</v>
      </c>
      <c r="C4664" t="s">
        <v>663</v>
      </c>
      <c r="D4664" t="s">
        <v>2472</v>
      </c>
      <c r="E4664" t="s">
        <v>2474</v>
      </c>
      <c r="F4664" t="s">
        <v>608</v>
      </c>
      <c r="G4664" t="s">
        <v>608</v>
      </c>
      <c r="H4664" s="10">
        <v>32279</v>
      </c>
      <c r="I4664">
        <f>IFERROR(VLOOKUP(Final!F4664,'LEAID Match'!$A$2:$B$374,2,FALSE),"")</f>
        <v>400349</v>
      </c>
      <c r="K4664" s="10">
        <f t="shared" si="72"/>
        <v>32279</v>
      </c>
    </row>
    <row r="4665" spans="1:11">
      <c r="A4665">
        <v>400349</v>
      </c>
      <c r="B4665" s="10">
        <v>2022</v>
      </c>
      <c r="C4665" t="s">
        <v>663</v>
      </c>
      <c r="D4665" t="s">
        <v>2472</v>
      </c>
      <c r="E4665" t="s">
        <v>2474</v>
      </c>
      <c r="F4665" t="s">
        <v>608</v>
      </c>
      <c r="G4665" t="s">
        <v>608</v>
      </c>
      <c r="H4665" s="10">
        <v>35046</v>
      </c>
      <c r="I4665">
        <f>IFERROR(VLOOKUP(Final!F4665,'LEAID Match'!$A$2:$B$374,2,FALSE),"")</f>
        <v>400349</v>
      </c>
      <c r="K4665" s="10">
        <f t="shared" si="72"/>
        <v>35046</v>
      </c>
    </row>
    <row r="4666" spans="1:11">
      <c r="A4666">
        <v>400349</v>
      </c>
      <c r="B4666" s="10">
        <v>2023</v>
      </c>
      <c r="C4666" t="s">
        <v>663</v>
      </c>
      <c r="D4666" t="s">
        <v>2472</v>
      </c>
      <c r="E4666" t="s">
        <v>2474</v>
      </c>
      <c r="F4666" t="s">
        <v>608</v>
      </c>
      <c r="G4666" t="s">
        <v>608</v>
      </c>
      <c r="H4666" s="10">
        <v>32416</v>
      </c>
      <c r="I4666">
        <f>IFERROR(VLOOKUP(Final!F4666,'LEAID Match'!$A$2:$B$374,2,FALSE),"")</f>
        <v>400349</v>
      </c>
      <c r="K4666" s="10">
        <f t="shared" si="72"/>
        <v>32416</v>
      </c>
    </row>
    <row r="4667" spans="1:11">
      <c r="A4667">
        <v>402600</v>
      </c>
      <c r="B4667" s="10">
        <v>2015</v>
      </c>
      <c r="C4667" t="s">
        <v>561</v>
      </c>
      <c r="D4667" t="s">
        <v>2472</v>
      </c>
      <c r="E4667" t="s">
        <v>2474</v>
      </c>
      <c r="F4667" t="s">
        <v>1694</v>
      </c>
      <c r="G4667" t="s">
        <v>506</v>
      </c>
      <c r="H4667" s="10">
        <v>214363</v>
      </c>
      <c r="I4667">
        <f>IFERROR(VLOOKUP(Final!F4667,'LEAID Match'!$A$2:$B$374,2,FALSE),"")</f>
        <v>402600</v>
      </c>
      <c r="K4667" s="10">
        <f t="shared" si="72"/>
        <v>214363</v>
      </c>
    </row>
    <row r="4668" spans="1:11">
      <c r="A4668">
        <v>402600</v>
      </c>
      <c r="B4668" s="10">
        <v>2016</v>
      </c>
      <c r="C4668" t="s">
        <v>561</v>
      </c>
      <c r="D4668" t="s">
        <v>2472</v>
      </c>
      <c r="E4668" t="s">
        <v>2474</v>
      </c>
      <c r="F4668" t="s">
        <v>1694</v>
      </c>
      <c r="G4668" t="s">
        <v>506</v>
      </c>
      <c r="H4668" s="10">
        <v>206365</v>
      </c>
      <c r="I4668">
        <f>IFERROR(VLOOKUP(Final!F4668,'LEAID Match'!$A$2:$B$374,2,FALSE),"")</f>
        <v>402600</v>
      </c>
      <c r="K4668" s="10">
        <f t="shared" si="72"/>
        <v>206365</v>
      </c>
    </row>
    <row r="4669" spans="1:11">
      <c r="A4669">
        <v>402600</v>
      </c>
      <c r="B4669" s="10">
        <v>2017</v>
      </c>
      <c r="C4669" t="s">
        <v>561</v>
      </c>
      <c r="D4669" t="s">
        <v>2472</v>
      </c>
      <c r="E4669" t="s">
        <v>2474</v>
      </c>
      <c r="F4669" t="s">
        <v>1694</v>
      </c>
      <c r="G4669" t="s">
        <v>1694</v>
      </c>
      <c r="H4669" s="10">
        <v>210007</v>
      </c>
      <c r="I4669">
        <f>IFERROR(VLOOKUP(Final!F4669,'LEAID Match'!$A$2:$B$374,2,FALSE),"")</f>
        <v>402600</v>
      </c>
      <c r="K4669" s="10">
        <f t="shared" si="72"/>
        <v>210007</v>
      </c>
    </row>
    <row r="4670" spans="1:11">
      <c r="A4670">
        <v>402600</v>
      </c>
      <c r="B4670" s="10">
        <v>2018</v>
      </c>
      <c r="C4670" t="s">
        <v>561</v>
      </c>
      <c r="D4670" t="s">
        <v>2472</v>
      </c>
      <c r="E4670" t="s">
        <v>2474</v>
      </c>
      <c r="F4670" t="s">
        <v>1694</v>
      </c>
      <c r="G4670" t="s">
        <v>1694</v>
      </c>
      <c r="H4670" s="10">
        <v>202868</v>
      </c>
      <c r="I4670">
        <f>IFERROR(VLOOKUP(Final!F4670,'LEAID Match'!$A$2:$B$374,2,FALSE),"")</f>
        <v>402600</v>
      </c>
      <c r="K4670" s="10">
        <f t="shared" si="72"/>
        <v>202868</v>
      </c>
    </row>
    <row r="4671" spans="1:11">
      <c r="A4671">
        <v>402600</v>
      </c>
      <c r="B4671" s="10">
        <v>2019</v>
      </c>
      <c r="C4671" t="s">
        <v>561</v>
      </c>
      <c r="D4671" t="s">
        <v>2472</v>
      </c>
      <c r="E4671" t="s">
        <v>2474</v>
      </c>
      <c r="F4671" t="s">
        <v>1694</v>
      </c>
      <c r="G4671" t="s">
        <v>1694</v>
      </c>
      <c r="H4671" s="10">
        <v>195904</v>
      </c>
      <c r="I4671">
        <f>IFERROR(VLOOKUP(Final!F4671,'LEAID Match'!$A$2:$B$374,2,FALSE),"")</f>
        <v>402600</v>
      </c>
      <c r="K4671" s="10">
        <f t="shared" si="72"/>
        <v>195904</v>
      </c>
    </row>
    <row r="4672" spans="1:11">
      <c r="A4672">
        <v>402600</v>
      </c>
      <c r="B4672" s="10">
        <v>2020</v>
      </c>
      <c r="C4672" t="s">
        <v>561</v>
      </c>
      <c r="D4672" t="s">
        <v>2472</v>
      </c>
      <c r="E4672" t="s">
        <v>2474</v>
      </c>
      <c r="F4672" t="s">
        <v>1694</v>
      </c>
      <c r="G4672" t="s">
        <v>1694</v>
      </c>
      <c r="H4672" s="10">
        <v>226520</v>
      </c>
      <c r="I4672">
        <f>IFERROR(VLOOKUP(Final!F4672,'LEAID Match'!$A$2:$B$374,2,FALSE),"")</f>
        <v>402600</v>
      </c>
      <c r="K4672" s="10">
        <f t="shared" si="72"/>
        <v>226520</v>
      </c>
    </row>
    <row r="4673" spans="1:11">
      <c r="A4673">
        <v>402600</v>
      </c>
      <c r="B4673" s="10">
        <v>2021</v>
      </c>
      <c r="C4673" t="s">
        <v>561</v>
      </c>
      <c r="D4673" t="s">
        <v>2472</v>
      </c>
      <c r="E4673" t="s">
        <v>2474</v>
      </c>
      <c r="F4673" t="s">
        <v>1694</v>
      </c>
      <c r="G4673" t="s">
        <v>1694</v>
      </c>
      <c r="H4673" s="10">
        <v>238215</v>
      </c>
      <c r="I4673">
        <f>IFERROR(VLOOKUP(Final!F4673,'LEAID Match'!$A$2:$B$374,2,FALSE),"")</f>
        <v>402600</v>
      </c>
      <c r="K4673" s="10">
        <f t="shared" si="72"/>
        <v>238215</v>
      </c>
    </row>
    <row r="4674" spans="1:11">
      <c r="A4674">
        <v>402600</v>
      </c>
      <c r="B4674" s="10">
        <v>2022</v>
      </c>
      <c r="C4674" t="s">
        <v>561</v>
      </c>
      <c r="D4674" t="s">
        <v>2472</v>
      </c>
      <c r="E4674" t="s">
        <v>2474</v>
      </c>
      <c r="F4674" t="s">
        <v>1694</v>
      </c>
      <c r="G4674" t="s">
        <v>1694</v>
      </c>
      <c r="H4674" s="10">
        <v>294296</v>
      </c>
      <c r="I4674">
        <f>IFERROR(VLOOKUP(Final!F4674,'LEAID Match'!$A$2:$B$374,2,FALSE),"")</f>
        <v>402600</v>
      </c>
      <c r="K4674" s="10">
        <f t="shared" si="72"/>
        <v>294296</v>
      </c>
    </row>
    <row r="4675" spans="1:11">
      <c r="A4675">
        <v>402600</v>
      </c>
      <c r="B4675" s="10">
        <v>2023</v>
      </c>
      <c r="C4675" t="s">
        <v>561</v>
      </c>
      <c r="D4675" t="s">
        <v>2472</v>
      </c>
      <c r="E4675" t="s">
        <v>2474</v>
      </c>
      <c r="F4675" t="s">
        <v>1694</v>
      </c>
      <c r="G4675" t="s">
        <v>1694</v>
      </c>
      <c r="H4675" s="10">
        <v>277896</v>
      </c>
      <c r="I4675">
        <f>IFERROR(VLOOKUP(Final!F4675,'LEAID Match'!$A$2:$B$374,2,FALSE),"")</f>
        <v>402600</v>
      </c>
      <c r="K4675" s="10">
        <f t="shared" ref="K4675:K4738" si="73">SUM(H4675,J4675)</f>
        <v>277896</v>
      </c>
    </row>
    <row r="4676" spans="1:11">
      <c r="A4676">
        <v>402110</v>
      </c>
      <c r="B4676" s="10">
        <v>2015</v>
      </c>
      <c r="C4676" t="s">
        <v>469</v>
      </c>
      <c r="D4676" t="s">
        <v>2472</v>
      </c>
      <c r="E4676" t="s">
        <v>2474</v>
      </c>
      <c r="F4676" t="s">
        <v>1664</v>
      </c>
      <c r="G4676" t="s">
        <v>414</v>
      </c>
      <c r="H4676" s="10">
        <v>14398</v>
      </c>
      <c r="I4676">
        <f>IFERROR(VLOOKUP(Final!F4676,'LEAID Match'!$A$2:$B$374,2,FALSE),"")</f>
        <v>402110</v>
      </c>
      <c r="K4676" s="10">
        <f t="shared" si="73"/>
        <v>14398</v>
      </c>
    </row>
    <row r="4677" spans="1:11">
      <c r="A4677">
        <v>402110</v>
      </c>
      <c r="B4677" s="10">
        <v>2016</v>
      </c>
      <c r="C4677" t="s">
        <v>469</v>
      </c>
      <c r="D4677" t="s">
        <v>2472</v>
      </c>
      <c r="E4677" t="s">
        <v>2474</v>
      </c>
      <c r="F4677" t="s">
        <v>1664</v>
      </c>
      <c r="G4677" t="s">
        <v>414</v>
      </c>
      <c r="H4677" s="10"/>
      <c r="I4677">
        <f>IFERROR(VLOOKUP(Final!F4677,'LEAID Match'!$A$2:$B$374,2,FALSE),"")</f>
        <v>402110</v>
      </c>
      <c r="K4677" s="10">
        <f t="shared" si="73"/>
        <v>0</v>
      </c>
    </row>
    <row r="4678" spans="1:11">
      <c r="A4678">
        <v>402110</v>
      </c>
      <c r="B4678" s="10">
        <v>2017</v>
      </c>
      <c r="C4678" t="s">
        <v>469</v>
      </c>
      <c r="D4678" t="s">
        <v>2472</v>
      </c>
      <c r="E4678" t="s">
        <v>2474</v>
      </c>
      <c r="F4678" t="s">
        <v>1664</v>
      </c>
      <c r="G4678" t="s">
        <v>1664</v>
      </c>
      <c r="H4678" s="10"/>
      <c r="I4678">
        <f>IFERROR(VLOOKUP(Final!F4678,'LEAID Match'!$A$2:$B$374,2,FALSE),"")</f>
        <v>402110</v>
      </c>
      <c r="K4678" s="10">
        <f t="shared" si="73"/>
        <v>0</v>
      </c>
    </row>
    <row r="4679" spans="1:11">
      <c r="A4679">
        <v>402110</v>
      </c>
      <c r="B4679" s="10">
        <v>2018</v>
      </c>
      <c r="C4679" t="s">
        <v>469</v>
      </c>
      <c r="D4679" t="s">
        <v>2472</v>
      </c>
      <c r="E4679" t="s">
        <v>2474</v>
      </c>
      <c r="F4679" t="s">
        <v>1664</v>
      </c>
      <c r="G4679" t="s">
        <v>1664</v>
      </c>
      <c r="H4679" s="10"/>
      <c r="I4679">
        <f>IFERROR(VLOOKUP(Final!F4679,'LEAID Match'!$A$2:$B$374,2,FALSE),"")</f>
        <v>402110</v>
      </c>
      <c r="K4679" s="10">
        <f t="shared" si="73"/>
        <v>0</v>
      </c>
    </row>
    <row r="4680" spans="1:11">
      <c r="A4680">
        <v>402110</v>
      </c>
      <c r="B4680" s="10">
        <v>2019</v>
      </c>
      <c r="C4680" t="s">
        <v>469</v>
      </c>
      <c r="D4680" t="s">
        <v>2472</v>
      </c>
      <c r="E4680" t="s">
        <v>2474</v>
      </c>
      <c r="F4680" t="s">
        <v>1664</v>
      </c>
      <c r="G4680" t="s">
        <v>1664</v>
      </c>
      <c r="H4680" s="10"/>
      <c r="I4680">
        <f>IFERROR(VLOOKUP(Final!F4680,'LEAID Match'!$A$2:$B$374,2,FALSE),"")</f>
        <v>402110</v>
      </c>
      <c r="K4680" s="10">
        <f t="shared" si="73"/>
        <v>0</v>
      </c>
    </row>
    <row r="4681" spans="1:11">
      <c r="A4681">
        <v>405320</v>
      </c>
      <c r="B4681" s="10">
        <v>2015</v>
      </c>
      <c r="C4681" t="s">
        <v>812</v>
      </c>
      <c r="D4681" t="s">
        <v>2472</v>
      </c>
      <c r="E4681" t="s">
        <v>2474</v>
      </c>
      <c r="F4681" t="s">
        <v>1818</v>
      </c>
      <c r="G4681" t="s">
        <v>757</v>
      </c>
      <c r="H4681" s="10">
        <v>744553</v>
      </c>
      <c r="I4681">
        <f>IFERROR(VLOOKUP(Final!F4681,'LEAID Match'!$A$2:$B$374,2,FALSE),"")</f>
        <v>405320</v>
      </c>
      <c r="K4681" s="10">
        <f t="shared" si="73"/>
        <v>744553</v>
      </c>
    </row>
    <row r="4682" spans="1:11">
      <c r="A4682">
        <v>405320</v>
      </c>
      <c r="B4682" s="10">
        <v>2016</v>
      </c>
      <c r="C4682" t="s">
        <v>812</v>
      </c>
      <c r="D4682" t="s">
        <v>2472</v>
      </c>
      <c r="E4682" t="s">
        <v>2474</v>
      </c>
      <c r="F4682" t="s">
        <v>1818</v>
      </c>
      <c r="G4682" t="s">
        <v>757</v>
      </c>
      <c r="H4682" s="10">
        <v>753418</v>
      </c>
      <c r="I4682">
        <f>IFERROR(VLOOKUP(Final!F4682,'LEAID Match'!$A$2:$B$374,2,FALSE),"")</f>
        <v>405320</v>
      </c>
      <c r="K4682" s="10">
        <f t="shared" si="73"/>
        <v>753418</v>
      </c>
    </row>
    <row r="4683" spans="1:11">
      <c r="A4683">
        <v>405320</v>
      </c>
      <c r="B4683" s="10">
        <v>2017</v>
      </c>
      <c r="C4683" t="s">
        <v>812</v>
      </c>
      <c r="D4683" t="s">
        <v>2472</v>
      </c>
      <c r="E4683" t="s">
        <v>2474</v>
      </c>
      <c r="F4683" t="s">
        <v>1818</v>
      </c>
      <c r="G4683" t="s">
        <v>1818</v>
      </c>
      <c r="H4683" s="10">
        <v>805119</v>
      </c>
      <c r="I4683">
        <f>IFERROR(VLOOKUP(Final!F4683,'LEAID Match'!$A$2:$B$374,2,FALSE),"")</f>
        <v>405320</v>
      </c>
      <c r="K4683" s="10">
        <f t="shared" si="73"/>
        <v>805119</v>
      </c>
    </row>
    <row r="4684" spans="1:11">
      <c r="A4684">
        <v>405320</v>
      </c>
      <c r="B4684" s="10">
        <v>2018</v>
      </c>
      <c r="C4684" t="s">
        <v>812</v>
      </c>
      <c r="D4684" t="s">
        <v>2472</v>
      </c>
      <c r="E4684" t="s">
        <v>2474</v>
      </c>
      <c r="F4684" t="s">
        <v>1818</v>
      </c>
      <c r="G4684" t="s">
        <v>1818</v>
      </c>
      <c r="H4684" s="10">
        <v>800189</v>
      </c>
      <c r="I4684">
        <f>IFERROR(VLOOKUP(Final!F4684,'LEAID Match'!$A$2:$B$374,2,FALSE),"")</f>
        <v>405320</v>
      </c>
      <c r="K4684" s="10">
        <f t="shared" si="73"/>
        <v>800189</v>
      </c>
    </row>
    <row r="4685" spans="1:11">
      <c r="A4685">
        <v>405320</v>
      </c>
      <c r="B4685" s="10">
        <v>2019</v>
      </c>
      <c r="C4685" t="s">
        <v>812</v>
      </c>
      <c r="D4685" t="s">
        <v>2472</v>
      </c>
      <c r="E4685" t="s">
        <v>2474</v>
      </c>
      <c r="F4685" t="s">
        <v>1818</v>
      </c>
      <c r="G4685" t="s">
        <v>1818</v>
      </c>
      <c r="H4685" s="10">
        <v>923187</v>
      </c>
      <c r="I4685">
        <f>IFERROR(VLOOKUP(Final!F4685,'LEAID Match'!$A$2:$B$374,2,FALSE),"")</f>
        <v>405320</v>
      </c>
      <c r="K4685" s="10">
        <f t="shared" si="73"/>
        <v>923187</v>
      </c>
    </row>
    <row r="4686" spans="1:11">
      <c r="A4686">
        <v>405320</v>
      </c>
      <c r="B4686" s="10">
        <v>2020</v>
      </c>
      <c r="C4686" t="s">
        <v>812</v>
      </c>
      <c r="D4686" t="s">
        <v>2472</v>
      </c>
      <c r="E4686" t="s">
        <v>2474</v>
      </c>
      <c r="F4686" t="s">
        <v>1818</v>
      </c>
      <c r="G4686" t="s">
        <v>1818</v>
      </c>
      <c r="H4686" s="10">
        <v>971457</v>
      </c>
      <c r="I4686">
        <f>IFERROR(VLOOKUP(Final!F4686,'LEAID Match'!$A$2:$B$374,2,FALSE),"")</f>
        <v>405320</v>
      </c>
      <c r="K4686" s="10">
        <f t="shared" si="73"/>
        <v>971457</v>
      </c>
    </row>
    <row r="4687" spans="1:11">
      <c r="A4687">
        <v>405320</v>
      </c>
      <c r="B4687" s="10">
        <v>2021</v>
      </c>
      <c r="C4687" t="s">
        <v>812</v>
      </c>
      <c r="D4687" t="s">
        <v>2472</v>
      </c>
      <c r="E4687" t="s">
        <v>2474</v>
      </c>
      <c r="F4687" t="s">
        <v>1818</v>
      </c>
      <c r="G4687" t="s">
        <v>1818</v>
      </c>
      <c r="H4687" s="10">
        <v>1028695</v>
      </c>
      <c r="I4687">
        <f>IFERROR(VLOOKUP(Final!F4687,'LEAID Match'!$A$2:$B$374,2,FALSE),"")</f>
        <v>405320</v>
      </c>
      <c r="K4687" s="10">
        <f t="shared" si="73"/>
        <v>1028695</v>
      </c>
    </row>
    <row r="4688" spans="1:11">
      <c r="A4688">
        <v>405320</v>
      </c>
      <c r="B4688" s="10">
        <v>2022</v>
      </c>
      <c r="C4688" t="s">
        <v>812</v>
      </c>
      <c r="D4688" t="s">
        <v>2472</v>
      </c>
      <c r="E4688" t="s">
        <v>2474</v>
      </c>
      <c r="F4688" t="s">
        <v>1818</v>
      </c>
      <c r="G4688" t="s">
        <v>1818</v>
      </c>
      <c r="H4688" s="10">
        <v>1098478</v>
      </c>
      <c r="I4688">
        <f>IFERROR(VLOOKUP(Final!F4688,'LEAID Match'!$A$2:$B$374,2,FALSE),"")</f>
        <v>405320</v>
      </c>
      <c r="K4688" s="10">
        <f t="shared" si="73"/>
        <v>1098478</v>
      </c>
    </row>
    <row r="4689" spans="1:11">
      <c r="A4689">
        <v>405320</v>
      </c>
      <c r="B4689" s="10">
        <v>2023</v>
      </c>
      <c r="C4689" t="s">
        <v>812</v>
      </c>
      <c r="D4689" t="s">
        <v>2472</v>
      </c>
      <c r="E4689" t="s">
        <v>2474</v>
      </c>
      <c r="F4689" t="s">
        <v>1818</v>
      </c>
      <c r="G4689" t="s">
        <v>1818</v>
      </c>
      <c r="H4689" s="10">
        <v>1207280</v>
      </c>
      <c r="I4689">
        <f>IFERROR(VLOOKUP(Final!F4689,'LEAID Match'!$A$2:$B$374,2,FALSE),"")</f>
        <v>405320</v>
      </c>
      <c r="K4689" s="10">
        <f t="shared" si="73"/>
        <v>1207280</v>
      </c>
    </row>
    <row r="4690" spans="1:11">
      <c r="A4690">
        <v>401230</v>
      </c>
      <c r="B4690" s="10">
        <v>2015</v>
      </c>
      <c r="C4690" t="s">
        <v>1442</v>
      </c>
      <c r="D4690" t="s">
        <v>2472</v>
      </c>
      <c r="E4690" t="s">
        <v>2474</v>
      </c>
      <c r="F4690" t="s">
        <v>1627</v>
      </c>
      <c r="G4690" t="s">
        <v>275</v>
      </c>
      <c r="H4690" s="10">
        <v>5700</v>
      </c>
      <c r="I4690">
        <f>IFERROR(VLOOKUP(Final!F4690,'LEAID Match'!$A$2:$B$374,2,FALSE),"")</f>
        <v>401230</v>
      </c>
      <c r="K4690" s="10">
        <f t="shared" si="73"/>
        <v>5700</v>
      </c>
    </row>
    <row r="4691" spans="1:11">
      <c r="A4691">
        <v>401230</v>
      </c>
      <c r="B4691" s="10">
        <v>2016</v>
      </c>
      <c r="C4691" t="s">
        <v>1442</v>
      </c>
      <c r="D4691" t="s">
        <v>2472</v>
      </c>
      <c r="E4691" t="s">
        <v>2474</v>
      </c>
      <c r="F4691" t="s">
        <v>1627</v>
      </c>
      <c r="G4691" t="s">
        <v>275</v>
      </c>
      <c r="H4691" s="10">
        <v>7338</v>
      </c>
      <c r="I4691">
        <f>IFERROR(VLOOKUP(Final!F4691,'LEAID Match'!$A$2:$B$374,2,FALSE),"")</f>
        <v>401230</v>
      </c>
      <c r="K4691" s="10">
        <f t="shared" si="73"/>
        <v>7338</v>
      </c>
    </row>
    <row r="4692" spans="1:11">
      <c r="A4692">
        <v>401230</v>
      </c>
      <c r="B4692" s="10">
        <v>2017</v>
      </c>
      <c r="C4692" t="s">
        <v>1442</v>
      </c>
      <c r="D4692" t="s">
        <v>2472</v>
      </c>
      <c r="E4692" t="s">
        <v>2474</v>
      </c>
      <c r="F4692" t="s">
        <v>1627</v>
      </c>
      <c r="G4692" t="s">
        <v>1627</v>
      </c>
      <c r="H4692" s="10">
        <v>7410</v>
      </c>
      <c r="I4692">
        <f>IFERROR(VLOOKUP(Final!F4692,'LEAID Match'!$A$2:$B$374,2,FALSE),"")</f>
        <v>401230</v>
      </c>
      <c r="K4692" s="10">
        <f t="shared" si="73"/>
        <v>7410</v>
      </c>
    </row>
    <row r="4693" spans="1:11">
      <c r="A4693">
        <v>401230</v>
      </c>
      <c r="B4693" s="10">
        <v>2018</v>
      </c>
      <c r="C4693" t="s">
        <v>1442</v>
      </c>
      <c r="D4693" t="s">
        <v>2472</v>
      </c>
      <c r="E4693" t="s">
        <v>2474</v>
      </c>
      <c r="F4693" t="s">
        <v>1627</v>
      </c>
      <c r="G4693" t="s">
        <v>1627</v>
      </c>
      <c r="H4693" s="10">
        <v>9884</v>
      </c>
      <c r="I4693">
        <f>IFERROR(VLOOKUP(Final!F4693,'LEAID Match'!$A$2:$B$374,2,FALSE),"")</f>
        <v>401230</v>
      </c>
      <c r="K4693" s="10">
        <f t="shared" si="73"/>
        <v>9884</v>
      </c>
    </row>
    <row r="4694" spans="1:11">
      <c r="A4694">
        <v>401230</v>
      </c>
      <c r="B4694" s="10">
        <v>2019</v>
      </c>
      <c r="C4694" t="s">
        <v>1442</v>
      </c>
      <c r="D4694" t="s">
        <v>2472</v>
      </c>
      <c r="E4694" t="s">
        <v>2474</v>
      </c>
      <c r="F4694" t="s">
        <v>1627</v>
      </c>
      <c r="G4694" t="s">
        <v>1627</v>
      </c>
      <c r="H4694" s="10">
        <v>7661</v>
      </c>
      <c r="I4694">
        <f>IFERROR(VLOOKUP(Final!F4694,'LEAID Match'!$A$2:$B$374,2,FALSE),"")</f>
        <v>401230</v>
      </c>
      <c r="K4694" s="10">
        <f t="shared" si="73"/>
        <v>7661</v>
      </c>
    </row>
    <row r="4695" spans="1:11">
      <c r="A4695">
        <v>401230</v>
      </c>
      <c r="B4695" s="10">
        <v>2020</v>
      </c>
      <c r="C4695" t="s">
        <v>1442</v>
      </c>
      <c r="D4695" t="s">
        <v>2472</v>
      </c>
      <c r="E4695" t="s">
        <v>2474</v>
      </c>
      <c r="F4695" t="s">
        <v>1627</v>
      </c>
      <c r="G4695" t="s">
        <v>1627</v>
      </c>
      <c r="H4695" s="10">
        <v>8260</v>
      </c>
      <c r="I4695">
        <f>IFERROR(VLOOKUP(Final!F4695,'LEAID Match'!$A$2:$B$374,2,FALSE),"")</f>
        <v>401230</v>
      </c>
      <c r="K4695" s="10">
        <f t="shared" si="73"/>
        <v>8260</v>
      </c>
    </row>
    <row r="4696" spans="1:11">
      <c r="A4696">
        <v>401230</v>
      </c>
      <c r="B4696" s="10">
        <v>2021</v>
      </c>
      <c r="C4696" t="s">
        <v>1442</v>
      </c>
      <c r="D4696" t="s">
        <v>2472</v>
      </c>
      <c r="E4696" t="s">
        <v>2474</v>
      </c>
      <c r="F4696" t="s">
        <v>1627</v>
      </c>
      <c r="G4696" t="s">
        <v>1627</v>
      </c>
      <c r="H4696" s="10">
        <v>7862</v>
      </c>
      <c r="I4696">
        <f>IFERROR(VLOOKUP(Final!F4696,'LEAID Match'!$A$2:$B$374,2,FALSE),"")</f>
        <v>401230</v>
      </c>
      <c r="K4696" s="10">
        <f t="shared" si="73"/>
        <v>7862</v>
      </c>
    </row>
    <row r="4697" spans="1:11">
      <c r="A4697">
        <v>401230</v>
      </c>
      <c r="B4697" s="10">
        <v>2022</v>
      </c>
      <c r="C4697" t="s">
        <v>1442</v>
      </c>
      <c r="D4697" t="s">
        <v>2472</v>
      </c>
      <c r="E4697" t="s">
        <v>2474</v>
      </c>
      <c r="F4697" t="s">
        <v>1627</v>
      </c>
      <c r="G4697" t="s">
        <v>1627</v>
      </c>
      <c r="H4697" s="10">
        <v>9624</v>
      </c>
      <c r="I4697">
        <f>IFERROR(VLOOKUP(Final!F4697,'LEAID Match'!$A$2:$B$374,2,FALSE),"")</f>
        <v>401230</v>
      </c>
      <c r="K4697" s="10">
        <f t="shared" si="73"/>
        <v>9624</v>
      </c>
    </row>
    <row r="4698" spans="1:11">
      <c r="A4698">
        <v>401230</v>
      </c>
      <c r="B4698" s="10">
        <v>2023</v>
      </c>
      <c r="C4698" t="s">
        <v>1442</v>
      </c>
      <c r="D4698" t="s">
        <v>2472</v>
      </c>
      <c r="E4698" t="s">
        <v>2474</v>
      </c>
      <c r="F4698" t="s">
        <v>1627</v>
      </c>
      <c r="G4698" t="s">
        <v>1627</v>
      </c>
      <c r="H4698" s="10">
        <v>10432</v>
      </c>
      <c r="I4698">
        <f>IFERROR(VLOOKUP(Final!F4698,'LEAID Match'!$A$2:$B$374,2,FALSE),"")</f>
        <v>401230</v>
      </c>
      <c r="K4698" s="10">
        <f t="shared" si="73"/>
        <v>10432</v>
      </c>
    </row>
    <row r="4699" spans="1:11">
      <c r="A4699">
        <v>403580</v>
      </c>
      <c r="B4699" s="10">
        <v>2015</v>
      </c>
      <c r="C4699" t="s">
        <v>676</v>
      </c>
      <c r="D4699" t="s">
        <v>2472</v>
      </c>
      <c r="E4699" t="s">
        <v>2474</v>
      </c>
      <c r="F4699" t="s">
        <v>1740</v>
      </c>
      <c r="G4699" t="s">
        <v>621</v>
      </c>
      <c r="H4699" s="10">
        <v>7032</v>
      </c>
      <c r="I4699">
        <f>IFERROR(VLOOKUP(Final!F4699,'LEAID Match'!$A$2:$B$374,2,FALSE),"")</f>
        <v>403580</v>
      </c>
      <c r="K4699" s="10">
        <f t="shared" si="73"/>
        <v>7032</v>
      </c>
    </row>
    <row r="4700" spans="1:11">
      <c r="A4700">
        <v>403580</v>
      </c>
      <c r="B4700" s="10">
        <v>2016</v>
      </c>
      <c r="C4700" t="s">
        <v>676</v>
      </c>
      <c r="D4700" t="s">
        <v>2472</v>
      </c>
      <c r="E4700" t="s">
        <v>2474</v>
      </c>
      <c r="F4700" t="s">
        <v>1740</v>
      </c>
      <c r="G4700" t="s">
        <v>621</v>
      </c>
      <c r="H4700" s="10">
        <v>7237</v>
      </c>
      <c r="I4700">
        <f>IFERROR(VLOOKUP(Final!F4700,'LEAID Match'!$A$2:$B$374,2,FALSE),"")</f>
        <v>403580</v>
      </c>
      <c r="K4700" s="10">
        <f t="shared" si="73"/>
        <v>7237</v>
      </c>
    </row>
    <row r="4701" spans="1:11">
      <c r="A4701">
        <v>403580</v>
      </c>
      <c r="B4701" s="10">
        <v>2017</v>
      </c>
      <c r="C4701" t="s">
        <v>676</v>
      </c>
      <c r="D4701" t="s">
        <v>2472</v>
      </c>
      <c r="E4701" t="s">
        <v>2474</v>
      </c>
      <c r="F4701" t="s">
        <v>1740</v>
      </c>
      <c r="G4701" t="s">
        <v>1740</v>
      </c>
      <c r="H4701" s="10">
        <v>7022</v>
      </c>
      <c r="I4701">
        <f>IFERROR(VLOOKUP(Final!F4701,'LEAID Match'!$A$2:$B$374,2,FALSE),"")</f>
        <v>403580</v>
      </c>
      <c r="K4701" s="10">
        <f t="shared" si="73"/>
        <v>7022</v>
      </c>
    </row>
    <row r="4702" spans="1:11">
      <c r="A4702">
        <v>403580</v>
      </c>
      <c r="B4702" s="10">
        <v>2018</v>
      </c>
      <c r="C4702" t="s">
        <v>676</v>
      </c>
      <c r="D4702" t="s">
        <v>2472</v>
      </c>
      <c r="E4702" t="s">
        <v>2474</v>
      </c>
      <c r="F4702" t="s">
        <v>1740</v>
      </c>
      <c r="G4702" t="s">
        <v>2203</v>
      </c>
      <c r="H4702" s="10">
        <v>7385</v>
      </c>
      <c r="I4702">
        <f>IFERROR(VLOOKUP(Final!F4702,'LEAID Match'!$A$2:$B$374,2,FALSE),"")</f>
        <v>403580</v>
      </c>
      <c r="K4702" s="10">
        <f t="shared" si="73"/>
        <v>7385</v>
      </c>
    </row>
    <row r="4703" spans="1:11">
      <c r="A4703">
        <v>403580</v>
      </c>
      <c r="B4703" s="10">
        <v>2019</v>
      </c>
      <c r="C4703" t="s">
        <v>676</v>
      </c>
      <c r="D4703" t="s">
        <v>2472</v>
      </c>
      <c r="E4703" t="s">
        <v>2474</v>
      </c>
      <c r="F4703" t="s">
        <v>1740</v>
      </c>
      <c r="G4703" t="s">
        <v>1740</v>
      </c>
      <c r="H4703" s="10"/>
      <c r="I4703">
        <f>IFERROR(VLOOKUP(Final!F4703,'LEAID Match'!$A$2:$B$374,2,FALSE),"")</f>
        <v>403580</v>
      </c>
      <c r="K4703" s="10">
        <f t="shared" si="73"/>
        <v>0</v>
      </c>
    </row>
    <row r="4704" spans="1:11">
      <c r="A4704">
        <v>403580</v>
      </c>
      <c r="B4704" s="10">
        <v>2020</v>
      </c>
      <c r="C4704" t="s">
        <v>676</v>
      </c>
      <c r="D4704" t="s">
        <v>2472</v>
      </c>
      <c r="E4704" t="s">
        <v>2474</v>
      </c>
      <c r="F4704" t="s">
        <v>1740</v>
      </c>
      <c r="G4704" t="s">
        <v>1740</v>
      </c>
      <c r="H4704" s="10"/>
      <c r="I4704">
        <f>IFERROR(VLOOKUP(Final!F4704,'LEAID Match'!$A$2:$B$374,2,FALSE),"")</f>
        <v>403580</v>
      </c>
      <c r="K4704" s="10">
        <f t="shared" si="73"/>
        <v>0</v>
      </c>
    </row>
    <row r="4705" spans="1:11">
      <c r="A4705">
        <v>403580</v>
      </c>
      <c r="B4705" s="10">
        <v>2021</v>
      </c>
      <c r="C4705" t="s">
        <v>676</v>
      </c>
      <c r="D4705" t="s">
        <v>2472</v>
      </c>
      <c r="E4705" t="s">
        <v>2474</v>
      </c>
      <c r="F4705" t="s">
        <v>1740</v>
      </c>
      <c r="G4705" t="s">
        <v>1740</v>
      </c>
      <c r="H4705" s="10"/>
      <c r="I4705">
        <f>IFERROR(VLOOKUP(Final!F4705,'LEAID Match'!$A$2:$B$374,2,FALSE),"")</f>
        <v>403580</v>
      </c>
      <c r="K4705" s="10">
        <f t="shared" si="73"/>
        <v>0</v>
      </c>
    </row>
    <row r="4706" spans="1:11">
      <c r="A4706">
        <v>403580</v>
      </c>
      <c r="B4706" s="10">
        <v>2022</v>
      </c>
      <c r="C4706" t="s">
        <v>676</v>
      </c>
      <c r="D4706" t="s">
        <v>2472</v>
      </c>
      <c r="E4706" t="s">
        <v>2474</v>
      </c>
      <c r="F4706" t="s">
        <v>1740</v>
      </c>
      <c r="G4706" t="s">
        <v>1740</v>
      </c>
      <c r="H4706" s="10"/>
      <c r="I4706">
        <f>IFERROR(VLOOKUP(Final!F4706,'LEAID Match'!$A$2:$B$374,2,FALSE),"")</f>
        <v>403580</v>
      </c>
      <c r="K4706" s="10">
        <f t="shared" si="73"/>
        <v>0</v>
      </c>
    </row>
    <row r="4707" spans="1:11">
      <c r="A4707">
        <v>403580</v>
      </c>
      <c r="B4707" s="10">
        <v>2023</v>
      </c>
      <c r="C4707" t="s">
        <v>676</v>
      </c>
      <c r="D4707" t="s">
        <v>2472</v>
      </c>
      <c r="E4707" t="s">
        <v>2474</v>
      </c>
      <c r="F4707" t="s">
        <v>1740</v>
      </c>
      <c r="G4707" t="s">
        <v>1740</v>
      </c>
      <c r="H4707" s="10"/>
      <c r="I4707">
        <f>IFERROR(VLOOKUP(Final!F4707,'LEAID Match'!$A$2:$B$374,2,FALSE),"")</f>
        <v>403580</v>
      </c>
      <c r="K4707" s="10">
        <f t="shared" si="73"/>
        <v>0</v>
      </c>
    </row>
    <row r="4708" spans="1:11">
      <c r="A4708" t="s">
        <v>2470</v>
      </c>
      <c r="B4708" s="10">
        <v>2015</v>
      </c>
      <c r="C4708" t="s">
        <v>480</v>
      </c>
      <c r="D4708" t="s">
        <v>2472</v>
      </c>
      <c r="E4708" t="s">
        <v>2474</v>
      </c>
      <c r="F4708" t="s">
        <v>1670</v>
      </c>
      <c r="G4708" t="s">
        <v>425</v>
      </c>
      <c r="H4708" s="10">
        <v>41482</v>
      </c>
      <c r="I4708" t="str">
        <f>IFERROR(VLOOKUP(Final!F4708,'LEAID Match'!$A$2:$B$374,2,FALSE),"")</f>
        <v/>
      </c>
      <c r="K4708" s="10">
        <f t="shared" si="73"/>
        <v>41482</v>
      </c>
    </row>
    <row r="4709" spans="1:11">
      <c r="A4709" t="s">
        <v>2470</v>
      </c>
      <c r="B4709" s="10">
        <v>2016</v>
      </c>
      <c r="C4709" t="s">
        <v>480</v>
      </c>
      <c r="D4709" t="s">
        <v>2472</v>
      </c>
      <c r="E4709" t="s">
        <v>2474</v>
      </c>
      <c r="F4709" t="s">
        <v>1670</v>
      </c>
      <c r="G4709" t="s">
        <v>425</v>
      </c>
      <c r="H4709" s="10">
        <v>42376</v>
      </c>
      <c r="I4709" t="str">
        <f>IFERROR(VLOOKUP(Final!F4709,'LEAID Match'!$A$2:$B$374,2,FALSE),"")</f>
        <v/>
      </c>
      <c r="K4709" s="10">
        <f t="shared" si="73"/>
        <v>42376</v>
      </c>
    </row>
    <row r="4710" spans="1:11">
      <c r="A4710" t="s">
        <v>2470</v>
      </c>
      <c r="B4710" s="10">
        <v>2017</v>
      </c>
      <c r="C4710" t="s">
        <v>480</v>
      </c>
      <c r="D4710" t="s">
        <v>2472</v>
      </c>
      <c r="E4710" t="s">
        <v>2474</v>
      </c>
      <c r="F4710" t="s">
        <v>1670</v>
      </c>
      <c r="G4710" t="s">
        <v>1670</v>
      </c>
      <c r="H4710" s="10">
        <v>43373</v>
      </c>
      <c r="I4710" t="str">
        <f>IFERROR(VLOOKUP(Final!F4710,'LEAID Match'!$A$2:$B$374,2,FALSE),"")</f>
        <v/>
      </c>
      <c r="K4710" s="10">
        <f t="shared" si="73"/>
        <v>43373</v>
      </c>
    </row>
    <row r="4711" spans="1:11">
      <c r="A4711" t="s">
        <v>2470</v>
      </c>
      <c r="B4711" s="10">
        <v>2018</v>
      </c>
      <c r="C4711" t="s">
        <v>480</v>
      </c>
      <c r="D4711" t="s">
        <v>2472</v>
      </c>
      <c r="E4711" t="s">
        <v>2474</v>
      </c>
      <c r="F4711" t="s">
        <v>1670</v>
      </c>
      <c r="G4711" t="s">
        <v>2158</v>
      </c>
      <c r="H4711" s="10">
        <v>38492</v>
      </c>
      <c r="I4711" t="str">
        <f>IFERROR(VLOOKUP(Final!F4711,'LEAID Match'!$A$2:$B$374,2,FALSE),"")</f>
        <v/>
      </c>
      <c r="K4711" s="10">
        <f t="shared" si="73"/>
        <v>38492</v>
      </c>
    </row>
    <row r="4712" spans="1:11">
      <c r="A4712" t="s">
        <v>2470</v>
      </c>
      <c r="B4712" s="10">
        <v>2019</v>
      </c>
      <c r="C4712" t="s">
        <v>480</v>
      </c>
      <c r="D4712" t="s">
        <v>2472</v>
      </c>
      <c r="E4712" t="s">
        <v>2474</v>
      </c>
      <c r="F4712" t="s">
        <v>1670</v>
      </c>
      <c r="G4712" t="s">
        <v>1670</v>
      </c>
      <c r="H4712" s="10">
        <v>53753</v>
      </c>
      <c r="I4712" t="str">
        <f>IFERROR(VLOOKUP(Final!F4712,'LEAID Match'!$A$2:$B$374,2,FALSE),"")</f>
        <v/>
      </c>
      <c r="K4712" s="10">
        <f t="shared" si="73"/>
        <v>53753</v>
      </c>
    </row>
    <row r="4713" spans="1:11">
      <c r="A4713" t="s">
        <v>2470</v>
      </c>
      <c r="B4713" s="10">
        <v>2020</v>
      </c>
      <c r="C4713" t="s">
        <v>480</v>
      </c>
      <c r="D4713" t="s">
        <v>2472</v>
      </c>
      <c r="E4713" t="s">
        <v>2474</v>
      </c>
      <c r="F4713" t="s">
        <v>1670</v>
      </c>
      <c r="G4713" t="s">
        <v>1670</v>
      </c>
      <c r="H4713" s="10">
        <v>61560</v>
      </c>
      <c r="I4713" t="str">
        <f>IFERROR(VLOOKUP(Final!F4713,'LEAID Match'!$A$2:$B$374,2,FALSE),"")</f>
        <v/>
      </c>
      <c r="K4713" s="10">
        <f t="shared" si="73"/>
        <v>61560</v>
      </c>
    </row>
    <row r="4714" spans="1:11">
      <c r="A4714" t="s">
        <v>2470</v>
      </c>
      <c r="B4714" s="10">
        <v>2021</v>
      </c>
      <c r="C4714" t="s">
        <v>480</v>
      </c>
      <c r="D4714" t="s">
        <v>2472</v>
      </c>
      <c r="E4714" t="s">
        <v>2474</v>
      </c>
      <c r="F4714" t="s">
        <v>1670</v>
      </c>
      <c r="G4714" t="s">
        <v>1670</v>
      </c>
      <c r="H4714" s="10">
        <v>55623</v>
      </c>
      <c r="I4714" t="str">
        <f>IFERROR(VLOOKUP(Final!F4714,'LEAID Match'!$A$2:$B$374,2,FALSE),"")</f>
        <v/>
      </c>
      <c r="K4714" s="10">
        <f t="shared" si="73"/>
        <v>55623</v>
      </c>
    </row>
    <row r="4715" spans="1:11">
      <c r="A4715" t="s">
        <v>2470</v>
      </c>
      <c r="B4715" s="10">
        <v>2022</v>
      </c>
      <c r="C4715" t="s">
        <v>480</v>
      </c>
      <c r="D4715" t="s">
        <v>2472</v>
      </c>
      <c r="E4715" t="s">
        <v>2474</v>
      </c>
      <c r="F4715" t="s">
        <v>1670</v>
      </c>
      <c r="G4715" t="s">
        <v>1670</v>
      </c>
      <c r="H4715" s="10">
        <v>62511</v>
      </c>
      <c r="I4715" t="str">
        <f>IFERROR(VLOOKUP(Final!F4715,'LEAID Match'!$A$2:$B$374,2,FALSE),"")</f>
        <v/>
      </c>
      <c r="K4715" s="10">
        <f t="shared" si="73"/>
        <v>62511</v>
      </c>
    </row>
    <row r="4716" spans="1:11">
      <c r="A4716" t="s">
        <v>2470</v>
      </c>
      <c r="B4716" s="10">
        <v>2023</v>
      </c>
      <c r="C4716" t="s">
        <v>480</v>
      </c>
      <c r="D4716" t="s">
        <v>2472</v>
      </c>
      <c r="E4716" t="s">
        <v>2474</v>
      </c>
      <c r="F4716" t="s">
        <v>1670</v>
      </c>
      <c r="G4716" t="s">
        <v>1670</v>
      </c>
      <c r="H4716" s="10">
        <v>63995</v>
      </c>
      <c r="I4716" t="str">
        <f>IFERROR(VLOOKUP(Final!F4716,'LEAID Match'!$A$2:$B$374,2,FALSE),"")</f>
        <v/>
      </c>
      <c r="K4716" s="10">
        <f t="shared" si="73"/>
        <v>63995</v>
      </c>
    </row>
    <row r="4717" spans="1:11">
      <c r="A4717" t="s">
        <v>2470</v>
      </c>
      <c r="B4717" s="10">
        <v>2015</v>
      </c>
      <c r="C4717" t="s">
        <v>785</v>
      </c>
      <c r="D4717" t="s">
        <v>2472</v>
      </c>
      <c r="E4717" t="s">
        <v>2474</v>
      </c>
      <c r="F4717" t="s">
        <v>1796</v>
      </c>
      <c r="G4717" t="s">
        <v>730</v>
      </c>
      <c r="H4717" s="10">
        <v>388119</v>
      </c>
      <c r="I4717" t="str">
        <f>IFERROR(VLOOKUP(Final!F4717,'LEAID Match'!$A$2:$B$374,2,FALSE),"")</f>
        <v/>
      </c>
      <c r="K4717" s="10">
        <f t="shared" si="73"/>
        <v>388119</v>
      </c>
    </row>
    <row r="4718" spans="1:11">
      <c r="A4718" t="s">
        <v>2470</v>
      </c>
      <c r="B4718" s="10">
        <v>2016</v>
      </c>
      <c r="C4718" t="s">
        <v>785</v>
      </c>
      <c r="D4718" t="s">
        <v>2472</v>
      </c>
      <c r="E4718" t="s">
        <v>2474</v>
      </c>
      <c r="F4718" t="s">
        <v>1796</v>
      </c>
      <c r="G4718" t="s">
        <v>730</v>
      </c>
      <c r="H4718" s="10">
        <v>391168</v>
      </c>
      <c r="I4718" t="str">
        <f>IFERROR(VLOOKUP(Final!F4718,'LEAID Match'!$A$2:$B$374,2,FALSE),"")</f>
        <v/>
      </c>
      <c r="K4718" s="10">
        <f t="shared" si="73"/>
        <v>391168</v>
      </c>
    </row>
    <row r="4719" spans="1:11">
      <c r="A4719" t="s">
        <v>2470</v>
      </c>
      <c r="B4719" s="10">
        <v>2017</v>
      </c>
      <c r="C4719" t="s">
        <v>785</v>
      </c>
      <c r="D4719" t="s">
        <v>2472</v>
      </c>
      <c r="E4719" t="s">
        <v>2474</v>
      </c>
      <c r="F4719" t="s">
        <v>1796</v>
      </c>
      <c r="G4719" t="s">
        <v>1796</v>
      </c>
      <c r="H4719" s="10">
        <v>385214</v>
      </c>
      <c r="I4719" t="str">
        <f>IFERROR(VLOOKUP(Final!F4719,'LEAID Match'!$A$2:$B$374,2,FALSE),"")</f>
        <v/>
      </c>
      <c r="K4719" s="10">
        <f t="shared" si="73"/>
        <v>385214</v>
      </c>
    </row>
    <row r="4720" spans="1:11">
      <c r="A4720" t="s">
        <v>2470</v>
      </c>
      <c r="B4720" s="10">
        <v>2018</v>
      </c>
      <c r="C4720" t="s">
        <v>785</v>
      </c>
      <c r="D4720" t="s">
        <v>2472</v>
      </c>
      <c r="E4720" t="s">
        <v>2474</v>
      </c>
      <c r="F4720" t="s">
        <v>1796</v>
      </c>
      <c r="G4720" t="s">
        <v>2230</v>
      </c>
      <c r="H4720" s="10">
        <v>411379</v>
      </c>
      <c r="I4720" t="str">
        <f>IFERROR(VLOOKUP(Final!F4720,'LEAID Match'!$A$2:$B$374,2,FALSE),"")</f>
        <v/>
      </c>
      <c r="K4720" s="10">
        <f t="shared" si="73"/>
        <v>411379</v>
      </c>
    </row>
    <row r="4721" spans="1:11">
      <c r="A4721" t="s">
        <v>2470</v>
      </c>
      <c r="B4721" s="10">
        <v>2019</v>
      </c>
      <c r="C4721" t="s">
        <v>785</v>
      </c>
      <c r="D4721" t="s">
        <v>2472</v>
      </c>
      <c r="E4721" t="s">
        <v>2474</v>
      </c>
      <c r="F4721" t="s">
        <v>1796</v>
      </c>
      <c r="G4721" t="s">
        <v>2375</v>
      </c>
      <c r="H4721" s="10">
        <v>421706</v>
      </c>
      <c r="I4721" t="str">
        <f>IFERROR(VLOOKUP(Final!F4721,'LEAID Match'!$A$2:$B$374,2,FALSE),"")</f>
        <v/>
      </c>
      <c r="K4721" s="10">
        <f t="shared" si="73"/>
        <v>421706</v>
      </c>
    </row>
    <row r="4722" spans="1:11">
      <c r="A4722" t="s">
        <v>2470</v>
      </c>
      <c r="B4722" s="10">
        <v>2020</v>
      </c>
      <c r="C4722" t="s">
        <v>785</v>
      </c>
      <c r="D4722" t="s">
        <v>2472</v>
      </c>
      <c r="E4722" t="s">
        <v>2474</v>
      </c>
      <c r="F4722" t="s">
        <v>1796</v>
      </c>
      <c r="G4722" t="s">
        <v>1796</v>
      </c>
      <c r="H4722" s="10">
        <v>459899</v>
      </c>
      <c r="I4722" t="str">
        <f>IFERROR(VLOOKUP(Final!F4722,'LEAID Match'!$A$2:$B$374,2,FALSE),"")</f>
        <v/>
      </c>
      <c r="K4722" s="10">
        <f t="shared" si="73"/>
        <v>459899</v>
      </c>
    </row>
    <row r="4723" spans="1:11">
      <c r="A4723" t="s">
        <v>2470</v>
      </c>
      <c r="B4723" s="10">
        <v>2021</v>
      </c>
      <c r="C4723" t="s">
        <v>785</v>
      </c>
      <c r="D4723" t="s">
        <v>2472</v>
      </c>
      <c r="E4723" t="s">
        <v>2474</v>
      </c>
      <c r="F4723" t="s">
        <v>1796</v>
      </c>
      <c r="G4723" t="s">
        <v>1796</v>
      </c>
      <c r="H4723" s="10">
        <v>480793</v>
      </c>
      <c r="I4723" t="str">
        <f>IFERROR(VLOOKUP(Final!F4723,'LEAID Match'!$A$2:$B$374,2,FALSE),"")</f>
        <v/>
      </c>
      <c r="K4723" s="10">
        <f t="shared" si="73"/>
        <v>480793</v>
      </c>
    </row>
    <row r="4724" spans="1:11">
      <c r="A4724" t="s">
        <v>2470</v>
      </c>
      <c r="B4724" s="10">
        <v>2022</v>
      </c>
      <c r="C4724" t="s">
        <v>785</v>
      </c>
      <c r="D4724" t="s">
        <v>2472</v>
      </c>
      <c r="E4724" t="s">
        <v>2474</v>
      </c>
      <c r="F4724" t="s">
        <v>1796</v>
      </c>
      <c r="G4724" t="s">
        <v>1796</v>
      </c>
      <c r="H4724" s="10">
        <v>576662</v>
      </c>
      <c r="I4724" t="str">
        <f>IFERROR(VLOOKUP(Final!F4724,'LEAID Match'!$A$2:$B$374,2,FALSE),"")</f>
        <v/>
      </c>
      <c r="K4724" s="10">
        <f t="shared" si="73"/>
        <v>576662</v>
      </c>
    </row>
    <row r="4725" spans="1:11">
      <c r="A4725" t="s">
        <v>2470</v>
      </c>
      <c r="B4725" s="10">
        <v>2023</v>
      </c>
      <c r="C4725" t="s">
        <v>785</v>
      </c>
      <c r="D4725" t="s">
        <v>2472</v>
      </c>
      <c r="E4725" t="s">
        <v>2474</v>
      </c>
      <c r="F4725" t="s">
        <v>1796</v>
      </c>
      <c r="G4725" t="s">
        <v>1796</v>
      </c>
      <c r="H4725" s="10">
        <v>649736</v>
      </c>
      <c r="I4725" t="str">
        <f>IFERROR(VLOOKUP(Final!F4725,'LEAID Match'!$A$2:$B$374,2,FALSE),"")</f>
        <v/>
      </c>
      <c r="K4725" s="10">
        <f t="shared" si="73"/>
        <v>649736</v>
      </c>
    </row>
    <row r="4726" spans="1:11">
      <c r="A4726" t="s">
        <v>2470</v>
      </c>
      <c r="B4726" s="10">
        <v>2015</v>
      </c>
      <c r="C4726" t="s">
        <v>1018</v>
      </c>
      <c r="D4726" t="s">
        <v>2472</v>
      </c>
      <c r="E4726" t="s">
        <v>2474</v>
      </c>
      <c r="F4726" t="s">
        <v>1899</v>
      </c>
      <c r="G4726" t="s">
        <v>963</v>
      </c>
      <c r="H4726" s="10">
        <v>23892</v>
      </c>
      <c r="I4726" t="str">
        <f>IFERROR(VLOOKUP(Final!F4726,'LEAID Match'!$A$2:$B$374,2,FALSE),"")</f>
        <v/>
      </c>
      <c r="K4726" s="10">
        <f t="shared" si="73"/>
        <v>23892</v>
      </c>
    </row>
    <row r="4727" spans="1:11">
      <c r="A4727" t="s">
        <v>2470</v>
      </c>
      <c r="B4727" s="10">
        <v>2016</v>
      </c>
      <c r="C4727" t="s">
        <v>1018</v>
      </c>
      <c r="D4727" t="s">
        <v>2472</v>
      </c>
      <c r="E4727" t="s">
        <v>2474</v>
      </c>
      <c r="F4727" t="s">
        <v>1899</v>
      </c>
      <c r="G4727" t="s">
        <v>963</v>
      </c>
      <c r="H4727" s="10">
        <v>25246</v>
      </c>
      <c r="I4727" t="str">
        <f>IFERROR(VLOOKUP(Final!F4727,'LEAID Match'!$A$2:$B$374,2,FALSE),"")</f>
        <v/>
      </c>
      <c r="K4727" s="10">
        <f t="shared" si="73"/>
        <v>25246</v>
      </c>
    </row>
    <row r="4728" spans="1:11">
      <c r="A4728" t="s">
        <v>2470</v>
      </c>
      <c r="B4728" s="10">
        <v>2017</v>
      </c>
      <c r="C4728" t="s">
        <v>1018</v>
      </c>
      <c r="D4728" t="s">
        <v>2472</v>
      </c>
      <c r="E4728" t="s">
        <v>2474</v>
      </c>
      <c r="F4728" t="s">
        <v>1899</v>
      </c>
      <c r="G4728" t="s">
        <v>1899</v>
      </c>
      <c r="H4728" s="10">
        <v>25200</v>
      </c>
      <c r="I4728" t="str">
        <f>IFERROR(VLOOKUP(Final!F4728,'LEAID Match'!$A$2:$B$374,2,FALSE),"")</f>
        <v/>
      </c>
      <c r="K4728" s="10">
        <f t="shared" si="73"/>
        <v>25200</v>
      </c>
    </row>
    <row r="4729" spans="1:11">
      <c r="A4729" t="s">
        <v>2470</v>
      </c>
      <c r="B4729" s="10">
        <v>2018</v>
      </c>
      <c r="C4729" t="s">
        <v>1018</v>
      </c>
      <c r="D4729" t="s">
        <v>2472</v>
      </c>
      <c r="E4729" t="s">
        <v>2474</v>
      </c>
      <c r="F4729" t="s">
        <v>1899</v>
      </c>
      <c r="G4729" t="s">
        <v>2289</v>
      </c>
      <c r="H4729" s="10">
        <v>28500</v>
      </c>
      <c r="I4729" t="str">
        <f>IFERROR(VLOOKUP(Final!F4729,'LEAID Match'!$A$2:$B$374,2,FALSE),"")</f>
        <v/>
      </c>
      <c r="K4729" s="10">
        <f t="shared" si="73"/>
        <v>28500</v>
      </c>
    </row>
    <row r="4730" spans="1:11">
      <c r="A4730" t="s">
        <v>2470</v>
      </c>
      <c r="B4730" s="10">
        <v>2019</v>
      </c>
      <c r="C4730" t="s">
        <v>1018</v>
      </c>
      <c r="D4730" t="s">
        <v>2472</v>
      </c>
      <c r="E4730" t="s">
        <v>2474</v>
      </c>
      <c r="F4730" t="s">
        <v>1899</v>
      </c>
      <c r="G4730" t="s">
        <v>1899</v>
      </c>
      <c r="H4730" s="10">
        <v>32727</v>
      </c>
      <c r="I4730" t="str">
        <f>IFERROR(VLOOKUP(Final!F4730,'LEAID Match'!$A$2:$B$374,2,FALSE),"")</f>
        <v/>
      </c>
      <c r="K4730" s="10">
        <f t="shared" si="73"/>
        <v>32727</v>
      </c>
    </row>
    <row r="4731" spans="1:11">
      <c r="A4731" t="s">
        <v>2470</v>
      </c>
      <c r="B4731" s="10">
        <v>2020</v>
      </c>
      <c r="C4731" t="s">
        <v>1018</v>
      </c>
      <c r="D4731" t="s">
        <v>2472</v>
      </c>
      <c r="E4731" t="s">
        <v>2474</v>
      </c>
      <c r="F4731" t="s">
        <v>1899</v>
      </c>
      <c r="G4731" t="s">
        <v>1899</v>
      </c>
      <c r="H4731" s="10">
        <v>36946</v>
      </c>
      <c r="I4731" t="str">
        <f>IFERROR(VLOOKUP(Final!F4731,'LEAID Match'!$A$2:$B$374,2,FALSE),"")</f>
        <v/>
      </c>
      <c r="K4731" s="10">
        <f t="shared" si="73"/>
        <v>36946</v>
      </c>
    </row>
    <row r="4732" spans="1:11">
      <c r="A4732" t="s">
        <v>2470</v>
      </c>
      <c r="B4732" s="10">
        <v>2021</v>
      </c>
      <c r="C4732" t="s">
        <v>1018</v>
      </c>
      <c r="D4732" t="s">
        <v>2472</v>
      </c>
      <c r="E4732" t="s">
        <v>2474</v>
      </c>
      <c r="F4732" t="s">
        <v>1899</v>
      </c>
      <c r="G4732" t="s">
        <v>1899</v>
      </c>
      <c r="H4732" s="10">
        <v>42461</v>
      </c>
      <c r="I4732" t="str">
        <f>IFERROR(VLOOKUP(Final!F4732,'LEAID Match'!$A$2:$B$374,2,FALSE),"")</f>
        <v/>
      </c>
      <c r="K4732" s="10">
        <f t="shared" si="73"/>
        <v>42461</v>
      </c>
    </row>
    <row r="4733" spans="1:11">
      <c r="A4733" t="s">
        <v>2470</v>
      </c>
      <c r="B4733" s="10">
        <v>2022</v>
      </c>
      <c r="C4733" t="s">
        <v>1018</v>
      </c>
      <c r="D4733" t="s">
        <v>2472</v>
      </c>
      <c r="E4733" t="s">
        <v>2474</v>
      </c>
      <c r="F4733" t="s">
        <v>1899</v>
      </c>
      <c r="G4733" t="s">
        <v>2444</v>
      </c>
      <c r="H4733" s="10">
        <v>42556</v>
      </c>
      <c r="I4733" t="str">
        <f>IFERROR(VLOOKUP(Final!F4733,'LEAID Match'!$A$2:$B$374,2,FALSE),"")</f>
        <v/>
      </c>
      <c r="K4733" s="10">
        <f t="shared" si="73"/>
        <v>42556</v>
      </c>
    </row>
    <row r="4734" spans="1:11">
      <c r="A4734" t="s">
        <v>2470</v>
      </c>
      <c r="B4734" s="10">
        <v>2023</v>
      </c>
      <c r="C4734" t="s">
        <v>1018</v>
      </c>
      <c r="D4734" t="s">
        <v>2472</v>
      </c>
      <c r="E4734" t="s">
        <v>2474</v>
      </c>
      <c r="F4734" t="s">
        <v>1899</v>
      </c>
      <c r="G4734" t="s">
        <v>1899</v>
      </c>
      <c r="H4734" s="10">
        <v>48874</v>
      </c>
      <c r="I4734" t="str">
        <f>IFERROR(VLOOKUP(Final!F4734,'LEAID Match'!$A$2:$B$374,2,FALSE),"")</f>
        <v/>
      </c>
      <c r="K4734" s="10">
        <f t="shared" si="73"/>
        <v>48874</v>
      </c>
    </row>
    <row r="4735" spans="1:11">
      <c r="A4735" t="s">
        <v>2470</v>
      </c>
      <c r="B4735" s="10">
        <v>2015</v>
      </c>
      <c r="C4735" t="s">
        <v>1258</v>
      </c>
      <c r="D4735" t="s">
        <v>2472</v>
      </c>
      <c r="E4735" t="s">
        <v>2474</v>
      </c>
      <c r="F4735" t="s">
        <v>1204</v>
      </c>
      <c r="G4735" t="s">
        <v>1204</v>
      </c>
      <c r="H4735" s="10">
        <v>1166090</v>
      </c>
      <c r="I4735" t="str">
        <f>IFERROR(VLOOKUP(Final!F4735,'LEAID Match'!$A$2:$B$374,2,FALSE),"")</f>
        <v/>
      </c>
      <c r="K4735" s="10">
        <f t="shared" si="73"/>
        <v>1166090</v>
      </c>
    </row>
    <row r="4736" spans="1:11">
      <c r="A4736" t="s">
        <v>2470</v>
      </c>
      <c r="B4736" s="10">
        <v>2016</v>
      </c>
      <c r="C4736" t="s">
        <v>1258</v>
      </c>
      <c r="D4736" t="s">
        <v>2472</v>
      </c>
      <c r="E4736" t="s">
        <v>2474</v>
      </c>
      <c r="F4736" t="s">
        <v>1204</v>
      </c>
      <c r="G4736" t="s">
        <v>1204</v>
      </c>
      <c r="H4736" s="10">
        <v>1123979</v>
      </c>
      <c r="I4736" t="str">
        <f>IFERROR(VLOOKUP(Final!F4736,'LEAID Match'!$A$2:$B$374,2,FALSE),"")</f>
        <v/>
      </c>
      <c r="K4736" s="10">
        <f t="shared" si="73"/>
        <v>1123979</v>
      </c>
    </row>
    <row r="4737" spans="1:11">
      <c r="A4737" t="s">
        <v>2470</v>
      </c>
      <c r="B4737" s="10">
        <v>2017</v>
      </c>
      <c r="C4737" t="s">
        <v>1258</v>
      </c>
      <c r="D4737" t="s">
        <v>2472</v>
      </c>
      <c r="E4737" t="s">
        <v>2474</v>
      </c>
      <c r="F4737" t="s">
        <v>1204</v>
      </c>
      <c r="G4737" t="s">
        <v>1204</v>
      </c>
      <c r="H4737" s="10">
        <v>1104722</v>
      </c>
      <c r="I4737" t="str">
        <f>IFERROR(VLOOKUP(Final!F4737,'LEAID Match'!$A$2:$B$374,2,FALSE),"")</f>
        <v/>
      </c>
      <c r="K4737" s="10">
        <f t="shared" si="73"/>
        <v>1104722</v>
      </c>
    </row>
    <row r="4738" spans="1:11">
      <c r="A4738" t="s">
        <v>2470</v>
      </c>
      <c r="B4738" s="10">
        <v>2018</v>
      </c>
      <c r="C4738" t="s">
        <v>1258</v>
      </c>
      <c r="D4738" t="s">
        <v>2472</v>
      </c>
      <c r="E4738" t="s">
        <v>2474</v>
      </c>
      <c r="F4738" t="s">
        <v>1204</v>
      </c>
      <c r="G4738" t="s">
        <v>1204</v>
      </c>
      <c r="H4738" s="10">
        <v>1171620</v>
      </c>
      <c r="I4738" t="str">
        <f>IFERROR(VLOOKUP(Final!F4738,'LEAID Match'!$A$2:$B$374,2,FALSE),"")</f>
        <v/>
      </c>
      <c r="K4738" s="10">
        <f t="shared" si="73"/>
        <v>1171620</v>
      </c>
    </row>
    <row r="4739" spans="1:11">
      <c r="A4739" t="s">
        <v>2470</v>
      </c>
      <c r="B4739" s="10">
        <v>2019</v>
      </c>
      <c r="C4739" t="s">
        <v>1258</v>
      </c>
      <c r="D4739" t="s">
        <v>2472</v>
      </c>
      <c r="E4739" t="s">
        <v>2474</v>
      </c>
      <c r="F4739" t="s">
        <v>1204</v>
      </c>
      <c r="G4739" t="s">
        <v>1204</v>
      </c>
      <c r="H4739" s="10">
        <v>1258511</v>
      </c>
      <c r="I4739" t="str">
        <f>IFERROR(VLOOKUP(Final!F4739,'LEAID Match'!$A$2:$B$374,2,FALSE),"")</f>
        <v/>
      </c>
      <c r="K4739" s="10">
        <f t="shared" ref="K4739:K4802" si="74">SUM(H4739,J4739)</f>
        <v>1258511</v>
      </c>
    </row>
    <row r="4740" spans="1:11">
      <c r="A4740" t="s">
        <v>2470</v>
      </c>
      <c r="B4740" s="10">
        <v>2020</v>
      </c>
      <c r="C4740" t="s">
        <v>1258</v>
      </c>
      <c r="D4740" t="s">
        <v>2472</v>
      </c>
      <c r="E4740" t="s">
        <v>2474</v>
      </c>
      <c r="F4740" t="s">
        <v>1204</v>
      </c>
      <c r="G4740" t="s">
        <v>1204</v>
      </c>
      <c r="H4740" s="10">
        <v>1264165</v>
      </c>
      <c r="I4740" t="str">
        <f>IFERROR(VLOOKUP(Final!F4740,'LEAID Match'!$A$2:$B$374,2,FALSE),"")</f>
        <v/>
      </c>
      <c r="K4740" s="10">
        <f t="shared" si="74"/>
        <v>1264165</v>
      </c>
    </row>
    <row r="4741" spans="1:11">
      <c r="A4741" t="s">
        <v>2470</v>
      </c>
      <c r="B4741" s="10">
        <v>2021</v>
      </c>
      <c r="C4741" t="s">
        <v>1258</v>
      </c>
      <c r="D4741" t="s">
        <v>2472</v>
      </c>
      <c r="E4741" t="s">
        <v>2474</v>
      </c>
      <c r="F4741" t="s">
        <v>1204</v>
      </c>
      <c r="G4741" t="s">
        <v>1204</v>
      </c>
      <c r="H4741" s="10">
        <v>1316658</v>
      </c>
      <c r="I4741" t="str">
        <f>IFERROR(VLOOKUP(Final!F4741,'LEAID Match'!$A$2:$B$374,2,FALSE),"")</f>
        <v/>
      </c>
      <c r="K4741" s="10">
        <f t="shared" si="74"/>
        <v>1316658</v>
      </c>
    </row>
    <row r="4742" spans="1:11">
      <c r="A4742" t="s">
        <v>2470</v>
      </c>
      <c r="B4742" s="10">
        <v>2022</v>
      </c>
      <c r="C4742" t="s">
        <v>1258</v>
      </c>
      <c r="D4742" t="s">
        <v>2472</v>
      </c>
      <c r="E4742" t="s">
        <v>2474</v>
      </c>
      <c r="F4742" t="s">
        <v>1204</v>
      </c>
      <c r="G4742" t="s">
        <v>1204</v>
      </c>
      <c r="H4742" s="10">
        <v>1480036</v>
      </c>
      <c r="I4742" t="str">
        <f>IFERROR(VLOOKUP(Final!F4742,'LEAID Match'!$A$2:$B$374,2,FALSE),"")</f>
        <v/>
      </c>
      <c r="K4742" s="10">
        <f t="shared" si="74"/>
        <v>1480036</v>
      </c>
    </row>
    <row r="4743" spans="1:11">
      <c r="A4743" t="s">
        <v>2470</v>
      </c>
      <c r="B4743" s="10">
        <v>2023</v>
      </c>
      <c r="C4743" t="s">
        <v>1258</v>
      </c>
      <c r="D4743" t="s">
        <v>2472</v>
      </c>
      <c r="E4743" t="s">
        <v>2474</v>
      </c>
      <c r="F4743" t="s">
        <v>1204</v>
      </c>
      <c r="G4743" t="s">
        <v>1204</v>
      </c>
      <c r="H4743" s="10">
        <v>1638683</v>
      </c>
      <c r="I4743" t="str">
        <f>IFERROR(VLOOKUP(Final!F4743,'LEAID Match'!$A$2:$B$374,2,FALSE),"")</f>
        <v/>
      </c>
      <c r="K4743" s="10">
        <f t="shared" si="74"/>
        <v>1638683</v>
      </c>
    </row>
    <row r="4744" spans="1:11">
      <c r="A4744" t="s">
        <v>2470</v>
      </c>
      <c r="B4744" s="10">
        <v>2015</v>
      </c>
      <c r="C4744" t="s">
        <v>1357</v>
      </c>
      <c r="D4744" t="s">
        <v>2472</v>
      </c>
      <c r="E4744" t="s">
        <v>2474</v>
      </c>
      <c r="F4744" t="s">
        <v>2039</v>
      </c>
      <c r="G4744" t="s">
        <v>1309</v>
      </c>
      <c r="H4744" s="10">
        <v>141502</v>
      </c>
      <c r="I4744" t="str">
        <f>IFERROR(VLOOKUP(Final!F4744,'LEAID Match'!$A$2:$B$374,2,FALSE),"")</f>
        <v/>
      </c>
      <c r="K4744" s="10">
        <f t="shared" si="74"/>
        <v>141502</v>
      </c>
    </row>
    <row r="4745" spans="1:11">
      <c r="A4745" t="s">
        <v>2470</v>
      </c>
      <c r="B4745" s="10">
        <v>2016</v>
      </c>
      <c r="C4745" t="s">
        <v>1357</v>
      </c>
      <c r="D4745" t="s">
        <v>2472</v>
      </c>
      <c r="E4745" t="s">
        <v>2474</v>
      </c>
      <c r="F4745" t="s">
        <v>2039</v>
      </c>
      <c r="G4745" t="s">
        <v>1309</v>
      </c>
      <c r="H4745" s="10">
        <v>138326</v>
      </c>
      <c r="I4745" t="str">
        <f>IFERROR(VLOOKUP(Final!F4745,'LEAID Match'!$A$2:$B$374,2,FALSE),"")</f>
        <v/>
      </c>
      <c r="K4745" s="10">
        <f t="shared" si="74"/>
        <v>138326</v>
      </c>
    </row>
    <row r="4746" spans="1:11">
      <c r="A4746" t="s">
        <v>2470</v>
      </c>
      <c r="B4746" s="10">
        <v>2017</v>
      </c>
      <c r="C4746" t="s">
        <v>1357</v>
      </c>
      <c r="D4746" t="s">
        <v>2472</v>
      </c>
      <c r="E4746" t="s">
        <v>2474</v>
      </c>
      <c r="F4746" t="s">
        <v>2039</v>
      </c>
      <c r="G4746" t="s">
        <v>2039</v>
      </c>
      <c r="H4746" s="10">
        <v>141229</v>
      </c>
      <c r="I4746" t="str">
        <f>IFERROR(VLOOKUP(Final!F4746,'LEAID Match'!$A$2:$B$374,2,FALSE),"")</f>
        <v/>
      </c>
      <c r="K4746" s="10">
        <f t="shared" si="74"/>
        <v>141229</v>
      </c>
    </row>
    <row r="4747" spans="1:11">
      <c r="A4747" t="s">
        <v>2470</v>
      </c>
      <c r="B4747" s="10">
        <v>2018</v>
      </c>
      <c r="C4747" t="s">
        <v>1357</v>
      </c>
      <c r="D4747" t="s">
        <v>2472</v>
      </c>
      <c r="E4747" t="s">
        <v>2474</v>
      </c>
      <c r="F4747" t="s">
        <v>2039</v>
      </c>
      <c r="G4747" t="s">
        <v>2347</v>
      </c>
      <c r="H4747" s="10">
        <v>142713</v>
      </c>
      <c r="I4747" t="str">
        <f>IFERROR(VLOOKUP(Final!F4747,'LEAID Match'!$A$2:$B$374,2,FALSE),"")</f>
        <v/>
      </c>
      <c r="K4747" s="10">
        <f t="shared" si="74"/>
        <v>142713</v>
      </c>
    </row>
    <row r="4748" spans="1:11">
      <c r="A4748" t="s">
        <v>2470</v>
      </c>
      <c r="B4748" s="10">
        <v>2019</v>
      </c>
      <c r="C4748" t="s">
        <v>1357</v>
      </c>
      <c r="D4748" t="s">
        <v>2472</v>
      </c>
      <c r="E4748" t="s">
        <v>2474</v>
      </c>
      <c r="F4748" t="s">
        <v>2039</v>
      </c>
      <c r="G4748" t="s">
        <v>2039</v>
      </c>
      <c r="H4748" s="10">
        <v>143799</v>
      </c>
      <c r="I4748" t="str">
        <f>IFERROR(VLOOKUP(Final!F4748,'LEAID Match'!$A$2:$B$374,2,FALSE),"")</f>
        <v/>
      </c>
      <c r="K4748" s="10">
        <f t="shared" si="74"/>
        <v>143799</v>
      </c>
    </row>
    <row r="4749" spans="1:11">
      <c r="A4749" t="s">
        <v>2470</v>
      </c>
      <c r="B4749" s="10">
        <v>2020</v>
      </c>
      <c r="C4749" t="s">
        <v>1357</v>
      </c>
      <c r="D4749" t="s">
        <v>2472</v>
      </c>
      <c r="E4749" t="s">
        <v>2474</v>
      </c>
      <c r="F4749" t="s">
        <v>2039</v>
      </c>
      <c r="G4749" t="s">
        <v>2039</v>
      </c>
      <c r="H4749" s="10">
        <v>155001</v>
      </c>
      <c r="I4749" t="str">
        <f>IFERROR(VLOOKUP(Final!F4749,'LEAID Match'!$A$2:$B$374,2,FALSE),"")</f>
        <v/>
      </c>
      <c r="K4749" s="10">
        <f t="shared" si="74"/>
        <v>155001</v>
      </c>
    </row>
    <row r="4750" spans="1:11">
      <c r="A4750" t="s">
        <v>2470</v>
      </c>
      <c r="B4750" s="10">
        <v>2021</v>
      </c>
      <c r="C4750" t="s">
        <v>1357</v>
      </c>
      <c r="D4750" t="s">
        <v>2472</v>
      </c>
      <c r="E4750" t="s">
        <v>2474</v>
      </c>
      <c r="F4750" t="s">
        <v>2039</v>
      </c>
      <c r="G4750" t="s">
        <v>2039</v>
      </c>
      <c r="H4750" s="10">
        <v>171523</v>
      </c>
      <c r="I4750" t="str">
        <f>IFERROR(VLOOKUP(Final!F4750,'LEAID Match'!$A$2:$B$374,2,FALSE),"")</f>
        <v/>
      </c>
      <c r="K4750" s="10">
        <f t="shared" si="74"/>
        <v>171523</v>
      </c>
    </row>
    <row r="4751" spans="1:11">
      <c r="A4751" t="s">
        <v>2470</v>
      </c>
      <c r="B4751" s="10">
        <v>2022</v>
      </c>
      <c r="C4751" t="s">
        <v>1357</v>
      </c>
      <c r="D4751" t="s">
        <v>2472</v>
      </c>
      <c r="E4751" t="s">
        <v>2474</v>
      </c>
      <c r="F4751" t="s">
        <v>2039</v>
      </c>
      <c r="G4751" t="s">
        <v>2039</v>
      </c>
      <c r="H4751" s="10">
        <v>177047</v>
      </c>
      <c r="I4751" t="str">
        <f>IFERROR(VLOOKUP(Final!F4751,'LEAID Match'!$A$2:$B$374,2,FALSE),"")</f>
        <v/>
      </c>
      <c r="K4751" s="10">
        <f t="shared" si="74"/>
        <v>177047</v>
      </c>
    </row>
    <row r="4752" spans="1:11">
      <c r="A4752" t="s">
        <v>2470</v>
      </c>
      <c r="B4752" s="10">
        <v>2023</v>
      </c>
      <c r="C4752" t="s">
        <v>1357</v>
      </c>
      <c r="D4752" t="s">
        <v>2472</v>
      </c>
      <c r="E4752" t="s">
        <v>2474</v>
      </c>
      <c r="F4752" t="s">
        <v>2039</v>
      </c>
      <c r="G4752" t="s">
        <v>2039</v>
      </c>
      <c r="H4752" s="10">
        <v>174300</v>
      </c>
      <c r="I4752" t="str">
        <f>IFERROR(VLOOKUP(Final!F4752,'LEAID Match'!$A$2:$B$374,2,FALSE),"")</f>
        <v/>
      </c>
      <c r="K4752" s="10">
        <f t="shared" si="74"/>
        <v>174300</v>
      </c>
    </row>
    <row r="4753" spans="1:11">
      <c r="A4753" t="s">
        <v>2470</v>
      </c>
      <c r="B4753" s="10">
        <v>2015</v>
      </c>
      <c r="C4753" t="s">
        <v>1216</v>
      </c>
      <c r="D4753" t="s">
        <v>2472</v>
      </c>
      <c r="E4753" t="s">
        <v>2474</v>
      </c>
      <c r="F4753" t="s">
        <v>1162</v>
      </c>
      <c r="G4753" t="s">
        <v>1162</v>
      </c>
      <c r="H4753" s="10"/>
      <c r="I4753" t="str">
        <f>IFERROR(VLOOKUP(Final!F4753,'LEAID Match'!$A$2:$B$374,2,FALSE),"")</f>
        <v/>
      </c>
      <c r="K4753" s="10">
        <f t="shared" si="74"/>
        <v>0</v>
      </c>
    </row>
    <row r="4754" spans="1:11">
      <c r="A4754" t="s">
        <v>2470</v>
      </c>
      <c r="B4754" s="10">
        <v>2016</v>
      </c>
      <c r="C4754" t="s">
        <v>1216</v>
      </c>
      <c r="D4754" t="s">
        <v>2472</v>
      </c>
      <c r="E4754" t="s">
        <v>2474</v>
      </c>
      <c r="F4754" t="s">
        <v>1162</v>
      </c>
      <c r="G4754" t="s">
        <v>1162</v>
      </c>
      <c r="H4754" s="10"/>
      <c r="I4754" t="str">
        <f>IFERROR(VLOOKUP(Final!F4754,'LEAID Match'!$A$2:$B$374,2,FALSE),"")</f>
        <v/>
      </c>
      <c r="K4754" s="10">
        <f t="shared" si="74"/>
        <v>0</v>
      </c>
    </row>
    <row r="4755" spans="1:11">
      <c r="A4755" t="s">
        <v>2470</v>
      </c>
      <c r="B4755" s="10">
        <v>2017</v>
      </c>
      <c r="C4755" t="s">
        <v>1216</v>
      </c>
      <c r="D4755" t="s">
        <v>2472</v>
      </c>
      <c r="E4755" t="s">
        <v>2474</v>
      </c>
      <c r="F4755" t="s">
        <v>1162</v>
      </c>
      <c r="G4755" t="s">
        <v>1162</v>
      </c>
      <c r="H4755" s="10"/>
      <c r="I4755" t="str">
        <f>IFERROR(VLOOKUP(Final!F4755,'LEAID Match'!$A$2:$B$374,2,FALSE),"")</f>
        <v/>
      </c>
      <c r="K4755" s="10">
        <f t="shared" si="74"/>
        <v>0</v>
      </c>
    </row>
    <row r="4756" spans="1:11">
      <c r="A4756" t="s">
        <v>2470</v>
      </c>
      <c r="B4756" s="10">
        <v>2018</v>
      </c>
      <c r="C4756" t="s">
        <v>1216</v>
      </c>
      <c r="D4756" t="s">
        <v>2472</v>
      </c>
      <c r="E4756" t="s">
        <v>2474</v>
      </c>
      <c r="F4756" t="s">
        <v>1162</v>
      </c>
      <c r="G4756" t="s">
        <v>1162</v>
      </c>
      <c r="H4756" s="10"/>
      <c r="I4756" t="str">
        <f>IFERROR(VLOOKUP(Final!F4756,'LEAID Match'!$A$2:$B$374,2,FALSE),"")</f>
        <v/>
      </c>
      <c r="K4756" s="10">
        <f t="shared" si="74"/>
        <v>0</v>
      </c>
    </row>
    <row r="4757" spans="1:11">
      <c r="A4757" t="s">
        <v>2470</v>
      </c>
      <c r="B4757" s="10">
        <v>2015</v>
      </c>
      <c r="C4757" t="s">
        <v>82</v>
      </c>
      <c r="D4757" t="s">
        <v>2472</v>
      </c>
      <c r="E4757" t="s">
        <v>2474</v>
      </c>
      <c r="F4757" t="s">
        <v>1509</v>
      </c>
      <c r="G4757" t="s">
        <v>29</v>
      </c>
      <c r="H4757" s="10">
        <v>34884</v>
      </c>
      <c r="I4757" t="str">
        <f>IFERROR(VLOOKUP(Final!F4757,'LEAID Match'!$A$2:$B$374,2,FALSE),"")</f>
        <v/>
      </c>
      <c r="K4757" s="10">
        <f t="shared" si="74"/>
        <v>34884</v>
      </c>
    </row>
    <row r="4758" spans="1:11">
      <c r="A4758" t="s">
        <v>2470</v>
      </c>
      <c r="B4758" s="10">
        <v>2016</v>
      </c>
      <c r="C4758" t="s">
        <v>82</v>
      </c>
      <c r="D4758" t="s">
        <v>2472</v>
      </c>
      <c r="E4758" t="s">
        <v>2474</v>
      </c>
      <c r="F4758" t="s">
        <v>1509</v>
      </c>
      <c r="G4758" t="s">
        <v>29</v>
      </c>
      <c r="H4758" s="10">
        <v>34417</v>
      </c>
      <c r="I4758" t="str">
        <f>IFERROR(VLOOKUP(Final!F4758,'LEAID Match'!$A$2:$B$374,2,FALSE),"")</f>
        <v/>
      </c>
      <c r="K4758" s="10">
        <f t="shared" si="74"/>
        <v>34417</v>
      </c>
    </row>
    <row r="4759" spans="1:11">
      <c r="A4759" t="s">
        <v>2470</v>
      </c>
      <c r="B4759" s="10">
        <v>2017</v>
      </c>
      <c r="C4759" t="s">
        <v>82</v>
      </c>
      <c r="D4759" t="s">
        <v>2472</v>
      </c>
      <c r="E4759" t="s">
        <v>2474</v>
      </c>
      <c r="F4759" t="s">
        <v>1509</v>
      </c>
      <c r="G4759" t="s">
        <v>1509</v>
      </c>
      <c r="H4759" s="10">
        <v>36339</v>
      </c>
      <c r="I4759" t="str">
        <f>IFERROR(VLOOKUP(Final!F4759,'LEAID Match'!$A$2:$B$374,2,FALSE),"")</f>
        <v/>
      </c>
      <c r="K4759" s="10">
        <f t="shared" si="74"/>
        <v>36339</v>
      </c>
    </row>
    <row r="4760" spans="1:11">
      <c r="A4760" t="s">
        <v>2470</v>
      </c>
      <c r="B4760" s="10">
        <v>2018</v>
      </c>
      <c r="C4760" t="s">
        <v>82</v>
      </c>
      <c r="D4760" t="s">
        <v>2472</v>
      </c>
      <c r="E4760" t="s">
        <v>2474</v>
      </c>
      <c r="F4760" t="s">
        <v>1509</v>
      </c>
      <c r="G4760" t="s">
        <v>1509</v>
      </c>
      <c r="H4760" s="10">
        <v>37897</v>
      </c>
      <c r="I4760" t="str">
        <f>IFERROR(VLOOKUP(Final!F4760,'LEAID Match'!$A$2:$B$374,2,FALSE),"")</f>
        <v/>
      </c>
      <c r="K4760" s="10">
        <f t="shared" si="74"/>
        <v>37897</v>
      </c>
    </row>
    <row r="4761" spans="1:11">
      <c r="A4761" t="s">
        <v>2470</v>
      </c>
      <c r="B4761" s="10">
        <v>2019</v>
      </c>
      <c r="C4761" t="s">
        <v>82</v>
      </c>
      <c r="D4761" t="s">
        <v>2472</v>
      </c>
      <c r="E4761" t="s">
        <v>2474</v>
      </c>
      <c r="F4761" t="s">
        <v>1509</v>
      </c>
      <c r="G4761" t="s">
        <v>1509</v>
      </c>
      <c r="H4761" s="10">
        <v>36164</v>
      </c>
      <c r="I4761" t="str">
        <f>IFERROR(VLOOKUP(Final!F4761,'LEAID Match'!$A$2:$B$374,2,FALSE),"")</f>
        <v/>
      </c>
      <c r="K4761" s="10">
        <f t="shared" si="74"/>
        <v>36164</v>
      </c>
    </row>
    <row r="4762" spans="1:11">
      <c r="A4762" t="s">
        <v>2470</v>
      </c>
      <c r="B4762" s="10">
        <v>2020</v>
      </c>
      <c r="C4762" t="s">
        <v>82</v>
      </c>
      <c r="D4762" t="s">
        <v>2472</v>
      </c>
      <c r="E4762" t="s">
        <v>2474</v>
      </c>
      <c r="F4762" t="s">
        <v>1509</v>
      </c>
      <c r="G4762" t="s">
        <v>1509</v>
      </c>
      <c r="H4762" s="10">
        <v>45471</v>
      </c>
      <c r="I4762" t="str">
        <f>IFERROR(VLOOKUP(Final!F4762,'LEAID Match'!$A$2:$B$374,2,FALSE),"")</f>
        <v/>
      </c>
      <c r="K4762" s="10">
        <f t="shared" si="74"/>
        <v>45471</v>
      </c>
    </row>
    <row r="4763" spans="1:11">
      <c r="A4763" t="s">
        <v>2470</v>
      </c>
      <c r="B4763" s="10">
        <v>2021</v>
      </c>
      <c r="C4763" t="s">
        <v>82</v>
      </c>
      <c r="D4763" t="s">
        <v>2472</v>
      </c>
      <c r="E4763" t="s">
        <v>2474</v>
      </c>
      <c r="F4763" t="s">
        <v>1509</v>
      </c>
      <c r="G4763" t="s">
        <v>1509</v>
      </c>
      <c r="H4763" s="10">
        <v>46498</v>
      </c>
      <c r="I4763" t="str">
        <f>IFERROR(VLOOKUP(Final!F4763,'LEAID Match'!$A$2:$B$374,2,FALSE),"")</f>
        <v/>
      </c>
      <c r="K4763" s="10">
        <f t="shared" si="74"/>
        <v>46498</v>
      </c>
    </row>
    <row r="4764" spans="1:11">
      <c r="A4764" t="s">
        <v>2470</v>
      </c>
      <c r="B4764" s="10">
        <v>2022</v>
      </c>
      <c r="C4764" t="s">
        <v>82</v>
      </c>
      <c r="D4764" t="s">
        <v>2472</v>
      </c>
      <c r="E4764" t="s">
        <v>2474</v>
      </c>
      <c r="F4764" t="s">
        <v>1509</v>
      </c>
      <c r="G4764" t="s">
        <v>1509</v>
      </c>
      <c r="H4764" s="10">
        <v>48703</v>
      </c>
      <c r="I4764" t="str">
        <f>IFERROR(VLOOKUP(Final!F4764,'LEAID Match'!$A$2:$B$374,2,FALSE),"")</f>
        <v/>
      </c>
      <c r="K4764" s="10">
        <f t="shared" si="74"/>
        <v>48703</v>
      </c>
    </row>
    <row r="4765" spans="1:11">
      <c r="A4765" t="s">
        <v>2470</v>
      </c>
      <c r="B4765" s="10">
        <v>2023</v>
      </c>
      <c r="C4765" t="s">
        <v>82</v>
      </c>
      <c r="D4765" t="s">
        <v>2472</v>
      </c>
      <c r="E4765" t="s">
        <v>2474</v>
      </c>
      <c r="F4765" t="s">
        <v>1509</v>
      </c>
      <c r="G4765" t="s">
        <v>1509</v>
      </c>
      <c r="H4765" s="10">
        <v>44758</v>
      </c>
      <c r="I4765" t="str">
        <f>IFERROR(VLOOKUP(Final!F4765,'LEAID Match'!$A$2:$B$374,2,FALSE),"")</f>
        <v/>
      </c>
      <c r="K4765" s="10">
        <f t="shared" si="74"/>
        <v>44758</v>
      </c>
    </row>
    <row r="4766" spans="1:11">
      <c r="A4766" t="s">
        <v>2470</v>
      </c>
      <c r="B4766" s="10">
        <v>2015</v>
      </c>
      <c r="C4766" t="s">
        <v>1351</v>
      </c>
      <c r="D4766" t="s">
        <v>2472</v>
      </c>
      <c r="E4766" t="s">
        <v>2474</v>
      </c>
      <c r="F4766" t="s">
        <v>2415</v>
      </c>
      <c r="G4766" t="s">
        <v>1303</v>
      </c>
      <c r="H4766" s="10">
        <v>20990</v>
      </c>
      <c r="I4766" t="str">
        <f>IFERROR(VLOOKUP(Final!F4766,'LEAID Match'!$A$2:$B$374,2,FALSE),"")</f>
        <v/>
      </c>
      <c r="K4766" s="10">
        <f t="shared" si="74"/>
        <v>20990</v>
      </c>
    </row>
    <row r="4767" spans="1:11">
      <c r="A4767" t="s">
        <v>2470</v>
      </c>
      <c r="B4767" s="10">
        <v>2016</v>
      </c>
      <c r="C4767" t="s">
        <v>1351</v>
      </c>
      <c r="D4767" t="s">
        <v>2472</v>
      </c>
      <c r="E4767" t="s">
        <v>2474</v>
      </c>
      <c r="F4767" t="s">
        <v>2415</v>
      </c>
      <c r="G4767" t="s">
        <v>1303</v>
      </c>
      <c r="H4767" s="10">
        <v>25290</v>
      </c>
      <c r="I4767" t="str">
        <f>IFERROR(VLOOKUP(Final!F4767,'LEAID Match'!$A$2:$B$374,2,FALSE),"")</f>
        <v/>
      </c>
      <c r="K4767" s="10">
        <f t="shared" si="74"/>
        <v>25290</v>
      </c>
    </row>
    <row r="4768" spans="1:11">
      <c r="A4768" t="s">
        <v>2470</v>
      </c>
      <c r="B4768" s="10">
        <v>2017</v>
      </c>
      <c r="C4768" t="s">
        <v>1351</v>
      </c>
      <c r="D4768" t="s">
        <v>2472</v>
      </c>
      <c r="E4768" t="s">
        <v>2474</v>
      </c>
      <c r="F4768" t="s">
        <v>2415</v>
      </c>
      <c r="G4768" t="s">
        <v>2036</v>
      </c>
      <c r="H4768" s="10">
        <v>26473</v>
      </c>
      <c r="I4768" t="str">
        <f>IFERROR(VLOOKUP(Final!F4768,'LEAID Match'!$A$2:$B$374,2,FALSE),"")</f>
        <v/>
      </c>
      <c r="K4768" s="10">
        <f t="shared" si="74"/>
        <v>26473</v>
      </c>
    </row>
    <row r="4769" spans="1:11">
      <c r="A4769" t="s">
        <v>2470</v>
      </c>
      <c r="B4769" s="10">
        <v>2018</v>
      </c>
      <c r="C4769" t="s">
        <v>1351</v>
      </c>
      <c r="D4769" t="s">
        <v>2472</v>
      </c>
      <c r="E4769" t="s">
        <v>2474</v>
      </c>
      <c r="F4769" t="s">
        <v>2415</v>
      </c>
      <c r="G4769" t="s">
        <v>2346</v>
      </c>
      <c r="H4769" s="10">
        <v>33344</v>
      </c>
      <c r="I4769" t="str">
        <f>IFERROR(VLOOKUP(Final!F4769,'LEAID Match'!$A$2:$B$374,2,FALSE),"")</f>
        <v/>
      </c>
      <c r="K4769" s="10">
        <f t="shared" si="74"/>
        <v>33344</v>
      </c>
    </row>
    <row r="4770" spans="1:11">
      <c r="A4770" t="s">
        <v>2470</v>
      </c>
      <c r="B4770" s="10">
        <v>2019</v>
      </c>
      <c r="C4770" t="s">
        <v>1351</v>
      </c>
      <c r="D4770" t="s">
        <v>2472</v>
      </c>
      <c r="E4770" t="s">
        <v>2474</v>
      </c>
      <c r="F4770" t="s">
        <v>2415</v>
      </c>
      <c r="G4770" t="s">
        <v>2397</v>
      </c>
      <c r="H4770" s="10">
        <v>33003</v>
      </c>
      <c r="I4770" t="str">
        <f>IFERROR(VLOOKUP(Final!F4770,'LEAID Match'!$A$2:$B$374,2,FALSE),"")</f>
        <v/>
      </c>
      <c r="K4770" s="10">
        <f t="shared" si="74"/>
        <v>33003</v>
      </c>
    </row>
    <row r="4771" spans="1:11">
      <c r="A4771" t="s">
        <v>2470</v>
      </c>
      <c r="B4771" s="10">
        <v>2020</v>
      </c>
      <c r="C4771" t="s">
        <v>1351</v>
      </c>
      <c r="D4771" t="s">
        <v>2472</v>
      </c>
      <c r="E4771" t="s">
        <v>2474</v>
      </c>
      <c r="F4771" t="s">
        <v>2415</v>
      </c>
      <c r="G4771" t="s">
        <v>2415</v>
      </c>
      <c r="H4771" s="10">
        <v>38053</v>
      </c>
      <c r="I4771" t="str">
        <f>IFERROR(VLOOKUP(Final!F4771,'LEAID Match'!$A$2:$B$374,2,FALSE),"")</f>
        <v/>
      </c>
      <c r="K4771" s="10">
        <f t="shared" si="74"/>
        <v>38053</v>
      </c>
    </row>
    <row r="4772" spans="1:11">
      <c r="A4772" t="s">
        <v>2470</v>
      </c>
      <c r="B4772" s="10">
        <v>2021</v>
      </c>
      <c r="C4772" t="s">
        <v>1351</v>
      </c>
      <c r="D4772" t="s">
        <v>2472</v>
      </c>
      <c r="E4772" t="s">
        <v>2474</v>
      </c>
      <c r="F4772" t="s">
        <v>2415</v>
      </c>
      <c r="G4772" t="s">
        <v>2415</v>
      </c>
      <c r="H4772" s="10">
        <v>39751</v>
      </c>
      <c r="I4772" t="str">
        <f>IFERROR(VLOOKUP(Final!F4772,'LEAID Match'!$A$2:$B$374,2,FALSE),"")</f>
        <v/>
      </c>
      <c r="K4772" s="10">
        <f t="shared" si="74"/>
        <v>39751</v>
      </c>
    </row>
    <row r="4773" spans="1:11">
      <c r="A4773" t="s">
        <v>2470</v>
      </c>
      <c r="B4773" s="10">
        <v>2022</v>
      </c>
      <c r="C4773" t="s">
        <v>1351</v>
      </c>
      <c r="D4773" t="s">
        <v>2472</v>
      </c>
      <c r="E4773" t="s">
        <v>2474</v>
      </c>
      <c r="F4773" t="s">
        <v>2415</v>
      </c>
      <c r="G4773" t="s">
        <v>2415</v>
      </c>
      <c r="H4773" s="10">
        <v>40091</v>
      </c>
      <c r="I4773" t="str">
        <f>IFERROR(VLOOKUP(Final!F4773,'LEAID Match'!$A$2:$B$374,2,FALSE),"")</f>
        <v/>
      </c>
      <c r="K4773" s="10">
        <f t="shared" si="74"/>
        <v>40091</v>
      </c>
    </row>
    <row r="4774" spans="1:11">
      <c r="A4774" t="s">
        <v>2470</v>
      </c>
      <c r="B4774" s="10">
        <v>2023</v>
      </c>
      <c r="C4774" t="s">
        <v>1351</v>
      </c>
      <c r="D4774" t="s">
        <v>2472</v>
      </c>
      <c r="E4774" t="s">
        <v>2474</v>
      </c>
      <c r="F4774" t="s">
        <v>2415</v>
      </c>
      <c r="G4774" t="s">
        <v>2415</v>
      </c>
      <c r="H4774" s="10">
        <v>38001</v>
      </c>
      <c r="I4774" t="str">
        <f>IFERROR(VLOOKUP(Final!F4774,'LEAID Match'!$A$2:$B$374,2,FALSE),"")</f>
        <v/>
      </c>
      <c r="K4774" s="10">
        <f t="shared" si="74"/>
        <v>38001</v>
      </c>
    </row>
    <row r="4775" spans="1:11">
      <c r="A4775" t="s">
        <v>2470</v>
      </c>
      <c r="B4775" s="10">
        <v>2015</v>
      </c>
      <c r="C4775" t="s">
        <v>818</v>
      </c>
      <c r="D4775" t="s">
        <v>2472</v>
      </c>
      <c r="E4775" t="s">
        <v>2474</v>
      </c>
      <c r="F4775" t="s">
        <v>2445</v>
      </c>
      <c r="G4775" t="s">
        <v>763</v>
      </c>
      <c r="H4775" s="10">
        <v>22560</v>
      </c>
      <c r="I4775" t="str">
        <f>IFERROR(VLOOKUP(Final!F4775,'LEAID Match'!$A$2:$B$374,2,FALSE),"")</f>
        <v/>
      </c>
      <c r="K4775" s="10">
        <f t="shared" si="74"/>
        <v>22560</v>
      </c>
    </row>
    <row r="4776" spans="1:11">
      <c r="A4776" t="s">
        <v>2470</v>
      </c>
      <c r="B4776" s="10">
        <v>2016</v>
      </c>
      <c r="C4776" t="s">
        <v>818</v>
      </c>
      <c r="D4776" t="s">
        <v>2472</v>
      </c>
      <c r="E4776" t="s">
        <v>2474</v>
      </c>
      <c r="F4776" t="s">
        <v>2445</v>
      </c>
      <c r="G4776" t="s">
        <v>763</v>
      </c>
      <c r="H4776" s="10">
        <v>23207</v>
      </c>
      <c r="I4776" t="str">
        <f>IFERROR(VLOOKUP(Final!F4776,'LEAID Match'!$A$2:$B$374,2,FALSE),"")</f>
        <v/>
      </c>
      <c r="K4776" s="10">
        <f t="shared" si="74"/>
        <v>23207</v>
      </c>
    </row>
    <row r="4777" spans="1:11">
      <c r="A4777" t="s">
        <v>2470</v>
      </c>
      <c r="B4777" s="10">
        <v>2017</v>
      </c>
      <c r="C4777" t="s">
        <v>818</v>
      </c>
      <c r="D4777" t="s">
        <v>2472</v>
      </c>
      <c r="E4777" t="s">
        <v>2474</v>
      </c>
      <c r="F4777" t="s">
        <v>2445</v>
      </c>
      <c r="G4777" t="s">
        <v>1821</v>
      </c>
      <c r="H4777" s="10">
        <v>23030</v>
      </c>
      <c r="I4777" t="str">
        <f>IFERROR(VLOOKUP(Final!F4777,'LEAID Match'!$A$2:$B$374,2,FALSE),"")</f>
        <v/>
      </c>
      <c r="K4777" s="10">
        <f t="shared" si="74"/>
        <v>23030</v>
      </c>
    </row>
    <row r="4778" spans="1:11">
      <c r="A4778" t="s">
        <v>2470</v>
      </c>
      <c r="B4778" s="10">
        <v>2018</v>
      </c>
      <c r="C4778" t="s">
        <v>818</v>
      </c>
      <c r="D4778" t="s">
        <v>2472</v>
      </c>
      <c r="E4778" t="s">
        <v>2474</v>
      </c>
      <c r="F4778" t="s">
        <v>2445</v>
      </c>
      <c r="G4778" t="s">
        <v>2246</v>
      </c>
      <c r="H4778" s="10">
        <v>23274</v>
      </c>
      <c r="I4778" t="str">
        <f>IFERROR(VLOOKUP(Final!F4778,'LEAID Match'!$A$2:$B$374,2,FALSE),"")</f>
        <v/>
      </c>
      <c r="K4778" s="10">
        <f t="shared" si="74"/>
        <v>23274</v>
      </c>
    </row>
    <row r="4779" spans="1:11">
      <c r="A4779" t="s">
        <v>2470</v>
      </c>
      <c r="B4779" s="10">
        <v>2019</v>
      </c>
      <c r="C4779" t="s">
        <v>818</v>
      </c>
      <c r="D4779" t="s">
        <v>2472</v>
      </c>
      <c r="E4779" t="s">
        <v>2474</v>
      </c>
      <c r="F4779" t="s">
        <v>2445</v>
      </c>
      <c r="G4779" t="s">
        <v>1821</v>
      </c>
      <c r="H4779" s="10">
        <v>23912</v>
      </c>
      <c r="I4779" t="str">
        <f>IFERROR(VLOOKUP(Final!F4779,'LEAID Match'!$A$2:$B$374,2,FALSE),"")</f>
        <v/>
      </c>
      <c r="K4779" s="10">
        <f t="shared" si="74"/>
        <v>23912</v>
      </c>
    </row>
    <row r="4780" spans="1:11">
      <c r="A4780" t="s">
        <v>2470</v>
      </c>
      <c r="B4780" s="10">
        <v>2020</v>
      </c>
      <c r="C4780" t="s">
        <v>818</v>
      </c>
      <c r="D4780" t="s">
        <v>2472</v>
      </c>
      <c r="E4780" t="s">
        <v>2474</v>
      </c>
      <c r="F4780" t="s">
        <v>2445</v>
      </c>
      <c r="G4780" t="s">
        <v>1821</v>
      </c>
      <c r="H4780" s="10">
        <v>16248</v>
      </c>
      <c r="I4780" t="str">
        <f>IFERROR(VLOOKUP(Final!F4780,'LEAID Match'!$A$2:$B$374,2,FALSE),"")</f>
        <v/>
      </c>
      <c r="K4780" s="10">
        <f t="shared" si="74"/>
        <v>16248</v>
      </c>
    </row>
    <row r="4781" spans="1:11">
      <c r="A4781" t="s">
        <v>2470</v>
      </c>
      <c r="B4781" s="10">
        <v>2021</v>
      </c>
      <c r="C4781" t="s">
        <v>818</v>
      </c>
      <c r="D4781" t="s">
        <v>2472</v>
      </c>
      <c r="E4781" t="s">
        <v>2474</v>
      </c>
      <c r="F4781" t="s">
        <v>2445</v>
      </c>
      <c r="G4781" t="s">
        <v>1821</v>
      </c>
      <c r="H4781" s="10">
        <v>16128</v>
      </c>
      <c r="I4781" t="str">
        <f>IFERROR(VLOOKUP(Final!F4781,'LEAID Match'!$A$2:$B$374,2,FALSE),"")</f>
        <v/>
      </c>
      <c r="K4781" s="10">
        <f t="shared" si="74"/>
        <v>16128</v>
      </c>
    </row>
    <row r="4782" spans="1:11">
      <c r="A4782" t="s">
        <v>2470</v>
      </c>
      <c r="B4782" s="10">
        <v>2022</v>
      </c>
      <c r="C4782" t="s">
        <v>818</v>
      </c>
      <c r="D4782" t="s">
        <v>2472</v>
      </c>
      <c r="E4782" t="s">
        <v>2474</v>
      </c>
      <c r="F4782" t="s">
        <v>2445</v>
      </c>
      <c r="G4782" t="s">
        <v>2445</v>
      </c>
      <c r="H4782" s="10">
        <v>16433</v>
      </c>
      <c r="I4782" t="str">
        <f>IFERROR(VLOOKUP(Final!F4782,'LEAID Match'!$A$2:$B$374,2,FALSE),"")</f>
        <v/>
      </c>
      <c r="K4782" s="10">
        <f t="shared" si="74"/>
        <v>16433</v>
      </c>
    </row>
    <row r="4783" spans="1:11">
      <c r="A4783" t="s">
        <v>2470</v>
      </c>
      <c r="B4783" s="10">
        <v>2023</v>
      </c>
      <c r="C4783" t="s">
        <v>818</v>
      </c>
      <c r="D4783" t="s">
        <v>2472</v>
      </c>
      <c r="E4783" t="s">
        <v>2474</v>
      </c>
      <c r="F4783" t="s">
        <v>2445</v>
      </c>
      <c r="G4783" t="s">
        <v>2445</v>
      </c>
      <c r="H4783" s="10">
        <v>12821</v>
      </c>
      <c r="I4783" t="str">
        <f>IFERROR(VLOOKUP(Final!F4783,'LEAID Match'!$A$2:$B$374,2,FALSE),"")</f>
        <v/>
      </c>
      <c r="K4783" s="10">
        <f t="shared" si="74"/>
        <v>12821</v>
      </c>
    </row>
    <row r="4784" spans="1:11">
      <c r="A4784" t="s">
        <v>2470</v>
      </c>
      <c r="B4784" s="10">
        <v>2015</v>
      </c>
      <c r="C4784" t="s">
        <v>341</v>
      </c>
      <c r="D4784" t="s">
        <v>2472</v>
      </c>
      <c r="E4784" t="s">
        <v>2474</v>
      </c>
      <c r="F4784" t="s">
        <v>287</v>
      </c>
      <c r="G4784" t="s">
        <v>287</v>
      </c>
      <c r="H4784" s="10">
        <v>31176</v>
      </c>
      <c r="I4784" t="str">
        <f>IFERROR(VLOOKUP(Final!F4784,'LEAID Match'!$A$2:$B$374,2,FALSE),"")</f>
        <v/>
      </c>
      <c r="K4784" s="10">
        <f t="shared" si="74"/>
        <v>31176</v>
      </c>
    </row>
    <row r="4785" spans="1:11">
      <c r="A4785" t="s">
        <v>2470</v>
      </c>
      <c r="B4785" s="10">
        <v>2016</v>
      </c>
      <c r="C4785" t="s">
        <v>341</v>
      </c>
      <c r="D4785" t="s">
        <v>2472</v>
      </c>
      <c r="E4785" t="s">
        <v>2474</v>
      </c>
      <c r="F4785" t="s">
        <v>287</v>
      </c>
      <c r="G4785" t="s">
        <v>287</v>
      </c>
      <c r="H4785" s="10">
        <v>27916</v>
      </c>
      <c r="I4785" t="str">
        <f>IFERROR(VLOOKUP(Final!F4785,'LEAID Match'!$A$2:$B$374,2,FALSE),"")</f>
        <v/>
      </c>
      <c r="K4785" s="10">
        <f t="shared" si="74"/>
        <v>27916</v>
      </c>
    </row>
    <row r="4786" spans="1:11">
      <c r="A4786" t="s">
        <v>2470</v>
      </c>
      <c r="B4786" s="10">
        <v>2017</v>
      </c>
      <c r="C4786" t="s">
        <v>341</v>
      </c>
      <c r="D4786" t="s">
        <v>2472</v>
      </c>
      <c r="E4786" t="s">
        <v>2474</v>
      </c>
      <c r="F4786" t="s">
        <v>287</v>
      </c>
      <c r="G4786" t="s">
        <v>287</v>
      </c>
      <c r="H4786" s="10"/>
      <c r="I4786" t="str">
        <f>IFERROR(VLOOKUP(Final!F4786,'LEAID Match'!$A$2:$B$374,2,FALSE),"")</f>
        <v/>
      </c>
      <c r="K4786" s="10">
        <f t="shared" si="74"/>
        <v>0</v>
      </c>
    </row>
    <row r="4787" spans="1:11">
      <c r="A4787" t="s">
        <v>2470</v>
      </c>
      <c r="B4787" s="10">
        <v>2018</v>
      </c>
      <c r="C4787" t="s">
        <v>341</v>
      </c>
      <c r="D4787" t="s">
        <v>2472</v>
      </c>
      <c r="E4787" t="s">
        <v>2474</v>
      </c>
      <c r="F4787" t="s">
        <v>287</v>
      </c>
      <c r="G4787" t="s">
        <v>287</v>
      </c>
      <c r="H4787" s="10"/>
      <c r="I4787" t="str">
        <f>IFERROR(VLOOKUP(Final!F4787,'LEAID Match'!$A$2:$B$374,2,FALSE),"")</f>
        <v/>
      </c>
      <c r="K4787" s="10">
        <f t="shared" si="74"/>
        <v>0</v>
      </c>
    </row>
    <row r="4788" spans="1:11">
      <c r="A4788" t="s">
        <v>2470</v>
      </c>
      <c r="B4788" s="10">
        <v>2019</v>
      </c>
      <c r="C4788" t="s">
        <v>341</v>
      </c>
      <c r="D4788" t="s">
        <v>2472</v>
      </c>
      <c r="E4788" t="s">
        <v>2474</v>
      </c>
      <c r="F4788" t="s">
        <v>287</v>
      </c>
      <c r="G4788" t="s">
        <v>287</v>
      </c>
      <c r="H4788" s="10"/>
      <c r="I4788" t="str">
        <f>IFERROR(VLOOKUP(Final!F4788,'LEAID Match'!$A$2:$B$374,2,FALSE),"")</f>
        <v/>
      </c>
      <c r="K4788" s="10">
        <f t="shared" si="74"/>
        <v>0</v>
      </c>
    </row>
    <row r="4789" spans="1:11">
      <c r="A4789" t="s">
        <v>2470</v>
      </c>
      <c r="B4789" s="10">
        <v>2020</v>
      </c>
      <c r="C4789" t="s">
        <v>341</v>
      </c>
      <c r="D4789" t="s">
        <v>2472</v>
      </c>
      <c r="E4789" t="s">
        <v>2474</v>
      </c>
      <c r="F4789" t="s">
        <v>287</v>
      </c>
      <c r="G4789" t="s">
        <v>287</v>
      </c>
      <c r="H4789" s="10"/>
      <c r="I4789" t="str">
        <f>IFERROR(VLOOKUP(Final!F4789,'LEAID Match'!$A$2:$B$374,2,FALSE),"")</f>
        <v/>
      </c>
      <c r="K4789" s="10">
        <f t="shared" si="74"/>
        <v>0</v>
      </c>
    </row>
    <row r="4790" spans="1:11">
      <c r="A4790" t="s">
        <v>2470</v>
      </c>
      <c r="B4790" s="10">
        <v>2015</v>
      </c>
      <c r="C4790" t="s">
        <v>1251</v>
      </c>
      <c r="D4790" t="s">
        <v>2472</v>
      </c>
      <c r="E4790" t="s">
        <v>2474</v>
      </c>
      <c r="F4790" t="s">
        <v>1998</v>
      </c>
      <c r="G4790" t="s">
        <v>1197</v>
      </c>
      <c r="H4790" s="10">
        <v>20958</v>
      </c>
      <c r="I4790" t="str">
        <f>IFERROR(VLOOKUP(Final!F4790,'LEAID Match'!$A$2:$B$374,2,FALSE),"")</f>
        <v/>
      </c>
      <c r="K4790" s="10">
        <f t="shared" si="74"/>
        <v>20958</v>
      </c>
    </row>
    <row r="4791" spans="1:11">
      <c r="A4791" t="s">
        <v>2470</v>
      </c>
      <c r="B4791" s="10">
        <v>2016</v>
      </c>
      <c r="C4791" t="s">
        <v>1251</v>
      </c>
      <c r="D4791" t="s">
        <v>2472</v>
      </c>
      <c r="E4791" t="s">
        <v>2474</v>
      </c>
      <c r="F4791" t="s">
        <v>1998</v>
      </c>
      <c r="G4791" t="s">
        <v>1197</v>
      </c>
      <c r="H4791" s="10">
        <v>19279</v>
      </c>
      <c r="I4791" t="str">
        <f>IFERROR(VLOOKUP(Final!F4791,'LEAID Match'!$A$2:$B$374,2,FALSE),"")</f>
        <v/>
      </c>
      <c r="K4791" s="10">
        <f t="shared" si="74"/>
        <v>19279</v>
      </c>
    </row>
    <row r="4792" spans="1:11">
      <c r="A4792" t="s">
        <v>2470</v>
      </c>
      <c r="B4792" s="10">
        <v>2017</v>
      </c>
      <c r="C4792" t="s">
        <v>1251</v>
      </c>
      <c r="D4792" t="s">
        <v>2472</v>
      </c>
      <c r="E4792" t="s">
        <v>2474</v>
      </c>
      <c r="F4792" t="s">
        <v>1998</v>
      </c>
      <c r="G4792" t="s">
        <v>1998</v>
      </c>
      <c r="H4792" s="10">
        <v>23618</v>
      </c>
      <c r="I4792" t="str">
        <f>IFERROR(VLOOKUP(Final!F4792,'LEAID Match'!$A$2:$B$374,2,FALSE),"")</f>
        <v/>
      </c>
      <c r="K4792" s="10">
        <f t="shared" si="74"/>
        <v>23618</v>
      </c>
    </row>
    <row r="4793" spans="1:11">
      <c r="A4793" t="s">
        <v>2470</v>
      </c>
      <c r="B4793" s="10">
        <v>2018</v>
      </c>
      <c r="C4793" t="s">
        <v>1251</v>
      </c>
      <c r="D4793" t="s">
        <v>2472</v>
      </c>
      <c r="E4793" t="s">
        <v>2474</v>
      </c>
      <c r="F4793" t="s">
        <v>1998</v>
      </c>
      <c r="G4793" t="s">
        <v>1998</v>
      </c>
      <c r="H4793" s="10">
        <v>25614</v>
      </c>
      <c r="I4793" t="str">
        <f>IFERROR(VLOOKUP(Final!F4793,'LEAID Match'!$A$2:$B$374,2,FALSE),"")</f>
        <v/>
      </c>
      <c r="K4793" s="10">
        <f t="shared" si="74"/>
        <v>25614</v>
      </c>
    </row>
    <row r="4794" spans="1:11">
      <c r="A4794" t="s">
        <v>2470</v>
      </c>
      <c r="B4794" s="10">
        <v>2019</v>
      </c>
      <c r="C4794" t="s">
        <v>1251</v>
      </c>
      <c r="D4794" t="s">
        <v>2472</v>
      </c>
      <c r="E4794" t="s">
        <v>2474</v>
      </c>
      <c r="F4794" t="s">
        <v>1998</v>
      </c>
      <c r="G4794" t="s">
        <v>1998</v>
      </c>
      <c r="H4794" s="10">
        <v>35006</v>
      </c>
      <c r="I4794" t="str">
        <f>IFERROR(VLOOKUP(Final!F4794,'LEAID Match'!$A$2:$B$374,2,FALSE),"")</f>
        <v/>
      </c>
      <c r="K4794" s="10">
        <f t="shared" si="74"/>
        <v>35006</v>
      </c>
    </row>
    <row r="4795" spans="1:11">
      <c r="A4795" t="s">
        <v>2470</v>
      </c>
      <c r="B4795" s="10">
        <v>2020</v>
      </c>
      <c r="C4795" t="s">
        <v>1251</v>
      </c>
      <c r="D4795" t="s">
        <v>2472</v>
      </c>
      <c r="E4795" t="s">
        <v>2474</v>
      </c>
      <c r="F4795" t="s">
        <v>1998</v>
      </c>
      <c r="G4795" t="s">
        <v>1998</v>
      </c>
      <c r="H4795" s="10">
        <v>36013</v>
      </c>
      <c r="I4795" t="str">
        <f>IFERROR(VLOOKUP(Final!F4795,'LEAID Match'!$A$2:$B$374,2,FALSE),"")</f>
        <v/>
      </c>
      <c r="K4795" s="10">
        <f t="shared" si="74"/>
        <v>36013</v>
      </c>
    </row>
    <row r="4796" spans="1:11">
      <c r="A4796" t="s">
        <v>2470</v>
      </c>
      <c r="B4796" s="10">
        <v>2021</v>
      </c>
      <c r="C4796" t="s">
        <v>1251</v>
      </c>
      <c r="D4796" t="s">
        <v>2472</v>
      </c>
      <c r="E4796" t="s">
        <v>2474</v>
      </c>
      <c r="F4796" t="s">
        <v>1998</v>
      </c>
      <c r="G4796" t="s">
        <v>1998</v>
      </c>
      <c r="H4796" s="10">
        <v>27894</v>
      </c>
      <c r="I4796" t="str">
        <f>IFERROR(VLOOKUP(Final!F4796,'LEAID Match'!$A$2:$B$374,2,FALSE),"")</f>
        <v/>
      </c>
      <c r="K4796" s="10">
        <f t="shared" si="74"/>
        <v>27894</v>
      </c>
    </row>
    <row r="4797" spans="1:11">
      <c r="A4797" t="s">
        <v>2470</v>
      </c>
      <c r="B4797" s="10">
        <v>2022</v>
      </c>
      <c r="C4797" t="s">
        <v>1251</v>
      </c>
      <c r="D4797" t="s">
        <v>2472</v>
      </c>
      <c r="E4797" t="s">
        <v>2474</v>
      </c>
      <c r="F4797" t="s">
        <v>1998</v>
      </c>
      <c r="G4797" t="s">
        <v>1998</v>
      </c>
      <c r="H4797" s="10">
        <v>28375</v>
      </c>
      <c r="I4797" t="str">
        <f>IFERROR(VLOOKUP(Final!F4797,'LEAID Match'!$A$2:$B$374,2,FALSE),"")</f>
        <v/>
      </c>
      <c r="K4797" s="10">
        <f t="shared" si="74"/>
        <v>28375</v>
      </c>
    </row>
    <row r="4798" spans="1:11">
      <c r="A4798" t="s">
        <v>2470</v>
      </c>
      <c r="B4798" s="10">
        <v>2023</v>
      </c>
      <c r="C4798" t="s">
        <v>1251</v>
      </c>
      <c r="D4798" t="s">
        <v>2472</v>
      </c>
      <c r="E4798" t="s">
        <v>2474</v>
      </c>
      <c r="F4798" t="s">
        <v>1998</v>
      </c>
      <c r="G4798" t="s">
        <v>1998</v>
      </c>
      <c r="H4798" s="10">
        <v>29867</v>
      </c>
      <c r="I4798" t="str">
        <f>IFERROR(VLOOKUP(Final!F4798,'LEAID Match'!$A$2:$B$374,2,FALSE),"")</f>
        <v/>
      </c>
      <c r="K4798" s="10">
        <f t="shared" si="74"/>
        <v>29867</v>
      </c>
    </row>
    <row r="4799" spans="1:11">
      <c r="A4799">
        <v>403660</v>
      </c>
      <c r="B4799" s="10">
        <v>2015</v>
      </c>
      <c r="C4799" t="s">
        <v>680</v>
      </c>
      <c r="D4799" t="s">
        <v>2472</v>
      </c>
      <c r="E4799" t="s">
        <v>2474</v>
      </c>
      <c r="F4799" t="s">
        <v>1743</v>
      </c>
      <c r="G4799" t="s">
        <v>625</v>
      </c>
      <c r="H4799" s="10">
        <v>41324</v>
      </c>
      <c r="I4799">
        <f>IFERROR(VLOOKUP(Final!F4799,'LEAID Match'!$A$2:$B$374,2,FALSE),"")</f>
        <v>403660</v>
      </c>
      <c r="K4799" s="10">
        <f t="shared" si="74"/>
        <v>41324</v>
      </c>
    </row>
    <row r="4800" spans="1:11">
      <c r="A4800">
        <v>403660</v>
      </c>
      <c r="B4800" s="10">
        <v>2016</v>
      </c>
      <c r="C4800" t="s">
        <v>680</v>
      </c>
      <c r="D4800" t="s">
        <v>2472</v>
      </c>
      <c r="E4800" t="s">
        <v>2474</v>
      </c>
      <c r="F4800" t="s">
        <v>1743</v>
      </c>
      <c r="G4800" t="s">
        <v>625</v>
      </c>
      <c r="H4800" s="10">
        <v>43527</v>
      </c>
      <c r="I4800">
        <f>IFERROR(VLOOKUP(Final!F4800,'LEAID Match'!$A$2:$B$374,2,FALSE),"")</f>
        <v>403660</v>
      </c>
      <c r="K4800" s="10">
        <f t="shared" si="74"/>
        <v>43527</v>
      </c>
    </row>
    <row r="4801" spans="1:11">
      <c r="A4801">
        <v>403660</v>
      </c>
      <c r="B4801" s="10">
        <v>2017</v>
      </c>
      <c r="C4801" t="s">
        <v>680</v>
      </c>
      <c r="D4801" t="s">
        <v>2472</v>
      </c>
      <c r="E4801" t="s">
        <v>2474</v>
      </c>
      <c r="F4801" t="s">
        <v>1743</v>
      </c>
      <c r="G4801" t="s">
        <v>1743</v>
      </c>
      <c r="H4801" s="10">
        <v>42695</v>
      </c>
      <c r="I4801">
        <f>IFERROR(VLOOKUP(Final!F4801,'LEAID Match'!$A$2:$B$374,2,FALSE),"")</f>
        <v>403660</v>
      </c>
      <c r="K4801" s="10">
        <f t="shared" si="74"/>
        <v>42695</v>
      </c>
    </row>
    <row r="4802" spans="1:11">
      <c r="A4802">
        <v>403660</v>
      </c>
      <c r="B4802" s="10">
        <v>2018</v>
      </c>
      <c r="C4802" t="s">
        <v>680</v>
      </c>
      <c r="D4802" t="s">
        <v>2472</v>
      </c>
      <c r="E4802" t="s">
        <v>2474</v>
      </c>
      <c r="F4802" t="s">
        <v>1743</v>
      </c>
      <c r="G4802" t="s">
        <v>2205</v>
      </c>
      <c r="H4802" s="10">
        <v>46285</v>
      </c>
      <c r="I4802">
        <f>IFERROR(VLOOKUP(Final!F4802,'LEAID Match'!$A$2:$B$374,2,FALSE),"")</f>
        <v>403660</v>
      </c>
      <c r="K4802" s="10">
        <f t="shared" si="74"/>
        <v>46285</v>
      </c>
    </row>
    <row r="4803" spans="1:11">
      <c r="A4803">
        <v>403660</v>
      </c>
      <c r="B4803" s="10">
        <v>2019</v>
      </c>
      <c r="C4803" t="s">
        <v>680</v>
      </c>
      <c r="D4803" t="s">
        <v>2472</v>
      </c>
      <c r="E4803" t="s">
        <v>2474</v>
      </c>
      <c r="F4803" t="s">
        <v>1743</v>
      </c>
      <c r="G4803" t="s">
        <v>1743</v>
      </c>
      <c r="H4803" s="10">
        <v>47914</v>
      </c>
      <c r="I4803">
        <f>IFERROR(VLOOKUP(Final!F4803,'LEAID Match'!$A$2:$B$374,2,FALSE),"")</f>
        <v>403660</v>
      </c>
      <c r="K4803" s="10">
        <f t="shared" ref="K4803:K4866" si="75">SUM(H4803,J4803)</f>
        <v>47914</v>
      </c>
    </row>
    <row r="4804" spans="1:11">
      <c r="A4804">
        <v>403660</v>
      </c>
      <c r="B4804" s="10">
        <v>2020</v>
      </c>
      <c r="C4804" t="s">
        <v>680</v>
      </c>
      <c r="D4804" t="s">
        <v>2472</v>
      </c>
      <c r="E4804" t="s">
        <v>2474</v>
      </c>
      <c r="F4804" t="s">
        <v>1743</v>
      </c>
      <c r="G4804" t="s">
        <v>1743</v>
      </c>
      <c r="H4804" s="10">
        <v>52338</v>
      </c>
      <c r="I4804">
        <f>IFERROR(VLOOKUP(Final!F4804,'LEAID Match'!$A$2:$B$374,2,FALSE),"")</f>
        <v>403660</v>
      </c>
      <c r="K4804" s="10">
        <f t="shared" si="75"/>
        <v>52338</v>
      </c>
    </row>
    <row r="4805" spans="1:11">
      <c r="A4805">
        <v>403660</v>
      </c>
      <c r="B4805" s="10">
        <v>2021</v>
      </c>
      <c r="C4805" t="s">
        <v>680</v>
      </c>
      <c r="D4805" t="s">
        <v>2472</v>
      </c>
      <c r="E4805" t="s">
        <v>2474</v>
      </c>
      <c r="F4805" t="s">
        <v>1743</v>
      </c>
      <c r="G4805" t="s">
        <v>1743</v>
      </c>
      <c r="H4805" s="10">
        <v>72870</v>
      </c>
      <c r="I4805">
        <f>IFERROR(VLOOKUP(Final!F4805,'LEAID Match'!$A$2:$B$374,2,FALSE),"")</f>
        <v>403660</v>
      </c>
      <c r="K4805" s="10">
        <f t="shared" si="75"/>
        <v>72870</v>
      </c>
    </row>
    <row r="4806" spans="1:11">
      <c r="A4806">
        <v>403660</v>
      </c>
      <c r="B4806" s="10">
        <v>2022</v>
      </c>
      <c r="C4806" t="s">
        <v>680</v>
      </c>
      <c r="D4806" t="s">
        <v>2472</v>
      </c>
      <c r="E4806" t="s">
        <v>2474</v>
      </c>
      <c r="F4806" t="s">
        <v>1743</v>
      </c>
      <c r="G4806" t="s">
        <v>1743</v>
      </c>
      <c r="H4806" s="10">
        <v>60030</v>
      </c>
      <c r="I4806">
        <f>IFERROR(VLOOKUP(Final!F4806,'LEAID Match'!$A$2:$B$374,2,FALSE),"")</f>
        <v>403660</v>
      </c>
      <c r="K4806" s="10">
        <f t="shared" si="75"/>
        <v>60030</v>
      </c>
    </row>
    <row r="4807" spans="1:11">
      <c r="A4807">
        <v>403660</v>
      </c>
      <c r="B4807" s="10">
        <v>2023</v>
      </c>
      <c r="C4807" t="s">
        <v>680</v>
      </c>
      <c r="D4807" t="s">
        <v>2472</v>
      </c>
      <c r="E4807" t="s">
        <v>2474</v>
      </c>
      <c r="F4807" t="s">
        <v>1743</v>
      </c>
      <c r="G4807" t="s">
        <v>1743</v>
      </c>
      <c r="H4807" s="10">
        <v>55342</v>
      </c>
      <c r="I4807">
        <f>IFERROR(VLOOKUP(Final!F4807,'LEAID Match'!$A$2:$B$374,2,FALSE),"")</f>
        <v>403660</v>
      </c>
      <c r="K4807" s="10">
        <f t="shared" si="75"/>
        <v>55342</v>
      </c>
    </row>
    <row r="4808" spans="1:11">
      <c r="A4808">
        <v>400295</v>
      </c>
      <c r="B4808" s="10">
        <v>2015</v>
      </c>
      <c r="C4808" t="s">
        <v>706</v>
      </c>
      <c r="D4808" t="s">
        <v>2472</v>
      </c>
      <c r="E4808" t="s">
        <v>2474</v>
      </c>
      <c r="F4808" t="s">
        <v>1771</v>
      </c>
      <c r="G4808" t="s">
        <v>651</v>
      </c>
      <c r="H4808" s="10">
        <v>2823005</v>
      </c>
      <c r="I4808">
        <f>IFERROR(VLOOKUP(Final!F4808,'LEAID Match'!$A$2:$B$374,2,FALSE),"")</f>
        <v>400295</v>
      </c>
      <c r="K4808" s="10">
        <f t="shared" si="75"/>
        <v>2823005</v>
      </c>
    </row>
    <row r="4809" spans="1:11">
      <c r="A4809">
        <v>400295</v>
      </c>
      <c r="B4809" s="10">
        <v>2016</v>
      </c>
      <c r="C4809" t="s">
        <v>706</v>
      </c>
      <c r="D4809" t="s">
        <v>2472</v>
      </c>
      <c r="E4809" t="s">
        <v>2474</v>
      </c>
      <c r="F4809" t="s">
        <v>1771</v>
      </c>
      <c r="G4809" t="s">
        <v>651</v>
      </c>
      <c r="H4809" s="10">
        <v>2672975</v>
      </c>
      <c r="I4809">
        <f>IFERROR(VLOOKUP(Final!F4809,'LEAID Match'!$A$2:$B$374,2,FALSE),"")</f>
        <v>400295</v>
      </c>
      <c r="K4809" s="10">
        <f t="shared" si="75"/>
        <v>2672975</v>
      </c>
    </row>
    <row r="4810" spans="1:11">
      <c r="A4810">
        <v>400295</v>
      </c>
      <c r="B4810" s="10">
        <v>2017</v>
      </c>
      <c r="C4810" t="s">
        <v>706</v>
      </c>
      <c r="D4810" t="s">
        <v>2472</v>
      </c>
      <c r="E4810" t="s">
        <v>2474</v>
      </c>
      <c r="F4810" t="s">
        <v>1771</v>
      </c>
      <c r="G4810" t="s">
        <v>1771</v>
      </c>
      <c r="H4810" s="10">
        <v>2747848</v>
      </c>
      <c r="I4810">
        <f>IFERROR(VLOOKUP(Final!F4810,'LEAID Match'!$A$2:$B$374,2,FALSE),"")</f>
        <v>400295</v>
      </c>
      <c r="K4810" s="10">
        <f t="shared" si="75"/>
        <v>2747848</v>
      </c>
    </row>
    <row r="4811" spans="1:11">
      <c r="A4811">
        <v>400295</v>
      </c>
      <c r="B4811" s="10">
        <v>2018</v>
      </c>
      <c r="C4811" t="s">
        <v>706</v>
      </c>
      <c r="D4811" t="s">
        <v>2472</v>
      </c>
      <c r="E4811" t="s">
        <v>2474</v>
      </c>
      <c r="F4811" t="s">
        <v>1771</v>
      </c>
      <c r="G4811" t="s">
        <v>1771</v>
      </c>
      <c r="H4811" s="10">
        <v>2952028</v>
      </c>
      <c r="I4811">
        <f>IFERROR(VLOOKUP(Final!F4811,'LEAID Match'!$A$2:$B$374,2,FALSE),"")</f>
        <v>400295</v>
      </c>
      <c r="K4811" s="10">
        <f t="shared" si="75"/>
        <v>2952028</v>
      </c>
    </row>
    <row r="4812" spans="1:11">
      <c r="A4812">
        <v>400295</v>
      </c>
      <c r="B4812" s="10">
        <v>2019</v>
      </c>
      <c r="C4812" t="s">
        <v>706</v>
      </c>
      <c r="D4812" t="s">
        <v>2472</v>
      </c>
      <c r="E4812" t="s">
        <v>2474</v>
      </c>
      <c r="F4812" t="s">
        <v>1771</v>
      </c>
      <c r="G4812" t="s">
        <v>1771</v>
      </c>
      <c r="H4812" s="10">
        <v>3375826</v>
      </c>
      <c r="I4812">
        <f>IFERROR(VLOOKUP(Final!F4812,'LEAID Match'!$A$2:$B$374,2,FALSE),"")</f>
        <v>400295</v>
      </c>
      <c r="K4812" s="10">
        <f t="shared" si="75"/>
        <v>3375826</v>
      </c>
    </row>
    <row r="4813" spans="1:11">
      <c r="A4813">
        <v>400295</v>
      </c>
      <c r="B4813" s="10">
        <v>2020</v>
      </c>
      <c r="C4813" t="s">
        <v>706</v>
      </c>
      <c r="D4813" t="s">
        <v>2472</v>
      </c>
      <c r="E4813" t="s">
        <v>2474</v>
      </c>
      <c r="F4813" t="s">
        <v>1771</v>
      </c>
      <c r="G4813" t="s">
        <v>1771</v>
      </c>
      <c r="H4813" s="10">
        <v>3778710</v>
      </c>
      <c r="I4813">
        <f>IFERROR(VLOOKUP(Final!F4813,'LEAID Match'!$A$2:$B$374,2,FALSE),"")</f>
        <v>400295</v>
      </c>
      <c r="K4813" s="10">
        <f t="shared" si="75"/>
        <v>3778710</v>
      </c>
    </row>
    <row r="4814" spans="1:11">
      <c r="A4814">
        <v>400295</v>
      </c>
      <c r="B4814" s="10">
        <v>2021</v>
      </c>
      <c r="C4814" t="s">
        <v>706</v>
      </c>
      <c r="D4814" t="s">
        <v>2472</v>
      </c>
      <c r="E4814" t="s">
        <v>2474</v>
      </c>
      <c r="F4814" t="s">
        <v>1771</v>
      </c>
      <c r="G4814" t="s">
        <v>1771</v>
      </c>
      <c r="H4814" s="10">
        <v>4103758</v>
      </c>
      <c r="I4814">
        <f>IFERROR(VLOOKUP(Final!F4814,'LEAID Match'!$A$2:$B$374,2,FALSE),"")</f>
        <v>400295</v>
      </c>
      <c r="K4814" s="10">
        <f t="shared" si="75"/>
        <v>4103758</v>
      </c>
    </row>
    <row r="4815" spans="1:11">
      <c r="A4815">
        <v>400295</v>
      </c>
      <c r="B4815" s="10">
        <v>2022</v>
      </c>
      <c r="C4815" t="s">
        <v>706</v>
      </c>
      <c r="D4815" t="s">
        <v>2472</v>
      </c>
      <c r="E4815" t="s">
        <v>2474</v>
      </c>
      <c r="F4815" t="s">
        <v>1771</v>
      </c>
      <c r="G4815" t="s">
        <v>1771</v>
      </c>
      <c r="H4815" s="10">
        <v>4232016</v>
      </c>
      <c r="I4815">
        <f>IFERROR(VLOOKUP(Final!F4815,'LEAID Match'!$A$2:$B$374,2,FALSE),"")</f>
        <v>400295</v>
      </c>
      <c r="K4815" s="10">
        <f t="shared" si="75"/>
        <v>4232016</v>
      </c>
    </row>
    <row r="4816" spans="1:11">
      <c r="A4816">
        <v>400295</v>
      </c>
      <c r="B4816" s="10">
        <v>2023</v>
      </c>
      <c r="C4816" t="s">
        <v>706</v>
      </c>
      <c r="D4816" t="s">
        <v>2472</v>
      </c>
      <c r="E4816" t="s">
        <v>2474</v>
      </c>
      <c r="F4816" t="s">
        <v>1771</v>
      </c>
      <c r="G4816" t="s">
        <v>1771</v>
      </c>
      <c r="H4816" s="10">
        <v>4227777</v>
      </c>
      <c r="I4816">
        <f>IFERROR(VLOOKUP(Final!F4816,'LEAID Match'!$A$2:$B$374,2,FALSE),"")</f>
        <v>400295</v>
      </c>
      <c r="K4816" s="10">
        <f t="shared" si="75"/>
        <v>4227777</v>
      </c>
    </row>
    <row r="4817" spans="1:11">
      <c r="A4817">
        <v>400074</v>
      </c>
      <c r="B4817" s="10">
        <v>2015</v>
      </c>
      <c r="C4817" t="s">
        <v>705</v>
      </c>
      <c r="D4817" t="s">
        <v>2472</v>
      </c>
      <c r="E4817" t="s">
        <v>2474</v>
      </c>
      <c r="F4817" t="s">
        <v>1770</v>
      </c>
      <c r="G4817" t="s">
        <v>650</v>
      </c>
      <c r="H4817" s="10">
        <v>495348</v>
      </c>
      <c r="I4817">
        <f>IFERROR(VLOOKUP(Final!F4817,'LEAID Match'!$A$2:$B$374,2,FALSE),"")</f>
        <v>400074</v>
      </c>
      <c r="K4817" s="10">
        <f t="shared" si="75"/>
        <v>495348</v>
      </c>
    </row>
    <row r="4818" spans="1:11">
      <c r="A4818">
        <v>400074</v>
      </c>
      <c r="B4818" s="10">
        <v>2016</v>
      </c>
      <c r="C4818" t="s">
        <v>705</v>
      </c>
      <c r="D4818" t="s">
        <v>2472</v>
      </c>
      <c r="E4818" t="s">
        <v>2474</v>
      </c>
      <c r="F4818" t="s">
        <v>1770</v>
      </c>
      <c r="G4818" t="s">
        <v>650</v>
      </c>
      <c r="H4818" s="10">
        <v>499760</v>
      </c>
      <c r="I4818">
        <f>IFERROR(VLOOKUP(Final!F4818,'LEAID Match'!$A$2:$B$374,2,FALSE),"")</f>
        <v>400074</v>
      </c>
      <c r="K4818" s="10">
        <f t="shared" si="75"/>
        <v>499760</v>
      </c>
    </row>
    <row r="4819" spans="1:11">
      <c r="A4819">
        <v>400074</v>
      </c>
      <c r="B4819" s="10">
        <v>2017</v>
      </c>
      <c r="C4819" t="s">
        <v>705</v>
      </c>
      <c r="D4819" t="s">
        <v>2472</v>
      </c>
      <c r="E4819" t="s">
        <v>2474</v>
      </c>
      <c r="F4819" t="s">
        <v>1770</v>
      </c>
      <c r="G4819" t="s">
        <v>1770</v>
      </c>
      <c r="H4819" s="10">
        <v>508206</v>
      </c>
      <c r="I4819">
        <f>IFERROR(VLOOKUP(Final!F4819,'LEAID Match'!$A$2:$B$374,2,FALSE),"")</f>
        <v>400074</v>
      </c>
      <c r="K4819" s="10">
        <f t="shared" si="75"/>
        <v>508206</v>
      </c>
    </row>
    <row r="4820" spans="1:11">
      <c r="A4820">
        <v>400074</v>
      </c>
      <c r="B4820" s="10">
        <v>2018</v>
      </c>
      <c r="C4820" t="s">
        <v>705</v>
      </c>
      <c r="D4820" t="s">
        <v>2472</v>
      </c>
      <c r="E4820" t="s">
        <v>2474</v>
      </c>
      <c r="F4820" t="s">
        <v>1770</v>
      </c>
      <c r="G4820" t="s">
        <v>1770</v>
      </c>
      <c r="H4820" s="10">
        <v>523712</v>
      </c>
      <c r="I4820">
        <f>IFERROR(VLOOKUP(Final!F4820,'LEAID Match'!$A$2:$B$374,2,FALSE),"")</f>
        <v>400074</v>
      </c>
      <c r="K4820" s="10">
        <f t="shared" si="75"/>
        <v>523712</v>
      </c>
    </row>
    <row r="4821" spans="1:11">
      <c r="A4821">
        <v>400074</v>
      </c>
      <c r="B4821" s="10">
        <v>2019</v>
      </c>
      <c r="C4821" t="s">
        <v>705</v>
      </c>
      <c r="D4821" t="s">
        <v>2472</v>
      </c>
      <c r="E4821" t="s">
        <v>2474</v>
      </c>
      <c r="F4821" t="s">
        <v>1770</v>
      </c>
      <c r="G4821" t="s">
        <v>1770</v>
      </c>
      <c r="H4821" s="10">
        <v>571844</v>
      </c>
      <c r="I4821">
        <f>IFERROR(VLOOKUP(Final!F4821,'LEAID Match'!$A$2:$B$374,2,FALSE),"")</f>
        <v>400074</v>
      </c>
      <c r="K4821" s="10">
        <f t="shared" si="75"/>
        <v>571844</v>
      </c>
    </row>
    <row r="4822" spans="1:11">
      <c r="A4822">
        <v>400074</v>
      </c>
      <c r="B4822" s="10">
        <v>2020</v>
      </c>
      <c r="C4822" t="s">
        <v>705</v>
      </c>
      <c r="D4822" t="s">
        <v>2472</v>
      </c>
      <c r="E4822" t="s">
        <v>2474</v>
      </c>
      <c r="F4822" t="s">
        <v>1770</v>
      </c>
      <c r="G4822" t="s">
        <v>1770</v>
      </c>
      <c r="H4822" s="10">
        <v>656306</v>
      </c>
      <c r="I4822">
        <f>IFERROR(VLOOKUP(Final!F4822,'LEAID Match'!$A$2:$B$374,2,FALSE),"")</f>
        <v>400074</v>
      </c>
      <c r="K4822" s="10">
        <f t="shared" si="75"/>
        <v>656306</v>
      </c>
    </row>
    <row r="4823" spans="1:11">
      <c r="A4823">
        <v>400074</v>
      </c>
      <c r="B4823" s="10">
        <v>2021</v>
      </c>
      <c r="C4823" t="s">
        <v>705</v>
      </c>
      <c r="D4823" t="s">
        <v>2472</v>
      </c>
      <c r="E4823" t="s">
        <v>2474</v>
      </c>
      <c r="F4823" t="s">
        <v>1770</v>
      </c>
      <c r="G4823" t="s">
        <v>1770</v>
      </c>
      <c r="H4823" s="10">
        <v>656867</v>
      </c>
      <c r="I4823">
        <f>IFERROR(VLOOKUP(Final!F4823,'LEAID Match'!$A$2:$B$374,2,FALSE),"")</f>
        <v>400074</v>
      </c>
      <c r="K4823" s="10">
        <f t="shared" si="75"/>
        <v>656867</v>
      </c>
    </row>
    <row r="4824" spans="1:11">
      <c r="A4824">
        <v>400074</v>
      </c>
      <c r="B4824" s="10">
        <v>2022</v>
      </c>
      <c r="C4824" t="s">
        <v>705</v>
      </c>
      <c r="D4824" t="s">
        <v>2472</v>
      </c>
      <c r="E4824" t="s">
        <v>2474</v>
      </c>
      <c r="F4824" t="s">
        <v>1770</v>
      </c>
      <c r="G4824" t="s">
        <v>1770</v>
      </c>
      <c r="H4824" s="10">
        <v>676570</v>
      </c>
      <c r="I4824">
        <f>IFERROR(VLOOKUP(Final!F4824,'LEAID Match'!$A$2:$B$374,2,FALSE),"")</f>
        <v>400074</v>
      </c>
      <c r="K4824" s="10">
        <f t="shared" si="75"/>
        <v>676570</v>
      </c>
    </row>
    <row r="4825" spans="1:11">
      <c r="A4825">
        <v>400074</v>
      </c>
      <c r="B4825" s="10">
        <v>2023</v>
      </c>
      <c r="C4825" t="s">
        <v>705</v>
      </c>
      <c r="D4825" t="s">
        <v>2472</v>
      </c>
      <c r="E4825" t="s">
        <v>2474</v>
      </c>
      <c r="F4825" t="s">
        <v>1770</v>
      </c>
      <c r="G4825" t="s">
        <v>1770</v>
      </c>
      <c r="H4825" s="10">
        <v>727075</v>
      </c>
      <c r="I4825">
        <f>IFERROR(VLOOKUP(Final!F4825,'LEAID Match'!$A$2:$B$374,2,FALSE),"")</f>
        <v>400074</v>
      </c>
      <c r="K4825" s="10">
        <f t="shared" si="75"/>
        <v>727075</v>
      </c>
    </row>
    <row r="4826" spans="1:11">
      <c r="A4826">
        <v>405730</v>
      </c>
      <c r="B4826" s="10">
        <v>2015</v>
      </c>
      <c r="C4826" t="s">
        <v>904</v>
      </c>
      <c r="D4826" t="s">
        <v>2472</v>
      </c>
      <c r="E4826" t="s">
        <v>2474</v>
      </c>
      <c r="F4826" t="s">
        <v>1846</v>
      </c>
      <c r="G4826" t="s">
        <v>849</v>
      </c>
      <c r="H4826" s="10">
        <v>19979</v>
      </c>
      <c r="I4826">
        <f>IFERROR(VLOOKUP(Final!F4826,'LEAID Match'!$A$2:$B$374,2,FALSE),"")</f>
        <v>405730</v>
      </c>
      <c r="K4826" s="10">
        <f t="shared" si="75"/>
        <v>19979</v>
      </c>
    </row>
    <row r="4827" spans="1:11">
      <c r="A4827">
        <v>405730</v>
      </c>
      <c r="B4827" s="10">
        <v>2016</v>
      </c>
      <c r="C4827" t="s">
        <v>904</v>
      </c>
      <c r="D4827" t="s">
        <v>2472</v>
      </c>
      <c r="E4827" t="s">
        <v>2474</v>
      </c>
      <c r="F4827" t="s">
        <v>1846</v>
      </c>
      <c r="G4827" t="s">
        <v>849</v>
      </c>
      <c r="H4827" s="10">
        <v>16104</v>
      </c>
      <c r="I4827">
        <f>IFERROR(VLOOKUP(Final!F4827,'LEAID Match'!$A$2:$B$374,2,FALSE),"")</f>
        <v>405730</v>
      </c>
      <c r="K4827" s="10">
        <f t="shared" si="75"/>
        <v>16104</v>
      </c>
    </row>
    <row r="4828" spans="1:11">
      <c r="A4828">
        <v>405730</v>
      </c>
      <c r="B4828" s="10">
        <v>2017</v>
      </c>
      <c r="C4828" t="s">
        <v>904</v>
      </c>
      <c r="D4828" t="s">
        <v>2472</v>
      </c>
      <c r="E4828" t="s">
        <v>2474</v>
      </c>
      <c r="F4828" t="s">
        <v>1846</v>
      </c>
      <c r="G4828" t="s">
        <v>1846</v>
      </c>
      <c r="H4828" s="10">
        <v>17884</v>
      </c>
      <c r="I4828">
        <f>IFERROR(VLOOKUP(Final!F4828,'LEAID Match'!$A$2:$B$374,2,FALSE),"")</f>
        <v>405730</v>
      </c>
      <c r="K4828" s="10">
        <f t="shared" si="75"/>
        <v>17884</v>
      </c>
    </row>
    <row r="4829" spans="1:11">
      <c r="A4829">
        <v>405730</v>
      </c>
      <c r="B4829" s="10">
        <v>2018</v>
      </c>
      <c r="C4829" t="s">
        <v>904</v>
      </c>
      <c r="D4829" t="s">
        <v>2472</v>
      </c>
      <c r="E4829" t="s">
        <v>2474</v>
      </c>
      <c r="F4829" t="s">
        <v>1846</v>
      </c>
      <c r="G4829" t="s">
        <v>2262</v>
      </c>
      <c r="H4829" s="10">
        <v>18075</v>
      </c>
      <c r="I4829">
        <f>IFERROR(VLOOKUP(Final!F4829,'LEAID Match'!$A$2:$B$374,2,FALSE),"")</f>
        <v>405730</v>
      </c>
      <c r="K4829" s="10">
        <f t="shared" si="75"/>
        <v>18075</v>
      </c>
    </row>
    <row r="4830" spans="1:11">
      <c r="A4830">
        <v>405730</v>
      </c>
      <c r="B4830" s="10">
        <v>2019</v>
      </c>
      <c r="C4830" t="s">
        <v>904</v>
      </c>
      <c r="D4830" t="s">
        <v>2472</v>
      </c>
      <c r="E4830" t="s">
        <v>2474</v>
      </c>
      <c r="F4830" t="s">
        <v>1846</v>
      </c>
      <c r="G4830" t="s">
        <v>1846</v>
      </c>
      <c r="H4830" s="10">
        <v>19445</v>
      </c>
      <c r="I4830">
        <f>IFERROR(VLOOKUP(Final!F4830,'LEAID Match'!$A$2:$B$374,2,FALSE),"")</f>
        <v>405730</v>
      </c>
      <c r="K4830" s="10">
        <f t="shared" si="75"/>
        <v>19445</v>
      </c>
    </row>
    <row r="4831" spans="1:11">
      <c r="A4831">
        <v>405730</v>
      </c>
      <c r="B4831" s="10">
        <v>2020</v>
      </c>
      <c r="C4831" t="s">
        <v>904</v>
      </c>
      <c r="D4831" t="s">
        <v>2472</v>
      </c>
      <c r="E4831" t="s">
        <v>2474</v>
      </c>
      <c r="F4831" t="s">
        <v>1846</v>
      </c>
      <c r="G4831" t="s">
        <v>1846</v>
      </c>
      <c r="H4831" s="10">
        <v>22559</v>
      </c>
      <c r="I4831">
        <f>IFERROR(VLOOKUP(Final!F4831,'LEAID Match'!$A$2:$B$374,2,FALSE),"")</f>
        <v>405730</v>
      </c>
      <c r="K4831" s="10">
        <f t="shared" si="75"/>
        <v>22559</v>
      </c>
    </row>
    <row r="4832" spans="1:11">
      <c r="A4832">
        <v>405730</v>
      </c>
      <c r="B4832" s="10">
        <v>2021</v>
      </c>
      <c r="C4832" t="s">
        <v>904</v>
      </c>
      <c r="D4832" t="s">
        <v>2472</v>
      </c>
      <c r="E4832" t="s">
        <v>2474</v>
      </c>
      <c r="F4832" t="s">
        <v>1846</v>
      </c>
      <c r="G4832" t="s">
        <v>1846</v>
      </c>
      <c r="H4832" s="10">
        <v>25245</v>
      </c>
      <c r="I4832">
        <f>IFERROR(VLOOKUP(Final!F4832,'LEAID Match'!$A$2:$B$374,2,FALSE),"")</f>
        <v>405730</v>
      </c>
      <c r="K4832" s="10">
        <f t="shared" si="75"/>
        <v>25245</v>
      </c>
    </row>
    <row r="4833" spans="1:11">
      <c r="A4833">
        <v>405730</v>
      </c>
      <c r="B4833" s="10">
        <v>2022</v>
      </c>
      <c r="C4833" t="s">
        <v>904</v>
      </c>
      <c r="D4833" t="s">
        <v>2472</v>
      </c>
      <c r="E4833" t="s">
        <v>2474</v>
      </c>
      <c r="F4833" t="s">
        <v>1846</v>
      </c>
      <c r="G4833" t="s">
        <v>1846</v>
      </c>
      <c r="H4833" s="10">
        <v>24177</v>
      </c>
      <c r="I4833">
        <f>IFERROR(VLOOKUP(Final!F4833,'LEAID Match'!$A$2:$B$374,2,FALSE),"")</f>
        <v>405730</v>
      </c>
      <c r="K4833" s="10">
        <f t="shared" si="75"/>
        <v>24177</v>
      </c>
    </row>
    <row r="4834" spans="1:11">
      <c r="A4834">
        <v>405730</v>
      </c>
      <c r="B4834" s="10">
        <v>2023</v>
      </c>
      <c r="C4834" t="s">
        <v>904</v>
      </c>
      <c r="D4834" t="s">
        <v>2472</v>
      </c>
      <c r="E4834" t="s">
        <v>2474</v>
      </c>
      <c r="F4834" t="s">
        <v>1846</v>
      </c>
      <c r="G4834" t="s">
        <v>1846</v>
      </c>
      <c r="H4834" s="10">
        <v>30643</v>
      </c>
      <c r="I4834">
        <f>IFERROR(VLOOKUP(Final!F4834,'LEAID Match'!$A$2:$B$374,2,FALSE),"")</f>
        <v>405730</v>
      </c>
      <c r="K4834" s="10">
        <f t="shared" si="75"/>
        <v>30643</v>
      </c>
    </row>
    <row r="4835" spans="1:11">
      <c r="A4835">
        <v>406120</v>
      </c>
      <c r="B4835" s="10">
        <v>2015</v>
      </c>
      <c r="C4835" t="s">
        <v>922</v>
      </c>
      <c r="D4835" t="s">
        <v>2472</v>
      </c>
      <c r="E4835" t="s">
        <v>2474</v>
      </c>
      <c r="F4835" t="s">
        <v>1867</v>
      </c>
      <c r="G4835" t="s">
        <v>867</v>
      </c>
      <c r="H4835" s="10">
        <v>175186</v>
      </c>
      <c r="I4835">
        <f>IFERROR(VLOOKUP(Final!F4835,'LEAID Match'!$A$2:$B$374,2,FALSE),"")</f>
        <v>406120</v>
      </c>
      <c r="K4835" s="10">
        <f t="shared" si="75"/>
        <v>175186</v>
      </c>
    </row>
    <row r="4836" spans="1:11">
      <c r="A4836">
        <v>406120</v>
      </c>
      <c r="B4836" s="10">
        <v>2016</v>
      </c>
      <c r="C4836" t="s">
        <v>922</v>
      </c>
      <c r="D4836" t="s">
        <v>2472</v>
      </c>
      <c r="E4836" t="s">
        <v>2474</v>
      </c>
      <c r="F4836" t="s">
        <v>1867</v>
      </c>
      <c r="G4836" t="s">
        <v>867</v>
      </c>
      <c r="H4836" s="10">
        <v>108919</v>
      </c>
      <c r="I4836">
        <f>IFERROR(VLOOKUP(Final!F4836,'LEAID Match'!$A$2:$B$374,2,FALSE),"")</f>
        <v>406120</v>
      </c>
      <c r="K4836" s="10">
        <f t="shared" si="75"/>
        <v>108919</v>
      </c>
    </row>
    <row r="4837" spans="1:11">
      <c r="A4837">
        <v>406120</v>
      </c>
      <c r="B4837" s="10">
        <v>2017</v>
      </c>
      <c r="C4837" t="s">
        <v>922</v>
      </c>
      <c r="D4837" t="s">
        <v>2472</v>
      </c>
      <c r="E4837" t="s">
        <v>2474</v>
      </c>
      <c r="F4837" t="s">
        <v>1867</v>
      </c>
      <c r="G4837" t="s">
        <v>1867</v>
      </c>
      <c r="H4837" s="10">
        <v>98861</v>
      </c>
      <c r="I4837">
        <f>IFERROR(VLOOKUP(Final!F4837,'LEAID Match'!$A$2:$B$374,2,FALSE),"")</f>
        <v>406120</v>
      </c>
      <c r="K4837" s="10">
        <f t="shared" si="75"/>
        <v>98861</v>
      </c>
    </row>
    <row r="4838" spans="1:11">
      <c r="A4838">
        <v>406120</v>
      </c>
      <c r="B4838" s="10">
        <v>2018</v>
      </c>
      <c r="C4838" t="s">
        <v>922</v>
      </c>
      <c r="D4838" t="s">
        <v>2472</v>
      </c>
      <c r="E4838" t="s">
        <v>2474</v>
      </c>
      <c r="F4838" t="s">
        <v>1867</v>
      </c>
      <c r="G4838" t="s">
        <v>2271</v>
      </c>
      <c r="H4838" s="10">
        <v>34819</v>
      </c>
      <c r="I4838">
        <f>IFERROR(VLOOKUP(Final!F4838,'LEAID Match'!$A$2:$B$374,2,FALSE),"")</f>
        <v>406120</v>
      </c>
      <c r="K4838" s="10">
        <f t="shared" si="75"/>
        <v>34819</v>
      </c>
    </row>
    <row r="4839" spans="1:11">
      <c r="A4839">
        <v>406120</v>
      </c>
      <c r="B4839" s="10">
        <v>2019</v>
      </c>
      <c r="C4839" t="s">
        <v>922</v>
      </c>
      <c r="D4839" t="s">
        <v>2472</v>
      </c>
      <c r="E4839" t="s">
        <v>2474</v>
      </c>
      <c r="F4839" t="s">
        <v>1867</v>
      </c>
      <c r="G4839" t="s">
        <v>1867</v>
      </c>
      <c r="H4839" s="10">
        <v>29081</v>
      </c>
      <c r="I4839">
        <f>IFERROR(VLOOKUP(Final!F4839,'LEAID Match'!$A$2:$B$374,2,FALSE),"")</f>
        <v>406120</v>
      </c>
      <c r="K4839" s="10">
        <f t="shared" si="75"/>
        <v>29081</v>
      </c>
    </row>
    <row r="4840" spans="1:11">
      <c r="A4840">
        <v>406120</v>
      </c>
      <c r="B4840" s="10">
        <v>2020</v>
      </c>
      <c r="C4840" t="s">
        <v>922</v>
      </c>
      <c r="D4840" t="s">
        <v>2472</v>
      </c>
      <c r="E4840" t="s">
        <v>2474</v>
      </c>
      <c r="F4840" t="s">
        <v>1867</v>
      </c>
      <c r="G4840" t="s">
        <v>1867</v>
      </c>
      <c r="H4840" s="10">
        <v>105460</v>
      </c>
      <c r="I4840">
        <f>IFERROR(VLOOKUP(Final!F4840,'LEAID Match'!$A$2:$B$374,2,FALSE),"")</f>
        <v>406120</v>
      </c>
      <c r="K4840" s="10">
        <f t="shared" si="75"/>
        <v>105460</v>
      </c>
    </row>
    <row r="4841" spans="1:11">
      <c r="A4841">
        <v>406120</v>
      </c>
      <c r="B4841" s="10">
        <v>2021</v>
      </c>
      <c r="C4841" t="s">
        <v>922</v>
      </c>
      <c r="D4841" t="s">
        <v>2472</v>
      </c>
      <c r="E4841" t="s">
        <v>2474</v>
      </c>
      <c r="F4841" t="s">
        <v>1867</v>
      </c>
      <c r="G4841" t="s">
        <v>1867</v>
      </c>
      <c r="H4841" s="10">
        <v>130674</v>
      </c>
      <c r="I4841">
        <f>IFERROR(VLOOKUP(Final!F4841,'LEAID Match'!$A$2:$B$374,2,FALSE),"")</f>
        <v>406120</v>
      </c>
      <c r="K4841" s="10">
        <f t="shared" si="75"/>
        <v>130674</v>
      </c>
    </row>
    <row r="4842" spans="1:11">
      <c r="A4842">
        <v>406120</v>
      </c>
      <c r="B4842" s="10">
        <v>2022</v>
      </c>
      <c r="C4842" t="s">
        <v>922</v>
      </c>
      <c r="D4842" t="s">
        <v>2472</v>
      </c>
      <c r="E4842" t="s">
        <v>2474</v>
      </c>
      <c r="F4842" t="s">
        <v>1867</v>
      </c>
      <c r="G4842" t="s">
        <v>1867</v>
      </c>
      <c r="H4842" s="10">
        <v>244083</v>
      </c>
      <c r="I4842">
        <f>IFERROR(VLOOKUP(Final!F4842,'LEAID Match'!$A$2:$B$374,2,FALSE),"")</f>
        <v>406120</v>
      </c>
      <c r="K4842" s="10">
        <f t="shared" si="75"/>
        <v>244083</v>
      </c>
    </row>
    <row r="4843" spans="1:11">
      <c r="A4843">
        <v>406120</v>
      </c>
      <c r="B4843" s="10">
        <v>2023</v>
      </c>
      <c r="C4843" t="s">
        <v>922</v>
      </c>
      <c r="D4843" t="s">
        <v>2472</v>
      </c>
      <c r="E4843" t="s">
        <v>2474</v>
      </c>
      <c r="F4843" t="s">
        <v>1867</v>
      </c>
      <c r="G4843" t="s">
        <v>1867</v>
      </c>
      <c r="H4843" s="10">
        <v>338959</v>
      </c>
      <c r="I4843">
        <f>IFERROR(VLOOKUP(Final!F4843,'LEAID Match'!$A$2:$B$374,2,FALSE),"")</f>
        <v>406120</v>
      </c>
      <c r="K4843" s="10">
        <f t="shared" si="75"/>
        <v>338959</v>
      </c>
    </row>
    <row r="4844" spans="1:11">
      <c r="A4844">
        <v>404410</v>
      </c>
      <c r="B4844" s="10">
        <v>2015</v>
      </c>
      <c r="C4844" t="s">
        <v>774</v>
      </c>
      <c r="D4844" t="s">
        <v>2472</v>
      </c>
      <c r="E4844" t="s">
        <v>2474</v>
      </c>
      <c r="F4844" t="s">
        <v>1786</v>
      </c>
      <c r="G4844" t="s">
        <v>719</v>
      </c>
      <c r="H4844" s="10">
        <v>240411</v>
      </c>
      <c r="I4844">
        <f>IFERROR(VLOOKUP(Final!F4844,'LEAID Match'!$A$2:$B$374,2,FALSE),"")</f>
        <v>404410</v>
      </c>
      <c r="K4844" s="10">
        <f t="shared" si="75"/>
        <v>240411</v>
      </c>
    </row>
    <row r="4845" spans="1:11">
      <c r="A4845">
        <v>404410</v>
      </c>
      <c r="B4845" s="10">
        <v>2016</v>
      </c>
      <c r="C4845" t="s">
        <v>774</v>
      </c>
      <c r="D4845" t="s">
        <v>2472</v>
      </c>
      <c r="E4845" t="s">
        <v>2474</v>
      </c>
      <c r="F4845" t="s">
        <v>1786</v>
      </c>
      <c r="G4845" t="s">
        <v>719</v>
      </c>
      <c r="H4845" s="10">
        <v>247231</v>
      </c>
      <c r="I4845">
        <f>IFERROR(VLOOKUP(Final!F4845,'LEAID Match'!$A$2:$B$374,2,FALSE),"")</f>
        <v>404410</v>
      </c>
      <c r="K4845" s="10">
        <f t="shared" si="75"/>
        <v>247231</v>
      </c>
    </row>
    <row r="4846" spans="1:11">
      <c r="A4846">
        <v>404410</v>
      </c>
      <c r="B4846" s="10">
        <v>2017</v>
      </c>
      <c r="C4846" t="s">
        <v>774</v>
      </c>
      <c r="D4846" t="s">
        <v>2472</v>
      </c>
      <c r="E4846" t="s">
        <v>2474</v>
      </c>
      <c r="F4846" t="s">
        <v>1786</v>
      </c>
      <c r="G4846" t="s">
        <v>1786</v>
      </c>
      <c r="H4846" s="10">
        <v>226820</v>
      </c>
      <c r="I4846">
        <f>IFERROR(VLOOKUP(Final!F4846,'LEAID Match'!$A$2:$B$374,2,FALSE),"")</f>
        <v>404410</v>
      </c>
      <c r="K4846" s="10">
        <f t="shared" si="75"/>
        <v>226820</v>
      </c>
    </row>
    <row r="4847" spans="1:11">
      <c r="A4847">
        <v>404410</v>
      </c>
      <c r="B4847" s="10">
        <v>2018</v>
      </c>
      <c r="C4847" t="s">
        <v>774</v>
      </c>
      <c r="D4847" t="s">
        <v>2472</v>
      </c>
      <c r="E4847" t="s">
        <v>2474</v>
      </c>
      <c r="F4847" t="s">
        <v>1786</v>
      </c>
      <c r="G4847" t="s">
        <v>2224</v>
      </c>
      <c r="H4847" s="10">
        <v>212105</v>
      </c>
      <c r="I4847">
        <f>IFERROR(VLOOKUP(Final!F4847,'LEAID Match'!$A$2:$B$374,2,FALSE),"")</f>
        <v>404410</v>
      </c>
      <c r="K4847" s="10">
        <f t="shared" si="75"/>
        <v>212105</v>
      </c>
    </row>
    <row r="4848" spans="1:11">
      <c r="A4848">
        <v>404410</v>
      </c>
      <c r="B4848" s="10">
        <v>2019</v>
      </c>
      <c r="C4848" t="s">
        <v>774</v>
      </c>
      <c r="D4848" t="s">
        <v>2472</v>
      </c>
      <c r="E4848" t="s">
        <v>2474</v>
      </c>
      <c r="F4848" t="s">
        <v>1786</v>
      </c>
      <c r="G4848" t="s">
        <v>1786</v>
      </c>
      <c r="H4848" s="10">
        <v>233565</v>
      </c>
      <c r="I4848">
        <f>IFERROR(VLOOKUP(Final!F4848,'LEAID Match'!$A$2:$B$374,2,FALSE),"")</f>
        <v>404410</v>
      </c>
      <c r="K4848" s="10">
        <f t="shared" si="75"/>
        <v>233565</v>
      </c>
    </row>
    <row r="4849" spans="1:11">
      <c r="A4849">
        <v>404410</v>
      </c>
      <c r="B4849" s="10">
        <v>2020</v>
      </c>
      <c r="C4849" t="s">
        <v>774</v>
      </c>
      <c r="D4849" t="s">
        <v>2472</v>
      </c>
      <c r="E4849" t="s">
        <v>2474</v>
      </c>
      <c r="F4849" t="s">
        <v>1786</v>
      </c>
      <c r="G4849" t="s">
        <v>1786</v>
      </c>
      <c r="H4849" s="10">
        <v>238216</v>
      </c>
      <c r="I4849">
        <f>IFERROR(VLOOKUP(Final!F4849,'LEAID Match'!$A$2:$B$374,2,FALSE),"")</f>
        <v>404410</v>
      </c>
      <c r="K4849" s="10">
        <f t="shared" si="75"/>
        <v>238216</v>
      </c>
    </row>
    <row r="4850" spans="1:11">
      <c r="A4850">
        <v>404410</v>
      </c>
      <c r="B4850" s="10">
        <v>2021</v>
      </c>
      <c r="C4850" t="s">
        <v>774</v>
      </c>
      <c r="D4850" t="s">
        <v>2472</v>
      </c>
      <c r="E4850" t="s">
        <v>2474</v>
      </c>
      <c r="F4850" t="s">
        <v>1786</v>
      </c>
      <c r="G4850" t="s">
        <v>1786</v>
      </c>
      <c r="H4850" s="10">
        <v>255936</v>
      </c>
      <c r="I4850">
        <f>IFERROR(VLOOKUP(Final!F4850,'LEAID Match'!$A$2:$B$374,2,FALSE),"")</f>
        <v>404410</v>
      </c>
      <c r="K4850" s="10">
        <f t="shared" si="75"/>
        <v>255936</v>
      </c>
    </row>
    <row r="4851" spans="1:11">
      <c r="A4851">
        <v>404410</v>
      </c>
      <c r="B4851" s="10">
        <v>2022</v>
      </c>
      <c r="C4851" t="s">
        <v>774</v>
      </c>
      <c r="D4851" t="s">
        <v>2472</v>
      </c>
      <c r="E4851" t="s">
        <v>2474</v>
      </c>
      <c r="F4851" t="s">
        <v>1786</v>
      </c>
      <c r="G4851" t="s">
        <v>1786</v>
      </c>
      <c r="H4851" s="10">
        <v>285552</v>
      </c>
      <c r="I4851">
        <f>IFERROR(VLOOKUP(Final!F4851,'LEAID Match'!$A$2:$B$374,2,FALSE),"")</f>
        <v>404410</v>
      </c>
      <c r="K4851" s="10">
        <f t="shared" si="75"/>
        <v>285552</v>
      </c>
    </row>
    <row r="4852" spans="1:11">
      <c r="A4852">
        <v>404410</v>
      </c>
      <c r="B4852" s="10">
        <v>2023</v>
      </c>
      <c r="C4852" t="s">
        <v>774</v>
      </c>
      <c r="D4852" t="s">
        <v>2472</v>
      </c>
      <c r="E4852" t="s">
        <v>2474</v>
      </c>
      <c r="F4852" t="s">
        <v>1786</v>
      </c>
      <c r="G4852" t="s">
        <v>1786</v>
      </c>
      <c r="H4852" s="10">
        <v>287790</v>
      </c>
      <c r="I4852">
        <f>IFERROR(VLOOKUP(Final!F4852,'LEAID Match'!$A$2:$B$374,2,FALSE),"")</f>
        <v>404410</v>
      </c>
      <c r="K4852" s="10">
        <f t="shared" si="75"/>
        <v>287790</v>
      </c>
    </row>
    <row r="4853" spans="1:11">
      <c r="A4853">
        <v>408640</v>
      </c>
      <c r="B4853" s="10">
        <v>2015</v>
      </c>
      <c r="C4853" t="s">
        <v>1218</v>
      </c>
      <c r="D4853" t="s">
        <v>2472</v>
      </c>
      <c r="E4853" t="s">
        <v>2474</v>
      </c>
      <c r="F4853" t="s">
        <v>1995</v>
      </c>
      <c r="G4853" t="s">
        <v>1164</v>
      </c>
      <c r="H4853" s="10">
        <v>69602</v>
      </c>
      <c r="I4853">
        <f>IFERROR(VLOOKUP(Final!F4853,'LEAID Match'!$A$2:$B$374,2,FALSE),"")</f>
        <v>408640</v>
      </c>
      <c r="K4853" s="10">
        <f t="shared" si="75"/>
        <v>69602</v>
      </c>
    </row>
    <row r="4854" spans="1:11">
      <c r="A4854">
        <v>408640</v>
      </c>
      <c r="B4854" s="10">
        <v>2016</v>
      </c>
      <c r="C4854" t="s">
        <v>1218</v>
      </c>
      <c r="D4854" t="s">
        <v>2472</v>
      </c>
      <c r="E4854" t="s">
        <v>2474</v>
      </c>
      <c r="F4854" t="s">
        <v>1995</v>
      </c>
      <c r="G4854" t="s">
        <v>1164</v>
      </c>
      <c r="H4854" s="10">
        <v>71640</v>
      </c>
      <c r="I4854">
        <f>IFERROR(VLOOKUP(Final!F4854,'LEAID Match'!$A$2:$B$374,2,FALSE),"")</f>
        <v>408640</v>
      </c>
      <c r="K4854" s="10">
        <f t="shared" si="75"/>
        <v>71640</v>
      </c>
    </row>
    <row r="4855" spans="1:11">
      <c r="A4855">
        <v>408640</v>
      </c>
      <c r="B4855" s="10">
        <v>2017</v>
      </c>
      <c r="C4855" t="s">
        <v>1218</v>
      </c>
      <c r="D4855" t="s">
        <v>2472</v>
      </c>
      <c r="E4855" t="s">
        <v>2474</v>
      </c>
      <c r="F4855" t="s">
        <v>1995</v>
      </c>
      <c r="G4855" t="s">
        <v>1995</v>
      </c>
      <c r="H4855" s="10">
        <v>65721</v>
      </c>
      <c r="I4855">
        <f>IFERROR(VLOOKUP(Final!F4855,'LEAID Match'!$A$2:$B$374,2,FALSE),"")</f>
        <v>408640</v>
      </c>
      <c r="K4855" s="10">
        <f t="shared" si="75"/>
        <v>65721</v>
      </c>
    </row>
    <row r="4856" spans="1:11">
      <c r="A4856">
        <v>408640</v>
      </c>
      <c r="B4856" s="10">
        <v>2018</v>
      </c>
      <c r="C4856" t="s">
        <v>1218</v>
      </c>
      <c r="D4856" t="s">
        <v>2472</v>
      </c>
      <c r="E4856" t="s">
        <v>2474</v>
      </c>
      <c r="F4856" t="s">
        <v>1995</v>
      </c>
      <c r="G4856" t="s">
        <v>1995</v>
      </c>
      <c r="H4856" s="10">
        <v>76677</v>
      </c>
      <c r="I4856">
        <f>IFERROR(VLOOKUP(Final!F4856,'LEAID Match'!$A$2:$B$374,2,FALSE),"")</f>
        <v>408640</v>
      </c>
      <c r="K4856" s="10">
        <f t="shared" si="75"/>
        <v>76677</v>
      </c>
    </row>
    <row r="4857" spans="1:11">
      <c r="A4857">
        <v>408640</v>
      </c>
      <c r="B4857" s="10">
        <v>2019</v>
      </c>
      <c r="C4857" t="s">
        <v>1218</v>
      </c>
      <c r="D4857" t="s">
        <v>2472</v>
      </c>
      <c r="E4857" t="s">
        <v>2474</v>
      </c>
      <c r="F4857" t="s">
        <v>1995</v>
      </c>
      <c r="G4857" t="s">
        <v>1995</v>
      </c>
      <c r="H4857" s="10">
        <v>84792</v>
      </c>
      <c r="I4857">
        <f>IFERROR(VLOOKUP(Final!F4857,'LEAID Match'!$A$2:$B$374,2,FALSE),"")</f>
        <v>408640</v>
      </c>
      <c r="K4857" s="10">
        <f t="shared" si="75"/>
        <v>84792</v>
      </c>
    </row>
    <row r="4858" spans="1:11">
      <c r="A4858">
        <v>408640</v>
      </c>
      <c r="B4858" s="10">
        <v>2020</v>
      </c>
      <c r="C4858" t="s">
        <v>1218</v>
      </c>
      <c r="D4858" t="s">
        <v>2472</v>
      </c>
      <c r="E4858" t="s">
        <v>2474</v>
      </c>
      <c r="F4858" t="s">
        <v>1995</v>
      </c>
      <c r="G4858" t="s">
        <v>1995</v>
      </c>
      <c r="H4858" s="10">
        <v>91433</v>
      </c>
      <c r="I4858">
        <f>IFERROR(VLOOKUP(Final!F4858,'LEAID Match'!$A$2:$B$374,2,FALSE),"")</f>
        <v>408640</v>
      </c>
      <c r="K4858" s="10">
        <f t="shared" si="75"/>
        <v>91433</v>
      </c>
    </row>
    <row r="4859" spans="1:11">
      <c r="A4859">
        <v>408640</v>
      </c>
      <c r="B4859" s="10">
        <v>2021</v>
      </c>
      <c r="C4859" t="s">
        <v>1218</v>
      </c>
      <c r="D4859" t="s">
        <v>2472</v>
      </c>
      <c r="E4859" t="s">
        <v>2474</v>
      </c>
      <c r="F4859" t="s">
        <v>1995</v>
      </c>
      <c r="G4859" t="s">
        <v>1995</v>
      </c>
      <c r="H4859" s="10">
        <v>74494</v>
      </c>
      <c r="I4859">
        <f>IFERROR(VLOOKUP(Final!F4859,'LEAID Match'!$A$2:$B$374,2,FALSE),"")</f>
        <v>408640</v>
      </c>
      <c r="K4859" s="10">
        <f t="shared" si="75"/>
        <v>74494</v>
      </c>
    </row>
    <row r="4860" spans="1:11">
      <c r="A4860">
        <v>408640</v>
      </c>
      <c r="B4860" s="10">
        <v>2022</v>
      </c>
      <c r="C4860" t="s">
        <v>1218</v>
      </c>
      <c r="D4860" t="s">
        <v>2472</v>
      </c>
      <c r="E4860" t="s">
        <v>2474</v>
      </c>
      <c r="F4860" t="s">
        <v>1995</v>
      </c>
      <c r="G4860" t="s">
        <v>1995</v>
      </c>
      <c r="H4860" s="10">
        <v>109984</v>
      </c>
      <c r="I4860">
        <f>IFERROR(VLOOKUP(Final!F4860,'LEAID Match'!$A$2:$B$374,2,FALSE),"")</f>
        <v>408640</v>
      </c>
      <c r="K4860" s="10">
        <f t="shared" si="75"/>
        <v>109984</v>
      </c>
    </row>
    <row r="4861" spans="1:11">
      <c r="A4861">
        <v>408640</v>
      </c>
      <c r="B4861" s="10">
        <v>2023</v>
      </c>
      <c r="C4861" t="s">
        <v>1218</v>
      </c>
      <c r="D4861" t="s">
        <v>2472</v>
      </c>
      <c r="E4861" t="s">
        <v>2474</v>
      </c>
      <c r="F4861" t="s">
        <v>1995</v>
      </c>
      <c r="G4861" t="s">
        <v>1995</v>
      </c>
      <c r="H4861" s="10">
        <v>105028</v>
      </c>
      <c r="I4861">
        <f>IFERROR(VLOOKUP(Final!F4861,'LEAID Match'!$A$2:$B$374,2,FALSE),"")</f>
        <v>408640</v>
      </c>
      <c r="K4861" s="10">
        <f t="shared" si="75"/>
        <v>105028</v>
      </c>
    </row>
    <row r="4862" spans="1:11">
      <c r="A4862">
        <v>409570</v>
      </c>
      <c r="B4862" s="10">
        <v>2015</v>
      </c>
      <c r="C4862" t="s">
        <v>1350</v>
      </c>
      <c r="D4862" t="s">
        <v>2472</v>
      </c>
      <c r="E4862" t="s">
        <v>2474</v>
      </c>
      <c r="F4862" t="s">
        <v>2035</v>
      </c>
      <c r="G4862" t="s">
        <v>1302</v>
      </c>
      <c r="H4862" s="10">
        <v>23160</v>
      </c>
      <c r="I4862">
        <f>IFERROR(VLOOKUP(Final!F4862,'LEAID Match'!$A$2:$B$374,2,FALSE),"")</f>
        <v>409570</v>
      </c>
      <c r="K4862" s="10">
        <f t="shared" si="75"/>
        <v>23160</v>
      </c>
    </row>
    <row r="4863" spans="1:11">
      <c r="A4863">
        <v>409570</v>
      </c>
      <c r="B4863" s="10">
        <v>2016</v>
      </c>
      <c r="C4863" t="s">
        <v>1350</v>
      </c>
      <c r="D4863" t="s">
        <v>2472</v>
      </c>
      <c r="E4863" t="s">
        <v>2474</v>
      </c>
      <c r="F4863" t="s">
        <v>2035</v>
      </c>
      <c r="G4863" t="s">
        <v>1302</v>
      </c>
      <c r="H4863" s="10">
        <v>23928</v>
      </c>
      <c r="I4863">
        <f>IFERROR(VLOOKUP(Final!F4863,'LEAID Match'!$A$2:$B$374,2,FALSE),"")</f>
        <v>409570</v>
      </c>
      <c r="K4863" s="10">
        <f t="shared" si="75"/>
        <v>23928</v>
      </c>
    </row>
    <row r="4864" spans="1:11">
      <c r="A4864">
        <v>409570</v>
      </c>
      <c r="B4864" s="10">
        <v>2017</v>
      </c>
      <c r="C4864" t="s">
        <v>1350</v>
      </c>
      <c r="D4864" t="s">
        <v>2472</v>
      </c>
      <c r="E4864" t="s">
        <v>2474</v>
      </c>
      <c r="F4864" t="s">
        <v>2035</v>
      </c>
      <c r="G4864" t="s">
        <v>2035</v>
      </c>
      <c r="H4864" s="10">
        <v>27796</v>
      </c>
      <c r="I4864">
        <f>IFERROR(VLOOKUP(Final!F4864,'LEAID Match'!$A$2:$B$374,2,FALSE),"")</f>
        <v>409570</v>
      </c>
      <c r="K4864" s="10">
        <f t="shared" si="75"/>
        <v>27796</v>
      </c>
    </row>
    <row r="4865" spans="1:11">
      <c r="A4865">
        <v>409570</v>
      </c>
      <c r="B4865" s="10">
        <v>2018</v>
      </c>
      <c r="C4865" t="s">
        <v>1350</v>
      </c>
      <c r="D4865" t="s">
        <v>2472</v>
      </c>
      <c r="E4865" t="s">
        <v>2474</v>
      </c>
      <c r="F4865" t="s">
        <v>2035</v>
      </c>
      <c r="G4865" t="s">
        <v>2345</v>
      </c>
      <c r="H4865" s="10">
        <v>28981</v>
      </c>
      <c r="I4865">
        <f>IFERROR(VLOOKUP(Final!F4865,'LEAID Match'!$A$2:$B$374,2,FALSE),"")</f>
        <v>409570</v>
      </c>
      <c r="K4865" s="10">
        <f t="shared" si="75"/>
        <v>28981</v>
      </c>
    </row>
    <row r="4866" spans="1:11">
      <c r="A4866">
        <v>409570</v>
      </c>
      <c r="B4866" s="10">
        <v>2019</v>
      </c>
      <c r="C4866" t="s">
        <v>1350</v>
      </c>
      <c r="D4866" t="s">
        <v>2472</v>
      </c>
      <c r="E4866" t="s">
        <v>2474</v>
      </c>
      <c r="F4866" t="s">
        <v>2035</v>
      </c>
      <c r="G4866" t="s">
        <v>2035</v>
      </c>
      <c r="H4866" s="10">
        <v>30148</v>
      </c>
      <c r="I4866">
        <f>IFERROR(VLOOKUP(Final!F4866,'LEAID Match'!$A$2:$B$374,2,FALSE),"")</f>
        <v>409570</v>
      </c>
      <c r="K4866" s="10">
        <f t="shared" si="75"/>
        <v>30148</v>
      </c>
    </row>
    <row r="4867" spans="1:11">
      <c r="A4867">
        <v>409570</v>
      </c>
      <c r="B4867" s="10">
        <v>2020</v>
      </c>
      <c r="C4867" t="s">
        <v>1350</v>
      </c>
      <c r="D4867" t="s">
        <v>2472</v>
      </c>
      <c r="E4867" t="s">
        <v>2474</v>
      </c>
      <c r="F4867" t="s">
        <v>2035</v>
      </c>
      <c r="G4867" t="s">
        <v>2035</v>
      </c>
      <c r="H4867" s="10">
        <v>33658</v>
      </c>
      <c r="I4867">
        <f>IFERROR(VLOOKUP(Final!F4867,'LEAID Match'!$A$2:$B$374,2,FALSE),"")</f>
        <v>409570</v>
      </c>
      <c r="K4867" s="10">
        <f t="shared" ref="K4867:K4930" si="76">SUM(H4867,J4867)</f>
        <v>33658</v>
      </c>
    </row>
    <row r="4868" spans="1:11">
      <c r="A4868">
        <v>409570</v>
      </c>
      <c r="B4868" s="10">
        <v>2021</v>
      </c>
      <c r="C4868" t="s">
        <v>1350</v>
      </c>
      <c r="D4868" t="s">
        <v>2472</v>
      </c>
      <c r="E4868" t="s">
        <v>2474</v>
      </c>
      <c r="F4868" t="s">
        <v>2035</v>
      </c>
      <c r="G4868" t="s">
        <v>2035</v>
      </c>
      <c r="H4868" s="10">
        <v>33226</v>
      </c>
      <c r="I4868">
        <f>IFERROR(VLOOKUP(Final!F4868,'LEAID Match'!$A$2:$B$374,2,FALSE),"")</f>
        <v>409570</v>
      </c>
      <c r="K4868" s="10">
        <f t="shared" si="76"/>
        <v>33226</v>
      </c>
    </row>
    <row r="4869" spans="1:11">
      <c r="A4869">
        <v>409570</v>
      </c>
      <c r="B4869" s="10">
        <v>2022</v>
      </c>
      <c r="C4869" t="s">
        <v>1350</v>
      </c>
      <c r="D4869" t="s">
        <v>2472</v>
      </c>
      <c r="E4869" t="s">
        <v>2474</v>
      </c>
      <c r="F4869" t="s">
        <v>2035</v>
      </c>
      <c r="G4869" t="s">
        <v>2035</v>
      </c>
      <c r="H4869" s="10">
        <v>40735</v>
      </c>
      <c r="I4869">
        <f>IFERROR(VLOOKUP(Final!F4869,'LEAID Match'!$A$2:$B$374,2,FALSE),"")</f>
        <v>409570</v>
      </c>
      <c r="K4869" s="10">
        <f t="shared" si="76"/>
        <v>40735</v>
      </c>
    </row>
    <row r="4870" spans="1:11">
      <c r="A4870">
        <v>409570</v>
      </c>
      <c r="B4870" s="10">
        <v>2023</v>
      </c>
      <c r="C4870" t="s">
        <v>1350</v>
      </c>
      <c r="D4870" t="s">
        <v>2472</v>
      </c>
      <c r="E4870" t="s">
        <v>2474</v>
      </c>
      <c r="F4870" t="s">
        <v>2035</v>
      </c>
      <c r="G4870" t="s">
        <v>2035</v>
      </c>
      <c r="H4870" s="10">
        <v>47606</v>
      </c>
      <c r="I4870">
        <f>IFERROR(VLOOKUP(Final!F4870,'LEAID Match'!$A$2:$B$374,2,FALSE),"")</f>
        <v>409570</v>
      </c>
      <c r="K4870" s="10">
        <f t="shared" si="76"/>
        <v>47606</v>
      </c>
    </row>
    <row r="4871" spans="1:11">
      <c r="A4871">
        <v>400021</v>
      </c>
      <c r="B4871" s="10">
        <v>2015</v>
      </c>
      <c r="C4871" t="s">
        <v>479</v>
      </c>
      <c r="D4871" t="s">
        <v>2472</v>
      </c>
      <c r="E4871" t="s">
        <v>2474</v>
      </c>
      <c r="F4871" t="s">
        <v>1669</v>
      </c>
      <c r="G4871" t="s">
        <v>424</v>
      </c>
      <c r="H4871" s="10">
        <v>156536</v>
      </c>
      <c r="I4871">
        <f>IFERROR(VLOOKUP(Final!F4871,'LEAID Match'!$A$2:$B$374,2,FALSE),"")</f>
        <v>400021</v>
      </c>
      <c r="K4871" s="10">
        <f t="shared" si="76"/>
        <v>156536</v>
      </c>
    </row>
    <row r="4872" spans="1:11">
      <c r="A4872">
        <v>400021</v>
      </c>
      <c r="B4872" s="10">
        <v>2016</v>
      </c>
      <c r="C4872" t="s">
        <v>479</v>
      </c>
      <c r="D4872" t="s">
        <v>2472</v>
      </c>
      <c r="E4872" t="s">
        <v>2474</v>
      </c>
      <c r="F4872" t="s">
        <v>1669</v>
      </c>
      <c r="G4872" t="s">
        <v>424</v>
      </c>
      <c r="H4872" s="10">
        <v>148489</v>
      </c>
      <c r="I4872">
        <f>IFERROR(VLOOKUP(Final!F4872,'LEAID Match'!$A$2:$B$374,2,FALSE),"")</f>
        <v>400021</v>
      </c>
      <c r="K4872" s="10">
        <f t="shared" si="76"/>
        <v>148489</v>
      </c>
    </row>
    <row r="4873" spans="1:11">
      <c r="A4873">
        <v>400021</v>
      </c>
      <c r="B4873" s="10">
        <v>2017</v>
      </c>
      <c r="C4873" t="s">
        <v>479</v>
      </c>
      <c r="D4873" t="s">
        <v>2472</v>
      </c>
      <c r="E4873" t="s">
        <v>2474</v>
      </c>
      <c r="F4873" t="s">
        <v>1669</v>
      </c>
      <c r="G4873" t="s">
        <v>1669</v>
      </c>
      <c r="H4873" s="10">
        <v>294422</v>
      </c>
      <c r="I4873">
        <f>IFERROR(VLOOKUP(Final!F4873,'LEAID Match'!$A$2:$B$374,2,FALSE),"")</f>
        <v>400021</v>
      </c>
      <c r="K4873" s="10">
        <f t="shared" si="76"/>
        <v>294422</v>
      </c>
    </row>
    <row r="4874" spans="1:11">
      <c r="A4874">
        <v>400021</v>
      </c>
      <c r="B4874" s="10">
        <v>2018</v>
      </c>
      <c r="C4874" t="s">
        <v>479</v>
      </c>
      <c r="D4874" t="s">
        <v>2472</v>
      </c>
      <c r="E4874" t="s">
        <v>2474</v>
      </c>
      <c r="F4874" t="s">
        <v>1669</v>
      </c>
      <c r="G4874" t="s">
        <v>2157</v>
      </c>
      <c r="H4874" s="10">
        <v>307259</v>
      </c>
      <c r="I4874">
        <f>IFERROR(VLOOKUP(Final!F4874,'LEAID Match'!$A$2:$B$374,2,FALSE),"")</f>
        <v>400021</v>
      </c>
      <c r="K4874" s="10">
        <f t="shared" si="76"/>
        <v>307259</v>
      </c>
    </row>
    <row r="4875" spans="1:11">
      <c r="A4875">
        <v>400021</v>
      </c>
      <c r="B4875" s="10">
        <v>2019</v>
      </c>
      <c r="C4875" t="s">
        <v>479</v>
      </c>
      <c r="D4875" t="s">
        <v>2472</v>
      </c>
      <c r="E4875" t="s">
        <v>2474</v>
      </c>
      <c r="F4875" t="s">
        <v>1669</v>
      </c>
      <c r="G4875" t="s">
        <v>1669</v>
      </c>
      <c r="H4875" s="10">
        <v>334188</v>
      </c>
      <c r="I4875">
        <f>IFERROR(VLOOKUP(Final!F4875,'LEAID Match'!$A$2:$B$374,2,FALSE),"")</f>
        <v>400021</v>
      </c>
      <c r="K4875" s="10">
        <f t="shared" si="76"/>
        <v>334188</v>
      </c>
    </row>
    <row r="4876" spans="1:11">
      <c r="A4876">
        <v>400021</v>
      </c>
      <c r="B4876" s="10">
        <v>2020</v>
      </c>
      <c r="C4876" t="s">
        <v>479</v>
      </c>
      <c r="D4876" t="s">
        <v>2472</v>
      </c>
      <c r="E4876" t="s">
        <v>2474</v>
      </c>
      <c r="F4876" t="s">
        <v>1669</v>
      </c>
      <c r="G4876" t="s">
        <v>1669</v>
      </c>
      <c r="H4876" s="10">
        <v>357243</v>
      </c>
      <c r="I4876">
        <f>IFERROR(VLOOKUP(Final!F4876,'LEAID Match'!$A$2:$B$374,2,FALSE),"")</f>
        <v>400021</v>
      </c>
      <c r="K4876" s="10">
        <f t="shared" si="76"/>
        <v>357243</v>
      </c>
    </row>
    <row r="4877" spans="1:11">
      <c r="A4877">
        <v>400021</v>
      </c>
      <c r="B4877" s="10">
        <v>2021</v>
      </c>
      <c r="C4877" t="s">
        <v>479</v>
      </c>
      <c r="D4877" t="s">
        <v>2472</v>
      </c>
      <c r="E4877" t="s">
        <v>2474</v>
      </c>
      <c r="F4877" t="s">
        <v>1669</v>
      </c>
      <c r="G4877" t="s">
        <v>1669</v>
      </c>
      <c r="H4877" s="10">
        <v>396861</v>
      </c>
      <c r="I4877">
        <f>IFERROR(VLOOKUP(Final!F4877,'LEAID Match'!$A$2:$B$374,2,FALSE),"")</f>
        <v>400021</v>
      </c>
      <c r="K4877" s="10">
        <f t="shared" si="76"/>
        <v>396861</v>
      </c>
    </row>
    <row r="4878" spans="1:11">
      <c r="A4878">
        <v>400021</v>
      </c>
      <c r="B4878" s="10">
        <v>2022</v>
      </c>
      <c r="C4878" t="s">
        <v>479</v>
      </c>
      <c r="D4878" t="s">
        <v>2472</v>
      </c>
      <c r="E4878" t="s">
        <v>2474</v>
      </c>
      <c r="F4878" t="s">
        <v>1669</v>
      </c>
      <c r="G4878" t="s">
        <v>1669</v>
      </c>
      <c r="H4878" s="10">
        <v>470084</v>
      </c>
      <c r="I4878">
        <f>IFERROR(VLOOKUP(Final!F4878,'LEAID Match'!$A$2:$B$374,2,FALSE),"")</f>
        <v>400021</v>
      </c>
      <c r="K4878" s="10">
        <f t="shared" si="76"/>
        <v>470084</v>
      </c>
    </row>
    <row r="4879" spans="1:11">
      <c r="A4879">
        <v>400021</v>
      </c>
      <c r="B4879" s="10">
        <v>2023</v>
      </c>
      <c r="C4879" t="s">
        <v>479</v>
      </c>
      <c r="D4879" t="s">
        <v>2472</v>
      </c>
      <c r="E4879" t="s">
        <v>2474</v>
      </c>
      <c r="F4879" t="s">
        <v>1669</v>
      </c>
      <c r="G4879" t="s">
        <v>1669</v>
      </c>
      <c r="H4879" s="10">
        <v>510952</v>
      </c>
      <c r="I4879">
        <f>IFERROR(VLOOKUP(Final!F4879,'LEAID Match'!$A$2:$B$374,2,FALSE),"")</f>
        <v>400021</v>
      </c>
      <c r="K4879" s="10">
        <f t="shared" si="76"/>
        <v>510952</v>
      </c>
    </row>
    <row r="4880" spans="1:11">
      <c r="A4880">
        <v>401500</v>
      </c>
      <c r="B4880" s="10">
        <v>2015</v>
      </c>
      <c r="C4880" t="s">
        <v>339</v>
      </c>
      <c r="D4880" t="s">
        <v>2472</v>
      </c>
      <c r="E4880" t="s">
        <v>2474</v>
      </c>
      <c r="F4880" t="s">
        <v>1637</v>
      </c>
      <c r="G4880" t="s">
        <v>285</v>
      </c>
      <c r="H4880" s="10">
        <v>1188659</v>
      </c>
      <c r="I4880">
        <f>IFERROR(VLOOKUP(Final!F4880,'LEAID Match'!$A$2:$B$374,2,FALSE),"")</f>
        <v>401500</v>
      </c>
      <c r="K4880" s="10">
        <f t="shared" si="76"/>
        <v>1188659</v>
      </c>
    </row>
    <row r="4881" spans="1:11">
      <c r="A4881">
        <v>401500</v>
      </c>
      <c r="B4881" s="10">
        <v>2016</v>
      </c>
      <c r="C4881" t="s">
        <v>339</v>
      </c>
      <c r="D4881" t="s">
        <v>2472</v>
      </c>
      <c r="E4881" t="s">
        <v>2474</v>
      </c>
      <c r="F4881" t="s">
        <v>1637</v>
      </c>
      <c r="G4881" t="s">
        <v>285</v>
      </c>
      <c r="H4881" s="10">
        <v>1139984</v>
      </c>
      <c r="I4881">
        <f>IFERROR(VLOOKUP(Final!F4881,'LEAID Match'!$A$2:$B$374,2,FALSE),"")</f>
        <v>401500</v>
      </c>
      <c r="K4881" s="10">
        <f t="shared" si="76"/>
        <v>1139984</v>
      </c>
    </row>
    <row r="4882" spans="1:11">
      <c r="A4882">
        <v>401500</v>
      </c>
      <c r="B4882" s="10">
        <v>2017</v>
      </c>
      <c r="C4882" t="s">
        <v>339</v>
      </c>
      <c r="D4882" t="s">
        <v>2472</v>
      </c>
      <c r="E4882" t="s">
        <v>2474</v>
      </c>
      <c r="F4882" t="s">
        <v>1637</v>
      </c>
      <c r="G4882" t="s">
        <v>1637</v>
      </c>
      <c r="H4882" s="10">
        <v>1186339</v>
      </c>
      <c r="I4882">
        <f>IFERROR(VLOOKUP(Final!F4882,'LEAID Match'!$A$2:$B$374,2,FALSE),"")</f>
        <v>401500</v>
      </c>
      <c r="K4882" s="10">
        <f t="shared" si="76"/>
        <v>1186339</v>
      </c>
    </row>
    <row r="4883" spans="1:11">
      <c r="A4883">
        <v>401500</v>
      </c>
      <c r="B4883" s="10">
        <v>2018</v>
      </c>
      <c r="C4883" t="s">
        <v>339</v>
      </c>
      <c r="D4883" t="s">
        <v>2472</v>
      </c>
      <c r="E4883" t="s">
        <v>2474</v>
      </c>
      <c r="F4883" t="s">
        <v>1637</v>
      </c>
      <c r="G4883" t="s">
        <v>2136</v>
      </c>
      <c r="H4883" s="10">
        <v>1166105</v>
      </c>
      <c r="I4883">
        <f>IFERROR(VLOOKUP(Final!F4883,'LEAID Match'!$A$2:$B$374,2,FALSE),"")</f>
        <v>401500</v>
      </c>
      <c r="K4883" s="10">
        <f t="shared" si="76"/>
        <v>1166105</v>
      </c>
    </row>
    <row r="4884" spans="1:11">
      <c r="A4884">
        <v>401500</v>
      </c>
      <c r="B4884" s="10">
        <v>2019</v>
      </c>
      <c r="C4884" t="s">
        <v>339</v>
      </c>
      <c r="D4884" t="s">
        <v>2472</v>
      </c>
      <c r="E4884" t="s">
        <v>2474</v>
      </c>
      <c r="F4884" t="s">
        <v>1637</v>
      </c>
      <c r="G4884" t="s">
        <v>1637</v>
      </c>
      <c r="H4884" s="10">
        <v>1188843</v>
      </c>
      <c r="I4884">
        <f>IFERROR(VLOOKUP(Final!F4884,'LEAID Match'!$A$2:$B$374,2,FALSE),"")</f>
        <v>401500</v>
      </c>
      <c r="K4884" s="10">
        <f t="shared" si="76"/>
        <v>1188843</v>
      </c>
    </row>
    <row r="4885" spans="1:11">
      <c r="A4885">
        <v>401500</v>
      </c>
      <c r="B4885" s="10">
        <v>2020</v>
      </c>
      <c r="C4885" t="s">
        <v>339</v>
      </c>
      <c r="D4885" t="s">
        <v>2472</v>
      </c>
      <c r="E4885" t="s">
        <v>2474</v>
      </c>
      <c r="F4885" t="s">
        <v>1637</v>
      </c>
      <c r="G4885" t="s">
        <v>1637</v>
      </c>
      <c r="H4885" s="10">
        <v>1219896</v>
      </c>
      <c r="I4885">
        <f>IFERROR(VLOOKUP(Final!F4885,'LEAID Match'!$A$2:$B$374,2,FALSE),"")</f>
        <v>401500</v>
      </c>
      <c r="K4885" s="10">
        <f t="shared" si="76"/>
        <v>1219896</v>
      </c>
    </row>
    <row r="4886" spans="1:11">
      <c r="A4886">
        <v>401500</v>
      </c>
      <c r="B4886" s="10">
        <v>2021</v>
      </c>
      <c r="C4886" t="s">
        <v>339</v>
      </c>
      <c r="D4886" t="s">
        <v>2472</v>
      </c>
      <c r="E4886" t="s">
        <v>2474</v>
      </c>
      <c r="F4886" t="s">
        <v>1637</v>
      </c>
      <c r="G4886" t="s">
        <v>1637</v>
      </c>
      <c r="H4886" s="10">
        <v>1341988</v>
      </c>
      <c r="I4886">
        <f>IFERROR(VLOOKUP(Final!F4886,'LEAID Match'!$A$2:$B$374,2,FALSE),"")</f>
        <v>401500</v>
      </c>
      <c r="K4886" s="10">
        <f t="shared" si="76"/>
        <v>1341988</v>
      </c>
    </row>
    <row r="4887" spans="1:11">
      <c r="A4887">
        <v>401500</v>
      </c>
      <c r="B4887" s="10">
        <v>2022</v>
      </c>
      <c r="C4887" t="s">
        <v>339</v>
      </c>
      <c r="D4887" t="s">
        <v>2472</v>
      </c>
      <c r="E4887" t="s">
        <v>2474</v>
      </c>
      <c r="F4887" t="s">
        <v>1637</v>
      </c>
      <c r="G4887" t="s">
        <v>1637</v>
      </c>
      <c r="H4887" s="10">
        <v>1422813</v>
      </c>
      <c r="I4887">
        <f>IFERROR(VLOOKUP(Final!F4887,'LEAID Match'!$A$2:$B$374,2,FALSE),"")</f>
        <v>401500</v>
      </c>
      <c r="K4887" s="10">
        <f t="shared" si="76"/>
        <v>1422813</v>
      </c>
    </row>
    <row r="4888" spans="1:11">
      <c r="A4888">
        <v>401500</v>
      </c>
      <c r="B4888" s="10">
        <v>2023</v>
      </c>
      <c r="C4888" t="s">
        <v>339</v>
      </c>
      <c r="D4888" t="s">
        <v>2472</v>
      </c>
      <c r="E4888" t="s">
        <v>2474</v>
      </c>
      <c r="F4888" t="s">
        <v>1637</v>
      </c>
      <c r="G4888" t="s">
        <v>1637</v>
      </c>
      <c r="H4888" s="10">
        <v>1348171</v>
      </c>
      <c r="I4888">
        <f>IFERROR(VLOOKUP(Final!F4888,'LEAID Match'!$A$2:$B$374,2,FALSE),"")</f>
        <v>401500</v>
      </c>
      <c r="K4888" s="10">
        <f t="shared" si="76"/>
        <v>1348171</v>
      </c>
    </row>
    <row r="4889" spans="1:11">
      <c r="A4889">
        <v>405190</v>
      </c>
      <c r="B4889" s="10">
        <v>2015</v>
      </c>
      <c r="C4889" t="s">
        <v>809</v>
      </c>
      <c r="D4889" t="s">
        <v>2472</v>
      </c>
      <c r="E4889" t="s">
        <v>2474</v>
      </c>
      <c r="F4889" t="s">
        <v>1814</v>
      </c>
      <c r="G4889" t="s">
        <v>754</v>
      </c>
      <c r="H4889" s="10">
        <v>634199</v>
      </c>
      <c r="I4889">
        <f>IFERROR(VLOOKUP(Final!F4889,'LEAID Match'!$A$2:$B$374,2,FALSE),"")</f>
        <v>405190</v>
      </c>
      <c r="K4889" s="10">
        <f t="shared" si="76"/>
        <v>634199</v>
      </c>
    </row>
    <row r="4890" spans="1:11">
      <c r="A4890">
        <v>405190</v>
      </c>
      <c r="B4890" s="10">
        <v>2016</v>
      </c>
      <c r="C4890" t="s">
        <v>809</v>
      </c>
      <c r="D4890" t="s">
        <v>2472</v>
      </c>
      <c r="E4890" t="s">
        <v>2474</v>
      </c>
      <c r="F4890" t="s">
        <v>1814</v>
      </c>
      <c r="G4890" t="s">
        <v>754</v>
      </c>
      <c r="H4890" s="10">
        <v>608002</v>
      </c>
      <c r="I4890">
        <f>IFERROR(VLOOKUP(Final!F4890,'LEAID Match'!$A$2:$B$374,2,FALSE),"")</f>
        <v>405190</v>
      </c>
      <c r="K4890" s="10">
        <f t="shared" si="76"/>
        <v>608002</v>
      </c>
    </row>
    <row r="4891" spans="1:11">
      <c r="A4891">
        <v>405190</v>
      </c>
      <c r="B4891" s="10">
        <v>2017</v>
      </c>
      <c r="C4891" t="s">
        <v>809</v>
      </c>
      <c r="D4891" t="s">
        <v>2472</v>
      </c>
      <c r="E4891" t="s">
        <v>2474</v>
      </c>
      <c r="F4891" t="s">
        <v>1814</v>
      </c>
      <c r="G4891" t="s">
        <v>1814</v>
      </c>
      <c r="H4891" s="10">
        <v>579189</v>
      </c>
      <c r="I4891">
        <f>IFERROR(VLOOKUP(Final!F4891,'LEAID Match'!$A$2:$B$374,2,FALSE),"")</f>
        <v>405190</v>
      </c>
      <c r="K4891" s="10">
        <f t="shared" si="76"/>
        <v>579189</v>
      </c>
    </row>
    <row r="4892" spans="1:11">
      <c r="A4892">
        <v>405190</v>
      </c>
      <c r="B4892" s="10">
        <v>2018</v>
      </c>
      <c r="C4892" t="s">
        <v>809</v>
      </c>
      <c r="D4892" t="s">
        <v>2472</v>
      </c>
      <c r="E4892" t="s">
        <v>2474</v>
      </c>
      <c r="F4892" t="s">
        <v>1814</v>
      </c>
      <c r="G4892" t="s">
        <v>2243</v>
      </c>
      <c r="H4892" s="10">
        <v>625969</v>
      </c>
      <c r="I4892">
        <f>IFERROR(VLOOKUP(Final!F4892,'LEAID Match'!$A$2:$B$374,2,FALSE),"")</f>
        <v>405190</v>
      </c>
      <c r="K4892" s="10">
        <f t="shared" si="76"/>
        <v>625969</v>
      </c>
    </row>
    <row r="4893" spans="1:11">
      <c r="A4893">
        <v>405190</v>
      </c>
      <c r="B4893" s="10">
        <v>2019</v>
      </c>
      <c r="C4893" t="s">
        <v>809</v>
      </c>
      <c r="D4893" t="s">
        <v>2472</v>
      </c>
      <c r="E4893" t="s">
        <v>2474</v>
      </c>
      <c r="F4893" t="s">
        <v>1814</v>
      </c>
      <c r="G4893" t="s">
        <v>1814</v>
      </c>
      <c r="H4893" s="10">
        <v>652319</v>
      </c>
      <c r="I4893">
        <f>IFERROR(VLOOKUP(Final!F4893,'LEAID Match'!$A$2:$B$374,2,FALSE),"")</f>
        <v>405190</v>
      </c>
      <c r="K4893" s="10">
        <f t="shared" si="76"/>
        <v>652319</v>
      </c>
    </row>
    <row r="4894" spans="1:11">
      <c r="A4894">
        <v>405190</v>
      </c>
      <c r="B4894" s="10">
        <v>2020</v>
      </c>
      <c r="C4894" t="s">
        <v>809</v>
      </c>
      <c r="D4894" t="s">
        <v>2472</v>
      </c>
      <c r="E4894" t="s">
        <v>2474</v>
      </c>
      <c r="F4894" t="s">
        <v>1814</v>
      </c>
      <c r="G4894" t="s">
        <v>1814</v>
      </c>
      <c r="H4894" s="10">
        <v>669933</v>
      </c>
      <c r="I4894">
        <f>IFERROR(VLOOKUP(Final!F4894,'LEAID Match'!$A$2:$B$374,2,FALSE),"")</f>
        <v>405190</v>
      </c>
      <c r="K4894" s="10">
        <f t="shared" si="76"/>
        <v>669933</v>
      </c>
    </row>
    <row r="4895" spans="1:11">
      <c r="A4895">
        <v>405190</v>
      </c>
      <c r="B4895" s="10">
        <v>2021</v>
      </c>
      <c r="C4895" t="s">
        <v>809</v>
      </c>
      <c r="D4895" t="s">
        <v>2472</v>
      </c>
      <c r="E4895" t="s">
        <v>2474</v>
      </c>
      <c r="F4895" t="s">
        <v>1814</v>
      </c>
      <c r="G4895" t="s">
        <v>1814</v>
      </c>
      <c r="H4895" s="10">
        <v>657169</v>
      </c>
      <c r="I4895">
        <f>IFERROR(VLOOKUP(Final!F4895,'LEAID Match'!$A$2:$B$374,2,FALSE),"")</f>
        <v>405190</v>
      </c>
      <c r="K4895" s="10">
        <f t="shared" si="76"/>
        <v>657169</v>
      </c>
    </row>
    <row r="4896" spans="1:11">
      <c r="A4896">
        <v>405190</v>
      </c>
      <c r="B4896" s="10">
        <v>2022</v>
      </c>
      <c r="C4896" t="s">
        <v>809</v>
      </c>
      <c r="D4896" t="s">
        <v>2472</v>
      </c>
      <c r="E4896" t="s">
        <v>2474</v>
      </c>
      <c r="F4896" t="s">
        <v>1814</v>
      </c>
      <c r="G4896" t="s">
        <v>1814</v>
      </c>
      <c r="H4896" s="10">
        <v>726265</v>
      </c>
      <c r="I4896">
        <f>IFERROR(VLOOKUP(Final!F4896,'LEAID Match'!$A$2:$B$374,2,FALSE),"")</f>
        <v>405190</v>
      </c>
      <c r="K4896" s="10">
        <f t="shared" si="76"/>
        <v>726265</v>
      </c>
    </row>
    <row r="4897" spans="1:11">
      <c r="A4897">
        <v>405190</v>
      </c>
      <c r="B4897" s="10">
        <v>2023</v>
      </c>
      <c r="C4897" t="s">
        <v>809</v>
      </c>
      <c r="D4897" t="s">
        <v>2472</v>
      </c>
      <c r="E4897" t="s">
        <v>2474</v>
      </c>
      <c r="F4897" t="s">
        <v>1814</v>
      </c>
      <c r="G4897" t="s">
        <v>1814</v>
      </c>
      <c r="H4897" s="10">
        <v>777088</v>
      </c>
      <c r="I4897">
        <f>IFERROR(VLOOKUP(Final!F4897,'LEAID Match'!$A$2:$B$374,2,FALSE),"")</f>
        <v>405190</v>
      </c>
      <c r="K4897" s="10">
        <f t="shared" si="76"/>
        <v>777088</v>
      </c>
    </row>
    <row r="4898" spans="1:11">
      <c r="A4898">
        <v>408880</v>
      </c>
      <c r="B4898" s="10">
        <v>2015</v>
      </c>
      <c r="C4898" t="s">
        <v>1314</v>
      </c>
      <c r="D4898" t="s">
        <v>2472</v>
      </c>
      <c r="E4898" t="s">
        <v>2474</v>
      </c>
      <c r="F4898" t="s">
        <v>2002</v>
      </c>
      <c r="G4898" t="s">
        <v>1266</v>
      </c>
      <c r="H4898" s="10">
        <v>42841</v>
      </c>
      <c r="I4898">
        <f>IFERROR(VLOOKUP(Final!F4898,'LEAID Match'!$A$2:$B$374,2,FALSE),"")</f>
        <v>408880</v>
      </c>
      <c r="K4898" s="10">
        <f t="shared" si="76"/>
        <v>42841</v>
      </c>
    </row>
    <row r="4899" spans="1:11">
      <c r="A4899">
        <v>408880</v>
      </c>
      <c r="B4899" s="10">
        <v>2016</v>
      </c>
      <c r="C4899" t="s">
        <v>1314</v>
      </c>
      <c r="D4899" t="s">
        <v>2472</v>
      </c>
      <c r="E4899" t="s">
        <v>2474</v>
      </c>
      <c r="F4899" t="s">
        <v>2002</v>
      </c>
      <c r="G4899" t="s">
        <v>1266</v>
      </c>
      <c r="H4899" s="10">
        <v>39522</v>
      </c>
      <c r="I4899">
        <f>IFERROR(VLOOKUP(Final!F4899,'LEAID Match'!$A$2:$B$374,2,FALSE),"")</f>
        <v>408880</v>
      </c>
      <c r="K4899" s="10">
        <f t="shared" si="76"/>
        <v>39522</v>
      </c>
    </row>
    <row r="4900" spans="1:11">
      <c r="A4900">
        <v>408880</v>
      </c>
      <c r="B4900" s="10">
        <v>2017</v>
      </c>
      <c r="C4900" t="s">
        <v>1314</v>
      </c>
      <c r="D4900" t="s">
        <v>2472</v>
      </c>
      <c r="E4900" t="s">
        <v>2474</v>
      </c>
      <c r="F4900" t="s">
        <v>2002</v>
      </c>
      <c r="G4900" t="s">
        <v>2002</v>
      </c>
      <c r="H4900" s="10">
        <v>41705</v>
      </c>
      <c r="I4900">
        <f>IFERROR(VLOOKUP(Final!F4900,'LEAID Match'!$A$2:$B$374,2,FALSE),"")</f>
        <v>408880</v>
      </c>
      <c r="K4900" s="10">
        <f t="shared" si="76"/>
        <v>41705</v>
      </c>
    </row>
    <row r="4901" spans="1:11">
      <c r="A4901">
        <v>408880</v>
      </c>
      <c r="B4901" s="10">
        <v>2018</v>
      </c>
      <c r="C4901" t="s">
        <v>1314</v>
      </c>
      <c r="D4901" t="s">
        <v>2472</v>
      </c>
      <c r="E4901" t="s">
        <v>2474</v>
      </c>
      <c r="F4901" t="s">
        <v>2002</v>
      </c>
      <c r="G4901" t="s">
        <v>2002</v>
      </c>
      <c r="H4901" s="10">
        <v>49570</v>
      </c>
      <c r="I4901">
        <f>IFERROR(VLOOKUP(Final!F4901,'LEAID Match'!$A$2:$B$374,2,FALSE),"")</f>
        <v>408880</v>
      </c>
      <c r="K4901" s="10">
        <f t="shared" si="76"/>
        <v>49570</v>
      </c>
    </row>
    <row r="4902" spans="1:11">
      <c r="A4902">
        <v>408880</v>
      </c>
      <c r="B4902" s="10">
        <v>2019</v>
      </c>
      <c r="C4902" t="s">
        <v>1314</v>
      </c>
      <c r="D4902" t="s">
        <v>2472</v>
      </c>
      <c r="E4902" t="s">
        <v>2474</v>
      </c>
      <c r="F4902" t="s">
        <v>2002</v>
      </c>
      <c r="G4902" t="s">
        <v>2002</v>
      </c>
      <c r="H4902" s="10">
        <v>77906</v>
      </c>
      <c r="I4902">
        <f>IFERROR(VLOOKUP(Final!F4902,'LEAID Match'!$A$2:$B$374,2,FALSE),"")</f>
        <v>408880</v>
      </c>
      <c r="K4902" s="10">
        <f t="shared" si="76"/>
        <v>77906</v>
      </c>
    </row>
    <row r="4903" spans="1:11">
      <c r="A4903">
        <v>408880</v>
      </c>
      <c r="B4903" s="10">
        <v>2020</v>
      </c>
      <c r="C4903" t="s">
        <v>1314</v>
      </c>
      <c r="D4903" t="s">
        <v>2472</v>
      </c>
      <c r="E4903" t="s">
        <v>2474</v>
      </c>
      <c r="F4903" t="s">
        <v>2002</v>
      </c>
      <c r="G4903" t="s">
        <v>2002</v>
      </c>
      <c r="H4903" s="10">
        <v>68255</v>
      </c>
      <c r="I4903">
        <f>IFERROR(VLOOKUP(Final!F4903,'LEAID Match'!$A$2:$B$374,2,FALSE),"")</f>
        <v>408880</v>
      </c>
      <c r="K4903" s="10">
        <f t="shared" si="76"/>
        <v>68255</v>
      </c>
    </row>
    <row r="4904" spans="1:11">
      <c r="A4904">
        <v>408880</v>
      </c>
      <c r="B4904" s="10">
        <v>2021</v>
      </c>
      <c r="C4904" t="s">
        <v>1314</v>
      </c>
      <c r="D4904" t="s">
        <v>2472</v>
      </c>
      <c r="E4904" t="s">
        <v>2474</v>
      </c>
      <c r="F4904" t="s">
        <v>2002</v>
      </c>
      <c r="G4904" t="s">
        <v>2002</v>
      </c>
      <c r="H4904" s="10">
        <v>73641</v>
      </c>
      <c r="I4904">
        <f>IFERROR(VLOOKUP(Final!F4904,'LEAID Match'!$A$2:$B$374,2,FALSE),"")</f>
        <v>408880</v>
      </c>
      <c r="K4904" s="10">
        <f t="shared" si="76"/>
        <v>73641</v>
      </c>
    </row>
    <row r="4905" spans="1:11">
      <c r="A4905">
        <v>408880</v>
      </c>
      <c r="B4905" s="10">
        <v>2022</v>
      </c>
      <c r="C4905" t="s">
        <v>1314</v>
      </c>
      <c r="D4905" t="s">
        <v>2472</v>
      </c>
      <c r="E4905" t="s">
        <v>2474</v>
      </c>
      <c r="F4905" t="s">
        <v>2002</v>
      </c>
      <c r="G4905" t="s">
        <v>2002</v>
      </c>
      <c r="H4905" s="10">
        <v>80631</v>
      </c>
      <c r="I4905">
        <f>IFERROR(VLOOKUP(Final!F4905,'LEAID Match'!$A$2:$B$374,2,FALSE),"")</f>
        <v>408880</v>
      </c>
      <c r="K4905" s="10">
        <f t="shared" si="76"/>
        <v>80631</v>
      </c>
    </row>
    <row r="4906" spans="1:11">
      <c r="A4906">
        <v>408880</v>
      </c>
      <c r="B4906" s="10">
        <v>2023</v>
      </c>
      <c r="C4906" t="s">
        <v>1314</v>
      </c>
      <c r="D4906" t="s">
        <v>2472</v>
      </c>
      <c r="E4906" t="s">
        <v>2474</v>
      </c>
      <c r="F4906" t="s">
        <v>2002</v>
      </c>
      <c r="G4906" t="s">
        <v>2002</v>
      </c>
      <c r="H4906" s="10">
        <v>90353</v>
      </c>
      <c r="I4906">
        <f>IFERROR(VLOOKUP(Final!F4906,'LEAID Match'!$A$2:$B$374,2,FALSE),"")</f>
        <v>408880</v>
      </c>
      <c r="K4906" s="10">
        <f t="shared" si="76"/>
        <v>90353</v>
      </c>
    </row>
    <row r="4907" spans="1:11">
      <c r="A4907">
        <v>404280</v>
      </c>
      <c r="B4907" s="10">
        <v>2015</v>
      </c>
      <c r="C4907" t="s">
        <v>710</v>
      </c>
      <c r="D4907" t="s">
        <v>2472</v>
      </c>
      <c r="E4907" t="s">
        <v>2474</v>
      </c>
      <c r="F4907" t="s">
        <v>1775</v>
      </c>
      <c r="G4907" t="s">
        <v>655</v>
      </c>
      <c r="H4907" s="10">
        <v>2138031</v>
      </c>
      <c r="I4907">
        <f>IFERROR(VLOOKUP(Final!F4907,'LEAID Match'!$A$2:$B$374,2,FALSE),"")</f>
        <v>404280</v>
      </c>
      <c r="K4907" s="10">
        <f t="shared" si="76"/>
        <v>2138031</v>
      </c>
    </row>
    <row r="4908" spans="1:11">
      <c r="A4908">
        <v>404280</v>
      </c>
      <c r="B4908" s="10">
        <v>2016</v>
      </c>
      <c r="C4908" t="s">
        <v>710</v>
      </c>
      <c r="D4908" t="s">
        <v>2472</v>
      </c>
      <c r="E4908" t="s">
        <v>2474</v>
      </c>
      <c r="F4908" t="s">
        <v>1775</v>
      </c>
      <c r="G4908" t="s">
        <v>655</v>
      </c>
      <c r="H4908" s="10">
        <v>2095227</v>
      </c>
      <c r="I4908">
        <f>IFERROR(VLOOKUP(Final!F4908,'LEAID Match'!$A$2:$B$374,2,FALSE),"")</f>
        <v>404280</v>
      </c>
      <c r="K4908" s="10">
        <f t="shared" si="76"/>
        <v>2095227</v>
      </c>
    </row>
    <row r="4909" spans="1:11">
      <c r="A4909">
        <v>404280</v>
      </c>
      <c r="B4909" s="10">
        <v>2017</v>
      </c>
      <c r="C4909" t="s">
        <v>710</v>
      </c>
      <c r="D4909" t="s">
        <v>2472</v>
      </c>
      <c r="E4909" t="s">
        <v>2474</v>
      </c>
      <c r="F4909" t="s">
        <v>1775</v>
      </c>
      <c r="G4909" t="s">
        <v>1775</v>
      </c>
      <c r="H4909" s="10">
        <v>2000696</v>
      </c>
      <c r="I4909">
        <f>IFERROR(VLOOKUP(Final!F4909,'LEAID Match'!$A$2:$B$374,2,FALSE),"")</f>
        <v>404280</v>
      </c>
      <c r="K4909" s="10">
        <f t="shared" si="76"/>
        <v>2000696</v>
      </c>
    </row>
    <row r="4910" spans="1:11">
      <c r="A4910">
        <v>404280</v>
      </c>
      <c r="B4910" s="10">
        <v>2018</v>
      </c>
      <c r="C4910" t="s">
        <v>710</v>
      </c>
      <c r="D4910" t="s">
        <v>2472</v>
      </c>
      <c r="E4910" t="s">
        <v>2474</v>
      </c>
      <c r="F4910" t="s">
        <v>1775</v>
      </c>
      <c r="G4910" t="s">
        <v>2220</v>
      </c>
      <c r="H4910" s="10">
        <v>2387099</v>
      </c>
      <c r="I4910">
        <f>IFERROR(VLOOKUP(Final!F4910,'LEAID Match'!$A$2:$B$374,2,FALSE),"")</f>
        <v>404280</v>
      </c>
      <c r="K4910" s="10">
        <f t="shared" si="76"/>
        <v>2387099</v>
      </c>
    </row>
    <row r="4911" spans="1:11">
      <c r="A4911">
        <v>404280</v>
      </c>
      <c r="B4911" s="10">
        <v>2019</v>
      </c>
      <c r="C4911" t="s">
        <v>710</v>
      </c>
      <c r="D4911" t="s">
        <v>2472</v>
      </c>
      <c r="E4911" t="s">
        <v>2474</v>
      </c>
      <c r="F4911" t="s">
        <v>1775</v>
      </c>
      <c r="G4911" t="s">
        <v>1775</v>
      </c>
      <c r="H4911" s="10">
        <v>2530853</v>
      </c>
      <c r="I4911">
        <f>IFERROR(VLOOKUP(Final!F4911,'LEAID Match'!$A$2:$B$374,2,FALSE),"")</f>
        <v>404280</v>
      </c>
      <c r="K4911" s="10">
        <f t="shared" si="76"/>
        <v>2530853</v>
      </c>
    </row>
    <row r="4912" spans="1:11">
      <c r="A4912">
        <v>404280</v>
      </c>
      <c r="B4912" s="10">
        <v>2020</v>
      </c>
      <c r="C4912" t="s">
        <v>710</v>
      </c>
      <c r="D4912" t="s">
        <v>2472</v>
      </c>
      <c r="E4912" t="s">
        <v>2474</v>
      </c>
      <c r="F4912" t="s">
        <v>1775</v>
      </c>
      <c r="G4912" t="s">
        <v>1775</v>
      </c>
      <c r="H4912" s="10">
        <v>2744831</v>
      </c>
      <c r="I4912">
        <f>IFERROR(VLOOKUP(Final!F4912,'LEAID Match'!$A$2:$B$374,2,FALSE),"")</f>
        <v>404280</v>
      </c>
      <c r="K4912" s="10">
        <f t="shared" si="76"/>
        <v>2744831</v>
      </c>
    </row>
    <row r="4913" spans="1:11">
      <c r="A4913">
        <v>404280</v>
      </c>
      <c r="B4913" s="10">
        <v>2021</v>
      </c>
      <c r="C4913" t="s">
        <v>710</v>
      </c>
      <c r="D4913" t="s">
        <v>2472</v>
      </c>
      <c r="E4913" t="s">
        <v>2474</v>
      </c>
      <c r="F4913" t="s">
        <v>1775</v>
      </c>
      <c r="G4913" t="s">
        <v>1775</v>
      </c>
      <c r="H4913" s="10">
        <v>2822042</v>
      </c>
      <c r="I4913">
        <f>IFERROR(VLOOKUP(Final!F4913,'LEAID Match'!$A$2:$B$374,2,FALSE),"")</f>
        <v>404280</v>
      </c>
      <c r="K4913" s="10">
        <f t="shared" si="76"/>
        <v>2822042</v>
      </c>
    </row>
    <row r="4914" spans="1:11">
      <c r="A4914">
        <v>404280</v>
      </c>
      <c r="B4914" s="10">
        <v>2022</v>
      </c>
      <c r="C4914" t="s">
        <v>710</v>
      </c>
      <c r="D4914" t="s">
        <v>2472</v>
      </c>
      <c r="E4914" t="s">
        <v>2474</v>
      </c>
      <c r="F4914" t="s">
        <v>1775</v>
      </c>
      <c r="G4914" t="s">
        <v>1775</v>
      </c>
      <c r="H4914" s="10">
        <v>3144149</v>
      </c>
      <c r="I4914">
        <f>IFERROR(VLOOKUP(Final!F4914,'LEAID Match'!$A$2:$B$374,2,FALSE),"")</f>
        <v>404280</v>
      </c>
      <c r="K4914" s="10">
        <f t="shared" si="76"/>
        <v>3144149</v>
      </c>
    </row>
    <row r="4915" spans="1:11">
      <c r="A4915">
        <v>404280</v>
      </c>
      <c r="B4915" s="10">
        <v>2023</v>
      </c>
      <c r="C4915" t="s">
        <v>710</v>
      </c>
      <c r="D4915" t="s">
        <v>2472</v>
      </c>
      <c r="E4915" t="s">
        <v>2474</v>
      </c>
      <c r="F4915" t="s">
        <v>1775</v>
      </c>
      <c r="G4915" t="s">
        <v>1775</v>
      </c>
      <c r="H4915" s="10">
        <v>3152959</v>
      </c>
      <c r="I4915">
        <f>IFERROR(VLOOKUP(Final!F4915,'LEAID Match'!$A$2:$B$374,2,FALSE),"")</f>
        <v>404280</v>
      </c>
      <c r="K4915" s="10">
        <f t="shared" si="76"/>
        <v>3152959</v>
      </c>
    </row>
    <row r="4916" spans="1:11">
      <c r="A4916">
        <v>400082</v>
      </c>
      <c r="B4916" s="10">
        <v>2015</v>
      </c>
      <c r="C4916" t="s">
        <v>481</v>
      </c>
      <c r="D4916" t="s">
        <v>2472</v>
      </c>
      <c r="E4916" t="s">
        <v>2474</v>
      </c>
      <c r="F4916" t="s">
        <v>1671</v>
      </c>
      <c r="G4916" t="s">
        <v>426</v>
      </c>
      <c r="H4916" s="10">
        <v>826868</v>
      </c>
      <c r="I4916">
        <f>IFERROR(VLOOKUP(Final!F4916,'LEAID Match'!$A$2:$B$374,2,FALSE),"")</f>
        <v>400082</v>
      </c>
      <c r="K4916" s="10">
        <f t="shared" si="76"/>
        <v>826868</v>
      </c>
    </row>
    <row r="4917" spans="1:11">
      <c r="A4917">
        <v>400082</v>
      </c>
      <c r="B4917" s="10">
        <v>2016</v>
      </c>
      <c r="C4917" t="s">
        <v>481</v>
      </c>
      <c r="D4917" t="s">
        <v>2472</v>
      </c>
      <c r="E4917" t="s">
        <v>2474</v>
      </c>
      <c r="F4917" t="s">
        <v>1671</v>
      </c>
      <c r="G4917" t="s">
        <v>426</v>
      </c>
      <c r="H4917" s="10">
        <v>776376</v>
      </c>
      <c r="I4917">
        <f>IFERROR(VLOOKUP(Final!F4917,'LEAID Match'!$A$2:$B$374,2,FALSE),"")</f>
        <v>400082</v>
      </c>
      <c r="K4917" s="10">
        <f t="shared" si="76"/>
        <v>776376</v>
      </c>
    </row>
    <row r="4918" spans="1:11">
      <c r="A4918">
        <v>400082</v>
      </c>
      <c r="B4918" s="10">
        <v>2017</v>
      </c>
      <c r="C4918" t="s">
        <v>481</v>
      </c>
      <c r="D4918" t="s">
        <v>2472</v>
      </c>
      <c r="E4918" t="s">
        <v>2474</v>
      </c>
      <c r="F4918" t="s">
        <v>1671</v>
      </c>
      <c r="G4918" t="s">
        <v>1671</v>
      </c>
      <c r="H4918" s="10">
        <v>788849</v>
      </c>
      <c r="I4918">
        <f>IFERROR(VLOOKUP(Final!F4918,'LEAID Match'!$A$2:$B$374,2,FALSE),"")</f>
        <v>400082</v>
      </c>
      <c r="K4918" s="10">
        <f t="shared" si="76"/>
        <v>788849</v>
      </c>
    </row>
    <row r="4919" spans="1:11">
      <c r="A4919">
        <v>400082</v>
      </c>
      <c r="B4919" s="10">
        <v>2018</v>
      </c>
      <c r="C4919" t="s">
        <v>481</v>
      </c>
      <c r="D4919" t="s">
        <v>2472</v>
      </c>
      <c r="E4919" t="s">
        <v>2474</v>
      </c>
      <c r="F4919" t="s">
        <v>1671</v>
      </c>
      <c r="G4919" t="s">
        <v>2159</v>
      </c>
      <c r="H4919" s="10">
        <v>803113</v>
      </c>
      <c r="I4919">
        <f>IFERROR(VLOOKUP(Final!F4919,'LEAID Match'!$A$2:$B$374,2,FALSE),"")</f>
        <v>400082</v>
      </c>
      <c r="K4919" s="10">
        <f t="shared" si="76"/>
        <v>803113</v>
      </c>
    </row>
    <row r="4920" spans="1:11">
      <c r="A4920">
        <v>400082</v>
      </c>
      <c r="B4920" s="10">
        <v>2019</v>
      </c>
      <c r="C4920" t="s">
        <v>481</v>
      </c>
      <c r="D4920" t="s">
        <v>2472</v>
      </c>
      <c r="E4920" t="s">
        <v>2474</v>
      </c>
      <c r="F4920" t="s">
        <v>1671</v>
      </c>
      <c r="G4920" t="s">
        <v>1671</v>
      </c>
      <c r="H4920" s="10">
        <v>827572</v>
      </c>
      <c r="I4920">
        <f>IFERROR(VLOOKUP(Final!F4920,'LEAID Match'!$A$2:$B$374,2,FALSE),"")</f>
        <v>400082</v>
      </c>
      <c r="K4920" s="10">
        <f t="shared" si="76"/>
        <v>827572</v>
      </c>
    </row>
    <row r="4921" spans="1:11">
      <c r="A4921">
        <v>400082</v>
      </c>
      <c r="B4921" s="10">
        <v>2020</v>
      </c>
      <c r="C4921" t="s">
        <v>481</v>
      </c>
      <c r="D4921" t="s">
        <v>2472</v>
      </c>
      <c r="E4921" t="s">
        <v>2474</v>
      </c>
      <c r="F4921" t="s">
        <v>1671</v>
      </c>
      <c r="G4921" t="s">
        <v>1671</v>
      </c>
      <c r="H4921" s="10">
        <v>880929</v>
      </c>
      <c r="I4921">
        <f>IFERROR(VLOOKUP(Final!F4921,'LEAID Match'!$A$2:$B$374,2,FALSE),"")</f>
        <v>400082</v>
      </c>
      <c r="K4921" s="10">
        <f t="shared" si="76"/>
        <v>880929</v>
      </c>
    </row>
    <row r="4922" spans="1:11">
      <c r="A4922">
        <v>400082</v>
      </c>
      <c r="B4922" s="10">
        <v>2021</v>
      </c>
      <c r="C4922" t="s">
        <v>481</v>
      </c>
      <c r="D4922" t="s">
        <v>2472</v>
      </c>
      <c r="E4922" t="s">
        <v>2474</v>
      </c>
      <c r="F4922" t="s">
        <v>1671</v>
      </c>
      <c r="G4922" t="s">
        <v>1671</v>
      </c>
      <c r="H4922" s="10">
        <v>906315</v>
      </c>
      <c r="I4922">
        <f>IFERROR(VLOOKUP(Final!F4922,'LEAID Match'!$A$2:$B$374,2,FALSE),"")</f>
        <v>400082</v>
      </c>
      <c r="K4922" s="10">
        <f t="shared" si="76"/>
        <v>906315</v>
      </c>
    </row>
    <row r="4923" spans="1:11">
      <c r="A4923">
        <v>400082</v>
      </c>
      <c r="B4923" s="10">
        <v>2022</v>
      </c>
      <c r="C4923" t="s">
        <v>481</v>
      </c>
      <c r="D4923" t="s">
        <v>2472</v>
      </c>
      <c r="E4923" t="s">
        <v>2474</v>
      </c>
      <c r="F4923" t="s">
        <v>1671</v>
      </c>
      <c r="G4923" t="s">
        <v>1671</v>
      </c>
      <c r="H4923" s="10">
        <v>870987</v>
      </c>
      <c r="I4923">
        <f>IFERROR(VLOOKUP(Final!F4923,'LEAID Match'!$A$2:$B$374,2,FALSE),"")</f>
        <v>400082</v>
      </c>
      <c r="K4923" s="10">
        <f t="shared" si="76"/>
        <v>870987</v>
      </c>
    </row>
    <row r="4924" spans="1:11">
      <c r="A4924">
        <v>400082</v>
      </c>
      <c r="B4924" s="10">
        <v>2023</v>
      </c>
      <c r="C4924" t="s">
        <v>481</v>
      </c>
      <c r="D4924" t="s">
        <v>2472</v>
      </c>
      <c r="E4924" t="s">
        <v>2474</v>
      </c>
      <c r="F4924" t="s">
        <v>1671</v>
      </c>
      <c r="G4924" t="s">
        <v>1671</v>
      </c>
      <c r="H4924" s="10">
        <v>1037056</v>
      </c>
      <c r="I4924">
        <f>IFERROR(VLOOKUP(Final!F4924,'LEAID Match'!$A$2:$B$374,2,FALSE),"")</f>
        <v>400082</v>
      </c>
      <c r="K4924" s="10">
        <f t="shared" si="76"/>
        <v>1037056</v>
      </c>
    </row>
    <row r="4925" spans="1:11">
      <c r="A4925">
        <v>400784</v>
      </c>
      <c r="B4925" s="10">
        <v>2015</v>
      </c>
      <c r="C4925" t="s">
        <v>885</v>
      </c>
      <c r="D4925" t="s">
        <v>2472</v>
      </c>
      <c r="E4925" t="s">
        <v>2474</v>
      </c>
      <c r="F4925" t="s">
        <v>1828</v>
      </c>
      <c r="G4925" t="s">
        <v>830</v>
      </c>
      <c r="H4925" s="10">
        <v>1913</v>
      </c>
      <c r="I4925">
        <f>IFERROR(VLOOKUP(Final!F4925,'LEAID Match'!$A$2:$B$374,2,FALSE),"")</f>
        <v>400784</v>
      </c>
      <c r="K4925" s="10">
        <f t="shared" si="76"/>
        <v>1913</v>
      </c>
    </row>
    <row r="4926" spans="1:11">
      <c r="A4926">
        <v>400784</v>
      </c>
      <c r="B4926" s="10">
        <v>2016</v>
      </c>
      <c r="C4926" t="s">
        <v>885</v>
      </c>
      <c r="D4926" t="s">
        <v>2472</v>
      </c>
      <c r="E4926" t="s">
        <v>2474</v>
      </c>
      <c r="F4926" t="s">
        <v>1828</v>
      </c>
      <c r="G4926" t="s">
        <v>830</v>
      </c>
      <c r="H4926" s="10"/>
      <c r="I4926">
        <f>IFERROR(VLOOKUP(Final!F4926,'LEAID Match'!$A$2:$B$374,2,FALSE),"")</f>
        <v>400784</v>
      </c>
      <c r="K4926" s="10">
        <f t="shared" si="76"/>
        <v>0</v>
      </c>
    </row>
    <row r="4927" spans="1:11">
      <c r="A4927">
        <v>400784</v>
      </c>
      <c r="B4927" s="10">
        <v>2017</v>
      </c>
      <c r="C4927" t="s">
        <v>885</v>
      </c>
      <c r="D4927" t="s">
        <v>2472</v>
      </c>
      <c r="E4927" t="s">
        <v>2474</v>
      </c>
      <c r="F4927" t="s">
        <v>1828</v>
      </c>
      <c r="G4927" t="s">
        <v>1828</v>
      </c>
      <c r="H4927" s="10">
        <v>128795</v>
      </c>
      <c r="I4927">
        <f>IFERROR(VLOOKUP(Final!F4927,'LEAID Match'!$A$2:$B$374,2,FALSE),"")</f>
        <v>400784</v>
      </c>
      <c r="K4927" s="10">
        <f t="shared" si="76"/>
        <v>128795</v>
      </c>
    </row>
    <row r="4928" spans="1:11">
      <c r="A4928">
        <v>400784</v>
      </c>
      <c r="B4928" s="10">
        <v>2018</v>
      </c>
      <c r="C4928" t="s">
        <v>885</v>
      </c>
      <c r="D4928" t="s">
        <v>2472</v>
      </c>
      <c r="E4928" t="s">
        <v>2474</v>
      </c>
      <c r="F4928" t="s">
        <v>1828</v>
      </c>
      <c r="G4928" t="s">
        <v>2252</v>
      </c>
      <c r="H4928" s="10">
        <v>132037</v>
      </c>
      <c r="I4928">
        <f>IFERROR(VLOOKUP(Final!F4928,'LEAID Match'!$A$2:$B$374,2,FALSE),"")</f>
        <v>400784</v>
      </c>
      <c r="K4928" s="10">
        <f t="shared" si="76"/>
        <v>132037</v>
      </c>
    </row>
    <row r="4929" spans="1:11">
      <c r="A4929">
        <v>400784</v>
      </c>
      <c r="B4929" s="10">
        <v>2019</v>
      </c>
      <c r="C4929" t="s">
        <v>885</v>
      </c>
      <c r="D4929" t="s">
        <v>2472</v>
      </c>
      <c r="E4929" t="s">
        <v>2474</v>
      </c>
      <c r="F4929" t="s">
        <v>1828</v>
      </c>
      <c r="G4929" t="s">
        <v>2378</v>
      </c>
      <c r="H4929" s="10">
        <v>120847</v>
      </c>
      <c r="I4929">
        <f>IFERROR(VLOOKUP(Final!F4929,'LEAID Match'!$A$2:$B$374,2,FALSE),"")</f>
        <v>400784</v>
      </c>
      <c r="K4929" s="10">
        <f t="shared" si="76"/>
        <v>120847</v>
      </c>
    </row>
    <row r="4930" spans="1:11">
      <c r="A4930">
        <v>400784</v>
      </c>
      <c r="B4930" s="10">
        <v>2020</v>
      </c>
      <c r="C4930" t="s">
        <v>885</v>
      </c>
      <c r="D4930" t="s">
        <v>2472</v>
      </c>
      <c r="E4930" t="s">
        <v>2474</v>
      </c>
      <c r="F4930" t="s">
        <v>1828</v>
      </c>
      <c r="G4930" t="s">
        <v>1828</v>
      </c>
      <c r="H4930" s="10">
        <v>118818</v>
      </c>
      <c r="I4930">
        <f>IFERROR(VLOOKUP(Final!F4930,'LEAID Match'!$A$2:$B$374,2,FALSE),"")</f>
        <v>400784</v>
      </c>
      <c r="K4930" s="10">
        <f t="shared" si="76"/>
        <v>118818</v>
      </c>
    </row>
    <row r="4931" spans="1:11">
      <c r="A4931">
        <v>400784</v>
      </c>
      <c r="B4931" s="10">
        <v>2021</v>
      </c>
      <c r="C4931" t="s">
        <v>885</v>
      </c>
      <c r="D4931" t="s">
        <v>2472</v>
      </c>
      <c r="E4931" t="s">
        <v>2474</v>
      </c>
      <c r="F4931" t="s">
        <v>1828</v>
      </c>
      <c r="G4931" t="s">
        <v>1828</v>
      </c>
      <c r="H4931" s="10">
        <v>145521</v>
      </c>
      <c r="I4931">
        <f>IFERROR(VLOOKUP(Final!F4931,'LEAID Match'!$A$2:$B$374,2,FALSE),"")</f>
        <v>400784</v>
      </c>
      <c r="K4931" s="10">
        <f t="shared" ref="K4931:K4994" si="77">SUM(H4931,J4931)</f>
        <v>145521</v>
      </c>
    </row>
    <row r="4932" spans="1:11">
      <c r="A4932">
        <v>400784</v>
      </c>
      <c r="B4932" s="10">
        <v>2022</v>
      </c>
      <c r="C4932" t="s">
        <v>885</v>
      </c>
      <c r="D4932" t="s">
        <v>2472</v>
      </c>
      <c r="E4932" t="s">
        <v>2474</v>
      </c>
      <c r="F4932" t="s">
        <v>1828</v>
      </c>
      <c r="G4932" t="s">
        <v>1828</v>
      </c>
      <c r="H4932" s="10">
        <v>152698</v>
      </c>
      <c r="I4932">
        <f>IFERROR(VLOOKUP(Final!F4932,'LEAID Match'!$A$2:$B$374,2,FALSE),"")</f>
        <v>400784</v>
      </c>
      <c r="K4932" s="10">
        <f t="shared" si="77"/>
        <v>152698</v>
      </c>
    </row>
    <row r="4933" spans="1:11">
      <c r="A4933">
        <v>400784</v>
      </c>
      <c r="B4933" s="10">
        <v>2023</v>
      </c>
      <c r="C4933" t="s">
        <v>885</v>
      </c>
      <c r="D4933" t="s">
        <v>2472</v>
      </c>
      <c r="E4933" t="s">
        <v>2474</v>
      </c>
      <c r="F4933" t="s">
        <v>1828</v>
      </c>
      <c r="G4933" t="s">
        <v>1828</v>
      </c>
      <c r="H4933" s="10">
        <v>128234</v>
      </c>
      <c r="I4933">
        <f>IFERROR(VLOOKUP(Final!F4933,'LEAID Match'!$A$2:$B$374,2,FALSE),"")</f>
        <v>400784</v>
      </c>
      <c r="K4933" s="10">
        <f t="shared" si="77"/>
        <v>128234</v>
      </c>
    </row>
    <row r="4934" spans="1:11">
      <c r="A4934">
        <v>409460</v>
      </c>
      <c r="B4934" s="10">
        <v>2015</v>
      </c>
      <c r="C4934" t="s">
        <v>1341</v>
      </c>
      <c r="D4934" t="s">
        <v>2472</v>
      </c>
      <c r="E4934" t="s">
        <v>2474</v>
      </c>
      <c r="F4934" t="s">
        <v>2027</v>
      </c>
      <c r="G4934" t="s">
        <v>1293</v>
      </c>
      <c r="H4934" s="10">
        <v>1040192</v>
      </c>
      <c r="I4934">
        <f>IFERROR(VLOOKUP(Final!F4934,'LEAID Match'!$A$2:$B$374,2,FALSE),"")</f>
        <v>409460</v>
      </c>
      <c r="K4934" s="10">
        <f t="shared" si="77"/>
        <v>1040192</v>
      </c>
    </row>
    <row r="4935" spans="1:11">
      <c r="A4935">
        <v>409460</v>
      </c>
      <c r="B4935" s="10">
        <v>2016</v>
      </c>
      <c r="C4935" t="s">
        <v>1341</v>
      </c>
      <c r="D4935" t="s">
        <v>2472</v>
      </c>
      <c r="E4935" t="s">
        <v>2474</v>
      </c>
      <c r="F4935" t="s">
        <v>2027</v>
      </c>
      <c r="G4935" t="s">
        <v>1293</v>
      </c>
      <c r="H4935" s="10">
        <v>1021777</v>
      </c>
      <c r="I4935">
        <f>IFERROR(VLOOKUP(Final!F4935,'LEAID Match'!$A$2:$B$374,2,FALSE),"")</f>
        <v>409460</v>
      </c>
      <c r="K4935" s="10">
        <f t="shared" si="77"/>
        <v>1021777</v>
      </c>
    </row>
    <row r="4936" spans="1:11">
      <c r="A4936">
        <v>409460</v>
      </c>
      <c r="B4936" s="10">
        <v>2017</v>
      </c>
      <c r="C4936" t="s">
        <v>1341</v>
      </c>
      <c r="D4936" t="s">
        <v>2472</v>
      </c>
      <c r="E4936" t="s">
        <v>2474</v>
      </c>
      <c r="F4936" t="s">
        <v>2027</v>
      </c>
      <c r="G4936" t="s">
        <v>2027</v>
      </c>
      <c r="H4936" s="10">
        <v>1086268</v>
      </c>
      <c r="I4936">
        <f>IFERROR(VLOOKUP(Final!F4936,'LEAID Match'!$A$2:$B$374,2,FALSE),"")</f>
        <v>409460</v>
      </c>
      <c r="K4936" s="10">
        <f t="shared" si="77"/>
        <v>1086268</v>
      </c>
    </row>
    <row r="4937" spans="1:11">
      <c r="A4937">
        <v>409460</v>
      </c>
      <c r="B4937" s="10">
        <v>2018</v>
      </c>
      <c r="C4937" t="s">
        <v>1341</v>
      </c>
      <c r="D4937" t="s">
        <v>2472</v>
      </c>
      <c r="E4937" t="s">
        <v>2474</v>
      </c>
      <c r="F4937" t="s">
        <v>2027</v>
      </c>
      <c r="G4937" t="s">
        <v>2027</v>
      </c>
      <c r="H4937" s="10">
        <v>1061448</v>
      </c>
      <c r="I4937">
        <f>IFERROR(VLOOKUP(Final!F4937,'LEAID Match'!$A$2:$B$374,2,FALSE),"")</f>
        <v>409460</v>
      </c>
      <c r="K4937" s="10">
        <f t="shared" si="77"/>
        <v>1061448</v>
      </c>
    </row>
    <row r="4938" spans="1:11">
      <c r="A4938">
        <v>409460</v>
      </c>
      <c r="B4938" s="10">
        <v>2019</v>
      </c>
      <c r="C4938" t="s">
        <v>1341</v>
      </c>
      <c r="D4938" t="s">
        <v>2472</v>
      </c>
      <c r="E4938" t="s">
        <v>2474</v>
      </c>
      <c r="F4938" t="s">
        <v>2027</v>
      </c>
      <c r="G4938" t="s">
        <v>2027</v>
      </c>
      <c r="H4938" s="10">
        <v>1130168</v>
      </c>
      <c r="I4938">
        <f>IFERROR(VLOOKUP(Final!F4938,'LEAID Match'!$A$2:$B$374,2,FALSE),"")</f>
        <v>409460</v>
      </c>
      <c r="K4938" s="10">
        <f t="shared" si="77"/>
        <v>1130168</v>
      </c>
    </row>
    <row r="4939" spans="1:11">
      <c r="A4939">
        <v>409460</v>
      </c>
      <c r="B4939" s="10">
        <v>2020</v>
      </c>
      <c r="C4939" t="s">
        <v>1341</v>
      </c>
      <c r="D4939" t="s">
        <v>2472</v>
      </c>
      <c r="E4939" t="s">
        <v>2474</v>
      </c>
      <c r="F4939" t="s">
        <v>2027</v>
      </c>
      <c r="G4939" t="s">
        <v>2027</v>
      </c>
      <c r="H4939" s="10">
        <v>1223730</v>
      </c>
      <c r="I4939">
        <f>IFERROR(VLOOKUP(Final!F4939,'LEAID Match'!$A$2:$B$374,2,FALSE),"")</f>
        <v>409460</v>
      </c>
      <c r="K4939" s="10">
        <f t="shared" si="77"/>
        <v>1223730</v>
      </c>
    </row>
    <row r="4940" spans="1:11">
      <c r="A4940">
        <v>409460</v>
      </c>
      <c r="B4940" s="10">
        <v>2021</v>
      </c>
      <c r="C4940" t="s">
        <v>1341</v>
      </c>
      <c r="D4940" t="s">
        <v>2472</v>
      </c>
      <c r="E4940" t="s">
        <v>2474</v>
      </c>
      <c r="F4940" t="s">
        <v>2027</v>
      </c>
      <c r="G4940" t="s">
        <v>2027</v>
      </c>
      <c r="H4940" s="10">
        <v>1246141</v>
      </c>
      <c r="I4940">
        <f>IFERROR(VLOOKUP(Final!F4940,'LEAID Match'!$A$2:$B$374,2,FALSE),"")</f>
        <v>409460</v>
      </c>
      <c r="K4940" s="10">
        <f t="shared" si="77"/>
        <v>1246141</v>
      </c>
    </row>
    <row r="4941" spans="1:11">
      <c r="A4941">
        <v>409460</v>
      </c>
      <c r="B4941" s="10">
        <v>2022</v>
      </c>
      <c r="C4941" t="s">
        <v>1341</v>
      </c>
      <c r="D4941" t="s">
        <v>2472</v>
      </c>
      <c r="E4941" t="s">
        <v>2474</v>
      </c>
      <c r="F4941" t="s">
        <v>2027</v>
      </c>
      <c r="G4941" t="s">
        <v>2027</v>
      </c>
      <c r="H4941" s="10">
        <v>1339011</v>
      </c>
      <c r="I4941">
        <f>IFERROR(VLOOKUP(Final!F4941,'LEAID Match'!$A$2:$B$374,2,FALSE),"")</f>
        <v>409460</v>
      </c>
      <c r="K4941" s="10">
        <f t="shared" si="77"/>
        <v>1339011</v>
      </c>
    </row>
    <row r="4942" spans="1:11">
      <c r="A4942">
        <v>409460</v>
      </c>
      <c r="B4942" s="10">
        <v>2023</v>
      </c>
      <c r="C4942" t="s">
        <v>1341</v>
      </c>
      <c r="D4942" t="s">
        <v>2472</v>
      </c>
      <c r="E4942" t="s">
        <v>2474</v>
      </c>
      <c r="F4942" t="s">
        <v>2027</v>
      </c>
      <c r="G4942" t="s">
        <v>2027</v>
      </c>
      <c r="H4942" s="10">
        <v>1488580</v>
      </c>
      <c r="I4942">
        <f>IFERROR(VLOOKUP(Final!F4942,'LEAID Match'!$A$2:$B$374,2,FALSE),"")</f>
        <v>409460</v>
      </c>
      <c r="K4942" s="10">
        <f t="shared" si="77"/>
        <v>1488580</v>
      </c>
    </row>
    <row r="4943" spans="1:11">
      <c r="A4943">
        <v>404010</v>
      </c>
      <c r="B4943" s="10">
        <v>2015</v>
      </c>
      <c r="C4943" t="s">
        <v>701</v>
      </c>
      <c r="D4943" t="s">
        <v>2472</v>
      </c>
      <c r="E4943" t="s">
        <v>2474</v>
      </c>
      <c r="F4943" t="s">
        <v>2405</v>
      </c>
      <c r="G4943" t="s">
        <v>646</v>
      </c>
      <c r="H4943" s="10">
        <v>261414</v>
      </c>
      <c r="I4943">
        <f>IFERROR(VLOOKUP(Final!F4943,'LEAID Match'!$A$2:$B$374,2,FALSE),"")</f>
        <v>404010</v>
      </c>
      <c r="K4943" s="10">
        <f t="shared" si="77"/>
        <v>261414</v>
      </c>
    </row>
    <row r="4944" spans="1:11">
      <c r="A4944">
        <v>404010</v>
      </c>
      <c r="B4944" s="10">
        <v>2016</v>
      </c>
      <c r="C4944" t="s">
        <v>701</v>
      </c>
      <c r="D4944" t="s">
        <v>2472</v>
      </c>
      <c r="E4944" t="s">
        <v>2474</v>
      </c>
      <c r="F4944" t="s">
        <v>2405</v>
      </c>
      <c r="G4944" t="s">
        <v>646</v>
      </c>
      <c r="H4944" s="10">
        <v>268690</v>
      </c>
      <c r="I4944">
        <f>IFERROR(VLOOKUP(Final!F4944,'LEAID Match'!$A$2:$B$374,2,FALSE),"")</f>
        <v>404010</v>
      </c>
      <c r="K4944" s="10">
        <f t="shared" si="77"/>
        <v>268690</v>
      </c>
    </row>
    <row r="4945" spans="1:11">
      <c r="A4945">
        <v>404010</v>
      </c>
      <c r="B4945" s="10">
        <v>2017</v>
      </c>
      <c r="C4945" t="s">
        <v>701</v>
      </c>
      <c r="D4945" t="s">
        <v>2472</v>
      </c>
      <c r="E4945" t="s">
        <v>2474</v>
      </c>
      <c r="F4945" t="s">
        <v>2405</v>
      </c>
      <c r="G4945" t="s">
        <v>1765</v>
      </c>
      <c r="H4945" s="10">
        <v>277787</v>
      </c>
      <c r="I4945">
        <f>IFERROR(VLOOKUP(Final!F4945,'LEAID Match'!$A$2:$B$374,2,FALSE),"")</f>
        <v>404010</v>
      </c>
      <c r="K4945" s="10">
        <f t="shared" si="77"/>
        <v>277787</v>
      </c>
    </row>
    <row r="4946" spans="1:11">
      <c r="A4946">
        <v>404010</v>
      </c>
      <c r="B4946" s="10">
        <v>2018</v>
      </c>
      <c r="C4946" t="s">
        <v>701</v>
      </c>
      <c r="D4946" t="s">
        <v>2472</v>
      </c>
      <c r="E4946" t="s">
        <v>2474</v>
      </c>
      <c r="F4946" t="s">
        <v>2405</v>
      </c>
      <c r="G4946" t="s">
        <v>1765</v>
      </c>
      <c r="H4946" s="10">
        <v>284217</v>
      </c>
      <c r="I4946">
        <f>IFERROR(VLOOKUP(Final!F4946,'LEAID Match'!$A$2:$B$374,2,FALSE),"")</f>
        <v>404010</v>
      </c>
      <c r="K4946" s="10">
        <f t="shared" si="77"/>
        <v>284217</v>
      </c>
    </row>
    <row r="4947" spans="1:11">
      <c r="A4947">
        <v>404010</v>
      </c>
      <c r="B4947" s="10">
        <v>2019</v>
      </c>
      <c r="C4947" t="s">
        <v>701</v>
      </c>
      <c r="D4947" t="s">
        <v>2472</v>
      </c>
      <c r="E4947" t="s">
        <v>2474</v>
      </c>
      <c r="F4947" t="s">
        <v>2405</v>
      </c>
      <c r="G4947" t="s">
        <v>1765</v>
      </c>
      <c r="H4947" s="10">
        <v>306720</v>
      </c>
      <c r="I4947">
        <f>IFERROR(VLOOKUP(Final!F4947,'LEAID Match'!$A$2:$B$374,2,FALSE),"")</f>
        <v>404010</v>
      </c>
      <c r="K4947" s="10">
        <f t="shared" si="77"/>
        <v>306720</v>
      </c>
    </row>
    <row r="4948" spans="1:11">
      <c r="A4948">
        <v>404010</v>
      </c>
      <c r="B4948" s="10">
        <v>2020</v>
      </c>
      <c r="C4948" t="s">
        <v>701</v>
      </c>
      <c r="D4948" t="s">
        <v>2472</v>
      </c>
      <c r="E4948" t="s">
        <v>2474</v>
      </c>
      <c r="F4948" t="s">
        <v>2405</v>
      </c>
      <c r="G4948" t="s">
        <v>2405</v>
      </c>
      <c r="H4948" s="10">
        <v>305833</v>
      </c>
      <c r="I4948">
        <f>IFERROR(VLOOKUP(Final!F4948,'LEAID Match'!$A$2:$B$374,2,FALSE),"")</f>
        <v>404010</v>
      </c>
      <c r="K4948" s="10">
        <f t="shared" si="77"/>
        <v>305833</v>
      </c>
    </row>
    <row r="4949" spans="1:11">
      <c r="A4949">
        <v>404010</v>
      </c>
      <c r="B4949" s="10">
        <v>2021</v>
      </c>
      <c r="C4949" t="s">
        <v>701</v>
      </c>
      <c r="D4949" t="s">
        <v>2472</v>
      </c>
      <c r="E4949" t="s">
        <v>2474</v>
      </c>
      <c r="F4949" t="s">
        <v>2405</v>
      </c>
      <c r="G4949" t="s">
        <v>2405</v>
      </c>
      <c r="H4949" s="10">
        <v>304247</v>
      </c>
      <c r="I4949">
        <f>IFERROR(VLOOKUP(Final!F4949,'LEAID Match'!$A$2:$B$374,2,FALSE),"")</f>
        <v>404010</v>
      </c>
      <c r="K4949" s="10">
        <f t="shared" si="77"/>
        <v>304247</v>
      </c>
    </row>
    <row r="4950" spans="1:11">
      <c r="A4950">
        <v>404010</v>
      </c>
      <c r="B4950" s="10">
        <v>2022</v>
      </c>
      <c r="C4950" t="s">
        <v>701</v>
      </c>
      <c r="D4950" t="s">
        <v>2472</v>
      </c>
      <c r="E4950" t="s">
        <v>2474</v>
      </c>
      <c r="F4950" t="s">
        <v>2405</v>
      </c>
      <c r="G4950" t="s">
        <v>2405</v>
      </c>
      <c r="H4950" s="10">
        <v>368665</v>
      </c>
      <c r="I4950">
        <f>IFERROR(VLOOKUP(Final!F4950,'LEAID Match'!$A$2:$B$374,2,FALSE),"")</f>
        <v>404010</v>
      </c>
      <c r="K4950" s="10">
        <f t="shared" si="77"/>
        <v>368665</v>
      </c>
    </row>
    <row r="4951" spans="1:11">
      <c r="A4951">
        <v>404010</v>
      </c>
      <c r="B4951" s="10">
        <v>2023</v>
      </c>
      <c r="C4951" t="s">
        <v>701</v>
      </c>
      <c r="D4951" t="s">
        <v>2472</v>
      </c>
      <c r="E4951" t="s">
        <v>2474</v>
      </c>
      <c r="F4951" t="s">
        <v>2405</v>
      </c>
      <c r="G4951" t="s">
        <v>2405</v>
      </c>
      <c r="H4951" s="10">
        <v>390573</v>
      </c>
      <c r="I4951">
        <f>IFERROR(VLOOKUP(Final!F4951,'LEAID Match'!$A$2:$B$374,2,FALSE),"")</f>
        <v>404010</v>
      </c>
      <c r="K4951" s="10">
        <f t="shared" si="77"/>
        <v>390573</v>
      </c>
    </row>
    <row r="4952" spans="1:11">
      <c r="A4952">
        <v>403820</v>
      </c>
      <c r="B4952" s="10">
        <v>2015</v>
      </c>
      <c r="C4952" t="s">
        <v>691</v>
      </c>
      <c r="D4952" t="s">
        <v>2472</v>
      </c>
      <c r="E4952" t="s">
        <v>2474</v>
      </c>
      <c r="F4952" t="s">
        <v>1751</v>
      </c>
      <c r="G4952" t="s">
        <v>636</v>
      </c>
      <c r="H4952" s="10">
        <v>1316170</v>
      </c>
      <c r="I4952">
        <f>IFERROR(VLOOKUP(Final!F4952,'LEAID Match'!$A$2:$B$374,2,FALSE),"")</f>
        <v>403820</v>
      </c>
      <c r="K4952" s="10">
        <f t="shared" si="77"/>
        <v>1316170</v>
      </c>
    </row>
    <row r="4953" spans="1:11">
      <c r="A4953">
        <v>403820</v>
      </c>
      <c r="B4953" s="10">
        <v>2016</v>
      </c>
      <c r="C4953" t="s">
        <v>691</v>
      </c>
      <c r="D4953" t="s">
        <v>2472</v>
      </c>
      <c r="E4953" t="s">
        <v>2474</v>
      </c>
      <c r="F4953" t="s">
        <v>1751</v>
      </c>
      <c r="G4953" t="s">
        <v>636</v>
      </c>
      <c r="H4953" s="10">
        <v>1346749</v>
      </c>
      <c r="I4953">
        <f>IFERROR(VLOOKUP(Final!F4953,'LEAID Match'!$A$2:$B$374,2,FALSE),"")</f>
        <v>403820</v>
      </c>
      <c r="K4953" s="10">
        <f t="shared" si="77"/>
        <v>1346749</v>
      </c>
    </row>
    <row r="4954" spans="1:11">
      <c r="A4954">
        <v>403820</v>
      </c>
      <c r="B4954" s="10">
        <v>2017</v>
      </c>
      <c r="C4954" t="s">
        <v>691</v>
      </c>
      <c r="D4954" t="s">
        <v>2472</v>
      </c>
      <c r="E4954" t="s">
        <v>2474</v>
      </c>
      <c r="F4954" t="s">
        <v>1751</v>
      </c>
      <c r="G4954" t="s">
        <v>1751</v>
      </c>
      <c r="H4954" s="10">
        <v>1353097</v>
      </c>
      <c r="I4954">
        <f>IFERROR(VLOOKUP(Final!F4954,'LEAID Match'!$A$2:$B$374,2,FALSE),"")</f>
        <v>403820</v>
      </c>
      <c r="K4954" s="10">
        <f t="shared" si="77"/>
        <v>1353097</v>
      </c>
    </row>
    <row r="4955" spans="1:11">
      <c r="A4955">
        <v>403820</v>
      </c>
      <c r="B4955" s="10">
        <v>2018</v>
      </c>
      <c r="C4955" t="s">
        <v>691</v>
      </c>
      <c r="D4955" t="s">
        <v>2472</v>
      </c>
      <c r="E4955" t="s">
        <v>2474</v>
      </c>
      <c r="F4955" t="s">
        <v>1751</v>
      </c>
      <c r="G4955" t="s">
        <v>1751</v>
      </c>
      <c r="H4955" s="10">
        <v>1350421</v>
      </c>
      <c r="I4955">
        <f>IFERROR(VLOOKUP(Final!F4955,'LEAID Match'!$A$2:$B$374,2,FALSE),"")</f>
        <v>403820</v>
      </c>
      <c r="K4955" s="10">
        <f t="shared" si="77"/>
        <v>1350421</v>
      </c>
    </row>
    <row r="4956" spans="1:11">
      <c r="A4956">
        <v>403820</v>
      </c>
      <c r="B4956" s="10">
        <v>2019</v>
      </c>
      <c r="C4956" t="s">
        <v>691</v>
      </c>
      <c r="D4956" t="s">
        <v>2472</v>
      </c>
      <c r="E4956" t="s">
        <v>2474</v>
      </c>
      <c r="F4956" t="s">
        <v>1751</v>
      </c>
      <c r="G4956" t="s">
        <v>1751</v>
      </c>
      <c r="H4956" s="10">
        <v>1424272</v>
      </c>
      <c r="I4956">
        <f>IFERROR(VLOOKUP(Final!F4956,'LEAID Match'!$A$2:$B$374,2,FALSE),"")</f>
        <v>403820</v>
      </c>
      <c r="K4956" s="10">
        <f t="shared" si="77"/>
        <v>1424272</v>
      </c>
    </row>
    <row r="4957" spans="1:11">
      <c r="A4957">
        <v>403820</v>
      </c>
      <c r="B4957" s="10">
        <v>2020</v>
      </c>
      <c r="C4957" t="s">
        <v>691</v>
      </c>
      <c r="D4957" t="s">
        <v>2472</v>
      </c>
      <c r="E4957" t="s">
        <v>2474</v>
      </c>
      <c r="F4957" t="s">
        <v>1751</v>
      </c>
      <c r="G4957" t="s">
        <v>1751</v>
      </c>
      <c r="H4957" s="10">
        <v>1467936</v>
      </c>
      <c r="I4957">
        <f>IFERROR(VLOOKUP(Final!F4957,'LEAID Match'!$A$2:$B$374,2,FALSE),"")</f>
        <v>403820</v>
      </c>
      <c r="K4957" s="10">
        <f t="shared" si="77"/>
        <v>1467936</v>
      </c>
    </row>
    <row r="4958" spans="1:11">
      <c r="A4958">
        <v>403820</v>
      </c>
      <c r="B4958" s="10">
        <v>2021</v>
      </c>
      <c r="C4958" t="s">
        <v>691</v>
      </c>
      <c r="D4958" t="s">
        <v>2472</v>
      </c>
      <c r="E4958" t="s">
        <v>2474</v>
      </c>
      <c r="F4958" t="s">
        <v>1751</v>
      </c>
      <c r="G4958" t="s">
        <v>1751</v>
      </c>
      <c r="H4958" s="10">
        <v>1480332</v>
      </c>
      <c r="I4958">
        <f>IFERROR(VLOOKUP(Final!F4958,'LEAID Match'!$A$2:$B$374,2,FALSE),"")</f>
        <v>403820</v>
      </c>
      <c r="K4958" s="10">
        <f t="shared" si="77"/>
        <v>1480332</v>
      </c>
    </row>
    <row r="4959" spans="1:11">
      <c r="A4959">
        <v>403820</v>
      </c>
      <c r="B4959" s="10">
        <v>2022</v>
      </c>
      <c r="C4959" t="s">
        <v>691</v>
      </c>
      <c r="D4959" t="s">
        <v>2472</v>
      </c>
      <c r="E4959" t="s">
        <v>2474</v>
      </c>
      <c r="F4959" t="s">
        <v>1751</v>
      </c>
      <c r="G4959" t="s">
        <v>1751</v>
      </c>
      <c r="H4959" s="10">
        <v>1621215</v>
      </c>
      <c r="I4959">
        <f>IFERROR(VLOOKUP(Final!F4959,'LEAID Match'!$A$2:$B$374,2,FALSE),"")</f>
        <v>403820</v>
      </c>
      <c r="K4959" s="10">
        <f t="shared" si="77"/>
        <v>1621215</v>
      </c>
    </row>
    <row r="4960" spans="1:11">
      <c r="A4960">
        <v>403820</v>
      </c>
      <c r="B4960" s="10">
        <v>2023</v>
      </c>
      <c r="C4960" t="s">
        <v>691</v>
      </c>
      <c r="D4960" t="s">
        <v>2472</v>
      </c>
      <c r="E4960" t="s">
        <v>2474</v>
      </c>
      <c r="F4960" t="s">
        <v>1751</v>
      </c>
      <c r="G4960" t="s">
        <v>1751</v>
      </c>
      <c r="H4960" s="10">
        <v>1666837</v>
      </c>
      <c r="I4960">
        <f>IFERROR(VLOOKUP(Final!F4960,'LEAID Match'!$A$2:$B$374,2,FALSE),"")</f>
        <v>403820</v>
      </c>
      <c r="K4960" s="10">
        <f t="shared" si="77"/>
        <v>1666837</v>
      </c>
    </row>
    <row r="4961" spans="1:11">
      <c r="A4961">
        <v>400023</v>
      </c>
      <c r="B4961" s="10">
        <v>2015</v>
      </c>
      <c r="C4961" t="s">
        <v>1013</v>
      </c>
      <c r="D4961" t="s">
        <v>2472</v>
      </c>
      <c r="E4961" t="s">
        <v>2474</v>
      </c>
      <c r="F4961" t="s">
        <v>2408</v>
      </c>
      <c r="G4961" t="s">
        <v>958</v>
      </c>
      <c r="H4961" s="10">
        <v>1183463</v>
      </c>
      <c r="I4961">
        <f>IFERROR(VLOOKUP(Final!F4961,'LEAID Match'!$A$2:$B$374,2,FALSE),"")</f>
        <v>400023</v>
      </c>
      <c r="K4961" s="10">
        <f t="shared" si="77"/>
        <v>1183463</v>
      </c>
    </row>
    <row r="4962" spans="1:11">
      <c r="A4962">
        <v>400023</v>
      </c>
      <c r="B4962" s="10">
        <v>2016</v>
      </c>
      <c r="C4962" t="s">
        <v>1013</v>
      </c>
      <c r="D4962" t="s">
        <v>2472</v>
      </c>
      <c r="E4962" t="s">
        <v>2474</v>
      </c>
      <c r="F4962" t="s">
        <v>2408</v>
      </c>
      <c r="G4962" t="s">
        <v>958</v>
      </c>
      <c r="H4962" s="10">
        <v>1108597</v>
      </c>
      <c r="I4962">
        <f>IFERROR(VLOOKUP(Final!F4962,'LEAID Match'!$A$2:$B$374,2,FALSE),"")</f>
        <v>400023</v>
      </c>
      <c r="K4962" s="10">
        <f t="shared" si="77"/>
        <v>1108597</v>
      </c>
    </row>
    <row r="4963" spans="1:11">
      <c r="A4963">
        <v>400023</v>
      </c>
      <c r="B4963" s="10">
        <v>2017</v>
      </c>
      <c r="C4963" t="s">
        <v>1013</v>
      </c>
      <c r="D4963" t="s">
        <v>2472</v>
      </c>
      <c r="E4963" t="s">
        <v>2474</v>
      </c>
      <c r="F4963" t="s">
        <v>2408</v>
      </c>
      <c r="G4963" t="s">
        <v>1896</v>
      </c>
      <c r="H4963" s="10">
        <v>984810</v>
      </c>
      <c r="I4963">
        <f>IFERROR(VLOOKUP(Final!F4963,'LEAID Match'!$A$2:$B$374,2,FALSE),"")</f>
        <v>400023</v>
      </c>
      <c r="K4963" s="10">
        <f t="shared" si="77"/>
        <v>984810</v>
      </c>
    </row>
    <row r="4964" spans="1:11">
      <c r="A4964">
        <v>400023</v>
      </c>
      <c r="B4964" s="10">
        <v>2018</v>
      </c>
      <c r="C4964" t="s">
        <v>1013</v>
      </c>
      <c r="D4964" t="s">
        <v>2472</v>
      </c>
      <c r="E4964" t="s">
        <v>2474</v>
      </c>
      <c r="F4964" t="s">
        <v>2408</v>
      </c>
      <c r="G4964" t="s">
        <v>1896</v>
      </c>
      <c r="H4964" s="10">
        <v>920342</v>
      </c>
      <c r="I4964">
        <f>IFERROR(VLOOKUP(Final!F4964,'LEAID Match'!$A$2:$B$374,2,FALSE),"")</f>
        <v>400023</v>
      </c>
      <c r="K4964" s="10">
        <f t="shared" si="77"/>
        <v>920342</v>
      </c>
    </row>
    <row r="4965" spans="1:11">
      <c r="A4965">
        <v>400023</v>
      </c>
      <c r="B4965" s="10">
        <v>2019</v>
      </c>
      <c r="C4965" t="s">
        <v>1013</v>
      </c>
      <c r="D4965" t="s">
        <v>2472</v>
      </c>
      <c r="E4965" t="s">
        <v>2474</v>
      </c>
      <c r="F4965" t="s">
        <v>2408</v>
      </c>
      <c r="G4965" t="s">
        <v>2385</v>
      </c>
      <c r="H4965" s="10">
        <v>963507</v>
      </c>
      <c r="I4965">
        <f>IFERROR(VLOOKUP(Final!F4965,'LEAID Match'!$A$2:$B$374,2,FALSE),"")</f>
        <v>400023</v>
      </c>
      <c r="K4965" s="10">
        <f t="shared" si="77"/>
        <v>963507</v>
      </c>
    </row>
    <row r="4966" spans="1:11">
      <c r="A4966">
        <v>400023</v>
      </c>
      <c r="B4966" s="10">
        <v>2020</v>
      </c>
      <c r="C4966" t="s">
        <v>1013</v>
      </c>
      <c r="D4966" t="s">
        <v>2472</v>
      </c>
      <c r="E4966" t="s">
        <v>2474</v>
      </c>
      <c r="F4966" t="s">
        <v>2408</v>
      </c>
      <c r="G4966" t="s">
        <v>2408</v>
      </c>
      <c r="H4966" s="10">
        <v>1130290</v>
      </c>
      <c r="I4966">
        <f>IFERROR(VLOOKUP(Final!F4966,'LEAID Match'!$A$2:$B$374,2,FALSE),"")</f>
        <v>400023</v>
      </c>
      <c r="K4966" s="10">
        <f t="shared" si="77"/>
        <v>1130290</v>
      </c>
    </row>
    <row r="4967" spans="1:11">
      <c r="A4967">
        <v>400023</v>
      </c>
      <c r="B4967" s="10">
        <v>2021</v>
      </c>
      <c r="C4967" t="s">
        <v>1013</v>
      </c>
      <c r="D4967" t="s">
        <v>2472</v>
      </c>
      <c r="E4967" t="s">
        <v>2474</v>
      </c>
      <c r="F4967" t="s">
        <v>2408</v>
      </c>
      <c r="G4967" t="s">
        <v>2408</v>
      </c>
      <c r="H4967" s="10">
        <v>1116379</v>
      </c>
      <c r="I4967">
        <f>IFERROR(VLOOKUP(Final!F4967,'LEAID Match'!$A$2:$B$374,2,FALSE),"")</f>
        <v>400023</v>
      </c>
      <c r="K4967" s="10">
        <f t="shared" si="77"/>
        <v>1116379</v>
      </c>
    </row>
    <row r="4968" spans="1:11">
      <c r="A4968">
        <v>400023</v>
      </c>
      <c r="B4968" s="10">
        <v>2022</v>
      </c>
      <c r="C4968" t="s">
        <v>1013</v>
      </c>
      <c r="D4968" t="s">
        <v>2472</v>
      </c>
      <c r="E4968" t="s">
        <v>2474</v>
      </c>
      <c r="F4968" t="s">
        <v>2408</v>
      </c>
      <c r="G4968" t="s">
        <v>2408</v>
      </c>
      <c r="H4968" s="10">
        <v>1245526</v>
      </c>
      <c r="I4968">
        <f>IFERROR(VLOOKUP(Final!F4968,'LEAID Match'!$A$2:$B$374,2,FALSE),"")</f>
        <v>400023</v>
      </c>
      <c r="K4968" s="10">
        <f t="shared" si="77"/>
        <v>1245526</v>
      </c>
    </row>
    <row r="4969" spans="1:11">
      <c r="A4969">
        <v>400023</v>
      </c>
      <c r="B4969" s="10">
        <v>2023</v>
      </c>
      <c r="C4969" t="s">
        <v>1013</v>
      </c>
      <c r="D4969" t="s">
        <v>2472</v>
      </c>
      <c r="E4969" t="s">
        <v>2474</v>
      </c>
      <c r="F4969" t="s">
        <v>2408</v>
      </c>
      <c r="G4969" t="s">
        <v>2408</v>
      </c>
      <c r="H4969" s="10">
        <v>1247624</v>
      </c>
      <c r="I4969">
        <f>IFERROR(VLOOKUP(Final!F4969,'LEAID Match'!$A$2:$B$374,2,FALSE),"")</f>
        <v>400023</v>
      </c>
      <c r="K4969" s="10">
        <f t="shared" si="77"/>
        <v>1247624</v>
      </c>
    </row>
    <row r="4970" spans="1:11">
      <c r="A4970">
        <v>407820</v>
      </c>
      <c r="B4970" s="10">
        <v>2015</v>
      </c>
      <c r="C4970" t="s">
        <v>1125</v>
      </c>
      <c r="D4970" t="s">
        <v>2472</v>
      </c>
      <c r="E4970" t="s">
        <v>2474</v>
      </c>
      <c r="F4970" t="s">
        <v>1954</v>
      </c>
      <c r="G4970" t="s">
        <v>1070</v>
      </c>
      <c r="H4970" s="10">
        <v>937239</v>
      </c>
      <c r="I4970">
        <f>IFERROR(VLOOKUP(Final!F4970,'LEAID Match'!$A$2:$B$374,2,FALSE),"")</f>
        <v>407820</v>
      </c>
      <c r="K4970" s="10">
        <f t="shared" si="77"/>
        <v>937239</v>
      </c>
    </row>
    <row r="4971" spans="1:11">
      <c r="A4971">
        <v>407820</v>
      </c>
      <c r="B4971" s="10">
        <v>2016</v>
      </c>
      <c r="C4971" t="s">
        <v>1125</v>
      </c>
      <c r="D4971" t="s">
        <v>2472</v>
      </c>
      <c r="E4971" t="s">
        <v>2474</v>
      </c>
      <c r="F4971" t="s">
        <v>1954</v>
      </c>
      <c r="G4971" t="s">
        <v>1070</v>
      </c>
      <c r="H4971" s="10">
        <v>876683</v>
      </c>
      <c r="I4971">
        <f>IFERROR(VLOOKUP(Final!F4971,'LEAID Match'!$A$2:$B$374,2,FALSE),"")</f>
        <v>407820</v>
      </c>
      <c r="K4971" s="10">
        <f t="shared" si="77"/>
        <v>876683</v>
      </c>
    </row>
    <row r="4972" spans="1:11">
      <c r="A4972">
        <v>407820</v>
      </c>
      <c r="B4972" s="10">
        <v>2017</v>
      </c>
      <c r="C4972" t="s">
        <v>1125</v>
      </c>
      <c r="D4972" t="s">
        <v>2472</v>
      </c>
      <c r="E4972" t="s">
        <v>2474</v>
      </c>
      <c r="F4972" t="s">
        <v>1954</v>
      </c>
      <c r="G4972" t="s">
        <v>1954</v>
      </c>
      <c r="H4972" s="10">
        <v>915068</v>
      </c>
      <c r="I4972">
        <f>IFERROR(VLOOKUP(Final!F4972,'LEAID Match'!$A$2:$B$374,2,FALSE),"")</f>
        <v>407820</v>
      </c>
      <c r="K4972" s="10">
        <f t="shared" si="77"/>
        <v>915068</v>
      </c>
    </row>
    <row r="4973" spans="1:11">
      <c r="A4973">
        <v>407820</v>
      </c>
      <c r="B4973" s="10">
        <v>2018</v>
      </c>
      <c r="C4973" t="s">
        <v>1125</v>
      </c>
      <c r="D4973" t="s">
        <v>2472</v>
      </c>
      <c r="E4973" t="s">
        <v>2474</v>
      </c>
      <c r="F4973" t="s">
        <v>1954</v>
      </c>
      <c r="G4973" t="s">
        <v>2312</v>
      </c>
      <c r="H4973" s="10">
        <v>970568</v>
      </c>
      <c r="I4973">
        <f>IFERROR(VLOOKUP(Final!F4973,'LEAID Match'!$A$2:$B$374,2,FALSE),"")</f>
        <v>407820</v>
      </c>
      <c r="K4973" s="10">
        <f t="shared" si="77"/>
        <v>970568</v>
      </c>
    </row>
    <row r="4974" spans="1:11">
      <c r="A4974">
        <v>407820</v>
      </c>
      <c r="B4974" s="10">
        <v>2019</v>
      </c>
      <c r="C4974" t="s">
        <v>1125</v>
      </c>
      <c r="D4974" t="s">
        <v>2472</v>
      </c>
      <c r="E4974" t="s">
        <v>2474</v>
      </c>
      <c r="F4974" t="s">
        <v>1954</v>
      </c>
      <c r="G4974" t="s">
        <v>1954</v>
      </c>
      <c r="H4974" s="10">
        <v>1126365</v>
      </c>
      <c r="I4974">
        <f>IFERROR(VLOOKUP(Final!F4974,'LEAID Match'!$A$2:$B$374,2,FALSE),"")</f>
        <v>407820</v>
      </c>
      <c r="K4974" s="10">
        <f t="shared" si="77"/>
        <v>1126365</v>
      </c>
    </row>
    <row r="4975" spans="1:11">
      <c r="A4975">
        <v>407820</v>
      </c>
      <c r="B4975" s="10">
        <v>2020</v>
      </c>
      <c r="C4975" t="s">
        <v>1125</v>
      </c>
      <c r="D4975" t="s">
        <v>2472</v>
      </c>
      <c r="E4975" t="s">
        <v>2474</v>
      </c>
      <c r="F4975" t="s">
        <v>1954</v>
      </c>
      <c r="G4975" t="s">
        <v>1954</v>
      </c>
      <c r="H4975" s="10">
        <v>1171436</v>
      </c>
      <c r="I4975">
        <f>IFERROR(VLOOKUP(Final!F4975,'LEAID Match'!$A$2:$B$374,2,FALSE),"")</f>
        <v>407820</v>
      </c>
      <c r="K4975" s="10">
        <f t="shared" si="77"/>
        <v>1171436</v>
      </c>
    </row>
    <row r="4976" spans="1:11">
      <c r="A4976">
        <v>407820</v>
      </c>
      <c r="B4976" s="10">
        <v>2021</v>
      </c>
      <c r="C4976" t="s">
        <v>1125</v>
      </c>
      <c r="D4976" t="s">
        <v>2472</v>
      </c>
      <c r="E4976" t="s">
        <v>2474</v>
      </c>
      <c r="F4976" t="s">
        <v>1954</v>
      </c>
      <c r="G4976" t="s">
        <v>1954</v>
      </c>
      <c r="H4976" s="10">
        <v>1291003</v>
      </c>
      <c r="I4976">
        <f>IFERROR(VLOOKUP(Final!F4976,'LEAID Match'!$A$2:$B$374,2,FALSE),"")</f>
        <v>407820</v>
      </c>
      <c r="K4976" s="10">
        <f t="shared" si="77"/>
        <v>1291003</v>
      </c>
    </row>
    <row r="4977" spans="1:11">
      <c r="A4977">
        <v>407820</v>
      </c>
      <c r="B4977" s="10">
        <v>2022</v>
      </c>
      <c r="C4977" t="s">
        <v>1125</v>
      </c>
      <c r="D4977" t="s">
        <v>2472</v>
      </c>
      <c r="E4977" t="s">
        <v>2474</v>
      </c>
      <c r="F4977" t="s">
        <v>1954</v>
      </c>
      <c r="G4977" t="s">
        <v>1954</v>
      </c>
      <c r="H4977" s="10">
        <v>1358334</v>
      </c>
      <c r="I4977">
        <f>IFERROR(VLOOKUP(Final!F4977,'LEAID Match'!$A$2:$B$374,2,FALSE),"")</f>
        <v>407820</v>
      </c>
      <c r="K4977" s="10">
        <f t="shared" si="77"/>
        <v>1358334</v>
      </c>
    </row>
    <row r="4978" spans="1:11">
      <c r="A4978">
        <v>407820</v>
      </c>
      <c r="B4978" s="10">
        <v>2023</v>
      </c>
      <c r="C4978" t="s">
        <v>1125</v>
      </c>
      <c r="D4978" t="s">
        <v>2472</v>
      </c>
      <c r="E4978" t="s">
        <v>2474</v>
      </c>
      <c r="F4978" t="s">
        <v>1954</v>
      </c>
      <c r="G4978" t="s">
        <v>1954</v>
      </c>
      <c r="H4978" s="10">
        <v>1436477</v>
      </c>
      <c r="I4978">
        <f>IFERROR(VLOOKUP(Final!F4978,'LEAID Match'!$A$2:$B$374,2,FALSE),"")</f>
        <v>407820</v>
      </c>
      <c r="K4978" s="10">
        <f t="shared" si="77"/>
        <v>1436477</v>
      </c>
    </row>
    <row r="4979" spans="1:11">
      <c r="A4979">
        <v>400026</v>
      </c>
      <c r="B4979" s="10">
        <v>2015</v>
      </c>
      <c r="C4979" t="s">
        <v>686</v>
      </c>
      <c r="D4979" t="s">
        <v>2472</v>
      </c>
      <c r="E4979" t="s">
        <v>2474</v>
      </c>
      <c r="F4979" t="s">
        <v>1747</v>
      </c>
      <c r="G4979" t="s">
        <v>631</v>
      </c>
      <c r="H4979" s="10">
        <v>251588</v>
      </c>
      <c r="I4979">
        <f>IFERROR(VLOOKUP(Final!F4979,'LEAID Match'!$A$2:$B$374,2,FALSE),"")</f>
        <v>400026</v>
      </c>
      <c r="K4979" s="10">
        <f t="shared" si="77"/>
        <v>251588</v>
      </c>
    </row>
    <row r="4980" spans="1:11">
      <c r="A4980">
        <v>400026</v>
      </c>
      <c r="B4980" s="10">
        <v>2016</v>
      </c>
      <c r="C4980" t="s">
        <v>686</v>
      </c>
      <c r="D4980" t="s">
        <v>2472</v>
      </c>
      <c r="E4980" t="s">
        <v>2474</v>
      </c>
      <c r="F4980" t="s">
        <v>1747</v>
      </c>
      <c r="G4980" t="s">
        <v>631</v>
      </c>
      <c r="H4980" s="10">
        <v>247973</v>
      </c>
      <c r="I4980">
        <f>IFERROR(VLOOKUP(Final!F4980,'LEAID Match'!$A$2:$B$374,2,FALSE),"")</f>
        <v>400026</v>
      </c>
      <c r="K4980" s="10">
        <f t="shared" si="77"/>
        <v>247973</v>
      </c>
    </row>
    <row r="4981" spans="1:11">
      <c r="A4981">
        <v>400026</v>
      </c>
      <c r="B4981" s="10">
        <v>2017</v>
      </c>
      <c r="C4981" t="s">
        <v>686</v>
      </c>
      <c r="D4981" t="s">
        <v>2472</v>
      </c>
      <c r="E4981" t="s">
        <v>2474</v>
      </c>
      <c r="F4981" t="s">
        <v>1747</v>
      </c>
      <c r="G4981" t="s">
        <v>1747</v>
      </c>
      <c r="H4981" s="10">
        <v>261091</v>
      </c>
      <c r="I4981">
        <f>IFERROR(VLOOKUP(Final!F4981,'LEAID Match'!$A$2:$B$374,2,FALSE),"")</f>
        <v>400026</v>
      </c>
      <c r="K4981" s="10">
        <f t="shared" si="77"/>
        <v>261091</v>
      </c>
    </row>
    <row r="4982" spans="1:11">
      <c r="A4982">
        <v>400026</v>
      </c>
      <c r="B4982" s="10">
        <v>2018</v>
      </c>
      <c r="C4982" t="s">
        <v>686</v>
      </c>
      <c r="D4982" t="s">
        <v>2472</v>
      </c>
      <c r="E4982" t="s">
        <v>2474</v>
      </c>
      <c r="F4982" t="s">
        <v>1747</v>
      </c>
      <c r="G4982" t="s">
        <v>2208</v>
      </c>
      <c r="H4982" s="10">
        <v>274117</v>
      </c>
      <c r="I4982">
        <f>IFERROR(VLOOKUP(Final!F4982,'LEAID Match'!$A$2:$B$374,2,FALSE),"")</f>
        <v>400026</v>
      </c>
      <c r="K4982" s="10">
        <f t="shared" si="77"/>
        <v>274117</v>
      </c>
    </row>
    <row r="4983" spans="1:11">
      <c r="A4983">
        <v>400026</v>
      </c>
      <c r="B4983" s="10">
        <v>2019</v>
      </c>
      <c r="C4983" t="s">
        <v>686</v>
      </c>
      <c r="D4983" t="s">
        <v>2472</v>
      </c>
      <c r="E4983" t="s">
        <v>2474</v>
      </c>
      <c r="F4983" t="s">
        <v>1747</v>
      </c>
      <c r="G4983" t="s">
        <v>1747</v>
      </c>
      <c r="H4983" s="10">
        <v>315041</v>
      </c>
      <c r="I4983">
        <f>IFERROR(VLOOKUP(Final!F4983,'LEAID Match'!$A$2:$B$374,2,FALSE),"")</f>
        <v>400026</v>
      </c>
      <c r="K4983" s="10">
        <f t="shared" si="77"/>
        <v>315041</v>
      </c>
    </row>
    <row r="4984" spans="1:11">
      <c r="A4984">
        <v>400026</v>
      </c>
      <c r="B4984" s="10">
        <v>2020</v>
      </c>
      <c r="C4984" t="s">
        <v>686</v>
      </c>
      <c r="D4984" t="s">
        <v>2472</v>
      </c>
      <c r="E4984" t="s">
        <v>2474</v>
      </c>
      <c r="F4984" t="s">
        <v>1747</v>
      </c>
      <c r="G4984" t="s">
        <v>1747</v>
      </c>
      <c r="H4984" s="10">
        <v>310763</v>
      </c>
      <c r="I4984">
        <f>IFERROR(VLOOKUP(Final!F4984,'LEAID Match'!$A$2:$B$374,2,FALSE),"")</f>
        <v>400026</v>
      </c>
      <c r="K4984" s="10">
        <f t="shared" si="77"/>
        <v>310763</v>
      </c>
    </row>
    <row r="4985" spans="1:11">
      <c r="A4985">
        <v>400026</v>
      </c>
      <c r="B4985" s="10">
        <v>2021</v>
      </c>
      <c r="C4985" t="s">
        <v>686</v>
      </c>
      <c r="D4985" t="s">
        <v>2472</v>
      </c>
      <c r="E4985" t="s">
        <v>2474</v>
      </c>
      <c r="F4985" t="s">
        <v>1747</v>
      </c>
      <c r="G4985" t="s">
        <v>1747</v>
      </c>
      <c r="H4985" s="10">
        <v>335085</v>
      </c>
      <c r="I4985">
        <f>IFERROR(VLOOKUP(Final!F4985,'LEAID Match'!$A$2:$B$374,2,FALSE),"")</f>
        <v>400026</v>
      </c>
      <c r="K4985" s="10">
        <f t="shared" si="77"/>
        <v>335085</v>
      </c>
    </row>
    <row r="4986" spans="1:11">
      <c r="A4986">
        <v>400026</v>
      </c>
      <c r="B4986" s="10">
        <v>2022</v>
      </c>
      <c r="C4986" t="s">
        <v>686</v>
      </c>
      <c r="D4986" t="s">
        <v>2472</v>
      </c>
      <c r="E4986" t="s">
        <v>2474</v>
      </c>
      <c r="F4986" t="s">
        <v>1747</v>
      </c>
      <c r="G4986" t="s">
        <v>1747</v>
      </c>
      <c r="H4986" s="10">
        <v>362770</v>
      </c>
      <c r="I4986">
        <f>IFERROR(VLOOKUP(Final!F4986,'LEAID Match'!$A$2:$B$374,2,FALSE),"")</f>
        <v>400026</v>
      </c>
      <c r="K4986" s="10">
        <f t="shared" si="77"/>
        <v>362770</v>
      </c>
    </row>
    <row r="4987" spans="1:11">
      <c r="A4987">
        <v>400026</v>
      </c>
      <c r="B4987" s="10">
        <v>2023</v>
      </c>
      <c r="C4987" t="s">
        <v>686</v>
      </c>
      <c r="D4987" t="s">
        <v>2472</v>
      </c>
      <c r="E4987" t="s">
        <v>2474</v>
      </c>
      <c r="F4987" t="s">
        <v>1747</v>
      </c>
      <c r="G4987" t="s">
        <v>1747</v>
      </c>
      <c r="H4987" s="10">
        <v>377882</v>
      </c>
      <c r="I4987">
        <f>IFERROR(VLOOKUP(Final!F4987,'LEAID Match'!$A$2:$B$374,2,FALSE),"")</f>
        <v>400026</v>
      </c>
      <c r="K4987" s="10">
        <f t="shared" si="77"/>
        <v>377882</v>
      </c>
    </row>
    <row r="4988" spans="1:11">
      <c r="A4988">
        <v>407700</v>
      </c>
      <c r="B4988" s="10">
        <v>2015</v>
      </c>
      <c r="C4988" t="s">
        <v>1119</v>
      </c>
      <c r="D4988" t="s">
        <v>2472</v>
      </c>
      <c r="E4988" t="s">
        <v>2474</v>
      </c>
      <c r="F4988" t="s">
        <v>2412</v>
      </c>
      <c r="G4988" t="s">
        <v>1064</v>
      </c>
      <c r="H4988" s="10">
        <v>999676</v>
      </c>
      <c r="I4988">
        <f>IFERROR(VLOOKUP(Final!F4988,'LEAID Match'!$A$2:$B$374,2,FALSE),"")</f>
        <v>407700</v>
      </c>
      <c r="K4988" s="10">
        <f t="shared" si="77"/>
        <v>999676</v>
      </c>
    </row>
    <row r="4989" spans="1:11">
      <c r="A4989">
        <v>407700</v>
      </c>
      <c r="B4989" s="10">
        <v>2016</v>
      </c>
      <c r="C4989" t="s">
        <v>1119</v>
      </c>
      <c r="D4989" t="s">
        <v>2472</v>
      </c>
      <c r="E4989" t="s">
        <v>2474</v>
      </c>
      <c r="F4989" t="s">
        <v>2412</v>
      </c>
      <c r="G4989" t="s">
        <v>1064</v>
      </c>
      <c r="H4989" s="10">
        <v>993330</v>
      </c>
      <c r="I4989">
        <f>IFERROR(VLOOKUP(Final!F4989,'LEAID Match'!$A$2:$B$374,2,FALSE),"")</f>
        <v>407700</v>
      </c>
      <c r="K4989" s="10">
        <f t="shared" si="77"/>
        <v>993330</v>
      </c>
    </row>
    <row r="4990" spans="1:11">
      <c r="A4990">
        <v>407700</v>
      </c>
      <c r="B4990" s="10">
        <v>2017</v>
      </c>
      <c r="C4990" t="s">
        <v>1119</v>
      </c>
      <c r="D4990" t="s">
        <v>2472</v>
      </c>
      <c r="E4990" t="s">
        <v>2474</v>
      </c>
      <c r="F4990" t="s">
        <v>2412</v>
      </c>
      <c r="G4990" t="s">
        <v>1946</v>
      </c>
      <c r="H4990" s="10">
        <v>1075876</v>
      </c>
      <c r="I4990">
        <f>IFERROR(VLOOKUP(Final!F4990,'LEAID Match'!$A$2:$B$374,2,FALSE),"")</f>
        <v>407700</v>
      </c>
      <c r="K4990" s="10">
        <f t="shared" si="77"/>
        <v>1075876</v>
      </c>
    </row>
    <row r="4991" spans="1:11">
      <c r="A4991">
        <v>407700</v>
      </c>
      <c r="B4991" s="10">
        <v>2018</v>
      </c>
      <c r="C4991" t="s">
        <v>1119</v>
      </c>
      <c r="D4991" t="s">
        <v>2472</v>
      </c>
      <c r="E4991" t="s">
        <v>2474</v>
      </c>
      <c r="F4991" t="s">
        <v>2412</v>
      </c>
      <c r="G4991" t="s">
        <v>2310</v>
      </c>
      <c r="H4991" s="10">
        <v>1116156</v>
      </c>
      <c r="I4991">
        <f>IFERROR(VLOOKUP(Final!F4991,'LEAID Match'!$A$2:$B$374,2,FALSE),"")</f>
        <v>407700</v>
      </c>
      <c r="K4991" s="10">
        <f t="shared" si="77"/>
        <v>1116156</v>
      </c>
    </row>
    <row r="4992" spans="1:11">
      <c r="A4992">
        <v>407700</v>
      </c>
      <c r="B4992" s="10">
        <v>2019</v>
      </c>
      <c r="C4992" t="s">
        <v>1119</v>
      </c>
      <c r="D4992" t="s">
        <v>2472</v>
      </c>
      <c r="E4992" t="s">
        <v>2474</v>
      </c>
      <c r="F4992" t="s">
        <v>2412</v>
      </c>
      <c r="G4992" t="s">
        <v>1946</v>
      </c>
      <c r="H4992" s="10">
        <v>1276783</v>
      </c>
      <c r="I4992">
        <f>IFERROR(VLOOKUP(Final!F4992,'LEAID Match'!$A$2:$B$374,2,FALSE),"")</f>
        <v>407700</v>
      </c>
      <c r="K4992" s="10">
        <f t="shared" si="77"/>
        <v>1276783</v>
      </c>
    </row>
    <row r="4993" spans="1:11">
      <c r="A4993">
        <v>407700</v>
      </c>
      <c r="B4993" s="10">
        <v>2020</v>
      </c>
      <c r="C4993" t="s">
        <v>1119</v>
      </c>
      <c r="D4993" t="s">
        <v>2472</v>
      </c>
      <c r="E4993" t="s">
        <v>2474</v>
      </c>
      <c r="F4993" t="s">
        <v>2412</v>
      </c>
      <c r="G4993" t="s">
        <v>2412</v>
      </c>
      <c r="H4993" s="10">
        <v>1364648</v>
      </c>
      <c r="I4993">
        <f>IFERROR(VLOOKUP(Final!F4993,'LEAID Match'!$A$2:$B$374,2,FALSE),"")</f>
        <v>407700</v>
      </c>
      <c r="K4993" s="10">
        <f t="shared" si="77"/>
        <v>1364648</v>
      </c>
    </row>
    <row r="4994" spans="1:11">
      <c r="A4994">
        <v>407700</v>
      </c>
      <c r="B4994" s="10">
        <v>2021</v>
      </c>
      <c r="C4994" t="s">
        <v>1119</v>
      </c>
      <c r="D4994" t="s">
        <v>2472</v>
      </c>
      <c r="E4994" t="s">
        <v>2474</v>
      </c>
      <c r="F4994" t="s">
        <v>2412</v>
      </c>
      <c r="G4994" t="s">
        <v>2412</v>
      </c>
      <c r="H4994" s="10">
        <v>1280988</v>
      </c>
      <c r="I4994">
        <f>IFERROR(VLOOKUP(Final!F4994,'LEAID Match'!$A$2:$B$374,2,FALSE),"")</f>
        <v>407700</v>
      </c>
      <c r="K4994" s="10">
        <f t="shared" si="77"/>
        <v>1280988</v>
      </c>
    </row>
    <row r="4995" spans="1:11">
      <c r="A4995">
        <v>407700</v>
      </c>
      <c r="B4995" s="10">
        <v>2022</v>
      </c>
      <c r="C4995" t="s">
        <v>1119</v>
      </c>
      <c r="D4995" t="s">
        <v>2472</v>
      </c>
      <c r="E4995" t="s">
        <v>2474</v>
      </c>
      <c r="F4995" t="s">
        <v>2412</v>
      </c>
      <c r="G4995" t="s">
        <v>2412</v>
      </c>
      <c r="H4995" s="10">
        <v>1456875</v>
      </c>
      <c r="I4995">
        <f>IFERROR(VLOOKUP(Final!F4995,'LEAID Match'!$A$2:$B$374,2,FALSE),"")</f>
        <v>407700</v>
      </c>
      <c r="K4995" s="10">
        <f t="shared" ref="K4995:K5058" si="78">SUM(H4995,J4995)</f>
        <v>1456875</v>
      </c>
    </row>
    <row r="4996" spans="1:11">
      <c r="A4996">
        <v>407700</v>
      </c>
      <c r="B4996" s="10">
        <v>2023</v>
      </c>
      <c r="C4996" t="s">
        <v>1119</v>
      </c>
      <c r="D4996" t="s">
        <v>2472</v>
      </c>
      <c r="E4996" t="s">
        <v>2474</v>
      </c>
      <c r="F4996" t="s">
        <v>2412</v>
      </c>
      <c r="G4996" t="s">
        <v>2412</v>
      </c>
      <c r="H4996" s="10">
        <v>1483033</v>
      </c>
      <c r="I4996">
        <f>IFERROR(VLOOKUP(Final!F4996,'LEAID Match'!$A$2:$B$374,2,FALSE),"")</f>
        <v>407700</v>
      </c>
      <c r="K4996" s="10">
        <f t="shared" si="78"/>
        <v>1483033</v>
      </c>
    </row>
    <row r="4997" spans="1:11">
      <c r="A4997">
        <v>409160</v>
      </c>
      <c r="B4997" s="10">
        <v>2015</v>
      </c>
      <c r="C4997" t="s">
        <v>1334</v>
      </c>
      <c r="D4997" t="s">
        <v>2472</v>
      </c>
      <c r="E4997" t="s">
        <v>2474</v>
      </c>
      <c r="F4997" t="s">
        <v>2016</v>
      </c>
      <c r="G4997" t="s">
        <v>1286</v>
      </c>
      <c r="H4997" s="10">
        <v>1332805</v>
      </c>
      <c r="I4997">
        <f>IFERROR(VLOOKUP(Final!F4997,'LEAID Match'!$A$2:$B$374,2,FALSE),"")</f>
        <v>409160</v>
      </c>
      <c r="K4997" s="10">
        <f t="shared" si="78"/>
        <v>1332805</v>
      </c>
    </row>
    <row r="4998" spans="1:11">
      <c r="A4998">
        <v>409160</v>
      </c>
      <c r="B4998" s="10">
        <v>2016</v>
      </c>
      <c r="C4998" t="s">
        <v>1334</v>
      </c>
      <c r="D4998" t="s">
        <v>2472</v>
      </c>
      <c r="E4998" t="s">
        <v>2474</v>
      </c>
      <c r="F4998" t="s">
        <v>2016</v>
      </c>
      <c r="G4998" t="s">
        <v>1286</v>
      </c>
      <c r="H4998" s="10">
        <v>1378916</v>
      </c>
      <c r="I4998">
        <f>IFERROR(VLOOKUP(Final!F4998,'LEAID Match'!$A$2:$B$374,2,FALSE),"")</f>
        <v>409160</v>
      </c>
      <c r="K4998" s="10">
        <f t="shared" si="78"/>
        <v>1378916</v>
      </c>
    </row>
    <row r="4999" spans="1:11">
      <c r="A4999">
        <v>409160</v>
      </c>
      <c r="B4999" s="10">
        <v>2017</v>
      </c>
      <c r="C4999" t="s">
        <v>1334</v>
      </c>
      <c r="D4999" t="s">
        <v>2472</v>
      </c>
      <c r="E4999" t="s">
        <v>2474</v>
      </c>
      <c r="F4999" t="s">
        <v>2016</v>
      </c>
      <c r="G4999" t="s">
        <v>2016</v>
      </c>
      <c r="H4999" s="10">
        <v>1340702</v>
      </c>
      <c r="I4999">
        <f>IFERROR(VLOOKUP(Final!F4999,'LEAID Match'!$A$2:$B$374,2,FALSE),"")</f>
        <v>409160</v>
      </c>
      <c r="K4999" s="10">
        <f t="shared" si="78"/>
        <v>1340702</v>
      </c>
    </row>
    <row r="5000" spans="1:11">
      <c r="A5000">
        <v>409160</v>
      </c>
      <c r="B5000" s="10">
        <v>2018</v>
      </c>
      <c r="C5000" t="s">
        <v>1334</v>
      </c>
      <c r="D5000" t="s">
        <v>2472</v>
      </c>
      <c r="E5000" t="s">
        <v>2474</v>
      </c>
      <c r="F5000" t="s">
        <v>2016</v>
      </c>
      <c r="G5000" t="s">
        <v>2339</v>
      </c>
      <c r="H5000" s="10">
        <v>1322023</v>
      </c>
      <c r="I5000">
        <f>IFERROR(VLOOKUP(Final!F5000,'LEAID Match'!$A$2:$B$374,2,FALSE),"")</f>
        <v>409160</v>
      </c>
      <c r="K5000" s="10">
        <f t="shared" si="78"/>
        <v>1322023</v>
      </c>
    </row>
    <row r="5001" spans="1:11">
      <c r="A5001">
        <v>409160</v>
      </c>
      <c r="B5001" s="10">
        <v>2019</v>
      </c>
      <c r="C5001" t="s">
        <v>1334</v>
      </c>
      <c r="D5001" t="s">
        <v>2472</v>
      </c>
      <c r="E5001" t="s">
        <v>2474</v>
      </c>
      <c r="F5001" t="s">
        <v>2016</v>
      </c>
      <c r="G5001" t="s">
        <v>2016</v>
      </c>
      <c r="H5001" s="10">
        <v>1460764</v>
      </c>
      <c r="I5001">
        <f>IFERROR(VLOOKUP(Final!F5001,'LEAID Match'!$A$2:$B$374,2,FALSE),"")</f>
        <v>409160</v>
      </c>
      <c r="K5001" s="10">
        <f t="shared" si="78"/>
        <v>1460764</v>
      </c>
    </row>
    <row r="5002" spans="1:11">
      <c r="A5002">
        <v>409160</v>
      </c>
      <c r="B5002" s="10">
        <v>2020</v>
      </c>
      <c r="C5002" t="s">
        <v>1334</v>
      </c>
      <c r="D5002" t="s">
        <v>2472</v>
      </c>
      <c r="E5002" t="s">
        <v>2474</v>
      </c>
      <c r="F5002" t="s">
        <v>2016</v>
      </c>
      <c r="G5002" t="s">
        <v>2016</v>
      </c>
      <c r="H5002" s="10">
        <v>1503049</v>
      </c>
      <c r="I5002">
        <f>IFERROR(VLOOKUP(Final!F5002,'LEAID Match'!$A$2:$B$374,2,FALSE),"")</f>
        <v>409160</v>
      </c>
      <c r="K5002" s="10">
        <f t="shared" si="78"/>
        <v>1503049</v>
      </c>
    </row>
    <row r="5003" spans="1:11">
      <c r="A5003">
        <v>409160</v>
      </c>
      <c r="B5003" s="10">
        <v>2021</v>
      </c>
      <c r="C5003" t="s">
        <v>1334</v>
      </c>
      <c r="D5003" t="s">
        <v>2472</v>
      </c>
      <c r="E5003" t="s">
        <v>2474</v>
      </c>
      <c r="F5003" t="s">
        <v>2016</v>
      </c>
      <c r="G5003" t="s">
        <v>2016</v>
      </c>
      <c r="H5003" s="10">
        <v>1579883</v>
      </c>
      <c r="I5003">
        <f>IFERROR(VLOOKUP(Final!F5003,'LEAID Match'!$A$2:$B$374,2,FALSE),"")</f>
        <v>409160</v>
      </c>
      <c r="K5003" s="10">
        <f t="shared" si="78"/>
        <v>1579883</v>
      </c>
    </row>
    <row r="5004" spans="1:11">
      <c r="A5004">
        <v>409160</v>
      </c>
      <c r="B5004" s="10">
        <v>2022</v>
      </c>
      <c r="C5004" t="s">
        <v>1334</v>
      </c>
      <c r="D5004" t="s">
        <v>2472</v>
      </c>
      <c r="E5004" t="s">
        <v>2474</v>
      </c>
      <c r="F5004" t="s">
        <v>2016</v>
      </c>
      <c r="G5004" t="s">
        <v>2016</v>
      </c>
      <c r="H5004" s="10">
        <v>1679780</v>
      </c>
      <c r="I5004">
        <f>IFERROR(VLOOKUP(Final!F5004,'LEAID Match'!$A$2:$B$374,2,FALSE),"")</f>
        <v>409160</v>
      </c>
      <c r="K5004" s="10">
        <f t="shared" si="78"/>
        <v>1679780</v>
      </c>
    </row>
    <row r="5005" spans="1:11">
      <c r="A5005">
        <v>409160</v>
      </c>
      <c r="B5005" s="10">
        <v>2023</v>
      </c>
      <c r="C5005" t="s">
        <v>1334</v>
      </c>
      <c r="D5005" t="s">
        <v>2472</v>
      </c>
      <c r="E5005" t="s">
        <v>2474</v>
      </c>
      <c r="F5005" t="s">
        <v>2016</v>
      </c>
      <c r="G5005" t="s">
        <v>2016</v>
      </c>
      <c r="H5005" s="10">
        <v>1636313</v>
      </c>
      <c r="I5005">
        <f>IFERROR(VLOOKUP(Final!F5005,'LEAID Match'!$A$2:$B$374,2,FALSE),"")</f>
        <v>409160</v>
      </c>
      <c r="K5005" s="10">
        <f t="shared" si="78"/>
        <v>1636313</v>
      </c>
    </row>
    <row r="5006" spans="1:11">
      <c r="A5006">
        <v>401810</v>
      </c>
      <c r="B5006" s="10">
        <v>2015</v>
      </c>
      <c r="C5006" t="s">
        <v>352</v>
      </c>
      <c r="D5006" t="s">
        <v>2472</v>
      </c>
      <c r="E5006" t="s">
        <v>2474</v>
      </c>
      <c r="F5006" t="s">
        <v>2398</v>
      </c>
      <c r="G5006" t="s">
        <v>298</v>
      </c>
      <c r="H5006" s="10">
        <v>175662</v>
      </c>
      <c r="I5006">
        <f>IFERROR(VLOOKUP(Final!F5006,'LEAID Match'!$A$2:$B$374,2,FALSE),"")</f>
        <v>401810</v>
      </c>
      <c r="K5006" s="10">
        <f t="shared" si="78"/>
        <v>175662</v>
      </c>
    </row>
    <row r="5007" spans="1:11">
      <c r="A5007">
        <v>401810</v>
      </c>
      <c r="B5007" s="10">
        <v>2016</v>
      </c>
      <c r="C5007" t="s">
        <v>352</v>
      </c>
      <c r="D5007" t="s">
        <v>2472</v>
      </c>
      <c r="E5007" t="s">
        <v>2474</v>
      </c>
      <c r="F5007" t="s">
        <v>2398</v>
      </c>
      <c r="G5007" t="s">
        <v>298</v>
      </c>
      <c r="H5007" s="10">
        <v>167879</v>
      </c>
      <c r="I5007">
        <f>IFERROR(VLOOKUP(Final!F5007,'LEAID Match'!$A$2:$B$374,2,FALSE),"")</f>
        <v>401810</v>
      </c>
      <c r="K5007" s="10">
        <f t="shared" si="78"/>
        <v>167879</v>
      </c>
    </row>
    <row r="5008" spans="1:11">
      <c r="A5008">
        <v>401810</v>
      </c>
      <c r="B5008" s="10">
        <v>2017</v>
      </c>
      <c r="C5008" t="s">
        <v>352</v>
      </c>
      <c r="D5008" t="s">
        <v>2472</v>
      </c>
      <c r="E5008" t="s">
        <v>2474</v>
      </c>
      <c r="F5008" t="s">
        <v>2398</v>
      </c>
      <c r="G5008" t="s">
        <v>298</v>
      </c>
      <c r="H5008" s="10">
        <v>171695</v>
      </c>
      <c r="I5008">
        <f>IFERROR(VLOOKUP(Final!F5008,'LEAID Match'!$A$2:$B$374,2,FALSE),"")</f>
        <v>401810</v>
      </c>
      <c r="K5008" s="10">
        <f t="shared" si="78"/>
        <v>171695</v>
      </c>
    </row>
    <row r="5009" spans="1:11">
      <c r="A5009">
        <v>401810</v>
      </c>
      <c r="B5009" s="10">
        <v>2018</v>
      </c>
      <c r="C5009" t="s">
        <v>352</v>
      </c>
      <c r="D5009" t="s">
        <v>2472</v>
      </c>
      <c r="E5009" t="s">
        <v>2474</v>
      </c>
      <c r="F5009" t="s">
        <v>2398</v>
      </c>
      <c r="G5009" t="s">
        <v>298</v>
      </c>
      <c r="H5009" s="10">
        <v>168580</v>
      </c>
      <c r="I5009">
        <f>IFERROR(VLOOKUP(Final!F5009,'LEAID Match'!$A$2:$B$374,2,FALSE),"")</f>
        <v>401810</v>
      </c>
      <c r="K5009" s="10">
        <f t="shared" si="78"/>
        <v>168580</v>
      </c>
    </row>
    <row r="5010" spans="1:11">
      <c r="A5010">
        <v>401810</v>
      </c>
      <c r="B5010" s="10">
        <v>2019</v>
      </c>
      <c r="C5010" t="s">
        <v>352</v>
      </c>
      <c r="D5010" t="s">
        <v>2472</v>
      </c>
      <c r="E5010" t="s">
        <v>2474</v>
      </c>
      <c r="F5010" t="s">
        <v>2398</v>
      </c>
      <c r="G5010" t="s">
        <v>2360</v>
      </c>
      <c r="H5010" s="10">
        <v>171142</v>
      </c>
      <c r="I5010">
        <f>IFERROR(VLOOKUP(Final!F5010,'LEAID Match'!$A$2:$B$374,2,FALSE),"")</f>
        <v>401810</v>
      </c>
      <c r="K5010" s="10">
        <f t="shared" si="78"/>
        <v>171142</v>
      </c>
    </row>
    <row r="5011" spans="1:11">
      <c r="A5011">
        <v>401810</v>
      </c>
      <c r="B5011" s="10">
        <v>2020</v>
      </c>
      <c r="C5011" t="s">
        <v>352</v>
      </c>
      <c r="D5011" t="s">
        <v>2472</v>
      </c>
      <c r="E5011" t="s">
        <v>2474</v>
      </c>
      <c r="F5011" t="s">
        <v>2398</v>
      </c>
      <c r="G5011" t="s">
        <v>2398</v>
      </c>
      <c r="H5011" s="10">
        <v>175519</v>
      </c>
      <c r="I5011">
        <f>IFERROR(VLOOKUP(Final!F5011,'LEAID Match'!$A$2:$B$374,2,FALSE),"")</f>
        <v>401810</v>
      </c>
      <c r="K5011" s="10">
        <f t="shared" si="78"/>
        <v>175519</v>
      </c>
    </row>
    <row r="5012" spans="1:11">
      <c r="A5012">
        <v>401810</v>
      </c>
      <c r="B5012" s="10">
        <v>2021</v>
      </c>
      <c r="C5012" t="s">
        <v>352</v>
      </c>
      <c r="D5012" t="s">
        <v>2472</v>
      </c>
      <c r="E5012" t="s">
        <v>2474</v>
      </c>
      <c r="F5012" t="s">
        <v>2398</v>
      </c>
      <c r="G5012" t="s">
        <v>2398</v>
      </c>
      <c r="H5012" s="10">
        <v>171690</v>
      </c>
      <c r="I5012">
        <f>IFERROR(VLOOKUP(Final!F5012,'LEAID Match'!$A$2:$B$374,2,FALSE),"")</f>
        <v>401810</v>
      </c>
      <c r="K5012" s="10">
        <f t="shared" si="78"/>
        <v>171690</v>
      </c>
    </row>
    <row r="5013" spans="1:11">
      <c r="A5013">
        <v>401810</v>
      </c>
      <c r="B5013" s="10">
        <v>2022</v>
      </c>
      <c r="C5013" t="s">
        <v>352</v>
      </c>
      <c r="D5013" t="s">
        <v>2472</v>
      </c>
      <c r="E5013" t="s">
        <v>2474</v>
      </c>
      <c r="F5013" t="s">
        <v>2398</v>
      </c>
      <c r="G5013" t="s">
        <v>2398</v>
      </c>
      <c r="H5013" s="10">
        <v>195740</v>
      </c>
      <c r="I5013">
        <f>IFERROR(VLOOKUP(Final!F5013,'LEAID Match'!$A$2:$B$374,2,FALSE),"")</f>
        <v>401810</v>
      </c>
      <c r="K5013" s="10">
        <f t="shared" si="78"/>
        <v>195740</v>
      </c>
    </row>
    <row r="5014" spans="1:11">
      <c r="A5014">
        <v>401810</v>
      </c>
      <c r="B5014" s="10">
        <v>2023</v>
      </c>
      <c r="C5014" t="s">
        <v>352</v>
      </c>
      <c r="D5014" t="s">
        <v>2472</v>
      </c>
      <c r="E5014" t="s">
        <v>2474</v>
      </c>
      <c r="F5014" t="s">
        <v>2398</v>
      </c>
      <c r="G5014" t="s">
        <v>2398</v>
      </c>
      <c r="H5014" s="10">
        <v>227765</v>
      </c>
      <c r="I5014">
        <f>IFERROR(VLOOKUP(Final!F5014,'LEAID Match'!$A$2:$B$374,2,FALSE),"")</f>
        <v>401810</v>
      </c>
      <c r="K5014" s="10">
        <f t="shared" si="78"/>
        <v>227765</v>
      </c>
    </row>
    <row r="5015" spans="1:11">
      <c r="A5015">
        <v>404060</v>
      </c>
      <c r="B5015" s="10">
        <v>2015</v>
      </c>
      <c r="C5015" t="s">
        <v>703</v>
      </c>
      <c r="D5015" t="s">
        <v>2472</v>
      </c>
      <c r="E5015" t="s">
        <v>2474</v>
      </c>
      <c r="F5015" t="s">
        <v>1767</v>
      </c>
      <c r="G5015" t="s">
        <v>648</v>
      </c>
      <c r="H5015" s="10">
        <v>1374644</v>
      </c>
      <c r="I5015">
        <f>IFERROR(VLOOKUP(Final!F5015,'LEAID Match'!$A$2:$B$374,2,FALSE),"")</f>
        <v>404060</v>
      </c>
      <c r="K5015" s="10">
        <f t="shared" si="78"/>
        <v>1374644</v>
      </c>
    </row>
    <row r="5016" spans="1:11">
      <c r="A5016">
        <v>404060</v>
      </c>
      <c r="B5016" s="10">
        <v>2016</v>
      </c>
      <c r="C5016" t="s">
        <v>703</v>
      </c>
      <c r="D5016" t="s">
        <v>2472</v>
      </c>
      <c r="E5016" t="s">
        <v>2474</v>
      </c>
      <c r="F5016" t="s">
        <v>1767</v>
      </c>
      <c r="G5016" t="s">
        <v>648</v>
      </c>
      <c r="H5016" s="10">
        <v>1392441</v>
      </c>
      <c r="I5016">
        <f>IFERROR(VLOOKUP(Final!F5016,'LEAID Match'!$A$2:$B$374,2,FALSE),"")</f>
        <v>404060</v>
      </c>
      <c r="K5016" s="10">
        <f t="shared" si="78"/>
        <v>1392441</v>
      </c>
    </row>
    <row r="5017" spans="1:11">
      <c r="A5017">
        <v>404060</v>
      </c>
      <c r="B5017" s="10">
        <v>2017</v>
      </c>
      <c r="C5017" t="s">
        <v>703</v>
      </c>
      <c r="D5017" t="s">
        <v>2472</v>
      </c>
      <c r="E5017" t="s">
        <v>2474</v>
      </c>
      <c r="F5017" t="s">
        <v>1767</v>
      </c>
      <c r="G5017" t="s">
        <v>1767</v>
      </c>
      <c r="H5017" s="10">
        <v>1504054</v>
      </c>
      <c r="I5017">
        <f>IFERROR(VLOOKUP(Final!F5017,'LEAID Match'!$A$2:$B$374,2,FALSE),"")</f>
        <v>404060</v>
      </c>
      <c r="K5017" s="10">
        <f t="shared" si="78"/>
        <v>1504054</v>
      </c>
    </row>
    <row r="5018" spans="1:11">
      <c r="A5018">
        <v>404060</v>
      </c>
      <c r="B5018" s="10">
        <v>2018</v>
      </c>
      <c r="C5018" t="s">
        <v>703</v>
      </c>
      <c r="D5018" t="s">
        <v>2472</v>
      </c>
      <c r="E5018" t="s">
        <v>2474</v>
      </c>
      <c r="F5018" t="s">
        <v>1767</v>
      </c>
      <c r="G5018" t="s">
        <v>1767</v>
      </c>
      <c r="H5018" s="10">
        <v>1688446</v>
      </c>
      <c r="I5018">
        <f>IFERROR(VLOOKUP(Final!F5018,'LEAID Match'!$A$2:$B$374,2,FALSE),"")</f>
        <v>404060</v>
      </c>
      <c r="K5018" s="10">
        <f t="shared" si="78"/>
        <v>1688446</v>
      </c>
    </row>
    <row r="5019" spans="1:11">
      <c r="A5019">
        <v>404060</v>
      </c>
      <c r="B5019" s="10">
        <v>2019</v>
      </c>
      <c r="C5019" t="s">
        <v>703</v>
      </c>
      <c r="D5019" t="s">
        <v>2472</v>
      </c>
      <c r="E5019" t="s">
        <v>2474</v>
      </c>
      <c r="F5019" t="s">
        <v>1767</v>
      </c>
      <c r="G5019" t="s">
        <v>1767</v>
      </c>
      <c r="H5019" s="10">
        <v>1853469</v>
      </c>
      <c r="I5019">
        <f>IFERROR(VLOOKUP(Final!F5019,'LEAID Match'!$A$2:$B$374,2,FALSE),"")</f>
        <v>404060</v>
      </c>
      <c r="K5019" s="10">
        <f t="shared" si="78"/>
        <v>1853469</v>
      </c>
    </row>
    <row r="5020" spans="1:11">
      <c r="A5020">
        <v>404060</v>
      </c>
      <c r="B5020" s="10">
        <v>2020</v>
      </c>
      <c r="C5020" t="s">
        <v>703</v>
      </c>
      <c r="D5020" t="s">
        <v>2472</v>
      </c>
      <c r="E5020" t="s">
        <v>2474</v>
      </c>
      <c r="F5020" t="s">
        <v>1767</v>
      </c>
      <c r="G5020" t="s">
        <v>1767</v>
      </c>
      <c r="H5020" s="10">
        <v>1882810</v>
      </c>
      <c r="I5020">
        <f>IFERROR(VLOOKUP(Final!F5020,'LEAID Match'!$A$2:$B$374,2,FALSE),"")</f>
        <v>404060</v>
      </c>
      <c r="K5020" s="10">
        <f t="shared" si="78"/>
        <v>1882810</v>
      </c>
    </row>
    <row r="5021" spans="1:11">
      <c r="A5021">
        <v>404060</v>
      </c>
      <c r="B5021" s="10">
        <v>2021</v>
      </c>
      <c r="C5021" t="s">
        <v>703</v>
      </c>
      <c r="D5021" t="s">
        <v>2472</v>
      </c>
      <c r="E5021" t="s">
        <v>2474</v>
      </c>
      <c r="F5021" t="s">
        <v>1767</v>
      </c>
      <c r="G5021" t="s">
        <v>1767</v>
      </c>
      <c r="H5021" s="10">
        <v>2052835</v>
      </c>
      <c r="I5021">
        <f>IFERROR(VLOOKUP(Final!F5021,'LEAID Match'!$A$2:$B$374,2,FALSE),"")</f>
        <v>404060</v>
      </c>
      <c r="K5021" s="10">
        <f t="shared" si="78"/>
        <v>2052835</v>
      </c>
    </row>
    <row r="5022" spans="1:11">
      <c r="A5022">
        <v>404060</v>
      </c>
      <c r="B5022" s="10">
        <v>2022</v>
      </c>
      <c r="C5022" t="s">
        <v>703</v>
      </c>
      <c r="D5022" t="s">
        <v>2472</v>
      </c>
      <c r="E5022" t="s">
        <v>2474</v>
      </c>
      <c r="F5022" t="s">
        <v>1767</v>
      </c>
      <c r="G5022" t="s">
        <v>1767</v>
      </c>
      <c r="H5022" s="10">
        <v>2057625</v>
      </c>
      <c r="I5022">
        <f>IFERROR(VLOOKUP(Final!F5022,'LEAID Match'!$A$2:$B$374,2,FALSE),"")</f>
        <v>404060</v>
      </c>
      <c r="K5022" s="10">
        <f t="shared" si="78"/>
        <v>2057625</v>
      </c>
    </row>
    <row r="5023" spans="1:11">
      <c r="A5023">
        <v>404060</v>
      </c>
      <c r="B5023" s="10">
        <v>2023</v>
      </c>
      <c r="C5023" t="s">
        <v>703</v>
      </c>
      <c r="D5023" t="s">
        <v>2472</v>
      </c>
      <c r="E5023" t="s">
        <v>2474</v>
      </c>
      <c r="F5023" t="s">
        <v>1767</v>
      </c>
      <c r="G5023" t="s">
        <v>1767</v>
      </c>
      <c r="H5023" s="10">
        <v>2323591</v>
      </c>
      <c r="I5023">
        <f>IFERROR(VLOOKUP(Final!F5023,'LEAID Match'!$A$2:$B$374,2,FALSE),"")</f>
        <v>404060</v>
      </c>
      <c r="K5023" s="10">
        <f t="shared" si="78"/>
        <v>2323591</v>
      </c>
    </row>
    <row r="5024" spans="1:11">
      <c r="A5024">
        <v>406580</v>
      </c>
      <c r="B5024" s="10">
        <v>2015</v>
      </c>
      <c r="C5024" t="s">
        <v>1443</v>
      </c>
      <c r="D5024" t="s">
        <v>2472</v>
      </c>
      <c r="E5024" t="s">
        <v>2474</v>
      </c>
      <c r="F5024" t="s">
        <v>1628</v>
      </c>
      <c r="G5024" t="s">
        <v>276</v>
      </c>
      <c r="H5024" s="10">
        <v>858732</v>
      </c>
      <c r="I5024">
        <f>IFERROR(VLOOKUP(Final!F5024,'LEAID Match'!$A$2:$B$374,2,FALSE),"")</f>
        <v>406580</v>
      </c>
      <c r="K5024" s="10">
        <f t="shared" si="78"/>
        <v>858732</v>
      </c>
    </row>
    <row r="5025" spans="1:11">
      <c r="A5025">
        <v>406580</v>
      </c>
      <c r="B5025" s="10">
        <v>2016</v>
      </c>
      <c r="C5025" t="s">
        <v>1443</v>
      </c>
      <c r="D5025" t="s">
        <v>2472</v>
      </c>
      <c r="E5025" t="s">
        <v>2474</v>
      </c>
      <c r="F5025" t="s">
        <v>1628</v>
      </c>
      <c r="G5025" t="s">
        <v>276</v>
      </c>
      <c r="H5025" s="10">
        <v>920345</v>
      </c>
      <c r="I5025">
        <f>IFERROR(VLOOKUP(Final!F5025,'LEAID Match'!$A$2:$B$374,2,FALSE),"")</f>
        <v>406580</v>
      </c>
      <c r="K5025" s="10">
        <f t="shared" si="78"/>
        <v>920345</v>
      </c>
    </row>
    <row r="5026" spans="1:11">
      <c r="A5026">
        <v>406580</v>
      </c>
      <c r="B5026" s="10">
        <v>2017</v>
      </c>
      <c r="C5026" t="s">
        <v>1443</v>
      </c>
      <c r="D5026" t="s">
        <v>2472</v>
      </c>
      <c r="E5026" t="s">
        <v>2474</v>
      </c>
      <c r="F5026" t="s">
        <v>1628</v>
      </c>
      <c r="G5026" t="s">
        <v>1628</v>
      </c>
      <c r="H5026" s="10">
        <v>1014916</v>
      </c>
      <c r="I5026">
        <f>IFERROR(VLOOKUP(Final!F5026,'LEAID Match'!$A$2:$B$374,2,FALSE),"")</f>
        <v>406580</v>
      </c>
      <c r="K5026" s="10">
        <f t="shared" si="78"/>
        <v>1014916</v>
      </c>
    </row>
    <row r="5027" spans="1:11">
      <c r="A5027">
        <v>406580</v>
      </c>
      <c r="B5027" s="10">
        <v>2018</v>
      </c>
      <c r="C5027" t="s">
        <v>1443</v>
      </c>
      <c r="D5027" t="s">
        <v>2472</v>
      </c>
      <c r="E5027" t="s">
        <v>2474</v>
      </c>
      <c r="F5027" t="s">
        <v>1628</v>
      </c>
      <c r="G5027" t="s">
        <v>2129</v>
      </c>
      <c r="H5027" s="10">
        <v>1067113</v>
      </c>
      <c r="I5027">
        <f>IFERROR(VLOOKUP(Final!F5027,'LEAID Match'!$A$2:$B$374,2,FALSE),"")</f>
        <v>406580</v>
      </c>
      <c r="K5027" s="10">
        <f t="shared" si="78"/>
        <v>1067113</v>
      </c>
    </row>
    <row r="5028" spans="1:11">
      <c r="A5028">
        <v>406580</v>
      </c>
      <c r="B5028" s="10">
        <v>2019</v>
      </c>
      <c r="C5028" t="s">
        <v>1443</v>
      </c>
      <c r="D5028" t="s">
        <v>2472</v>
      </c>
      <c r="E5028" t="s">
        <v>2474</v>
      </c>
      <c r="F5028" t="s">
        <v>1628</v>
      </c>
      <c r="G5028" t="s">
        <v>1628</v>
      </c>
      <c r="H5028" s="10">
        <v>1136005</v>
      </c>
      <c r="I5028">
        <f>IFERROR(VLOOKUP(Final!F5028,'LEAID Match'!$A$2:$B$374,2,FALSE),"")</f>
        <v>406580</v>
      </c>
      <c r="K5028" s="10">
        <f t="shared" si="78"/>
        <v>1136005</v>
      </c>
    </row>
    <row r="5029" spans="1:11">
      <c r="A5029">
        <v>406580</v>
      </c>
      <c r="B5029" s="10">
        <v>2020</v>
      </c>
      <c r="C5029" t="s">
        <v>1443</v>
      </c>
      <c r="D5029" t="s">
        <v>2472</v>
      </c>
      <c r="E5029" t="s">
        <v>2474</v>
      </c>
      <c r="F5029" t="s">
        <v>1628</v>
      </c>
      <c r="G5029" t="s">
        <v>1628</v>
      </c>
      <c r="H5029" s="10">
        <v>1136467</v>
      </c>
      <c r="I5029">
        <f>IFERROR(VLOOKUP(Final!F5029,'LEAID Match'!$A$2:$B$374,2,FALSE),"")</f>
        <v>406580</v>
      </c>
      <c r="K5029" s="10">
        <f t="shared" si="78"/>
        <v>1136467</v>
      </c>
    </row>
    <row r="5030" spans="1:11">
      <c r="A5030">
        <v>406580</v>
      </c>
      <c r="B5030" s="10">
        <v>2021</v>
      </c>
      <c r="C5030" t="s">
        <v>1443</v>
      </c>
      <c r="D5030" t="s">
        <v>2472</v>
      </c>
      <c r="E5030" t="s">
        <v>2474</v>
      </c>
      <c r="F5030" t="s">
        <v>1628</v>
      </c>
      <c r="G5030" t="s">
        <v>1628</v>
      </c>
      <c r="H5030" s="10">
        <v>1192478</v>
      </c>
      <c r="I5030">
        <f>IFERROR(VLOOKUP(Final!F5030,'LEAID Match'!$A$2:$B$374,2,FALSE),"")</f>
        <v>406580</v>
      </c>
      <c r="K5030" s="10">
        <f t="shared" si="78"/>
        <v>1192478</v>
      </c>
    </row>
    <row r="5031" spans="1:11">
      <c r="A5031">
        <v>406580</v>
      </c>
      <c r="B5031" s="10">
        <v>2022</v>
      </c>
      <c r="C5031" t="s">
        <v>1443</v>
      </c>
      <c r="D5031" t="s">
        <v>2472</v>
      </c>
      <c r="E5031" t="s">
        <v>2474</v>
      </c>
      <c r="F5031" t="s">
        <v>1628</v>
      </c>
      <c r="G5031" t="s">
        <v>1628</v>
      </c>
      <c r="H5031" s="10">
        <v>1335382</v>
      </c>
      <c r="I5031">
        <f>IFERROR(VLOOKUP(Final!F5031,'LEAID Match'!$A$2:$B$374,2,FALSE),"")</f>
        <v>406580</v>
      </c>
      <c r="K5031" s="10">
        <f t="shared" si="78"/>
        <v>1335382</v>
      </c>
    </row>
    <row r="5032" spans="1:11">
      <c r="A5032">
        <v>406580</v>
      </c>
      <c r="B5032" s="10">
        <v>2023</v>
      </c>
      <c r="C5032" t="s">
        <v>1443</v>
      </c>
      <c r="D5032" t="s">
        <v>2472</v>
      </c>
      <c r="E5032" t="s">
        <v>2474</v>
      </c>
      <c r="F5032" t="s">
        <v>1628</v>
      </c>
      <c r="G5032" t="s">
        <v>1628</v>
      </c>
      <c r="H5032" s="10">
        <v>1398733</v>
      </c>
      <c r="I5032">
        <f>IFERROR(VLOOKUP(Final!F5032,'LEAID Match'!$A$2:$B$374,2,FALSE),"")</f>
        <v>406580</v>
      </c>
      <c r="K5032" s="10">
        <f t="shared" si="78"/>
        <v>1398733</v>
      </c>
    </row>
    <row r="5033" spans="1:11">
      <c r="A5033" t="s">
        <v>2470</v>
      </c>
      <c r="B5033" s="10">
        <v>2015</v>
      </c>
      <c r="C5033" t="s">
        <v>882</v>
      </c>
      <c r="D5033" t="s">
        <v>2472</v>
      </c>
      <c r="E5033" t="s">
        <v>2474</v>
      </c>
      <c r="F5033" t="s">
        <v>1827</v>
      </c>
      <c r="G5033" t="s">
        <v>827</v>
      </c>
      <c r="H5033" s="10">
        <v>9337</v>
      </c>
      <c r="I5033" t="str">
        <f>IFERROR(VLOOKUP(Final!F5033,'LEAID Match'!$A$2:$B$374,2,FALSE),"")</f>
        <v/>
      </c>
      <c r="K5033" s="10">
        <f t="shared" si="78"/>
        <v>9337</v>
      </c>
    </row>
    <row r="5034" spans="1:11">
      <c r="A5034" t="s">
        <v>2470</v>
      </c>
      <c r="B5034" s="10">
        <v>2016</v>
      </c>
      <c r="C5034" t="s">
        <v>882</v>
      </c>
      <c r="D5034" t="s">
        <v>2472</v>
      </c>
      <c r="E5034" t="s">
        <v>2474</v>
      </c>
      <c r="F5034" t="s">
        <v>1827</v>
      </c>
      <c r="G5034" t="s">
        <v>827</v>
      </c>
      <c r="H5034" s="10">
        <v>19</v>
      </c>
      <c r="I5034" t="str">
        <f>IFERROR(VLOOKUP(Final!F5034,'LEAID Match'!$A$2:$B$374,2,FALSE),"")</f>
        <v/>
      </c>
      <c r="K5034" s="10">
        <f t="shared" si="78"/>
        <v>19</v>
      </c>
    </row>
    <row r="5035" spans="1:11">
      <c r="A5035" t="s">
        <v>2470</v>
      </c>
      <c r="B5035" s="10">
        <v>2017</v>
      </c>
      <c r="C5035" t="s">
        <v>882</v>
      </c>
      <c r="D5035" t="s">
        <v>2472</v>
      </c>
      <c r="E5035" t="s">
        <v>2474</v>
      </c>
      <c r="F5035" t="s">
        <v>1827</v>
      </c>
      <c r="G5035" t="s">
        <v>1827</v>
      </c>
      <c r="H5035" s="10"/>
      <c r="I5035" t="str">
        <f>IFERROR(VLOOKUP(Final!F5035,'LEAID Match'!$A$2:$B$374,2,FALSE),"")</f>
        <v/>
      </c>
      <c r="K5035" s="10">
        <f t="shared" si="78"/>
        <v>0</v>
      </c>
    </row>
    <row r="5036" spans="1:11">
      <c r="A5036" t="s">
        <v>2470</v>
      </c>
      <c r="B5036" s="10">
        <v>2018</v>
      </c>
      <c r="C5036" t="s">
        <v>882</v>
      </c>
      <c r="D5036" t="s">
        <v>2472</v>
      </c>
      <c r="E5036" t="s">
        <v>2474</v>
      </c>
      <c r="F5036" t="s">
        <v>1827</v>
      </c>
      <c r="G5036" t="s">
        <v>1827</v>
      </c>
      <c r="H5036" s="10"/>
      <c r="I5036" t="str">
        <f>IFERROR(VLOOKUP(Final!F5036,'LEAID Match'!$A$2:$B$374,2,FALSE),"")</f>
        <v/>
      </c>
      <c r="K5036" s="10">
        <f t="shared" si="78"/>
        <v>0</v>
      </c>
    </row>
    <row r="5037" spans="1:11">
      <c r="A5037" t="s">
        <v>2470</v>
      </c>
      <c r="B5037" s="10">
        <v>2019</v>
      </c>
      <c r="C5037" t="s">
        <v>882</v>
      </c>
      <c r="D5037" t="s">
        <v>2472</v>
      </c>
      <c r="E5037" t="s">
        <v>2474</v>
      </c>
      <c r="F5037" t="s">
        <v>1827</v>
      </c>
      <c r="G5037" t="s">
        <v>1827</v>
      </c>
      <c r="H5037" s="10"/>
      <c r="I5037" t="str">
        <f>IFERROR(VLOOKUP(Final!F5037,'LEAID Match'!$A$2:$B$374,2,FALSE),"")</f>
        <v/>
      </c>
      <c r="K5037" s="10">
        <f t="shared" si="78"/>
        <v>0</v>
      </c>
    </row>
    <row r="5038" spans="1:11">
      <c r="A5038">
        <v>405500</v>
      </c>
      <c r="B5038" s="10">
        <v>2015</v>
      </c>
      <c r="C5038" t="s">
        <v>881</v>
      </c>
      <c r="D5038" t="s">
        <v>2472</v>
      </c>
      <c r="E5038" t="s">
        <v>2474</v>
      </c>
      <c r="F5038" t="s">
        <v>1825</v>
      </c>
      <c r="G5038" t="s">
        <v>826</v>
      </c>
      <c r="H5038" s="10">
        <v>18013</v>
      </c>
      <c r="I5038">
        <f>IFERROR(VLOOKUP(Final!F5038,'LEAID Match'!$A$2:$B$374,2,FALSE),"")</f>
        <v>405500</v>
      </c>
      <c r="K5038" s="10">
        <f t="shared" si="78"/>
        <v>18013</v>
      </c>
    </row>
    <row r="5039" spans="1:11">
      <c r="A5039">
        <v>405500</v>
      </c>
      <c r="B5039" s="10">
        <v>2016</v>
      </c>
      <c r="C5039" t="s">
        <v>881</v>
      </c>
      <c r="D5039" t="s">
        <v>2472</v>
      </c>
      <c r="E5039" t="s">
        <v>2474</v>
      </c>
      <c r="F5039" t="s">
        <v>1825</v>
      </c>
      <c r="G5039" t="s">
        <v>826</v>
      </c>
      <c r="H5039" s="10">
        <v>33238</v>
      </c>
      <c r="I5039">
        <f>IFERROR(VLOOKUP(Final!F5039,'LEAID Match'!$A$2:$B$374,2,FALSE),"")</f>
        <v>405500</v>
      </c>
      <c r="K5039" s="10">
        <f t="shared" si="78"/>
        <v>33238</v>
      </c>
    </row>
    <row r="5040" spans="1:11">
      <c r="A5040">
        <v>405500</v>
      </c>
      <c r="B5040" s="10">
        <v>2017</v>
      </c>
      <c r="C5040" t="s">
        <v>881</v>
      </c>
      <c r="D5040" t="s">
        <v>2472</v>
      </c>
      <c r="E5040" t="s">
        <v>2474</v>
      </c>
      <c r="F5040" t="s">
        <v>1825</v>
      </c>
      <c r="G5040" t="s">
        <v>1825</v>
      </c>
      <c r="H5040" s="10">
        <v>33085</v>
      </c>
      <c r="I5040">
        <f>IFERROR(VLOOKUP(Final!F5040,'LEAID Match'!$A$2:$B$374,2,FALSE),"")</f>
        <v>405500</v>
      </c>
      <c r="K5040" s="10">
        <f t="shared" si="78"/>
        <v>33085</v>
      </c>
    </row>
    <row r="5041" spans="1:11">
      <c r="A5041">
        <v>405500</v>
      </c>
      <c r="B5041" s="10">
        <v>2018</v>
      </c>
      <c r="C5041" t="s">
        <v>881</v>
      </c>
      <c r="D5041" t="s">
        <v>2472</v>
      </c>
      <c r="E5041" t="s">
        <v>2474</v>
      </c>
      <c r="F5041" t="s">
        <v>1825</v>
      </c>
      <c r="G5041" t="s">
        <v>2250</v>
      </c>
      <c r="H5041" s="10">
        <v>23931</v>
      </c>
      <c r="I5041">
        <f>IFERROR(VLOOKUP(Final!F5041,'LEAID Match'!$A$2:$B$374,2,FALSE),"")</f>
        <v>405500</v>
      </c>
      <c r="K5041" s="10">
        <f t="shared" si="78"/>
        <v>23931</v>
      </c>
    </row>
    <row r="5042" spans="1:11">
      <c r="A5042">
        <v>405500</v>
      </c>
      <c r="B5042" s="10">
        <v>2019</v>
      </c>
      <c r="C5042" t="s">
        <v>881</v>
      </c>
      <c r="D5042" t="s">
        <v>2472</v>
      </c>
      <c r="E5042" t="s">
        <v>2474</v>
      </c>
      <c r="F5042" t="s">
        <v>1825</v>
      </c>
      <c r="G5042" t="s">
        <v>1825</v>
      </c>
      <c r="H5042" s="10">
        <v>25608</v>
      </c>
      <c r="I5042">
        <f>IFERROR(VLOOKUP(Final!F5042,'LEAID Match'!$A$2:$B$374,2,FALSE),"")</f>
        <v>405500</v>
      </c>
      <c r="K5042" s="10">
        <f t="shared" si="78"/>
        <v>25608</v>
      </c>
    </row>
    <row r="5043" spans="1:11">
      <c r="A5043">
        <v>405500</v>
      </c>
      <c r="B5043" s="10">
        <v>2020</v>
      </c>
      <c r="C5043" t="s">
        <v>881</v>
      </c>
      <c r="D5043" t="s">
        <v>2472</v>
      </c>
      <c r="E5043" t="s">
        <v>2474</v>
      </c>
      <c r="F5043" t="s">
        <v>1825</v>
      </c>
      <c r="G5043" t="s">
        <v>1825</v>
      </c>
      <c r="H5043" s="10">
        <v>26779</v>
      </c>
      <c r="I5043">
        <f>IFERROR(VLOOKUP(Final!F5043,'LEAID Match'!$A$2:$B$374,2,FALSE),"")</f>
        <v>405500</v>
      </c>
      <c r="K5043" s="10">
        <f t="shared" si="78"/>
        <v>26779</v>
      </c>
    </row>
    <row r="5044" spans="1:11">
      <c r="A5044">
        <v>405500</v>
      </c>
      <c r="B5044" s="10">
        <v>2021</v>
      </c>
      <c r="C5044" t="s">
        <v>881</v>
      </c>
      <c r="D5044" t="s">
        <v>2472</v>
      </c>
      <c r="E5044" t="s">
        <v>2474</v>
      </c>
      <c r="F5044" t="s">
        <v>1825</v>
      </c>
      <c r="G5044" t="s">
        <v>1825</v>
      </c>
      <c r="H5044" s="10">
        <v>27403</v>
      </c>
      <c r="I5044">
        <f>IFERROR(VLOOKUP(Final!F5044,'LEAID Match'!$A$2:$B$374,2,FALSE),"")</f>
        <v>405500</v>
      </c>
      <c r="K5044" s="10">
        <f t="shared" si="78"/>
        <v>27403</v>
      </c>
    </row>
    <row r="5045" spans="1:11">
      <c r="A5045">
        <v>405500</v>
      </c>
      <c r="B5045" s="10">
        <v>2022</v>
      </c>
      <c r="C5045" t="s">
        <v>881</v>
      </c>
      <c r="D5045" t="s">
        <v>2472</v>
      </c>
      <c r="E5045" t="s">
        <v>2474</v>
      </c>
      <c r="F5045" t="s">
        <v>1825</v>
      </c>
      <c r="G5045" t="s">
        <v>1825</v>
      </c>
      <c r="H5045" s="10">
        <v>31761</v>
      </c>
      <c r="I5045">
        <f>IFERROR(VLOOKUP(Final!F5045,'LEAID Match'!$A$2:$B$374,2,FALSE),"")</f>
        <v>405500</v>
      </c>
      <c r="K5045" s="10">
        <f t="shared" si="78"/>
        <v>31761</v>
      </c>
    </row>
    <row r="5046" spans="1:11">
      <c r="A5046">
        <v>405500</v>
      </c>
      <c r="B5046" s="10">
        <v>2023</v>
      </c>
      <c r="C5046" t="s">
        <v>881</v>
      </c>
      <c r="D5046" t="s">
        <v>2472</v>
      </c>
      <c r="E5046" t="s">
        <v>2474</v>
      </c>
      <c r="F5046" t="s">
        <v>1825</v>
      </c>
      <c r="G5046" t="s">
        <v>1825</v>
      </c>
      <c r="H5046" s="10">
        <v>31418</v>
      </c>
      <c r="I5046">
        <f>IFERROR(VLOOKUP(Final!F5046,'LEAID Match'!$A$2:$B$374,2,FALSE),"")</f>
        <v>405500</v>
      </c>
      <c r="K5046" s="10">
        <f t="shared" si="78"/>
        <v>31418</v>
      </c>
    </row>
    <row r="5047" spans="1:11">
      <c r="A5047">
        <v>400197</v>
      </c>
      <c r="B5047" s="10">
        <v>2015</v>
      </c>
      <c r="C5047" t="s">
        <v>895</v>
      </c>
      <c r="D5047" t="s">
        <v>2472</v>
      </c>
      <c r="E5047" t="s">
        <v>2474</v>
      </c>
      <c r="F5047" t="s">
        <v>1842</v>
      </c>
      <c r="G5047" t="s">
        <v>840</v>
      </c>
      <c r="H5047" s="10">
        <v>34446</v>
      </c>
      <c r="I5047">
        <f>IFERROR(VLOOKUP(Final!F5047,'LEAID Match'!$A$2:$B$374,2,FALSE),"")</f>
        <v>400197</v>
      </c>
      <c r="K5047" s="10">
        <f t="shared" si="78"/>
        <v>34446</v>
      </c>
    </row>
    <row r="5048" spans="1:11">
      <c r="A5048">
        <v>400197</v>
      </c>
      <c r="B5048" s="10">
        <v>2016</v>
      </c>
      <c r="C5048" t="s">
        <v>895</v>
      </c>
      <c r="D5048" t="s">
        <v>2472</v>
      </c>
      <c r="E5048" t="s">
        <v>2474</v>
      </c>
      <c r="F5048" t="s">
        <v>1842</v>
      </c>
      <c r="G5048" t="s">
        <v>840</v>
      </c>
      <c r="H5048" s="10">
        <v>33920</v>
      </c>
      <c r="I5048">
        <f>IFERROR(VLOOKUP(Final!F5048,'LEAID Match'!$A$2:$B$374,2,FALSE),"")</f>
        <v>400197</v>
      </c>
      <c r="K5048" s="10">
        <f t="shared" si="78"/>
        <v>33920</v>
      </c>
    </row>
    <row r="5049" spans="1:11">
      <c r="A5049">
        <v>400197</v>
      </c>
      <c r="B5049" s="10">
        <v>2017</v>
      </c>
      <c r="C5049" t="s">
        <v>895</v>
      </c>
      <c r="D5049" t="s">
        <v>2472</v>
      </c>
      <c r="E5049" t="s">
        <v>2474</v>
      </c>
      <c r="F5049" t="s">
        <v>1842</v>
      </c>
      <c r="G5049" t="s">
        <v>1842</v>
      </c>
      <c r="H5049" s="10">
        <v>33266</v>
      </c>
      <c r="I5049">
        <f>IFERROR(VLOOKUP(Final!F5049,'LEAID Match'!$A$2:$B$374,2,FALSE),"")</f>
        <v>400197</v>
      </c>
      <c r="K5049" s="10">
        <f t="shared" si="78"/>
        <v>33266</v>
      </c>
    </row>
    <row r="5050" spans="1:11">
      <c r="A5050">
        <v>400197</v>
      </c>
      <c r="B5050" s="10">
        <v>2018</v>
      </c>
      <c r="C5050" t="s">
        <v>895</v>
      </c>
      <c r="D5050" t="s">
        <v>2472</v>
      </c>
      <c r="E5050" t="s">
        <v>2474</v>
      </c>
      <c r="F5050" t="s">
        <v>1842</v>
      </c>
      <c r="G5050" t="s">
        <v>2261</v>
      </c>
      <c r="H5050" s="10">
        <v>34773</v>
      </c>
      <c r="I5050">
        <f>IFERROR(VLOOKUP(Final!F5050,'LEAID Match'!$A$2:$B$374,2,FALSE),"")</f>
        <v>400197</v>
      </c>
      <c r="K5050" s="10">
        <f t="shared" si="78"/>
        <v>34773</v>
      </c>
    </row>
    <row r="5051" spans="1:11">
      <c r="A5051">
        <v>400197</v>
      </c>
      <c r="B5051" s="10">
        <v>2019</v>
      </c>
      <c r="C5051" t="s">
        <v>895</v>
      </c>
      <c r="D5051" t="s">
        <v>2472</v>
      </c>
      <c r="E5051" t="s">
        <v>2474</v>
      </c>
      <c r="F5051" t="s">
        <v>1842</v>
      </c>
      <c r="G5051" t="s">
        <v>2381</v>
      </c>
      <c r="H5051" s="10">
        <v>37351</v>
      </c>
      <c r="I5051">
        <f>IFERROR(VLOOKUP(Final!F5051,'LEAID Match'!$A$2:$B$374,2,FALSE),"")</f>
        <v>400197</v>
      </c>
      <c r="K5051" s="10">
        <f t="shared" si="78"/>
        <v>37351</v>
      </c>
    </row>
    <row r="5052" spans="1:11">
      <c r="A5052">
        <v>400197</v>
      </c>
      <c r="B5052" s="10">
        <v>2020</v>
      </c>
      <c r="C5052" t="s">
        <v>895</v>
      </c>
      <c r="D5052" t="s">
        <v>2472</v>
      </c>
      <c r="E5052" t="s">
        <v>2474</v>
      </c>
      <c r="F5052" t="s">
        <v>1842</v>
      </c>
      <c r="G5052" t="s">
        <v>1842</v>
      </c>
      <c r="H5052" s="10">
        <v>38270</v>
      </c>
      <c r="I5052">
        <f>IFERROR(VLOOKUP(Final!F5052,'LEAID Match'!$A$2:$B$374,2,FALSE),"")</f>
        <v>400197</v>
      </c>
      <c r="K5052" s="10">
        <f t="shared" si="78"/>
        <v>38270</v>
      </c>
    </row>
    <row r="5053" spans="1:11">
      <c r="A5053">
        <v>400197</v>
      </c>
      <c r="B5053" s="10">
        <v>2021</v>
      </c>
      <c r="C5053" t="s">
        <v>895</v>
      </c>
      <c r="D5053" t="s">
        <v>2472</v>
      </c>
      <c r="E5053" t="s">
        <v>2474</v>
      </c>
      <c r="F5053" t="s">
        <v>1842</v>
      </c>
      <c r="G5053" t="s">
        <v>1842</v>
      </c>
      <c r="H5053" s="10">
        <v>41444</v>
      </c>
      <c r="I5053">
        <f>IFERROR(VLOOKUP(Final!F5053,'LEAID Match'!$A$2:$B$374,2,FALSE),"")</f>
        <v>400197</v>
      </c>
      <c r="K5053" s="10">
        <f t="shared" si="78"/>
        <v>41444</v>
      </c>
    </row>
    <row r="5054" spans="1:11">
      <c r="A5054">
        <v>400197</v>
      </c>
      <c r="B5054" s="10">
        <v>2022</v>
      </c>
      <c r="C5054" t="s">
        <v>895</v>
      </c>
      <c r="D5054" t="s">
        <v>2472</v>
      </c>
      <c r="E5054" t="s">
        <v>2474</v>
      </c>
      <c r="F5054" t="s">
        <v>1842</v>
      </c>
      <c r="G5054" t="s">
        <v>1842</v>
      </c>
      <c r="H5054" s="10">
        <v>42582</v>
      </c>
      <c r="I5054">
        <f>IFERROR(VLOOKUP(Final!F5054,'LEAID Match'!$A$2:$B$374,2,FALSE),"")</f>
        <v>400197</v>
      </c>
      <c r="K5054" s="10">
        <f t="shared" si="78"/>
        <v>42582</v>
      </c>
    </row>
    <row r="5055" spans="1:11">
      <c r="A5055">
        <v>400197</v>
      </c>
      <c r="B5055" s="10">
        <v>2023</v>
      </c>
      <c r="C5055" t="s">
        <v>895</v>
      </c>
      <c r="D5055" t="s">
        <v>2472</v>
      </c>
      <c r="E5055" t="s">
        <v>2474</v>
      </c>
      <c r="F5055" t="s">
        <v>1842</v>
      </c>
      <c r="G5055" t="s">
        <v>1842</v>
      </c>
      <c r="H5055" s="10">
        <v>33741</v>
      </c>
      <c r="I5055">
        <f>IFERROR(VLOOKUP(Final!F5055,'LEAID Match'!$A$2:$B$374,2,FALSE),"")</f>
        <v>400197</v>
      </c>
      <c r="K5055" s="10">
        <f t="shared" si="78"/>
        <v>33741</v>
      </c>
    </row>
    <row r="5056" spans="1:11">
      <c r="A5056">
        <v>405530</v>
      </c>
      <c r="B5056" s="10">
        <v>2015</v>
      </c>
      <c r="C5056" t="s">
        <v>890</v>
      </c>
      <c r="D5056" t="s">
        <v>2472</v>
      </c>
      <c r="E5056" t="s">
        <v>2474</v>
      </c>
      <c r="F5056" t="s">
        <v>1832</v>
      </c>
      <c r="G5056" t="s">
        <v>835</v>
      </c>
      <c r="H5056" s="10">
        <v>2364723</v>
      </c>
      <c r="I5056">
        <f>IFERROR(VLOOKUP(Final!F5056,'LEAID Match'!$A$2:$B$374,2,FALSE),"")</f>
        <v>405530</v>
      </c>
      <c r="K5056" s="10">
        <f t="shared" si="78"/>
        <v>2364723</v>
      </c>
    </row>
    <row r="5057" spans="1:11">
      <c r="A5057">
        <v>405530</v>
      </c>
      <c r="B5057" s="10">
        <v>2016</v>
      </c>
      <c r="C5057" t="s">
        <v>890</v>
      </c>
      <c r="D5057" t="s">
        <v>2472</v>
      </c>
      <c r="E5057" t="s">
        <v>2474</v>
      </c>
      <c r="F5057" t="s">
        <v>1832</v>
      </c>
      <c r="G5057" t="s">
        <v>835</v>
      </c>
      <c r="H5057" s="10">
        <v>2398712</v>
      </c>
      <c r="I5057">
        <f>IFERROR(VLOOKUP(Final!F5057,'LEAID Match'!$A$2:$B$374,2,FALSE),"")</f>
        <v>405530</v>
      </c>
      <c r="K5057" s="10">
        <f t="shared" si="78"/>
        <v>2398712</v>
      </c>
    </row>
    <row r="5058" spans="1:11">
      <c r="A5058">
        <v>405530</v>
      </c>
      <c r="B5058" s="10">
        <v>2017</v>
      </c>
      <c r="C5058" t="s">
        <v>890</v>
      </c>
      <c r="D5058" t="s">
        <v>2472</v>
      </c>
      <c r="E5058" t="s">
        <v>2474</v>
      </c>
      <c r="F5058" t="s">
        <v>1832</v>
      </c>
      <c r="G5058" t="s">
        <v>1832</v>
      </c>
      <c r="H5058" s="10">
        <v>2420507</v>
      </c>
      <c r="I5058">
        <f>IFERROR(VLOOKUP(Final!F5058,'LEAID Match'!$A$2:$B$374,2,FALSE),"")</f>
        <v>405530</v>
      </c>
      <c r="K5058" s="10">
        <f t="shared" si="78"/>
        <v>2420507</v>
      </c>
    </row>
    <row r="5059" spans="1:11">
      <c r="A5059">
        <v>405530</v>
      </c>
      <c r="B5059" s="10">
        <v>2018</v>
      </c>
      <c r="C5059" t="s">
        <v>890</v>
      </c>
      <c r="D5059" t="s">
        <v>2472</v>
      </c>
      <c r="E5059" t="s">
        <v>2474</v>
      </c>
      <c r="F5059" t="s">
        <v>1832</v>
      </c>
      <c r="G5059" t="s">
        <v>1832</v>
      </c>
      <c r="H5059" s="10">
        <v>2526999</v>
      </c>
      <c r="I5059">
        <f>IFERROR(VLOOKUP(Final!F5059,'LEAID Match'!$A$2:$B$374,2,FALSE),"")</f>
        <v>405530</v>
      </c>
      <c r="K5059" s="10">
        <f t="shared" ref="K5059:K5122" si="79">SUM(H5059,J5059)</f>
        <v>2526999</v>
      </c>
    </row>
    <row r="5060" spans="1:11">
      <c r="A5060">
        <v>405530</v>
      </c>
      <c r="B5060" s="10">
        <v>2019</v>
      </c>
      <c r="C5060" t="s">
        <v>890</v>
      </c>
      <c r="D5060" t="s">
        <v>2472</v>
      </c>
      <c r="E5060" t="s">
        <v>2474</v>
      </c>
      <c r="F5060" t="s">
        <v>1832</v>
      </c>
      <c r="G5060" t="s">
        <v>1832</v>
      </c>
      <c r="H5060" s="10">
        <v>2801636</v>
      </c>
      <c r="I5060">
        <f>IFERROR(VLOOKUP(Final!F5060,'LEAID Match'!$A$2:$B$374,2,FALSE),"")</f>
        <v>405530</v>
      </c>
      <c r="K5060" s="10">
        <f t="shared" si="79"/>
        <v>2801636</v>
      </c>
    </row>
    <row r="5061" spans="1:11">
      <c r="A5061">
        <v>405530</v>
      </c>
      <c r="B5061" s="10">
        <v>2020</v>
      </c>
      <c r="C5061" t="s">
        <v>890</v>
      </c>
      <c r="D5061" t="s">
        <v>2472</v>
      </c>
      <c r="E5061" t="s">
        <v>2474</v>
      </c>
      <c r="F5061" t="s">
        <v>1832</v>
      </c>
      <c r="G5061" t="s">
        <v>1832</v>
      </c>
      <c r="H5061" s="10">
        <v>2904270</v>
      </c>
      <c r="I5061">
        <f>IFERROR(VLOOKUP(Final!F5061,'LEAID Match'!$A$2:$B$374,2,FALSE),"")</f>
        <v>405530</v>
      </c>
      <c r="K5061" s="10">
        <f t="shared" si="79"/>
        <v>2904270</v>
      </c>
    </row>
    <row r="5062" spans="1:11">
      <c r="A5062">
        <v>405530</v>
      </c>
      <c r="B5062" s="10">
        <v>2021</v>
      </c>
      <c r="C5062" t="s">
        <v>890</v>
      </c>
      <c r="D5062" t="s">
        <v>2472</v>
      </c>
      <c r="E5062" t="s">
        <v>2474</v>
      </c>
      <c r="F5062" t="s">
        <v>1832</v>
      </c>
      <c r="G5062" t="s">
        <v>1832</v>
      </c>
      <c r="H5062" s="10">
        <v>3139151</v>
      </c>
      <c r="I5062">
        <f>IFERROR(VLOOKUP(Final!F5062,'LEAID Match'!$A$2:$B$374,2,FALSE),"")</f>
        <v>405530</v>
      </c>
      <c r="K5062" s="10">
        <f t="shared" si="79"/>
        <v>3139151</v>
      </c>
    </row>
    <row r="5063" spans="1:11">
      <c r="A5063">
        <v>405530</v>
      </c>
      <c r="B5063" s="10">
        <v>2022</v>
      </c>
      <c r="C5063" t="s">
        <v>890</v>
      </c>
      <c r="D5063" t="s">
        <v>2472</v>
      </c>
      <c r="E5063" t="s">
        <v>2474</v>
      </c>
      <c r="F5063" t="s">
        <v>1832</v>
      </c>
      <c r="G5063" t="s">
        <v>1832</v>
      </c>
      <c r="H5063" s="10">
        <v>3446954</v>
      </c>
      <c r="I5063">
        <f>IFERROR(VLOOKUP(Final!F5063,'LEAID Match'!$A$2:$B$374,2,FALSE),"")</f>
        <v>405530</v>
      </c>
      <c r="K5063" s="10">
        <f t="shared" si="79"/>
        <v>3446954</v>
      </c>
    </row>
    <row r="5064" spans="1:11">
      <c r="A5064">
        <v>405530</v>
      </c>
      <c r="B5064" s="10">
        <v>2023</v>
      </c>
      <c r="C5064" t="s">
        <v>890</v>
      </c>
      <c r="D5064" t="s">
        <v>2472</v>
      </c>
      <c r="E5064" t="s">
        <v>2474</v>
      </c>
      <c r="F5064" t="s">
        <v>1832</v>
      </c>
      <c r="G5064" t="s">
        <v>1832</v>
      </c>
      <c r="H5064" s="10">
        <v>3239638</v>
      </c>
      <c r="I5064">
        <f>IFERROR(VLOOKUP(Final!F5064,'LEAID Match'!$A$2:$B$374,2,FALSE),"")</f>
        <v>405530</v>
      </c>
      <c r="K5064" s="10">
        <f t="shared" si="79"/>
        <v>3239638</v>
      </c>
    </row>
    <row r="5065" spans="1:11">
      <c r="A5065">
        <v>407500</v>
      </c>
      <c r="B5065" s="10">
        <v>2015</v>
      </c>
      <c r="C5065" t="s">
        <v>1110</v>
      </c>
      <c r="D5065" t="s">
        <v>2472</v>
      </c>
      <c r="E5065" t="s">
        <v>2474</v>
      </c>
      <c r="F5065" t="s">
        <v>2410</v>
      </c>
      <c r="G5065" t="s">
        <v>1055</v>
      </c>
      <c r="H5065" s="10">
        <v>1429053</v>
      </c>
      <c r="I5065">
        <f>IFERROR(VLOOKUP(Final!F5065,'LEAID Match'!$A$2:$B$374,2,FALSE),"")</f>
        <v>407500</v>
      </c>
      <c r="K5065" s="10">
        <f t="shared" si="79"/>
        <v>1429053</v>
      </c>
    </row>
    <row r="5066" spans="1:11">
      <c r="A5066">
        <v>407500</v>
      </c>
      <c r="B5066" s="10">
        <v>2016</v>
      </c>
      <c r="C5066" t="s">
        <v>1110</v>
      </c>
      <c r="D5066" t="s">
        <v>2472</v>
      </c>
      <c r="E5066" t="s">
        <v>2474</v>
      </c>
      <c r="F5066" t="s">
        <v>2410</v>
      </c>
      <c r="G5066" t="s">
        <v>1055</v>
      </c>
      <c r="H5066" s="10">
        <v>1483024</v>
      </c>
      <c r="I5066">
        <f>IFERROR(VLOOKUP(Final!F5066,'LEAID Match'!$A$2:$B$374,2,FALSE),"")</f>
        <v>407500</v>
      </c>
      <c r="K5066" s="10">
        <f t="shared" si="79"/>
        <v>1483024</v>
      </c>
    </row>
    <row r="5067" spans="1:11">
      <c r="A5067">
        <v>407500</v>
      </c>
      <c r="B5067" s="10">
        <v>2017</v>
      </c>
      <c r="C5067" t="s">
        <v>1110</v>
      </c>
      <c r="D5067" t="s">
        <v>2472</v>
      </c>
      <c r="E5067" t="s">
        <v>2474</v>
      </c>
      <c r="F5067" t="s">
        <v>2410</v>
      </c>
      <c r="G5067" t="s">
        <v>1935</v>
      </c>
      <c r="H5067" s="10">
        <v>1504863</v>
      </c>
      <c r="I5067">
        <f>IFERROR(VLOOKUP(Final!F5067,'LEAID Match'!$A$2:$B$374,2,FALSE),"")</f>
        <v>407500</v>
      </c>
      <c r="K5067" s="10">
        <f t="shared" si="79"/>
        <v>1504863</v>
      </c>
    </row>
    <row r="5068" spans="1:11">
      <c r="A5068">
        <v>407500</v>
      </c>
      <c r="B5068" s="10">
        <v>2018</v>
      </c>
      <c r="C5068" t="s">
        <v>1110</v>
      </c>
      <c r="D5068" t="s">
        <v>2472</v>
      </c>
      <c r="E5068" t="s">
        <v>2474</v>
      </c>
      <c r="F5068" t="s">
        <v>2410</v>
      </c>
      <c r="G5068" t="s">
        <v>2304</v>
      </c>
      <c r="H5068" s="10">
        <v>1608802</v>
      </c>
      <c r="I5068">
        <f>IFERROR(VLOOKUP(Final!F5068,'LEAID Match'!$A$2:$B$374,2,FALSE),"")</f>
        <v>407500</v>
      </c>
      <c r="K5068" s="10">
        <f t="shared" si="79"/>
        <v>1608802</v>
      </c>
    </row>
    <row r="5069" spans="1:11">
      <c r="A5069">
        <v>407500</v>
      </c>
      <c r="B5069" s="10">
        <v>2019</v>
      </c>
      <c r="C5069" t="s">
        <v>1110</v>
      </c>
      <c r="D5069" t="s">
        <v>2472</v>
      </c>
      <c r="E5069" t="s">
        <v>2474</v>
      </c>
      <c r="F5069" t="s">
        <v>2410</v>
      </c>
      <c r="G5069" t="s">
        <v>1935</v>
      </c>
      <c r="H5069" s="10">
        <v>1687147</v>
      </c>
      <c r="I5069">
        <f>IFERROR(VLOOKUP(Final!F5069,'LEAID Match'!$A$2:$B$374,2,FALSE),"")</f>
        <v>407500</v>
      </c>
      <c r="K5069" s="10">
        <f t="shared" si="79"/>
        <v>1687147</v>
      </c>
    </row>
    <row r="5070" spans="1:11">
      <c r="A5070">
        <v>407500</v>
      </c>
      <c r="B5070" s="10">
        <v>2020</v>
      </c>
      <c r="C5070" t="s">
        <v>1110</v>
      </c>
      <c r="D5070" t="s">
        <v>2472</v>
      </c>
      <c r="E5070" t="s">
        <v>2474</v>
      </c>
      <c r="F5070" t="s">
        <v>2410</v>
      </c>
      <c r="G5070" t="s">
        <v>2410</v>
      </c>
      <c r="H5070" s="10">
        <v>1769373</v>
      </c>
      <c r="I5070">
        <f>IFERROR(VLOOKUP(Final!F5070,'LEAID Match'!$A$2:$B$374,2,FALSE),"")</f>
        <v>407500</v>
      </c>
      <c r="K5070" s="10">
        <f t="shared" si="79"/>
        <v>1769373</v>
      </c>
    </row>
    <row r="5071" spans="1:11">
      <c r="A5071">
        <v>407500</v>
      </c>
      <c r="B5071" s="10">
        <v>2021</v>
      </c>
      <c r="C5071" t="s">
        <v>1110</v>
      </c>
      <c r="D5071" t="s">
        <v>2472</v>
      </c>
      <c r="E5071" t="s">
        <v>2474</v>
      </c>
      <c r="F5071" t="s">
        <v>2410</v>
      </c>
      <c r="G5071" t="s">
        <v>2410</v>
      </c>
      <c r="H5071" s="10">
        <v>1858721</v>
      </c>
      <c r="I5071">
        <f>IFERROR(VLOOKUP(Final!F5071,'LEAID Match'!$A$2:$B$374,2,FALSE),"")</f>
        <v>407500</v>
      </c>
      <c r="K5071" s="10">
        <f t="shared" si="79"/>
        <v>1858721</v>
      </c>
    </row>
    <row r="5072" spans="1:11">
      <c r="A5072">
        <v>407500</v>
      </c>
      <c r="B5072" s="10">
        <v>2022</v>
      </c>
      <c r="C5072" t="s">
        <v>1110</v>
      </c>
      <c r="D5072" t="s">
        <v>2472</v>
      </c>
      <c r="E5072" t="s">
        <v>2474</v>
      </c>
      <c r="F5072" t="s">
        <v>2410</v>
      </c>
      <c r="G5072" t="s">
        <v>2410</v>
      </c>
      <c r="H5072" s="10">
        <v>2103783</v>
      </c>
      <c r="I5072">
        <f>IFERROR(VLOOKUP(Final!F5072,'LEAID Match'!$A$2:$B$374,2,FALSE),"")</f>
        <v>407500</v>
      </c>
      <c r="K5072" s="10">
        <f t="shared" si="79"/>
        <v>2103783</v>
      </c>
    </row>
    <row r="5073" spans="1:11">
      <c r="A5073">
        <v>407500</v>
      </c>
      <c r="B5073" s="10">
        <v>2023</v>
      </c>
      <c r="C5073" t="s">
        <v>1110</v>
      </c>
      <c r="D5073" t="s">
        <v>2472</v>
      </c>
      <c r="E5073" t="s">
        <v>2474</v>
      </c>
      <c r="F5073" t="s">
        <v>2410</v>
      </c>
      <c r="G5073" t="s">
        <v>2410</v>
      </c>
      <c r="H5073" s="10">
        <v>2085473</v>
      </c>
      <c r="I5073">
        <f>IFERROR(VLOOKUP(Final!F5073,'LEAID Match'!$A$2:$B$374,2,FALSE),"")</f>
        <v>407500</v>
      </c>
      <c r="K5073" s="10">
        <f t="shared" si="79"/>
        <v>2085473</v>
      </c>
    </row>
    <row r="5074" spans="1:11">
      <c r="A5074">
        <v>406000</v>
      </c>
      <c r="B5074" s="10">
        <v>2015</v>
      </c>
      <c r="C5074" t="s">
        <v>917</v>
      </c>
      <c r="D5074" t="s">
        <v>2472</v>
      </c>
      <c r="E5074" t="s">
        <v>2474</v>
      </c>
      <c r="F5074" t="s">
        <v>1861</v>
      </c>
      <c r="G5074" t="s">
        <v>862</v>
      </c>
      <c r="H5074" s="10">
        <v>71499</v>
      </c>
      <c r="I5074">
        <f>IFERROR(VLOOKUP(Final!F5074,'LEAID Match'!$A$2:$B$374,2,FALSE),"")</f>
        <v>406000</v>
      </c>
      <c r="K5074" s="10">
        <f t="shared" si="79"/>
        <v>71499</v>
      </c>
    </row>
    <row r="5075" spans="1:11">
      <c r="A5075">
        <v>406000</v>
      </c>
      <c r="B5075" s="10">
        <v>2016</v>
      </c>
      <c r="C5075" t="s">
        <v>917</v>
      </c>
      <c r="D5075" t="s">
        <v>2472</v>
      </c>
      <c r="E5075" t="s">
        <v>2474</v>
      </c>
      <c r="F5075" t="s">
        <v>1861</v>
      </c>
      <c r="G5075" t="s">
        <v>862</v>
      </c>
      <c r="H5075" s="10">
        <v>66180</v>
      </c>
      <c r="I5075">
        <f>IFERROR(VLOOKUP(Final!F5075,'LEAID Match'!$A$2:$B$374,2,FALSE),"")</f>
        <v>406000</v>
      </c>
      <c r="K5075" s="10">
        <f t="shared" si="79"/>
        <v>66180</v>
      </c>
    </row>
    <row r="5076" spans="1:11">
      <c r="A5076">
        <v>406000</v>
      </c>
      <c r="B5076" s="10">
        <v>2017</v>
      </c>
      <c r="C5076" t="s">
        <v>917</v>
      </c>
      <c r="D5076" t="s">
        <v>2472</v>
      </c>
      <c r="E5076" t="s">
        <v>2474</v>
      </c>
      <c r="F5076" t="s">
        <v>1861</v>
      </c>
      <c r="G5076" t="s">
        <v>1861</v>
      </c>
      <c r="H5076" s="10">
        <v>70139</v>
      </c>
      <c r="I5076">
        <f>IFERROR(VLOOKUP(Final!F5076,'LEAID Match'!$A$2:$B$374,2,FALSE),"")</f>
        <v>406000</v>
      </c>
      <c r="K5076" s="10">
        <f t="shared" si="79"/>
        <v>70139</v>
      </c>
    </row>
    <row r="5077" spans="1:11">
      <c r="A5077">
        <v>406000</v>
      </c>
      <c r="B5077" s="10">
        <v>2018</v>
      </c>
      <c r="C5077" t="s">
        <v>917</v>
      </c>
      <c r="D5077" t="s">
        <v>2472</v>
      </c>
      <c r="E5077" t="s">
        <v>2474</v>
      </c>
      <c r="F5077" t="s">
        <v>1861</v>
      </c>
      <c r="G5077" t="s">
        <v>2268</v>
      </c>
      <c r="H5077" s="10">
        <v>65240</v>
      </c>
      <c r="I5077">
        <f>IFERROR(VLOOKUP(Final!F5077,'LEAID Match'!$A$2:$B$374,2,FALSE),"")</f>
        <v>406000</v>
      </c>
      <c r="K5077" s="10">
        <f t="shared" si="79"/>
        <v>65240</v>
      </c>
    </row>
    <row r="5078" spans="1:11">
      <c r="A5078">
        <v>406000</v>
      </c>
      <c r="B5078" s="10">
        <v>2019</v>
      </c>
      <c r="C5078" t="s">
        <v>917</v>
      </c>
      <c r="D5078" t="s">
        <v>2472</v>
      </c>
      <c r="E5078" t="s">
        <v>2474</v>
      </c>
      <c r="F5078" t="s">
        <v>1861</v>
      </c>
      <c r="G5078" t="s">
        <v>1861</v>
      </c>
      <c r="H5078" s="10">
        <v>62798</v>
      </c>
      <c r="I5078">
        <f>IFERROR(VLOOKUP(Final!F5078,'LEAID Match'!$A$2:$B$374,2,FALSE),"")</f>
        <v>406000</v>
      </c>
      <c r="K5078" s="10">
        <f t="shared" si="79"/>
        <v>62798</v>
      </c>
    </row>
    <row r="5079" spans="1:11">
      <c r="A5079">
        <v>406000</v>
      </c>
      <c r="B5079" s="10">
        <v>2020</v>
      </c>
      <c r="C5079" t="s">
        <v>917</v>
      </c>
      <c r="D5079" t="s">
        <v>2472</v>
      </c>
      <c r="E5079" t="s">
        <v>2474</v>
      </c>
      <c r="F5079" t="s">
        <v>1861</v>
      </c>
      <c r="G5079" t="s">
        <v>1861</v>
      </c>
      <c r="H5079" s="10">
        <v>69042</v>
      </c>
      <c r="I5079">
        <f>IFERROR(VLOOKUP(Final!F5079,'LEAID Match'!$A$2:$B$374,2,FALSE),"")</f>
        <v>406000</v>
      </c>
      <c r="K5079" s="10">
        <f t="shared" si="79"/>
        <v>69042</v>
      </c>
    </row>
    <row r="5080" spans="1:11">
      <c r="A5080">
        <v>406000</v>
      </c>
      <c r="B5080" s="10">
        <v>2021</v>
      </c>
      <c r="C5080" t="s">
        <v>917</v>
      </c>
      <c r="D5080" t="s">
        <v>2472</v>
      </c>
      <c r="E5080" t="s">
        <v>2474</v>
      </c>
      <c r="F5080" t="s">
        <v>1861</v>
      </c>
      <c r="G5080" t="s">
        <v>1861</v>
      </c>
      <c r="H5080" s="10">
        <v>64007</v>
      </c>
      <c r="I5080">
        <f>IFERROR(VLOOKUP(Final!F5080,'LEAID Match'!$A$2:$B$374,2,FALSE),"")</f>
        <v>406000</v>
      </c>
      <c r="K5080" s="10">
        <f t="shared" si="79"/>
        <v>64007</v>
      </c>
    </row>
    <row r="5081" spans="1:11">
      <c r="A5081">
        <v>406000</v>
      </c>
      <c r="B5081" s="10">
        <v>2022</v>
      </c>
      <c r="C5081" t="s">
        <v>917</v>
      </c>
      <c r="D5081" t="s">
        <v>2472</v>
      </c>
      <c r="E5081" t="s">
        <v>2474</v>
      </c>
      <c r="F5081" t="s">
        <v>1861</v>
      </c>
      <c r="G5081" t="s">
        <v>1861</v>
      </c>
      <c r="H5081" s="10">
        <v>68909</v>
      </c>
      <c r="I5081">
        <f>IFERROR(VLOOKUP(Final!F5081,'LEAID Match'!$A$2:$B$374,2,FALSE),"")</f>
        <v>406000</v>
      </c>
      <c r="K5081" s="10">
        <f t="shared" si="79"/>
        <v>68909</v>
      </c>
    </row>
    <row r="5082" spans="1:11">
      <c r="A5082">
        <v>406000</v>
      </c>
      <c r="B5082" s="10">
        <v>2023</v>
      </c>
      <c r="C5082" t="s">
        <v>917</v>
      </c>
      <c r="D5082" t="s">
        <v>2472</v>
      </c>
      <c r="E5082" t="s">
        <v>2474</v>
      </c>
      <c r="F5082" t="s">
        <v>1861</v>
      </c>
      <c r="G5082" t="s">
        <v>1861</v>
      </c>
      <c r="H5082" s="10">
        <v>68810</v>
      </c>
      <c r="I5082">
        <f>IFERROR(VLOOKUP(Final!F5082,'LEAID Match'!$A$2:$B$374,2,FALSE),"")</f>
        <v>406000</v>
      </c>
      <c r="K5082" s="10">
        <f t="shared" si="79"/>
        <v>68810</v>
      </c>
    </row>
    <row r="5083" spans="1:11">
      <c r="A5083">
        <v>407920</v>
      </c>
      <c r="B5083" s="10">
        <v>2015</v>
      </c>
      <c r="C5083" t="s">
        <v>1128</v>
      </c>
      <c r="D5083" t="s">
        <v>2472</v>
      </c>
      <c r="E5083" t="s">
        <v>2474</v>
      </c>
      <c r="F5083" t="s">
        <v>1959</v>
      </c>
      <c r="G5083" t="s">
        <v>1073</v>
      </c>
      <c r="H5083" s="10">
        <v>109106</v>
      </c>
      <c r="I5083">
        <f>IFERROR(VLOOKUP(Final!F5083,'LEAID Match'!$A$2:$B$374,2,FALSE),"")</f>
        <v>407920</v>
      </c>
      <c r="K5083" s="10">
        <f t="shared" si="79"/>
        <v>109106</v>
      </c>
    </row>
    <row r="5084" spans="1:11">
      <c r="A5084">
        <v>407920</v>
      </c>
      <c r="B5084" s="10">
        <v>2016</v>
      </c>
      <c r="C5084" t="s">
        <v>1128</v>
      </c>
      <c r="D5084" t="s">
        <v>2472</v>
      </c>
      <c r="E5084" t="s">
        <v>2474</v>
      </c>
      <c r="F5084" t="s">
        <v>1959</v>
      </c>
      <c r="G5084" t="s">
        <v>1073</v>
      </c>
      <c r="H5084" s="10">
        <v>126090</v>
      </c>
      <c r="I5084">
        <f>IFERROR(VLOOKUP(Final!F5084,'LEAID Match'!$A$2:$B$374,2,FALSE),"")</f>
        <v>407920</v>
      </c>
      <c r="K5084" s="10">
        <f t="shared" si="79"/>
        <v>126090</v>
      </c>
    </row>
    <row r="5085" spans="1:11">
      <c r="A5085">
        <v>407920</v>
      </c>
      <c r="B5085" s="10">
        <v>2017</v>
      </c>
      <c r="C5085" t="s">
        <v>1128</v>
      </c>
      <c r="D5085" t="s">
        <v>2472</v>
      </c>
      <c r="E5085" t="s">
        <v>2474</v>
      </c>
      <c r="F5085" t="s">
        <v>1959</v>
      </c>
      <c r="G5085" t="s">
        <v>1959</v>
      </c>
      <c r="H5085" s="10">
        <v>126849</v>
      </c>
      <c r="I5085">
        <f>IFERROR(VLOOKUP(Final!F5085,'LEAID Match'!$A$2:$B$374,2,FALSE),"")</f>
        <v>407920</v>
      </c>
      <c r="K5085" s="10">
        <f t="shared" si="79"/>
        <v>126849</v>
      </c>
    </row>
    <row r="5086" spans="1:11">
      <c r="A5086">
        <v>407920</v>
      </c>
      <c r="B5086" s="10">
        <v>2018</v>
      </c>
      <c r="C5086" t="s">
        <v>1128</v>
      </c>
      <c r="D5086" t="s">
        <v>2472</v>
      </c>
      <c r="E5086" t="s">
        <v>2474</v>
      </c>
      <c r="F5086" t="s">
        <v>1959</v>
      </c>
      <c r="G5086" t="s">
        <v>2313</v>
      </c>
      <c r="H5086" s="10">
        <v>141972</v>
      </c>
      <c r="I5086">
        <f>IFERROR(VLOOKUP(Final!F5086,'LEAID Match'!$A$2:$B$374,2,FALSE),"")</f>
        <v>407920</v>
      </c>
      <c r="K5086" s="10">
        <f t="shared" si="79"/>
        <v>141972</v>
      </c>
    </row>
    <row r="5087" spans="1:11">
      <c r="A5087">
        <v>407920</v>
      </c>
      <c r="B5087" s="10">
        <v>2019</v>
      </c>
      <c r="C5087" t="s">
        <v>1128</v>
      </c>
      <c r="D5087" t="s">
        <v>2472</v>
      </c>
      <c r="E5087" t="s">
        <v>2474</v>
      </c>
      <c r="F5087" t="s">
        <v>1959</v>
      </c>
      <c r="G5087" t="s">
        <v>1959</v>
      </c>
      <c r="H5087" s="10">
        <v>122474</v>
      </c>
      <c r="I5087">
        <f>IFERROR(VLOOKUP(Final!F5087,'LEAID Match'!$A$2:$B$374,2,FALSE),"")</f>
        <v>407920</v>
      </c>
      <c r="K5087" s="10">
        <f t="shared" si="79"/>
        <v>122474</v>
      </c>
    </row>
    <row r="5088" spans="1:11">
      <c r="A5088">
        <v>407920</v>
      </c>
      <c r="B5088" s="10">
        <v>2020</v>
      </c>
      <c r="C5088" t="s">
        <v>1128</v>
      </c>
      <c r="D5088" t="s">
        <v>2472</v>
      </c>
      <c r="E5088" t="s">
        <v>2474</v>
      </c>
      <c r="F5088" t="s">
        <v>1959</v>
      </c>
      <c r="G5088" t="s">
        <v>1959</v>
      </c>
      <c r="H5088" s="10">
        <v>123481</v>
      </c>
      <c r="I5088">
        <f>IFERROR(VLOOKUP(Final!F5088,'LEAID Match'!$A$2:$B$374,2,FALSE),"")</f>
        <v>407920</v>
      </c>
      <c r="K5088" s="10">
        <f t="shared" si="79"/>
        <v>123481</v>
      </c>
    </row>
    <row r="5089" spans="1:11">
      <c r="A5089">
        <v>407920</v>
      </c>
      <c r="B5089" s="10">
        <v>2021</v>
      </c>
      <c r="C5089" t="s">
        <v>1128</v>
      </c>
      <c r="D5089" t="s">
        <v>2472</v>
      </c>
      <c r="E5089" t="s">
        <v>2474</v>
      </c>
      <c r="F5089" t="s">
        <v>1959</v>
      </c>
      <c r="G5089" t="s">
        <v>1959</v>
      </c>
      <c r="H5089" s="10">
        <v>133150</v>
      </c>
      <c r="I5089">
        <f>IFERROR(VLOOKUP(Final!F5089,'LEAID Match'!$A$2:$B$374,2,FALSE),"")</f>
        <v>407920</v>
      </c>
      <c r="K5089" s="10">
        <f t="shared" si="79"/>
        <v>133150</v>
      </c>
    </row>
    <row r="5090" spans="1:11">
      <c r="A5090">
        <v>407920</v>
      </c>
      <c r="B5090" s="10">
        <v>2022</v>
      </c>
      <c r="C5090" t="s">
        <v>1128</v>
      </c>
      <c r="D5090" t="s">
        <v>2472</v>
      </c>
      <c r="E5090" t="s">
        <v>2474</v>
      </c>
      <c r="F5090" t="s">
        <v>1959</v>
      </c>
      <c r="G5090" t="s">
        <v>1959</v>
      </c>
      <c r="H5090" s="10">
        <v>138785</v>
      </c>
      <c r="I5090">
        <f>IFERROR(VLOOKUP(Final!F5090,'LEAID Match'!$A$2:$B$374,2,FALSE),"")</f>
        <v>407920</v>
      </c>
      <c r="K5090" s="10">
        <f t="shared" si="79"/>
        <v>138785</v>
      </c>
    </row>
    <row r="5091" spans="1:11">
      <c r="A5091">
        <v>407920</v>
      </c>
      <c r="B5091" s="10">
        <v>2023</v>
      </c>
      <c r="C5091" t="s">
        <v>1128</v>
      </c>
      <c r="D5091" t="s">
        <v>2472</v>
      </c>
      <c r="E5091" t="s">
        <v>2474</v>
      </c>
      <c r="F5091" t="s">
        <v>1959</v>
      </c>
      <c r="G5091" t="s">
        <v>1959</v>
      </c>
      <c r="H5091" s="10">
        <v>151982</v>
      </c>
      <c r="I5091">
        <f>IFERROR(VLOOKUP(Final!F5091,'LEAID Match'!$A$2:$B$374,2,FALSE),"")</f>
        <v>407920</v>
      </c>
      <c r="K5091" s="10">
        <f t="shared" si="79"/>
        <v>151982</v>
      </c>
    </row>
    <row r="5092" spans="1:11">
      <c r="A5092">
        <v>400429</v>
      </c>
      <c r="B5092" s="10">
        <v>2015</v>
      </c>
      <c r="C5092" t="s">
        <v>488</v>
      </c>
      <c r="D5092" t="s">
        <v>2472</v>
      </c>
      <c r="E5092" t="s">
        <v>2474</v>
      </c>
      <c r="F5092" t="s">
        <v>1680</v>
      </c>
      <c r="G5092" t="s">
        <v>433</v>
      </c>
      <c r="H5092" s="10">
        <v>118554</v>
      </c>
      <c r="I5092">
        <f>IFERROR(VLOOKUP(Final!F5092,'LEAID Match'!$A$2:$B$374,2,FALSE),"")</f>
        <v>407500</v>
      </c>
      <c r="K5092" s="10">
        <f t="shared" si="79"/>
        <v>118554</v>
      </c>
    </row>
    <row r="5093" spans="1:11">
      <c r="A5093">
        <v>400429</v>
      </c>
      <c r="B5093" s="10">
        <v>2016</v>
      </c>
      <c r="C5093" t="s">
        <v>488</v>
      </c>
      <c r="D5093" t="s">
        <v>2472</v>
      </c>
      <c r="E5093" t="s">
        <v>2474</v>
      </c>
      <c r="F5093" t="s">
        <v>1680</v>
      </c>
      <c r="G5093" t="s">
        <v>433</v>
      </c>
      <c r="H5093" s="10">
        <v>122294</v>
      </c>
      <c r="I5093">
        <f>IFERROR(VLOOKUP(Final!F5093,'LEAID Match'!$A$2:$B$374,2,FALSE),"")</f>
        <v>407500</v>
      </c>
      <c r="K5093" s="10">
        <f t="shared" si="79"/>
        <v>122294</v>
      </c>
    </row>
    <row r="5094" spans="1:11">
      <c r="A5094">
        <v>400429</v>
      </c>
      <c r="B5094" s="10">
        <v>2017</v>
      </c>
      <c r="C5094" t="s">
        <v>488</v>
      </c>
      <c r="D5094" t="s">
        <v>2472</v>
      </c>
      <c r="E5094" t="s">
        <v>2474</v>
      </c>
      <c r="F5094" t="s">
        <v>1680</v>
      </c>
      <c r="G5094" t="s">
        <v>1680</v>
      </c>
      <c r="H5094" s="10">
        <v>133177</v>
      </c>
      <c r="I5094">
        <f>IFERROR(VLOOKUP(Final!F5094,'LEAID Match'!$A$2:$B$374,2,FALSE),"")</f>
        <v>407500</v>
      </c>
      <c r="K5094" s="10">
        <f t="shared" si="79"/>
        <v>133177</v>
      </c>
    </row>
    <row r="5095" spans="1:11">
      <c r="A5095">
        <v>400429</v>
      </c>
      <c r="B5095" s="10">
        <v>2018</v>
      </c>
      <c r="C5095" t="s">
        <v>488</v>
      </c>
      <c r="D5095" t="s">
        <v>2472</v>
      </c>
      <c r="E5095" t="s">
        <v>2474</v>
      </c>
      <c r="F5095" t="s">
        <v>1680</v>
      </c>
      <c r="G5095" t="s">
        <v>2164</v>
      </c>
      <c r="H5095" s="10">
        <v>150721</v>
      </c>
      <c r="I5095">
        <f>IFERROR(VLOOKUP(Final!F5095,'LEAID Match'!$A$2:$B$374,2,FALSE),"")</f>
        <v>407500</v>
      </c>
      <c r="K5095" s="10">
        <f t="shared" si="79"/>
        <v>150721</v>
      </c>
    </row>
    <row r="5096" spans="1:11">
      <c r="A5096">
        <v>400429</v>
      </c>
      <c r="B5096" s="10">
        <v>2019</v>
      </c>
      <c r="C5096" t="s">
        <v>488</v>
      </c>
      <c r="D5096" t="s">
        <v>2472</v>
      </c>
      <c r="E5096" t="s">
        <v>2474</v>
      </c>
      <c r="F5096" t="s">
        <v>1680</v>
      </c>
      <c r="G5096" t="s">
        <v>1680</v>
      </c>
      <c r="H5096" s="10">
        <v>157409</v>
      </c>
      <c r="I5096">
        <f>IFERROR(VLOOKUP(Final!F5096,'LEAID Match'!$A$2:$B$374,2,FALSE),"")</f>
        <v>407500</v>
      </c>
      <c r="K5096" s="10">
        <f t="shared" si="79"/>
        <v>157409</v>
      </c>
    </row>
    <row r="5097" spans="1:11">
      <c r="A5097">
        <v>400429</v>
      </c>
      <c r="B5097" s="10">
        <v>2020</v>
      </c>
      <c r="C5097" t="s">
        <v>488</v>
      </c>
      <c r="D5097" t="s">
        <v>2472</v>
      </c>
      <c r="E5097" t="s">
        <v>2474</v>
      </c>
      <c r="F5097" t="s">
        <v>1680</v>
      </c>
      <c r="G5097" t="s">
        <v>1680</v>
      </c>
      <c r="H5097" s="10">
        <v>154646</v>
      </c>
      <c r="I5097">
        <f>IFERROR(VLOOKUP(Final!F5097,'LEAID Match'!$A$2:$B$374,2,FALSE),"")</f>
        <v>407500</v>
      </c>
      <c r="K5097" s="10">
        <f t="shared" si="79"/>
        <v>154646</v>
      </c>
    </row>
    <row r="5098" spans="1:11">
      <c r="A5098">
        <v>400429</v>
      </c>
      <c r="B5098" s="10">
        <v>2021</v>
      </c>
      <c r="C5098" t="s">
        <v>488</v>
      </c>
      <c r="D5098" t="s">
        <v>2472</v>
      </c>
      <c r="E5098" t="s">
        <v>2474</v>
      </c>
      <c r="F5098" t="s">
        <v>1680</v>
      </c>
      <c r="G5098" t="s">
        <v>1680</v>
      </c>
      <c r="H5098" s="10">
        <v>161523</v>
      </c>
      <c r="I5098">
        <f>IFERROR(VLOOKUP(Final!F5098,'LEAID Match'!$A$2:$B$374,2,FALSE),"")</f>
        <v>407500</v>
      </c>
      <c r="K5098" s="10">
        <f t="shared" si="79"/>
        <v>161523</v>
      </c>
    </row>
    <row r="5099" spans="1:11">
      <c r="A5099">
        <v>400429</v>
      </c>
      <c r="B5099" s="10">
        <v>2022</v>
      </c>
      <c r="C5099" t="s">
        <v>488</v>
      </c>
      <c r="D5099" t="s">
        <v>2472</v>
      </c>
      <c r="E5099" t="s">
        <v>2474</v>
      </c>
      <c r="F5099" t="s">
        <v>1680</v>
      </c>
      <c r="G5099" t="s">
        <v>1680</v>
      </c>
      <c r="H5099" s="10">
        <v>200190</v>
      </c>
      <c r="I5099">
        <f>IFERROR(VLOOKUP(Final!F5099,'LEAID Match'!$A$2:$B$374,2,FALSE),"")</f>
        <v>407500</v>
      </c>
      <c r="K5099" s="10">
        <f t="shared" si="79"/>
        <v>200190</v>
      </c>
    </row>
    <row r="5100" spans="1:11">
      <c r="A5100">
        <v>400429</v>
      </c>
      <c r="B5100" s="10">
        <v>2023</v>
      </c>
      <c r="C5100" t="s">
        <v>488</v>
      </c>
      <c r="D5100" t="s">
        <v>2472</v>
      </c>
      <c r="E5100" t="s">
        <v>2474</v>
      </c>
      <c r="F5100" t="s">
        <v>1680</v>
      </c>
      <c r="G5100" t="s">
        <v>1680</v>
      </c>
      <c r="H5100" s="10">
        <v>179530</v>
      </c>
      <c r="I5100">
        <f>IFERROR(VLOOKUP(Final!F5100,'LEAID Match'!$A$2:$B$374,2,FALSE),"")</f>
        <v>407500</v>
      </c>
      <c r="K5100" s="10">
        <f t="shared" si="79"/>
        <v>179530</v>
      </c>
    </row>
    <row r="5101" spans="1:11">
      <c r="A5101">
        <v>406030</v>
      </c>
      <c r="B5101" s="10">
        <v>2015</v>
      </c>
      <c r="C5101" t="s">
        <v>919</v>
      </c>
      <c r="D5101" t="s">
        <v>2472</v>
      </c>
      <c r="E5101" t="s">
        <v>2474</v>
      </c>
      <c r="F5101" t="s">
        <v>1862</v>
      </c>
      <c r="G5101" t="s">
        <v>864</v>
      </c>
      <c r="H5101" s="10">
        <v>116304</v>
      </c>
      <c r="I5101">
        <f>IFERROR(VLOOKUP(Final!F5101,'LEAID Match'!$A$2:$B$374,2,FALSE),"")</f>
        <v>406030</v>
      </c>
      <c r="K5101" s="10">
        <f t="shared" si="79"/>
        <v>116304</v>
      </c>
    </row>
    <row r="5102" spans="1:11">
      <c r="A5102">
        <v>406030</v>
      </c>
      <c r="B5102" s="10">
        <v>2016</v>
      </c>
      <c r="C5102" t="s">
        <v>919</v>
      </c>
      <c r="D5102" t="s">
        <v>2472</v>
      </c>
      <c r="E5102" t="s">
        <v>2474</v>
      </c>
      <c r="F5102" t="s">
        <v>1862</v>
      </c>
      <c r="G5102" t="s">
        <v>864</v>
      </c>
      <c r="H5102" s="10">
        <v>119487</v>
      </c>
      <c r="I5102">
        <f>IFERROR(VLOOKUP(Final!F5102,'LEAID Match'!$A$2:$B$374,2,FALSE),"")</f>
        <v>406030</v>
      </c>
      <c r="K5102" s="10">
        <f t="shared" si="79"/>
        <v>119487</v>
      </c>
    </row>
    <row r="5103" spans="1:11">
      <c r="A5103">
        <v>406030</v>
      </c>
      <c r="B5103" s="10">
        <v>2017</v>
      </c>
      <c r="C5103" t="s">
        <v>919</v>
      </c>
      <c r="D5103" t="s">
        <v>2472</v>
      </c>
      <c r="E5103" t="s">
        <v>2474</v>
      </c>
      <c r="F5103" t="s">
        <v>1862</v>
      </c>
      <c r="G5103" t="s">
        <v>1862</v>
      </c>
      <c r="H5103" s="10">
        <v>102452</v>
      </c>
      <c r="I5103">
        <f>IFERROR(VLOOKUP(Final!F5103,'LEAID Match'!$A$2:$B$374,2,FALSE),"")</f>
        <v>406030</v>
      </c>
      <c r="K5103" s="10">
        <f t="shared" si="79"/>
        <v>102452</v>
      </c>
    </row>
    <row r="5104" spans="1:11">
      <c r="A5104">
        <v>406030</v>
      </c>
      <c r="B5104" s="10">
        <v>2018</v>
      </c>
      <c r="C5104" t="s">
        <v>919</v>
      </c>
      <c r="D5104" t="s">
        <v>2472</v>
      </c>
      <c r="E5104" t="s">
        <v>2474</v>
      </c>
      <c r="F5104" t="s">
        <v>1862</v>
      </c>
      <c r="G5104" t="s">
        <v>2270</v>
      </c>
      <c r="H5104" s="10">
        <v>107833</v>
      </c>
      <c r="I5104">
        <f>IFERROR(VLOOKUP(Final!F5104,'LEAID Match'!$A$2:$B$374,2,FALSE),"")</f>
        <v>406030</v>
      </c>
      <c r="K5104" s="10">
        <f t="shared" si="79"/>
        <v>107833</v>
      </c>
    </row>
    <row r="5105" spans="1:11">
      <c r="A5105">
        <v>406030</v>
      </c>
      <c r="B5105" s="10">
        <v>2019</v>
      </c>
      <c r="C5105" t="s">
        <v>919</v>
      </c>
      <c r="D5105" t="s">
        <v>2472</v>
      </c>
      <c r="E5105" t="s">
        <v>2474</v>
      </c>
      <c r="F5105" t="s">
        <v>1862</v>
      </c>
      <c r="G5105" t="s">
        <v>1862</v>
      </c>
      <c r="H5105" s="10">
        <v>110048</v>
      </c>
      <c r="I5105">
        <f>IFERROR(VLOOKUP(Final!F5105,'LEAID Match'!$A$2:$B$374,2,FALSE),"")</f>
        <v>406030</v>
      </c>
      <c r="K5105" s="10">
        <f t="shared" si="79"/>
        <v>110048</v>
      </c>
    </row>
    <row r="5106" spans="1:11">
      <c r="A5106">
        <v>406030</v>
      </c>
      <c r="B5106" s="10">
        <v>2020</v>
      </c>
      <c r="C5106" t="s">
        <v>919</v>
      </c>
      <c r="D5106" t="s">
        <v>2472</v>
      </c>
      <c r="E5106" t="s">
        <v>2474</v>
      </c>
      <c r="F5106" t="s">
        <v>1862</v>
      </c>
      <c r="G5106" t="s">
        <v>1862</v>
      </c>
      <c r="H5106" s="10">
        <v>108212</v>
      </c>
      <c r="I5106">
        <f>IFERROR(VLOOKUP(Final!F5106,'LEAID Match'!$A$2:$B$374,2,FALSE),"")</f>
        <v>406030</v>
      </c>
      <c r="K5106" s="10">
        <f t="shared" si="79"/>
        <v>108212</v>
      </c>
    </row>
    <row r="5107" spans="1:11">
      <c r="A5107">
        <v>406030</v>
      </c>
      <c r="B5107" s="10">
        <v>2021</v>
      </c>
      <c r="C5107" t="s">
        <v>919</v>
      </c>
      <c r="D5107" t="s">
        <v>2472</v>
      </c>
      <c r="E5107" t="s">
        <v>2474</v>
      </c>
      <c r="F5107" t="s">
        <v>1862</v>
      </c>
      <c r="G5107" t="s">
        <v>1862</v>
      </c>
      <c r="H5107" s="10">
        <v>140162</v>
      </c>
      <c r="I5107">
        <f>IFERROR(VLOOKUP(Final!F5107,'LEAID Match'!$A$2:$B$374,2,FALSE),"")</f>
        <v>406030</v>
      </c>
      <c r="K5107" s="10">
        <f t="shared" si="79"/>
        <v>140162</v>
      </c>
    </row>
    <row r="5108" spans="1:11">
      <c r="A5108">
        <v>406030</v>
      </c>
      <c r="B5108" s="10">
        <v>2022</v>
      </c>
      <c r="C5108" t="s">
        <v>919</v>
      </c>
      <c r="D5108" t="s">
        <v>2472</v>
      </c>
      <c r="E5108" t="s">
        <v>2474</v>
      </c>
      <c r="F5108" t="s">
        <v>1862</v>
      </c>
      <c r="G5108" t="s">
        <v>1862</v>
      </c>
      <c r="H5108" s="10">
        <v>158973</v>
      </c>
      <c r="I5108">
        <f>IFERROR(VLOOKUP(Final!F5108,'LEAID Match'!$A$2:$B$374,2,FALSE),"")</f>
        <v>406030</v>
      </c>
      <c r="K5108" s="10">
        <f t="shared" si="79"/>
        <v>158973</v>
      </c>
    </row>
    <row r="5109" spans="1:11">
      <c r="A5109">
        <v>406030</v>
      </c>
      <c r="B5109" s="10">
        <v>2023</v>
      </c>
      <c r="C5109" t="s">
        <v>919</v>
      </c>
      <c r="D5109" t="s">
        <v>2472</v>
      </c>
      <c r="E5109" t="s">
        <v>2474</v>
      </c>
      <c r="F5109" t="s">
        <v>1862</v>
      </c>
      <c r="G5109" t="s">
        <v>1862</v>
      </c>
      <c r="H5109" s="10">
        <v>163586</v>
      </c>
      <c r="I5109">
        <f>IFERROR(VLOOKUP(Final!F5109,'LEAID Match'!$A$2:$B$374,2,FALSE),"")</f>
        <v>406030</v>
      </c>
      <c r="K5109" s="10">
        <f t="shared" si="79"/>
        <v>163586</v>
      </c>
    </row>
    <row r="5110" spans="1:11">
      <c r="A5110">
        <v>406730</v>
      </c>
      <c r="B5110" s="10">
        <v>2015</v>
      </c>
      <c r="C5110" t="s">
        <v>1020</v>
      </c>
      <c r="D5110" t="s">
        <v>2472</v>
      </c>
      <c r="E5110" t="s">
        <v>2474</v>
      </c>
      <c r="F5110" t="s">
        <v>1900</v>
      </c>
      <c r="G5110" t="s">
        <v>965</v>
      </c>
      <c r="H5110" s="10">
        <v>1929485</v>
      </c>
      <c r="I5110">
        <f>IFERROR(VLOOKUP(Final!F5110,'LEAID Match'!$A$2:$B$374,2,FALSE),"")</f>
        <v>406730</v>
      </c>
      <c r="K5110" s="10">
        <f t="shared" si="79"/>
        <v>1929485</v>
      </c>
    </row>
    <row r="5111" spans="1:11">
      <c r="A5111">
        <v>406730</v>
      </c>
      <c r="B5111" s="10">
        <v>2016</v>
      </c>
      <c r="C5111" t="s">
        <v>1020</v>
      </c>
      <c r="D5111" t="s">
        <v>2472</v>
      </c>
      <c r="E5111" t="s">
        <v>2474</v>
      </c>
      <c r="F5111" t="s">
        <v>1900</v>
      </c>
      <c r="G5111" t="s">
        <v>965</v>
      </c>
      <c r="H5111" s="10">
        <v>1772390</v>
      </c>
      <c r="I5111">
        <f>IFERROR(VLOOKUP(Final!F5111,'LEAID Match'!$A$2:$B$374,2,FALSE),"")</f>
        <v>406730</v>
      </c>
      <c r="K5111" s="10">
        <f t="shared" si="79"/>
        <v>1772390</v>
      </c>
    </row>
    <row r="5112" spans="1:11">
      <c r="A5112">
        <v>406730</v>
      </c>
      <c r="B5112" s="10">
        <v>2017</v>
      </c>
      <c r="C5112" t="s">
        <v>1020</v>
      </c>
      <c r="D5112" t="s">
        <v>2472</v>
      </c>
      <c r="E5112" t="s">
        <v>2474</v>
      </c>
      <c r="F5112" t="s">
        <v>1900</v>
      </c>
      <c r="G5112" t="s">
        <v>1900</v>
      </c>
      <c r="H5112" s="10">
        <v>1709248</v>
      </c>
      <c r="I5112">
        <f>IFERROR(VLOOKUP(Final!F5112,'LEAID Match'!$A$2:$B$374,2,FALSE),"")</f>
        <v>406730</v>
      </c>
      <c r="K5112" s="10">
        <f t="shared" si="79"/>
        <v>1709248</v>
      </c>
    </row>
    <row r="5113" spans="1:11">
      <c r="A5113">
        <v>406730</v>
      </c>
      <c r="B5113" s="10">
        <v>2018</v>
      </c>
      <c r="C5113" t="s">
        <v>1020</v>
      </c>
      <c r="D5113" t="s">
        <v>2472</v>
      </c>
      <c r="E5113" t="s">
        <v>2474</v>
      </c>
      <c r="F5113" t="s">
        <v>1900</v>
      </c>
      <c r="G5113" t="s">
        <v>1900</v>
      </c>
      <c r="H5113" s="10">
        <v>1723131</v>
      </c>
      <c r="I5113">
        <f>IFERROR(VLOOKUP(Final!F5113,'LEAID Match'!$A$2:$B$374,2,FALSE),"")</f>
        <v>406730</v>
      </c>
      <c r="K5113" s="10">
        <f t="shared" si="79"/>
        <v>1723131</v>
      </c>
    </row>
    <row r="5114" spans="1:11">
      <c r="A5114">
        <v>406730</v>
      </c>
      <c r="B5114" s="10">
        <v>2019</v>
      </c>
      <c r="C5114" t="s">
        <v>1020</v>
      </c>
      <c r="D5114" t="s">
        <v>2472</v>
      </c>
      <c r="E5114" t="s">
        <v>2474</v>
      </c>
      <c r="F5114" t="s">
        <v>1900</v>
      </c>
      <c r="G5114" t="s">
        <v>1900</v>
      </c>
      <c r="H5114" s="10">
        <v>1943869</v>
      </c>
      <c r="I5114">
        <f>IFERROR(VLOOKUP(Final!F5114,'LEAID Match'!$A$2:$B$374,2,FALSE),"")</f>
        <v>406730</v>
      </c>
      <c r="K5114" s="10">
        <f t="shared" si="79"/>
        <v>1943869</v>
      </c>
    </row>
    <row r="5115" spans="1:11">
      <c r="A5115">
        <v>406730</v>
      </c>
      <c r="B5115" s="10">
        <v>2020</v>
      </c>
      <c r="C5115" t="s">
        <v>1020</v>
      </c>
      <c r="D5115" t="s">
        <v>2472</v>
      </c>
      <c r="E5115" t="s">
        <v>2474</v>
      </c>
      <c r="F5115" t="s">
        <v>1900</v>
      </c>
      <c r="G5115" t="s">
        <v>1900</v>
      </c>
      <c r="H5115" s="10">
        <v>2014328</v>
      </c>
      <c r="I5115">
        <f>IFERROR(VLOOKUP(Final!F5115,'LEAID Match'!$A$2:$B$374,2,FALSE),"")</f>
        <v>406730</v>
      </c>
      <c r="K5115" s="10">
        <f t="shared" si="79"/>
        <v>2014328</v>
      </c>
    </row>
    <row r="5116" spans="1:11">
      <c r="A5116">
        <v>406730</v>
      </c>
      <c r="B5116" s="10">
        <v>2021</v>
      </c>
      <c r="C5116" t="s">
        <v>1020</v>
      </c>
      <c r="D5116" t="s">
        <v>2472</v>
      </c>
      <c r="E5116" t="s">
        <v>2474</v>
      </c>
      <c r="F5116" t="s">
        <v>1900</v>
      </c>
      <c r="G5116" t="s">
        <v>1900</v>
      </c>
      <c r="H5116" s="10">
        <v>2222063</v>
      </c>
      <c r="I5116">
        <f>IFERROR(VLOOKUP(Final!F5116,'LEAID Match'!$A$2:$B$374,2,FALSE),"")</f>
        <v>406730</v>
      </c>
      <c r="K5116" s="10">
        <f t="shared" si="79"/>
        <v>2222063</v>
      </c>
    </row>
    <row r="5117" spans="1:11">
      <c r="A5117">
        <v>406730</v>
      </c>
      <c r="B5117" s="10">
        <v>2022</v>
      </c>
      <c r="C5117" t="s">
        <v>1020</v>
      </c>
      <c r="D5117" t="s">
        <v>2472</v>
      </c>
      <c r="E5117" t="s">
        <v>2474</v>
      </c>
      <c r="F5117" t="s">
        <v>1900</v>
      </c>
      <c r="G5117" t="s">
        <v>1900</v>
      </c>
      <c r="H5117" s="10">
        <v>2496368</v>
      </c>
      <c r="I5117">
        <f>IFERROR(VLOOKUP(Final!F5117,'LEAID Match'!$A$2:$B$374,2,FALSE),"")</f>
        <v>406730</v>
      </c>
      <c r="K5117" s="10">
        <f t="shared" si="79"/>
        <v>2496368</v>
      </c>
    </row>
    <row r="5118" spans="1:11">
      <c r="A5118">
        <v>406730</v>
      </c>
      <c r="B5118" s="10">
        <v>2023</v>
      </c>
      <c r="C5118" t="s">
        <v>1020</v>
      </c>
      <c r="D5118" t="s">
        <v>2472</v>
      </c>
      <c r="E5118" t="s">
        <v>2474</v>
      </c>
      <c r="F5118" t="s">
        <v>1900</v>
      </c>
      <c r="G5118" t="s">
        <v>1900</v>
      </c>
      <c r="H5118" s="10">
        <v>2620612</v>
      </c>
      <c r="I5118">
        <f>IFERROR(VLOOKUP(Final!F5118,'LEAID Match'!$A$2:$B$374,2,FALSE),"")</f>
        <v>406730</v>
      </c>
      <c r="K5118" s="10">
        <f t="shared" si="79"/>
        <v>2620612</v>
      </c>
    </row>
    <row r="5119" spans="1:11">
      <c r="A5119">
        <v>409360</v>
      </c>
      <c r="B5119" s="10">
        <v>2015</v>
      </c>
      <c r="C5119" t="s">
        <v>1338</v>
      </c>
      <c r="D5119" t="s">
        <v>2472</v>
      </c>
      <c r="E5119" t="s">
        <v>2474</v>
      </c>
      <c r="F5119" t="s">
        <v>2023</v>
      </c>
      <c r="G5119" t="s">
        <v>1290</v>
      </c>
      <c r="H5119" s="10">
        <v>3602</v>
      </c>
      <c r="I5119">
        <f>IFERROR(VLOOKUP(Final!F5119,'LEAID Match'!$A$2:$B$374,2,FALSE),"")</f>
        <v>409360</v>
      </c>
      <c r="K5119" s="10">
        <f t="shared" si="79"/>
        <v>3602</v>
      </c>
    </row>
    <row r="5120" spans="1:11">
      <c r="A5120">
        <v>409360</v>
      </c>
      <c r="B5120" s="10">
        <v>2016</v>
      </c>
      <c r="C5120" t="s">
        <v>1338</v>
      </c>
      <c r="D5120" t="s">
        <v>2472</v>
      </c>
      <c r="E5120" t="s">
        <v>2474</v>
      </c>
      <c r="F5120" t="s">
        <v>2023</v>
      </c>
      <c r="G5120" t="s">
        <v>1290</v>
      </c>
      <c r="H5120" s="10">
        <v>2373</v>
      </c>
      <c r="I5120">
        <f>IFERROR(VLOOKUP(Final!F5120,'LEAID Match'!$A$2:$B$374,2,FALSE),"")</f>
        <v>409360</v>
      </c>
      <c r="K5120" s="10">
        <f t="shared" si="79"/>
        <v>2373</v>
      </c>
    </row>
    <row r="5121" spans="1:11">
      <c r="A5121">
        <v>409360</v>
      </c>
      <c r="B5121" s="10">
        <v>2017</v>
      </c>
      <c r="C5121" t="s">
        <v>1338</v>
      </c>
      <c r="D5121" t="s">
        <v>2472</v>
      </c>
      <c r="E5121" t="s">
        <v>2474</v>
      </c>
      <c r="F5121" t="s">
        <v>2023</v>
      </c>
      <c r="G5121" t="s">
        <v>2023</v>
      </c>
      <c r="H5121" s="10">
        <v>2394</v>
      </c>
      <c r="I5121">
        <f>IFERROR(VLOOKUP(Final!F5121,'LEAID Match'!$A$2:$B$374,2,FALSE),"")</f>
        <v>409360</v>
      </c>
      <c r="K5121" s="10">
        <f t="shared" si="79"/>
        <v>2394</v>
      </c>
    </row>
    <row r="5122" spans="1:11">
      <c r="A5122">
        <v>409360</v>
      </c>
      <c r="B5122" s="10">
        <v>2018</v>
      </c>
      <c r="C5122" t="s">
        <v>1338</v>
      </c>
      <c r="D5122" t="s">
        <v>2472</v>
      </c>
      <c r="E5122" t="s">
        <v>2474</v>
      </c>
      <c r="F5122" t="s">
        <v>2023</v>
      </c>
      <c r="G5122" t="s">
        <v>2341</v>
      </c>
      <c r="H5122" s="10">
        <v>2346</v>
      </c>
      <c r="I5122">
        <f>IFERROR(VLOOKUP(Final!F5122,'LEAID Match'!$A$2:$B$374,2,FALSE),"")</f>
        <v>409360</v>
      </c>
      <c r="K5122" s="10">
        <f t="shared" si="79"/>
        <v>2346</v>
      </c>
    </row>
    <row r="5123" spans="1:11">
      <c r="A5123">
        <v>409360</v>
      </c>
      <c r="B5123" s="10">
        <v>2019</v>
      </c>
      <c r="C5123" t="s">
        <v>1338</v>
      </c>
      <c r="D5123" t="s">
        <v>2472</v>
      </c>
      <c r="E5123" t="s">
        <v>2474</v>
      </c>
      <c r="F5123" t="s">
        <v>2023</v>
      </c>
      <c r="G5123" t="s">
        <v>2023</v>
      </c>
      <c r="H5123" s="10">
        <v>694</v>
      </c>
      <c r="I5123">
        <f>IFERROR(VLOOKUP(Final!F5123,'LEAID Match'!$A$2:$B$374,2,FALSE),"")</f>
        <v>409360</v>
      </c>
      <c r="K5123" s="10">
        <f t="shared" ref="K5123:K5186" si="80">SUM(H5123,J5123)</f>
        <v>694</v>
      </c>
    </row>
    <row r="5124" spans="1:11">
      <c r="A5124">
        <v>409360</v>
      </c>
      <c r="B5124" s="10">
        <v>2020</v>
      </c>
      <c r="C5124" t="s">
        <v>1338</v>
      </c>
      <c r="D5124" t="s">
        <v>2472</v>
      </c>
      <c r="E5124" t="s">
        <v>2474</v>
      </c>
      <c r="F5124" t="s">
        <v>2023</v>
      </c>
      <c r="G5124" t="s">
        <v>2023</v>
      </c>
      <c r="H5124" s="10">
        <v>1724</v>
      </c>
      <c r="I5124">
        <f>IFERROR(VLOOKUP(Final!F5124,'LEAID Match'!$A$2:$B$374,2,FALSE),"")</f>
        <v>409360</v>
      </c>
      <c r="K5124" s="10">
        <f t="shared" si="80"/>
        <v>1724</v>
      </c>
    </row>
    <row r="5125" spans="1:11">
      <c r="A5125">
        <v>409360</v>
      </c>
      <c r="B5125" s="10">
        <v>2021</v>
      </c>
      <c r="C5125" t="s">
        <v>1338</v>
      </c>
      <c r="D5125" t="s">
        <v>2472</v>
      </c>
      <c r="E5125" t="s">
        <v>2474</v>
      </c>
      <c r="F5125" t="s">
        <v>2023</v>
      </c>
      <c r="G5125" t="s">
        <v>2023</v>
      </c>
      <c r="H5125" s="10">
        <v>2033</v>
      </c>
      <c r="I5125">
        <f>IFERROR(VLOOKUP(Final!F5125,'LEAID Match'!$A$2:$B$374,2,FALSE),"")</f>
        <v>409360</v>
      </c>
      <c r="K5125" s="10">
        <f t="shared" si="80"/>
        <v>2033</v>
      </c>
    </row>
    <row r="5126" spans="1:11">
      <c r="A5126">
        <v>409360</v>
      </c>
      <c r="B5126" s="10">
        <v>2022</v>
      </c>
      <c r="C5126" t="s">
        <v>1338</v>
      </c>
      <c r="D5126" t="s">
        <v>2472</v>
      </c>
      <c r="E5126" t="s">
        <v>2474</v>
      </c>
      <c r="F5126" t="s">
        <v>2023</v>
      </c>
      <c r="G5126" t="s">
        <v>2023</v>
      </c>
      <c r="H5126" s="10">
        <v>4133</v>
      </c>
      <c r="I5126">
        <f>IFERROR(VLOOKUP(Final!F5126,'LEAID Match'!$A$2:$B$374,2,FALSE),"")</f>
        <v>409360</v>
      </c>
      <c r="K5126" s="10">
        <f t="shared" si="80"/>
        <v>4133</v>
      </c>
    </row>
    <row r="5127" spans="1:11">
      <c r="A5127">
        <v>409360</v>
      </c>
      <c r="B5127" s="10">
        <v>2023</v>
      </c>
      <c r="C5127" t="s">
        <v>1338</v>
      </c>
      <c r="D5127" t="s">
        <v>2472</v>
      </c>
      <c r="E5127" t="s">
        <v>2474</v>
      </c>
      <c r="F5127" t="s">
        <v>2023</v>
      </c>
      <c r="G5127" t="s">
        <v>2023</v>
      </c>
      <c r="H5127" s="10">
        <v>4095</v>
      </c>
      <c r="I5127">
        <f>IFERROR(VLOOKUP(Final!F5127,'LEAID Match'!$A$2:$B$374,2,FALSE),"")</f>
        <v>409360</v>
      </c>
      <c r="K5127" s="10">
        <f t="shared" si="80"/>
        <v>4095</v>
      </c>
    </row>
    <row r="5128" spans="1:11">
      <c r="A5128">
        <v>400004</v>
      </c>
      <c r="B5128" s="10">
        <v>2015</v>
      </c>
      <c r="C5128" t="s">
        <v>468</v>
      </c>
      <c r="D5128" t="s">
        <v>2472</v>
      </c>
      <c r="E5128" t="s">
        <v>2474</v>
      </c>
      <c r="F5128" t="s">
        <v>1663</v>
      </c>
      <c r="G5128" t="s">
        <v>413</v>
      </c>
      <c r="H5128" s="10">
        <v>208329</v>
      </c>
      <c r="I5128">
        <f>IFERROR(VLOOKUP(Final!F5128,'LEAID Match'!$A$2:$B$374,2,FALSE),"")</f>
        <v>400004</v>
      </c>
      <c r="K5128" s="10">
        <f t="shared" si="80"/>
        <v>208329</v>
      </c>
    </row>
    <row r="5129" spans="1:11">
      <c r="A5129">
        <v>400004</v>
      </c>
      <c r="B5129" s="10">
        <v>2016</v>
      </c>
      <c r="C5129" t="s">
        <v>468</v>
      </c>
      <c r="D5129" t="s">
        <v>2472</v>
      </c>
      <c r="E5129" t="s">
        <v>2474</v>
      </c>
      <c r="F5129" t="s">
        <v>1663</v>
      </c>
      <c r="G5129" t="s">
        <v>413</v>
      </c>
      <c r="H5129" s="10">
        <v>221668</v>
      </c>
      <c r="I5129">
        <f>IFERROR(VLOOKUP(Final!F5129,'LEAID Match'!$A$2:$B$374,2,FALSE),"")</f>
        <v>400004</v>
      </c>
      <c r="K5129" s="10">
        <f t="shared" si="80"/>
        <v>221668</v>
      </c>
    </row>
    <row r="5130" spans="1:11">
      <c r="A5130">
        <v>400004</v>
      </c>
      <c r="B5130" s="10">
        <v>2017</v>
      </c>
      <c r="C5130" t="s">
        <v>468</v>
      </c>
      <c r="D5130" t="s">
        <v>2472</v>
      </c>
      <c r="E5130" t="s">
        <v>2474</v>
      </c>
      <c r="F5130" t="s">
        <v>1663</v>
      </c>
      <c r="G5130" t="s">
        <v>1663</v>
      </c>
      <c r="H5130" s="10">
        <v>218471</v>
      </c>
      <c r="I5130">
        <f>IFERROR(VLOOKUP(Final!F5130,'LEAID Match'!$A$2:$B$374,2,FALSE),"")</f>
        <v>400004</v>
      </c>
      <c r="K5130" s="10">
        <f t="shared" si="80"/>
        <v>218471</v>
      </c>
    </row>
    <row r="5131" spans="1:11">
      <c r="A5131">
        <v>400004</v>
      </c>
      <c r="B5131" s="10">
        <v>2018</v>
      </c>
      <c r="C5131" t="s">
        <v>468</v>
      </c>
      <c r="D5131" t="s">
        <v>2472</v>
      </c>
      <c r="E5131" t="s">
        <v>2474</v>
      </c>
      <c r="F5131" t="s">
        <v>1663</v>
      </c>
      <c r="G5131" t="s">
        <v>2154</v>
      </c>
      <c r="H5131" s="10">
        <v>225259</v>
      </c>
      <c r="I5131">
        <f>IFERROR(VLOOKUP(Final!F5131,'LEAID Match'!$A$2:$B$374,2,FALSE),"")</f>
        <v>400004</v>
      </c>
      <c r="K5131" s="10">
        <f t="shared" si="80"/>
        <v>225259</v>
      </c>
    </row>
    <row r="5132" spans="1:11">
      <c r="A5132">
        <v>400004</v>
      </c>
      <c r="B5132" s="10">
        <v>2019</v>
      </c>
      <c r="C5132" t="s">
        <v>468</v>
      </c>
      <c r="D5132" t="s">
        <v>2472</v>
      </c>
      <c r="E5132" t="s">
        <v>2474</v>
      </c>
      <c r="F5132" t="s">
        <v>1663</v>
      </c>
      <c r="G5132" t="s">
        <v>1663</v>
      </c>
      <c r="H5132" s="10">
        <v>250518</v>
      </c>
      <c r="I5132">
        <f>IFERROR(VLOOKUP(Final!F5132,'LEAID Match'!$A$2:$B$374,2,FALSE),"")</f>
        <v>400004</v>
      </c>
      <c r="K5132" s="10">
        <f t="shared" si="80"/>
        <v>250518</v>
      </c>
    </row>
    <row r="5133" spans="1:11">
      <c r="A5133">
        <v>400004</v>
      </c>
      <c r="B5133" s="10">
        <v>2020</v>
      </c>
      <c r="C5133" t="s">
        <v>468</v>
      </c>
      <c r="D5133" t="s">
        <v>2472</v>
      </c>
      <c r="E5133" t="s">
        <v>2474</v>
      </c>
      <c r="F5133" t="s">
        <v>1663</v>
      </c>
      <c r="G5133" t="s">
        <v>1663</v>
      </c>
      <c r="H5133" s="10">
        <v>266356</v>
      </c>
      <c r="I5133">
        <f>IFERROR(VLOOKUP(Final!F5133,'LEAID Match'!$A$2:$B$374,2,FALSE),"")</f>
        <v>400004</v>
      </c>
      <c r="K5133" s="10">
        <f t="shared" si="80"/>
        <v>266356</v>
      </c>
    </row>
    <row r="5134" spans="1:11">
      <c r="A5134">
        <v>400004</v>
      </c>
      <c r="B5134" s="10">
        <v>2021</v>
      </c>
      <c r="C5134" t="s">
        <v>468</v>
      </c>
      <c r="D5134" t="s">
        <v>2472</v>
      </c>
      <c r="E5134" t="s">
        <v>2474</v>
      </c>
      <c r="F5134" t="s">
        <v>1663</v>
      </c>
      <c r="G5134" t="s">
        <v>1663</v>
      </c>
      <c r="H5134" s="10">
        <v>274489</v>
      </c>
      <c r="I5134">
        <f>IFERROR(VLOOKUP(Final!F5134,'LEAID Match'!$A$2:$B$374,2,FALSE),"")</f>
        <v>400004</v>
      </c>
      <c r="K5134" s="10">
        <f t="shared" si="80"/>
        <v>274489</v>
      </c>
    </row>
    <row r="5135" spans="1:11">
      <c r="A5135">
        <v>400004</v>
      </c>
      <c r="B5135" s="10">
        <v>2022</v>
      </c>
      <c r="C5135" t="s">
        <v>468</v>
      </c>
      <c r="D5135" t="s">
        <v>2472</v>
      </c>
      <c r="E5135" t="s">
        <v>2474</v>
      </c>
      <c r="F5135" t="s">
        <v>1663</v>
      </c>
      <c r="G5135" t="s">
        <v>1663</v>
      </c>
      <c r="H5135" s="10">
        <v>294155</v>
      </c>
      <c r="I5135">
        <f>IFERROR(VLOOKUP(Final!F5135,'LEAID Match'!$A$2:$B$374,2,FALSE),"")</f>
        <v>400004</v>
      </c>
      <c r="K5135" s="10">
        <f t="shared" si="80"/>
        <v>294155</v>
      </c>
    </row>
    <row r="5136" spans="1:11">
      <c r="A5136">
        <v>400004</v>
      </c>
      <c r="B5136" s="10">
        <v>2023</v>
      </c>
      <c r="C5136" t="s">
        <v>468</v>
      </c>
      <c r="D5136" t="s">
        <v>2472</v>
      </c>
      <c r="E5136" t="s">
        <v>2474</v>
      </c>
      <c r="F5136" t="s">
        <v>1663</v>
      </c>
      <c r="G5136" t="s">
        <v>1663</v>
      </c>
      <c r="H5136" s="10">
        <v>321467</v>
      </c>
      <c r="I5136">
        <f>IFERROR(VLOOKUP(Final!F5136,'LEAID Match'!$A$2:$B$374,2,FALSE),"")</f>
        <v>400004</v>
      </c>
      <c r="K5136" s="10">
        <f t="shared" si="80"/>
        <v>321467</v>
      </c>
    </row>
    <row r="5137" spans="1:11">
      <c r="A5137">
        <v>402370</v>
      </c>
      <c r="B5137" s="10">
        <v>2015</v>
      </c>
      <c r="C5137" t="s">
        <v>486</v>
      </c>
      <c r="D5137" t="s">
        <v>2472</v>
      </c>
      <c r="E5137" t="s">
        <v>2474</v>
      </c>
      <c r="F5137" t="s">
        <v>1679</v>
      </c>
      <c r="G5137" t="s">
        <v>431</v>
      </c>
      <c r="H5137" s="10">
        <v>868655</v>
      </c>
      <c r="I5137">
        <f>IFERROR(VLOOKUP(Final!F5137,'LEAID Match'!$A$2:$B$374,2,FALSE),"")</f>
        <v>402370</v>
      </c>
      <c r="K5137" s="10">
        <f t="shared" si="80"/>
        <v>868655</v>
      </c>
    </row>
    <row r="5138" spans="1:11">
      <c r="A5138">
        <v>402370</v>
      </c>
      <c r="B5138" s="10">
        <v>2016</v>
      </c>
      <c r="C5138" t="s">
        <v>486</v>
      </c>
      <c r="D5138" t="s">
        <v>2472</v>
      </c>
      <c r="E5138" t="s">
        <v>2474</v>
      </c>
      <c r="F5138" t="s">
        <v>1679</v>
      </c>
      <c r="G5138" t="s">
        <v>431</v>
      </c>
      <c r="H5138" s="10">
        <v>880161</v>
      </c>
      <c r="I5138">
        <f>IFERROR(VLOOKUP(Final!F5138,'LEAID Match'!$A$2:$B$374,2,FALSE),"")</f>
        <v>402370</v>
      </c>
      <c r="K5138" s="10">
        <f t="shared" si="80"/>
        <v>880161</v>
      </c>
    </row>
    <row r="5139" spans="1:11">
      <c r="A5139">
        <v>402370</v>
      </c>
      <c r="B5139" s="10">
        <v>2017</v>
      </c>
      <c r="C5139" t="s">
        <v>486</v>
      </c>
      <c r="D5139" t="s">
        <v>2472</v>
      </c>
      <c r="E5139" t="s">
        <v>2474</v>
      </c>
      <c r="F5139" t="s">
        <v>1679</v>
      </c>
      <c r="G5139" t="s">
        <v>1679</v>
      </c>
      <c r="H5139" s="10">
        <v>897667</v>
      </c>
      <c r="I5139">
        <f>IFERROR(VLOOKUP(Final!F5139,'LEAID Match'!$A$2:$B$374,2,FALSE),"")</f>
        <v>402370</v>
      </c>
      <c r="K5139" s="10">
        <f t="shared" si="80"/>
        <v>897667</v>
      </c>
    </row>
    <row r="5140" spans="1:11">
      <c r="A5140">
        <v>402370</v>
      </c>
      <c r="B5140" s="10">
        <v>2018</v>
      </c>
      <c r="C5140" t="s">
        <v>486</v>
      </c>
      <c r="D5140" t="s">
        <v>2472</v>
      </c>
      <c r="E5140" t="s">
        <v>2474</v>
      </c>
      <c r="F5140" t="s">
        <v>1679</v>
      </c>
      <c r="G5140" t="s">
        <v>2163</v>
      </c>
      <c r="H5140" s="10">
        <v>919764</v>
      </c>
      <c r="I5140">
        <f>IFERROR(VLOOKUP(Final!F5140,'LEAID Match'!$A$2:$B$374,2,FALSE),"")</f>
        <v>402370</v>
      </c>
      <c r="K5140" s="10">
        <f t="shared" si="80"/>
        <v>919764</v>
      </c>
    </row>
    <row r="5141" spans="1:11">
      <c r="A5141">
        <v>402370</v>
      </c>
      <c r="B5141" s="10">
        <v>2019</v>
      </c>
      <c r="C5141" t="s">
        <v>486</v>
      </c>
      <c r="D5141" t="s">
        <v>2472</v>
      </c>
      <c r="E5141" t="s">
        <v>2474</v>
      </c>
      <c r="F5141" t="s">
        <v>1679</v>
      </c>
      <c r="G5141" t="s">
        <v>1679</v>
      </c>
      <c r="H5141" s="10">
        <v>1092071</v>
      </c>
      <c r="I5141">
        <f>IFERROR(VLOOKUP(Final!F5141,'LEAID Match'!$A$2:$B$374,2,FALSE),"")</f>
        <v>402370</v>
      </c>
      <c r="K5141" s="10">
        <f t="shared" si="80"/>
        <v>1092071</v>
      </c>
    </row>
    <row r="5142" spans="1:11">
      <c r="A5142">
        <v>402370</v>
      </c>
      <c r="B5142" s="10">
        <v>2020</v>
      </c>
      <c r="C5142" t="s">
        <v>486</v>
      </c>
      <c r="D5142" t="s">
        <v>2472</v>
      </c>
      <c r="E5142" t="s">
        <v>2474</v>
      </c>
      <c r="F5142" t="s">
        <v>1679</v>
      </c>
      <c r="G5142" t="s">
        <v>1679</v>
      </c>
      <c r="H5142" s="10">
        <v>1173173</v>
      </c>
      <c r="I5142">
        <f>IFERROR(VLOOKUP(Final!F5142,'LEAID Match'!$A$2:$B$374,2,FALSE),"")</f>
        <v>402370</v>
      </c>
      <c r="K5142" s="10">
        <f t="shared" si="80"/>
        <v>1173173</v>
      </c>
    </row>
    <row r="5143" spans="1:11">
      <c r="A5143">
        <v>402370</v>
      </c>
      <c r="B5143" s="10">
        <v>2021</v>
      </c>
      <c r="C5143" t="s">
        <v>486</v>
      </c>
      <c r="D5143" t="s">
        <v>2472</v>
      </c>
      <c r="E5143" t="s">
        <v>2474</v>
      </c>
      <c r="F5143" t="s">
        <v>1679</v>
      </c>
      <c r="G5143" t="s">
        <v>1679</v>
      </c>
      <c r="H5143" s="10">
        <v>1188389</v>
      </c>
      <c r="I5143">
        <f>IFERROR(VLOOKUP(Final!F5143,'LEAID Match'!$A$2:$B$374,2,FALSE),"")</f>
        <v>402370</v>
      </c>
      <c r="K5143" s="10">
        <f t="shared" si="80"/>
        <v>1188389</v>
      </c>
    </row>
    <row r="5144" spans="1:11">
      <c r="A5144">
        <v>402370</v>
      </c>
      <c r="B5144" s="10">
        <v>2022</v>
      </c>
      <c r="C5144" t="s">
        <v>486</v>
      </c>
      <c r="D5144" t="s">
        <v>2472</v>
      </c>
      <c r="E5144" t="s">
        <v>2474</v>
      </c>
      <c r="F5144" t="s">
        <v>1679</v>
      </c>
      <c r="G5144" t="s">
        <v>1679</v>
      </c>
      <c r="H5144" s="10">
        <v>1292483</v>
      </c>
      <c r="I5144">
        <f>IFERROR(VLOOKUP(Final!F5144,'LEAID Match'!$A$2:$B$374,2,FALSE),"")</f>
        <v>402370</v>
      </c>
      <c r="K5144" s="10">
        <f t="shared" si="80"/>
        <v>1292483</v>
      </c>
    </row>
    <row r="5145" spans="1:11">
      <c r="A5145">
        <v>402370</v>
      </c>
      <c r="B5145" s="10">
        <v>2023</v>
      </c>
      <c r="C5145" t="s">
        <v>486</v>
      </c>
      <c r="D5145" t="s">
        <v>2472</v>
      </c>
      <c r="E5145" t="s">
        <v>2474</v>
      </c>
      <c r="F5145" t="s">
        <v>1679</v>
      </c>
      <c r="G5145" t="s">
        <v>1679</v>
      </c>
      <c r="H5145" s="10">
        <v>1372023</v>
      </c>
      <c r="I5145">
        <f>IFERROR(VLOOKUP(Final!F5145,'LEAID Match'!$A$2:$B$374,2,FALSE),"")</f>
        <v>402370</v>
      </c>
      <c r="K5145" s="10">
        <f t="shared" si="80"/>
        <v>1372023</v>
      </c>
    </row>
    <row r="5146" spans="1:11">
      <c r="A5146">
        <v>409733</v>
      </c>
      <c r="B5146" s="10">
        <v>2015</v>
      </c>
      <c r="C5146" t="s">
        <v>1114</v>
      </c>
      <c r="D5146" t="s">
        <v>2472</v>
      </c>
      <c r="E5146" t="s">
        <v>2474</v>
      </c>
      <c r="F5146" t="s">
        <v>1942</v>
      </c>
      <c r="G5146" t="s">
        <v>1059</v>
      </c>
      <c r="H5146" s="10">
        <v>495584</v>
      </c>
      <c r="I5146">
        <f>IFERROR(VLOOKUP(Final!F5146,'LEAID Match'!$A$2:$B$374,2,FALSE),"")</f>
        <v>409733</v>
      </c>
      <c r="K5146" s="10">
        <f t="shared" si="80"/>
        <v>495584</v>
      </c>
    </row>
    <row r="5147" spans="1:11">
      <c r="A5147">
        <v>409733</v>
      </c>
      <c r="B5147" s="10">
        <v>2016</v>
      </c>
      <c r="C5147" t="s">
        <v>1114</v>
      </c>
      <c r="D5147" t="s">
        <v>2472</v>
      </c>
      <c r="E5147" t="s">
        <v>2474</v>
      </c>
      <c r="F5147" t="s">
        <v>1942</v>
      </c>
      <c r="G5147" t="s">
        <v>1059</v>
      </c>
      <c r="H5147" s="10">
        <v>474962</v>
      </c>
      <c r="I5147">
        <f>IFERROR(VLOOKUP(Final!F5147,'LEAID Match'!$A$2:$B$374,2,FALSE),"")</f>
        <v>409733</v>
      </c>
      <c r="K5147" s="10">
        <f t="shared" si="80"/>
        <v>474962</v>
      </c>
    </row>
    <row r="5148" spans="1:11">
      <c r="A5148">
        <v>409733</v>
      </c>
      <c r="B5148" s="10">
        <v>2017</v>
      </c>
      <c r="C5148" t="s">
        <v>1114</v>
      </c>
      <c r="D5148" t="s">
        <v>2472</v>
      </c>
      <c r="E5148" t="s">
        <v>2474</v>
      </c>
      <c r="F5148" t="s">
        <v>1942</v>
      </c>
      <c r="G5148" t="s">
        <v>1942</v>
      </c>
      <c r="H5148" s="10">
        <v>503059</v>
      </c>
      <c r="I5148">
        <f>IFERROR(VLOOKUP(Final!F5148,'LEAID Match'!$A$2:$B$374,2,FALSE),"")</f>
        <v>409733</v>
      </c>
      <c r="K5148" s="10">
        <f t="shared" si="80"/>
        <v>503059</v>
      </c>
    </row>
    <row r="5149" spans="1:11">
      <c r="A5149">
        <v>409733</v>
      </c>
      <c r="B5149" s="10">
        <v>2018</v>
      </c>
      <c r="C5149" t="s">
        <v>1114</v>
      </c>
      <c r="D5149" t="s">
        <v>2472</v>
      </c>
      <c r="E5149" t="s">
        <v>2474</v>
      </c>
      <c r="F5149" t="s">
        <v>1942</v>
      </c>
      <c r="G5149" t="s">
        <v>2308</v>
      </c>
      <c r="H5149" s="10">
        <v>545463</v>
      </c>
      <c r="I5149">
        <f>IFERROR(VLOOKUP(Final!F5149,'LEAID Match'!$A$2:$B$374,2,FALSE),"")</f>
        <v>409733</v>
      </c>
      <c r="K5149" s="10">
        <f t="shared" si="80"/>
        <v>545463</v>
      </c>
    </row>
    <row r="5150" spans="1:11">
      <c r="A5150">
        <v>409733</v>
      </c>
      <c r="B5150" s="10">
        <v>2019</v>
      </c>
      <c r="C5150" t="s">
        <v>1114</v>
      </c>
      <c r="D5150" t="s">
        <v>2472</v>
      </c>
      <c r="E5150" t="s">
        <v>2474</v>
      </c>
      <c r="F5150" t="s">
        <v>1942</v>
      </c>
      <c r="G5150" t="s">
        <v>1942</v>
      </c>
      <c r="H5150" s="10">
        <v>487200</v>
      </c>
      <c r="I5150">
        <f>IFERROR(VLOOKUP(Final!F5150,'LEAID Match'!$A$2:$B$374,2,FALSE),"")</f>
        <v>409733</v>
      </c>
      <c r="K5150" s="10">
        <f t="shared" si="80"/>
        <v>487200</v>
      </c>
    </row>
    <row r="5151" spans="1:11">
      <c r="A5151">
        <v>409733</v>
      </c>
      <c r="B5151" s="10">
        <v>2020</v>
      </c>
      <c r="C5151" t="s">
        <v>1114</v>
      </c>
      <c r="D5151" t="s">
        <v>2472</v>
      </c>
      <c r="E5151" t="s">
        <v>2474</v>
      </c>
      <c r="F5151" t="s">
        <v>1942</v>
      </c>
      <c r="G5151" t="s">
        <v>1942</v>
      </c>
      <c r="H5151" s="10">
        <v>503610</v>
      </c>
      <c r="I5151">
        <f>IFERROR(VLOOKUP(Final!F5151,'LEAID Match'!$A$2:$B$374,2,FALSE),"")</f>
        <v>409733</v>
      </c>
      <c r="K5151" s="10">
        <f t="shared" si="80"/>
        <v>503610</v>
      </c>
    </row>
    <row r="5152" spans="1:11">
      <c r="A5152">
        <v>409733</v>
      </c>
      <c r="B5152" s="10">
        <v>2021</v>
      </c>
      <c r="C5152" t="s">
        <v>1114</v>
      </c>
      <c r="D5152" t="s">
        <v>2472</v>
      </c>
      <c r="E5152" t="s">
        <v>2474</v>
      </c>
      <c r="F5152" t="s">
        <v>1942</v>
      </c>
      <c r="G5152" t="s">
        <v>1942</v>
      </c>
      <c r="H5152" s="10">
        <v>476931</v>
      </c>
      <c r="I5152">
        <f>IFERROR(VLOOKUP(Final!F5152,'LEAID Match'!$A$2:$B$374,2,FALSE),"")</f>
        <v>409733</v>
      </c>
      <c r="K5152" s="10">
        <f t="shared" si="80"/>
        <v>476931</v>
      </c>
    </row>
    <row r="5153" spans="1:11">
      <c r="A5153">
        <v>409733</v>
      </c>
      <c r="B5153" s="10">
        <v>2022</v>
      </c>
      <c r="C5153" t="s">
        <v>1114</v>
      </c>
      <c r="D5153" t="s">
        <v>2472</v>
      </c>
      <c r="E5153" t="s">
        <v>2474</v>
      </c>
      <c r="F5153" t="s">
        <v>1942</v>
      </c>
      <c r="G5153" t="s">
        <v>1942</v>
      </c>
      <c r="H5153" s="10">
        <v>560027</v>
      </c>
      <c r="I5153">
        <f>IFERROR(VLOOKUP(Final!F5153,'LEAID Match'!$A$2:$B$374,2,FALSE),"")</f>
        <v>409733</v>
      </c>
      <c r="K5153" s="10">
        <f t="shared" si="80"/>
        <v>560027</v>
      </c>
    </row>
    <row r="5154" spans="1:11">
      <c r="A5154">
        <v>409733</v>
      </c>
      <c r="B5154" s="10">
        <v>2023</v>
      </c>
      <c r="C5154" t="s">
        <v>1114</v>
      </c>
      <c r="D5154" t="s">
        <v>2472</v>
      </c>
      <c r="E5154" t="s">
        <v>2474</v>
      </c>
      <c r="F5154" t="s">
        <v>1942</v>
      </c>
      <c r="G5154" t="s">
        <v>1942</v>
      </c>
      <c r="H5154" s="10">
        <v>560602</v>
      </c>
      <c r="I5154">
        <f>IFERROR(VLOOKUP(Final!F5154,'LEAID Match'!$A$2:$B$374,2,FALSE),"")</f>
        <v>409733</v>
      </c>
      <c r="K5154" s="10">
        <f t="shared" si="80"/>
        <v>560602</v>
      </c>
    </row>
    <row r="5155" spans="1:11">
      <c r="A5155">
        <v>407770</v>
      </c>
      <c r="B5155" s="10">
        <v>2015</v>
      </c>
      <c r="C5155" t="s">
        <v>1122</v>
      </c>
      <c r="D5155" t="s">
        <v>2472</v>
      </c>
      <c r="E5155" t="s">
        <v>2474</v>
      </c>
      <c r="F5155" t="s">
        <v>1951</v>
      </c>
      <c r="G5155" t="s">
        <v>1067</v>
      </c>
      <c r="H5155" s="10">
        <v>20101</v>
      </c>
      <c r="I5155">
        <f>IFERROR(VLOOKUP(Final!F5155,'LEAID Match'!$A$2:$B$374,2,FALSE),"")</f>
        <v>407770</v>
      </c>
      <c r="K5155" s="10">
        <f t="shared" si="80"/>
        <v>20101</v>
      </c>
    </row>
    <row r="5156" spans="1:11">
      <c r="A5156">
        <v>407770</v>
      </c>
      <c r="B5156" s="10">
        <v>2016</v>
      </c>
      <c r="C5156" t="s">
        <v>1122</v>
      </c>
      <c r="D5156" t="s">
        <v>2472</v>
      </c>
      <c r="E5156" t="s">
        <v>2474</v>
      </c>
      <c r="F5156" t="s">
        <v>1951</v>
      </c>
      <c r="G5156" t="s">
        <v>1067</v>
      </c>
      <c r="H5156" s="10">
        <v>20479</v>
      </c>
      <c r="I5156">
        <f>IFERROR(VLOOKUP(Final!F5156,'LEAID Match'!$A$2:$B$374,2,FALSE),"")</f>
        <v>407770</v>
      </c>
      <c r="K5156" s="10">
        <f t="shared" si="80"/>
        <v>20479</v>
      </c>
    </row>
    <row r="5157" spans="1:11">
      <c r="A5157">
        <v>407770</v>
      </c>
      <c r="B5157" s="10">
        <v>2017</v>
      </c>
      <c r="C5157" t="s">
        <v>1122</v>
      </c>
      <c r="D5157" t="s">
        <v>2472</v>
      </c>
      <c r="E5157" t="s">
        <v>2474</v>
      </c>
      <c r="F5157" t="s">
        <v>1951</v>
      </c>
      <c r="G5157" t="s">
        <v>1951</v>
      </c>
      <c r="H5157" s="10">
        <v>20360</v>
      </c>
      <c r="I5157">
        <f>IFERROR(VLOOKUP(Final!F5157,'LEAID Match'!$A$2:$B$374,2,FALSE),"")</f>
        <v>407770</v>
      </c>
      <c r="K5157" s="10">
        <f t="shared" si="80"/>
        <v>20360</v>
      </c>
    </row>
    <row r="5158" spans="1:11">
      <c r="A5158">
        <v>407770</v>
      </c>
      <c r="B5158" s="10">
        <v>2018</v>
      </c>
      <c r="C5158" t="s">
        <v>1122</v>
      </c>
      <c r="D5158" t="s">
        <v>2472</v>
      </c>
      <c r="E5158" t="s">
        <v>2474</v>
      </c>
      <c r="F5158" t="s">
        <v>1951</v>
      </c>
      <c r="G5158" t="s">
        <v>1951</v>
      </c>
      <c r="H5158" s="10">
        <v>18610</v>
      </c>
      <c r="I5158">
        <f>IFERROR(VLOOKUP(Final!F5158,'LEAID Match'!$A$2:$B$374,2,FALSE),"")</f>
        <v>407770</v>
      </c>
      <c r="K5158" s="10">
        <f t="shared" si="80"/>
        <v>18610</v>
      </c>
    </row>
    <row r="5159" spans="1:11">
      <c r="A5159">
        <v>407770</v>
      </c>
      <c r="B5159" s="10">
        <v>2019</v>
      </c>
      <c r="C5159" t="s">
        <v>1122</v>
      </c>
      <c r="D5159" t="s">
        <v>2472</v>
      </c>
      <c r="E5159" t="s">
        <v>2474</v>
      </c>
      <c r="F5159" t="s">
        <v>1951</v>
      </c>
      <c r="G5159" t="s">
        <v>1951</v>
      </c>
      <c r="H5159" s="10">
        <v>23095</v>
      </c>
      <c r="I5159">
        <f>IFERROR(VLOOKUP(Final!F5159,'LEAID Match'!$A$2:$B$374,2,FALSE),"")</f>
        <v>407770</v>
      </c>
      <c r="K5159" s="10">
        <f t="shared" si="80"/>
        <v>23095</v>
      </c>
    </row>
    <row r="5160" spans="1:11">
      <c r="A5160">
        <v>407770</v>
      </c>
      <c r="B5160" s="10">
        <v>2020</v>
      </c>
      <c r="C5160" t="s">
        <v>1122</v>
      </c>
      <c r="D5160" t="s">
        <v>2472</v>
      </c>
      <c r="E5160" t="s">
        <v>2474</v>
      </c>
      <c r="F5160" t="s">
        <v>1951</v>
      </c>
      <c r="G5160" t="s">
        <v>1951</v>
      </c>
      <c r="H5160" s="10">
        <v>29647</v>
      </c>
      <c r="I5160">
        <f>IFERROR(VLOOKUP(Final!F5160,'LEAID Match'!$A$2:$B$374,2,FALSE),"")</f>
        <v>407770</v>
      </c>
      <c r="K5160" s="10">
        <f t="shared" si="80"/>
        <v>29647</v>
      </c>
    </row>
    <row r="5161" spans="1:11">
      <c r="A5161">
        <v>407770</v>
      </c>
      <c r="B5161" s="10">
        <v>2021</v>
      </c>
      <c r="C5161" t="s">
        <v>1122</v>
      </c>
      <c r="D5161" t="s">
        <v>2472</v>
      </c>
      <c r="E5161" t="s">
        <v>2474</v>
      </c>
      <c r="F5161" t="s">
        <v>1951</v>
      </c>
      <c r="G5161" t="s">
        <v>1951</v>
      </c>
      <c r="H5161" s="10">
        <v>36199</v>
      </c>
      <c r="I5161">
        <f>IFERROR(VLOOKUP(Final!F5161,'LEAID Match'!$A$2:$B$374,2,FALSE),"")</f>
        <v>407770</v>
      </c>
      <c r="K5161" s="10">
        <f t="shared" si="80"/>
        <v>36199</v>
      </c>
    </row>
    <row r="5162" spans="1:11">
      <c r="A5162">
        <v>407770</v>
      </c>
      <c r="B5162" s="10">
        <v>2022</v>
      </c>
      <c r="C5162" t="s">
        <v>1122</v>
      </c>
      <c r="D5162" t="s">
        <v>2472</v>
      </c>
      <c r="E5162" t="s">
        <v>2474</v>
      </c>
      <c r="F5162" t="s">
        <v>1951</v>
      </c>
      <c r="G5162" t="s">
        <v>1951</v>
      </c>
      <c r="H5162" s="10">
        <v>50587</v>
      </c>
      <c r="I5162">
        <f>IFERROR(VLOOKUP(Final!F5162,'LEAID Match'!$A$2:$B$374,2,FALSE),"")</f>
        <v>407770</v>
      </c>
      <c r="K5162" s="10">
        <f t="shared" si="80"/>
        <v>50587</v>
      </c>
    </row>
    <row r="5163" spans="1:11">
      <c r="A5163">
        <v>407770</v>
      </c>
      <c r="B5163" s="10">
        <v>2023</v>
      </c>
      <c r="C5163" t="s">
        <v>1122</v>
      </c>
      <c r="D5163" t="s">
        <v>2472</v>
      </c>
      <c r="E5163" t="s">
        <v>2474</v>
      </c>
      <c r="F5163" t="s">
        <v>1951</v>
      </c>
      <c r="G5163" t="s">
        <v>1951</v>
      </c>
      <c r="H5163" s="10">
        <v>55471</v>
      </c>
      <c r="I5163">
        <f>IFERROR(VLOOKUP(Final!F5163,'LEAID Match'!$A$2:$B$374,2,FALSE),"")</f>
        <v>407770</v>
      </c>
      <c r="K5163" s="10">
        <f t="shared" si="80"/>
        <v>55471</v>
      </c>
    </row>
    <row r="5164" spans="1:11">
      <c r="A5164">
        <v>402220</v>
      </c>
      <c r="B5164" s="10">
        <v>2015</v>
      </c>
      <c r="C5164" t="s">
        <v>483</v>
      </c>
      <c r="D5164" t="s">
        <v>2472</v>
      </c>
      <c r="E5164" t="s">
        <v>2474</v>
      </c>
      <c r="F5164" t="s">
        <v>1673</v>
      </c>
      <c r="G5164" t="s">
        <v>428</v>
      </c>
      <c r="H5164" s="10">
        <v>100727</v>
      </c>
      <c r="I5164">
        <f>IFERROR(VLOOKUP(Final!F5164,'LEAID Match'!$A$2:$B$374,2,FALSE),"")</f>
        <v>402220</v>
      </c>
      <c r="K5164" s="10">
        <f t="shared" si="80"/>
        <v>100727</v>
      </c>
    </row>
    <row r="5165" spans="1:11">
      <c r="A5165">
        <v>402220</v>
      </c>
      <c r="B5165" s="10">
        <v>2016</v>
      </c>
      <c r="C5165" t="s">
        <v>483</v>
      </c>
      <c r="D5165" t="s">
        <v>2472</v>
      </c>
      <c r="E5165" t="s">
        <v>2474</v>
      </c>
      <c r="F5165" t="s">
        <v>1673</v>
      </c>
      <c r="G5165" t="s">
        <v>428</v>
      </c>
      <c r="H5165" s="10">
        <v>94560</v>
      </c>
      <c r="I5165">
        <f>IFERROR(VLOOKUP(Final!F5165,'LEAID Match'!$A$2:$B$374,2,FALSE),"")</f>
        <v>402220</v>
      </c>
      <c r="K5165" s="10">
        <f t="shared" si="80"/>
        <v>94560</v>
      </c>
    </row>
    <row r="5166" spans="1:11">
      <c r="A5166">
        <v>402220</v>
      </c>
      <c r="B5166" s="10">
        <v>2017</v>
      </c>
      <c r="C5166" t="s">
        <v>483</v>
      </c>
      <c r="D5166" t="s">
        <v>2472</v>
      </c>
      <c r="E5166" t="s">
        <v>2474</v>
      </c>
      <c r="F5166" t="s">
        <v>1673</v>
      </c>
      <c r="G5166" t="s">
        <v>1673</v>
      </c>
      <c r="H5166" s="10">
        <v>95227</v>
      </c>
      <c r="I5166">
        <f>IFERROR(VLOOKUP(Final!F5166,'LEAID Match'!$A$2:$B$374,2,FALSE),"")</f>
        <v>402220</v>
      </c>
      <c r="K5166" s="10">
        <f t="shared" si="80"/>
        <v>95227</v>
      </c>
    </row>
    <row r="5167" spans="1:11">
      <c r="A5167">
        <v>402220</v>
      </c>
      <c r="B5167" s="10">
        <v>2018</v>
      </c>
      <c r="C5167" t="s">
        <v>483</v>
      </c>
      <c r="D5167" t="s">
        <v>2472</v>
      </c>
      <c r="E5167" t="s">
        <v>2474</v>
      </c>
      <c r="F5167" t="s">
        <v>1673</v>
      </c>
      <c r="G5167" t="s">
        <v>2161</v>
      </c>
      <c r="H5167" s="10">
        <v>104054</v>
      </c>
      <c r="I5167">
        <f>IFERROR(VLOOKUP(Final!F5167,'LEAID Match'!$A$2:$B$374,2,FALSE),"")</f>
        <v>402220</v>
      </c>
      <c r="K5167" s="10">
        <f t="shared" si="80"/>
        <v>104054</v>
      </c>
    </row>
    <row r="5168" spans="1:11">
      <c r="A5168">
        <v>402220</v>
      </c>
      <c r="B5168" s="10">
        <v>2019</v>
      </c>
      <c r="C5168" t="s">
        <v>483</v>
      </c>
      <c r="D5168" t="s">
        <v>2472</v>
      </c>
      <c r="E5168" t="s">
        <v>2474</v>
      </c>
      <c r="F5168" t="s">
        <v>1673</v>
      </c>
      <c r="G5168" t="s">
        <v>1673</v>
      </c>
      <c r="H5168" s="10">
        <v>125885</v>
      </c>
      <c r="I5168">
        <f>IFERROR(VLOOKUP(Final!F5168,'LEAID Match'!$A$2:$B$374,2,FALSE),"")</f>
        <v>402220</v>
      </c>
      <c r="K5168" s="10">
        <f t="shared" si="80"/>
        <v>125885</v>
      </c>
    </row>
    <row r="5169" spans="1:11">
      <c r="A5169">
        <v>402220</v>
      </c>
      <c r="B5169" s="10">
        <v>2020</v>
      </c>
      <c r="C5169" t="s">
        <v>483</v>
      </c>
      <c r="D5169" t="s">
        <v>2472</v>
      </c>
      <c r="E5169" t="s">
        <v>2474</v>
      </c>
      <c r="F5169" t="s">
        <v>1673</v>
      </c>
      <c r="G5169" t="s">
        <v>1673</v>
      </c>
      <c r="H5169" s="10">
        <v>120686</v>
      </c>
      <c r="I5169">
        <f>IFERROR(VLOOKUP(Final!F5169,'LEAID Match'!$A$2:$B$374,2,FALSE),"")</f>
        <v>402220</v>
      </c>
      <c r="K5169" s="10">
        <f t="shared" si="80"/>
        <v>120686</v>
      </c>
    </row>
    <row r="5170" spans="1:11">
      <c r="A5170">
        <v>402220</v>
      </c>
      <c r="B5170" s="10">
        <v>2021</v>
      </c>
      <c r="C5170" t="s">
        <v>483</v>
      </c>
      <c r="D5170" t="s">
        <v>2472</v>
      </c>
      <c r="E5170" t="s">
        <v>2474</v>
      </c>
      <c r="F5170" t="s">
        <v>1673</v>
      </c>
      <c r="G5170" t="s">
        <v>1673</v>
      </c>
      <c r="H5170" s="10">
        <v>137850</v>
      </c>
      <c r="I5170">
        <f>IFERROR(VLOOKUP(Final!F5170,'LEAID Match'!$A$2:$B$374,2,FALSE),"")</f>
        <v>402220</v>
      </c>
      <c r="K5170" s="10">
        <f t="shared" si="80"/>
        <v>137850</v>
      </c>
    </row>
    <row r="5171" spans="1:11">
      <c r="A5171">
        <v>402220</v>
      </c>
      <c r="B5171" s="10">
        <v>2022</v>
      </c>
      <c r="C5171" t="s">
        <v>483</v>
      </c>
      <c r="D5171" t="s">
        <v>2472</v>
      </c>
      <c r="E5171" t="s">
        <v>2474</v>
      </c>
      <c r="F5171" t="s">
        <v>1673</v>
      </c>
      <c r="G5171" t="s">
        <v>1673</v>
      </c>
      <c r="H5171" s="10">
        <v>160972</v>
      </c>
      <c r="I5171">
        <f>IFERROR(VLOOKUP(Final!F5171,'LEAID Match'!$A$2:$B$374,2,FALSE),"")</f>
        <v>402220</v>
      </c>
      <c r="K5171" s="10">
        <f t="shared" si="80"/>
        <v>160972</v>
      </c>
    </row>
    <row r="5172" spans="1:11">
      <c r="A5172">
        <v>402220</v>
      </c>
      <c r="B5172" s="10">
        <v>2023</v>
      </c>
      <c r="C5172" t="s">
        <v>483</v>
      </c>
      <c r="D5172" t="s">
        <v>2472</v>
      </c>
      <c r="E5172" t="s">
        <v>2474</v>
      </c>
      <c r="F5172" t="s">
        <v>1673</v>
      </c>
      <c r="G5172" t="s">
        <v>1673</v>
      </c>
      <c r="H5172" s="10">
        <v>168963</v>
      </c>
      <c r="I5172">
        <f>IFERROR(VLOOKUP(Final!F5172,'LEAID Match'!$A$2:$B$374,2,FALSE),"")</f>
        <v>402220</v>
      </c>
      <c r="K5172" s="10">
        <f t="shared" si="80"/>
        <v>168963</v>
      </c>
    </row>
    <row r="5173" spans="1:11">
      <c r="A5173">
        <v>401000</v>
      </c>
      <c r="B5173" s="10">
        <v>2015</v>
      </c>
      <c r="C5173" t="s">
        <v>1430</v>
      </c>
      <c r="D5173" t="s">
        <v>2472</v>
      </c>
      <c r="E5173" t="s">
        <v>2474</v>
      </c>
      <c r="F5173" t="s">
        <v>1619</v>
      </c>
      <c r="G5173" t="s">
        <v>263</v>
      </c>
      <c r="H5173" s="10">
        <v>306384</v>
      </c>
      <c r="I5173">
        <f>IFERROR(VLOOKUP(Final!F5173,'LEAID Match'!$A$2:$B$374,2,FALSE),"")</f>
        <v>401000</v>
      </c>
      <c r="K5173" s="10">
        <f t="shared" si="80"/>
        <v>306384</v>
      </c>
    </row>
    <row r="5174" spans="1:11">
      <c r="A5174">
        <v>401000</v>
      </c>
      <c r="B5174" s="10">
        <v>2016</v>
      </c>
      <c r="C5174" t="s">
        <v>1430</v>
      </c>
      <c r="D5174" t="s">
        <v>2472</v>
      </c>
      <c r="E5174" t="s">
        <v>2474</v>
      </c>
      <c r="F5174" t="s">
        <v>1619</v>
      </c>
      <c r="G5174" t="s">
        <v>263</v>
      </c>
      <c r="H5174" s="10">
        <v>316523</v>
      </c>
      <c r="I5174">
        <f>IFERROR(VLOOKUP(Final!F5174,'LEAID Match'!$A$2:$B$374,2,FALSE),"")</f>
        <v>401000</v>
      </c>
      <c r="K5174" s="10">
        <f t="shared" si="80"/>
        <v>316523</v>
      </c>
    </row>
    <row r="5175" spans="1:11">
      <c r="A5175">
        <v>401000</v>
      </c>
      <c r="B5175" s="10">
        <v>2017</v>
      </c>
      <c r="C5175" t="s">
        <v>1430</v>
      </c>
      <c r="D5175" t="s">
        <v>2472</v>
      </c>
      <c r="E5175" t="s">
        <v>2474</v>
      </c>
      <c r="F5175" t="s">
        <v>1619</v>
      </c>
      <c r="G5175" t="s">
        <v>1619</v>
      </c>
      <c r="H5175" s="10">
        <v>312635</v>
      </c>
      <c r="I5175">
        <f>IFERROR(VLOOKUP(Final!F5175,'LEAID Match'!$A$2:$B$374,2,FALSE),"")</f>
        <v>401000</v>
      </c>
      <c r="K5175" s="10">
        <f t="shared" si="80"/>
        <v>312635</v>
      </c>
    </row>
    <row r="5176" spans="1:11">
      <c r="A5176">
        <v>401000</v>
      </c>
      <c r="B5176" s="10">
        <v>2018</v>
      </c>
      <c r="C5176" t="s">
        <v>1430</v>
      </c>
      <c r="D5176" t="s">
        <v>2472</v>
      </c>
      <c r="E5176" t="s">
        <v>2474</v>
      </c>
      <c r="F5176" t="s">
        <v>1619</v>
      </c>
      <c r="G5176" t="s">
        <v>1619</v>
      </c>
      <c r="H5176" s="10">
        <v>323386</v>
      </c>
      <c r="I5176">
        <f>IFERROR(VLOOKUP(Final!F5176,'LEAID Match'!$A$2:$B$374,2,FALSE),"")</f>
        <v>401000</v>
      </c>
      <c r="K5176" s="10">
        <f t="shared" si="80"/>
        <v>323386</v>
      </c>
    </row>
    <row r="5177" spans="1:11">
      <c r="A5177">
        <v>401000</v>
      </c>
      <c r="B5177" s="10">
        <v>2019</v>
      </c>
      <c r="C5177" t="s">
        <v>1430</v>
      </c>
      <c r="D5177" t="s">
        <v>2472</v>
      </c>
      <c r="E5177" t="s">
        <v>2474</v>
      </c>
      <c r="F5177" t="s">
        <v>1619</v>
      </c>
      <c r="G5177" t="s">
        <v>1619</v>
      </c>
      <c r="H5177" s="10">
        <v>356521</v>
      </c>
      <c r="I5177">
        <f>IFERROR(VLOOKUP(Final!F5177,'LEAID Match'!$A$2:$B$374,2,FALSE),"")</f>
        <v>401000</v>
      </c>
      <c r="K5177" s="10">
        <f t="shared" si="80"/>
        <v>356521</v>
      </c>
    </row>
    <row r="5178" spans="1:11">
      <c r="A5178">
        <v>401000</v>
      </c>
      <c r="B5178" s="10">
        <v>2020</v>
      </c>
      <c r="C5178" t="s">
        <v>1430</v>
      </c>
      <c r="D5178" t="s">
        <v>2472</v>
      </c>
      <c r="E5178" t="s">
        <v>2474</v>
      </c>
      <c r="F5178" t="s">
        <v>1619</v>
      </c>
      <c r="G5178" t="s">
        <v>1619</v>
      </c>
      <c r="H5178" s="10">
        <v>408724</v>
      </c>
      <c r="I5178">
        <f>IFERROR(VLOOKUP(Final!F5178,'LEAID Match'!$A$2:$B$374,2,FALSE),"")</f>
        <v>401000</v>
      </c>
      <c r="K5178" s="10">
        <f t="shared" si="80"/>
        <v>408724</v>
      </c>
    </row>
    <row r="5179" spans="1:11">
      <c r="A5179">
        <v>401000</v>
      </c>
      <c r="B5179" s="10">
        <v>2021</v>
      </c>
      <c r="C5179" t="s">
        <v>1430</v>
      </c>
      <c r="D5179" t="s">
        <v>2472</v>
      </c>
      <c r="E5179" t="s">
        <v>2474</v>
      </c>
      <c r="F5179" t="s">
        <v>1619</v>
      </c>
      <c r="G5179" t="s">
        <v>1619</v>
      </c>
      <c r="H5179" s="10">
        <v>421952</v>
      </c>
      <c r="I5179">
        <f>IFERROR(VLOOKUP(Final!F5179,'LEAID Match'!$A$2:$B$374,2,FALSE),"")</f>
        <v>401000</v>
      </c>
      <c r="K5179" s="10">
        <f t="shared" si="80"/>
        <v>421952</v>
      </c>
    </row>
    <row r="5180" spans="1:11">
      <c r="A5180">
        <v>401000</v>
      </c>
      <c r="B5180" s="10">
        <v>2022</v>
      </c>
      <c r="C5180" t="s">
        <v>1430</v>
      </c>
      <c r="D5180" t="s">
        <v>2472</v>
      </c>
      <c r="E5180" t="s">
        <v>2474</v>
      </c>
      <c r="F5180" t="s">
        <v>1619</v>
      </c>
      <c r="G5180" t="s">
        <v>1619</v>
      </c>
      <c r="H5180" s="10">
        <v>464220</v>
      </c>
      <c r="I5180">
        <f>IFERROR(VLOOKUP(Final!F5180,'LEAID Match'!$A$2:$B$374,2,FALSE),"")</f>
        <v>401000</v>
      </c>
      <c r="K5180" s="10">
        <f t="shared" si="80"/>
        <v>464220</v>
      </c>
    </row>
    <row r="5181" spans="1:11">
      <c r="A5181">
        <v>401000</v>
      </c>
      <c r="B5181" s="10">
        <v>2023</v>
      </c>
      <c r="C5181" t="s">
        <v>1430</v>
      </c>
      <c r="D5181" t="s">
        <v>2472</v>
      </c>
      <c r="E5181" t="s">
        <v>2474</v>
      </c>
      <c r="F5181" t="s">
        <v>1619</v>
      </c>
      <c r="G5181" t="s">
        <v>1619</v>
      </c>
      <c r="H5181" s="10">
        <v>488301</v>
      </c>
      <c r="I5181">
        <f>IFERROR(VLOOKUP(Final!F5181,'LEAID Match'!$A$2:$B$374,2,FALSE),"")</f>
        <v>401000</v>
      </c>
      <c r="K5181" s="10">
        <f t="shared" si="80"/>
        <v>488301</v>
      </c>
    </row>
    <row r="5182" spans="1:11">
      <c r="A5182">
        <v>403870</v>
      </c>
      <c r="B5182" s="10">
        <v>2015</v>
      </c>
      <c r="C5182" t="s">
        <v>694</v>
      </c>
      <c r="D5182" t="s">
        <v>2472</v>
      </c>
      <c r="E5182" t="s">
        <v>2474</v>
      </c>
      <c r="F5182" t="s">
        <v>1757</v>
      </c>
      <c r="G5182" t="s">
        <v>639</v>
      </c>
      <c r="H5182" s="10">
        <v>2373238</v>
      </c>
      <c r="I5182">
        <f>IFERROR(VLOOKUP(Final!F5182,'LEAID Match'!$A$2:$B$374,2,FALSE),"")</f>
        <v>403870</v>
      </c>
      <c r="K5182" s="10">
        <f t="shared" si="80"/>
        <v>2373238</v>
      </c>
    </row>
    <row r="5183" spans="1:11">
      <c r="A5183">
        <v>403870</v>
      </c>
      <c r="B5183" s="10">
        <v>2016</v>
      </c>
      <c r="C5183" t="s">
        <v>694</v>
      </c>
      <c r="D5183" t="s">
        <v>2472</v>
      </c>
      <c r="E5183" t="s">
        <v>2474</v>
      </c>
      <c r="F5183" t="s">
        <v>1757</v>
      </c>
      <c r="G5183" t="s">
        <v>639</v>
      </c>
      <c r="H5183" s="10">
        <v>2417876</v>
      </c>
      <c r="I5183">
        <f>IFERROR(VLOOKUP(Final!F5183,'LEAID Match'!$A$2:$B$374,2,FALSE),"")</f>
        <v>403870</v>
      </c>
      <c r="K5183" s="10">
        <f t="shared" si="80"/>
        <v>2417876</v>
      </c>
    </row>
    <row r="5184" spans="1:11">
      <c r="A5184">
        <v>403870</v>
      </c>
      <c r="B5184" s="10">
        <v>2017</v>
      </c>
      <c r="C5184" t="s">
        <v>694</v>
      </c>
      <c r="D5184" t="s">
        <v>2472</v>
      </c>
      <c r="E5184" t="s">
        <v>2474</v>
      </c>
      <c r="F5184" t="s">
        <v>1757</v>
      </c>
      <c r="G5184" t="s">
        <v>1757</v>
      </c>
      <c r="H5184" s="10">
        <v>2541303</v>
      </c>
      <c r="I5184">
        <f>IFERROR(VLOOKUP(Final!F5184,'LEAID Match'!$A$2:$B$374,2,FALSE),"")</f>
        <v>403870</v>
      </c>
      <c r="K5184" s="10">
        <f t="shared" si="80"/>
        <v>2541303</v>
      </c>
    </row>
    <row r="5185" spans="1:11">
      <c r="A5185">
        <v>403870</v>
      </c>
      <c r="B5185" s="10">
        <v>2018</v>
      </c>
      <c r="C5185" t="s">
        <v>694</v>
      </c>
      <c r="D5185" t="s">
        <v>2472</v>
      </c>
      <c r="E5185" t="s">
        <v>2474</v>
      </c>
      <c r="F5185" t="s">
        <v>1757</v>
      </c>
      <c r="G5185" t="s">
        <v>2214</v>
      </c>
      <c r="H5185" s="10">
        <v>2639512</v>
      </c>
      <c r="I5185">
        <f>IFERROR(VLOOKUP(Final!F5185,'LEAID Match'!$A$2:$B$374,2,FALSE),"")</f>
        <v>403870</v>
      </c>
      <c r="K5185" s="10">
        <f t="shared" si="80"/>
        <v>2639512</v>
      </c>
    </row>
    <row r="5186" spans="1:11">
      <c r="A5186">
        <v>403870</v>
      </c>
      <c r="B5186" s="10">
        <v>2019</v>
      </c>
      <c r="C5186" t="s">
        <v>694</v>
      </c>
      <c r="D5186" t="s">
        <v>2472</v>
      </c>
      <c r="E5186" t="s">
        <v>2474</v>
      </c>
      <c r="F5186" t="s">
        <v>1757</v>
      </c>
      <c r="G5186" t="s">
        <v>1757</v>
      </c>
      <c r="H5186" s="10">
        <v>3022152</v>
      </c>
      <c r="I5186">
        <f>IFERROR(VLOOKUP(Final!F5186,'LEAID Match'!$A$2:$B$374,2,FALSE),"")</f>
        <v>403870</v>
      </c>
      <c r="K5186" s="10">
        <f t="shared" si="80"/>
        <v>3022152</v>
      </c>
    </row>
    <row r="5187" spans="1:11">
      <c r="A5187">
        <v>403870</v>
      </c>
      <c r="B5187" s="10">
        <v>2020</v>
      </c>
      <c r="C5187" t="s">
        <v>694</v>
      </c>
      <c r="D5187" t="s">
        <v>2472</v>
      </c>
      <c r="E5187" t="s">
        <v>2474</v>
      </c>
      <c r="F5187" t="s">
        <v>1757</v>
      </c>
      <c r="G5187" t="s">
        <v>1757</v>
      </c>
      <c r="H5187" s="10">
        <v>3191464</v>
      </c>
      <c r="I5187">
        <f>IFERROR(VLOOKUP(Final!F5187,'LEAID Match'!$A$2:$B$374,2,FALSE),"")</f>
        <v>403870</v>
      </c>
      <c r="K5187" s="10">
        <f t="shared" ref="K5187:K5250" si="81">SUM(H5187,J5187)</f>
        <v>3191464</v>
      </c>
    </row>
    <row r="5188" spans="1:11">
      <c r="A5188">
        <v>403870</v>
      </c>
      <c r="B5188" s="10">
        <v>2021</v>
      </c>
      <c r="C5188" t="s">
        <v>694</v>
      </c>
      <c r="D5188" t="s">
        <v>2472</v>
      </c>
      <c r="E5188" t="s">
        <v>2474</v>
      </c>
      <c r="F5188" t="s">
        <v>1757</v>
      </c>
      <c r="G5188" t="s">
        <v>1757</v>
      </c>
      <c r="H5188" s="10">
        <v>3237252</v>
      </c>
      <c r="I5188">
        <f>IFERROR(VLOOKUP(Final!F5188,'LEAID Match'!$A$2:$B$374,2,FALSE),"")</f>
        <v>403870</v>
      </c>
      <c r="K5188" s="10">
        <f t="shared" si="81"/>
        <v>3237252</v>
      </c>
    </row>
    <row r="5189" spans="1:11">
      <c r="A5189">
        <v>403870</v>
      </c>
      <c r="B5189" s="10">
        <v>2022</v>
      </c>
      <c r="C5189" t="s">
        <v>694</v>
      </c>
      <c r="D5189" t="s">
        <v>2472</v>
      </c>
      <c r="E5189" t="s">
        <v>2474</v>
      </c>
      <c r="F5189" t="s">
        <v>1757</v>
      </c>
      <c r="G5189" t="s">
        <v>1757</v>
      </c>
      <c r="H5189" s="10">
        <v>3622772</v>
      </c>
      <c r="I5189">
        <f>IFERROR(VLOOKUP(Final!F5189,'LEAID Match'!$A$2:$B$374,2,FALSE),"")</f>
        <v>403870</v>
      </c>
      <c r="K5189" s="10">
        <f t="shared" si="81"/>
        <v>3622772</v>
      </c>
    </row>
    <row r="5190" spans="1:11">
      <c r="A5190">
        <v>403870</v>
      </c>
      <c r="B5190" s="10">
        <v>2023</v>
      </c>
      <c r="C5190" t="s">
        <v>694</v>
      </c>
      <c r="D5190" t="s">
        <v>2472</v>
      </c>
      <c r="E5190" t="s">
        <v>2474</v>
      </c>
      <c r="F5190" t="s">
        <v>1757</v>
      </c>
      <c r="G5190" t="s">
        <v>1757</v>
      </c>
      <c r="H5190" s="10">
        <v>3606406</v>
      </c>
      <c r="I5190">
        <f>IFERROR(VLOOKUP(Final!F5190,'LEAID Match'!$A$2:$B$374,2,FALSE),"")</f>
        <v>403870</v>
      </c>
      <c r="K5190" s="10">
        <f t="shared" si="81"/>
        <v>3606406</v>
      </c>
    </row>
    <row r="5191" spans="1:11">
      <c r="A5191">
        <v>404170</v>
      </c>
      <c r="B5191" s="10">
        <v>2015</v>
      </c>
      <c r="C5191" t="s">
        <v>707</v>
      </c>
      <c r="D5191" t="s">
        <v>2472</v>
      </c>
      <c r="E5191" t="s">
        <v>2474</v>
      </c>
      <c r="F5191" t="s">
        <v>1773</v>
      </c>
      <c r="G5191" t="s">
        <v>652</v>
      </c>
      <c r="H5191" s="10">
        <v>52475</v>
      </c>
      <c r="I5191">
        <f>IFERROR(VLOOKUP(Final!F5191,'LEAID Match'!$A$2:$B$374,2,FALSE),"")</f>
        <v>404170</v>
      </c>
      <c r="K5191" s="10">
        <f t="shared" si="81"/>
        <v>52475</v>
      </c>
    </row>
    <row r="5192" spans="1:11">
      <c r="A5192">
        <v>404170</v>
      </c>
      <c r="B5192" s="10">
        <v>2016</v>
      </c>
      <c r="C5192" t="s">
        <v>707</v>
      </c>
      <c r="D5192" t="s">
        <v>2472</v>
      </c>
      <c r="E5192" t="s">
        <v>2474</v>
      </c>
      <c r="F5192" t="s">
        <v>1773</v>
      </c>
      <c r="G5192" t="s">
        <v>652</v>
      </c>
      <c r="H5192" s="10">
        <v>57227</v>
      </c>
      <c r="I5192">
        <f>IFERROR(VLOOKUP(Final!F5192,'LEAID Match'!$A$2:$B$374,2,FALSE),"")</f>
        <v>404170</v>
      </c>
      <c r="K5192" s="10">
        <f t="shared" si="81"/>
        <v>57227</v>
      </c>
    </row>
    <row r="5193" spans="1:11">
      <c r="A5193">
        <v>404170</v>
      </c>
      <c r="B5193" s="10">
        <v>2017</v>
      </c>
      <c r="C5193" t="s">
        <v>707</v>
      </c>
      <c r="D5193" t="s">
        <v>2472</v>
      </c>
      <c r="E5193" t="s">
        <v>2474</v>
      </c>
      <c r="F5193" t="s">
        <v>1773</v>
      </c>
      <c r="G5193" t="s">
        <v>1773</v>
      </c>
      <c r="H5193" s="10">
        <v>55489</v>
      </c>
      <c r="I5193">
        <f>IFERROR(VLOOKUP(Final!F5193,'LEAID Match'!$A$2:$B$374,2,FALSE),"")</f>
        <v>404170</v>
      </c>
      <c r="K5193" s="10">
        <f t="shared" si="81"/>
        <v>55489</v>
      </c>
    </row>
    <row r="5194" spans="1:11">
      <c r="A5194">
        <v>404170</v>
      </c>
      <c r="B5194" s="10">
        <v>2018</v>
      </c>
      <c r="C5194" t="s">
        <v>707</v>
      </c>
      <c r="D5194" t="s">
        <v>2472</v>
      </c>
      <c r="E5194" t="s">
        <v>2474</v>
      </c>
      <c r="F5194" t="s">
        <v>1773</v>
      </c>
      <c r="G5194" t="s">
        <v>2219</v>
      </c>
      <c r="H5194" s="10">
        <v>62481</v>
      </c>
      <c r="I5194">
        <f>IFERROR(VLOOKUP(Final!F5194,'LEAID Match'!$A$2:$B$374,2,FALSE),"")</f>
        <v>404170</v>
      </c>
      <c r="K5194" s="10">
        <f t="shared" si="81"/>
        <v>62481</v>
      </c>
    </row>
    <row r="5195" spans="1:11">
      <c r="A5195">
        <v>404170</v>
      </c>
      <c r="B5195" s="10">
        <v>2019</v>
      </c>
      <c r="C5195" t="s">
        <v>707</v>
      </c>
      <c r="D5195" t="s">
        <v>2472</v>
      </c>
      <c r="E5195" t="s">
        <v>2474</v>
      </c>
      <c r="F5195" t="s">
        <v>1773</v>
      </c>
      <c r="G5195" t="s">
        <v>1773</v>
      </c>
      <c r="H5195" s="10">
        <v>60465</v>
      </c>
      <c r="I5195">
        <f>IFERROR(VLOOKUP(Final!F5195,'LEAID Match'!$A$2:$B$374,2,FALSE),"")</f>
        <v>404170</v>
      </c>
      <c r="K5195" s="10">
        <f t="shared" si="81"/>
        <v>60465</v>
      </c>
    </row>
    <row r="5196" spans="1:11">
      <c r="A5196">
        <v>404170</v>
      </c>
      <c r="B5196" s="10">
        <v>2020</v>
      </c>
      <c r="C5196" t="s">
        <v>707</v>
      </c>
      <c r="D5196" t="s">
        <v>2472</v>
      </c>
      <c r="E5196" t="s">
        <v>2474</v>
      </c>
      <c r="F5196" t="s">
        <v>1773</v>
      </c>
      <c r="G5196" t="s">
        <v>1773</v>
      </c>
      <c r="H5196" s="10">
        <v>73356</v>
      </c>
      <c r="I5196">
        <f>IFERROR(VLOOKUP(Final!F5196,'LEAID Match'!$A$2:$B$374,2,FALSE),"")</f>
        <v>404170</v>
      </c>
      <c r="K5196" s="10">
        <f t="shared" si="81"/>
        <v>73356</v>
      </c>
    </row>
    <row r="5197" spans="1:11">
      <c r="A5197">
        <v>404170</v>
      </c>
      <c r="B5197" s="10">
        <v>2021</v>
      </c>
      <c r="C5197" t="s">
        <v>707</v>
      </c>
      <c r="D5197" t="s">
        <v>2472</v>
      </c>
      <c r="E5197" t="s">
        <v>2474</v>
      </c>
      <c r="F5197" t="s">
        <v>1773</v>
      </c>
      <c r="G5197" t="s">
        <v>1773</v>
      </c>
      <c r="H5197" s="10">
        <v>75355</v>
      </c>
      <c r="I5197">
        <f>IFERROR(VLOOKUP(Final!F5197,'LEAID Match'!$A$2:$B$374,2,FALSE),"")</f>
        <v>404170</v>
      </c>
      <c r="K5197" s="10">
        <f t="shared" si="81"/>
        <v>75355</v>
      </c>
    </row>
    <row r="5198" spans="1:11">
      <c r="A5198">
        <v>404170</v>
      </c>
      <c r="B5198" s="10">
        <v>2022</v>
      </c>
      <c r="C5198" t="s">
        <v>707</v>
      </c>
      <c r="D5198" t="s">
        <v>2472</v>
      </c>
      <c r="E5198" t="s">
        <v>2474</v>
      </c>
      <c r="F5198" t="s">
        <v>1773</v>
      </c>
      <c r="G5198" t="s">
        <v>1773</v>
      </c>
      <c r="H5198" s="10">
        <v>83190</v>
      </c>
      <c r="I5198">
        <f>IFERROR(VLOOKUP(Final!F5198,'LEAID Match'!$A$2:$B$374,2,FALSE),"")</f>
        <v>404170</v>
      </c>
      <c r="K5198" s="10">
        <f t="shared" si="81"/>
        <v>83190</v>
      </c>
    </row>
    <row r="5199" spans="1:11">
      <c r="A5199">
        <v>404170</v>
      </c>
      <c r="B5199" s="10">
        <v>2023</v>
      </c>
      <c r="C5199" t="s">
        <v>707</v>
      </c>
      <c r="D5199" t="s">
        <v>2472</v>
      </c>
      <c r="E5199" t="s">
        <v>2474</v>
      </c>
      <c r="F5199" t="s">
        <v>1773</v>
      </c>
      <c r="G5199" t="s">
        <v>1773</v>
      </c>
      <c r="H5199" s="10">
        <v>93184</v>
      </c>
      <c r="I5199">
        <f>IFERROR(VLOOKUP(Final!F5199,'LEAID Match'!$A$2:$B$374,2,FALSE),"")</f>
        <v>404170</v>
      </c>
      <c r="K5199" s="10">
        <f t="shared" si="81"/>
        <v>93184</v>
      </c>
    </row>
    <row r="5200" spans="1:11">
      <c r="A5200">
        <v>401080</v>
      </c>
      <c r="B5200" s="10">
        <v>2015</v>
      </c>
      <c r="C5200" t="s">
        <v>1435</v>
      </c>
      <c r="D5200" t="s">
        <v>2472</v>
      </c>
      <c r="E5200" t="s">
        <v>2474</v>
      </c>
      <c r="F5200" t="s">
        <v>2359</v>
      </c>
      <c r="G5200" t="s">
        <v>268</v>
      </c>
      <c r="H5200" s="10">
        <v>168086</v>
      </c>
      <c r="I5200">
        <f>IFERROR(VLOOKUP(Final!F5200,'LEAID Match'!$A$2:$B$374,2,FALSE),"")</f>
        <v>401080</v>
      </c>
      <c r="K5200" s="10">
        <f t="shared" si="81"/>
        <v>168086</v>
      </c>
    </row>
    <row r="5201" spans="1:11">
      <c r="A5201">
        <v>401080</v>
      </c>
      <c r="B5201" s="10">
        <v>2016</v>
      </c>
      <c r="C5201" t="s">
        <v>1435</v>
      </c>
      <c r="D5201" t="s">
        <v>2472</v>
      </c>
      <c r="E5201" t="s">
        <v>2474</v>
      </c>
      <c r="F5201" t="s">
        <v>2359</v>
      </c>
      <c r="G5201" t="s">
        <v>268</v>
      </c>
      <c r="H5201" s="10">
        <v>169783</v>
      </c>
      <c r="I5201">
        <f>IFERROR(VLOOKUP(Final!F5201,'LEAID Match'!$A$2:$B$374,2,FALSE),"")</f>
        <v>401080</v>
      </c>
      <c r="K5201" s="10">
        <f t="shared" si="81"/>
        <v>169783</v>
      </c>
    </row>
    <row r="5202" spans="1:11">
      <c r="A5202">
        <v>401080</v>
      </c>
      <c r="B5202" s="10">
        <v>2017</v>
      </c>
      <c r="C5202" t="s">
        <v>1435</v>
      </c>
      <c r="D5202" t="s">
        <v>2472</v>
      </c>
      <c r="E5202" t="s">
        <v>2474</v>
      </c>
      <c r="F5202" t="s">
        <v>2359</v>
      </c>
      <c r="G5202" t="s">
        <v>1621</v>
      </c>
      <c r="H5202" s="10">
        <v>160113</v>
      </c>
      <c r="I5202">
        <f>IFERROR(VLOOKUP(Final!F5202,'LEAID Match'!$A$2:$B$374,2,FALSE),"")</f>
        <v>401080</v>
      </c>
      <c r="K5202" s="10">
        <f t="shared" si="81"/>
        <v>160113</v>
      </c>
    </row>
    <row r="5203" spans="1:11">
      <c r="A5203">
        <v>401080</v>
      </c>
      <c r="B5203" s="10">
        <v>2018</v>
      </c>
      <c r="C5203" t="s">
        <v>1435</v>
      </c>
      <c r="D5203" t="s">
        <v>2472</v>
      </c>
      <c r="E5203" t="s">
        <v>2474</v>
      </c>
      <c r="F5203" t="s">
        <v>2359</v>
      </c>
      <c r="G5203" t="s">
        <v>2127</v>
      </c>
      <c r="H5203" s="10">
        <v>157622</v>
      </c>
      <c r="I5203">
        <f>IFERROR(VLOOKUP(Final!F5203,'LEAID Match'!$A$2:$B$374,2,FALSE),"")</f>
        <v>401080</v>
      </c>
      <c r="K5203" s="10">
        <f t="shared" si="81"/>
        <v>157622</v>
      </c>
    </row>
    <row r="5204" spans="1:11">
      <c r="A5204">
        <v>401080</v>
      </c>
      <c r="B5204" s="10">
        <v>2019</v>
      </c>
      <c r="C5204" t="s">
        <v>1435</v>
      </c>
      <c r="D5204" t="s">
        <v>2472</v>
      </c>
      <c r="E5204" t="s">
        <v>2474</v>
      </c>
      <c r="F5204" t="s">
        <v>2359</v>
      </c>
      <c r="G5204" t="s">
        <v>2359</v>
      </c>
      <c r="H5204" s="10">
        <v>180380</v>
      </c>
      <c r="I5204">
        <f>IFERROR(VLOOKUP(Final!F5204,'LEAID Match'!$A$2:$B$374,2,FALSE),"")</f>
        <v>401080</v>
      </c>
      <c r="K5204" s="10">
        <f t="shared" si="81"/>
        <v>180380</v>
      </c>
    </row>
    <row r="5205" spans="1:11">
      <c r="A5205">
        <v>401080</v>
      </c>
      <c r="B5205" s="10">
        <v>2020</v>
      </c>
      <c r="C5205" t="s">
        <v>1435</v>
      </c>
      <c r="D5205" t="s">
        <v>2472</v>
      </c>
      <c r="E5205" t="s">
        <v>2474</v>
      </c>
      <c r="F5205" t="s">
        <v>2359</v>
      </c>
      <c r="G5205" t="s">
        <v>2359</v>
      </c>
      <c r="H5205" s="10">
        <v>200036</v>
      </c>
      <c r="I5205">
        <f>IFERROR(VLOOKUP(Final!F5205,'LEAID Match'!$A$2:$B$374,2,FALSE),"")</f>
        <v>401080</v>
      </c>
      <c r="K5205" s="10">
        <f t="shared" si="81"/>
        <v>200036</v>
      </c>
    </row>
    <row r="5206" spans="1:11">
      <c r="A5206">
        <v>401080</v>
      </c>
      <c r="B5206" s="10">
        <v>2021</v>
      </c>
      <c r="C5206" t="s">
        <v>1435</v>
      </c>
      <c r="D5206" t="s">
        <v>2472</v>
      </c>
      <c r="E5206" t="s">
        <v>2474</v>
      </c>
      <c r="F5206" t="s">
        <v>2359</v>
      </c>
      <c r="G5206" t="s">
        <v>2359</v>
      </c>
      <c r="H5206" s="10">
        <v>202296</v>
      </c>
      <c r="I5206">
        <f>IFERROR(VLOOKUP(Final!F5206,'LEAID Match'!$A$2:$B$374,2,FALSE),"")</f>
        <v>401080</v>
      </c>
      <c r="K5206" s="10">
        <f t="shared" si="81"/>
        <v>202296</v>
      </c>
    </row>
    <row r="5207" spans="1:11">
      <c r="A5207">
        <v>401080</v>
      </c>
      <c r="B5207" s="10">
        <v>2022</v>
      </c>
      <c r="C5207" t="s">
        <v>1435</v>
      </c>
      <c r="D5207" t="s">
        <v>2472</v>
      </c>
      <c r="E5207" t="s">
        <v>2474</v>
      </c>
      <c r="F5207" t="s">
        <v>2359</v>
      </c>
      <c r="G5207" t="s">
        <v>2359</v>
      </c>
      <c r="H5207" s="10">
        <v>216887</v>
      </c>
      <c r="I5207">
        <f>IFERROR(VLOOKUP(Final!F5207,'LEAID Match'!$A$2:$B$374,2,FALSE),"")</f>
        <v>401080</v>
      </c>
      <c r="K5207" s="10">
        <f t="shared" si="81"/>
        <v>216887</v>
      </c>
    </row>
    <row r="5208" spans="1:11">
      <c r="A5208">
        <v>401080</v>
      </c>
      <c r="B5208" s="10">
        <v>2023</v>
      </c>
      <c r="C5208" t="s">
        <v>1435</v>
      </c>
      <c r="D5208" t="s">
        <v>2472</v>
      </c>
      <c r="E5208" t="s">
        <v>2474</v>
      </c>
      <c r="F5208" t="s">
        <v>2359</v>
      </c>
      <c r="G5208" t="s">
        <v>2359</v>
      </c>
      <c r="H5208" s="10">
        <v>229555</v>
      </c>
      <c r="I5208">
        <f>IFERROR(VLOOKUP(Final!F5208,'LEAID Match'!$A$2:$B$374,2,FALSE),"")</f>
        <v>401080</v>
      </c>
      <c r="K5208" s="10">
        <f t="shared" si="81"/>
        <v>229555</v>
      </c>
    </row>
    <row r="5209" spans="1:11">
      <c r="A5209">
        <v>401600</v>
      </c>
      <c r="B5209" s="10">
        <v>2015</v>
      </c>
      <c r="C5209" t="s">
        <v>342</v>
      </c>
      <c r="D5209" t="s">
        <v>2472</v>
      </c>
      <c r="E5209" t="s">
        <v>2474</v>
      </c>
      <c r="F5209" t="s">
        <v>1638</v>
      </c>
      <c r="G5209" t="s">
        <v>288</v>
      </c>
      <c r="H5209" s="10">
        <v>732070</v>
      </c>
      <c r="I5209">
        <f>IFERROR(VLOOKUP(Final!F5209,'LEAID Match'!$A$2:$B$374,2,FALSE),"")</f>
        <v>401600</v>
      </c>
      <c r="K5209" s="10">
        <f t="shared" si="81"/>
        <v>732070</v>
      </c>
    </row>
    <row r="5210" spans="1:11">
      <c r="A5210">
        <v>401600</v>
      </c>
      <c r="B5210" s="10">
        <v>2016</v>
      </c>
      <c r="C5210" t="s">
        <v>342</v>
      </c>
      <c r="D5210" t="s">
        <v>2472</v>
      </c>
      <c r="E5210" t="s">
        <v>2474</v>
      </c>
      <c r="F5210" t="s">
        <v>1638</v>
      </c>
      <c r="G5210" t="s">
        <v>288</v>
      </c>
      <c r="H5210" s="10">
        <v>753967</v>
      </c>
      <c r="I5210">
        <f>IFERROR(VLOOKUP(Final!F5210,'LEAID Match'!$A$2:$B$374,2,FALSE),"")</f>
        <v>401600</v>
      </c>
      <c r="K5210" s="10">
        <f t="shared" si="81"/>
        <v>753967</v>
      </c>
    </row>
    <row r="5211" spans="1:11">
      <c r="A5211">
        <v>401600</v>
      </c>
      <c r="B5211" s="10">
        <v>2017</v>
      </c>
      <c r="C5211" t="s">
        <v>342</v>
      </c>
      <c r="D5211" t="s">
        <v>2472</v>
      </c>
      <c r="E5211" t="s">
        <v>2474</v>
      </c>
      <c r="F5211" t="s">
        <v>1638</v>
      </c>
      <c r="G5211" t="s">
        <v>1638</v>
      </c>
      <c r="H5211" s="10">
        <v>775491</v>
      </c>
      <c r="I5211">
        <f>IFERROR(VLOOKUP(Final!F5211,'LEAID Match'!$A$2:$B$374,2,FALSE),"")</f>
        <v>401600</v>
      </c>
      <c r="K5211" s="10">
        <f t="shared" si="81"/>
        <v>775491</v>
      </c>
    </row>
    <row r="5212" spans="1:11">
      <c r="A5212">
        <v>401600</v>
      </c>
      <c r="B5212" s="10">
        <v>2018</v>
      </c>
      <c r="C5212" t="s">
        <v>342</v>
      </c>
      <c r="D5212" t="s">
        <v>2472</v>
      </c>
      <c r="E5212" t="s">
        <v>2474</v>
      </c>
      <c r="F5212" t="s">
        <v>1638</v>
      </c>
      <c r="G5212" t="s">
        <v>2137</v>
      </c>
      <c r="H5212" s="10">
        <v>811779</v>
      </c>
      <c r="I5212">
        <f>IFERROR(VLOOKUP(Final!F5212,'LEAID Match'!$A$2:$B$374,2,FALSE),"")</f>
        <v>401600</v>
      </c>
      <c r="K5212" s="10">
        <f t="shared" si="81"/>
        <v>811779</v>
      </c>
    </row>
    <row r="5213" spans="1:11">
      <c r="A5213">
        <v>401600</v>
      </c>
      <c r="B5213" s="10">
        <v>2019</v>
      </c>
      <c r="C5213" t="s">
        <v>342</v>
      </c>
      <c r="D5213" t="s">
        <v>2472</v>
      </c>
      <c r="E5213" t="s">
        <v>2474</v>
      </c>
      <c r="F5213" t="s">
        <v>1638</v>
      </c>
      <c r="G5213" t="s">
        <v>1638</v>
      </c>
      <c r="H5213" s="10">
        <v>839995</v>
      </c>
      <c r="I5213">
        <f>IFERROR(VLOOKUP(Final!F5213,'LEAID Match'!$A$2:$B$374,2,FALSE),"")</f>
        <v>401600</v>
      </c>
      <c r="K5213" s="10">
        <f t="shared" si="81"/>
        <v>839995</v>
      </c>
    </row>
    <row r="5214" spans="1:11">
      <c r="A5214">
        <v>401600</v>
      </c>
      <c r="B5214" s="10">
        <v>2020</v>
      </c>
      <c r="C5214" t="s">
        <v>342</v>
      </c>
      <c r="D5214" t="s">
        <v>2472</v>
      </c>
      <c r="E5214" t="s">
        <v>2474</v>
      </c>
      <c r="F5214" t="s">
        <v>1638</v>
      </c>
      <c r="G5214" t="s">
        <v>1638</v>
      </c>
      <c r="H5214" s="10">
        <v>927727</v>
      </c>
      <c r="I5214">
        <f>IFERROR(VLOOKUP(Final!F5214,'LEAID Match'!$A$2:$B$374,2,FALSE),"")</f>
        <v>401600</v>
      </c>
      <c r="K5214" s="10">
        <f t="shared" si="81"/>
        <v>927727</v>
      </c>
    </row>
    <row r="5215" spans="1:11">
      <c r="A5215">
        <v>401600</v>
      </c>
      <c r="B5215" s="10">
        <v>2021</v>
      </c>
      <c r="C5215" t="s">
        <v>342</v>
      </c>
      <c r="D5215" t="s">
        <v>2472</v>
      </c>
      <c r="E5215" t="s">
        <v>2474</v>
      </c>
      <c r="F5215" t="s">
        <v>1638</v>
      </c>
      <c r="G5215" t="s">
        <v>1638</v>
      </c>
      <c r="H5215" s="10">
        <v>1014518</v>
      </c>
      <c r="I5215">
        <f>IFERROR(VLOOKUP(Final!F5215,'LEAID Match'!$A$2:$B$374,2,FALSE),"")</f>
        <v>401600</v>
      </c>
      <c r="K5215" s="10">
        <f t="shared" si="81"/>
        <v>1014518</v>
      </c>
    </row>
    <row r="5216" spans="1:11">
      <c r="A5216">
        <v>401600</v>
      </c>
      <c r="B5216" s="10">
        <v>2022</v>
      </c>
      <c r="C5216" t="s">
        <v>342</v>
      </c>
      <c r="D5216" t="s">
        <v>2472</v>
      </c>
      <c r="E5216" t="s">
        <v>2474</v>
      </c>
      <c r="F5216" t="s">
        <v>1638</v>
      </c>
      <c r="G5216" t="s">
        <v>1638</v>
      </c>
      <c r="H5216" s="10">
        <v>1104884</v>
      </c>
      <c r="I5216">
        <f>IFERROR(VLOOKUP(Final!F5216,'LEAID Match'!$A$2:$B$374,2,FALSE),"")</f>
        <v>401600</v>
      </c>
      <c r="K5216" s="10">
        <f t="shared" si="81"/>
        <v>1104884</v>
      </c>
    </row>
    <row r="5217" spans="1:11">
      <c r="A5217">
        <v>401600</v>
      </c>
      <c r="B5217" s="10">
        <v>2023</v>
      </c>
      <c r="C5217" t="s">
        <v>342</v>
      </c>
      <c r="D5217" t="s">
        <v>2472</v>
      </c>
      <c r="E5217" t="s">
        <v>2474</v>
      </c>
      <c r="F5217" t="s">
        <v>1638</v>
      </c>
      <c r="G5217" t="s">
        <v>1638</v>
      </c>
      <c r="H5217" s="10">
        <v>1171451</v>
      </c>
      <c r="I5217">
        <f>IFERROR(VLOOKUP(Final!F5217,'LEAID Match'!$A$2:$B$374,2,FALSE),"")</f>
        <v>401600</v>
      </c>
      <c r="K5217" s="10">
        <f t="shared" si="81"/>
        <v>1171451</v>
      </c>
    </row>
    <row r="5218" spans="1:11">
      <c r="A5218">
        <v>400910</v>
      </c>
      <c r="B5218" s="10">
        <v>2015</v>
      </c>
      <c r="C5218" t="s">
        <v>1422</v>
      </c>
      <c r="D5218" t="s">
        <v>2472</v>
      </c>
      <c r="E5218" t="s">
        <v>2474</v>
      </c>
      <c r="F5218" t="s">
        <v>1616</v>
      </c>
      <c r="G5218" t="s">
        <v>255</v>
      </c>
      <c r="H5218" s="10">
        <v>171464</v>
      </c>
      <c r="I5218">
        <f>IFERROR(VLOOKUP(Final!F5218,'LEAID Match'!$A$2:$B$374,2,FALSE),"")</f>
        <v>400910</v>
      </c>
      <c r="K5218" s="10">
        <f t="shared" si="81"/>
        <v>171464</v>
      </c>
    </row>
    <row r="5219" spans="1:11">
      <c r="A5219">
        <v>400910</v>
      </c>
      <c r="B5219" s="10">
        <v>2016</v>
      </c>
      <c r="C5219" t="s">
        <v>1422</v>
      </c>
      <c r="D5219" t="s">
        <v>2472</v>
      </c>
      <c r="E5219" t="s">
        <v>2474</v>
      </c>
      <c r="F5219" t="s">
        <v>1616</v>
      </c>
      <c r="G5219" t="s">
        <v>255</v>
      </c>
      <c r="H5219" s="10">
        <v>152650</v>
      </c>
      <c r="I5219">
        <f>IFERROR(VLOOKUP(Final!F5219,'LEAID Match'!$A$2:$B$374,2,FALSE),"")</f>
        <v>400910</v>
      </c>
      <c r="K5219" s="10">
        <f t="shared" si="81"/>
        <v>152650</v>
      </c>
    </row>
    <row r="5220" spans="1:11">
      <c r="A5220">
        <v>400910</v>
      </c>
      <c r="B5220" s="10">
        <v>2017</v>
      </c>
      <c r="C5220" t="s">
        <v>1422</v>
      </c>
      <c r="D5220" t="s">
        <v>2472</v>
      </c>
      <c r="E5220" t="s">
        <v>2474</v>
      </c>
      <c r="F5220" t="s">
        <v>1616</v>
      </c>
      <c r="G5220" t="s">
        <v>1616</v>
      </c>
      <c r="H5220" s="10">
        <v>144180</v>
      </c>
      <c r="I5220">
        <f>IFERROR(VLOOKUP(Final!F5220,'LEAID Match'!$A$2:$B$374,2,FALSE),"")</f>
        <v>400910</v>
      </c>
      <c r="K5220" s="10">
        <f t="shared" si="81"/>
        <v>144180</v>
      </c>
    </row>
    <row r="5221" spans="1:11">
      <c r="A5221">
        <v>400910</v>
      </c>
      <c r="B5221" s="10">
        <v>2018</v>
      </c>
      <c r="C5221" t="s">
        <v>1422</v>
      </c>
      <c r="D5221" t="s">
        <v>2472</v>
      </c>
      <c r="E5221" t="s">
        <v>2474</v>
      </c>
      <c r="F5221" t="s">
        <v>1616</v>
      </c>
      <c r="G5221" t="s">
        <v>2120</v>
      </c>
      <c r="H5221" s="10">
        <v>152634</v>
      </c>
      <c r="I5221">
        <f>IFERROR(VLOOKUP(Final!F5221,'LEAID Match'!$A$2:$B$374,2,FALSE),"")</f>
        <v>400910</v>
      </c>
      <c r="K5221" s="10">
        <f t="shared" si="81"/>
        <v>152634</v>
      </c>
    </row>
    <row r="5222" spans="1:11">
      <c r="A5222">
        <v>400910</v>
      </c>
      <c r="B5222" s="10">
        <v>2019</v>
      </c>
      <c r="C5222" t="s">
        <v>1422</v>
      </c>
      <c r="D5222" t="s">
        <v>2472</v>
      </c>
      <c r="E5222" t="s">
        <v>2474</v>
      </c>
      <c r="F5222" t="s">
        <v>1616</v>
      </c>
      <c r="G5222" t="s">
        <v>1616</v>
      </c>
      <c r="H5222" s="10">
        <v>180648</v>
      </c>
      <c r="I5222">
        <f>IFERROR(VLOOKUP(Final!F5222,'LEAID Match'!$A$2:$B$374,2,FALSE),"")</f>
        <v>400910</v>
      </c>
      <c r="K5222" s="10">
        <f t="shared" si="81"/>
        <v>180648</v>
      </c>
    </row>
    <row r="5223" spans="1:11">
      <c r="A5223">
        <v>400910</v>
      </c>
      <c r="B5223" s="10">
        <v>2020</v>
      </c>
      <c r="C5223" t="s">
        <v>1422</v>
      </c>
      <c r="D5223" t="s">
        <v>2472</v>
      </c>
      <c r="E5223" t="s">
        <v>2474</v>
      </c>
      <c r="F5223" t="s">
        <v>1616</v>
      </c>
      <c r="G5223" t="s">
        <v>1616</v>
      </c>
      <c r="H5223" s="10">
        <v>190818</v>
      </c>
      <c r="I5223">
        <f>IFERROR(VLOOKUP(Final!F5223,'LEAID Match'!$A$2:$B$374,2,FALSE),"")</f>
        <v>400910</v>
      </c>
      <c r="K5223" s="10">
        <f t="shared" si="81"/>
        <v>190818</v>
      </c>
    </row>
    <row r="5224" spans="1:11">
      <c r="A5224">
        <v>400910</v>
      </c>
      <c r="B5224" s="10">
        <v>2021</v>
      </c>
      <c r="C5224" t="s">
        <v>1422</v>
      </c>
      <c r="D5224" t="s">
        <v>2472</v>
      </c>
      <c r="E5224" t="s">
        <v>2474</v>
      </c>
      <c r="F5224" t="s">
        <v>1616</v>
      </c>
      <c r="G5224" t="s">
        <v>1616</v>
      </c>
      <c r="H5224" s="10">
        <v>217074</v>
      </c>
      <c r="I5224">
        <f>IFERROR(VLOOKUP(Final!F5224,'LEAID Match'!$A$2:$B$374,2,FALSE),"")</f>
        <v>400910</v>
      </c>
      <c r="K5224" s="10">
        <f t="shared" si="81"/>
        <v>217074</v>
      </c>
    </row>
    <row r="5225" spans="1:11">
      <c r="A5225">
        <v>400910</v>
      </c>
      <c r="B5225" s="10">
        <v>2022</v>
      </c>
      <c r="C5225" t="s">
        <v>1422</v>
      </c>
      <c r="D5225" t="s">
        <v>2472</v>
      </c>
      <c r="E5225" t="s">
        <v>2474</v>
      </c>
      <c r="F5225" t="s">
        <v>1616</v>
      </c>
      <c r="G5225" t="s">
        <v>1616</v>
      </c>
      <c r="H5225" s="10">
        <v>238849</v>
      </c>
      <c r="I5225">
        <f>IFERROR(VLOOKUP(Final!F5225,'LEAID Match'!$A$2:$B$374,2,FALSE),"")</f>
        <v>400910</v>
      </c>
      <c r="K5225" s="10">
        <f t="shared" si="81"/>
        <v>238849</v>
      </c>
    </row>
    <row r="5226" spans="1:11">
      <c r="A5226">
        <v>400910</v>
      </c>
      <c r="B5226" s="10">
        <v>2023</v>
      </c>
      <c r="C5226" t="s">
        <v>1422</v>
      </c>
      <c r="D5226" t="s">
        <v>2472</v>
      </c>
      <c r="E5226" t="s">
        <v>2474</v>
      </c>
      <c r="F5226" t="s">
        <v>1616</v>
      </c>
      <c r="G5226" t="s">
        <v>1616</v>
      </c>
      <c r="H5226" s="10">
        <v>230463</v>
      </c>
      <c r="I5226">
        <f>IFERROR(VLOOKUP(Final!F5226,'LEAID Match'!$A$2:$B$374,2,FALSE),"")</f>
        <v>400910</v>
      </c>
      <c r="K5226" s="10">
        <f t="shared" si="81"/>
        <v>230463</v>
      </c>
    </row>
    <row r="5227" spans="1:11">
      <c r="A5227">
        <v>408460</v>
      </c>
      <c r="B5227" s="10">
        <v>2015</v>
      </c>
      <c r="C5227" t="s">
        <v>690</v>
      </c>
      <c r="D5227" t="s">
        <v>2472</v>
      </c>
      <c r="E5227" t="s">
        <v>2474</v>
      </c>
      <c r="F5227" t="s">
        <v>1750</v>
      </c>
      <c r="G5227" t="s">
        <v>635</v>
      </c>
      <c r="H5227" s="10">
        <v>18569</v>
      </c>
      <c r="I5227">
        <f>IFERROR(VLOOKUP(Final!F5227,'LEAID Match'!$A$2:$B$374,2,FALSE),"")</f>
        <v>408460</v>
      </c>
      <c r="K5227" s="10">
        <f t="shared" si="81"/>
        <v>18569</v>
      </c>
    </row>
    <row r="5228" spans="1:11">
      <c r="A5228">
        <v>408460</v>
      </c>
      <c r="B5228" s="10">
        <v>2016</v>
      </c>
      <c r="C5228" t="s">
        <v>690</v>
      </c>
      <c r="D5228" t="s">
        <v>2472</v>
      </c>
      <c r="E5228" t="s">
        <v>2474</v>
      </c>
      <c r="F5228" t="s">
        <v>1750</v>
      </c>
      <c r="G5228" t="s">
        <v>635</v>
      </c>
      <c r="H5228" s="10">
        <v>18078</v>
      </c>
      <c r="I5228">
        <f>IFERROR(VLOOKUP(Final!F5228,'LEAID Match'!$A$2:$B$374,2,FALSE),"")</f>
        <v>408460</v>
      </c>
      <c r="K5228" s="10">
        <f t="shared" si="81"/>
        <v>18078</v>
      </c>
    </row>
    <row r="5229" spans="1:11">
      <c r="A5229">
        <v>408460</v>
      </c>
      <c r="B5229" s="10">
        <v>2017</v>
      </c>
      <c r="C5229" t="s">
        <v>690</v>
      </c>
      <c r="D5229" t="s">
        <v>2472</v>
      </c>
      <c r="E5229" t="s">
        <v>2474</v>
      </c>
      <c r="F5229" t="s">
        <v>1750</v>
      </c>
      <c r="G5229" t="s">
        <v>1750</v>
      </c>
      <c r="H5229" s="10">
        <v>17489</v>
      </c>
      <c r="I5229">
        <f>IFERROR(VLOOKUP(Final!F5229,'LEAID Match'!$A$2:$B$374,2,FALSE),"")</f>
        <v>408460</v>
      </c>
      <c r="K5229" s="10">
        <f t="shared" si="81"/>
        <v>17489</v>
      </c>
    </row>
    <row r="5230" spans="1:11">
      <c r="A5230">
        <v>408460</v>
      </c>
      <c r="B5230" s="10">
        <v>2018</v>
      </c>
      <c r="C5230" t="s">
        <v>690</v>
      </c>
      <c r="D5230" t="s">
        <v>2472</v>
      </c>
      <c r="E5230" t="s">
        <v>2474</v>
      </c>
      <c r="F5230" t="s">
        <v>1750</v>
      </c>
      <c r="G5230" t="s">
        <v>2209</v>
      </c>
      <c r="H5230" s="10">
        <v>17266</v>
      </c>
      <c r="I5230">
        <f>IFERROR(VLOOKUP(Final!F5230,'LEAID Match'!$A$2:$B$374,2,FALSE),"")</f>
        <v>408460</v>
      </c>
      <c r="K5230" s="10">
        <f t="shared" si="81"/>
        <v>17266</v>
      </c>
    </row>
    <row r="5231" spans="1:11">
      <c r="A5231">
        <v>408460</v>
      </c>
      <c r="B5231" s="10">
        <v>2019</v>
      </c>
      <c r="C5231" t="s">
        <v>690</v>
      </c>
      <c r="D5231" t="s">
        <v>2472</v>
      </c>
      <c r="E5231" t="s">
        <v>2474</v>
      </c>
      <c r="F5231" t="s">
        <v>1750</v>
      </c>
      <c r="G5231" t="s">
        <v>1750</v>
      </c>
      <c r="H5231" s="10">
        <v>10374</v>
      </c>
      <c r="I5231">
        <f>IFERROR(VLOOKUP(Final!F5231,'LEAID Match'!$A$2:$B$374,2,FALSE),"")</f>
        <v>408460</v>
      </c>
      <c r="K5231" s="10">
        <f t="shared" si="81"/>
        <v>10374</v>
      </c>
    </row>
    <row r="5232" spans="1:11">
      <c r="A5232">
        <v>408460</v>
      </c>
      <c r="B5232" s="10">
        <v>2020</v>
      </c>
      <c r="C5232" t="s">
        <v>690</v>
      </c>
      <c r="D5232" t="s">
        <v>2472</v>
      </c>
      <c r="E5232" t="s">
        <v>2474</v>
      </c>
      <c r="F5232" t="s">
        <v>1750</v>
      </c>
      <c r="G5232" t="s">
        <v>1750</v>
      </c>
      <c r="H5232" s="10">
        <v>10574</v>
      </c>
      <c r="I5232">
        <f>IFERROR(VLOOKUP(Final!F5232,'LEAID Match'!$A$2:$B$374,2,FALSE),"")</f>
        <v>408460</v>
      </c>
      <c r="K5232" s="10">
        <f t="shared" si="81"/>
        <v>10574</v>
      </c>
    </row>
    <row r="5233" spans="1:11">
      <c r="A5233">
        <v>408460</v>
      </c>
      <c r="B5233" s="10">
        <v>2021</v>
      </c>
      <c r="C5233" t="s">
        <v>690</v>
      </c>
      <c r="D5233" t="s">
        <v>2472</v>
      </c>
      <c r="E5233" t="s">
        <v>2474</v>
      </c>
      <c r="F5233" t="s">
        <v>1750</v>
      </c>
      <c r="G5233" t="s">
        <v>1750</v>
      </c>
      <c r="H5233" s="10">
        <v>11037</v>
      </c>
      <c r="I5233">
        <f>IFERROR(VLOOKUP(Final!F5233,'LEAID Match'!$A$2:$B$374,2,FALSE),"")</f>
        <v>408460</v>
      </c>
      <c r="K5233" s="10">
        <f t="shared" si="81"/>
        <v>11037</v>
      </c>
    </row>
    <row r="5234" spans="1:11">
      <c r="A5234">
        <v>408460</v>
      </c>
      <c r="B5234" s="10">
        <v>2022</v>
      </c>
      <c r="C5234" t="s">
        <v>690</v>
      </c>
      <c r="D5234" t="s">
        <v>2472</v>
      </c>
      <c r="E5234" t="s">
        <v>2474</v>
      </c>
      <c r="F5234" t="s">
        <v>1750</v>
      </c>
      <c r="G5234" t="s">
        <v>1750</v>
      </c>
      <c r="H5234" s="10">
        <v>13227</v>
      </c>
      <c r="I5234">
        <f>IFERROR(VLOOKUP(Final!F5234,'LEAID Match'!$A$2:$B$374,2,FALSE),"")</f>
        <v>408460</v>
      </c>
      <c r="K5234" s="10">
        <f t="shared" si="81"/>
        <v>13227</v>
      </c>
    </row>
    <row r="5235" spans="1:11">
      <c r="A5235">
        <v>408460</v>
      </c>
      <c r="B5235" s="10">
        <v>2023</v>
      </c>
      <c r="C5235" t="s">
        <v>690</v>
      </c>
      <c r="D5235" t="s">
        <v>2472</v>
      </c>
      <c r="E5235" t="s">
        <v>2474</v>
      </c>
      <c r="F5235" t="s">
        <v>1750</v>
      </c>
      <c r="G5235" t="s">
        <v>1750</v>
      </c>
      <c r="H5235" s="10">
        <v>11989</v>
      </c>
      <c r="I5235">
        <f>IFERROR(VLOOKUP(Final!F5235,'LEAID Match'!$A$2:$B$374,2,FALSE),"")</f>
        <v>408460</v>
      </c>
      <c r="K5235" s="10">
        <f t="shared" si="81"/>
        <v>11989</v>
      </c>
    </row>
    <row r="5236" spans="1:11">
      <c r="A5236">
        <v>407630</v>
      </c>
      <c r="B5236" s="10">
        <v>2015</v>
      </c>
      <c r="C5236" t="s">
        <v>1117</v>
      </c>
      <c r="D5236" t="s">
        <v>2472</v>
      </c>
      <c r="E5236" t="s">
        <v>2474</v>
      </c>
      <c r="F5236" t="s">
        <v>1944</v>
      </c>
      <c r="G5236" t="s">
        <v>1062</v>
      </c>
      <c r="H5236" s="10">
        <v>154767</v>
      </c>
      <c r="I5236">
        <f>IFERROR(VLOOKUP(Final!F5236,'LEAID Match'!$A$2:$B$374,2,FALSE),"")</f>
        <v>407630</v>
      </c>
      <c r="K5236" s="10">
        <f t="shared" si="81"/>
        <v>154767</v>
      </c>
    </row>
    <row r="5237" spans="1:11">
      <c r="A5237">
        <v>407630</v>
      </c>
      <c r="B5237" s="10">
        <v>2016</v>
      </c>
      <c r="C5237" t="s">
        <v>1117</v>
      </c>
      <c r="D5237" t="s">
        <v>2472</v>
      </c>
      <c r="E5237" t="s">
        <v>2474</v>
      </c>
      <c r="F5237" t="s">
        <v>1944</v>
      </c>
      <c r="G5237" t="s">
        <v>1062</v>
      </c>
      <c r="H5237" s="10">
        <v>147789</v>
      </c>
      <c r="I5237">
        <f>IFERROR(VLOOKUP(Final!F5237,'LEAID Match'!$A$2:$B$374,2,FALSE),"")</f>
        <v>407630</v>
      </c>
      <c r="K5237" s="10">
        <f t="shared" si="81"/>
        <v>147789</v>
      </c>
    </row>
    <row r="5238" spans="1:11">
      <c r="A5238">
        <v>407630</v>
      </c>
      <c r="B5238" s="10">
        <v>2017</v>
      </c>
      <c r="C5238" t="s">
        <v>1117</v>
      </c>
      <c r="D5238" t="s">
        <v>2472</v>
      </c>
      <c r="E5238" t="s">
        <v>2474</v>
      </c>
      <c r="F5238" t="s">
        <v>1944</v>
      </c>
      <c r="G5238" t="s">
        <v>1944</v>
      </c>
      <c r="H5238" s="10">
        <v>156393</v>
      </c>
      <c r="I5238">
        <f>IFERROR(VLOOKUP(Final!F5238,'LEAID Match'!$A$2:$B$374,2,FALSE),"")</f>
        <v>407630</v>
      </c>
      <c r="K5238" s="10">
        <f t="shared" si="81"/>
        <v>156393</v>
      </c>
    </row>
    <row r="5239" spans="1:11">
      <c r="A5239">
        <v>407630</v>
      </c>
      <c r="B5239" s="10">
        <v>2018</v>
      </c>
      <c r="C5239" t="s">
        <v>1117</v>
      </c>
      <c r="D5239" t="s">
        <v>2472</v>
      </c>
      <c r="E5239" t="s">
        <v>2474</v>
      </c>
      <c r="F5239" t="s">
        <v>1944</v>
      </c>
      <c r="G5239" t="s">
        <v>2309</v>
      </c>
      <c r="H5239" s="10">
        <v>136037</v>
      </c>
      <c r="I5239">
        <f>IFERROR(VLOOKUP(Final!F5239,'LEAID Match'!$A$2:$B$374,2,FALSE),"")</f>
        <v>407630</v>
      </c>
      <c r="K5239" s="10">
        <f t="shared" si="81"/>
        <v>136037</v>
      </c>
    </row>
    <row r="5240" spans="1:11">
      <c r="A5240">
        <v>407630</v>
      </c>
      <c r="B5240" s="10">
        <v>2019</v>
      </c>
      <c r="C5240" t="s">
        <v>1117</v>
      </c>
      <c r="D5240" t="s">
        <v>2472</v>
      </c>
      <c r="E5240" t="s">
        <v>2474</v>
      </c>
      <c r="F5240" t="s">
        <v>1944</v>
      </c>
      <c r="G5240" t="s">
        <v>1944</v>
      </c>
      <c r="H5240" s="10">
        <v>153812</v>
      </c>
      <c r="I5240">
        <f>IFERROR(VLOOKUP(Final!F5240,'LEAID Match'!$A$2:$B$374,2,FALSE),"")</f>
        <v>407630</v>
      </c>
      <c r="K5240" s="10">
        <f t="shared" si="81"/>
        <v>153812</v>
      </c>
    </row>
    <row r="5241" spans="1:11">
      <c r="A5241">
        <v>407630</v>
      </c>
      <c r="B5241" s="10">
        <v>2020</v>
      </c>
      <c r="C5241" t="s">
        <v>1117</v>
      </c>
      <c r="D5241" t="s">
        <v>2472</v>
      </c>
      <c r="E5241" t="s">
        <v>2474</v>
      </c>
      <c r="F5241" t="s">
        <v>1944</v>
      </c>
      <c r="G5241" t="s">
        <v>1944</v>
      </c>
      <c r="H5241" s="10">
        <v>146233</v>
      </c>
      <c r="I5241">
        <f>IFERROR(VLOOKUP(Final!F5241,'LEAID Match'!$A$2:$B$374,2,FALSE),"")</f>
        <v>407630</v>
      </c>
      <c r="K5241" s="10">
        <f t="shared" si="81"/>
        <v>146233</v>
      </c>
    </row>
    <row r="5242" spans="1:11">
      <c r="A5242">
        <v>407630</v>
      </c>
      <c r="B5242" s="10">
        <v>2021</v>
      </c>
      <c r="C5242" t="s">
        <v>1117</v>
      </c>
      <c r="D5242" t="s">
        <v>2472</v>
      </c>
      <c r="E5242" t="s">
        <v>2474</v>
      </c>
      <c r="F5242" t="s">
        <v>1944</v>
      </c>
      <c r="G5242" t="s">
        <v>1944</v>
      </c>
      <c r="H5242" s="10">
        <v>151960</v>
      </c>
      <c r="I5242">
        <f>IFERROR(VLOOKUP(Final!F5242,'LEAID Match'!$A$2:$B$374,2,FALSE),"")</f>
        <v>407630</v>
      </c>
      <c r="K5242" s="10">
        <f t="shared" si="81"/>
        <v>151960</v>
      </c>
    </row>
    <row r="5243" spans="1:11">
      <c r="A5243">
        <v>407630</v>
      </c>
      <c r="B5243" s="10">
        <v>2022</v>
      </c>
      <c r="C5243" t="s">
        <v>1117</v>
      </c>
      <c r="D5243" t="s">
        <v>2472</v>
      </c>
      <c r="E5243" t="s">
        <v>2474</v>
      </c>
      <c r="F5243" t="s">
        <v>1944</v>
      </c>
      <c r="G5243" t="s">
        <v>1944</v>
      </c>
      <c r="H5243" s="10">
        <v>177256</v>
      </c>
      <c r="I5243">
        <f>IFERROR(VLOOKUP(Final!F5243,'LEAID Match'!$A$2:$B$374,2,FALSE),"")</f>
        <v>407630</v>
      </c>
      <c r="K5243" s="10">
        <f t="shared" si="81"/>
        <v>177256</v>
      </c>
    </row>
    <row r="5244" spans="1:11">
      <c r="A5244">
        <v>407630</v>
      </c>
      <c r="B5244" s="10">
        <v>2023</v>
      </c>
      <c r="C5244" t="s">
        <v>1117</v>
      </c>
      <c r="D5244" t="s">
        <v>2472</v>
      </c>
      <c r="E5244" t="s">
        <v>2474</v>
      </c>
      <c r="F5244" t="s">
        <v>1944</v>
      </c>
      <c r="G5244" t="s">
        <v>1944</v>
      </c>
      <c r="H5244" s="10">
        <v>247359</v>
      </c>
      <c r="I5244">
        <f>IFERROR(VLOOKUP(Final!F5244,'LEAID Match'!$A$2:$B$374,2,FALSE),"")</f>
        <v>407630</v>
      </c>
      <c r="K5244" s="10">
        <f t="shared" si="81"/>
        <v>247359</v>
      </c>
    </row>
    <row r="5245" spans="1:11">
      <c r="A5245">
        <v>402460</v>
      </c>
      <c r="B5245" s="10">
        <v>2015</v>
      </c>
      <c r="C5245" t="s">
        <v>492</v>
      </c>
      <c r="D5245" t="s">
        <v>2472</v>
      </c>
      <c r="E5245" t="s">
        <v>2474</v>
      </c>
      <c r="F5245" t="s">
        <v>1683</v>
      </c>
      <c r="G5245" t="s">
        <v>437</v>
      </c>
      <c r="H5245" s="10">
        <v>3228</v>
      </c>
      <c r="I5245">
        <f>IFERROR(VLOOKUP(Final!F5245,'LEAID Match'!$A$2:$B$374,2,FALSE),"")</f>
        <v>402460</v>
      </c>
      <c r="K5245" s="10">
        <f t="shared" si="81"/>
        <v>3228</v>
      </c>
    </row>
    <row r="5246" spans="1:11">
      <c r="A5246">
        <v>402460</v>
      </c>
      <c r="B5246" s="10">
        <v>2016</v>
      </c>
      <c r="C5246" t="s">
        <v>492</v>
      </c>
      <c r="D5246" t="s">
        <v>2472</v>
      </c>
      <c r="E5246" t="s">
        <v>2474</v>
      </c>
      <c r="F5246" t="s">
        <v>1683</v>
      </c>
      <c r="G5246" t="s">
        <v>437</v>
      </c>
      <c r="H5246" s="10">
        <v>3631</v>
      </c>
      <c r="I5246">
        <f>IFERROR(VLOOKUP(Final!F5246,'LEAID Match'!$A$2:$B$374,2,FALSE),"")</f>
        <v>402460</v>
      </c>
      <c r="K5246" s="10">
        <f t="shared" si="81"/>
        <v>3631</v>
      </c>
    </row>
    <row r="5247" spans="1:11">
      <c r="A5247">
        <v>402460</v>
      </c>
      <c r="B5247" s="10">
        <v>2017</v>
      </c>
      <c r="C5247" t="s">
        <v>492</v>
      </c>
      <c r="D5247" t="s">
        <v>2472</v>
      </c>
      <c r="E5247" t="s">
        <v>2474</v>
      </c>
      <c r="F5247" t="s">
        <v>1683</v>
      </c>
      <c r="G5247" t="s">
        <v>1683</v>
      </c>
      <c r="H5247" s="10">
        <v>5796</v>
      </c>
      <c r="I5247">
        <f>IFERROR(VLOOKUP(Final!F5247,'LEAID Match'!$A$2:$B$374,2,FALSE),"")</f>
        <v>402460</v>
      </c>
      <c r="K5247" s="10">
        <f t="shared" si="81"/>
        <v>5796</v>
      </c>
    </row>
    <row r="5248" spans="1:11">
      <c r="A5248">
        <v>402460</v>
      </c>
      <c r="B5248" s="10">
        <v>2018</v>
      </c>
      <c r="C5248" t="s">
        <v>492</v>
      </c>
      <c r="D5248" t="s">
        <v>2472</v>
      </c>
      <c r="E5248" t="s">
        <v>2474</v>
      </c>
      <c r="F5248" t="s">
        <v>1683</v>
      </c>
      <c r="G5248" t="s">
        <v>2168</v>
      </c>
      <c r="H5248" s="10">
        <v>6228</v>
      </c>
      <c r="I5248">
        <f>IFERROR(VLOOKUP(Final!F5248,'LEAID Match'!$A$2:$B$374,2,FALSE),"")</f>
        <v>402460</v>
      </c>
      <c r="K5248" s="10">
        <f t="shared" si="81"/>
        <v>6228</v>
      </c>
    </row>
    <row r="5249" spans="1:11">
      <c r="A5249">
        <v>402460</v>
      </c>
      <c r="B5249" s="10">
        <v>2019</v>
      </c>
      <c r="C5249" t="s">
        <v>492</v>
      </c>
      <c r="D5249" t="s">
        <v>2472</v>
      </c>
      <c r="E5249" t="s">
        <v>2474</v>
      </c>
      <c r="F5249" t="s">
        <v>1683</v>
      </c>
      <c r="G5249" t="s">
        <v>1683</v>
      </c>
      <c r="H5249" s="10">
        <v>7543</v>
      </c>
      <c r="I5249">
        <f>IFERROR(VLOOKUP(Final!F5249,'LEAID Match'!$A$2:$B$374,2,FALSE),"")</f>
        <v>402460</v>
      </c>
      <c r="K5249" s="10">
        <f t="shared" si="81"/>
        <v>7543</v>
      </c>
    </row>
    <row r="5250" spans="1:11">
      <c r="A5250">
        <v>402460</v>
      </c>
      <c r="B5250" s="10">
        <v>2020</v>
      </c>
      <c r="C5250" t="s">
        <v>492</v>
      </c>
      <c r="D5250" t="s">
        <v>2472</v>
      </c>
      <c r="E5250" t="s">
        <v>2474</v>
      </c>
      <c r="F5250" t="s">
        <v>1683</v>
      </c>
      <c r="G5250" t="s">
        <v>1683</v>
      </c>
      <c r="H5250" s="10">
        <v>6514</v>
      </c>
      <c r="I5250">
        <f>IFERROR(VLOOKUP(Final!F5250,'LEAID Match'!$A$2:$B$374,2,FALSE),"")</f>
        <v>402460</v>
      </c>
      <c r="K5250" s="10">
        <f t="shared" si="81"/>
        <v>6514</v>
      </c>
    </row>
    <row r="5251" spans="1:11">
      <c r="A5251">
        <v>402460</v>
      </c>
      <c r="B5251" s="10">
        <v>2021</v>
      </c>
      <c r="C5251" t="s">
        <v>492</v>
      </c>
      <c r="D5251" t="s">
        <v>2472</v>
      </c>
      <c r="E5251" t="s">
        <v>2474</v>
      </c>
      <c r="F5251" t="s">
        <v>1683</v>
      </c>
      <c r="G5251" t="s">
        <v>1683</v>
      </c>
      <c r="H5251" s="10">
        <v>7108</v>
      </c>
      <c r="I5251">
        <f>IFERROR(VLOOKUP(Final!F5251,'LEAID Match'!$A$2:$B$374,2,FALSE),"")</f>
        <v>402460</v>
      </c>
      <c r="K5251" s="10">
        <f t="shared" ref="K5251:K5314" si="82">SUM(H5251,J5251)</f>
        <v>7108</v>
      </c>
    </row>
    <row r="5252" spans="1:11">
      <c r="A5252">
        <v>402460</v>
      </c>
      <c r="B5252" s="10">
        <v>2022</v>
      </c>
      <c r="C5252" t="s">
        <v>492</v>
      </c>
      <c r="D5252" t="s">
        <v>2472</v>
      </c>
      <c r="E5252" t="s">
        <v>2474</v>
      </c>
      <c r="F5252" t="s">
        <v>1683</v>
      </c>
      <c r="G5252" t="s">
        <v>1683</v>
      </c>
      <c r="H5252" s="10">
        <v>9320</v>
      </c>
      <c r="I5252">
        <f>IFERROR(VLOOKUP(Final!F5252,'LEAID Match'!$A$2:$B$374,2,FALSE),"")</f>
        <v>402460</v>
      </c>
      <c r="K5252" s="10">
        <f t="shared" si="82"/>
        <v>9320</v>
      </c>
    </row>
    <row r="5253" spans="1:11">
      <c r="A5253">
        <v>402460</v>
      </c>
      <c r="B5253" s="10">
        <v>2023</v>
      </c>
      <c r="C5253" t="s">
        <v>492</v>
      </c>
      <c r="D5253" t="s">
        <v>2472</v>
      </c>
      <c r="E5253" t="s">
        <v>2474</v>
      </c>
      <c r="F5253" t="s">
        <v>1683</v>
      </c>
      <c r="G5253" t="s">
        <v>1683</v>
      </c>
      <c r="H5253" s="10">
        <v>13779</v>
      </c>
      <c r="I5253">
        <f>IFERROR(VLOOKUP(Final!F5253,'LEAID Match'!$A$2:$B$374,2,FALSE),"")</f>
        <v>402460</v>
      </c>
      <c r="K5253" s="10">
        <f t="shared" si="82"/>
        <v>13779</v>
      </c>
    </row>
    <row r="5254" spans="1:11">
      <c r="A5254">
        <v>404820</v>
      </c>
      <c r="B5254" s="10">
        <v>2015</v>
      </c>
      <c r="C5254" t="s">
        <v>792</v>
      </c>
      <c r="D5254" t="s">
        <v>2472</v>
      </c>
      <c r="E5254" t="s">
        <v>2474</v>
      </c>
      <c r="F5254" t="s">
        <v>1803</v>
      </c>
      <c r="G5254" t="s">
        <v>737</v>
      </c>
      <c r="H5254" s="10">
        <v>324716</v>
      </c>
      <c r="I5254">
        <f>IFERROR(VLOOKUP(Final!F5254,'LEAID Match'!$A$2:$B$374,2,FALSE),"")</f>
        <v>404820</v>
      </c>
      <c r="K5254" s="10">
        <f t="shared" si="82"/>
        <v>324716</v>
      </c>
    </row>
    <row r="5255" spans="1:11">
      <c r="A5255">
        <v>404820</v>
      </c>
      <c r="B5255" s="10">
        <v>2016</v>
      </c>
      <c r="C5255" t="s">
        <v>792</v>
      </c>
      <c r="D5255" t="s">
        <v>2472</v>
      </c>
      <c r="E5255" t="s">
        <v>2474</v>
      </c>
      <c r="F5255" t="s">
        <v>1803</v>
      </c>
      <c r="G5255" t="s">
        <v>737</v>
      </c>
      <c r="H5255" s="10">
        <v>323552</v>
      </c>
      <c r="I5255">
        <f>IFERROR(VLOOKUP(Final!F5255,'LEAID Match'!$A$2:$B$374,2,FALSE),"")</f>
        <v>404820</v>
      </c>
      <c r="K5255" s="10">
        <f t="shared" si="82"/>
        <v>323552</v>
      </c>
    </row>
    <row r="5256" spans="1:11">
      <c r="A5256">
        <v>404820</v>
      </c>
      <c r="B5256" s="10">
        <v>2017</v>
      </c>
      <c r="C5256" t="s">
        <v>792</v>
      </c>
      <c r="D5256" t="s">
        <v>2472</v>
      </c>
      <c r="E5256" t="s">
        <v>2474</v>
      </c>
      <c r="F5256" t="s">
        <v>1803</v>
      </c>
      <c r="G5256" t="s">
        <v>1803</v>
      </c>
      <c r="H5256" s="10">
        <v>334279</v>
      </c>
      <c r="I5256">
        <f>IFERROR(VLOOKUP(Final!F5256,'LEAID Match'!$A$2:$B$374,2,FALSE),"")</f>
        <v>404820</v>
      </c>
      <c r="K5256" s="10">
        <f t="shared" si="82"/>
        <v>334279</v>
      </c>
    </row>
    <row r="5257" spans="1:11">
      <c r="A5257">
        <v>404820</v>
      </c>
      <c r="B5257" s="10">
        <v>2018</v>
      </c>
      <c r="C5257" t="s">
        <v>792</v>
      </c>
      <c r="D5257" t="s">
        <v>2472</v>
      </c>
      <c r="E5257" t="s">
        <v>2474</v>
      </c>
      <c r="F5257" t="s">
        <v>1803</v>
      </c>
      <c r="G5257" t="s">
        <v>1803</v>
      </c>
      <c r="H5257" s="10">
        <v>341374</v>
      </c>
      <c r="I5257">
        <f>IFERROR(VLOOKUP(Final!F5257,'LEAID Match'!$A$2:$B$374,2,FALSE),"")</f>
        <v>404820</v>
      </c>
      <c r="K5257" s="10">
        <f t="shared" si="82"/>
        <v>341374</v>
      </c>
    </row>
    <row r="5258" spans="1:11">
      <c r="A5258">
        <v>404820</v>
      </c>
      <c r="B5258" s="10">
        <v>2019</v>
      </c>
      <c r="C5258" t="s">
        <v>792</v>
      </c>
      <c r="D5258" t="s">
        <v>2472</v>
      </c>
      <c r="E5258" t="s">
        <v>2474</v>
      </c>
      <c r="F5258" t="s">
        <v>1803</v>
      </c>
      <c r="G5258" t="s">
        <v>1803</v>
      </c>
      <c r="H5258" s="10">
        <v>373077</v>
      </c>
      <c r="I5258">
        <f>IFERROR(VLOOKUP(Final!F5258,'LEAID Match'!$A$2:$B$374,2,FALSE),"")</f>
        <v>404820</v>
      </c>
      <c r="K5258" s="10">
        <f t="shared" si="82"/>
        <v>373077</v>
      </c>
    </row>
    <row r="5259" spans="1:11">
      <c r="A5259">
        <v>404820</v>
      </c>
      <c r="B5259" s="10">
        <v>2020</v>
      </c>
      <c r="C5259" t="s">
        <v>792</v>
      </c>
      <c r="D5259" t="s">
        <v>2472</v>
      </c>
      <c r="E5259" t="s">
        <v>2474</v>
      </c>
      <c r="F5259" t="s">
        <v>1803</v>
      </c>
      <c r="G5259" t="s">
        <v>1803</v>
      </c>
      <c r="H5259" s="10">
        <v>376681</v>
      </c>
      <c r="I5259">
        <f>IFERROR(VLOOKUP(Final!F5259,'LEAID Match'!$A$2:$B$374,2,FALSE),"")</f>
        <v>404820</v>
      </c>
      <c r="K5259" s="10">
        <f t="shared" si="82"/>
        <v>376681</v>
      </c>
    </row>
    <row r="5260" spans="1:11">
      <c r="A5260">
        <v>404820</v>
      </c>
      <c r="B5260" s="10">
        <v>2021</v>
      </c>
      <c r="C5260" t="s">
        <v>792</v>
      </c>
      <c r="D5260" t="s">
        <v>2472</v>
      </c>
      <c r="E5260" t="s">
        <v>2474</v>
      </c>
      <c r="F5260" t="s">
        <v>1803</v>
      </c>
      <c r="G5260" t="s">
        <v>1803</v>
      </c>
      <c r="H5260" s="10">
        <v>397537</v>
      </c>
      <c r="I5260">
        <f>IFERROR(VLOOKUP(Final!F5260,'LEAID Match'!$A$2:$B$374,2,FALSE),"")</f>
        <v>404820</v>
      </c>
      <c r="K5260" s="10">
        <f t="shared" si="82"/>
        <v>397537</v>
      </c>
    </row>
    <row r="5261" spans="1:11">
      <c r="A5261">
        <v>404820</v>
      </c>
      <c r="B5261" s="10">
        <v>2022</v>
      </c>
      <c r="C5261" t="s">
        <v>792</v>
      </c>
      <c r="D5261" t="s">
        <v>2472</v>
      </c>
      <c r="E5261" t="s">
        <v>2474</v>
      </c>
      <c r="F5261" t="s">
        <v>1803</v>
      </c>
      <c r="G5261" t="s">
        <v>1803</v>
      </c>
      <c r="H5261" s="10">
        <v>495540</v>
      </c>
      <c r="I5261">
        <f>IFERROR(VLOOKUP(Final!F5261,'LEAID Match'!$A$2:$B$374,2,FALSE),"")</f>
        <v>404820</v>
      </c>
      <c r="K5261" s="10">
        <f t="shared" si="82"/>
        <v>495540</v>
      </c>
    </row>
    <row r="5262" spans="1:11">
      <c r="A5262">
        <v>404820</v>
      </c>
      <c r="B5262" s="10">
        <v>2023</v>
      </c>
      <c r="C5262" t="s">
        <v>792</v>
      </c>
      <c r="D5262" t="s">
        <v>2472</v>
      </c>
      <c r="E5262" t="s">
        <v>2474</v>
      </c>
      <c r="F5262" t="s">
        <v>1803</v>
      </c>
      <c r="G5262" t="s">
        <v>1803</v>
      </c>
      <c r="H5262" s="10">
        <v>482954</v>
      </c>
      <c r="I5262">
        <f>IFERROR(VLOOKUP(Final!F5262,'LEAID Match'!$A$2:$B$374,2,FALSE),"")</f>
        <v>404820</v>
      </c>
      <c r="K5262" s="10">
        <f t="shared" si="82"/>
        <v>482954</v>
      </c>
    </row>
    <row r="5263" spans="1:11">
      <c r="A5263">
        <v>401650</v>
      </c>
      <c r="B5263" s="10">
        <v>2015</v>
      </c>
      <c r="C5263" t="s">
        <v>343</v>
      </c>
      <c r="D5263" t="s">
        <v>2472</v>
      </c>
      <c r="E5263" t="s">
        <v>2474</v>
      </c>
      <c r="F5263" t="s">
        <v>1640</v>
      </c>
      <c r="G5263" t="s">
        <v>289</v>
      </c>
      <c r="H5263" s="10">
        <v>77069</v>
      </c>
      <c r="I5263">
        <f>IFERROR(VLOOKUP(Final!F5263,'LEAID Match'!$A$2:$B$374,2,FALSE),"")</f>
        <v>401650</v>
      </c>
      <c r="K5263" s="10">
        <f t="shared" si="82"/>
        <v>77069</v>
      </c>
    </row>
    <row r="5264" spans="1:11">
      <c r="A5264">
        <v>401650</v>
      </c>
      <c r="B5264" s="10">
        <v>2016</v>
      </c>
      <c r="C5264" t="s">
        <v>343</v>
      </c>
      <c r="D5264" t="s">
        <v>2472</v>
      </c>
      <c r="E5264" t="s">
        <v>2474</v>
      </c>
      <c r="F5264" t="s">
        <v>1640</v>
      </c>
      <c r="G5264" t="s">
        <v>289</v>
      </c>
      <c r="H5264" s="10">
        <v>79533</v>
      </c>
      <c r="I5264">
        <f>IFERROR(VLOOKUP(Final!F5264,'LEAID Match'!$A$2:$B$374,2,FALSE),"")</f>
        <v>401650</v>
      </c>
      <c r="K5264" s="10">
        <f t="shared" si="82"/>
        <v>79533</v>
      </c>
    </row>
    <row r="5265" spans="1:11">
      <c r="A5265">
        <v>401650</v>
      </c>
      <c r="B5265" s="10">
        <v>2017</v>
      </c>
      <c r="C5265" t="s">
        <v>343</v>
      </c>
      <c r="D5265" t="s">
        <v>2472</v>
      </c>
      <c r="E5265" t="s">
        <v>2474</v>
      </c>
      <c r="F5265" t="s">
        <v>1640</v>
      </c>
      <c r="G5265" t="s">
        <v>1640</v>
      </c>
      <c r="H5265" s="10">
        <v>88563</v>
      </c>
      <c r="I5265">
        <f>IFERROR(VLOOKUP(Final!F5265,'LEAID Match'!$A$2:$B$374,2,FALSE),"")</f>
        <v>401650</v>
      </c>
      <c r="K5265" s="10">
        <f t="shared" si="82"/>
        <v>88563</v>
      </c>
    </row>
    <row r="5266" spans="1:11">
      <c r="A5266">
        <v>401650</v>
      </c>
      <c r="B5266" s="10">
        <v>2018</v>
      </c>
      <c r="C5266" t="s">
        <v>343</v>
      </c>
      <c r="D5266" t="s">
        <v>2472</v>
      </c>
      <c r="E5266" t="s">
        <v>2474</v>
      </c>
      <c r="F5266" t="s">
        <v>1640</v>
      </c>
      <c r="G5266" t="s">
        <v>2138</v>
      </c>
      <c r="H5266" s="10">
        <v>90814</v>
      </c>
      <c r="I5266">
        <f>IFERROR(VLOOKUP(Final!F5266,'LEAID Match'!$A$2:$B$374,2,FALSE),"")</f>
        <v>401650</v>
      </c>
      <c r="K5266" s="10">
        <f t="shared" si="82"/>
        <v>90814</v>
      </c>
    </row>
    <row r="5267" spans="1:11">
      <c r="A5267">
        <v>401650</v>
      </c>
      <c r="B5267" s="10">
        <v>2019</v>
      </c>
      <c r="C5267" t="s">
        <v>343</v>
      </c>
      <c r="D5267" t="s">
        <v>2472</v>
      </c>
      <c r="E5267" t="s">
        <v>2474</v>
      </c>
      <c r="F5267" t="s">
        <v>1640</v>
      </c>
      <c r="G5267" t="s">
        <v>1640</v>
      </c>
      <c r="H5267" s="10">
        <v>94611</v>
      </c>
      <c r="I5267">
        <f>IFERROR(VLOOKUP(Final!F5267,'LEAID Match'!$A$2:$B$374,2,FALSE),"")</f>
        <v>401650</v>
      </c>
      <c r="K5267" s="10">
        <f t="shared" si="82"/>
        <v>94611</v>
      </c>
    </row>
    <row r="5268" spans="1:11">
      <c r="A5268">
        <v>401650</v>
      </c>
      <c r="B5268" s="10">
        <v>2020</v>
      </c>
      <c r="C5268" t="s">
        <v>343</v>
      </c>
      <c r="D5268" t="s">
        <v>2472</v>
      </c>
      <c r="E5268" t="s">
        <v>2474</v>
      </c>
      <c r="F5268" t="s">
        <v>1640</v>
      </c>
      <c r="G5268" t="s">
        <v>1640</v>
      </c>
      <c r="H5268" s="10">
        <v>107963</v>
      </c>
      <c r="I5268">
        <f>IFERROR(VLOOKUP(Final!F5268,'LEAID Match'!$A$2:$B$374,2,FALSE),"")</f>
        <v>401650</v>
      </c>
      <c r="K5268" s="10">
        <f t="shared" si="82"/>
        <v>107963</v>
      </c>
    </row>
    <row r="5269" spans="1:11">
      <c r="A5269">
        <v>401650</v>
      </c>
      <c r="B5269" s="10">
        <v>2021</v>
      </c>
      <c r="C5269" t="s">
        <v>343</v>
      </c>
      <c r="D5269" t="s">
        <v>2472</v>
      </c>
      <c r="E5269" t="s">
        <v>2474</v>
      </c>
      <c r="F5269" t="s">
        <v>1640</v>
      </c>
      <c r="G5269" t="s">
        <v>1640</v>
      </c>
      <c r="H5269" s="10">
        <v>120183</v>
      </c>
      <c r="I5269">
        <f>IFERROR(VLOOKUP(Final!F5269,'LEAID Match'!$A$2:$B$374,2,FALSE),"")</f>
        <v>401650</v>
      </c>
      <c r="K5269" s="10">
        <f t="shared" si="82"/>
        <v>120183</v>
      </c>
    </row>
    <row r="5270" spans="1:11">
      <c r="A5270">
        <v>401650</v>
      </c>
      <c r="B5270" s="10">
        <v>2022</v>
      </c>
      <c r="C5270" t="s">
        <v>343</v>
      </c>
      <c r="D5270" t="s">
        <v>2472</v>
      </c>
      <c r="E5270" t="s">
        <v>2474</v>
      </c>
      <c r="F5270" t="s">
        <v>1640</v>
      </c>
      <c r="G5270" t="s">
        <v>1640</v>
      </c>
      <c r="H5270" s="10">
        <v>144703</v>
      </c>
      <c r="I5270">
        <f>IFERROR(VLOOKUP(Final!F5270,'LEAID Match'!$A$2:$B$374,2,FALSE),"")</f>
        <v>401650</v>
      </c>
      <c r="K5270" s="10">
        <f t="shared" si="82"/>
        <v>144703</v>
      </c>
    </row>
    <row r="5271" spans="1:11">
      <c r="A5271">
        <v>401650</v>
      </c>
      <c r="B5271" s="10">
        <v>2023</v>
      </c>
      <c r="C5271" t="s">
        <v>343</v>
      </c>
      <c r="D5271" t="s">
        <v>2472</v>
      </c>
      <c r="E5271" t="s">
        <v>2474</v>
      </c>
      <c r="F5271" t="s">
        <v>1640</v>
      </c>
      <c r="G5271" t="s">
        <v>1640</v>
      </c>
      <c r="H5271" s="10">
        <v>152232</v>
      </c>
      <c r="I5271">
        <f>IFERROR(VLOOKUP(Final!F5271,'LEAID Match'!$A$2:$B$374,2,FALSE),"")</f>
        <v>401650</v>
      </c>
      <c r="K5271" s="10">
        <f t="shared" si="82"/>
        <v>152232</v>
      </c>
    </row>
    <row r="5272" spans="1:11">
      <c r="A5272" t="s">
        <v>2470</v>
      </c>
      <c r="B5272" s="10">
        <v>2015</v>
      </c>
      <c r="C5272" t="s">
        <v>365</v>
      </c>
      <c r="D5272" t="s">
        <v>2472</v>
      </c>
      <c r="E5272" t="s">
        <v>2474</v>
      </c>
      <c r="F5272" t="s">
        <v>1658</v>
      </c>
      <c r="G5272" t="s">
        <v>311</v>
      </c>
      <c r="H5272" s="10">
        <v>850576</v>
      </c>
      <c r="I5272" t="str">
        <f>IFERROR(VLOOKUP(Final!F5272,'LEAID Match'!$A$2:$B$374,2,FALSE),"")</f>
        <v/>
      </c>
      <c r="K5272" s="10">
        <f t="shared" si="82"/>
        <v>850576</v>
      </c>
    </row>
    <row r="5273" spans="1:11">
      <c r="A5273" t="s">
        <v>2470</v>
      </c>
      <c r="B5273" s="10">
        <v>2016</v>
      </c>
      <c r="C5273" t="s">
        <v>365</v>
      </c>
      <c r="D5273" t="s">
        <v>2472</v>
      </c>
      <c r="E5273" t="s">
        <v>2474</v>
      </c>
      <c r="F5273" t="s">
        <v>1658</v>
      </c>
      <c r="G5273" t="s">
        <v>311</v>
      </c>
      <c r="H5273" s="10">
        <v>868593</v>
      </c>
      <c r="I5273" t="str">
        <f>IFERROR(VLOOKUP(Final!F5273,'LEAID Match'!$A$2:$B$374,2,FALSE),"")</f>
        <v/>
      </c>
      <c r="K5273" s="10">
        <f t="shared" si="82"/>
        <v>868593</v>
      </c>
    </row>
    <row r="5274" spans="1:11">
      <c r="A5274" t="s">
        <v>2470</v>
      </c>
      <c r="B5274" s="10">
        <v>2017</v>
      </c>
      <c r="C5274" t="s">
        <v>365</v>
      </c>
      <c r="D5274" t="s">
        <v>2472</v>
      </c>
      <c r="E5274" t="s">
        <v>2474</v>
      </c>
      <c r="F5274" t="s">
        <v>1658</v>
      </c>
      <c r="G5274" t="s">
        <v>1658</v>
      </c>
      <c r="H5274" s="10">
        <v>912292</v>
      </c>
      <c r="I5274" t="str">
        <f>IFERROR(VLOOKUP(Final!F5274,'LEAID Match'!$A$2:$B$374,2,FALSE),"")</f>
        <v/>
      </c>
      <c r="K5274" s="10">
        <f t="shared" si="82"/>
        <v>912292</v>
      </c>
    </row>
    <row r="5275" spans="1:11">
      <c r="A5275" t="s">
        <v>2470</v>
      </c>
      <c r="B5275" s="10">
        <v>2018</v>
      </c>
      <c r="C5275" t="s">
        <v>365</v>
      </c>
      <c r="D5275" t="s">
        <v>2472</v>
      </c>
      <c r="E5275" t="s">
        <v>2474</v>
      </c>
      <c r="F5275" t="s">
        <v>1658</v>
      </c>
      <c r="G5275" t="s">
        <v>2152</v>
      </c>
      <c r="H5275" s="10">
        <v>956687</v>
      </c>
      <c r="I5275" t="str">
        <f>IFERROR(VLOOKUP(Final!F5275,'LEAID Match'!$A$2:$B$374,2,FALSE),"")</f>
        <v/>
      </c>
      <c r="K5275" s="10">
        <f t="shared" si="82"/>
        <v>956687</v>
      </c>
    </row>
    <row r="5276" spans="1:11">
      <c r="A5276" t="s">
        <v>2470</v>
      </c>
      <c r="B5276" s="10">
        <v>2019</v>
      </c>
      <c r="C5276" t="s">
        <v>365</v>
      </c>
      <c r="D5276" t="s">
        <v>2472</v>
      </c>
      <c r="E5276" t="s">
        <v>2474</v>
      </c>
      <c r="F5276" t="s">
        <v>1658</v>
      </c>
      <c r="G5276" t="s">
        <v>1658</v>
      </c>
      <c r="H5276" s="10">
        <v>1077499</v>
      </c>
      <c r="I5276" t="str">
        <f>IFERROR(VLOOKUP(Final!F5276,'LEAID Match'!$A$2:$B$374,2,FALSE),"")</f>
        <v/>
      </c>
      <c r="K5276" s="10">
        <f t="shared" si="82"/>
        <v>1077499</v>
      </c>
    </row>
    <row r="5277" spans="1:11">
      <c r="A5277" t="s">
        <v>2470</v>
      </c>
      <c r="B5277" s="10">
        <v>2020</v>
      </c>
      <c r="C5277" t="s">
        <v>365</v>
      </c>
      <c r="D5277" t="s">
        <v>2472</v>
      </c>
      <c r="E5277" t="s">
        <v>2474</v>
      </c>
      <c r="F5277" t="s">
        <v>1658</v>
      </c>
      <c r="G5277" t="s">
        <v>1658</v>
      </c>
      <c r="H5277" s="10">
        <v>1187562</v>
      </c>
      <c r="I5277" t="str">
        <f>IFERROR(VLOOKUP(Final!F5277,'LEAID Match'!$A$2:$B$374,2,FALSE),"")</f>
        <v/>
      </c>
      <c r="K5277" s="10">
        <f t="shared" si="82"/>
        <v>1187562</v>
      </c>
    </row>
    <row r="5278" spans="1:11">
      <c r="A5278" t="s">
        <v>2470</v>
      </c>
      <c r="B5278" s="10">
        <v>2021</v>
      </c>
      <c r="C5278" t="s">
        <v>365</v>
      </c>
      <c r="D5278" t="s">
        <v>2472</v>
      </c>
      <c r="E5278" t="s">
        <v>2474</v>
      </c>
      <c r="F5278" t="s">
        <v>1658</v>
      </c>
      <c r="G5278" t="s">
        <v>1658</v>
      </c>
      <c r="H5278" s="10">
        <v>1301137</v>
      </c>
      <c r="I5278" t="str">
        <f>IFERROR(VLOOKUP(Final!F5278,'LEAID Match'!$A$2:$B$374,2,FALSE),"")</f>
        <v/>
      </c>
      <c r="K5278" s="10">
        <f t="shared" si="82"/>
        <v>1301137</v>
      </c>
    </row>
    <row r="5279" spans="1:11">
      <c r="A5279" t="s">
        <v>2470</v>
      </c>
      <c r="B5279" s="10">
        <v>2022</v>
      </c>
      <c r="C5279" t="s">
        <v>365</v>
      </c>
      <c r="D5279" t="s">
        <v>2472</v>
      </c>
      <c r="E5279" t="s">
        <v>2474</v>
      </c>
      <c r="F5279" t="s">
        <v>1658</v>
      </c>
      <c r="G5279" t="s">
        <v>1658</v>
      </c>
      <c r="H5279" s="10">
        <v>1370859</v>
      </c>
      <c r="I5279" t="str">
        <f>IFERROR(VLOOKUP(Final!F5279,'LEAID Match'!$A$2:$B$374,2,FALSE),"")</f>
        <v/>
      </c>
      <c r="K5279" s="10">
        <f t="shared" si="82"/>
        <v>1370859</v>
      </c>
    </row>
    <row r="5280" spans="1:11">
      <c r="A5280" t="s">
        <v>2470</v>
      </c>
      <c r="B5280" s="10">
        <v>2023</v>
      </c>
      <c r="C5280" t="s">
        <v>365</v>
      </c>
      <c r="D5280" t="s">
        <v>2472</v>
      </c>
      <c r="E5280" t="s">
        <v>2474</v>
      </c>
      <c r="F5280" t="s">
        <v>1658</v>
      </c>
      <c r="G5280" t="s">
        <v>1658</v>
      </c>
      <c r="H5280" s="10">
        <v>1606549</v>
      </c>
      <c r="I5280" t="str">
        <f>IFERROR(VLOOKUP(Final!F5280,'LEAID Match'!$A$2:$B$374,2,FALSE),"")</f>
        <v/>
      </c>
      <c r="K5280" s="10">
        <f t="shared" si="82"/>
        <v>1606549</v>
      </c>
    </row>
    <row r="5281" spans="1:11">
      <c r="A5281">
        <v>409510</v>
      </c>
      <c r="B5281" s="10">
        <v>2015</v>
      </c>
      <c r="C5281" t="s">
        <v>1343</v>
      </c>
      <c r="D5281" t="s">
        <v>2472</v>
      </c>
      <c r="E5281" t="s">
        <v>2474</v>
      </c>
      <c r="F5281" t="s">
        <v>2029</v>
      </c>
      <c r="G5281" t="s">
        <v>1295</v>
      </c>
      <c r="H5281" s="10">
        <v>33977</v>
      </c>
      <c r="I5281">
        <f>IFERROR(VLOOKUP(Final!F5281,'LEAID Match'!$A$2:$B$374,2,FALSE),"")</f>
        <v>409510</v>
      </c>
      <c r="K5281" s="10">
        <f t="shared" si="82"/>
        <v>33977</v>
      </c>
    </row>
    <row r="5282" spans="1:11">
      <c r="A5282">
        <v>409510</v>
      </c>
      <c r="B5282" s="10">
        <v>2016</v>
      </c>
      <c r="C5282" t="s">
        <v>1343</v>
      </c>
      <c r="D5282" t="s">
        <v>2472</v>
      </c>
      <c r="E5282" t="s">
        <v>2474</v>
      </c>
      <c r="F5282" t="s">
        <v>2029</v>
      </c>
      <c r="G5282" t="s">
        <v>1295</v>
      </c>
      <c r="H5282" s="10">
        <v>37400</v>
      </c>
      <c r="I5282">
        <f>IFERROR(VLOOKUP(Final!F5282,'LEAID Match'!$A$2:$B$374,2,FALSE),"")</f>
        <v>409510</v>
      </c>
      <c r="K5282" s="10">
        <f t="shared" si="82"/>
        <v>37400</v>
      </c>
    </row>
    <row r="5283" spans="1:11">
      <c r="A5283">
        <v>409510</v>
      </c>
      <c r="B5283" s="10">
        <v>2017</v>
      </c>
      <c r="C5283" t="s">
        <v>1343</v>
      </c>
      <c r="D5283" t="s">
        <v>2472</v>
      </c>
      <c r="E5283" t="s">
        <v>2474</v>
      </c>
      <c r="F5283" t="s">
        <v>2029</v>
      </c>
      <c r="G5283" t="s">
        <v>2029</v>
      </c>
      <c r="H5283" s="10">
        <v>36963</v>
      </c>
      <c r="I5283">
        <f>IFERROR(VLOOKUP(Final!F5283,'LEAID Match'!$A$2:$B$374,2,FALSE),"")</f>
        <v>409510</v>
      </c>
      <c r="K5283" s="10">
        <f t="shared" si="82"/>
        <v>36963</v>
      </c>
    </row>
    <row r="5284" spans="1:11">
      <c r="A5284">
        <v>409510</v>
      </c>
      <c r="B5284" s="10">
        <v>2018</v>
      </c>
      <c r="C5284" t="s">
        <v>1343</v>
      </c>
      <c r="D5284" t="s">
        <v>2472</v>
      </c>
      <c r="E5284" t="s">
        <v>2474</v>
      </c>
      <c r="F5284" t="s">
        <v>2029</v>
      </c>
      <c r="G5284" t="s">
        <v>2343</v>
      </c>
      <c r="H5284" s="10">
        <v>37325</v>
      </c>
      <c r="I5284">
        <f>IFERROR(VLOOKUP(Final!F5284,'LEAID Match'!$A$2:$B$374,2,FALSE),"")</f>
        <v>409510</v>
      </c>
      <c r="K5284" s="10">
        <f t="shared" si="82"/>
        <v>37325</v>
      </c>
    </row>
    <row r="5285" spans="1:11">
      <c r="A5285">
        <v>409510</v>
      </c>
      <c r="B5285" s="10">
        <v>2019</v>
      </c>
      <c r="C5285" t="s">
        <v>1343</v>
      </c>
      <c r="D5285" t="s">
        <v>2472</v>
      </c>
      <c r="E5285" t="s">
        <v>2474</v>
      </c>
      <c r="F5285" t="s">
        <v>2029</v>
      </c>
      <c r="G5285" t="s">
        <v>2029</v>
      </c>
      <c r="H5285" s="10">
        <v>44739</v>
      </c>
      <c r="I5285">
        <f>IFERROR(VLOOKUP(Final!F5285,'LEAID Match'!$A$2:$B$374,2,FALSE),"")</f>
        <v>409510</v>
      </c>
      <c r="K5285" s="10">
        <f t="shared" si="82"/>
        <v>44739</v>
      </c>
    </row>
    <row r="5286" spans="1:11">
      <c r="A5286">
        <v>409510</v>
      </c>
      <c r="B5286" s="10">
        <v>2020</v>
      </c>
      <c r="C5286" t="s">
        <v>1343</v>
      </c>
      <c r="D5286" t="s">
        <v>2472</v>
      </c>
      <c r="E5286" t="s">
        <v>2474</v>
      </c>
      <c r="F5286" t="s">
        <v>2029</v>
      </c>
      <c r="G5286" t="s">
        <v>2029</v>
      </c>
      <c r="H5286" s="10">
        <v>43268</v>
      </c>
      <c r="I5286">
        <f>IFERROR(VLOOKUP(Final!F5286,'LEAID Match'!$A$2:$B$374,2,FALSE),"")</f>
        <v>409510</v>
      </c>
      <c r="K5286" s="10">
        <f t="shared" si="82"/>
        <v>43268</v>
      </c>
    </row>
    <row r="5287" spans="1:11">
      <c r="A5287">
        <v>409510</v>
      </c>
      <c r="B5287" s="10">
        <v>2021</v>
      </c>
      <c r="C5287" t="s">
        <v>1343</v>
      </c>
      <c r="D5287" t="s">
        <v>2472</v>
      </c>
      <c r="E5287" t="s">
        <v>2474</v>
      </c>
      <c r="F5287" t="s">
        <v>2029</v>
      </c>
      <c r="G5287" t="s">
        <v>2029</v>
      </c>
      <c r="H5287" s="10">
        <v>47469</v>
      </c>
      <c r="I5287">
        <f>IFERROR(VLOOKUP(Final!F5287,'LEAID Match'!$A$2:$B$374,2,FALSE),"")</f>
        <v>409510</v>
      </c>
      <c r="K5287" s="10">
        <f t="shared" si="82"/>
        <v>47469</v>
      </c>
    </row>
    <row r="5288" spans="1:11">
      <c r="A5288">
        <v>409510</v>
      </c>
      <c r="B5288" s="10">
        <v>2022</v>
      </c>
      <c r="C5288" t="s">
        <v>1343</v>
      </c>
      <c r="D5288" t="s">
        <v>2472</v>
      </c>
      <c r="E5288" t="s">
        <v>2474</v>
      </c>
      <c r="F5288" t="s">
        <v>2029</v>
      </c>
      <c r="G5288" t="s">
        <v>2029</v>
      </c>
      <c r="H5288" s="10">
        <v>60901</v>
      </c>
      <c r="I5288">
        <f>IFERROR(VLOOKUP(Final!F5288,'LEAID Match'!$A$2:$B$374,2,FALSE),"")</f>
        <v>409510</v>
      </c>
      <c r="K5288" s="10">
        <f t="shared" si="82"/>
        <v>60901</v>
      </c>
    </row>
    <row r="5289" spans="1:11">
      <c r="A5289">
        <v>409510</v>
      </c>
      <c r="B5289" s="10">
        <v>2023</v>
      </c>
      <c r="C5289" t="s">
        <v>1343</v>
      </c>
      <c r="D5289" t="s">
        <v>2472</v>
      </c>
      <c r="E5289" t="s">
        <v>2474</v>
      </c>
      <c r="F5289" t="s">
        <v>2029</v>
      </c>
      <c r="G5289" t="s">
        <v>2029</v>
      </c>
      <c r="H5289" s="10">
        <v>64803</v>
      </c>
      <c r="I5289">
        <f>IFERROR(VLOOKUP(Final!F5289,'LEAID Match'!$A$2:$B$374,2,FALSE),"")</f>
        <v>409510</v>
      </c>
      <c r="K5289" s="10">
        <f t="shared" si="82"/>
        <v>64803</v>
      </c>
    </row>
    <row r="5290" spans="1:11">
      <c r="A5290">
        <v>400315</v>
      </c>
      <c r="B5290" s="10">
        <v>2015</v>
      </c>
      <c r="C5290" t="s">
        <v>1344</v>
      </c>
      <c r="D5290" t="s">
        <v>2472</v>
      </c>
      <c r="E5290" t="s">
        <v>2474</v>
      </c>
      <c r="F5290" t="s">
        <v>2030</v>
      </c>
      <c r="G5290" t="s">
        <v>1296</v>
      </c>
      <c r="H5290" s="10">
        <v>51883</v>
      </c>
      <c r="I5290">
        <f>IFERROR(VLOOKUP(Final!F5290,'LEAID Match'!$A$2:$B$374,2,FALSE),"")</f>
        <v>400315</v>
      </c>
      <c r="K5290" s="10">
        <f t="shared" si="82"/>
        <v>51883</v>
      </c>
    </row>
    <row r="5291" spans="1:11">
      <c r="A5291">
        <v>400315</v>
      </c>
      <c r="B5291" s="10">
        <v>2016</v>
      </c>
      <c r="C5291" t="s">
        <v>1344</v>
      </c>
      <c r="D5291" t="s">
        <v>2472</v>
      </c>
      <c r="E5291" t="s">
        <v>2474</v>
      </c>
      <c r="F5291" t="s">
        <v>2030</v>
      </c>
      <c r="G5291" t="s">
        <v>1296</v>
      </c>
      <c r="H5291" s="10">
        <v>44529</v>
      </c>
      <c r="I5291">
        <f>IFERROR(VLOOKUP(Final!F5291,'LEAID Match'!$A$2:$B$374,2,FALSE),"")</f>
        <v>400315</v>
      </c>
      <c r="K5291" s="10">
        <f t="shared" si="82"/>
        <v>44529</v>
      </c>
    </row>
    <row r="5292" spans="1:11">
      <c r="A5292">
        <v>400315</v>
      </c>
      <c r="B5292" s="10">
        <v>2017</v>
      </c>
      <c r="C5292" t="s">
        <v>1344</v>
      </c>
      <c r="D5292" t="s">
        <v>2472</v>
      </c>
      <c r="E5292" t="s">
        <v>2474</v>
      </c>
      <c r="F5292" t="s">
        <v>2030</v>
      </c>
      <c r="G5292" t="s">
        <v>2030</v>
      </c>
      <c r="H5292" s="10">
        <v>56734</v>
      </c>
      <c r="I5292">
        <f>IFERROR(VLOOKUP(Final!F5292,'LEAID Match'!$A$2:$B$374,2,FALSE),"")</f>
        <v>400315</v>
      </c>
      <c r="K5292" s="10">
        <f t="shared" si="82"/>
        <v>56734</v>
      </c>
    </row>
    <row r="5293" spans="1:11">
      <c r="A5293">
        <v>400315</v>
      </c>
      <c r="B5293" s="10">
        <v>2018</v>
      </c>
      <c r="C5293" t="s">
        <v>1344</v>
      </c>
      <c r="D5293" t="s">
        <v>2472</v>
      </c>
      <c r="E5293" t="s">
        <v>2474</v>
      </c>
      <c r="F5293" t="s">
        <v>2030</v>
      </c>
      <c r="G5293" t="s">
        <v>2030</v>
      </c>
      <c r="H5293" s="10">
        <v>61867</v>
      </c>
      <c r="I5293">
        <f>IFERROR(VLOOKUP(Final!F5293,'LEAID Match'!$A$2:$B$374,2,FALSE),"")</f>
        <v>400315</v>
      </c>
      <c r="K5293" s="10">
        <f t="shared" si="82"/>
        <v>61867</v>
      </c>
    </row>
    <row r="5294" spans="1:11">
      <c r="A5294">
        <v>400315</v>
      </c>
      <c r="B5294" s="10">
        <v>2019</v>
      </c>
      <c r="C5294" t="s">
        <v>1344</v>
      </c>
      <c r="D5294" t="s">
        <v>2472</v>
      </c>
      <c r="E5294" t="s">
        <v>2474</v>
      </c>
      <c r="F5294" t="s">
        <v>2030</v>
      </c>
      <c r="G5294" t="s">
        <v>2030</v>
      </c>
      <c r="H5294" s="10">
        <v>67923</v>
      </c>
      <c r="I5294">
        <f>IFERROR(VLOOKUP(Final!F5294,'LEAID Match'!$A$2:$B$374,2,FALSE),"")</f>
        <v>400315</v>
      </c>
      <c r="K5294" s="10">
        <f t="shared" si="82"/>
        <v>67923</v>
      </c>
    </row>
    <row r="5295" spans="1:11">
      <c r="A5295">
        <v>400315</v>
      </c>
      <c r="B5295" s="10">
        <v>2020</v>
      </c>
      <c r="C5295" t="s">
        <v>1344</v>
      </c>
      <c r="D5295" t="s">
        <v>2472</v>
      </c>
      <c r="E5295" t="s">
        <v>2474</v>
      </c>
      <c r="F5295" t="s">
        <v>2030</v>
      </c>
      <c r="G5295" t="s">
        <v>2030</v>
      </c>
      <c r="H5295" s="10">
        <v>80439</v>
      </c>
      <c r="I5295">
        <f>IFERROR(VLOOKUP(Final!F5295,'LEAID Match'!$A$2:$B$374,2,FALSE),"")</f>
        <v>400315</v>
      </c>
      <c r="K5295" s="10">
        <f t="shared" si="82"/>
        <v>80439</v>
      </c>
    </row>
    <row r="5296" spans="1:11">
      <c r="A5296">
        <v>400315</v>
      </c>
      <c r="B5296" s="10">
        <v>2021</v>
      </c>
      <c r="C5296" t="s">
        <v>1344</v>
      </c>
      <c r="D5296" t="s">
        <v>2472</v>
      </c>
      <c r="E5296" t="s">
        <v>2474</v>
      </c>
      <c r="F5296" t="s">
        <v>2030</v>
      </c>
      <c r="G5296" t="s">
        <v>2030</v>
      </c>
      <c r="H5296" s="10">
        <v>87675</v>
      </c>
      <c r="I5296">
        <f>IFERROR(VLOOKUP(Final!F5296,'LEAID Match'!$A$2:$B$374,2,FALSE),"")</f>
        <v>400315</v>
      </c>
      <c r="K5296" s="10">
        <f t="shared" si="82"/>
        <v>87675</v>
      </c>
    </row>
    <row r="5297" spans="1:11">
      <c r="A5297">
        <v>400315</v>
      </c>
      <c r="B5297" s="10">
        <v>2022</v>
      </c>
      <c r="C5297" t="s">
        <v>1344</v>
      </c>
      <c r="D5297" t="s">
        <v>2472</v>
      </c>
      <c r="E5297" t="s">
        <v>2474</v>
      </c>
      <c r="F5297" t="s">
        <v>2030</v>
      </c>
      <c r="G5297" t="s">
        <v>2030</v>
      </c>
      <c r="H5297" s="10">
        <v>91698</v>
      </c>
      <c r="I5297">
        <f>IFERROR(VLOOKUP(Final!F5297,'LEAID Match'!$A$2:$B$374,2,FALSE),"")</f>
        <v>400315</v>
      </c>
      <c r="K5297" s="10">
        <f t="shared" si="82"/>
        <v>91698</v>
      </c>
    </row>
    <row r="5298" spans="1:11">
      <c r="A5298">
        <v>400315</v>
      </c>
      <c r="B5298" s="10">
        <v>2023</v>
      </c>
      <c r="C5298" t="s">
        <v>1344</v>
      </c>
      <c r="D5298" t="s">
        <v>2472</v>
      </c>
      <c r="E5298" t="s">
        <v>2474</v>
      </c>
      <c r="F5298" t="s">
        <v>2030</v>
      </c>
      <c r="G5298" t="s">
        <v>2030</v>
      </c>
      <c r="H5298" s="10">
        <v>90679</v>
      </c>
      <c r="I5298">
        <f>IFERROR(VLOOKUP(Final!F5298,'LEAID Match'!$A$2:$B$374,2,FALSE),"")</f>
        <v>400315</v>
      </c>
      <c r="K5298" s="10">
        <f t="shared" si="82"/>
        <v>90679</v>
      </c>
    </row>
    <row r="5299" spans="1:11">
      <c r="A5299">
        <v>405070</v>
      </c>
      <c r="B5299" s="10">
        <v>2015</v>
      </c>
      <c r="C5299" t="s">
        <v>801</v>
      </c>
      <c r="D5299" t="s">
        <v>2472</v>
      </c>
      <c r="E5299" t="s">
        <v>2474</v>
      </c>
      <c r="F5299" t="s">
        <v>1811</v>
      </c>
      <c r="G5299" t="s">
        <v>746</v>
      </c>
      <c r="H5299" s="10">
        <v>524461</v>
      </c>
      <c r="I5299">
        <f>IFERROR(VLOOKUP(Final!F5299,'LEAID Match'!$A$2:$B$374,2,FALSE),"")</f>
        <v>405070</v>
      </c>
      <c r="K5299" s="10">
        <f t="shared" si="82"/>
        <v>524461</v>
      </c>
    </row>
    <row r="5300" spans="1:11">
      <c r="A5300">
        <v>405070</v>
      </c>
      <c r="B5300" s="10">
        <v>2016</v>
      </c>
      <c r="C5300" t="s">
        <v>801</v>
      </c>
      <c r="D5300" t="s">
        <v>2472</v>
      </c>
      <c r="E5300" t="s">
        <v>2474</v>
      </c>
      <c r="F5300" t="s">
        <v>1811</v>
      </c>
      <c r="G5300" t="s">
        <v>746</v>
      </c>
      <c r="H5300" s="10">
        <v>528364</v>
      </c>
      <c r="I5300">
        <f>IFERROR(VLOOKUP(Final!F5300,'LEAID Match'!$A$2:$B$374,2,FALSE),"")</f>
        <v>405070</v>
      </c>
      <c r="K5300" s="10">
        <f t="shared" si="82"/>
        <v>528364</v>
      </c>
    </row>
    <row r="5301" spans="1:11">
      <c r="A5301">
        <v>405070</v>
      </c>
      <c r="B5301" s="10">
        <v>2017</v>
      </c>
      <c r="C5301" t="s">
        <v>801</v>
      </c>
      <c r="D5301" t="s">
        <v>2472</v>
      </c>
      <c r="E5301" t="s">
        <v>2474</v>
      </c>
      <c r="F5301" t="s">
        <v>1811</v>
      </c>
      <c r="G5301" t="s">
        <v>1811</v>
      </c>
      <c r="H5301" s="10">
        <v>563871</v>
      </c>
      <c r="I5301">
        <f>IFERROR(VLOOKUP(Final!F5301,'LEAID Match'!$A$2:$B$374,2,FALSE),"")</f>
        <v>405070</v>
      </c>
      <c r="K5301" s="10">
        <f t="shared" si="82"/>
        <v>563871</v>
      </c>
    </row>
    <row r="5302" spans="1:11">
      <c r="A5302">
        <v>405070</v>
      </c>
      <c r="B5302" s="10">
        <v>2018</v>
      </c>
      <c r="C5302" t="s">
        <v>801</v>
      </c>
      <c r="D5302" t="s">
        <v>2472</v>
      </c>
      <c r="E5302" t="s">
        <v>2474</v>
      </c>
      <c r="F5302" t="s">
        <v>1811</v>
      </c>
      <c r="G5302" t="s">
        <v>2239</v>
      </c>
      <c r="H5302" s="10">
        <v>600503</v>
      </c>
      <c r="I5302">
        <f>IFERROR(VLOOKUP(Final!F5302,'LEAID Match'!$A$2:$B$374,2,FALSE),"")</f>
        <v>405070</v>
      </c>
      <c r="K5302" s="10">
        <f t="shared" si="82"/>
        <v>600503</v>
      </c>
    </row>
    <row r="5303" spans="1:11">
      <c r="A5303">
        <v>405070</v>
      </c>
      <c r="B5303" s="10">
        <v>2019</v>
      </c>
      <c r="C5303" t="s">
        <v>801</v>
      </c>
      <c r="D5303" t="s">
        <v>2472</v>
      </c>
      <c r="E5303" t="s">
        <v>2474</v>
      </c>
      <c r="F5303" t="s">
        <v>1811</v>
      </c>
      <c r="G5303" t="s">
        <v>1811</v>
      </c>
      <c r="H5303" s="10">
        <v>669105</v>
      </c>
      <c r="I5303">
        <f>IFERROR(VLOOKUP(Final!F5303,'LEAID Match'!$A$2:$B$374,2,FALSE),"")</f>
        <v>405070</v>
      </c>
      <c r="K5303" s="10">
        <f t="shared" si="82"/>
        <v>669105</v>
      </c>
    </row>
    <row r="5304" spans="1:11">
      <c r="A5304">
        <v>405070</v>
      </c>
      <c r="B5304" s="10">
        <v>2020</v>
      </c>
      <c r="C5304" t="s">
        <v>801</v>
      </c>
      <c r="D5304" t="s">
        <v>2472</v>
      </c>
      <c r="E5304" t="s">
        <v>2474</v>
      </c>
      <c r="F5304" t="s">
        <v>1811</v>
      </c>
      <c r="G5304" t="s">
        <v>1811</v>
      </c>
      <c r="H5304" s="10">
        <v>697604</v>
      </c>
      <c r="I5304">
        <f>IFERROR(VLOOKUP(Final!F5304,'LEAID Match'!$A$2:$B$374,2,FALSE),"")</f>
        <v>405070</v>
      </c>
      <c r="K5304" s="10">
        <f t="shared" si="82"/>
        <v>697604</v>
      </c>
    </row>
    <row r="5305" spans="1:11">
      <c r="A5305">
        <v>405070</v>
      </c>
      <c r="B5305" s="10">
        <v>2021</v>
      </c>
      <c r="C5305" t="s">
        <v>801</v>
      </c>
      <c r="D5305" t="s">
        <v>2472</v>
      </c>
      <c r="E5305" t="s">
        <v>2474</v>
      </c>
      <c r="F5305" t="s">
        <v>1811</v>
      </c>
      <c r="G5305" t="s">
        <v>1811</v>
      </c>
      <c r="H5305" s="10">
        <v>740019</v>
      </c>
      <c r="I5305">
        <f>IFERROR(VLOOKUP(Final!F5305,'LEAID Match'!$A$2:$B$374,2,FALSE),"")</f>
        <v>405070</v>
      </c>
      <c r="K5305" s="10">
        <f t="shared" si="82"/>
        <v>740019</v>
      </c>
    </row>
    <row r="5306" spans="1:11">
      <c r="A5306">
        <v>405070</v>
      </c>
      <c r="B5306" s="10">
        <v>2022</v>
      </c>
      <c r="C5306" t="s">
        <v>801</v>
      </c>
      <c r="D5306" t="s">
        <v>2472</v>
      </c>
      <c r="E5306" t="s">
        <v>2474</v>
      </c>
      <c r="F5306" t="s">
        <v>1811</v>
      </c>
      <c r="G5306" t="s">
        <v>1811</v>
      </c>
      <c r="H5306" s="10">
        <v>862201</v>
      </c>
      <c r="I5306">
        <f>IFERROR(VLOOKUP(Final!F5306,'LEAID Match'!$A$2:$B$374,2,FALSE),"")</f>
        <v>405070</v>
      </c>
      <c r="K5306" s="10">
        <f t="shared" si="82"/>
        <v>862201</v>
      </c>
    </row>
    <row r="5307" spans="1:11">
      <c r="A5307">
        <v>405070</v>
      </c>
      <c r="B5307" s="10">
        <v>2023</v>
      </c>
      <c r="C5307" t="s">
        <v>801</v>
      </c>
      <c r="D5307" t="s">
        <v>2472</v>
      </c>
      <c r="E5307" t="s">
        <v>2474</v>
      </c>
      <c r="F5307" t="s">
        <v>1811</v>
      </c>
      <c r="G5307" t="s">
        <v>1811</v>
      </c>
      <c r="H5307" s="10">
        <v>957946</v>
      </c>
      <c r="I5307">
        <f>IFERROR(VLOOKUP(Final!F5307,'LEAID Match'!$A$2:$B$374,2,FALSE),"")</f>
        <v>405070</v>
      </c>
      <c r="K5307" s="10">
        <f t="shared" si="82"/>
        <v>957946</v>
      </c>
    </row>
    <row r="5308" spans="1:11">
      <c r="A5308" t="s">
        <v>2470</v>
      </c>
      <c r="B5308" s="10">
        <v>2015</v>
      </c>
      <c r="C5308" t="s">
        <v>920</v>
      </c>
      <c r="D5308" t="s">
        <v>2472</v>
      </c>
      <c r="E5308" t="s">
        <v>2474</v>
      </c>
      <c r="F5308" t="s">
        <v>1914</v>
      </c>
      <c r="G5308" t="s">
        <v>865</v>
      </c>
      <c r="H5308" s="10">
        <v>15291</v>
      </c>
      <c r="I5308" t="str">
        <f>IFERROR(VLOOKUP(Final!F5308,'LEAID Match'!$A$2:$B$374,2,FALSE),"")</f>
        <v/>
      </c>
      <c r="K5308" s="10">
        <f t="shared" si="82"/>
        <v>15291</v>
      </c>
    </row>
    <row r="5309" spans="1:11">
      <c r="A5309" t="s">
        <v>2470</v>
      </c>
      <c r="B5309" s="10">
        <v>2016</v>
      </c>
      <c r="C5309" t="s">
        <v>920</v>
      </c>
      <c r="D5309" t="s">
        <v>2472</v>
      </c>
      <c r="E5309" t="s">
        <v>2474</v>
      </c>
      <c r="F5309" t="s">
        <v>1914</v>
      </c>
      <c r="G5309" t="s">
        <v>1475</v>
      </c>
      <c r="H5309" s="10">
        <v>7575</v>
      </c>
      <c r="I5309" t="str">
        <f>IFERROR(VLOOKUP(Final!F5309,'LEAID Match'!$A$2:$B$374,2,FALSE),"")</f>
        <v/>
      </c>
      <c r="K5309" s="10">
        <f t="shared" si="82"/>
        <v>7575</v>
      </c>
    </row>
    <row r="5310" spans="1:11">
      <c r="A5310" t="s">
        <v>2470</v>
      </c>
      <c r="B5310" s="10">
        <v>2017</v>
      </c>
      <c r="C5310" t="s">
        <v>920</v>
      </c>
      <c r="D5310" t="s">
        <v>2472</v>
      </c>
      <c r="E5310" t="s">
        <v>2474</v>
      </c>
      <c r="F5310" t="s">
        <v>1914</v>
      </c>
      <c r="G5310" t="s">
        <v>1914</v>
      </c>
      <c r="H5310" s="10">
        <v>1509</v>
      </c>
      <c r="I5310" t="str">
        <f>IFERROR(VLOOKUP(Final!F5310,'LEAID Match'!$A$2:$B$374,2,FALSE),"")</f>
        <v/>
      </c>
      <c r="K5310" s="10">
        <f t="shared" si="82"/>
        <v>1509</v>
      </c>
    </row>
    <row r="5311" spans="1:11">
      <c r="A5311" t="s">
        <v>2470</v>
      </c>
      <c r="B5311" s="10">
        <v>2018</v>
      </c>
      <c r="C5311" t="s">
        <v>920</v>
      </c>
      <c r="D5311" t="s">
        <v>2472</v>
      </c>
      <c r="E5311" t="s">
        <v>2474</v>
      </c>
      <c r="F5311" t="s">
        <v>1914</v>
      </c>
      <c r="G5311" t="s">
        <v>1914</v>
      </c>
      <c r="H5311" s="10"/>
      <c r="I5311" t="str">
        <f>IFERROR(VLOOKUP(Final!F5311,'LEAID Match'!$A$2:$B$374,2,FALSE),"")</f>
        <v/>
      </c>
      <c r="K5311" s="10">
        <f t="shared" si="82"/>
        <v>0</v>
      </c>
    </row>
    <row r="5312" spans="1:11">
      <c r="A5312" t="s">
        <v>2470</v>
      </c>
      <c r="B5312" s="10">
        <v>2019</v>
      </c>
      <c r="C5312" t="s">
        <v>920</v>
      </c>
      <c r="D5312" t="s">
        <v>2472</v>
      </c>
      <c r="E5312" t="s">
        <v>2474</v>
      </c>
      <c r="F5312" t="s">
        <v>1914</v>
      </c>
      <c r="G5312" t="s">
        <v>1914</v>
      </c>
      <c r="H5312" s="10"/>
      <c r="I5312" t="str">
        <f>IFERROR(VLOOKUP(Final!F5312,'LEAID Match'!$A$2:$B$374,2,FALSE),"")</f>
        <v/>
      </c>
      <c r="K5312" s="10">
        <f t="shared" si="82"/>
        <v>0</v>
      </c>
    </row>
    <row r="5313" spans="1:11">
      <c r="A5313" t="s">
        <v>2470</v>
      </c>
      <c r="B5313" s="10">
        <v>2020</v>
      </c>
      <c r="C5313" t="s">
        <v>920</v>
      </c>
      <c r="D5313" t="s">
        <v>2472</v>
      </c>
      <c r="E5313" t="s">
        <v>2474</v>
      </c>
      <c r="F5313" t="s">
        <v>1914</v>
      </c>
      <c r="G5313" t="s">
        <v>1914</v>
      </c>
      <c r="H5313" s="10"/>
      <c r="I5313" t="str">
        <f>IFERROR(VLOOKUP(Final!F5313,'LEAID Match'!$A$2:$B$374,2,FALSE),"")</f>
        <v/>
      </c>
      <c r="K5313" s="10">
        <f t="shared" si="82"/>
        <v>0</v>
      </c>
    </row>
    <row r="5314" spans="1:11">
      <c r="A5314" t="s">
        <v>2470</v>
      </c>
      <c r="B5314" s="10">
        <v>2021</v>
      </c>
      <c r="C5314" t="s">
        <v>920</v>
      </c>
      <c r="D5314" t="s">
        <v>2472</v>
      </c>
      <c r="E5314" t="s">
        <v>2474</v>
      </c>
      <c r="F5314" t="s">
        <v>1914</v>
      </c>
      <c r="G5314" t="s">
        <v>1914</v>
      </c>
      <c r="H5314" s="10"/>
      <c r="I5314" t="str">
        <f>IFERROR(VLOOKUP(Final!F5314,'LEAID Match'!$A$2:$B$374,2,FALSE),"")</f>
        <v/>
      </c>
      <c r="K5314" s="10">
        <f t="shared" si="82"/>
        <v>0</v>
      </c>
    </row>
    <row r="5315" spans="1:11">
      <c r="A5315" t="s">
        <v>2470</v>
      </c>
      <c r="B5315" s="10">
        <v>2022</v>
      </c>
      <c r="C5315" t="s">
        <v>920</v>
      </c>
      <c r="D5315" t="s">
        <v>2472</v>
      </c>
      <c r="E5315" t="s">
        <v>2474</v>
      </c>
      <c r="F5315" t="s">
        <v>1914</v>
      </c>
      <c r="G5315" t="s">
        <v>1914</v>
      </c>
      <c r="H5315" s="10"/>
      <c r="I5315" t="str">
        <f>IFERROR(VLOOKUP(Final!F5315,'LEAID Match'!$A$2:$B$374,2,FALSE),"")</f>
        <v/>
      </c>
      <c r="K5315" s="10">
        <f t="shared" ref="K5315:K5378" si="83">SUM(H5315,J5315)</f>
        <v>0</v>
      </c>
    </row>
    <row r="5316" spans="1:11">
      <c r="A5316" t="s">
        <v>2470</v>
      </c>
      <c r="B5316" s="10">
        <v>2023</v>
      </c>
      <c r="C5316" t="s">
        <v>920</v>
      </c>
      <c r="D5316" t="s">
        <v>2472</v>
      </c>
      <c r="E5316" t="s">
        <v>2474</v>
      </c>
      <c r="F5316" t="s">
        <v>1914</v>
      </c>
      <c r="G5316" t="s">
        <v>1914</v>
      </c>
      <c r="H5316" s="10"/>
      <c r="I5316" t="str">
        <f>IFERROR(VLOOKUP(Final!F5316,'LEAID Match'!$A$2:$B$374,2,FALSE),"")</f>
        <v/>
      </c>
      <c r="K5316" s="10">
        <f t="shared" si="83"/>
        <v>0</v>
      </c>
    </row>
    <row r="5317" spans="1:11">
      <c r="A5317" t="s">
        <v>2470</v>
      </c>
      <c r="B5317" s="10">
        <v>2015</v>
      </c>
      <c r="C5317" t="s">
        <v>805</v>
      </c>
      <c r="D5317" t="s">
        <v>2472</v>
      </c>
      <c r="E5317" t="s">
        <v>2474</v>
      </c>
      <c r="F5317" t="s">
        <v>750</v>
      </c>
      <c r="G5317" t="s">
        <v>750</v>
      </c>
      <c r="H5317" s="10">
        <v>1434997</v>
      </c>
      <c r="I5317" t="str">
        <f>IFERROR(VLOOKUP(Final!F5317,'LEAID Match'!$A$2:$B$374,2,FALSE),"")</f>
        <v/>
      </c>
      <c r="K5317" s="10">
        <f t="shared" si="83"/>
        <v>1434997</v>
      </c>
    </row>
    <row r="5318" spans="1:11">
      <c r="A5318" t="s">
        <v>2470</v>
      </c>
      <c r="B5318" s="10">
        <v>2016</v>
      </c>
      <c r="C5318" t="s">
        <v>805</v>
      </c>
      <c r="D5318" t="s">
        <v>2472</v>
      </c>
      <c r="E5318" t="s">
        <v>2474</v>
      </c>
      <c r="F5318" t="s">
        <v>750</v>
      </c>
      <c r="G5318" t="s">
        <v>750</v>
      </c>
      <c r="H5318" s="10">
        <v>1406917</v>
      </c>
      <c r="I5318" t="str">
        <f>IFERROR(VLOOKUP(Final!F5318,'LEAID Match'!$A$2:$B$374,2,FALSE),"")</f>
        <v/>
      </c>
      <c r="K5318" s="10">
        <f t="shared" si="83"/>
        <v>1406917</v>
      </c>
    </row>
    <row r="5319" spans="1:11">
      <c r="A5319" t="s">
        <v>2470</v>
      </c>
      <c r="B5319" s="10">
        <v>2017</v>
      </c>
      <c r="C5319" t="s">
        <v>805</v>
      </c>
      <c r="D5319" t="s">
        <v>2472</v>
      </c>
      <c r="E5319" t="s">
        <v>2474</v>
      </c>
      <c r="F5319" t="s">
        <v>750</v>
      </c>
      <c r="G5319" t="s">
        <v>750</v>
      </c>
      <c r="H5319" s="10">
        <v>1394173</v>
      </c>
      <c r="I5319" t="str">
        <f>IFERROR(VLOOKUP(Final!F5319,'LEAID Match'!$A$2:$B$374,2,FALSE),"")</f>
        <v/>
      </c>
      <c r="K5319" s="10">
        <f t="shared" si="83"/>
        <v>1394173</v>
      </c>
    </row>
    <row r="5320" spans="1:11">
      <c r="A5320" t="s">
        <v>2470</v>
      </c>
      <c r="B5320" s="10">
        <v>2018</v>
      </c>
      <c r="C5320" t="s">
        <v>805</v>
      </c>
      <c r="D5320" t="s">
        <v>2472</v>
      </c>
      <c r="E5320" t="s">
        <v>2474</v>
      </c>
      <c r="F5320" t="s">
        <v>750</v>
      </c>
      <c r="G5320" t="s">
        <v>750</v>
      </c>
      <c r="H5320" s="10">
        <v>1452803</v>
      </c>
      <c r="I5320" t="str">
        <f>IFERROR(VLOOKUP(Final!F5320,'LEAID Match'!$A$2:$B$374,2,FALSE),"")</f>
        <v/>
      </c>
      <c r="K5320" s="10">
        <f t="shared" si="83"/>
        <v>1452803</v>
      </c>
    </row>
    <row r="5321" spans="1:11">
      <c r="A5321" t="s">
        <v>2470</v>
      </c>
      <c r="B5321" s="10">
        <v>2019</v>
      </c>
      <c r="C5321" t="s">
        <v>805</v>
      </c>
      <c r="D5321" t="s">
        <v>2472</v>
      </c>
      <c r="E5321" t="s">
        <v>2474</v>
      </c>
      <c r="F5321" t="s">
        <v>750</v>
      </c>
      <c r="G5321" t="s">
        <v>750</v>
      </c>
      <c r="H5321" s="10">
        <v>1513721</v>
      </c>
      <c r="I5321" t="str">
        <f>IFERROR(VLOOKUP(Final!F5321,'LEAID Match'!$A$2:$B$374,2,FALSE),"")</f>
        <v/>
      </c>
      <c r="K5321" s="10">
        <f t="shared" si="83"/>
        <v>1513721</v>
      </c>
    </row>
    <row r="5322" spans="1:11">
      <c r="A5322" t="s">
        <v>2470</v>
      </c>
      <c r="B5322" s="10">
        <v>2020</v>
      </c>
      <c r="C5322" t="s">
        <v>805</v>
      </c>
      <c r="D5322" t="s">
        <v>2472</v>
      </c>
      <c r="E5322" t="s">
        <v>2474</v>
      </c>
      <c r="F5322" t="s">
        <v>750</v>
      </c>
      <c r="G5322" t="s">
        <v>750</v>
      </c>
      <c r="H5322" s="10">
        <v>1625868</v>
      </c>
      <c r="I5322" t="str">
        <f>IFERROR(VLOOKUP(Final!F5322,'LEAID Match'!$A$2:$B$374,2,FALSE),"")</f>
        <v/>
      </c>
      <c r="K5322" s="10">
        <f t="shared" si="83"/>
        <v>1625868</v>
      </c>
    </row>
    <row r="5323" spans="1:11">
      <c r="A5323" t="s">
        <v>2470</v>
      </c>
      <c r="B5323" s="10">
        <v>2021</v>
      </c>
      <c r="C5323" t="s">
        <v>805</v>
      </c>
      <c r="D5323" t="s">
        <v>2472</v>
      </c>
      <c r="E5323" t="s">
        <v>2474</v>
      </c>
      <c r="F5323" t="s">
        <v>750</v>
      </c>
      <c r="G5323" t="s">
        <v>750</v>
      </c>
      <c r="H5323" s="10">
        <v>1727365</v>
      </c>
      <c r="I5323" t="str">
        <f>IFERROR(VLOOKUP(Final!F5323,'LEAID Match'!$A$2:$B$374,2,FALSE),"")</f>
        <v/>
      </c>
      <c r="K5323" s="10">
        <f t="shared" si="83"/>
        <v>1727365</v>
      </c>
    </row>
    <row r="5324" spans="1:11">
      <c r="A5324" t="s">
        <v>2470</v>
      </c>
      <c r="B5324" s="10">
        <v>2022</v>
      </c>
      <c r="C5324" t="s">
        <v>805</v>
      </c>
      <c r="D5324" t="s">
        <v>2472</v>
      </c>
      <c r="E5324" t="s">
        <v>2474</v>
      </c>
      <c r="F5324" t="s">
        <v>750</v>
      </c>
      <c r="G5324" t="s">
        <v>750</v>
      </c>
      <c r="H5324" s="10">
        <v>2034477</v>
      </c>
      <c r="I5324" t="str">
        <f>IFERROR(VLOOKUP(Final!F5324,'LEAID Match'!$A$2:$B$374,2,FALSE),"")</f>
        <v/>
      </c>
      <c r="K5324" s="10">
        <f t="shared" si="83"/>
        <v>2034477</v>
      </c>
    </row>
    <row r="5325" spans="1:11">
      <c r="A5325" t="s">
        <v>2470</v>
      </c>
      <c r="B5325" s="10">
        <v>2023</v>
      </c>
      <c r="C5325" t="s">
        <v>805</v>
      </c>
      <c r="D5325" t="s">
        <v>2472</v>
      </c>
      <c r="E5325" t="s">
        <v>2474</v>
      </c>
      <c r="F5325" t="s">
        <v>750</v>
      </c>
      <c r="G5325" t="s">
        <v>750</v>
      </c>
      <c r="H5325" s="10">
        <v>2173915</v>
      </c>
      <c r="I5325" t="str">
        <f>IFERROR(VLOOKUP(Final!F5325,'LEAID Match'!$A$2:$B$374,2,FALSE),"")</f>
        <v/>
      </c>
      <c r="K5325" s="10">
        <f t="shared" si="83"/>
        <v>2173915</v>
      </c>
    </row>
    <row r="5326" spans="1:11">
      <c r="A5326" t="s">
        <v>2470</v>
      </c>
      <c r="B5326" s="10">
        <v>2015</v>
      </c>
      <c r="C5326" t="s">
        <v>1346</v>
      </c>
      <c r="D5326" t="s">
        <v>2472</v>
      </c>
      <c r="E5326" t="s">
        <v>2474</v>
      </c>
      <c r="F5326" t="s">
        <v>1298</v>
      </c>
      <c r="G5326" t="s">
        <v>1298</v>
      </c>
      <c r="H5326" s="10">
        <v>1968795</v>
      </c>
      <c r="I5326" t="str">
        <f>IFERROR(VLOOKUP(Final!F5326,'LEAID Match'!$A$2:$B$374,2,FALSE),"")</f>
        <v/>
      </c>
      <c r="K5326" s="10">
        <f t="shared" si="83"/>
        <v>1968795</v>
      </c>
    </row>
    <row r="5327" spans="1:11">
      <c r="A5327" t="s">
        <v>2470</v>
      </c>
      <c r="B5327" s="10">
        <v>2016</v>
      </c>
      <c r="C5327" t="s">
        <v>1346</v>
      </c>
      <c r="D5327" t="s">
        <v>2472</v>
      </c>
      <c r="E5327" t="s">
        <v>2474</v>
      </c>
      <c r="F5327" t="s">
        <v>1298</v>
      </c>
      <c r="G5327" t="s">
        <v>1298</v>
      </c>
      <c r="H5327" s="10">
        <v>1992547</v>
      </c>
      <c r="I5327" t="str">
        <f>IFERROR(VLOOKUP(Final!F5327,'LEAID Match'!$A$2:$B$374,2,FALSE),"")</f>
        <v/>
      </c>
      <c r="K5327" s="10">
        <f t="shared" si="83"/>
        <v>1992547</v>
      </c>
    </row>
    <row r="5328" spans="1:11">
      <c r="A5328" t="s">
        <v>2470</v>
      </c>
      <c r="B5328" s="10">
        <v>2017</v>
      </c>
      <c r="C5328" t="s">
        <v>1346</v>
      </c>
      <c r="D5328" t="s">
        <v>2472</v>
      </c>
      <c r="E5328" t="s">
        <v>2474</v>
      </c>
      <c r="F5328" t="s">
        <v>1298</v>
      </c>
      <c r="G5328" t="s">
        <v>1298</v>
      </c>
      <c r="H5328" s="10">
        <v>2076402</v>
      </c>
      <c r="I5328" t="str">
        <f>IFERROR(VLOOKUP(Final!F5328,'LEAID Match'!$A$2:$B$374,2,FALSE),"")</f>
        <v/>
      </c>
      <c r="K5328" s="10">
        <f t="shared" si="83"/>
        <v>2076402</v>
      </c>
    </row>
    <row r="5329" spans="1:11">
      <c r="A5329" t="s">
        <v>2470</v>
      </c>
      <c r="B5329" s="10">
        <v>2018</v>
      </c>
      <c r="C5329" t="s">
        <v>1346</v>
      </c>
      <c r="D5329" t="s">
        <v>2472</v>
      </c>
      <c r="E5329" t="s">
        <v>2474</v>
      </c>
      <c r="F5329" t="s">
        <v>1298</v>
      </c>
      <c r="G5329" t="s">
        <v>1298</v>
      </c>
      <c r="H5329" s="10">
        <v>2133308</v>
      </c>
      <c r="I5329" t="str">
        <f>IFERROR(VLOOKUP(Final!F5329,'LEAID Match'!$A$2:$B$374,2,FALSE),"")</f>
        <v/>
      </c>
      <c r="K5329" s="10">
        <f t="shared" si="83"/>
        <v>2133308</v>
      </c>
    </row>
    <row r="5330" spans="1:11">
      <c r="A5330" t="s">
        <v>2470</v>
      </c>
      <c r="B5330" s="10">
        <v>2019</v>
      </c>
      <c r="C5330" t="s">
        <v>1346</v>
      </c>
      <c r="D5330" t="s">
        <v>2472</v>
      </c>
      <c r="E5330" t="s">
        <v>2474</v>
      </c>
      <c r="F5330" t="s">
        <v>1298</v>
      </c>
      <c r="G5330" t="s">
        <v>1298</v>
      </c>
      <c r="H5330" s="10">
        <v>2397305</v>
      </c>
      <c r="I5330" t="str">
        <f>IFERROR(VLOOKUP(Final!F5330,'LEAID Match'!$A$2:$B$374,2,FALSE),"")</f>
        <v/>
      </c>
      <c r="K5330" s="10">
        <f t="shared" si="83"/>
        <v>2397305</v>
      </c>
    </row>
    <row r="5331" spans="1:11">
      <c r="A5331" t="s">
        <v>2470</v>
      </c>
      <c r="B5331" s="10">
        <v>2020</v>
      </c>
      <c r="C5331" t="s">
        <v>1346</v>
      </c>
      <c r="D5331" t="s">
        <v>2472</v>
      </c>
      <c r="E5331" t="s">
        <v>2474</v>
      </c>
      <c r="F5331" t="s">
        <v>1298</v>
      </c>
      <c r="G5331" t="s">
        <v>1298</v>
      </c>
      <c r="H5331" s="10">
        <v>2608920</v>
      </c>
      <c r="I5331" t="str">
        <f>IFERROR(VLOOKUP(Final!F5331,'LEAID Match'!$A$2:$B$374,2,FALSE),"")</f>
        <v/>
      </c>
      <c r="K5331" s="10">
        <f t="shared" si="83"/>
        <v>2608920</v>
      </c>
    </row>
    <row r="5332" spans="1:11">
      <c r="A5332" t="s">
        <v>2470</v>
      </c>
      <c r="B5332" s="10">
        <v>2021</v>
      </c>
      <c r="C5332" t="s">
        <v>1346</v>
      </c>
      <c r="D5332" t="s">
        <v>2472</v>
      </c>
      <c r="E5332" t="s">
        <v>2474</v>
      </c>
      <c r="F5332" t="s">
        <v>1298</v>
      </c>
      <c r="G5332" t="s">
        <v>1298</v>
      </c>
      <c r="H5332" s="10">
        <v>2588372</v>
      </c>
      <c r="I5332" t="str">
        <f>IFERROR(VLOOKUP(Final!F5332,'LEAID Match'!$A$2:$B$374,2,FALSE),"")</f>
        <v/>
      </c>
      <c r="K5332" s="10">
        <f t="shared" si="83"/>
        <v>2588372</v>
      </c>
    </row>
    <row r="5333" spans="1:11">
      <c r="A5333" t="s">
        <v>2470</v>
      </c>
      <c r="B5333" s="10">
        <v>2022</v>
      </c>
      <c r="C5333" t="s">
        <v>1346</v>
      </c>
      <c r="D5333" t="s">
        <v>2472</v>
      </c>
      <c r="E5333" t="s">
        <v>2474</v>
      </c>
      <c r="F5333" t="s">
        <v>1298</v>
      </c>
      <c r="G5333" t="s">
        <v>1298</v>
      </c>
      <c r="H5333" s="10">
        <v>2862161</v>
      </c>
      <c r="I5333" t="str">
        <f>IFERROR(VLOOKUP(Final!F5333,'LEAID Match'!$A$2:$B$374,2,FALSE),"")</f>
        <v/>
      </c>
      <c r="K5333" s="10">
        <f t="shared" si="83"/>
        <v>2862161</v>
      </c>
    </row>
    <row r="5334" spans="1:11">
      <c r="A5334" t="s">
        <v>2470</v>
      </c>
      <c r="B5334" s="10">
        <v>2023</v>
      </c>
      <c r="C5334" t="s">
        <v>1346</v>
      </c>
      <c r="D5334" t="s">
        <v>2472</v>
      </c>
      <c r="E5334" t="s">
        <v>2474</v>
      </c>
      <c r="F5334" t="s">
        <v>1298</v>
      </c>
      <c r="G5334" t="s">
        <v>1298</v>
      </c>
      <c r="H5334" s="10">
        <v>3214931</v>
      </c>
      <c r="I5334" t="str">
        <f>IFERROR(VLOOKUP(Final!F5334,'LEAID Match'!$A$2:$B$374,2,FALSE),"")</f>
        <v/>
      </c>
      <c r="K5334" s="10">
        <f t="shared" si="83"/>
        <v>3214931</v>
      </c>
    </row>
    <row r="5335" spans="1:11">
      <c r="A5335" t="s">
        <v>2470</v>
      </c>
      <c r="B5335" s="10">
        <v>2015</v>
      </c>
      <c r="C5335" t="s">
        <v>1354</v>
      </c>
      <c r="D5335" t="s">
        <v>2472</v>
      </c>
      <c r="E5335" t="s">
        <v>2474</v>
      </c>
      <c r="F5335" t="s">
        <v>2037</v>
      </c>
      <c r="G5335" t="s">
        <v>1306</v>
      </c>
      <c r="H5335" s="10">
        <v>4691</v>
      </c>
      <c r="I5335" t="str">
        <f>IFERROR(VLOOKUP(Final!F5335,'LEAID Match'!$A$2:$B$374,2,FALSE),"")</f>
        <v/>
      </c>
      <c r="K5335" s="10">
        <f t="shared" si="83"/>
        <v>4691</v>
      </c>
    </row>
    <row r="5336" spans="1:11">
      <c r="A5336" t="s">
        <v>2470</v>
      </c>
      <c r="B5336" s="10">
        <v>2016</v>
      </c>
      <c r="C5336" t="s">
        <v>1354</v>
      </c>
      <c r="D5336" t="s">
        <v>2472</v>
      </c>
      <c r="E5336" t="s">
        <v>2474</v>
      </c>
      <c r="F5336" t="s">
        <v>2037</v>
      </c>
      <c r="G5336" t="s">
        <v>1306</v>
      </c>
      <c r="H5336" s="10">
        <v>4731</v>
      </c>
      <c r="I5336" t="str">
        <f>IFERROR(VLOOKUP(Final!F5336,'LEAID Match'!$A$2:$B$374,2,FALSE),"")</f>
        <v/>
      </c>
      <c r="K5336" s="10">
        <f t="shared" si="83"/>
        <v>4731</v>
      </c>
    </row>
    <row r="5337" spans="1:11">
      <c r="A5337" t="s">
        <v>2470</v>
      </c>
      <c r="B5337" s="10">
        <v>2017</v>
      </c>
      <c r="C5337" t="s">
        <v>1354</v>
      </c>
      <c r="D5337" t="s">
        <v>2472</v>
      </c>
      <c r="E5337" t="s">
        <v>2474</v>
      </c>
      <c r="F5337" t="s">
        <v>2037</v>
      </c>
      <c r="G5337" t="s">
        <v>2037</v>
      </c>
      <c r="H5337" s="10">
        <v>4911</v>
      </c>
      <c r="I5337" t="str">
        <f>IFERROR(VLOOKUP(Final!F5337,'LEAID Match'!$A$2:$B$374,2,FALSE),"")</f>
        <v/>
      </c>
      <c r="K5337" s="10">
        <f t="shared" si="83"/>
        <v>4911</v>
      </c>
    </row>
    <row r="5338" spans="1:11">
      <c r="A5338" t="s">
        <v>2470</v>
      </c>
      <c r="B5338" s="10">
        <v>2018</v>
      </c>
      <c r="C5338" t="s">
        <v>1354</v>
      </c>
      <c r="D5338" t="s">
        <v>2472</v>
      </c>
      <c r="E5338" t="s">
        <v>2474</v>
      </c>
      <c r="F5338" t="s">
        <v>2037</v>
      </c>
      <c r="G5338" t="s">
        <v>2037</v>
      </c>
      <c r="H5338" s="10">
        <v>827</v>
      </c>
      <c r="I5338" t="str">
        <f>IFERROR(VLOOKUP(Final!F5338,'LEAID Match'!$A$2:$B$374,2,FALSE),"")</f>
        <v/>
      </c>
      <c r="K5338" s="10">
        <f t="shared" si="83"/>
        <v>827</v>
      </c>
    </row>
    <row r="5339" spans="1:11">
      <c r="A5339" t="s">
        <v>2470</v>
      </c>
      <c r="B5339" s="10">
        <v>2019</v>
      </c>
      <c r="C5339" t="s">
        <v>1354</v>
      </c>
      <c r="D5339" t="s">
        <v>2472</v>
      </c>
      <c r="E5339" t="s">
        <v>2474</v>
      </c>
      <c r="F5339" t="s">
        <v>2037</v>
      </c>
      <c r="G5339" t="s">
        <v>2037</v>
      </c>
      <c r="H5339" s="10"/>
      <c r="I5339" t="str">
        <f>IFERROR(VLOOKUP(Final!F5339,'LEAID Match'!$A$2:$B$374,2,FALSE),"")</f>
        <v/>
      </c>
      <c r="K5339" s="10">
        <f t="shared" si="83"/>
        <v>0</v>
      </c>
    </row>
    <row r="5340" spans="1:11">
      <c r="A5340" t="s">
        <v>2470</v>
      </c>
      <c r="B5340" s="10">
        <v>2020</v>
      </c>
      <c r="C5340" t="s">
        <v>1354</v>
      </c>
      <c r="D5340" t="s">
        <v>2472</v>
      </c>
      <c r="E5340" t="s">
        <v>2474</v>
      </c>
      <c r="F5340" t="s">
        <v>2037</v>
      </c>
      <c r="G5340" t="s">
        <v>2037</v>
      </c>
      <c r="H5340" s="10"/>
      <c r="I5340" t="str">
        <f>IFERROR(VLOOKUP(Final!F5340,'LEAID Match'!$A$2:$B$374,2,FALSE),"")</f>
        <v/>
      </c>
      <c r="K5340" s="10">
        <f t="shared" si="83"/>
        <v>0</v>
      </c>
    </row>
    <row r="5341" spans="1:11">
      <c r="A5341" t="s">
        <v>2470</v>
      </c>
      <c r="B5341" s="10">
        <v>2021</v>
      </c>
      <c r="C5341" t="s">
        <v>1354</v>
      </c>
      <c r="D5341" t="s">
        <v>2472</v>
      </c>
      <c r="E5341" t="s">
        <v>2474</v>
      </c>
      <c r="F5341" t="s">
        <v>2037</v>
      </c>
      <c r="G5341" t="s">
        <v>2037</v>
      </c>
      <c r="H5341" s="10"/>
      <c r="I5341" t="str">
        <f>IFERROR(VLOOKUP(Final!F5341,'LEAID Match'!$A$2:$B$374,2,FALSE),"")</f>
        <v/>
      </c>
      <c r="K5341" s="10">
        <f t="shared" si="83"/>
        <v>0</v>
      </c>
    </row>
    <row r="5342" spans="1:11">
      <c r="A5342" t="s">
        <v>2470</v>
      </c>
      <c r="B5342" s="10">
        <v>2022</v>
      </c>
      <c r="C5342" t="s">
        <v>1354</v>
      </c>
      <c r="D5342" t="s">
        <v>2472</v>
      </c>
      <c r="E5342" t="s">
        <v>2474</v>
      </c>
      <c r="F5342" t="s">
        <v>2037</v>
      </c>
      <c r="G5342" t="s">
        <v>2037</v>
      </c>
      <c r="H5342" s="10"/>
      <c r="I5342" t="str">
        <f>IFERROR(VLOOKUP(Final!F5342,'LEAID Match'!$A$2:$B$374,2,FALSE),"")</f>
        <v/>
      </c>
      <c r="K5342" s="10">
        <f t="shared" si="83"/>
        <v>0</v>
      </c>
    </row>
    <row r="5343" spans="1:11">
      <c r="A5343" t="s">
        <v>2470</v>
      </c>
      <c r="B5343" s="10">
        <v>2023</v>
      </c>
      <c r="C5343" t="s">
        <v>1354</v>
      </c>
      <c r="D5343" t="s">
        <v>2472</v>
      </c>
      <c r="E5343" t="s">
        <v>2474</v>
      </c>
      <c r="F5343" t="s">
        <v>2037</v>
      </c>
      <c r="G5343" t="s">
        <v>2037</v>
      </c>
      <c r="H5343" s="10"/>
      <c r="I5343" t="str">
        <f>IFERROR(VLOOKUP(Final!F5343,'LEAID Match'!$A$2:$B$374,2,FALSE),"")</f>
        <v/>
      </c>
      <c r="K5343" s="10">
        <f t="shared" si="83"/>
        <v>0</v>
      </c>
    </row>
    <row r="5344" spans="1:11">
      <c r="A5344">
        <v>409600</v>
      </c>
      <c r="B5344" s="10">
        <v>2015</v>
      </c>
      <c r="C5344" t="s">
        <v>1355</v>
      </c>
      <c r="D5344" t="s">
        <v>2472</v>
      </c>
      <c r="E5344" t="s">
        <v>2474</v>
      </c>
      <c r="F5344" t="s">
        <v>2038</v>
      </c>
      <c r="G5344" t="s">
        <v>1307</v>
      </c>
      <c r="H5344" s="10">
        <v>3973309</v>
      </c>
      <c r="I5344">
        <f>IFERROR(VLOOKUP(Final!F5344,'LEAID Match'!$A$2:$B$374,2,FALSE),"")</f>
        <v>409600</v>
      </c>
      <c r="K5344" s="10">
        <f t="shared" si="83"/>
        <v>3973309</v>
      </c>
    </row>
    <row r="5345" spans="1:11">
      <c r="A5345">
        <v>409600</v>
      </c>
      <c r="B5345" s="10">
        <v>2016</v>
      </c>
      <c r="C5345" t="s">
        <v>1355</v>
      </c>
      <c r="D5345" t="s">
        <v>2472</v>
      </c>
      <c r="E5345" t="s">
        <v>2474</v>
      </c>
      <c r="F5345" t="s">
        <v>2038</v>
      </c>
      <c r="G5345" t="s">
        <v>1307</v>
      </c>
      <c r="H5345" s="10">
        <v>3769265</v>
      </c>
      <c r="I5345">
        <f>IFERROR(VLOOKUP(Final!F5345,'LEAID Match'!$A$2:$B$374,2,FALSE),"")</f>
        <v>409600</v>
      </c>
      <c r="K5345" s="10">
        <f t="shared" si="83"/>
        <v>3769265</v>
      </c>
    </row>
    <row r="5346" spans="1:11">
      <c r="A5346">
        <v>409600</v>
      </c>
      <c r="B5346" s="10">
        <v>2017</v>
      </c>
      <c r="C5346" t="s">
        <v>1355</v>
      </c>
      <c r="D5346" t="s">
        <v>2472</v>
      </c>
      <c r="E5346" t="s">
        <v>2474</v>
      </c>
      <c r="F5346" t="s">
        <v>2038</v>
      </c>
      <c r="G5346" t="s">
        <v>2038</v>
      </c>
      <c r="H5346" s="10">
        <v>3760796</v>
      </c>
      <c r="I5346">
        <f>IFERROR(VLOOKUP(Final!F5346,'LEAID Match'!$A$2:$B$374,2,FALSE),"")</f>
        <v>409600</v>
      </c>
      <c r="K5346" s="10">
        <f t="shared" si="83"/>
        <v>3760796</v>
      </c>
    </row>
    <row r="5347" spans="1:11">
      <c r="A5347">
        <v>409600</v>
      </c>
      <c r="B5347" s="10">
        <v>2018</v>
      </c>
      <c r="C5347" t="s">
        <v>1355</v>
      </c>
      <c r="D5347" t="s">
        <v>2472</v>
      </c>
      <c r="E5347" t="s">
        <v>2474</v>
      </c>
      <c r="F5347" t="s">
        <v>2038</v>
      </c>
      <c r="G5347" t="s">
        <v>2038</v>
      </c>
      <c r="H5347" s="10">
        <v>3904200</v>
      </c>
      <c r="I5347">
        <f>IFERROR(VLOOKUP(Final!F5347,'LEAID Match'!$A$2:$B$374,2,FALSE),"")</f>
        <v>409600</v>
      </c>
      <c r="K5347" s="10">
        <f t="shared" si="83"/>
        <v>3904200</v>
      </c>
    </row>
    <row r="5348" spans="1:11">
      <c r="A5348">
        <v>409600</v>
      </c>
      <c r="B5348" s="10">
        <v>2019</v>
      </c>
      <c r="C5348" t="s">
        <v>1355</v>
      </c>
      <c r="D5348" t="s">
        <v>2472</v>
      </c>
      <c r="E5348" t="s">
        <v>2474</v>
      </c>
      <c r="F5348" t="s">
        <v>2038</v>
      </c>
      <c r="G5348" t="s">
        <v>2038</v>
      </c>
      <c r="H5348" s="10">
        <v>4375070</v>
      </c>
      <c r="I5348">
        <f>IFERROR(VLOOKUP(Final!F5348,'LEAID Match'!$A$2:$B$374,2,FALSE),"")</f>
        <v>409600</v>
      </c>
      <c r="K5348" s="10">
        <f t="shared" si="83"/>
        <v>4375070</v>
      </c>
    </row>
    <row r="5349" spans="1:11">
      <c r="A5349">
        <v>409600</v>
      </c>
      <c r="B5349" s="10">
        <v>2020</v>
      </c>
      <c r="C5349" t="s">
        <v>1355</v>
      </c>
      <c r="D5349" t="s">
        <v>2472</v>
      </c>
      <c r="E5349" t="s">
        <v>2474</v>
      </c>
      <c r="F5349" t="s">
        <v>2038</v>
      </c>
      <c r="G5349" t="s">
        <v>2038</v>
      </c>
      <c r="H5349" s="10">
        <v>4868383</v>
      </c>
      <c r="I5349">
        <f>IFERROR(VLOOKUP(Final!F5349,'LEAID Match'!$A$2:$B$374,2,FALSE),"")</f>
        <v>409600</v>
      </c>
      <c r="K5349" s="10">
        <f t="shared" si="83"/>
        <v>4868383</v>
      </c>
    </row>
    <row r="5350" spans="1:11">
      <c r="A5350">
        <v>409600</v>
      </c>
      <c r="B5350" s="10">
        <v>2021</v>
      </c>
      <c r="C5350" t="s">
        <v>1355</v>
      </c>
      <c r="D5350" t="s">
        <v>2472</v>
      </c>
      <c r="E5350" t="s">
        <v>2474</v>
      </c>
      <c r="F5350" t="s">
        <v>2038</v>
      </c>
      <c r="G5350" t="s">
        <v>2038</v>
      </c>
      <c r="H5350" s="10">
        <v>5039931</v>
      </c>
      <c r="I5350">
        <f>IFERROR(VLOOKUP(Final!F5350,'LEAID Match'!$A$2:$B$374,2,FALSE),"")</f>
        <v>409600</v>
      </c>
      <c r="K5350" s="10">
        <f t="shared" si="83"/>
        <v>5039931</v>
      </c>
    </row>
    <row r="5351" spans="1:11">
      <c r="A5351">
        <v>409600</v>
      </c>
      <c r="B5351" s="10">
        <v>2022</v>
      </c>
      <c r="C5351" t="s">
        <v>1355</v>
      </c>
      <c r="D5351" t="s">
        <v>2472</v>
      </c>
      <c r="E5351" t="s">
        <v>2474</v>
      </c>
      <c r="F5351" t="s">
        <v>2038</v>
      </c>
      <c r="G5351" t="s">
        <v>2038</v>
      </c>
      <c r="H5351" s="10">
        <v>6100139</v>
      </c>
      <c r="I5351">
        <f>IFERROR(VLOOKUP(Final!F5351,'LEAID Match'!$A$2:$B$374,2,FALSE),"")</f>
        <v>409600</v>
      </c>
      <c r="K5351" s="10">
        <f t="shared" si="83"/>
        <v>6100139</v>
      </c>
    </row>
    <row r="5352" spans="1:11">
      <c r="A5352">
        <v>409600</v>
      </c>
      <c r="B5352" s="10">
        <v>2023</v>
      </c>
      <c r="C5352" t="s">
        <v>1355</v>
      </c>
      <c r="D5352" t="s">
        <v>2472</v>
      </c>
      <c r="E5352" t="s">
        <v>2474</v>
      </c>
      <c r="F5352" t="s">
        <v>2038</v>
      </c>
      <c r="G5352" t="s">
        <v>2038</v>
      </c>
      <c r="H5352" s="10">
        <v>6472801</v>
      </c>
      <c r="I5352">
        <f>IFERROR(VLOOKUP(Final!F5352,'LEAID Match'!$A$2:$B$374,2,FALSE),"")</f>
        <v>409600</v>
      </c>
      <c r="K5352" s="10">
        <f t="shared" si="83"/>
        <v>6472801</v>
      </c>
    </row>
    <row r="5353" spans="1:11">
      <c r="A5353">
        <v>407890</v>
      </c>
      <c r="B5353" s="10">
        <v>2015</v>
      </c>
      <c r="C5353" t="s">
        <v>1127</v>
      </c>
      <c r="D5353" t="s">
        <v>2472</v>
      </c>
      <c r="E5353" t="s">
        <v>2474</v>
      </c>
      <c r="F5353" t="s">
        <v>2413</v>
      </c>
      <c r="G5353" t="s">
        <v>1072</v>
      </c>
      <c r="H5353" s="10">
        <v>1224954</v>
      </c>
      <c r="I5353">
        <f>IFERROR(VLOOKUP(Final!F5353,'LEAID Match'!$A$2:$B$374,2,FALSE),"")</f>
        <v>407890</v>
      </c>
      <c r="K5353" s="10">
        <f t="shared" si="83"/>
        <v>1224954</v>
      </c>
    </row>
    <row r="5354" spans="1:11">
      <c r="A5354">
        <v>407890</v>
      </c>
      <c r="B5354" s="10">
        <v>2016</v>
      </c>
      <c r="C5354" t="s">
        <v>1127</v>
      </c>
      <c r="D5354" t="s">
        <v>2472</v>
      </c>
      <c r="E5354" t="s">
        <v>2474</v>
      </c>
      <c r="F5354" t="s">
        <v>2413</v>
      </c>
      <c r="G5354" t="s">
        <v>1072</v>
      </c>
      <c r="H5354" s="10">
        <v>1243326</v>
      </c>
      <c r="I5354">
        <f>IFERROR(VLOOKUP(Final!F5354,'LEAID Match'!$A$2:$B$374,2,FALSE),"")</f>
        <v>407890</v>
      </c>
      <c r="K5354" s="10">
        <f t="shared" si="83"/>
        <v>1243326</v>
      </c>
    </row>
    <row r="5355" spans="1:11">
      <c r="A5355">
        <v>407890</v>
      </c>
      <c r="B5355" s="10">
        <v>2017</v>
      </c>
      <c r="C5355" t="s">
        <v>1127</v>
      </c>
      <c r="D5355" t="s">
        <v>2472</v>
      </c>
      <c r="E5355" t="s">
        <v>2474</v>
      </c>
      <c r="F5355" t="s">
        <v>2413</v>
      </c>
      <c r="G5355" t="s">
        <v>1957</v>
      </c>
      <c r="H5355" s="10">
        <v>1331025</v>
      </c>
      <c r="I5355">
        <f>IFERROR(VLOOKUP(Final!F5355,'LEAID Match'!$A$2:$B$374,2,FALSE),"")</f>
        <v>407890</v>
      </c>
      <c r="K5355" s="10">
        <f t="shared" si="83"/>
        <v>1331025</v>
      </c>
    </row>
    <row r="5356" spans="1:11">
      <c r="A5356">
        <v>407890</v>
      </c>
      <c r="B5356" s="10">
        <v>2018</v>
      </c>
      <c r="C5356" t="s">
        <v>1127</v>
      </c>
      <c r="D5356" t="s">
        <v>2472</v>
      </c>
      <c r="E5356" t="s">
        <v>2474</v>
      </c>
      <c r="F5356" t="s">
        <v>2413</v>
      </c>
      <c r="G5356" t="s">
        <v>1957</v>
      </c>
      <c r="H5356" s="10">
        <v>1366811</v>
      </c>
      <c r="I5356">
        <f>IFERROR(VLOOKUP(Final!F5356,'LEAID Match'!$A$2:$B$374,2,FALSE),"")</f>
        <v>407890</v>
      </c>
      <c r="K5356" s="10">
        <f t="shared" si="83"/>
        <v>1366811</v>
      </c>
    </row>
    <row r="5357" spans="1:11">
      <c r="A5357">
        <v>407890</v>
      </c>
      <c r="B5357" s="10">
        <v>2019</v>
      </c>
      <c r="C5357" t="s">
        <v>1127</v>
      </c>
      <c r="D5357" t="s">
        <v>2472</v>
      </c>
      <c r="E5357" t="s">
        <v>2474</v>
      </c>
      <c r="F5357" t="s">
        <v>2413</v>
      </c>
      <c r="G5357" t="s">
        <v>1957</v>
      </c>
      <c r="H5357" s="10">
        <v>1503503</v>
      </c>
      <c r="I5357">
        <f>IFERROR(VLOOKUP(Final!F5357,'LEAID Match'!$A$2:$B$374,2,FALSE),"")</f>
        <v>407890</v>
      </c>
      <c r="K5357" s="10">
        <f t="shared" si="83"/>
        <v>1503503</v>
      </c>
    </row>
    <row r="5358" spans="1:11">
      <c r="A5358">
        <v>407890</v>
      </c>
      <c r="B5358" s="10">
        <v>2020</v>
      </c>
      <c r="C5358" t="s">
        <v>1127</v>
      </c>
      <c r="D5358" t="s">
        <v>2472</v>
      </c>
      <c r="E5358" t="s">
        <v>2474</v>
      </c>
      <c r="F5358" t="s">
        <v>2413</v>
      </c>
      <c r="G5358" t="s">
        <v>2413</v>
      </c>
      <c r="H5358" s="10">
        <v>1615432</v>
      </c>
      <c r="I5358">
        <f>IFERROR(VLOOKUP(Final!F5358,'LEAID Match'!$A$2:$B$374,2,FALSE),"")</f>
        <v>407890</v>
      </c>
      <c r="K5358" s="10">
        <f t="shared" si="83"/>
        <v>1615432</v>
      </c>
    </row>
    <row r="5359" spans="1:11">
      <c r="A5359">
        <v>407890</v>
      </c>
      <c r="B5359" s="10">
        <v>2021</v>
      </c>
      <c r="C5359" t="s">
        <v>1127</v>
      </c>
      <c r="D5359" t="s">
        <v>2472</v>
      </c>
      <c r="E5359" t="s">
        <v>2474</v>
      </c>
      <c r="F5359" t="s">
        <v>2413</v>
      </c>
      <c r="G5359" t="s">
        <v>2413</v>
      </c>
      <c r="H5359" s="10">
        <v>1710083</v>
      </c>
      <c r="I5359">
        <f>IFERROR(VLOOKUP(Final!F5359,'LEAID Match'!$A$2:$B$374,2,FALSE),"")</f>
        <v>407890</v>
      </c>
      <c r="K5359" s="10">
        <f t="shared" si="83"/>
        <v>1710083</v>
      </c>
    </row>
    <row r="5360" spans="1:11">
      <c r="A5360">
        <v>407890</v>
      </c>
      <c r="B5360" s="10">
        <v>2022</v>
      </c>
      <c r="C5360" t="s">
        <v>1127</v>
      </c>
      <c r="D5360" t="s">
        <v>2472</v>
      </c>
      <c r="E5360" t="s">
        <v>2474</v>
      </c>
      <c r="F5360" t="s">
        <v>2413</v>
      </c>
      <c r="G5360" t="s">
        <v>2413</v>
      </c>
      <c r="H5360" s="10">
        <v>2206714</v>
      </c>
      <c r="I5360">
        <f>IFERROR(VLOOKUP(Final!F5360,'LEAID Match'!$A$2:$B$374,2,FALSE),"")</f>
        <v>407890</v>
      </c>
      <c r="K5360" s="10">
        <f t="shared" si="83"/>
        <v>2206714</v>
      </c>
    </row>
    <row r="5361" spans="1:11">
      <c r="A5361">
        <v>407890</v>
      </c>
      <c r="B5361" s="10">
        <v>2023</v>
      </c>
      <c r="C5361" t="s">
        <v>1127</v>
      </c>
      <c r="D5361" t="s">
        <v>2472</v>
      </c>
      <c r="E5361" t="s">
        <v>2474</v>
      </c>
      <c r="F5361" t="s">
        <v>2413</v>
      </c>
      <c r="G5361" t="s">
        <v>2413</v>
      </c>
      <c r="H5361" s="10">
        <v>2365307</v>
      </c>
      <c r="I5361">
        <f>IFERROR(VLOOKUP(Final!F5361,'LEAID Match'!$A$2:$B$374,2,FALSE),"")</f>
        <v>407890</v>
      </c>
      <c r="K5361" s="10">
        <f t="shared" si="83"/>
        <v>2365307</v>
      </c>
    </row>
    <row r="5362" spans="1:11">
      <c r="A5362">
        <v>402400</v>
      </c>
      <c r="B5362" s="10">
        <v>2015</v>
      </c>
      <c r="C5362" t="s">
        <v>490</v>
      </c>
      <c r="D5362" t="s">
        <v>2472</v>
      </c>
      <c r="E5362" t="s">
        <v>2474</v>
      </c>
      <c r="F5362" t="s">
        <v>1681</v>
      </c>
      <c r="G5362" t="s">
        <v>435</v>
      </c>
      <c r="H5362" s="10">
        <v>2542268</v>
      </c>
      <c r="I5362">
        <f>IFERROR(VLOOKUP(Final!F5362,'LEAID Match'!$A$2:$B$374,2,FALSE),"")</f>
        <v>402400</v>
      </c>
      <c r="K5362" s="10">
        <f t="shared" si="83"/>
        <v>2542268</v>
      </c>
    </row>
    <row r="5363" spans="1:11">
      <c r="A5363">
        <v>402400</v>
      </c>
      <c r="B5363" s="10">
        <v>2016</v>
      </c>
      <c r="C5363" t="s">
        <v>490</v>
      </c>
      <c r="D5363" t="s">
        <v>2472</v>
      </c>
      <c r="E5363" t="s">
        <v>2474</v>
      </c>
      <c r="F5363" t="s">
        <v>1681</v>
      </c>
      <c r="G5363" t="s">
        <v>435</v>
      </c>
      <c r="H5363" s="10">
        <v>2573076</v>
      </c>
      <c r="I5363">
        <f>IFERROR(VLOOKUP(Final!F5363,'LEAID Match'!$A$2:$B$374,2,FALSE),"")</f>
        <v>402400</v>
      </c>
      <c r="K5363" s="10">
        <f t="shared" si="83"/>
        <v>2573076</v>
      </c>
    </row>
    <row r="5364" spans="1:11">
      <c r="A5364">
        <v>402400</v>
      </c>
      <c r="B5364" s="10">
        <v>2017</v>
      </c>
      <c r="C5364" t="s">
        <v>490</v>
      </c>
      <c r="D5364" t="s">
        <v>2472</v>
      </c>
      <c r="E5364" t="s">
        <v>2474</v>
      </c>
      <c r="F5364" t="s">
        <v>1681</v>
      </c>
      <c r="G5364" t="s">
        <v>1681</v>
      </c>
      <c r="H5364" s="10">
        <v>2591465</v>
      </c>
      <c r="I5364">
        <f>IFERROR(VLOOKUP(Final!F5364,'LEAID Match'!$A$2:$B$374,2,FALSE),"")</f>
        <v>402400</v>
      </c>
      <c r="K5364" s="10">
        <f t="shared" si="83"/>
        <v>2591465</v>
      </c>
    </row>
    <row r="5365" spans="1:11">
      <c r="A5365">
        <v>402400</v>
      </c>
      <c r="B5365" s="10">
        <v>2018</v>
      </c>
      <c r="C5365" t="s">
        <v>490</v>
      </c>
      <c r="D5365" t="s">
        <v>2472</v>
      </c>
      <c r="E5365" t="s">
        <v>2474</v>
      </c>
      <c r="F5365" t="s">
        <v>1681</v>
      </c>
      <c r="G5365" t="s">
        <v>2166</v>
      </c>
      <c r="H5365" s="10">
        <v>2683100</v>
      </c>
      <c r="I5365">
        <f>IFERROR(VLOOKUP(Final!F5365,'LEAID Match'!$A$2:$B$374,2,FALSE),"")</f>
        <v>402400</v>
      </c>
      <c r="K5365" s="10">
        <f t="shared" si="83"/>
        <v>2683100</v>
      </c>
    </row>
    <row r="5366" spans="1:11">
      <c r="A5366">
        <v>402400</v>
      </c>
      <c r="B5366" s="10">
        <v>2019</v>
      </c>
      <c r="C5366" t="s">
        <v>490</v>
      </c>
      <c r="D5366" t="s">
        <v>2472</v>
      </c>
      <c r="E5366" t="s">
        <v>2474</v>
      </c>
      <c r="F5366" t="s">
        <v>1681</v>
      </c>
      <c r="G5366" t="s">
        <v>1681</v>
      </c>
      <c r="H5366" s="10">
        <v>2913932</v>
      </c>
      <c r="I5366">
        <f>IFERROR(VLOOKUP(Final!F5366,'LEAID Match'!$A$2:$B$374,2,FALSE),"")</f>
        <v>402400</v>
      </c>
      <c r="K5366" s="10">
        <f t="shared" si="83"/>
        <v>2913932</v>
      </c>
    </row>
    <row r="5367" spans="1:11">
      <c r="A5367">
        <v>402400</v>
      </c>
      <c r="B5367" s="10">
        <v>2020</v>
      </c>
      <c r="C5367" t="s">
        <v>490</v>
      </c>
      <c r="D5367" t="s">
        <v>2472</v>
      </c>
      <c r="E5367" t="s">
        <v>2474</v>
      </c>
      <c r="F5367" t="s">
        <v>1681</v>
      </c>
      <c r="G5367" t="s">
        <v>1681</v>
      </c>
      <c r="H5367" s="10">
        <v>3053373</v>
      </c>
      <c r="I5367">
        <f>IFERROR(VLOOKUP(Final!F5367,'LEAID Match'!$A$2:$B$374,2,FALSE),"")</f>
        <v>402400</v>
      </c>
      <c r="K5367" s="10">
        <f t="shared" si="83"/>
        <v>3053373</v>
      </c>
    </row>
    <row r="5368" spans="1:11">
      <c r="A5368">
        <v>402400</v>
      </c>
      <c r="B5368" s="10">
        <v>2021</v>
      </c>
      <c r="C5368" t="s">
        <v>490</v>
      </c>
      <c r="D5368" t="s">
        <v>2472</v>
      </c>
      <c r="E5368" t="s">
        <v>2474</v>
      </c>
      <c r="F5368" t="s">
        <v>1681</v>
      </c>
      <c r="G5368" t="s">
        <v>1681</v>
      </c>
      <c r="H5368" s="10">
        <v>3066786</v>
      </c>
      <c r="I5368">
        <f>IFERROR(VLOOKUP(Final!F5368,'LEAID Match'!$A$2:$B$374,2,FALSE),"")</f>
        <v>402400</v>
      </c>
      <c r="K5368" s="10">
        <f t="shared" si="83"/>
        <v>3066786</v>
      </c>
    </row>
    <row r="5369" spans="1:11">
      <c r="A5369">
        <v>402400</v>
      </c>
      <c r="B5369" s="10">
        <v>2022</v>
      </c>
      <c r="C5369" t="s">
        <v>490</v>
      </c>
      <c r="D5369" t="s">
        <v>2472</v>
      </c>
      <c r="E5369" t="s">
        <v>2474</v>
      </c>
      <c r="F5369" t="s">
        <v>1681</v>
      </c>
      <c r="G5369" t="s">
        <v>1681</v>
      </c>
      <c r="H5369" s="10">
        <v>3585713</v>
      </c>
      <c r="I5369">
        <f>IFERROR(VLOOKUP(Final!F5369,'LEAID Match'!$A$2:$B$374,2,FALSE),"")</f>
        <v>402400</v>
      </c>
      <c r="K5369" s="10">
        <f t="shared" si="83"/>
        <v>3585713</v>
      </c>
    </row>
    <row r="5370" spans="1:11">
      <c r="A5370">
        <v>402400</v>
      </c>
      <c r="B5370" s="10">
        <v>2023</v>
      </c>
      <c r="C5370" t="s">
        <v>490</v>
      </c>
      <c r="D5370" t="s">
        <v>2472</v>
      </c>
      <c r="E5370" t="s">
        <v>2474</v>
      </c>
      <c r="F5370" t="s">
        <v>1681</v>
      </c>
      <c r="G5370" t="s">
        <v>1681</v>
      </c>
      <c r="H5370" s="10">
        <v>3968304</v>
      </c>
      <c r="I5370">
        <f>IFERROR(VLOOKUP(Final!F5370,'LEAID Match'!$A$2:$B$374,2,FALSE),"")</f>
        <v>402400</v>
      </c>
      <c r="K5370" s="10">
        <f t="shared" si="83"/>
        <v>3968304</v>
      </c>
    </row>
    <row r="5371" spans="1:11">
      <c r="A5371">
        <v>403900</v>
      </c>
      <c r="B5371" s="10">
        <v>2015</v>
      </c>
      <c r="C5371" t="s">
        <v>695</v>
      </c>
      <c r="D5371" t="s">
        <v>2472</v>
      </c>
      <c r="E5371" t="s">
        <v>2474</v>
      </c>
      <c r="F5371" t="s">
        <v>1758</v>
      </c>
      <c r="G5371" t="s">
        <v>640</v>
      </c>
      <c r="H5371" s="10">
        <v>96661</v>
      </c>
      <c r="I5371">
        <f>IFERROR(VLOOKUP(Final!F5371,'LEAID Match'!$A$2:$B$374,2,FALSE),"")</f>
        <v>403900</v>
      </c>
      <c r="K5371" s="10">
        <f t="shared" si="83"/>
        <v>96661</v>
      </c>
    </row>
    <row r="5372" spans="1:11">
      <c r="A5372">
        <v>403900</v>
      </c>
      <c r="B5372" s="10">
        <v>2016</v>
      </c>
      <c r="C5372" t="s">
        <v>695</v>
      </c>
      <c r="D5372" t="s">
        <v>2472</v>
      </c>
      <c r="E5372" t="s">
        <v>2474</v>
      </c>
      <c r="F5372" t="s">
        <v>1758</v>
      </c>
      <c r="G5372" t="s">
        <v>640</v>
      </c>
      <c r="H5372" s="10">
        <v>92956</v>
      </c>
      <c r="I5372">
        <f>IFERROR(VLOOKUP(Final!F5372,'LEAID Match'!$A$2:$B$374,2,FALSE),"")</f>
        <v>403900</v>
      </c>
      <c r="K5372" s="10">
        <f t="shared" si="83"/>
        <v>92956</v>
      </c>
    </row>
    <row r="5373" spans="1:11">
      <c r="A5373">
        <v>403900</v>
      </c>
      <c r="B5373" s="10">
        <v>2017</v>
      </c>
      <c r="C5373" t="s">
        <v>695</v>
      </c>
      <c r="D5373" t="s">
        <v>2472</v>
      </c>
      <c r="E5373" t="s">
        <v>2474</v>
      </c>
      <c r="F5373" t="s">
        <v>1758</v>
      </c>
      <c r="G5373" t="s">
        <v>1758</v>
      </c>
      <c r="H5373" s="10">
        <v>96049</v>
      </c>
      <c r="I5373">
        <f>IFERROR(VLOOKUP(Final!F5373,'LEAID Match'!$A$2:$B$374,2,FALSE),"")</f>
        <v>403900</v>
      </c>
      <c r="K5373" s="10">
        <f t="shared" si="83"/>
        <v>96049</v>
      </c>
    </row>
    <row r="5374" spans="1:11">
      <c r="A5374">
        <v>403900</v>
      </c>
      <c r="B5374" s="10">
        <v>2018</v>
      </c>
      <c r="C5374" t="s">
        <v>695</v>
      </c>
      <c r="D5374" t="s">
        <v>2472</v>
      </c>
      <c r="E5374" t="s">
        <v>2474</v>
      </c>
      <c r="F5374" t="s">
        <v>1758</v>
      </c>
      <c r="G5374" t="s">
        <v>2215</v>
      </c>
      <c r="H5374" s="10">
        <v>97477</v>
      </c>
      <c r="I5374">
        <f>IFERROR(VLOOKUP(Final!F5374,'LEAID Match'!$A$2:$B$374,2,FALSE),"")</f>
        <v>403900</v>
      </c>
      <c r="K5374" s="10">
        <f t="shared" si="83"/>
        <v>97477</v>
      </c>
    </row>
    <row r="5375" spans="1:11">
      <c r="A5375">
        <v>403900</v>
      </c>
      <c r="B5375" s="10">
        <v>2019</v>
      </c>
      <c r="C5375" t="s">
        <v>695</v>
      </c>
      <c r="D5375" t="s">
        <v>2472</v>
      </c>
      <c r="E5375" t="s">
        <v>2474</v>
      </c>
      <c r="F5375" t="s">
        <v>1758</v>
      </c>
      <c r="G5375" t="s">
        <v>1758</v>
      </c>
      <c r="H5375" s="10">
        <v>109635</v>
      </c>
      <c r="I5375">
        <f>IFERROR(VLOOKUP(Final!F5375,'LEAID Match'!$A$2:$B$374,2,FALSE),"")</f>
        <v>403900</v>
      </c>
      <c r="K5375" s="10">
        <f t="shared" si="83"/>
        <v>109635</v>
      </c>
    </row>
    <row r="5376" spans="1:11">
      <c r="A5376">
        <v>403900</v>
      </c>
      <c r="B5376" s="10">
        <v>2020</v>
      </c>
      <c r="C5376" t="s">
        <v>695</v>
      </c>
      <c r="D5376" t="s">
        <v>2472</v>
      </c>
      <c r="E5376" t="s">
        <v>2474</v>
      </c>
      <c r="F5376" t="s">
        <v>1758</v>
      </c>
      <c r="G5376" t="s">
        <v>1758</v>
      </c>
      <c r="H5376" s="10">
        <v>106686</v>
      </c>
      <c r="I5376">
        <f>IFERROR(VLOOKUP(Final!F5376,'LEAID Match'!$A$2:$B$374,2,FALSE),"")</f>
        <v>403900</v>
      </c>
      <c r="K5376" s="10">
        <f t="shared" si="83"/>
        <v>106686</v>
      </c>
    </row>
    <row r="5377" spans="1:11">
      <c r="A5377">
        <v>403900</v>
      </c>
      <c r="B5377" s="10">
        <v>2021</v>
      </c>
      <c r="C5377" t="s">
        <v>695</v>
      </c>
      <c r="D5377" t="s">
        <v>2472</v>
      </c>
      <c r="E5377" t="s">
        <v>2474</v>
      </c>
      <c r="F5377" t="s">
        <v>1758</v>
      </c>
      <c r="G5377" t="s">
        <v>1758</v>
      </c>
      <c r="H5377" s="10">
        <v>113799</v>
      </c>
      <c r="I5377">
        <f>IFERROR(VLOOKUP(Final!F5377,'LEAID Match'!$A$2:$B$374,2,FALSE),"")</f>
        <v>403900</v>
      </c>
      <c r="K5377" s="10">
        <f t="shared" si="83"/>
        <v>113799</v>
      </c>
    </row>
    <row r="5378" spans="1:11">
      <c r="A5378">
        <v>403900</v>
      </c>
      <c r="B5378" s="10">
        <v>2022</v>
      </c>
      <c r="C5378" t="s">
        <v>695</v>
      </c>
      <c r="D5378" t="s">
        <v>2472</v>
      </c>
      <c r="E5378" t="s">
        <v>2474</v>
      </c>
      <c r="F5378" t="s">
        <v>1758</v>
      </c>
      <c r="G5378" t="s">
        <v>1758</v>
      </c>
      <c r="H5378" s="10">
        <v>136449</v>
      </c>
      <c r="I5378">
        <f>IFERROR(VLOOKUP(Final!F5378,'LEAID Match'!$A$2:$B$374,2,FALSE),"")</f>
        <v>403900</v>
      </c>
      <c r="K5378" s="10">
        <f t="shared" si="83"/>
        <v>136449</v>
      </c>
    </row>
    <row r="5379" spans="1:11">
      <c r="A5379">
        <v>403900</v>
      </c>
      <c r="B5379" s="10">
        <v>2023</v>
      </c>
      <c r="C5379" t="s">
        <v>695</v>
      </c>
      <c r="D5379" t="s">
        <v>2472</v>
      </c>
      <c r="E5379" t="s">
        <v>2474</v>
      </c>
      <c r="F5379" t="s">
        <v>1758</v>
      </c>
      <c r="G5379" t="s">
        <v>1758</v>
      </c>
      <c r="H5379" s="10">
        <v>139821</v>
      </c>
      <c r="I5379">
        <f>IFERROR(VLOOKUP(Final!F5379,'LEAID Match'!$A$2:$B$374,2,FALSE),"")</f>
        <v>403900</v>
      </c>
      <c r="K5379" s="10">
        <f t="shared" ref="K5379:K5442" si="84">SUM(H5379,J5379)</f>
        <v>139821</v>
      </c>
    </row>
    <row r="5380" spans="1:11">
      <c r="A5380">
        <v>405220</v>
      </c>
      <c r="B5380" s="10">
        <v>2015</v>
      </c>
      <c r="C5380" t="s">
        <v>810</v>
      </c>
      <c r="D5380" t="s">
        <v>2472</v>
      </c>
      <c r="E5380" t="s">
        <v>2474</v>
      </c>
      <c r="F5380" t="s">
        <v>1816</v>
      </c>
      <c r="G5380" t="s">
        <v>755</v>
      </c>
      <c r="H5380" s="10">
        <v>73087</v>
      </c>
      <c r="I5380">
        <f>IFERROR(VLOOKUP(Final!F5380,'LEAID Match'!$A$2:$B$374,2,FALSE),"")</f>
        <v>405220</v>
      </c>
      <c r="K5380" s="10">
        <f t="shared" si="84"/>
        <v>73087</v>
      </c>
    </row>
    <row r="5381" spans="1:11">
      <c r="A5381">
        <v>405220</v>
      </c>
      <c r="B5381" s="10">
        <v>2016</v>
      </c>
      <c r="C5381" t="s">
        <v>810</v>
      </c>
      <c r="D5381" t="s">
        <v>2472</v>
      </c>
      <c r="E5381" t="s">
        <v>2474</v>
      </c>
      <c r="F5381" t="s">
        <v>1816</v>
      </c>
      <c r="G5381" t="s">
        <v>755</v>
      </c>
      <c r="H5381" s="10">
        <v>88746</v>
      </c>
      <c r="I5381">
        <f>IFERROR(VLOOKUP(Final!F5381,'LEAID Match'!$A$2:$B$374,2,FALSE),"")</f>
        <v>405220</v>
      </c>
      <c r="K5381" s="10">
        <f t="shared" si="84"/>
        <v>88746</v>
      </c>
    </row>
    <row r="5382" spans="1:11">
      <c r="A5382">
        <v>405220</v>
      </c>
      <c r="B5382" s="10">
        <v>2017</v>
      </c>
      <c r="C5382" t="s">
        <v>810</v>
      </c>
      <c r="D5382" t="s">
        <v>2472</v>
      </c>
      <c r="E5382" t="s">
        <v>2474</v>
      </c>
      <c r="F5382" t="s">
        <v>1816</v>
      </c>
      <c r="G5382" t="s">
        <v>1816</v>
      </c>
      <c r="H5382" s="10">
        <v>89535</v>
      </c>
      <c r="I5382">
        <f>IFERROR(VLOOKUP(Final!F5382,'LEAID Match'!$A$2:$B$374,2,FALSE),"")</f>
        <v>405220</v>
      </c>
      <c r="K5382" s="10">
        <f t="shared" si="84"/>
        <v>89535</v>
      </c>
    </row>
    <row r="5383" spans="1:11">
      <c r="A5383">
        <v>405220</v>
      </c>
      <c r="B5383" s="10">
        <v>2018</v>
      </c>
      <c r="C5383" t="s">
        <v>810</v>
      </c>
      <c r="D5383" t="s">
        <v>2472</v>
      </c>
      <c r="E5383" t="s">
        <v>2474</v>
      </c>
      <c r="F5383" t="s">
        <v>1816</v>
      </c>
      <c r="G5383" t="s">
        <v>2244</v>
      </c>
      <c r="H5383" s="10">
        <v>93378</v>
      </c>
      <c r="I5383">
        <f>IFERROR(VLOOKUP(Final!F5383,'LEAID Match'!$A$2:$B$374,2,FALSE),"")</f>
        <v>405220</v>
      </c>
      <c r="K5383" s="10">
        <f t="shared" si="84"/>
        <v>93378</v>
      </c>
    </row>
    <row r="5384" spans="1:11">
      <c r="A5384">
        <v>405220</v>
      </c>
      <c r="B5384" s="10">
        <v>2019</v>
      </c>
      <c r="C5384" t="s">
        <v>810</v>
      </c>
      <c r="D5384" t="s">
        <v>2472</v>
      </c>
      <c r="E5384" t="s">
        <v>2474</v>
      </c>
      <c r="F5384" t="s">
        <v>1816</v>
      </c>
      <c r="G5384" t="s">
        <v>1816</v>
      </c>
      <c r="H5384" s="10">
        <v>99220</v>
      </c>
      <c r="I5384">
        <f>IFERROR(VLOOKUP(Final!F5384,'LEAID Match'!$A$2:$B$374,2,FALSE),"")</f>
        <v>405220</v>
      </c>
      <c r="K5384" s="10">
        <f t="shared" si="84"/>
        <v>99220</v>
      </c>
    </row>
    <row r="5385" spans="1:11">
      <c r="A5385">
        <v>405220</v>
      </c>
      <c r="B5385" s="10">
        <v>2020</v>
      </c>
      <c r="C5385" t="s">
        <v>810</v>
      </c>
      <c r="D5385" t="s">
        <v>2472</v>
      </c>
      <c r="E5385" t="s">
        <v>2474</v>
      </c>
      <c r="F5385" t="s">
        <v>1816</v>
      </c>
      <c r="G5385" t="s">
        <v>1816</v>
      </c>
      <c r="H5385" s="10">
        <v>96820</v>
      </c>
      <c r="I5385">
        <f>IFERROR(VLOOKUP(Final!F5385,'LEAID Match'!$A$2:$B$374,2,FALSE),"")</f>
        <v>405220</v>
      </c>
      <c r="K5385" s="10">
        <f t="shared" si="84"/>
        <v>96820</v>
      </c>
    </row>
    <row r="5386" spans="1:11">
      <c r="A5386">
        <v>405220</v>
      </c>
      <c r="B5386" s="10">
        <v>2021</v>
      </c>
      <c r="C5386" t="s">
        <v>810</v>
      </c>
      <c r="D5386" t="s">
        <v>2472</v>
      </c>
      <c r="E5386" t="s">
        <v>2474</v>
      </c>
      <c r="F5386" t="s">
        <v>1816</v>
      </c>
      <c r="G5386" t="s">
        <v>1816</v>
      </c>
      <c r="H5386" s="10">
        <v>116924</v>
      </c>
      <c r="I5386">
        <f>IFERROR(VLOOKUP(Final!F5386,'LEAID Match'!$A$2:$B$374,2,FALSE),"")</f>
        <v>405220</v>
      </c>
      <c r="K5386" s="10">
        <f t="shared" si="84"/>
        <v>116924</v>
      </c>
    </row>
    <row r="5387" spans="1:11">
      <c r="A5387">
        <v>405220</v>
      </c>
      <c r="B5387" s="10">
        <v>2022</v>
      </c>
      <c r="C5387" t="s">
        <v>810</v>
      </c>
      <c r="D5387" t="s">
        <v>2472</v>
      </c>
      <c r="E5387" t="s">
        <v>2474</v>
      </c>
      <c r="F5387" t="s">
        <v>1816</v>
      </c>
      <c r="G5387" t="s">
        <v>1816</v>
      </c>
      <c r="H5387" s="10">
        <v>143634</v>
      </c>
      <c r="I5387">
        <f>IFERROR(VLOOKUP(Final!F5387,'LEAID Match'!$A$2:$B$374,2,FALSE),"")</f>
        <v>405220</v>
      </c>
      <c r="K5387" s="10">
        <f t="shared" si="84"/>
        <v>143634</v>
      </c>
    </row>
    <row r="5388" spans="1:11">
      <c r="A5388">
        <v>405220</v>
      </c>
      <c r="B5388" s="10">
        <v>2023</v>
      </c>
      <c r="C5388" t="s">
        <v>810</v>
      </c>
      <c r="D5388" t="s">
        <v>2472</v>
      </c>
      <c r="E5388" t="s">
        <v>2474</v>
      </c>
      <c r="F5388" t="s">
        <v>1816</v>
      </c>
      <c r="G5388" t="s">
        <v>1816</v>
      </c>
      <c r="H5388" s="10">
        <v>157907</v>
      </c>
      <c r="I5388">
        <f>IFERROR(VLOOKUP(Final!F5388,'LEAID Match'!$A$2:$B$374,2,FALSE),"")</f>
        <v>405220</v>
      </c>
      <c r="K5388" s="10">
        <f t="shared" si="84"/>
        <v>157907</v>
      </c>
    </row>
    <row r="5389" spans="1:11">
      <c r="A5389">
        <v>409090</v>
      </c>
      <c r="B5389" s="10">
        <v>2015</v>
      </c>
      <c r="C5389" t="s">
        <v>1325</v>
      </c>
      <c r="D5389" t="s">
        <v>2472</v>
      </c>
      <c r="E5389" t="s">
        <v>2474</v>
      </c>
      <c r="F5389" t="s">
        <v>2395</v>
      </c>
      <c r="G5389" t="s">
        <v>1277</v>
      </c>
      <c r="H5389" s="10">
        <v>122787</v>
      </c>
      <c r="I5389">
        <f>IFERROR(VLOOKUP(Final!F5389,'LEAID Match'!$A$2:$B$374,2,FALSE),"")</f>
        <v>409090</v>
      </c>
      <c r="K5389" s="10">
        <f t="shared" si="84"/>
        <v>122787</v>
      </c>
    </row>
    <row r="5390" spans="1:11">
      <c r="A5390">
        <v>409090</v>
      </c>
      <c r="B5390" s="10">
        <v>2016</v>
      </c>
      <c r="C5390" t="s">
        <v>1325</v>
      </c>
      <c r="D5390" t="s">
        <v>2472</v>
      </c>
      <c r="E5390" t="s">
        <v>2474</v>
      </c>
      <c r="F5390" t="s">
        <v>2395</v>
      </c>
      <c r="G5390" t="s">
        <v>1277</v>
      </c>
      <c r="H5390" s="10">
        <v>129038</v>
      </c>
      <c r="I5390">
        <f>IFERROR(VLOOKUP(Final!F5390,'LEAID Match'!$A$2:$B$374,2,FALSE),"")</f>
        <v>409090</v>
      </c>
      <c r="K5390" s="10">
        <f t="shared" si="84"/>
        <v>129038</v>
      </c>
    </row>
    <row r="5391" spans="1:11">
      <c r="A5391">
        <v>409090</v>
      </c>
      <c r="B5391" s="10">
        <v>2017</v>
      </c>
      <c r="C5391" t="s">
        <v>1325</v>
      </c>
      <c r="D5391" t="s">
        <v>2472</v>
      </c>
      <c r="E5391" t="s">
        <v>2474</v>
      </c>
      <c r="F5391" t="s">
        <v>2395</v>
      </c>
      <c r="G5391" t="s">
        <v>2012</v>
      </c>
      <c r="H5391" s="10">
        <v>114582</v>
      </c>
      <c r="I5391">
        <f>IFERROR(VLOOKUP(Final!F5391,'LEAID Match'!$A$2:$B$374,2,FALSE),"")</f>
        <v>409090</v>
      </c>
      <c r="K5391" s="10">
        <f t="shared" si="84"/>
        <v>114582</v>
      </c>
    </row>
    <row r="5392" spans="1:11">
      <c r="A5392">
        <v>409090</v>
      </c>
      <c r="B5392" s="10">
        <v>2018</v>
      </c>
      <c r="C5392" t="s">
        <v>1325</v>
      </c>
      <c r="D5392" t="s">
        <v>2472</v>
      </c>
      <c r="E5392" t="s">
        <v>2474</v>
      </c>
      <c r="F5392" t="s">
        <v>2395</v>
      </c>
      <c r="G5392" t="s">
        <v>2012</v>
      </c>
      <c r="H5392" s="10">
        <v>111531</v>
      </c>
      <c r="I5392">
        <f>IFERROR(VLOOKUP(Final!F5392,'LEAID Match'!$A$2:$B$374,2,FALSE),"")</f>
        <v>409090</v>
      </c>
      <c r="K5392" s="10">
        <f t="shared" si="84"/>
        <v>111531</v>
      </c>
    </row>
    <row r="5393" spans="1:11">
      <c r="A5393">
        <v>409090</v>
      </c>
      <c r="B5393" s="10">
        <v>2019</v>
      </c>
      <c r="C5393" t="s">
        <v>1325</v>
      </c>
      <c r="D5393" t="s">
        <v>2472</v>
      </c>
      <c r="E5393" t="s">
        <v>2474</v>
      </c>
      <c r="F5393" t="s">
        <v>2395</v>
      </c>
      <c r="G5393" t="s">
        <v>2395</v>
      </c>
      <c r="H5393" s="10">
        <v>118411</v>
      </c>
      <c r="I5393">
        <f>IFERROR(VLOOKUP(Final!F5393,'LEAID Match'!$A$2:$B$374,2,FALSE),"")</f>
        <v>409090</v>
      </c>
      <c r="K5393" s="10">
        <f t="shared" si="84"/>
        <v>118411</v>
      </c>
    </row>
    <row r="5394" spans="1:11">
      <c r="A5394">
        <v>409090</v>
      </c>
      <c r="B5394" s="10">
        <v>2020</v>
      </c>
      <c r="C5394" t="s">
        <v>1325</v>
      </c>
      <c r="D5394" t="s">
        <v>2472</v>
      </c>
      <c r="E5394" t="s">
        <v>2474</v>
      </c>
      <c r="F5394" t="s">
        <v>2395</v>
      </c>
      <c r="G5394" t="s">
        <v>2395</v>
      </c>
      <c r="H5394" s="10">
        <v>131067</v>
      </c>
      <c r="I5394">
        <f>IFERROR(VLOOKUP(Final!F5394,'LEAID Match'!$A$2:$B$374,2,FALSE),"")</f>
        <v>409090</v>
      </c>
      <c r="K5394" s="10">
        <f t="shared" si="84"/>
        <v>131067</v>
      </c>
    </row>
    <row r="5395" spans="1:11">
      <c r="A5395">
        <v>409090</v>
      </c>
      <c r="B5395" s="10">
        <v>2021</v>
      </c>
      <c r="C5395" t="s">
        <v>1325</v>
      </c>
      <c r="D5395" t="s">
        <v>2472</v>
      </c>
      <c r="E5395" t="s">
        <v>2474</v>
      </c>
      <c r="F5395" t="s">
        <v>2395</v>
      </c>
      <c r="G5395" t="s">
        <v>2395</v>
      </c>
      <c r="H5395" s="10">
        <v>106041</v>
      </c>
      <c r="I5395">
        <f>IFERROR(VLOOKUP(Final!F5395,'LEAID Match'!$A$2:$B$374,2,FALSE),"")</f>
        <v>409090</v>
      </c>
      <c r="K5395" s="10">
        <f t="shared" si="84"/>
        <v>106041</v>
      </c>
    </row>
    <row r="5396" spans="1:11">
      <c r="A5396">
        <v>409090</v>
      </c>
      <c r="B5396" s="10">
        <v>2022</v>
      </c>
      <c r="C5396" t="s">
        <v>1325</v>
      </c>
      <c r="D5396" t="s">
        <v>2472</v>
      </c>
      <c r="E5396" t="s">
        <v>2474</v>
      </c>
      <c r="F5396" t="s">
        <v>2395</v>
      </c>
      <c r="G5396" t="s">
        <v>2395</v>
      </c>
      <c r="H5396" s="10">
        <v>150171</v>
      </c>
      <c r="I5396">
        <f>IFERROR(VLOOKUP(Final!F5396,'LEAID Match'!$A$2:$B$374,2,FALSE),"")</f>
        <v>409090</v>
      </c>
      <c r="K5396" s="10">
        <f t="shared" si="84"/>
        <v>150171</v>
      </c>
    </row>
    <row r="5397" spans="1:11">
      <c r="A5397">
        <v>409090</v>
      </c>
      <c r="B5397" s="10">
        <v>2023</v>
      </c>
      <c r="C5397" t="s">
        <v>1325</v>
      </c>
      <c r="D5397" t="s">
        <v>2472</v>
      </c>
      <c r="E5397" t="s">
        <v>2474</v>
      </c>
      <c r="F5397" t="s">
        <v>2395</v>
      </c>
      <c r="G5397" t="s">
        <v>2395</v>
      </c>
      <c r="H5397" s="10">
        <v>127971</v>
      </c>
      <c r="I5397">
        <f>IFERROR(VLOOKUP(Final!F5397,'LEAID Match'!$A$2:$B$374,2,FALSE),"")</f>
        <v>409090</v>
      </c>
      <c r="K5397" s="10">
        <f t="shared" si="84"/>
        <v>127971</v>
      </c>
    </row>
    <row r="5398" spans="1:11">
      <c r="A5398">
        <v>403240</v>
      </c>
      <c r="B5398" s="10">
        <v>2015</v>
      </c>
      <c r="C5398" t="s">
        <v>600</v>
      </c>
      <c r="D5398" t="s">
        <v>2472</v>
      </c>
      <c r="E5398" t="s">
        <v>2474</v>
      </c>
      <c r="F5398" t="s">
        <v>1727</v>
      </c>
      <c r="G5398" t="s">
        <v>545</v>
      </c>
      <c r="H5398" s="10">
        <v>2041123</v>
      </c>
      <c r="I5398">
        <f>IFERROR(VLOOKUP(Final!F5398,'LEAID Match'!$A$2:$B$374,2,FALSE),"")</f>
        <v>403240</v>
      </c>
      <c r="K5398" s="10">
        <f t="shared" si="84"/>
        <v>2041123</v>
      </c>
    </row>
    <row r="5399" spans="1:11">
      <c r="A5399">
        <v>403240</v>
      </c>
      <c r="B5399" s="10">
        <v>2016</v>
      </c>
      <c r="C5399" t="s">
        <v>600</v>
      </c>
      <c r="D5399" t="s">
        <v>2472</v>
      </c>
      <c r="E5399" t="s">
        <v>2474</v>
      </c>
      <c r="F5399" t="s">
        <v>1727</v>
      </c>
      <c r="G5399" t="s">
        <v>545</v>
      </c>
      <c r="H5399" s="10">
        <v>1985442</v>
      </c>
      <c r="I5399">
        <f>IFERROR(VLOOKUP(Final!F5399,'LEAID Match'!$A$2:$B$374,2,FALSE),"")</f>
        <v>403240</v>
      </c>
      <c r="K5399" s="10">
        <f t="shared" si="84"/>
        <v>1985442</v>
      </c>
    </row>
    <row r="5400" spans="1:11">
      <c r="A5400">
        <v>403240</v>
      </c>
      <c r="B5400" s="10">
        <v>2017</v>
      </c>
      <c r="C5400" t="s">
        <v>600</v>
      </c>
      <c r="D5400" t="s">
        <v>2472</v>
      </c>
      <c r="E5400" t="s">
        <v>2474</v>
      </c>
      <c r="F5400" t="s">
        <v>1727</v>
      </c>
      <c r="G5400" t="s">
        <v>1727</v>
      </c>
      <c r="H5400" s="10">
        <v>2043275</v>
      </c>
      <c r="I5400">
        <f>IFERROR(VLOOKUP(Final!F5400,'LEAID Match'!$A$2:$B$374,2,FALSE),"")</f>
        <v>403240</v>
      </c>
      <c r="K5400" s="10">
        <f t="shared" si="84"/>
        <v>2043275</v>
      </c>
    </row>
    <row r="5401" spans="1:11">
      <c r="A5401">
        <v>403240</v>
      </c>
      <c r="B5401" s="10">
        <v>2018</v>
      </c>
      <c r="C5401" t="s">
        <v>600</v>
      </c>
      <c r="D5401" t="s">
        <v>2472</v>
      </c>
      <c r="E5401" t="s">
        <v>2474</v>
      </c>
      <c r="F5401" t="s">
        <v>1727</v>
      </c>
      <c r="G5401" t="s">
        <v>2195</v>
      </c>
      <c r="H5401" s="10">
        <v>2097812</v>
      </c>
      <c r="I5401">
        <f>IFERROR(VLOOKUP(Final!F5401,'LEAID Match'!$A$2:$B$374,2,FALSE),"")</f>
        <v>403240</v>
      </c>
      <c r="K5401" s="10">
        <f t="shared" si="84"/>
        <v>2097812</v>
      </c>
    </row>
    <row r="5402" spans="1:11">
      <c r="A5402">
        <v>403240</v>
      </c>
      <c r="B5402" s="10">
        <v>2019</v>
      </c>
      <c r="C5402" t="s">
        <v>600</v>
      </c>
      <c r="D5402" t="s">
        <v>2472</v>
      </c>
      <c r="E5402" t="s">
        <v>2474</v>
      </c>
      <c r="F5402" t="s">
        <v>1727</v>
      </c>
      <c r="G5402" t="s">
        <v>1727</v>
      </c>
      <c r="H5402" s="10">
        <v>2342591</v>
      </c>
      <c r="I5402">
        <f>IFERROR(VLOOKUP(Final!F5402,'LEAID Match'!$A$2:$B$374,2,FALSE),"")</f>
        <v>403240</v>
      </c>
      <c r="K5402" s="10">
        <f t="shared" si="84"/>
        <v>2342591</v>
      </c>
    </row>
    <row r="5403" spans="1:11">
      <c r="A5403">
        <v>403240</v>
      </c>
      <c r="B5403" s="10">
        <v>2020</v>
      </c>
      <c r="C5403" t="s">
        <v>600</v>
      </c>
      <c r="D5403" t="s">
        <v>2472</v>
      </c>
      <c r="E5403" t="s">
        <v>2474</v>
      </c>
      <c r="F5403" t="s">
        <v>1727</v>
      </c>
      <c r="G5403" t="s">
        <v>1727</v>
      </c>
      <c r="H5403" s="10">
        <v>2518598</v>
      </c>
      <c r="I5403">
        <f>IFERROR(VLOOKUP(Final!F5403,'LEAID Match'!$A$2:$B$374,2,FALSE),"")</f>
        <v>403240</v>
      </c>
      <c r="K5403" s="10">
        <f t="shared" si="84"/>
        <v>2518598</v>
      </c>
    </row>
    <row r="5404" spans="1:11">
      <c r="A5404">
        <v>403240</v>
      </c>
      <c r="B5404" s="10">
        <v>2021</v>
      </c>
      <c r="C5404" t="s">
        <v>600</v>
      </c>
      <c r="D5404" t="s">
        <v>2472</v>
      </c>
      <c r="E5404" t="s">
        <v>2474</v>
      </c>
      <c r="F5404" t="s">
        <v>1727</v>
      </c>
      <c r="G5404" t="s">
        <v>1727</v>
      </c>
      <c r="H5404" s="10">
        <v>2689053</v>
      </c>
      <c r="I5404">
        <f>IFERROR(VLOOKUP(Final!F5404,'LEAID Match'!$A$2:$B$374,2,FALSE),"")</f>
        <v>403240</v>
      </c>
      <c r="K5404" s="10">
        <f t="shared" si="84"/>
        <v>2689053</v>
      </c>
    </row>
    <row r="5405" spans="1:11">
      <c r="A5405">
        <v>403240</v>
      </c>
      <c r="B5405" s="10">
        <v>2022</v>
      </c>
      <c r="C5405" t="s">
        <v>600</v>
      </c>
      <c r="D5405" t="s">
        <v>2472</v>
      </c>
      <c r="E5405" t="s">
        <v>2474</v>
      </c>
      <c r="F5405" t="s">
        <v>1727</v>
      </c>
      <c r="G5405" t="s">
        <v>1727</v>
      </c>
      <c r="H5405" s="10">
        <v>3179223</v>
      </c>
      <c r="I5405">
        <f>IFERROR(VLOOKUP(Final!F5405,'LEAID Match'!$A$2:$B$374,2,FALSE),"")</f>
        <v>403240</v>
      </c>
      <c r="K5405" s="10">
        <f t="shared" si="84"/>
        <v>3179223</v>
      </c>
    </row>
    <row r="5406" spans="1:11">
      <c r="A5406">
        <v>403240</v>
      </c>
      <c r="B5406" s="10">
        <v>2023</v>
      </c>
      <c r="C5406" t="s">
        <v>600</v>
      </c>
      <c r="D5406" t="s">
        <v>2472</v>
      </c>
      <c r="E5406" t="s">
        <v>2474</v>
      </c>
      <c r="F5406" t="s">
        <v>1727</v>
      </c>
      <c r="G5406" t="s">
        <v>1727</v>
      </c>
      <c r="H5406" s="10">
        <v>3297482</v>
      </c>
      <c r="I5406">
        <f>IFERROR(VLOOKUP(Final!F5406,'LEAID Match'!$A$2:$B$374,2,FALSE),"")</f>
        <v>403240</v>
      </c>
      <c r="K5406" s="10">
        <f t="shared" si="84"/>
        <v>3297482</v>
      </c>
    </row>
    <row r="5407" spans="1:11">
      <c r="A5407" t="s">
        <v>2470</v>
      </c>
      <c r="B5407" s="10">
        <v>2015</v>
      </c>
      <c r="C5407" t="s">
        <v>898</v>
      </c>
      <c r="D5407" t="s">
        <v>2472</v>
      </c>
      <c r="E5407" t="s">
        <v>2474</v>
      </c>
      <c r="F5407" t="s">
        <v>843</v>
      </c>
      <c r="G5407" t="s">
        <v>843</v>
      </c>
      <c r="H5407" s="10">
        <v>1363982</v>
      </c>
      <c r="I5407" t="str">
        <f>IFERROR(VLOOKUP(Final!F5407,'LEAID Match'!$A$2:$B$374,2,FALSE),"")</f>
        <v/>
      </c>
      <c r="K5407" s="10">
        <f t="shared" si="84"/>
        <v>1363982</v>
      </c>
    </row>
    <row r="5408" spans="1:11">
      <c r="A5408" t="s">
        <v>2470</v>
      </c>
      <c r="B5408" s="10">
        <v>2016</v>
      </c>
      <c r="C5408" t="s">
        <v>898</v>
      </c>
      <c r="D5408" t="s">
        <v>2472</v>
      </c>
      <c r="E5408" t="s">
        <v>2474</v>
      </c>
      <c r="F5408" t="s">
        <v>843</v>
      </c>
      <c r="G5408" t="s">
        <v>843</v>
      </c>
      <c r="H5408" s="10">
        <v>1317608</v>
      </c>
      <c r="I5408" t="str">
        <f>IFERROR(VLOOKUP(Final!F5408,'LEAID Match'!$A$2:$B$374,2,FALSE),"")</f>
        <v/>
      </c>
      <c r="K5408" s="10">
        <f t="shared" si="84"/>
        <v>1317608</v>
      </c>
    </row>
    <row r="5409" spans="1:11">
      <c r="A5409" t="s">
        <v>2470</v>
      </c>
      <c r="B5409" s="10">
        <v>2017</v>
      </c>
      <c r="C5409" t="s">
        <v>898</v>
      </c>
      <c r="D5409" t="s">
        <v>2472</v>
      </c>
      <c r="E5409" t="s">
        <v>2474</v>
      </c>
      <c r="F5409" t="s">
        <v>843</v>
      </c>
      <c r="G5409" t="s">
        <v>843</v>
      </c>
      <c r="H5409" s="10">
        <v>1291580</v>
      </c>
      <c r="I5409" t="str">
        <f>IFERROR(VLOOKUP(Final!F5409,'LEAID Match'!$A$2:$B$374,2,FALSE),"")</f>
        <v/>
      </c>
      <c r="K5409" s="10">
        <f t="shared" si="84"/>
        <v>1291580</v>
      </c>
    </row>
    <row r="5410" spans="1:11">
      <c r="A5410" t="s">
        <v>2470</v>
      </c>
      <c r="B5410" s="10">
        <v>2018</v>
      </c>
      <c r="C5410" t="s">
        <v>898</v>
      </c>
      <c r="D5410" t="s">
        <v>2472</v>
      </c>
      <c r="E5410" t="s">
        <v>2474</v>
      </c>
      <c r="F5410" t="s">
        <v>843</v>
      </c>
      <c r="G5410" t="s">
        <v>843</v>
      </c>
      <c r="H5410" s="10">
        <v>1310988</v>
      </c>
      <c r="I5410" t="str">
        <f>IFERROR(VLOOKUP(Final!F5410,'LEAID Match'!$A$2:$B$374,2,FALSE),"")</f>
        <v/>
      </c>
      <c r="K5410" s="10">
        <f t="shared" si="84"/>
        <v>1310988</v>
      </c>
    </row>
    <row r="5411" spans="1:11">
      <c r="A5411" t="s">
        <v>2470</v>
      </c>
      <c r="B5411" s="10">
        <v>2019</v>
      </c>
      <c r="C5411" t="s">
        <v>898</v>
      </c>
      <c r="D5411" t="s">
        <v>2472</v>
      </c>
      <c r="E5411" t="s">
        <v>2474</v>
      </c>
      <c r="F5411" t="s">
        <v>843</v>
      </c>
      <c r="G5411" t="s">
        <v>843</v>
      </c>
      <c r="H5411" s="10">
        <v>1390754</v>
      </c>
      <c r="I5411" t="str">
        <f>IFERROR(VLOOKUP(Final!F5411,'LEAID Match'!$A$2:$B$374,2,FALSE),"")</f>
        <v/>
      </c>
      <c r="K5411" s="10">
        <f t="shared" si="84"/>
        <v>1390754</v>
      </c>
    </row>
    <row r="5412" spans="1:11">
      <c r="A5412" t="s">
        <v>2470</v>
      </c>
      <c r="B5412" s="10">
        <v>2020</v>
      </c>
      <c r="C5412" t="s">
        <v>898</v>
      </c>
      <c r="D5412" t="s">
        <v>2472</v>
      </c>
      <c r="E5412" t="s">
        <v>2474</v>
      </c>
      <c r="F5412" t="s">
        <v>843</v>
      </c>
      <c r="G5412" t="s">
        <v>843</v>
      </c>
      <c r="H5412" s="10">
        <v>1440273</v>
      </c>
      <c r="I5412" t="str">
        <f>IFERROR(VLOOKUP(Final!F5412,'LEAID Match'!$A$2:$B$374,2,FALSE),"")</f>
        <v/>
      </c>
      <c r="K5412" s="10">
        <f t="shared" si="84"/>
        <v>1440273</v>
      </c>
    </row>
    <row r="5413" spans="1:11">
      <c r="A5413" t="s">
        <v>2470</v>
      </c>
      <c r="B5413" s="10">
        <v>2021</v>
      </c>
      <c r="C5413" t="s">
        <v>898</v>
      </c>
      <c r="D5413" t="s">
        <v>2472</v>
      </c>
      <c r="E5413" t="s">
        <v>2474</v>
      </c>
      <c r="F5413" t="s">
        <v>843</v>
      </c>
      <c r="G5413" t="s">
        <v>843</v>
      </c>
      <c r="H5413" s="10">
        <v>1556162</v>
      </c>
      <c r="I5413" t="str">
        <f>IFERROR(VLOOKUP(Final!F5413,'LEAID Match'!$A$2:$B$374,2,FALSE),"")</f>
        <v/>
      </c>
      <c r="K5413" s="10">
        <f t="shared" si="84"/>
        <v>1556162</v>
      </c>
    </row>
    <row r="5414" spans="1:11">
      <c r="A5414" t="s">
        <v>2470</v>
      </c>
      <c r="B5414" s="10">
        <v>2022</v>
      </c>
      <c r="C5414" t="s">
        <v>898</v>
      </c>
      <c r="D5414" t="s">
        <v>2472</v>
      </c>
      <c r="E5414" t="s">
        <v>2474</v>
      </c>
      <c r="F5414" t="s">
        <v>843</v>
      </c>
      <c r="G5414" t="s">
        <v>843</v>
      </c>
      <c r="H5414" s="10">
        <v>1667028</v>
      </c>
      <c r="I5414" t="str">
        <f>IFERROR(VLOOKUP(Final!F5414,'LEAID Match'!$A$2:$B$374,2,FALSE),"")</f>
        <v/>
      </c>
      <c r="K5414" s="10">
        <f t="shared" si="84"/>
        <v>1667028</v>
      </c>
    </row>
    <row r="5415" spans="1:11">
      <c r="A5415" t="s">
        <v>2470</v>
      </c>
      <c r="B5415" s="10">
        <v>2023</v>
      </c>
      <c r="C5415" t="s">
        <v>898</v>
      </c>
      <c r="D5415" t="s">
        <v>2472</v>
      </c>
      <c r="E5415" t="s">
        <v>2474</v>
      </c>
      <c r="F5415" t="s">
        <v>843</v>
      </c>
      <c r="G5415" t="s">
        <v>843</v>
      </c>
      <c r="H5415" s="10">
        <v>1896486</v>
      </c>
      <c r="I5415" t="str">
        <f>IFERROR(VLOOKUP(Final!F5415,'LEAID Match'!$A$2:$B$374,2,FALSE),"")</f>
        <v/>
      </c>
      <c r="K5415" s="10">
        <f t="shared" si="84"/>
        <v>1896486</v>
      </c>
    </row>
    <row r="5416" spans="1:11">
      <c r="A5416">
        <v>400720</v>
      </c>
      <c r="B5416" s="10">
        <v>2015</v>
      </c>
      <c r="C5416" t="s">
        <v>77</v>
      </c>
      <c r="D5416" t="s">
        <v>2472</v>
      </c>
      <c r="E5416" t="s">
        <v>2474</v>
      </c>
      <c r="F5416" t="s">
        <v>1500</v>
      </c>
      <c r="G5416" t="s">
        <v>24</v>
      </c>
      <c r="H5416" s="10">
        <v>211863</v>
      </c>
      <c r="I5416">
        <f>IFERROR(VLOOKUP(Final!F5416,'LEAID Match'!$A$2:$B$374,2,FALSE),"")</f>
        <v>400720</v>
      </c>
      <c r="K5416" s="10">
        <f t="shared" si="84"/>
        <v>211863</v>
      </c>
    </row>
    <row r="5417" spans="1:11">
      <c r="A5417">
        <v>400720</v>
      </c>
      <c r="B5417" s="10">
        <v>2016</v>
      </c>
      <c r="C5417" t="s">
        <v>77</v>
      </c>
      <c r="D5417" t="s">
        <v>2472</v>
      </c>
      <c r="E5417" t="s">
        <v>2474</v>
      </c>
      <c r="F5417" t="s">
        <v>1500</v>
      </c>
      <c r="G5417" t="s">
        <v>24</v>
      </c>
      <c r="H5417" s="10">
        <v>183949</v>
      </c>
      <c r="I5417">
        <f>IFERROR(VLOOKUP(Final!F5417,'LEAID Match'!$A$2:$B$374,2,FALSE),"")</f>
        <v>400720</v>
      </c>
      <c r="K5417" s="10">
        <f t="shared" si="84"/>
        <v>183949</v>
      </c>
    </row>
    <row r="5418" spans="1:11">
      <c r="A5418">
        <v>400720</v>
      </c>
      <c r="B5418" s="10">
        <v>2017</v>
      </c>
      <c r="C5418" t="s">
        <v>77</v>
      </c>
      <c r="D5418" t="s">
        <v>2472</v>
      </c>
      <c r="E5418" t="s">
        <v>2474</v>
      </c>
      <c r="F5418" t="s">
        <v>1500</v>
      </c>
      <c r="G5418" t="s">
        <v>1500</v>
      </c>
      <c r="H5418" s="10">
        <v>170941</v>
      </c>
      <c r="I5418">
        <f>IFERROR(VLOOKUP(Final!F5418,'LEAID Match'!$A$2:$B$374,2,FALSE),"")</f>
        <v>400720</v>
      </c>
      <c r="K5418" s="10">
        <f t="shared" si="84"/>
        <v>170941</v>
      </c>
    </row>
    <row r="5419" spans="1:11">
      <c r="A5419">
        <v>400720</v>
      </c>
      <c r="B5419" s="10">
        <v>2018</v>
      </c>
      <c r="C5419" t="s">
        <v>77</v>
      </c>
      <c r="D5419" t="s">
        <v>2472</v>
      </c>
      <c r="E5419" t="s">
        <v>2474</v>
      </c>
      <c r="F5419" t="s">
        <v>1500</v>
      </c>
      <c r="G5419" t="s">
        <v>2049</v>
      </c>
      <c r="H5419" s="10">
        <v>186373</v>
      </c>
      <c r="I5419">
        <f>IFERROR(VLOOKUP(Final!F5419,'LEAID Match'!$A$2:$B$374,2,FALSE),"")</f>
        <v>400720</v>
      </c>
      <c r="K5419" s="10">
        <f t="shared" si="84"/>
        <v>186373</v>
      </c>
    </row>
    <row r="5420" spans="1:11">
      <c r="A5420">
        <v>400720</v>
      </c>
      <c r="B5420" s="10">
        <v>2019</v>
      </c>
      <c r="C5420" t="s">
        <v>77</v>
      </c>
      <c r="D5420" t="s">
        <v>2472</v>
      </c>
      <c r="E5420" t="s">
        <v>2474</v>
      </c>
      <c r="F5420" t="s">
        <v>1500</v>
      </c>
      <c r="G5420" t="s">
        <v>1500</v>
      </c>
      <c r="H5420" s="10">
        <v>198729</v>
      </c>
      <c r="I5420">
        <f>IFERROR(VLOOKUP(Final!F5420,'LEAID Match'!$A$2:$B$374,2,FALSE),"")</f>
        <v>400720</v>
      </c>
      <c r="K5420" s="10">
        <f t="shared" si="84"/>
        <v>198729</v>
      </c>
    </row>
    <row r="5421" spans="1:11">
      <c r="A5421">
        <v>400720</v>
      </c>
      <c r="B5421" s="10">
        <v>2020</v>
      </c>
      <c r="C5421" t="s">
        <v>77</v>
      </c>
      <c r="D5421" t="s">
        <v>2472</v>
      </c>
      <c r="E5421" t="s">
        <v>2474</v>
      </c>
      <c r="F5421" t="s">
        <v>1500</v>
      </c>
      <c r="G5421" t="s">
        <v>1500</v>
      </c>
      <c r="H5421" s="10">
        <v>198184</v>
      </c>
      <c r="I5421">
        <f>IFERROR(VLOOKUP(Final!F5421,'LEAID Match'!$A$2:$B$374,2,FALSE),"")</f>
        <v>400720</v>
      </c>
      <c r="K5421" s="10">
        <f t="shared" si="84"/>
        <v>198184</v>
      </c>
    </row>
    <row r="5422" spans="1:11">
      <c r="A5422">
        <v>400720</v>
      </c>
      <c r="B5422" s="10">
        <v>2021</v>
      </c>
      <c r="C5422" t="s">
        <v>77</v>
      </c>
      <c r="D5422" t="s">
        <v>2472</v>
      </c>
      <c r="E5422" t="s">
        <v>2474</v>
      </c>
      <c r="F5422" t="s">
        <v>1500</v>
      </c>
      <c r="G5422" t="s">
        <v>1500</v>
      </c>
      <c r="H5422" s="10">
        <v>187870</v>
      </c>
      <c r="I5422">
        <f>IFERROR(VLOOKUP(Final!F5422,'LEAID Match'!$A$2:$B$374,2,FALSE),"")</f>
        <v>400720</v>
      </c>
      <c r="K5422" s="10">
        <f t="shared" si="84"/>
        <v>187870</v>
      </c>
    </row>
    <row r="5423" spans="1:11">
      <c r="A5423">
        <v>400720</v>
      </c>
      <c r="B5423" s="10">
        <v>2022</v>
      </c>
      <c r="C5423" t="s">
        <v>77</v>
      </c>
      <c r="D5423" t="s">
        <v>2472</v>
      </c>
      <c r="E5423" t="s">
        <v>2474</v>
      </c>
      <c r="F5423" t="s">
        <v>1500</v>
      </c>
      <c r="G5423" t="s">
        <v>1500</v>
      </c>
      <c r="H5423" s="10">
        <v>187353</v>
      </c>
      <c r="I5423">
        <f>IFERROR(VLOOKUP(Final!F5423,'LEAID Match'!$A$2:$B$374,2,FALSE),"")</f>
        <v>400720</v>
      </c>
      <c r="K5423" s="10">
        <f t="shared" si="84"/>
        <v>187353</v>
      </c>
    </row>
    <row r="5424" spans="1:11">
      <c r="A5424">
        <v>400720</v>
      </c>
      <c r="B5424" s="10">
        <v>2023</v>
      </c>
      <c r="C5424" t="s">
        <v>77</v>
      </c>
      <c r="D5424" t="s">
        <v>2472</v>
      </c>
      <c r="E5424" t="s">
        <v>2474</v>
      </c>
      <c r="F5424" t="s">
        <v>1500</v>
      </c>
      <c r="G5424" t="s">
        <v>1500</v>
      </c>
      <c r="H5424" s="10">
        <v>153679</v>
      </c>
      <c r="I5424">
        <f>IFERROR(VLOOKUP(Final!F5424,'LEAID Match'!$A$2:$B$374,2,FALSE),"")</f>
        <v>400720</v>
      </c>
      <c r="K5424" s="10">
        <f t="shared" si="84"/>
        <v>153679</v>
      </c>
    </row>
    <row r="5425" spans="1:11">
      <c r="A5425">
        <v>409630</v>
      </c>
      <c r="B5425" s="10">
        <v>2015</v>
      </c>
      <c r="C5425" t="s">
        <v>1358</v>
      </c>
      <c r="D5425" t="s">
        <v>2472</v>
      </c>
      <c r="E5425" t="s">
        <v>2474</v>
      </c>
      <c r="F5425" t="s">
        <v>2041</v>
      </c>
      <c r="G5425" t="s">
        <v>1310</v>
      </c>
      <c r="H5425" s="10">
        <v>4224532</v>
      </c>
      <c r="I5425">
        <f>IFERROR(VLOOKUP(Final!F5425,'LEAID Match'!$A$2:$B$374,2,FALSE),"")</f>
        <v>409630</v>
      </c>
      <c r="K5425" s="10">
        <f t="shared" si="84"/>
        <v>4224532</v>
      </c>
    </row>
    <row r="5426" spans="1:11">
      <c r="A5426">
        <v>409630</v>
      </c>
      <c r="B5426" s="10">
        <v>2016</v>
      </c>
      <c r="C5426" t="s">
        <v>1358</v>
      </c>
      <c r="D5426" t="s">
        <v>2472</v>
      </c>
      <c r="E5426" t="s">
        <v>2474</v>
      </c>
      <c r="F5426" t="s">
        <v>2041</v>
      </c>
      <c r="G5426" t="s">
        <v>1310</v>
      </c>
      <c r="H5426" s="10">
        <v>4155754</v>
      </c>
      <c r="I5426">
        <f>IFERROR(VLOOKUP(Final!F5426,'LEAID Match'!$A$2:$B$374,2,FALSE),"")</f>
        <v>409630</v>
      </c>
      <c r="K5426" s="10">
        <f t="shared" si="84"/>
        <v>4155754</v>
      </c>
    </row>
    <row r="5427" spans="1:11">
      <c r="A5427">
        <v>409630</v>
      </c>
      <c r="B5427" s="10">
        <v>2017</v>
      </c>
      <c r="C5427" t="s">
        <v>1358</v>
      </c>
      <c r="D5427" t="s">
        <v>2472</v>
      </c>
      <c r="E5427" t="s">
        <v>2474</v>
      </c>
      <c r="F5427" t="s">
        <v>2041</v>
      </c>
      <c r="G5427" t="s">
        <v>2041</v>
      </c>
      <c r="H5427" s="10">
        <v>4509870</v>
      </c>
      <c r="I5427">
        <f>IFERROR(VLOOKUP(Final!F5427,'LEAID Match'!$A$2:$B$374,2,FALSE),"")</f>
        <v>409630</v>
      </c>
      <c r="K5427" s="10">
        <f t="shared" si="84"/>
        <v>4509870</v>
      </c>
    </row>
    <row r="5428" spans="1:11">
      <c r="A5428">
        <v>409630</v>
      </c>
      <c r="B5428" s="10">
        <v>2018</v>
      </c>
      <c r="C5428" t="s">
        <v>1358</v>
      </c>
      <c r="D5428" t="s">
        <v>2472</v>
      </c>
      <c r="E5428" t="s">
        <v>2474</v>
      </c>
      <c r="F5428" t="s">
        <v>2041</v>
      </c>
      <c r="G5428" t="s">
        <v>2041</v>
      </c>
      <c r="H5428" s="10">
        <v>4588713</v>
      </c>
      <c r="I5428">
        <f>IFERROR(VLOOKUP(Final!F5428,'LEAID Match'!$A$2:$B$374,2,FALSE),"")</f>
        <v>409630</v>
      </c>
      <c r="K5428" s="10">
        <f t="shared" si="84"/>
        <v>4588713</v>
      </c>
    </row>
    <row r="5429" spans="1:11">
      <c r="A5429">
        <v>409630</v>
      </c>
      <c r="B5429" s="10">
        <v>2019</v>
      </c>
      <c r="C5429" t="s">
        <v>1358</v>
      </c>
      <c r="D5429" t="s">
        <v>2472</v>
      </c>
      <c r="E5429" t="s">
        <v>2474</v>
      </c>
      <c r="F5429" t="s">
        <v>2041</v>
      </c>
      <c r="G5429" t="s">
        <v>2041</v>
      </c>
      <c r="H5429" s="10">
        <v>5118628</v>
      </c>
      <c r="I5429">
        <f>IFERROR(VLOOKUP(Final!F5429,'LEAID Match'!$A$2:$B$374,2,FALSE),"")</f>
        <v>409630</v>
      </c>
      <c r="K5429" s="10">
        <f t="shared" si="84"/>
        <v>5118628</v>
      </c>
    </row>
    <row r="5430" spans="1:11">
      <c r="A5430">
        <v>409630</v>
      </c>
      <c r="B5430" s="10">
        <v>2020</v>
      </c>
      <c r="C5430" t="s">
        <v>1358</v>
      </c>
      <c r="D5430" t="s">
        <v>2472</v>
      </c>
      <c r="E5430" t="s">
        <v>2474</v>
      </c>
      <c r="F5430" t="s">
        <v>2041</v>
      </c>
      <c r="G5430" t="s">
        <v>2041</v>
      </c>
      <c r="H5430" s="10">
        <v>5726277</v>
      </c>
      <c r="I5430">
        <f>IFERROR(VLOOKUP(Final!F5430,'LEAID Match'!$A$2:$B$374,2,FALSE),"")</f>
        <v>409630</v>
      </c>
      <c r="K5430" s="10">
        <f t="shared" si="84"/>
        <v>5726277</v>
      </c>
    </row>
    <row r="5431" spans="1:11">
      <c r="A5431">
        <v>409630</v>
      </c>
      <c r="B5431" s="10">
        <v>2021</v>
      </c>
      <c r="C5431" t="s">
        <v>1358</v>
      </c>
      <c r="D5431" t="s">
        <v>2472</v>
      </c>
      <c r="E5431" t="s">
        <v>2474</v>
      </c>
      <c r="F5431" t="s">
        <v>2041</v>
      </c>
      <c r="G5431" t="s">
        <v>2041</v>
      </c>
      <c r="H5431" s="10">
        <v>6100589</v>
      </c>
      <c r="I5431">
        <f>IFERROR(VLOOKUP(Final!F5431,'LEAID Match'!$A$2:$B$374,2,FALSE),"")</f>
        <v>409630</v>
      </c>
      <c r="K5431" s="10">
        <f t="shared" si="84"/>
        <v>6100589</v>
      </c>
    </row>
    <row r="5432" spans="1:11">
      <c r="A5432">
        <v>409630</v>
      </c>
      <c r="B5432" s="10">
        <v>2022</v>
      </c>
      <c r="C5432" t="s">
        <v>1358</v>
      </c>
      <c r="D5432" t="s">
        <v>2472</v>
      </c>
      <c r="E5432" t="s">
        <v>2474</v>
      </c>
      <c r="F5432" t="s">
        <v>2041</v>
      </c>
      <c r="G5432" t="s">
        <v>2041</v>
      </c>
      <c r="H5432" s="10">
        <v>7373652</v>
      </c>
      <c r="I5432">
        <f>IFERROR(VLOOKUP(Final!F5432,'LEAID Match'!$A$2:$B$374,2,FALSE),"")</f>
        <v>409630</v>
      </c>
      <c r="K5432" s="10">
        <f t="shared" si="84"/>
        <v>7373652</v>
      </c>
    </row>
    <row r="5433" spans="1:11">
      <c r="A5433">
        <v>409630</v>
      </c>
      <c r="B5433" s="10">
        <v>2023</v>
      </c>
      <c r="C5433" t="s">
        <v>1358</v>
      </c>
      <c r="D5433" t="s">
        <v>2472</v>
      </c>
      <c r="E5433" t="s">
        <v>2474</v>
      </c>
      <c r="F5433" t="s">
        <v>2041</v>
      </c>
      <c r="G5433" t="s">
        <v>2041</v>
      </c>
      <c r="H5433" s="10">
        <v>7827466</v>
      </c>
      <c r="I5433">
        <f>IFERROR(VLOOKUP(Final!F5433,'LEAID Match'!$A$2:$B$374,2,FALSE),"")</f>
        <v>409630</v>
      </c>
      <c r="K5433" s="10">
        <f t="shared" si="84"/>
        <v>7827466</v>
      </c>
    </row>
    <row r="5434" spans="1:11">
      <c r="A5434" t="s">
        <v>2470</v>
      </c>
      <c r="B5434" s="10">
        <v>2015</v>
      </c>
      <c r="C5434" t="s">
        <v>1419</v>
      </c>
      <c r="D5434" t="s">
        <v>2472</v>
      </c>
      <c r="E5434" t="s">
        <v>2474</v>
      </c>
      <c r="F5434" t="s">
        <v>252</v>
      </c>
      <c r="G5434" t="s">
        <v>252</v>
      </c>
      <c r="H5434" s="10">
        <v>2589676</v>
      </c>
      <c r="I5434" t="str">
        <f>IFERROR(VLOOKUP(Final!F5434,'LEAID Match'!$A$2:$B$374,2,FALSE),"")</f>
        <v/>
      </c>
      <c r="K5434" s="10">
        <f t="shared" si="84"/>
        <v>2589676</v>
      </c>
    </row>
    <row r="5435" spans="1:11">
      <c r="A5435" t="s">
        <v>2470</v>
      </c>
      <c r="B5435" s="10">
        <v>2016</v>
      </c>
      <c r="C5435" t="s">
        <v>1419</v>
      </c>
      <c r="D5435" t="s">
        <v>2472</v>
      </c>
      <c r="E5435" t="s">
        <v>2474</v>
      </c>
      <c r="F5435" t="s">
        <v>252</v>
      </c>
      <c r="G5435" t="s">
        <v>252</v>
      </c>
      <c r="H5435" s="10">
        <v>2577345</v>
      </c>
      <c r="I5435" t="str">
        <f>IFERROR(VLOOKUP(Final!F5435,'LEAID Match'!$A$2:$B$374,2,FALSE),"")</f>
        <v/>
      </c>
      <c r="K5435" s="10">
        <f t="shared" si="84"/>
        <v>2577345</v>
      </c>
    </row>
    <row r="5436" spans="1:11">
      <c r="A5436" t="s">
        <v>2470</v>
      </c>
      <c r="B5436" s="10">
        <v>2017</v>
      </c>
      <c r="C5436" t="s">
        <v>1419</v>
      </c>
      <c r="D5436" t="s">
        <v>2472</v>
      </c>
      <c r="E5436" t="s">
        <v>2474</v>
      </c>
      <c r="F5436" t="s">
        <v>252</v>
      </c>
      <c r="G5436" t="s">
        <v>252</v>
      </c>
      <c r="H5436" s="10">
        <v>2464705</v>
      </c>
      <c r="I5436" t="str">
        <f>IFERROR(VLOOKUP(Final!F5436,'LEAID Match'!$A$2:$B$374,2,FALSE),"")</f>
        <v/>
      </c>
      <c r="K5436" s="10">
        <f t="shared" si="84"/>
        <v>2464705</v>
      </c>
    </row>
    <row r="5437" spans="1:11">
      <c r="A5437" t="s">
        <v>2470</v>
      </c>
      <c r="B5437" s="10">
        <v>2018</v>
      </c>
      <c r="C5437" t="s">
        <v>1419</v>
      </c>
      <c r="D5437" t="s">
        <v>2472</v>
      </c>
      <c r="E5437" t="s">
        <v>2474</v>
      </c>
      <c r="F5437" t="s">
        <v>252</v>
      </c>
      <c r="G5437" t="s">
        <v>252</v>
      </c>
      <c r="H5437" s="10">
        <v>2568256</v>
      </c>
      <c r="I5437" t="str">
        <f>IFERROR(VLOOKUP(Final!F5437,'LEAID Match'!$A$2:$B$374,2,FALSE),"")</f>
        <v/>
      </c>
      <c r="K5437" s="10">
        <f t="shared" si="84"/>
        <v>2568256</v>
      </c>
    </row>
    <row r="5438" spans="1:11">
      <c r="A5438" t="s">
        <v>2470</v>
      </c>
      <c r="B5438" s="10">
        <v>2019</v>
      </c>
      <c r="C5438" t="s">
        <v>1419</v>
      </c>
      <c r="D5438" t="s">
        <v>2472</v>
      </c>
      <c r="E5438" t="s">
        <v>2474</v>
      </c>
      <c r="F5438" t="s">
        <v>252</v>
      </c>
      <c r="G5438" t="s">
        <v>252</v>
      </c>
      <c r="H5438" s="10">
        <v>2803020</v>
      </c>
      <c r="I5438" t="str">
        <f>IFERROR(VLOOKUP(Final!F5438,'LEAID Match'!$A$2:$B$374,2,FALSE),"")</f>
        <v/>
      </c>
      <c r="K5438" s="10">
        <f t="shared" si="84"/>
        <v>2803020</v>
      </c>
    </row>
    <row r="5439" spans="1:11">
      <c r="A5439" t="s">
        <v>2470</v>
      </c>
      <c r="B5439" s="10">
        <v>2020</v>
      </c>
      <c r="C5439" t="s">
        <v>1419</v>
      </c>
      <c r="D5439" t="s">
        <v>2472</v>
      </c>
      <c r="E5439" t="s">
        <v>2474</v>
      </c>
      <c r="F5439" t="s">
        <v>252</v>
      </c>
      <c r="G5439" t="s">
        <v>252</v>
      </c>
      <c r="H5439" s="10">
        <v>2906728</v>
      </c>
      <c r="I5439" t="str">
        <f>IFERROR(VLOOKUP(Final!F5439,'LEAID Match'!$A$2:$B$374,2,FALSE),"")</f>
        <v/>
      </c>
      <c r="K5439" s="10">
        <f t="shared" si="84"/>
        <v>2906728</v>
      </c>
    </row>
    <row r="5440" spans="1:11">
      <c r="A5440" t="s">
        <v>2470</v>
      </c>
      <c r="B5440" s="10">
        <v>2021</v>
      </c>
      <c r="C5440" t="s">
        <v>1419</v>
      </c>
      <c r="D5440" t="s">
        <v>2472</v>
      </c>
      <c r="E5440" t="s">
        <v>2474</v>
      </c>
      <c r="F5440" t="s">
        <v>252</v>
      </c>
      <c r="G5440" t="s">
        <v>252</v>
      </c>
      <c r="H5440" s="10">
        <v>3119833</v>
      </c>
      <c r="I5440" t="str">
        <f>IFERROR(VLOOKUP(Final!F5440,'LEAID Match'!$A$2:$B$374,2,FALSE),"")</f>
        <v/>
      </c>
      <c r="K5440" s="10">
        <f t="shared" si="84"/>
        <v>3119833</v>
      </c>
    </row>
    <row r="5441" spans="1:11">
      <c r="A5441" t="s">
        <v>2470</v>
      </c>
      <c r="B5441" s="10">
        <v>2022</v>
      </c>
      <c r="C5441" t="s">
        <v>1419</v>
      </c>
      <c r="D5441" t="s">
        <v>2472</v>
      </c>
      <c r="E5441" t="s">
        <v>2474</v>
      </c>
      <c r="F5441" t="s">
        <v>252</v>
      </c>
      <c r="G5441" t="s">
        <v>252</v>
      </c>
      <c r="H5441" s="10">
        <v>3236692</v>
      </c>
      <c r="I5441" t="str">
        <f>IFERROR(VLOOKUP(Final!F5441,'LEAID Match'!$A$2:$B$374,2,FALSE),"")</f>
        <v/>
      </c>
      <c r="K5441" s="10">
        <f t="shared" si="84"/>
        <v>3236692</v>
      </c>
    </row>
    <row r="5442" spans="1:11">
      <c r="A5442" t="s">
        <v>2470</v>
      </c>
      <c r="B5442" s="10">
        <v>2023</v>
      </c>
      <c r="C5442" t="s">
        <v>1419</v>
      </c>
      <c r="D5442" t="s">
        <v>2472</v>
      </c>
      <c r="E5442" t="s">
        <v>2474</v>
      </c>
      <c r="F5442" t="s">
        <v>252</v>
      </c>
      <c r="G5442" t="s">
        <v>252</v>
      </c>
      <c r="H5442" s="10">
        <v>3401932</v>
      </c>
      <c r="I5442" t="str">
        <f>IFERROR(VLOOKUP(Final!F5442,'LEAID Match'!$A$2:$B$374,2,FALSE),"")</f>
        <v/>
      </c>
      <c r="K5442" s="10">
        <f t="shared" si="84"/>
        <v>3401932</v>
      </c>
    </row>
    <row r="5443" spans="1:11">
      <c r="A5443" t="s">
        <v>2470</v>
      </c>
      <c r="B5443" s="10">
        <v>2015</v>
      </c>
      <c r="C5443" t="s">
        <v>354</v>
      </c>
      <c r="D5443" t="s">
        <v>2472</v>
      </c>
      <c r="E5443" t="s">
        <v>2474</v>
      </c>
      <c r="F5443" t="s">
        <v>300</v>
      </c>
      <c r="G5443" t="s">
        <v>300</v>
      </c>
      <c r="H5443" s="10">
        <v>2151135</v>
      </c>
      <c r="I5443" t="str">
        <f>IFERROR(VLOOKUP(Final!F5443,'LEAID Match'!$A$2:$B$374,2,FALSE),"")</f>
        <v/>
      </c>
      <c r="K5443" s="10">
        <f t="shared" ref="K5443:K5506" si="85">SUM(H5443,J5443)</f>
        <v>2151135</v>
      </c>
    </row>
    <row r="5444" spans="1:11">
      <c r="A5444" t="s">
        <v>2470</v>
      </c>
      <c r="B5444" s="10">
        <v>2016</v>
      </c>
      <c r="C5444" t="s">
        <v>354</v>
      </c>
      <c r="D5444" t="s">
        <v>2472</v>
      </c>
      <c r="E5444" t="s">
        <v>2474</v>
      </c>
      <c r="F5444" t="s">
        <v>300</v>
      </c>
      <c r="G5444" t="s">
        <v>300</v>
      </c>
      <c r="H5444" s="10">
        <v>2264939</v>
      </c>
      <c r="I5444" t="str">
        <f>IFERROR(VLOOKUP(Final!F5444,'LEAID Match'!$A$2:$B$374,2,FALSE),"")</f>
        <v/>
      </c>
      <c r="K5444" s="10">
        <f t="shared" si="85"/>
        <v>2264939</v>
      </c>
    </row>
    <row r="5445" spans="1:11">
      <c r="A5445" t="s">
        <v>2470</v>
      </c>
      <c r="B5445" s="10">
        <v>2017</v>
      </c>
      <c r="C5445" t="s">
        <v>354</v>
      </c>
      <c r="D5445" t="s">
        <v>2472</v>
      </c>
      <c r="E5445" t="s">
        <v>2474</v>
      </c>
      <c r="F5445" t="s">
        <v>300</v>
      </c>
      <c r="G5445" t="s">
        <v>300</v>
      </c>
      <c r="H5445" s="10">
        <v>2294015</v>
      </c>
      <c r="I5445" t="str">
        <f>IFERROR(VLOOKUP(Final!F5445,'LEAID Match'!$A$2:$B$374,2,FALSE),"")</f>
        <v/>
      </c>
      <c r="K5445" s="10">
        <f t="shared" si="85"/>
        <v>2294015</v>
      </c>
    </row>
    <row r="5446" spans="1:11">
      <c r="A5446" t="s">
        <v>2470</v>
      </c>
      <c r="B5446" s="10">
        <v>2018</v>
      </c>
      <c r="C5446" t="s">
        <v>354</v>
      </c>
      <c r="D5446" t="s">
        <v>2472</v>
      </c>
      <c r="E5446" t="s">
        <v>2474</v>
      </c>
      <c r="F5446" t="s">
        <v>300</v>
      </c>
      <c r="G5446" t="s">
        <v>300</v>
      </c>
      <c r="H5446" s="10">
        <v>2462455</v>
      </c>
      <c r="I5446" t="str">
        <f>IFERROR(VLOOKUP(Final!F5446,'LEAID Match'!$A$2:$B$374,2,FALSE),"")</f>
        <v/>
      </c>
      <c r="K5446" s="10">
        <f t="shared" si="85"/>
        <v>2462455</v>
      </c>
    </row>
    <row r="5447" spans="1:11">
      <c r="A5447" t="s">
        <v>2470</v>
      </c>
      <c r="B5447" s="10">
        <v>2019</v>
      </c>
      <c r="C5447" t="s">
        <v>354</v>
      </c>
      <c r="D5447" t="s">
        <v>2472</v>
      </c>
      <c r="E5447" t="s">
        <v>2474</v>
      </c>
      <c r="F5447" t="s">
        <v>300</v>
      </c>
      <c r="G5447" t="s">
        <v>300</v>
      </c>
      <c r="H5447" s="10">
        <v>2613700</v>
      </c>
      <c r="I5447" t="str">
        <f>IFERROR(VLOOKUP(Final!F5447,'LEAID Match'!$A$2:$B$374,2,FALSE),"")</f>
        <v/>
      </c>
      <c r="K5447" s="10">
        <f t="shared" si="85"/>
        <v>2613700</v>
      </c>
    </row>
    <row r="5448" spans="1:11">
      <c r="A5448" t="s">
        <v>2470</v>
      </c>
      <c r="B5448" s="10">
        <v>2020</v>
      </c>
      <c r="C5448" t="s">
        <v>354</v>
      </c>
      <c r="D5448" t="s">
        <v>2472</v>
      </c>
      <c r="E5448" t="s">
        <v>2474</v>
      </c>
      <c r="F5448" t="s">
        <v>300</v>
      </c>
      <c r="G5448" t="s">
        <v>300</v>
      </c>
      <c r="H5448" s="10">
        <v>2681389</v>
      </c>
      <c r="I5448" t="str">
        <f>IFERROR(VLOOKUP(Final!F5448,'LEAID Match'!$A$2:$B$374,2,FALSE),"")</f>
        <v/>
      </c>
      <c r="K5448" s="10">
        <f t="shared" si="85"/>
        <v>2681389</v>
      </c>
    </row>
    <row r="5449" spans="1:11">
      <c r="A5449" t="s">
        <v>2470</v>
      </c>
      <c r="B5449" s="10">
        <v>2021</v>
      </c>
      <c r="C5449" t="s">
        <v>354</v>
      </c>
      <c r="D5449" t="s">
        <v>2472</v>
      </c>
      <c r="E5449" t="s">
        <v>2474</v>
      </c>
      <c r="F5449" t="s">
        <v>300</v>
      </c>
      <c r="G5449" t="s">
        <v>300</v>
      </c>
      <c r="H5449" s="10">
        <v>2654268</v>
      </c>
      <c r="I5449" t="str">
        <f>IFERROR(VLOOKUP(Final!F5449,'LEAID Match'!$A$2:$B$374,2,FALSE),"")</f>
        <v/>
      </c>
      <c r="K5449" s="10">
        <f t="shared" si="85"/>
        <v>2654268</v>
      </c>
    </row>
    <row r="5450" spans="1:11">
      <c r="A5450" t="s">
        <v>2470</v>
      </c>
      <c r="B5450" s="10">
        <v>2022</v>
      </c>
      <c r="C5450" t="s">
        <v>354</v>
      </c>
      <c r="D5450" t="s">
        <v>2472</v>
      </c>
      <c r="E5450" t="s">
        <v>2474</v>
      </c>
      <c r="F5450" t="s">
        <v>300</v>
      </c>
      <c r="G5450" t="s">
        <v>300</v>
      </c>
      <c r="H5450" s="10">
        <v>2757811</v>
      </c>
      <c r="I5450" t="str">
        <f>IFERROR(VLOOKUP(Final!F5450,'LEAID Match'!$A$2:$B$374,2,FALSE),"")</f>
        <v/>
      </c>
      <c r="K5450" s="10">
        <f t="shared" si="85"/>
        <v>2757811</v>
      </c>
    </row>
    <row r="5451" spans="1:11">
      <c r="A5451" t="s">
        <v>2470</v>
      </c>
      <c r="B5451" s="10">
        <v>2023</v>
      </c>
      <c r="C5451" t="s">
        <v>354</v>
      </c>
      <c r="D5451" t="s">
        <v>2472</v>
      </c>
      <c r="E5451" t="s">
        <v>2474</v>
      </c>
      <c r="F5451" t="s">
        <v>300</v>
      </c>
      <c r="G5451" t="s">
        <v>300</v>
      </c>
      <c r="H5451" s="10">
        <v>2730132</v>
      </c>
      <c r="I5451" t="str">
        <f>IFERROR(VLOOKUP(Final!F5451,'LEAID Match'!$A$2:$B$374,2,FALSE),"")</f>
        <v/>
      </c>
      <c r="K5451" s="10">
        <f t="shared" si="85"/>
        <v>2730132</v>
      </c>
    </row>
    <row r="5452" spans="1:11">
      <c r="A5452">
        <v>400098</v>
      </c>
      <c r="B5452" s="10">
        <v>2015</v>
      </c>
      <c r="C5452" t="s">
        <v>588</v>
      </c>
      <c r="D5452" t="s">
        <v>2472</v>
      </c>
      <c r="E5452" t="s">
        <v>2474</v>
      </c>
      <c r="F5452" t="s">
        <v>533</v>
      </c>
      <c r="G5452" t="s">
        <v>533</v>
      </c>
      <c r="H5452" s="10">
        <v>126262</v>
      </c>
      <c r="I5452">
        <f>IFERROR(VLOOKUP(Final!F5452,'LEAID Match'!$A$2:$B$374,2,FALSE),"")</f>
        <v>400098</v>
      </c>
      <c r="K5452" s="10">
        <f t="shared" si="85"/>
        <v>126262</v>
      </c>
    </row>
    <row r="5453" spans="1:11">
      <c r="A5453">
        <v>400098</v>
      </c>
      <c r="B5453" s="10">
        <v>2016</v>
      </c>
      <c r="C5453" t="s">
        <v>588</v>
      </c>
      <c r="D5453" t="s">
        <v>2472</v>
      </c>
      <c r="E5453" t="s">
        <v>2474</v>
      </c>
      <c r="F5453" t="s">
        <v>533</v>
      </c>
      <c r="G5453" t="s">
        <v>533</v>
      </c>
      <c r="H5453" s="10">
        <v>130743</v>
      </c>
      <c r="I5453">
        <f>IFERROR(VLOOKUP(Final!F5453,'LEAID Match'!$A$2:$B$374,2,FALSE),"")</f>
        <v>400098</v>
      </c>
      <c r="K5453" s="10">
        <f t="shared" si="85"/>
        <v>130743</v>
      </c>
    </row>
    <row r="5454" spans="1:11">
      <c r="A5454">
        <v>400098</v>
      </c>
      <c r="B5454" s="10">
        <v>2017</v>
      </c>
      <c r="C5454" t="s">
        <v>588</v>
      </c>
      <c r="D5454" t="s">
        <v>2472</v>
      </c>
      <c r="E5454" t="s">
        <v>2474</v>
      </c>
      <c r="F5454" t="s">
        <v>533</v>
      </c>
      <c r="G5454" t="s">
        <v>533</v>
      </c>
      <c r="H5454" s="10">
        <v>136348</v>
      </c>
      <c r="I5454">
        <f>IFERROR(VLOOKUP(Final!F5454,'LEAID Match'!$A$2:$B$374,2,FALSE),"")</f>
        <v>400098</v>
      </c>
      <c r="K5454" s="10">
        <f t="shared" si="85"/>
        <v>136348</v>
      </c>
    </row>
    <row r="5455" spans="1:11">
      <c r="A5455">
        <v>400098</v>
      </c>
      <c r="B5455" s="10">
        <v>2018</v>
      </c>
      <c r="C5455" t="s">
        <v>588</v>
      </c>
      <c r="D5455" t="s">
        <v>2472</v>
      </c>
      <c r="E5455" t="s">
        <v>2474</v>
      </c>
      <c r="F5455" t="s">
        <v>533</v>
      </c>
      <c r="G5455" t="s">
        <v>533</v>
      </c>
      <c r="H5455" s="10">
        <v>142995</v>
      </c>
      <c r="I5455">
        <f>IFERROR(VLOOKUP(Final!F5455,'LEAID Match'!$A$2:$B$374,2,FALSE),"")</f>
        <v>400098</v>
      </c>
      <c r="K5455" s="10">
        <f t="shared" si="85"/>
        <v>142995</v>
      </c>
    </row>
    <row r="5456" spans="1:11">
      <c r="A5456">
        <v>400098</v>
      </c>
      <c r="B5456" s="10">
        <v>2019</v>
      </c>
      <c r="C5456" t="s">
        <v>588</v>
      </c>
      <c r="D5456" t="s">
        <v>2472</v>
      </c>
      <c r="E5456" t="s">
        <v>2474</v>
      </c>
      <c r="F5456" t="s">
        <v>533</v>
      </c>
      <c r="G5456" t="s">
        <v>533</v>
      </c>
      <c r="H5456" s="10">
        <v>168487</v>
      </c>
      <c r="I5456">
        <f>IFERROR(VLOOKUP(Final!F5456,'LEAID Match'!$A$2:$B$374,2,FALSE),"")</f>
        <v>400098</v>
      </c>
      <c r="K5456" s="10">
        <f t="shared" si="85"/>
        <v>168487</v>
      </c>
    </row>
    <row r="5457" spans="1:11">
      <c r="A5457">
        <v>400098</v>
      </c>
      <c r="B5457" s="10">
        <v>2020</v>
      </c>
      <c r="C5457" t="s">
        <v>588</v>
      </c>
      <c r="D5457" t="s">
        <v>2472</v>
      </c>
      <c r="E5457" t="s">
        <v>2474</v>
      </c>
      <c r="F5457" t="s">
        <v>533</v>
      </c>
      <c r="G5457" t="s">
        <v>533</v>
      </c>
      <c r="H5457" s="10">
        <v>165638</v>
      </c>
      <c r="I5457">
        <f>IFERROR(VLOOKUP(Final!F5457,'LEAID Match'!$A$2:$B$374,2,FALSE),"")</f>
        <v>400098</v>
      </c>
      <c r="K5457" s="10">
        <f t="shared" si="85"/>
        <v>165638</v>
      </c>
    </row>
    <row r="5458" spans="1:11">
      <c r="A5458">
        <v>400098</v>
      </c>
      <c r="B5458" s="10">
        <v>2021</v>
      </c>
      <c r="C5458" t="s">
        <v>588</v>
      </c>
      <c r="D5458" t="s">
        <v>2472</v>
      </c>
      <c r="E5458" t="s">
        <v>2474</v>
      </c>
      <c r="F5458" t="s">
        <v>533</v>
      </c>
      <c r="G5458" t="s">
        <v>533</v>
      </c>
      <c r="H5458" s="10">
        <v>181615</v>
      </c>
      <c r="I5458">
        <f>IFERROR(VLOOKUP(Final!F5458,'LEAID Match'!$A$2:$B$374,2,FALSE),"")</f>
        <v>400098</v>
      </c>
      <c r="K5458" s="10">
        <f t="shared" si="85"/>
        <v>181615</v>
      </c>
    </row>
    <row r="5459" spans="1:11">
      <c r="A5459">
        <v>400098</v>
      </c>
      <c r="B5459" s="10">
        <v>2022</v>
      </c>
      <c r="C5459" t="s">
        <v>588</v>
      </c>
      <c r="D5459" t="s">
        <v>2472</v>
      </c>
      <c r="E5459" t="s">
        <v>2474</v>
      </c>
      <c r="F5459" t="s">
        <v>533</v>
      </c>
      <c r="G5459" t="s">
        <v>533</v>
      </c>
      <c r="H5459" s="10">
        <v>195571</v>
      </c>
      <c r="I5459">
        <f>IFERROR(VLOOKUP(Final!F5459,'LEAID Match'!$A$2:$B$374,2,FALSE),"")</f>
        <v>400098</v>
      </c>
      <c r="K5459" s="10">
        <f t="shared" si="85"/>
        <v>195571</v>
      </c>
    </row>
    <row r="5460" spans="1:11">
      <c r="A5460">
        <v>400098</v>
      </c>
      <c r="B5460" s="10">
        <v>2023</v>
      </c>
      <c r="C5460" t="s">
        <v>588</v>
      </c>
      <c r="D5460" t="s">
        <v>2472</v>
      </c>
      <c r="E5460" t="s">
        <v>2474</v>
      </c>
      <c r="F5460" t="s">
        <v>533</v>
      </c>
      <c r="G5460" t="s">
        <v>533</v>
      </c>
      <c r="H5460" s="10">
        <v>218434</v>
      </c>
      <c r="I5460">
        <f>IFERROR(VLOOKUP(Final!F5460,'LEAID Match'!$A$2:$B$374,2,FALSE),"")</f>
        <v>400098</v>
      </c>
      <c r="K5460" s="10">
        <f t="shared" si="85"/>
        <v>218434</v>
      </c>
    </row>
    <row r="5461" spans="1:11">
      <c r="A5461" t="s">
        <v>2470</v>
      </c>
      <c r="B5461" s="10">
        <v>2015</v>
      </c>
      <c r="C5461" t="s">
        <v>1134</v>
      </c>
      <c r="D5461" t="s">
        <v>2472</v>
      </c>
      <c r="E5461" t="s">
        <v>2474</v>
      </c>
      <c r="F5461" t="s">
        <v>1928</v>
      </c>
      <c r="G5461" t="s">
        <v>1079</v>
      </c>
      <c r="H5461" s="10">
        <v>407119</v>
      </c>
      <c r="I5461" t="str">
        <f>IFERROR(VLOOKUP(Final!F5461,'LEAID Match'!$A$2:$B$374,2,FALSE),"")</f>
        <v/>
      </c>
      <c r="K5461" s="10">
        <f t="shared" si="85"/>
        <v>407119</v>
      </c>
    </row>
    <row r="5462" spans="1:11">
      <c r="A5462" t="s">
        <v>2470</v>
      </c>
      <c r="B5462" s="10">
        <v>2016</v>
      </c>
      <c r="C5462" t="s">
        <v>1134</v>
      </c>
      <c r="D5462" t="s">
        <v>2472</v>
      </c>
      <c r="E5462" t="s">
        <v>2474</v>
      </c>
      <c r="F5462" t="s">
        <v>1928</v>
      </c>
      <c r="G5462" t="s">
        <v>1079</v>
      </c>
      <c r="H5462" s="10">
        <v>413495</v>
      </c>
      <c r="I5462" t="str">
        <f>IFERROR(VLOOKUP(Final!F5462,'LEAID Match'!$A$2:$B$374,2,FALSE),"")</f>
        <v/>
      </c>
      <c r="K5462" s="10">
        <f t="shared" si="85"/>
        <v>413495</v>
      </c>
    </row>
    <row r="5463" spans="1:11">
      <c r="A5463" t="s">
        <v>2470</v>
      </c>
      <c r="B5463" s="10">
        <v>2017</v>
      </c>
      <c r="C5463" t="s">
        <v>1134</v>
      </c>
      <c r="D5463" t="s">
        <v>2472</v>
      </c>
      <c r="E5463" t="s">
        <v>2474</v>
      </c>
      <c r="F5463" t="s">
        <v>1928</v>
      </c>
      <c r="G5463" t="s">
        <v>1928</v>
      </c>
      <c r="H5463" s="10">
        <v>445848</v>
      </c>
      <c r="I5463" t="str">
        <f>IFERROR(VLOOKUP(Final!F5463,'LEAID Match'!$A$2:$B$374,2,FALSE),"")</f>
        <v/>
      </c>
      <c r="K5463" s="10">
        <f t="shared" si="85"/>
        <v>445848</v>
      </c>
    </row>
    <row r="5464" spans="1:11">
      <c r="A5464" t="s">
        <v>2470</v>
      </c>
      <c r="B5464" s="10">
        <v>2018</v>
      </c>
      <c r="C5464" t="s">
        <v>1134</v>
      </c>
      <c r="D5464" t="s">
        <v>2472</v>
      </c>
      <c r="E5464" t="s">
        <v>2474</v>
      </c>
      <c r="F5464" t="s">
        <v>1928</v>
      </c>
      <c r="G5464" t="s">
        <v>1928</v>
      </c>
      <c r="H5464" s="10">
        <v>411893</v>
      </c>
      <c r="I5464" t="str">
        <f>IFERROR(VLOOKUP(Final!F5464,'LEAID Match'!$A$2:$B$374,2,FALSE),"")</f>
        <v/>
      </c>
      <c r="K5464" s="10">
        <f t="shared" si="85"/>
        <v>411893</v>
      </c>
    </row>
    <row r="5465" spans="1:11">
      <c r="A5465" t="s">
        <v>2470</v>
      </c>
      <c r="B5465" s="10">
        <v>2019</v>
      </c>
      <c r="C5465" t="s">
        <v>1134</v>
      </c>
      <c r="D5465" t="s">
        <v>2472</v>
      </c>
      <c r="E5465" t="s">
        <v>2474</v>
      </c>
      <c r="F5465" t="s">
        <v>1928</v>
      </c>
      <c r="G5465" t="s">
        <v>1928</v>
      </c>
      <c r="H5465" s="10">
        <v>339886</v>
      </c>
      <c r="I5465" t="str">
        <f>IFERROR(VLOOKUP(Final!F5465,'LEAID Match'!$A$2:$B$374,2,FALSE),"")</f>
        <v/>
      </c>
      <c r="K5465" s="10">
        <f t="shared" si="85"/>
        <v>339886</v>
      </c>
    </row>
    <row r="5466" spans="1:11">
      <c r="A5466" t="s">
        <v>2470</v>
      </c>
      <c r="B5466" s="10">
        <v>2020</v>
      </c>
      <c r="C5466" t="s">
        <v>1134</v>
      </c>
      <c r="D5466" t="s">
        <v>2472</v>
      </c>
      <c r="E5466" t="s">
        <v>2474</v>
      </c>
      <c r="F5466" t="s">
        <v>1928</v>
      </c>
      <c r="G5466" t="s">
        <v>1928</v>
      </c>
      <c r="H5466" s="10">
        <v>296034</v>
      </c>
      <c r="I5466" t="str">
        <f>IFERROR(VLOOKUP(Final!F5466,'LEAID Match'!$A$2:$B$374,2,FALSE),"")</f>
        <v/>
      </c>
      <c r="K5466" s="10">
        <f t="shared" si="85"/>
        <v>296034</v>
      </c>
    </row>
    <row r="5467" spans="1:11">
      <c r="A5467" t="s">
        <v>2470</v>
      </c>
      <c r="B5467" s="10">
        <v>2021</v>
      </c>
      <c r="C5467" t="s">
        <v>1134</v>
      </c>
      <c r="D5467" t="s">
        <v>2472</v>
      </c>
      <c r="E5467" t="s">
        <v>2474</v>
      </c>
      <c r="F5467" t="s">
        <v>1928</v>
      </c>
      <c r="G5467" t="s">
        <v>1928</v>
      </c>
      <c r="H5467" s="10">
        <v>131368</v>
      </c>
      <c r="I5467" t="str">
        <f>IFERROR(VLOOKUP(Final!F5467,'LEAID Match'!$A$2:$B$374,2,FALSE),"")</f>
        <v/>
      </c>
      <c r="K5467" s="10">
        <f t="shared" si="85"/>
        <v>131368</v>
      </c>
    </row>
    <row r="5468" spans="1:11">
      <c r="A5468" t="s">
        <v>2470</v>
      </c>
      <c r="B5468" s="10">
        <v>2022</v>
      </c>
      <c r="C5468" t="s">
        <v>1134</v>
      </c>
      <c r="D5468" t="s">
        <v>2472</v>
      </c>
      <c r="E5468" t="s">
        <v>2474</v>
      </c>
      <c r="F5468" t="s">
        <v>1928</v>
      </c>
      <c r="G5468" t="s">
        <v>1928</v>
      </c>
      <c r="H5468" s="10">
        <v>120739</v>
      </c>
      <c r="I5468" t="str">
        <f>IFERROR(VLOOKUP(Final!F5468,'LEAID Match'!$A$2:$B$374,2,FALSE),"")</f>
        <v/>
      </c>
      <c r="K5468" s="10">
        <f t="shared" si="85"/>
        <v>120739</v>
      </c>
    </row>
    <row r="5469" spans="1:11">
      <c r="A5469" t="s">
        <v>2470</v>
      </c>
      <c r="B5469" s="10">
        <v>2023</v>
      </c>
      <c r="C5469" t="s">
        <v>1134</v>
      </c>
      <c r="D5469" t="s">
        <v>2472</v>
      </c>
      <c r="E5469" t="s">
        <v>2474</v>
      </c>
      <c r="F5469" t="s">
        <v>1928</v>
      </c>
      <c r="G5469" t="s">
        <v>1928</v>
      </c>
      <c r="H5469" s="10">
        <v>115183</v>
      </c>
      <c r="I5469" t="str">
        <f>IFERROR(VLOOKUP(Final!F5469,'LEAID Match'!$A$2:$B$374,2,FALSE),"")</f>
        <v/>
      </c>
      <c r="K5469" s="10">
        <f t="shared" si="85"/>
        <v>115183</v>
      </c>
    </row>
    <row r="5470" spans="1:11">
      <c r="A5470">
        <v>406780</v>
      </c>
      <c r="B5470" s="10">
        <v>2015</v>
      </c>
      <c r="C5470" t="s">
        <v>1025</v>
      </c>
      <c r="D5470" t="s">
        <v>2472</v>
      </c>
      <c r="E5470" t="s">
        <v>2474</v>
      </c>
      <c r="F5470" t="s">
        <v>1906</v>
      </c>
      <c r="G5470" t="s">
        <v>970</v>
      </c>
      <c r="H5470" s="10">
        <v>121509</v>
      </c>
      <c r="I5470">
        <f>IFERROR(VLOOKUP(Final!F5470,'LEAID Match'!$A$2:$B$374,2,FALSE),"")</f>
        <v>406780</v>
      </c>
      <c r="K5470" s="10">
        <f t="shared" si="85"/>
        <v>121509</v>
      </c>
    </row>
    <row r="5471" spans="1:11">
      <c r="A5471">
        <v>406780</v>
      </c>
      <c r="B5471" s="10">
        <v>2016</v>
      </c>
      <c r="C5471" t="s">
        <v>1025</v>
      </c>
      <c r="D5471" t="s">
        <v>2472</v>
      </c>
      <c r="E5471" t="s">
        <v>2474</v>
      </c>
      <c r="F5471" t="s">
        <v>1906</v>
      </c>
      <c r="G5471" t="s">
        <v>970</v>
      </c>
      <c r="H5471" s="10">
        <v>115480</v>
      </c>
      <c r="I5471">
        <f>IFERROR(VLOOKUP(Final!F5471,'LEAID Match'!$A$2:$B$374,2,FALSE),"")</f>
        <v>406780</v>
      </c>
      <c r="K5471" s="10">
        <f t="shared" si="85"/>
        <v>115480</v>
      </c>
    </row>
    <row r="5472" spans="1:11">
      <c r="A5472">
        <v>406780</v>
      </c>
      <c r="B5472" s="10">
        <v>2017</v>
      </c>
      <c r="C5472" t="s">
        <v>1025</v>
      </c>
      <c r="D5472" t="s">
        <v>2472</v>
      </c>
      <c r="E5472" t="s">
        <v>2474</v>
      </c>
      <c r="F5472" t="s">
        <v>1906</v>
      </c>
      <c r="G5472" t="s">
        <v>1906</v>
      </c>
      <c r="H5472" s="10">
        <v>117189</v>
      </c>
      <c r="I5472">
        <f>IFERROR(VLOOKUP(Final!F5472,'LEAID Match'!$A$2:$B$374,2,FALSE),"")</f>
        <v>406780</v>
      </c>
      <c r="K5472" s="10">
        <f t="shared" si="85"/>
        <v>117189</v>
      </c>
    </row>
    <row r="5473" spans="1:11">
      <c r="A5473">
        <v>406780</v>
      </c>
      <c r="B5473" s="10">
        <v>2018</v>
      </c>
      <c r="C5473" t="s">
        <v>1025</v>
      </c>
      <c r="D5473" t="s">
        <v>2472</v>
      </c>
      <c r="E5473" t="s">
        <v>2474</v>
      </c>
      <c r="F5473" t="s">
        <v>1906</v>
      </c>
      <c r="G5473" t="s">
        <v>2290</v>
      </c>
      <c r="H5473" s="10">
        <v>106095</v>
      </c>
      <c r="I5473">
        <f>IFERROR(VLOOKUP(Final!F5473,'LEAID Match'!$A$2:$B$374,2,FALSE),"")</f>
        <v>406780</v>
      </c>
      <c r="K5473" s="10">
        <f t="shared" si="85"/>
        <v>106095</v>
      </c>
    </row>
    <row r="5474" spans="1:11">
      <c r="A5474">
        <v>406780</v>
      </c>
      <c r="B5474" s="10">
        <v>2019</v>
      </c>
      <c r="C5474" t="s">
        <v>1025</v>
      </c>
      <c r="D5474" t="s">
        <v>2472</v>
      </c>
      <c r="E5474" t="s">
        <v>2474</v>
      </c>
      <c r="F5474" t="s">
        <v>1906</v>
      </c>
      <c r="G5474" t="s">
        <v>1906</v>
      </c>
      <c r="H5474" s="10">
        <v>116035</v>
      </c>
      <c r="I5474">
        <f>IFERROR(VLOOKUP(Final!F5474,'LEAID Match'!$A$2:$B$374,2,FALSE),"")</f>
        <v>406780</v>
      </c>
      <c r="K5474" s="10">
        <f t="shared" si="85"/>
        <v>116035</v>
      </c>
    </row>
    <row r="5475" spans="1:11">
      <c r="A5475">
        <v>406780</v>
      </c>
      <c r="B5475" s="10">
        <v>2020</v>
      </c>
      <c r="C5475" t="s">
        <v>1025</v>
      </c>
      <c r="D5475" t="s">
        <v>2472</v>
      </c>
      <c r="E5475" t="s">
        <v>2474</v>
      </c>
      <c r="F5475" t="s">
        <v>1906</v>
      </c>
      <c r="G5475" t="s">
        <v>1906</v>
      </c>
      <c r="H5475" s="10">
        <v>118303</v>
      </c>
      <c r="I5475">
        <f>IFERROR(VLOOKUP(Final!F5475,'LEAID Match'!$A$2:$B$374,2,FALSE),"")</f>
        <v>406780</v>
      </c>
      <c r="K5475" s="10">
        <f t="shared" si="85"/>
        <v>118303</v>
      </c>
    </row>
    <row r="5476" spans="1:11">
      <c r="A5476">
        <v>406780</v>
      </c>
      <c r="B5476" s="10">
        <v>2021</v>
      </c>
      <c r="C5476" t="s">
        <v>1025</v>
      </c>
      <c r="D5476" t="s">
        <v>2472</v>
      </c>
      <c r="E5476" t="s">
        <v>2474</v>
      </c>
      <c r="F5476" t="s">
        <v>1906</v>
      </c>
      <c r="G5476" t="s">
        <v>1906</v>
      </c>
      <c r="H5476" s="10">
        <v>113532</v>
      </c>
      <c r="I5476">
        <f>IFERROR(VLOOKUP(Final!F5476,'LEAID Match'!$A$2:$B$374,2,FALSE),"")</f>
        <v>406780</v>
      </c>
      <c r="K5476" s="10">
        <f t="shared" si="85"/>
        <v>113532</v>
      </c>
    </row>
    <row r="5477" spans="1:11">
      <c r="A5477">
        <v>406780</v>
      </c>
      <c r="B5477" s="10">
        <v>2022</v>
      </c>
      <c r="C5477" t="s">
        <v>1025</v>
      </c>
      <c r="D5477" t="s">
        <v>2472</v>
      </c>
      <c r="E5477" t="s">
        <v>2474</v>
      </c>
      <c r="F5477" t="s">
        <v>1906</v>
      </c>
      <c r="G5477" t="s">
        <v>1906</v>
      </c>
      <c r="H5477" s="10">
        <v>109946</v>
      </c>
      <c r="I5477">
        <f>IFERROR(VLOOKUP(Final!F5477,'LEAID Match'!$A$2:$B$374,2,FALSE),"")</f>
        <v>406780</v>
      </c>
      <c r="K5477" s="10">
        <f t="shared" si="85"/>
        <v>109946</v>
      </c>
    </row>
    <row r="5478" spans="1:11">
      <c r="A5478">
        <v>406780</v>
      </c>
      <c r="B5478" s="10">
        <v>2023</v>
      </c>
      <c r="C5478" t="s">
        <v>1025</v>
      </c>
      <c r="D5478" t="s">
        <v>2472</v>
      </c>
      <c r="E5478" t="s">
        <v>2474</v>
      </c>
      <c r="F5478" t="s">
        <v>1906</v>
      </c>
      <c r="G5478" t="s">
        <v>1906</v>
      </c>
      <c r="H5478" s="10">
        <v>122162</v>
      </c>
      <c r="I5478">
        <f>IFERROR(VLOOKUP(Final!F5478,'LEAID Match'!$A$2:$B$374,2,FALSE),"")</f>
        <v>406780</v>
      </c>
      <c r="K5478" s="10">
        <f t="shared" si="85"/>
        <v>122162</v>
      </c>
    </row>
    <row r="5479" spans="1:11">
      <c r="A5479">
        <v>409120</v>
      </c>
      <c r="B5479" s="10">
        <v>2015</v>
      </c>
      <c r="C5479" t="s">
        <v>1326</v>
      </c>
      <c r="D5479" t="s">
        <v>2472</v>
      </c>
      <c r="E5479" t="s">
        <v>2474</v>
      </c>
      <c r="F5479" t="s">
        <v>2014</v>
      </c>
      <c r="G5479" t="s">
        <v>1278</v>
      </c>
      <c r="H5479" s="10">
        <v>94373</v>
      </c>
      <c r="I5479">
        <f>IFERROR(VLOOKUP(Final!F5479,'LEAID Match'!$A$2:$B$374,2,FALSE),"")</f>
        <v>409120</v>
      </c>
      <c r="K5479" s="10">
        <f t="shared" si="85"/>
        <v>94373</v>
      </c>
    </row>
    <row r="5480" spans="1:11">
      <c r="A5480">
        <v>409120</v>
      </c>
      <c r="B5480" s="10">
        <v>2016</v>
      </c>
      <c r="C5480" t="s">
        <v>1326</v>
      </c>
      <c r="D5480" t="s">
        <v>2472</v>
      </c>
      <c r="E5480" t="s">
        <v>2474</v>
      </c>
      <c r="F5480" t="s">
        <v>2014</v>
      </c>
      <c r="G5480" t="s">
        <v>1278</v>
      </c>
      <c r="H5480" s="10">
        <v>84159</v>
      </c>
      <c r="I5480">
        <f>IFERROR(VLOOKUP(Final!F5480,'LEAID Match'!$A$2:$B$374,2,FALSE),"")</f>
        <v>409120</v>
      </c>
      <c r="K5480" s="10">
        <f t="shared" si="85"/>
        <v>84159</v>
      </c>
    </row>
    <row r="5481" spans="1:11">
      <c r="A5481">
        <v>409120</v>
      </c>
      <c r="B5481" s="10">
        <v>2017</v>
      </c>
      <c r="C5481" t="s">
        <v>1326</v>
      </c>
      <c r="D5481" t="s">
        <v>2472</v>
      </c>
      <c r="E5481" t="s">
        <v>2474</v>
      </c>
      <c r="F5481" t="s">
        <v>2014</v>
      </c>
      <c r="G5481" t="s">
        <v>2014</v>
      </c>
      <c r="H5481" s="10">
        <v>68749</v>
      </c>
      <c r="I5481">
        <f>IFERROR(VLOOKUP(Final!F5481,'LEAID Match'!$A$2:$B$374,2,FALSE),"")</f>
        <v>409120</v>
      </c>
      <c r="K5481" s="10">
        <f t="shared" si="85"/>
        <v>68749</v>
      </c>
    </row>
    <row r="5482" spans="1:11">
      <c r="A5482">
        <v>409120</v>
      </c>
      <c r="B5482" s="10">
        <v>2018</v>
      </c>
      <c r="C5482" t="s">
        <v>1326</v>
      </c>
      <c r="D5482" t="s">
        <v>2472</v>
      </c>
      <c r="E5482" t="s">
        <v>2474</v>
      </c>
      <c r="F5482" t="s">
        <v>2014</v>
      </c>
      <c r="G5482" t="s">
        <v>2335</v>
      </c>
      <c r="H5482" s="10">
        <v>80604</v>
      </c>
      <c r="I5482">
        <f>IFERROR(VLOOKUP(Final!F5482,'LEAID Match'!$A$2:$B$374,2,FALSE),"")</f>
        <v>409120</v>
      </c>
      <c r="K5482" s="10">
        <f t="shared" si="85"/>
        <v>80604</v>
      </c>
    </row>
    <row r="5483" spans="1:11">
      <c r="A5483">
        <v>409120</v>
      </c>
      <c r="B5483" s="10">
        <v>2019</v>
      </c>
      <c r="C5483" t="s">
        <v>1326</v>
      </c>
      <c r="D5483" t="s">
        <v>2472</v>
      </c>
      <c r="E5483" t="s">
        <v>2474</v>
      </c>
      <c r="F5483" t="s">
        <v>2014</v>
      </c>
      <c r="G5483" t="s">
        <v>2014</v>
      </c>
      <c r="H5483" s="10">
        <v>94832</v>
      </c>
      <c r="I5483">
        <f>IFERROR(VLOOKUP(Final!F5483,'LEAID Match'!$A$2:$B$374,2,FALSE),"")</f>
        <v>409120</v>
      </c>
      <c r="K5483" s="10">
        <f t="shared" si="85"/>
        <v>94832</v>
      </c>
    </row>
    <row r="5484" spans="1:11">
      <c r="A5484">
        <v>409120</v>
      </c>
      <c r="B5484" s="10">
        <v>2020</v>
      </c>
      <c r="C5484" t="s">
        <v>1326</v>
      </c>
      <c r="D5484" t="s">
        <v>2472</v>
      </c>
      <c r="E5484" t="s">
        <v>2474</v>
      </c>
      <c r="F5484" t="s">
        <v>2014</v>
      </c>
      <c r="G5484" t="s">
        <v>2014</v>
      </c>
      <c r="H5484" s="10">
        <v>102961</v>
      </c>
      <c r="I5484">
        <f>IFERROR(VLOOKUP(Final!F5484,'LEAID Match'!$A$2:$B$374,2,FALSE),"")</f>
        <v>409120</v>
      </c>
      <c r="K5484" s="10">
        <f t="shared" si="85"/>
        <v>102961</v>
      </c>
    </row>
    <row r="5485" spans="1:11">
      <c r="A5485">
        <v>409120</v>
      </c>
      <c r="B5485" s="10">
        <v>2021</v>
      </c>
      <c r="C5485" t="s">
        <v>1326</v>
      </c>
      <c r="D5485" t="s">
        <v>2472</v>
      </c>
      <c r="E5485" t="s">
        <v>2474</v>
      </c>
      <c r="F5485" t="s">
        <v>2014</v>
      </c>
      <c r="G5485" t="s">
        <v>2014</v>
      </c>
      <c r="H5485" s="10">
        <v>100502</v>
      </c>
      <c r="I5485">
        <f>IFERROR(VLOOKUP(Final!F5485,'LEAID Match'!$A$2:$B$374,2,FALSE),"")</f>
        <v>409120</v>
      </c>
      <c r="K5485" s="10">
        <f t="shared" si="85"/>
        <v>100502</v>
      </c>
    </row>
    <row r="5486" spans="1:11">
      <c r="A5486">
        <v>409120</v>
      </c>
      <c r="B5486" s="10">
        <v>2022</v>
      </c>
      <c r="C5486" t="s">
        <v>1326</v>
      </c>
      <c r="D5486" t="s">
        <v>2472</v>
      </c>
      <c r="E5486" t="s">
        <v>2474</v>
      </c>
      <c r="F5486" t="s">
        <v>2014</v>
      </c>
      <c r="G5486" t="s">
        <v>2014</v>
      </c>
      <c r="H5486" s="10">
        <v>108770</v>
      </c>
      <c r="I5486">
        <f>IFERROR(VLOOKUP(Final!F5486,'LEAID Match'!$A$2:$B$374,2,FALSE),"")</f>
        <v>409120</v>
      </c>
      <c r="K5486" s="10">
        <f t="shared" si="85"/>
        <v>108770</v>
      </c>
    </row>
    <row r="5487" spans="1:11">
      <c r="A5487">
        <v>409120</v>
      </c>
      <c r="B5487" s="10">
        <v>2023</v>
      </c>
      <c r="C5487" t="s">
        <v>1326</v>
      </c>
      <c r="D5487" t="s">
        <v>2472</v>
      </c>
      <c r="E5487" t="s">
        <v>2474</v>
      </c>
      <c r="F5487" t="s">
        <v>2014</v>
      </c>
      <c r="G5487" t="s">
        <v>2014</v>
      </c>
      <c r="H5487" s="10">
        <v>101777</v>
      </c>
      <c r="I5487">
        <f>IFERROR(VLOOKUP(Final!F5487,'LEAID Match'!$A$2:$B$374,2,FALSE),"")</f>
        <v>409120</v>
      </c>
      <c r="K5487" s="10">
        <f t="shared" si="85"/>
        <v>101777</v>
      </c>
    </row>
    <row r="5488" spans="1:11">
      <c r="A5488">
        <v>401290</v>
      </c>
      <c r="B5488" s="10">
        <v>2015</v>
      </c>
      <c r="C5488" t="s">
        <v>333</v>
      </c>
      <c r="D5488" t="s">
        <v>2472</v>
      </c>
      <c r="E5488" t="s">
        <v>2474</v>
      </c>
      <c r="F5488" t="s">
        <v>1631</v>
      </c>
      <c r="G5488" t="s">
        <v>279</v>
      </c>
      <c r="H5488" s="10">
        <v>46414</v>
      </c>
      <c r="I5488">
        <f>IFERROR(VLOOKUP(Final!F5488,'LEAID Match'!$A$2:$B$374,2,FALSE),"")</f>
        <v>401290</v>
      </c>
      <c r="K5488" s="10">
        <f t="shared" si="85"/>
        <v>46414</v>
      </c>
    </row>
    <row r="5489" spans="1:11">
      <c r="A5489">
        <v>401290</v>
      </c>
      <c r="B5489" s="10">
        <v>2016</v>
      </c>
      <c r="C5489" t="s">
        <v>333</v>
      </c>
      <c r="D5489" t="s">
        <v>2472</v>
      </c>
      <c r="E5489" t="s">
        <v>2474</v>
      </c>
      <c r="F5489" t="s">
        <v>1631</v>
      </c>
      <c r="G5489" t="s">
        <v>279</v>
      </c>
      <c r="H5489" s="10">
        <v>41199</v>
      </c>
      <c r="I5489">
        <f>IFERROR(VLOOKUP(Final!F5489,'LEAID Match'!$A$2:$B$374,2,FALSE),"")</f>
        <v>401290</v>
      </c>
      <c r="K5489" s="10">
        <f t="shared" si="85"/>
        <v>41199</v>
      </c>
    </row>
    <row r="5490" spans="1:11">
      <c r="A5490">
        <v>401290</v>
      </c>
      <c r="B5490" s="10">
        <v>2017</v>
      </c>
      <c r="C5490" t="s">
        <v>333</v>
      </c>
      <c r="D5490" t="s">
        <v>2472</v>
      </c>
      <c r="E5490" t="s">
        <v>2474</v>
      </c>
      <c r="F5490" t="s">
        <v>1631</v>
      </c>
      <c r="G5490" t="s">
        <v>1631</v>
      </c>
      <c r="H5490" s="10">
        <v>36048</v>
      </c>
      <c r="I5490">
        <f>IFERROR(VLOOKUP(Final!F5490,'LEAID Match'!$A$2:$B$374,2,FALSE),"")</f>
        <v>401290</v>
      </c>
      <c r="K5490" s="10">
        <f t="shared" si="85"/>
        <v>36048</v>
      </c>
    </row>
    <row r="5491" spans="1:11">
      <c r="A5491">
        <v>401290</v>
      </c>
      <c r="B5491" s="10">
        <v>2018</v>
      </c>
      <c r="C5491" t="s">
        <v>333</v>
      </c>
      <c r="D5491" t="s">
        <v>2472</v>
      </c>
      <c r="E5491" t="s">
        <v>2474</v>
      </c>
      <c r="F5491" t="s">
        <v>1631</v>
      </c>
      <c r="G5491" t="s">
        <v>2132</v>
      </c>
      <c r="H5491" s="10">
        <v>36717</v>
      </c>
      <c r="I5491">
        <f>IFERROR(VLOOKUP(Final!F5491,'LEAID Match'!$A$2:$B$374,2,FALSE),"")</f>
        <v>401290</v>
      </c>
      <c r="K5491" s="10">
        <f t="shared" si="85"/>
        <v>36717</v>
      </c>
    </row>
    <row r="5492" spans="1:11">
      <c r="A5492">
        <v>401290</v>
      </c>
      <c r="B5492" s="10">
        <v>2019</v>
      </c>
      <c r="C5492" t="s">
        <v>333</v>
      </c>
      <c r="D5492" t="s">
        <v>2472</v>
      </c>
      <c r="E5492" t="s">
        <v>2474</v>
      </c>
      <c r="F5492" t="s">
        <v>1631</v>
      </c>
      <c r="G5492" t="s">
        <v>1631</v>
      </c>
      <c r="H5492" s="10">
        <v>32344</v>
      </c>
      <c r="I5492">
        <f>IFERROR(VLOOKUP(Final!F5492,'LEAID Match'!$A$2:$B$374,2,FALSE),"")</f>
        <v>401290</v>
      </c>
      <c r="K5492" s="10">
        <f t="shared" si="85"/>
        <v>32344</v>
      </c>
    </row>
    <row r="5493" spans="1:11">
      <c r="A5493">
        <v>401290</v>
      </c>
      <c r="B5493" s="10">
        <v>2020</v>
      </c>
      <c r="C5493" t="s">
        <v>333</v>
      </c>
      <c r="D5493" t="s">
        <v>2472</v>
      </c>
      <c r="E5493" t="s">
        <v>2474</v>
      </c>
      <c r="F5493" t="s">
        <v>1631</v>
      </c>
      <c r="G5493" t="s">
        <v>1631</v>
      </c>
      <c r="H5493" s="10">
        <v>42177</v>
      </c>
      <c r="I5493">
        <f>IFERROR(VLOOKUP(Final!F5493,'LEAID Match'!$A$2:$B$374,2,FALSE),"")</f>
        <v>401290</v>
      </c>
      <c r="K5493" s="10">
        <f t="shared" si="85"/>
        <v>42177</v>
      </c>
    </row>
    <row r="5494" spans="1:11">
      <c r="A5494">
        <v>401290</v>
      </c>
      <c r="B5494" s="10">
        <v>2021</v>
      </c>
      <c r="C5494" t="s">
        <v>333</v>
      </c>
      <c r="D5494" t="s">
        <v>2472</v>
      </c>
      <c r="E5494" t="s">
        <v>2474</v>
      </c>
      <c r="F5494" t="s">
        <v>1631</v>
      </c>
      <c r="G5494" t="s">
        <v>1631</v>
      </c>
      <c r="H5494" s="10">
        <v>40703</v>
      </c>
      <c r="I5494">
        <f>IFERROR(VLOOKUP(Final!F5494,'LEAID Match'!$A$2:$B$374,2,FALSE),"")</f>
        <v>401290</v>
      </c>
      <c r="K5494" s="10">
        <f t="shared" si="85"/>
        <v>40703</v>
      </c>
    </row>
    <row r="5495" spans="1:11">
      <c r="A5495">
        <v>401290</v>
      </c>
      <c r="B5495" s="10">
        <v>2022</v>
      </c>
      <c r="C5495" t="s">
        <v>333</v>
      </c>
      <c r="D5495" t="s">
        <v>2472</v>
      </c>
      <c r="E5495" t="s">
        <v>2474</v>
      </c>
      <c r="F5495" t="s">
        <v>1631</v>
      </c>
      <c r="G5495" t="s">
        <v>1631</v>
      </c>
      <c r="H5495" s="10">
        <v>55210</v>
      </c>
      <c r="I5495">
        <f>IFERROR(VLOOKUP(Final!F5495,'LEAID Match'!$A$2:$B$374,2,FALSE),"")</f>
        <v>401290</v>
      </c>
      <c r="K5495" s="10">
        <f t="shared" si="85"/>
        <v>55210</v>
      </c>
    </row>
    <row r="5496" spans="1:11">
      <c r="A5496">
        <v>401290</v>
      </c>
      <c r="B5496" s="10">
        <v>2023</v>
      </c>
      <c r="C5496" t="s">
        <v>333</v>
      </c>
      <c r="D5496" t="s">
        <v>2472</v>
      </c>
      <c r="E5496" t="s">
        <v>2474</v>
      </c>
      <c r="F5496" t="s">
        <v>1631</v>
      </c>
      <c r="G5496" t="s">
        <v>1631</v>
      </c>
      <c r="H5496" s="10">
        <v>65762</v>
      </c>
      <c r="I5496">
        <f>IFERROR(VLOOKUP(Final!F5496,'LEAID Match'!$A$2:$B$374,2,FALSE),"")</f>
        <v>401290</v>
      </c>
      <c r="K5496" s="10">
        <f t="shared" si="85"/>
        <v>65762</v>
      </c>
    </row>
    <row r="5497" spans="1:11">
      <c r="A5497">
        <v>405980</v>
      </c>
      <c r="B5497" s="10">
        <v>2015</v>
      </c>
      <c r="C5497" t="s">
        <v>915</v>
      </c>
      <c r="D5497" t="s">
        <v>2472</v>
      </c>
      <c r="E5497" t="s">
        <v>2474</v>
      </c>
      <c r="F5497" t="s">
        <v>1859</v>
      </c>
      <c r="G5497" t="s">
        <v>860</v>
      </c>
      <c r="H5497" s="10">
        <v>984416</v>
      </c>
      <c r="I5497">
        <f>IFERROR(VLOOKUP(Final!F5497,'LEAID Match'!$A$2:$B$374,2,FALSE),"")</f>
        <v>405980</v>
      </c>
      <c r="K5497" s="10">
        <f t="shared" si="85"/>
        <v>984416</v>
      </c>
    </row>
    <row r="5498" spans="1:11">
      <c r="A5498">
        <v>405980</v>
      </c>
      <c r="B5498" s="10">
        <v>2016</v>
      </c>
      <c r="C5498" t="s">
        <v>915</v>
      </c>
      <c r="D5498" t="s">
        <v>2472</v>
      </c>
      <c r="E5498" t="s">
        <v>2474</v>
      </c>
      <c r="F5498" t="s">
        <v>1859</v>
      </c>
      <c r="G5498" t="s">
        <v>860</v>
      </c>
      <c r="H5498" s="10">
        <v>1008552</v>
      </c>
      <c r="I5498">
        <f>IFERROR(VLOOKUP(Final!F5498,'LEAID Match'!$A$2:$B$374,2,FALSE),"")</f>
        <v>405980</v>
      </c>
      <c r="K5498" s="10">
        <f t="shared" si="85"/>
        <v>1008552</v>
      </c>
    </row>
    <row r="5499" spans="1:11">
      <c r="A5499">
        <v>405980</v>
      </c>
      <c r="B5499" s="10">
        <v>2017</v>
      </c>
      <c r="C5499" t="s">
        <v>915</v>
      </c>
      <c r="D5499" t="s">
        <v>2472</v>
      </c>
      <c r="E5499" t="s">
        <v>2474</v>
      </c>
      <c r="F5499" t="s">
        <v>1859</v>
      </c>
      <c r="G5499" t="s">
        <v>1859</v>
      </c>
      <c r="H5499" s="10">
        <v>1061631</v>
      </c>
      <c r="I5499">
        <f>IFERROR(VLOOKUP(Final!F5499,'LEAID Match'!$A$2:$B$374,2,FALSE),"")</f>
        <v>405980</v>
      </c>
      <c r="K5499" s="10">
        <f t="shared" si="85"/>
        <v>1061631</v>
      </c>
    </row>
    <row r="5500" spans="1:11">
      <c r="A5500">
        <v>405980</v>
      </c>
      <c r="B5500" s="10">
        <v>2018</v>
      </c>
      <c r="C5500" t="s">
        <v>915</v>
      </c>
      <c r="D5500" t="s">
        <v>2472</v>
      </c>
      <c r="E5500" t="s">
        <v>2474</v>
      </c>
      <c r="F5500" t="s">
        <v>1859</v>
      </c>
      <c r="G5500" t="s">
        <v>1859</v>
      </c>
      <c r="H5500" s="10">
        <v>1088294</v>
      </c>
      <c r="I5500">
        <f>IFERROR(VLOOKUP(Final!F5500,'LEAID Match'!$A$2:$B$374,2,FALSE),"")</f>
        <v>405980</v>
      </c>
      <c r="K5500" s="10">
        <f t="shared" si="85"/>
        <v>1088294</v>
      </c>
    </row>
    <row r="5501" spans="1:11">
      <c r="A5501">
        <v>405980</v>
      </c>
      <c r="B5501" s="10">
        <v>2019</v>
      </c>
      <c r="C5501" t="s">
        <v>915</v>
      </c>
      <c r="D5501" t="s">
        <v>2472</v>
      </c>
      <c r="E5501" t="s">
        <v>2474</v>
      </c>
      <c r="F5501" t="s">
        <v>1859</v>
      </c>
      <c r="G5501" t="s">
        <v>1859</v>
      </c>
      <c r="H5501" s="10">
        <v>1189394</v>
      </c>
      <c r="I5501">
        <f>IFERROR(VLOOKUP(Final!F5501,'LEAID Match'!$A$2:$B$374,2,FALSE),"")</f>
        <v>405980</v>
      </c>
      <c r="K5501" s="10">
        <f t="shared" si="85"/>
        <v>1189394</v>
      </c>
    </row>
    <row r="5502" spans="1:11">
      <c r="A5502">
        <v>405980</v>
      </c>
      <c r="B5502" s="10">
        <v>2020</v>
      </c>
      <c r="C5502" t="s">
        <v>915</v>
      </c>
      <c r="D5502" t="s">
        <v>2472</v>
      </c>
      <c r="E5502" t="s">
        <v>2474</v>
      </c>
      <c r="F5502" t="s">
        <v>1859</v>
      </c>
      <c r="G5502" t="s">
        <v>1859</v>
      </c>
      <c r="H5502" s="10">
        <v>1253329</v>
      </c>
      <c r="I5502">
        <f>IFERROR(VLOOKUP(Final!F5502,'LEAID Match'!$A$2:$B$374,2,FALSE),"")</f>
        <v>405980</v>
      </c>
      <c r="K5502" s="10">
        <f t="shared" si="85"/>
        <v>1253329</v>
      </c>
    </row>
    <row r="5503" spans="1:11">
      <c r="A5503">
        <v>405980</v>
      </c>
      <c r="B5503" s="10">
        <v>2021</v>
      </c>
      <c r="C5503" t="s">
        <v>915</v>
      </c>
      <c r="D5503" t="s">
        <v>2472</v>
      </c>
      <c r="E5503" t="s">
        <v>2474</v>
      </c>
      <c r="F5503" t="s">
        <v>1859</v>
      </c>
      <c r="G5503" t="s">
        <v>1859</v>
      </c>
      <c r="H5503" s="10">
        <v>1318586</v>
      </c>
      <c r="I5503">
        <f>IFERROR(VLOOKUP(Final!F5503,'LEAID Match'!$A$2:$B$374,2,FALSE),"")</f>
        <v>405980</v>
      </c>
      <c r="K5503" s="10">
        <f t="shared" si="85"/>
        <v>1318586</v>
      </c>
    </row>
    <row r="5504" spans="1:11">
      <c r="A5504">
        <v>405980</v>
      </c>
      <c r="B5504" s="10">
        <v>2022</v>
      </c>
      <c r="C5504" t="s">
        <v>915</v>
      </c>
      <c r="D5504" t="s">
        <v>2472</v>
      </c>
      <c r="E5504" t="s">
        <v>2474</v>
      </c>
      <c r="F5504" t="s">
        <v>1859</v>
      </c>
      <c r="G5504" t="s">
        <v>1859</v>
      </c>
      <c r="H5504" s="10">
        <v>1371388</v>
      </c>
      <c r="I5504">
        <f>IFERROR(VLOOKUP(Final!F5504,'LEAID Match'!$A$2:$B$374,2,FALSE),"")</f>
        <v>405980</v>
      </c>
      <c r="K5504" s="10">
        <f t="shared" si="85"/>
        <v>1371388</v>
      </c>
    </row>
    <row r="5505" spans="1:11">
      <c r="A5505">
        <v>405980</v>
      </c>
      <c r="B5505" s="10">
        <v>2023</v>
      </c>
      <c r="C5505" t="s">
        <v>915</v>
      </c>
      <c r="D5505" t="s">
        <v>2472</v>
      </c>
      <c r="E5505" t="s">
        <v>2474</v>
      </c>
      <c r="F5505" t="s">
        <v>1859</v>
      </c>
      <c r="G5505" t="s">
        <v>1859</v>
      </c>
      <c r="H5505" s="10">
        <v>1363438</v>
      </c>
      <c r="I5505">
        <f>IFERROR(VLOOKUP(Final!F5505,'LEAID Match'!$A$2:$B$374,2,FALSE),"")</f>
        <v>405980</v>
      </c>
      <c r="K5505" s="10">
        <f t="shared" si="85"/>
        <v>1363438</v>
      </c>
    </row>
    <row r="5506" spans="1:11">
      <c r="A5506">
        <v>400005</v>
      </c>
      <c r="B5506" s="10">
        <v>2015</v>
      </c>
      <c r="C5506" t="s">
        <v>1102</v>
      </c>
      <c r="D5506" t="s">
        <v>2472</v>
      </c>
      <c r="E5506" t="s">
        <v>2474</v>
      </c>
      <c r="F5506" t="s">
        <v>1927</v>
      </c>
      <c r="G5506" t="s">
        <v>1047</v>
      </c>
      <c r="H5506" s="10">
        <v>70689</v>
      </c>
      <c r="I5506">
        <f>IFERROR(VLOOKUP(Final!F5506,'LEAID Match'!$A$2:$B$374,2,FALSE),"")</f>
        <v>400005</v>
      </c>
      <c r="K5506" s="10">
        <f t="shared" si="85"/>
        <v>70689</v>
      </c>
    </row>
    <row r="5507" spans="1:11">
      <c r="A5507">
        <v>400005</v>
      </c>
      <c r="B5507" s="10">
        <v>2016</v>
      </c>
      <c r="C5507" t="s">
        <v>1102</v>
      </c>
      <c r="D5507" t="s">
        <v>2472</v>
      </c>
      <c r="E5507" t="s">
        <v>2474</v>
      </c>
      <c r="F5507" t="s">
        <v>1927</v>
      </c>
      <c r="G5507" t="s">
        <v>1047</v>
      </c>
      <c r="H5507" s="10">
        <v>73707</v>
      </c>
      <c r="I5507">
        <f>IFERROR(VLOOKUP(Final!F5507,'LEAID Match'!$A$2:$B$374,2,FALSE),"")</f>
        <v>400005</v>
      </c>
      <c r="K5507" s="10">
        <f t="shared" ref="K5507:K5570" si="86">SUM(H5507,J5507)</f>
        <v>73707</v>
      </c>
    </row>
    <row r="5508" spans="1:11">
      <c r="A5508">
        <v>400005</v>
      </c>
      <c r="B5508" s="10">
        <v>2017</v>
      </c>
      <c r="C5508" t="s">
        <v>1102</v>
      </c>
      <c r="D5508" t="s">
        <v>2472</v>
      </c>
      <c r="E5508" t="s">
        <v>2474</v>
      </c>
      <c r="F5508" t="s">
        <v>1927</v>
      </c>
      <c r="G5508" t="s">
        <v>1927</v>
      </c>
      <c r="H5508" s="10">
        <v>79419</v>
      </c>
      <c r="I5508">
        <f>IFERROR(VLOOKUP(Final!F5508,'LEAID Match'!$A$2:$B$374,2,FALSE),"")</f>
        <v>400005</v>
      </c>
      <c r="K5508" s="10">
        <f t="shared" si="86"/>
        <v>79419</v>
      </c>
    </row>
    <row r="5509" spans="1:11">
      <c r="A5509">
        <v>400005</v>
      </c>
      <c r="B5509" s="10">
        <v>2018</v>
      </c>
      <c r="C5509" t="s">
        <v>1102</v>
      </c>
      <c r="D5509" t="s">
        <v>2472</v>
      </c>
      <c r="E5509" t="s">
        <v>2474</v>
      </c>
      <c r="F5509" t="s">
        <v>1927</v>
      </c>
      <c r="G5509" t="s">
        <v>2299</v>
      </c>
      <c r="H5509" s="10">
        <v>55811</v>
      </c>
      <c r="I5509">
        <f>IFERROR(VLOOKUP(Final!F5509,'LEAID Match'!$A$2:$B$374,2,FALSE),"")</f>
        <v>400005</v>
      </c>
      <c r="K5509" s="10">
        <f t="shared" si="86"/>
        <v>55811</v>
      </c>
    </row>
    <row r="5510" spans="1:11">
      <c r="A5510">
        <v>400005</v>
      </c>
      <c r="B5510" s="10">
        <v>2019</v>
      </c>
      <c r="C5510" t="s">
        <v>1102</v>
      </c>
      <c r="D5510" t="s">
        <v>2472</v>
      </c>
      <c r="E5510" t="s">
        <v>2474</v>
      </c>
      <c r="F5510" t="s">
        <v>1927</v>
      </c>
      <c r="G5510" t="s">
        <v>2386</v>
      </c>
      <c r="H5510" s="10">
        <v>68536</v>
      </c>
      <c r="I5510">
        <f>IFERROR(VLOOKUP(Final!F5510,'LEAID Match'!$A$2:$B$374,2,FALSE),"")</f>
        <v>400005</v>
      </c>
      <c r="K5510" s="10">
        <f t="shared" si="86"/>
        <v>68536</v>
      </c>
    </row>
    <row r="5511" spans="1:11">
      <c r="A5511">
        <v>400005</v>
      </c>
      <c r="B5511" s="10">
        <v>2020</v>
      </c>
      <c r="C5511" t="s">
        <v>1102</v>
      </c>
      <c r="D5511" t="s">
        <v>2472</v>
      </c>
      <c r="E5511" t="s">
        <v>2474</v>
      </c>
      <c r="F5511" t="s">
        <v>1927</v>
      </c>
      <c r="G5511" t="s">
        <v>1927</v>
      </c>
      <c r="H5511" s="10">
        <v>77509</v>
      </c>
      <c r="I5511">
        <f>IFERROR(VLOOKUP(Final!F5511,'LEAID Match'!$A$2:$B$374,2,FALSE),"")</f>
        <v>400005</v>
      </c>
      <c r="K5511" s="10">
        <f t="shared" si="86"/>
        <v>77509</v>
      </c>
    </row>
    <row r="5512" spans="1:11">
      <c r="A5512">
        <v>400005</v>
      </c>
      <c r="B5512" s="10">
        <v>2021</v>
      </c>
      <c r="C5512" t="s">
        <v>1102</v>
      </c>
      <c r="D5512" t="s">
        <v>2472</v>
      </c>
      <c r="E5512" t="s">
        <v>2474</v>
      </c>
      <c r="F5512" t="s">
        <v>1927</v>
      </c>
      <c r="G5512" t="s">
        <v>2386</v>
      </c>
      <c r="H5512" s="10">
        <v>80945</v>
      </c>
      <c r="I5512">
        <f>IFERROR(VLOOKUP(Final!F5512,'LEAID Match'!$A$2:$B$374,2,FALSE),"")</f>
        <v>400005</v>
      </c>
      <c r="K5512" s="10">
        <f t="shared" si="86"/>
        <v>80945</v>
      </c>
    </row>
    <row r="5513" spans="1:11">
      <c r="A5513">
        <v>400005</v>
      </c>
      <c r="B5513" s="10">
        <v>2022</v>
      </c>
      <c r="C5513" t="s">
        <v>1102</v>
      </c>
      <c r="D5513" t="s">
        <v>2472</v>
      </c>
      <c r="E5513" t="s">
        <v>2474</v>
      </c>
      <c r="F5513" t="s">
        <v>1927</v>
      </c>
      <c r="G5513" t="s">
        <v>2386</v>
      </c>
      <c r="H5513" s="10">
        <v>95204</v>
      </c>
      <c r="I5513">
        <f>IFERROR(VLOOKUP(Final!F5513,'LEAID Match'!$A$2:$B$374,2,FALSE),"")</f>
        <v>400005</v>
      </c>
      <c r="K5513" s="10">
        <f t="shared" si="86"/>
        <v>95204</v>
      </c>
    </row>
    <row r="5514" spans="1:11">
      <c r="A5514">
        <v>400005</v>
      </c>
      <c r="B5514" s="10">
        <v>2023</v>
      </c>
      <c r="C5514" t="s">
        <v>1102</v>
      </c>
      <c r="D5514" t="s">
        <v>2472</v>
      </c>
      <c r="E5514" t="s">
        <v>2474</v>
      </c>
      <c r="F5514" t="s">
        <v>1927</v>
      </c>
      <c r="G5514" t="s">
        <v>1927</v>
      </c>
      <c r="H5514" s="10">
        <v>115114</v>
      </c>
      <c r="I5514">
        <f>IFERROR(VLOOKUP(Final!F5514,'LEAID Match'!$A$2:$B$374,2,FALSE),"")</f>
        <v>400005</v>
      </c>
      <c r="K5514" s="10">
        <f t="shared" si="86"/>
        <v>115114</v>
      </c>
    </row>
    <row r="5515" spans="1:11">
      <c r="A5515">
        <v>401160</v>
      </c>
      <c r="B5515" s="10">
        <v>2015</v>
      </c>
      <c r="C5515" t="s">
        <v>1439</v>
      </c>
      <c r="D5515" t="s">
        <v>2472</v>
      </c>
      <c r="E5515" t="s">
        <v>2474</v>
      </c>
      <c r="F5515" t="s">
        <v>1624</v>
      </c>
      <c r="G5515" t="s">
        <v>272</v>
      </c>
      <c r="H5515" s="10">
        <v>110538</v>
      </c>
      <c r="I5515">
        <f>IFERROR(VLOOKUP(Final!F5515,'LEAID Match'!$A$2:$B$374,2,FALSE),"")</f>
        <v>401160</v>
      </c>
      <c r="K5515" s="10">
        <f t="shared" si="86"/>
        <v>110538</v>
      </c>
    </row>
    <row r="5516" spans="1:11">
      <c r="A5516">
        <v>401160</v>
      </c>
      <c r="B5516" s="10">
        <v>2016</v>
      </c>
      <c r="C5516" t="s">
        <v>1439</v>
      </c>
      <c r="D5516" t="s">
        <v>2472</v>
      </c>
      <c r="E5516" t="s">
        <v>2474</v>
      </c>
      <c r="F5516" t="s">
        <v>1624</v>
      </c>
      <c r="G5516" t="s">
        <v>272</v>
      </c>
      <c r="H5516" s="10">
        <v>105464</v>
      </c>
      <c r="I5516">
        <f>IFERROR(VLOOKUP(Final!F5516,'LEAID Match'!$A$2:$B$374,2,FALSE),"")</f>
        <v>401160</v>
      </c>
      <c r="K5516" s="10">
        <f t="shared" si="86"/>
        <v>105464</v>
      </c>
    </row>
    <row r="5517" spans="1:11">
      <c r="A5517">
        <v>401160</v>
      </c>
      <c r="B5517" s="10">
        <v>2017</v>
      </c>
      <c r="C5517" t="s">
        <v>1439</v>
      </c>
      <c r="D5517" t="s">
        <v>2472</v>
      </c>
      <c r="E5517" t="s">
        <v>2474</v>
      </c>
      <c r="F5517" t="s">
        <v>1624</v>
      </c>
      <c r="G5517" t="s">
        <v>1624</v>
      </c>
      <c r="H5517" s="10">
        <v>100710</v>
      </c>
      <c r="I5517">
        <f>IFERROR(VLOOKUP(Final!F5517,'LEAID Match'!$A$2:$B$374,2,FALSE),"")</f>
        <v>401160</v>
      </c>
      <c r="K5517" s="10">
        <f t="shared" si="86"/>
        <v>100710</v>
      </c>
    </row>
    <row r="5518" spans="1:11">
      <c r="A5518">
        <v>401160</v>
      </c>
      <c r="B5518" s="10">
        <v>2018</v>
      </c>
      <c r="C5518" t="s">
        <v>1439</v>
      </c>
      <c r="D5518" t="s">
        <v>2472</v>
      </c>
      <c r="E5518" t="s">
        <v>2474</v>
      </c>
      <c r="F5518" t="s">
        <v>1624</v>
      </c>
      <c r="G5518" t="s">
        <v>2128</v>
      </c>
      <c r="H5518" s="10">
        <v>86554</v>
      </c>
      <c r="I5518">
        <f>IFERROR(VLOOKUP(Final!F5518,'LEAID Match'!$A$2:$B$374,2,FALSE),"")</f>
        <v>401160</v>
      </c>
      <c r="K5518" s="10">
        <f t="shared" si="86"/>
        <v>86554</v>
      </c>
    </row>
    <row r="5519" spans="1:11">
      <c r="A5519">
        <v>401160</v>
      </c>
      <c r="B5519" s="10">
        <v>2019</v>
      </c>
      <c r="C5519" t="s">
        <v>1439</v>
      </c>
      <c r="D5519" t="s">
        <v>2472</v>
      </c>
      <c r="E5519" t="s">
        <v>2474</v>
      </c>
      <c r="F5519" t="s">
        <v>1624</v>
      </c>
      <c r="G5519" t="s">
        <v>1624</v>
      </c>
      <c r="H5519" s="10">
        <v>110257</v>
      </c>
      <c r="I5519">
        <f>IFERROR(VLOOKUP(Final!F5519,'LEAID Match'!$A$2:$B$374,2,FALSE),"")</f>
        <v>401160</v>
      </c>
      <c r="K5519" s="10">
        <f t="shared" si="86"/>
        <v>110257</v>
      </c>
    </row>
    <row r="5520" spans="1:11">
      <c r="A5520">
        <v>401160</v>
      </c>
      <c r="B5520" s="10">
        <v>2020</v>
      </c>
      <c r="C5520" t="s">
        <v>1439</v>
      </c>
      <c r="D5520" t="s">
        <v>2472</v>
      </c>
      <c r="E5520" t="s">
        <v>2474</v>
      </c>
      <c r="F5520" t="s">
        <v>1624</v>
      </c>
      <c r="G5520" t="s">
        <v>1624</v>
      </c>
      <c r="H5520" s="10">
        <v>114335</v>
      </c>
      <c r="I5520">
        <f>IFERROR(VLOOKUP(Final!F5520,'LEAID Match'!$A$2:$B$374,2,FALSE),"")</f>
        <v>401160</v>
      </c>
      <c r="K5520" s="10">
        <f t="shared" si="86"/>
        <v>114335</v>
      </c>
    </row>
    <row r="5521" spans="1:11">
      <c r="A5521">
        <v>401160</v>
      </c>
      <c r="B5521" s="10">
        <v>2021</v>
      </c>
      <c r="C5521" t="s">
        <v>1439</v>
      </c>
      <c r="D5521" t="s">
        <v>2472</v>
      </c>
      <c r="E5521" t="s">
        <v>2474</v>
      </c>
      <c r="F5521" t="s">
        <v>1624</v>
      </c>
      <c r="G5521" t="s">
        <v>1624</v>
      </c>
      <c r="H5521" s="10">
        <v>124166</v>
      </c>
      <c r="I5521">
        <f>IFERROR(VLOOKUP(Final!F5521,'LEAID Match'!$A$2:$B$374,2,FALSE),"")</f>
        <v>401160</v>
      </c>
      <c r="K5521" s="10">
        <f t="shared" si="86"/>
        <v>124166</v>
      </c>
    </row>
    <row r="5522" spans="1:11">
      <c r="A5522">
        <v>401160</v>
      </c>
      <c r="B5522" s="10">
        <v>2022</v>
      </c>
      <c r="C5522" t="s">
        <v>1439</v>
      </c>
      <c r="D5522" t="s">
        <v>2472</v>
      </c>
      <c r="E5522" t="s">
        <v>2474</v>
      </c>
      <c r="F5522" t="s">
        <v>1624</v>
      </c>
      <c r="G5522" t="s">
        <v>1624</v>
      </c>
      <c r="H5522" s="10">
        <v>134089</v>
      </c>
      <c r="I5522">
        <f>IFERROR(VLOOKUP(Final!F5522,'LEAID Match'!$A$2:$B$374,2,FALSE),"")</f>
        <v>401160</v>
      </c>
      <c r="K5522" s="10">
        <f t="shared" si="86"/>
        <v>134089</v>
      </c>
    </row>
    <row r="5523" spans="1:11">
      <c r="A5523">
        <v>401160</v>
      </c>
      <c r="B5523" s="10">
        <v>2023</v>
      </c>
      <c r="C5523" t="s">
        <v>1439</v>
      </c>
      <c r="D5523" t="s">
        <v>2472</v>
      </c>
      <c r="E5523" t="s">
        <v>2474</v>
      </c>
      <c r="F5523" t="s">
        <v>1624</v>
      </c>
      <c r="G5523" t="s">
        <v>1624</v>
      </c>
      <c r="H5523" s="10">
        <v>127811</v>
      </c>
      <c r="I5523">
        <f>IFERROR(VLOOKUP(Final!F5523,'LEAID Match'!$A$2:$B$374,2,FALSE),"")</f>
        <v>401160</v>
      </c>
      <c r="K5523" s="10">
        <f t="shared" si="86"/>
        <v>127811</v>
      </c>
    </row>
    <row r="5524" spans="1:11">
      <c r="A5524" t="s">
        <v>2470</v>
      </c>
      <c r="B5524" s="10">
        <v>2015</v>
      </c>
      <c r="C5524" t="s">
        <v>340</v>
      </c>
      <c r="D5524" t="s">
        <v>2472</v>
      </c>
      <c r="E5524" t="s">
        <v>2474</v>
      </c>
      <c r="F5524" t="s">
        <v>286</v>
      </c>
      <c r="G5524" t="s">
        <v>286</v>
      </c>
      <c r="H5524" s="10">
        <v>126860</v>
      </c>
      <c r="I5524" t="str">
        <f>IFERROR(VLOOKUP(Final!F5524,'LEAID Match'!$A$2:$B$374,2,FALSE),"")</f>
        <v/>
      </c>
      <c r="K5524" s="10">
        <f t="shared" si="86"/>
        <v>126860</v>
      </c>
    </row>
    <row r="5525" spans="1:11">
      <c r="A5525" t="s">
        <v>2470</v>
      </c>
      <c r="B5525" s="10">
        <v>2016</v>
      </c>
      <c r="C5525" t="s">
        <v>340</v>
      </c>
      <c r="D5525" t="s">
        <v>2472</v>
      </c>
      <c r="E5525" t="s">
        <v>2474</v>
      </c>
      <c r="F5525" t="s">
        <v>286</v>
      </c>
      <c r="G5525" t="s">
        <v>286</v>
      </c>
      <c r="H5525" s="10">
        <v>119964</v>
      </c>
      <c r="I5525" t="str">
        <f>IFERROR(VLOOKUP(Final!F5525,'LEAID Match'!$A$2:$B$374,2,FALSE),"")</f>
        <v/>
      </c>
      <c r="K5525" s="10">
        <f t="shared" si="86"/>
        <v>119964</v>
      </c>
    </row>
    <row r="5526" spans="1:11">
      <c r="A5526" t="s">
        <v>2470</v>
      </c>
      <c r="B5526" s="10">
        <v>2017</v>
      </c>
      <c r="C5526" t="s">
        <v>340</v>
      </c>
      <c r="D5526" t="s">
        <v>2472</v>
      </c>
      <c r="E5526" t="s">
        <v>2474</v>
      </c>
      <c r="F5526" t="s">
        <v>286</v>
      </c>
      <c r="G5526" t="s">
        <v>286</v>
      </c>
      <c r="H5526" s="10">
        <v>121445</v>
      </c>
      <c r="I5526" t="str">
        <f>IFERROR(VLOOKUP(Final!F5526,'LEAID Match'!$A$2:$B$374,2,FALSE),"")</f>
        <v/>
      </c>
      <c r="K5526" s="10">
        <f t="shared" si="86"/>
        <v>121445</v>
      </c>
    </row>
    <row r="5527" spans="1:11">
      <c r="A5527" t="s">
        <v>2470</v>
      </c>
      <c r="B5527" s="10">
        <v>2018</v>
      </c>
      <c r="C5527" t="s">
        <v>340</v>
      </c>
      <c r="D5527" t="s">
        <v>2472</v>
      </c>
      <c r="E5527" t="s">
        <v>2474</v>
      </c>
      <c r="F5527" t="s">
        <v>286</v>
      </c>
      <c r="G5527" t="s">
        <v>286</v>
      </c>
      <c r="H5527" s="10">
        <v>133567</v>
      </c>
      <c r="I5527" t="str">
        <f>IFERROR(VLOOKUP(Final!F5527,'LEAID Match'!$A$2:$B$374,2,FALSE),"")</f>
        <v/>
      </c>
      <c r="K5527" s="10">
        <f t="shared" si="86"/>
        <v>133567</v>
      </c>
    </row>
    <row r="5528" spans="1:11">
      <c r="A5528" t="s">
        <v>2470</v>
      </c>
      <c r="B5528" s="10">
        <v>2019</v>
      </c>
      <c r="C5528" t="s">
        <v>340</v>
      </c>
      <c r="D5528" t="s">
        <v>2472</v>
      </c>
      <c r="E5528" t="s">
        <v>2474</v>
      </c>
      <c r="F5528" t="s">
        <v>286</v>
      </c>
      <c r="G5528" t="s">
        <v>286</v>
      </c>
      <c r="H5528" s="10">
        <v>130729</v>
      </c>
      <c r="I5528" t="str">
        <f>IFERROR(VLOOKUP(Final!F5528,'LEAID Match'!$A$2:$B$374,2,FALSE),"")</f>
        <v/>
      </c>
      <c r="K5528" s="10">
        <f t="shared" si="86"/>
        <v>130729</v>
      </c>
    </row>
    <row r="5529" spans="1:11">
      <c r="A5529" t="s">
        <v>2470</v>
      </c>
      <c r="B5529" s="10">
        <v>2020</v>
      </c>
      <c r="C5529" t="s">
        <v>340</v>
      </c>
      <c r="D5529" t="s">
        <v>2472</v>
      </c>
      <c r="E5529" t="s">
        <v>2474</v>
      </c>
      <c r="F5529" t="s">
        <v>286</v>
      </c>
      <c r="G5529" t="s">
        <v>286</v>
      </c>
      <c r="H5529" s="10">
        <v>111509</v>
      </c>
      <c r="I5529" t="str">
        <f>IFERROR(VLOOKUP(Final!F5529,'LEAID Match'!$A$2:$B$374,2,FALSE),"")</f>
        <v/>
      </c>
      <c r="K5529" s="10">
        <f t="shared" si="86"/>
        <v>111509</v>
      </c>
    </row>
    <row r="5530" spans="1:11">
      <c r="A5530" t="s">
        <v>2470</v>
      </c>
      <c r="B5530" s="10">
        <v>2021</v>
      </c>
      <c r="C5530" t="s">
        <v>340</v>
      </c>
      <c r="D5530" t="s">
        <v>2472</v>
      </c>
      <c r="E5530" t="s">
        <v>2474</v>
      </c>
      <c r="F5530" t="s">
        <v>286</v>
      </c>
      <c r="G5530" t="s">
        <v>286</v>
      </c>
      <c r="H5530" s="10">
        <v>122339</v>
      </c>
      <c r="I5530" t="str">
        <f>IFERROR(VLOOKUP(Final!F5530,'LEAID Match'!$A$2:$B$374,2,FALSE),"")</f>
        <v/>
      </c>
      <c r="K5530" s="10">
        <f t="shared" si="86"/>
        <v>122339</v>
      </c>
    </row>
    <row r="5531" spans="1:11">
      <c r="A5531" t="s">
        <v>2470</v>
      </c>
      <c r="B5531" s="10">
        <v>2022</v>
      </c>
      <c r="C5531" t="s">
        <v>340</v>
      </c>
      <c r="D5531" t="s">
        <v>2472</v>
      </c>
      <c r="E5531" t="s">
        <v>2474</v>
      </c>
      <c r="F5531" t="s">
        <v>286</v>
      </c>
      <c r="G5531" t="s">
        <v>286</v>
      </c>
      <c r="H5531" s="10">
        <v>147504</v>
      </c>
      <c r="I5531" t="str">
        <f>IFERROR(VLOOKUP(Final!F5531,'LEAID Match'!$A$2:$B$374,2,FALSE),"")</f>
        <v/>
      </c>
      <c r="K5531" s="10">
        <f t="shared" si="86"/>
        <v>147504</v>
      </c>
    </row>
    <row r="5532" spans="1:11">
      <c r="A5532" t="s">
        <v>2470</v>
      </c>
      <c r="B5532" s="10">
        <v>2023</v>
      </c>
      <c r="C5532" t="s">
        <v>340</v>
      </c>
      <c r="D5532" t="s">
        <v>2472</v>
      </c>
      <c r="E5532" t="s">
        <v>2474</v>
      </c>
      <c r="F5532" t="s">
        <v>286</v>
      </c>
      <c r="G5532" t="s">
        <v>286</v>
      </c>
      <c r="H5532" s="10">
        <v>155950</v>
      </c>
      <c r="I5532" t="str">
        <f>IFERROR(VLOOKUP(Final!F5532,'LEAID Match'!$A$2:$B$374,2,FALSE),"")</f>
        <v/>
      </c>
      <c r="K5532" s="10">
        <f t="shared" si="86"/>
        <v>155950</v>
      </c>
    </row>
    <row r="5533" spans="1:11">
      <c r="A5533" t="s">
        <v>2470</v>
      </c>
      <c r="B5533" s="10">
        <v>2015</v>
      </c>
      <c r="C5533" t="s">
        <v>1011</v>
      </c>
      <c r="D5533" t="s">
        <v>2472</v>
      </c>
      <c r="E5533" t="s">
        <v>2474</v>
      </c>
      <c r="F5533" t="s">
        <v>2288</v>
      </c>
      <c r="G5533" t="s">
        <v>956</v>
      </c>
      <c r="H5533" s="10">
        <v>5606</v>
      </c>
      <c r="I5533" t="str">
        <f>IFERROR(VLOOKUP(Final!F5533,'LEAID Match'!$A$2:$B$374,2,FALSE),"")</f>
        <v/>
      </c>
      <c r="K5533" s="10">
        <f t="shared" si="86"/>
        <v>5606</v>
      </c>
    </row>
    <row r="5534" spans="1:11">
      <c r="A5534" t="s">
        <v>2470</v>
      </c>
      <c r="B5534" s="10">
        <v>2016</v>
      </c>
      <c r="C5534" t="s">
        <v>1011</v>
      </c>
      <c r="D5534" t="s">
        <v>2472</v>
      </c>
      <c r="E5534" t="s">
        <v>2474</v>
      </c>
      <c r="F5534" t="s">
        <v>2288</v>
      </c>
      <c r="G5534" t="s">
        <v>956</v>
      </c>
      <c r="H5534" s="10">
        <v>5750</v>
      </c>
      <c r="I5534" t="str">
        <f>IFERROR(VLOOKUP(Final!F5534,'LEAID Match'!$A$2:$B$374,2,FALSE),"")</f>
        <v/>
      </c>
      <c r="K5534" s="10">
        <f t="shared" si="86"/>
        <v>5750</v>
      </c>
    </row>
    <row r="5535" spans="1:11">
      <c r="A5535" t="s">
        <v>2470</v>
      </c>
      <c r="B5535" s="10">
        <v>2017</v>
      </c>
      <c r="C5535" t="s">
        <v>1011</v>
      </c>
      <c r="D5535" t="s">
        <v>2472</v>
      </c>
      <c r="E5535" t="s">
        <v>2474</v>
      </c>
      <c r="F5535" t="s">
        <v>2288</v>
      </c>
      <c r="G5535" t="s">
        <v>1895</v>
      </c>
      <c r="H5535" s="10">
        <v>7891</v>
      </c>
      <c r="I5535" t="str">
        <f>IFERROR(VLOOKUP(Final!F5535,'LEAID Match'!$A$2:$B$374,2,FALSE),"")</f>
        <v/>
      </c>
      <c r="K5535" s="10">
        <f t="shared" si="86"/>
        <v>7891</v>
      </c>
    </row>
    <row r="5536" spans="1:11">
      <c r="A5536" t="s">
        <v>2470</v>
      </c>
      <c r="B5536" s="10">
        <v>2018</v>
      </c>
      <c r="C5536" t="s">
        <v>1011</v>
      </c>
      <c r="D5536" t="s">
        <v>2472</v>
      </c>
      <c r="E5536" t="s">
        <v>2474</v>
      </c>
      <c r="F5536" t="s">
        <v>2288</v>
      </c>
      <c r="G5536" t="s">
        <v>2288</v>
      </c>
      <c r="H5536" s="10">
        <v>6049</v>
      </c>
      <c r="I5536" t="str">
        <f>IFERROR(VLOOKUP(Final!F5536,'LEAID Match'!$A$2:$B$374,2,FALSE),"")</f>
        <v/>
      </c>
      <c r="K5536" s="10">
        <f t="shared" si="86"/>
        <v>6049</v>
      </c>
    </row>
    <row r="5537" spans="1:11">
      <c r="A5537" t="s">
        <v>2470</v>
      </c>
      <c r="B5537" s="10">
        <v>2019</v>
      </c>
      <c r="C5537" t="s">
        <v>1011</v>
      </c>
      <c r="D5537" t="s">
        <v>2472</v>
      </c>
      <c r="E5537" t="s">
        <v>2474</v>
      </c>
      <c r="F5537" t="s">
        <v>2288</v>
      </c>
      <c r="G5537" t="s">
        <v>2288</v>
      </c>
      <c r="H5537" s="10">
        <v>7895</v>
      </c>
      <c r="I5537" t="str">
        <f>IFERROR(VLOOKUP(Final!F5537,'LEAID Match'!$A$2:$B$374,2,FALSE),"")</f>
        <v/>
      </c>
      <c r="K5537" s="10">
        <f t="shared" si="86"/>
        <v>7895</v>
      </c>
    </row>
    <row r="5538" spans="1:11">
      <c r="A5538" t="s">
        <v>2470</v>
      </c>
      <c r="B5538" s="10">
        <v>2020</v>
      </c>
      <c r="C5538" t="s">
        <v>1011</v>
      </c>
      <c r="D5538" t="s">
        <v>2472</v>
      </c>
      <c r="E5538" t="s">
        <v>2474</v>
      </c>
      <c r="F5538" t="s">
        <v>2288</v>
      </c>
      <c r="G5538" t="s">
        <v>2288</v>
      </c>
      <c r="H5538" s="10">
        <v>13735</v>
      </c>
      <c r="I5538" t="str">
        <f>IFERROR(VLOOKUP(Final!F5538,'LEAID Match'!$A$2:$B$374,2,FALSE),"")</f>
        <v/>
      </c>
      <c r="K5538" s="10">
        <f t="shared" si="86"/>
        <v>13735</v>
      </c>
    </row>
    <row r="5539" spans="1:11">
      <c r="A5539" t="s">
        <v>2470</v>
      </c>
      <c r="B5539" s="10">
        <v>2021</v>
      </c>
      <c r="C5539" t="s">
        <v>1011</v>
      </c>
      <c r="D5539" t="s">
        <v>2472</v>
      </c>
      <c r="E5539" t="s">
        <v>2474</v>
      </c>
      <c r="F5539" t="s">
        <v>2288</v>
      </c>
      <c r="G5539" t="s">
        <v>2288</v>
      </c>
      <c r="H5539" s="10">
        <v>14416</v>
      </c>
      <c r="I5539" t="str">
        <f>IFERROR(VLOOKUP(Final!F5539,'LEAID Match'!$A$2:$B$374,2,FALSE),"")</f>
        <v/>
      </c>
      <c r="K5539" s="10">
        <f t="shared" si="86"/>
        <v>14416</v>
      </c>
    </row>
    <row r="5540" spans="1:11">
      <c r="A5540" t="s">
        <v>2470</v>
      </c>
      <c r="B5540" s="10">
        <v>2022</v>
      </c>
      <c r="C5540" t="s">
        <v>1011</v>
      </c>
      <c r="D5540" t="s">
        <v>2472</v>
      </c>
      <c r="E5540" t="s">
        <v>2474</v>
      </c>
      <c r="F5540" t="s">
        <v>2288</v>
      </c>
      <c r="G5540" t="s">
        <v>2288</v>
      </c>
      <c r="H5540" s="10">
        <v>13500</v>
      </c>
      <c r="I5540" t="str">
        <f>IFERROR(VLOOKUP(Final!F5540,'LEAID Match'!$A$2:$B$374,2,FALSE),"")</f>
        <v/>
      </c>
      <c r="K5540" s="10">
        <f t="shared" si="86"/>
        <v>13500</v>
      </c>
    </row>
    <row r="5541" spans="1:11">
      <c r="A5541" t="s">
        <v>2470</v>
      </c>
      <c r="B5541" s="10">
        <v>2023</v>
      </c>
      <c r="C5541" t="s">
        <v>1011</v>
      </c>
      <c r="D5541" t="s">
        <v>2472</v>
      </c>
      <c r="E5541" t="s">
        <v>2474</v>
      </c>
      <c r="F5541" t="s">
        <v>2288</v>
      </c>
      <c r="G5541" t="s">
        <v>2288</v>
      </c>
      <c r="H5541" s="10">
        <v>15450</v>
      </c>
      <c r="I5541" t="str">
        <f>IFERROR(VLOOKUP(Final!F5541,'LEAID Match'!$A$2:$B$374,2,FALSE),"")</f>
        <v/>
      </c>
      <c r="K5541" s="10">
        <f t="shared" si="86"/>
        <v>15450</v>
      </c>
    </row>
    <row r="5542" spans="1:11">
      <c r="A5542" t="s">
        <v>2470</v>
      </c>
      <c r="B5542" s="10">
        <v>2015</v>
      </c>
      <c r="C5542" t="s">
        <v>337</v>
      </c>
      <c r="D5542" t="s">
        <v>2472</v>
      </c>
      <c r="E5542" t="s">
        <v>2474</v>
      </c>
      <c r="F5542" t="s">
        <v>283</v>
      </c>
      <c r="G5542" t="s">
        <v>283</v>
      </c>
      <c r="H5542" s="10">
        <v>77103</v>
      </c>
      <c r="I5542" t="str">
        <f>IFERROR(VLOOKUP(Final!F5542,'LEAID Match'!$A$2:$B$374,2,FALSE),"")</f>
        <v/>
      </c>
      <c r="K5542" s="10">
        <f t="shared" si="86"/>
        <v>77103</v>
      </c>
    </row>
    <row r="5543" spans="1:11">
      <c r="A5543" t="s">
        <v>2470</v>
      </c>
      <c r="B5543" s="10">
        <v>2016</v>
      </c>
      <c r="C5543" t="s">
        <v>337</v>
      </c>
      <c r="D5543" t="s">
        <v>2472</v>
      </c>
      <c r="E5543" t="s">
        <v>2474</v>
      </c>
      <c r="F5543" t="s">
        <v>283</v>
      </c>
      <c r="G5543" t="s">
        <v>283</v>
      </c>
      <c r="H5543" s="10">
        <v>83117</v>
      </c>
      <c r="I5543" t="str">
        <f>IFERROR(VLOOKUP(Final!F5543,'LEAID Match'!$A$2:$B$374,2,FALSE),"")</f>
        <v/>
      </c>
      <c r="K5543" s="10">
        <f t="shared" si="86"/>
        <v>83117</v>
      </c>
    </row>
    <row r="5544" spans="1:11">
      <c r="A5544" t="s">
        <v>2470</v>
      </c>
      <c r="B5544" s="10">
        <v>2017</v>
      </c>
      <c r="C5544" t="s">
        <v>337</v>
      </c>
      <c r="D5544" t="s">
        <v>2472</v>
      </c>
      <c r="E5544" t="s">
        <v>2474</v>
      </c>
      <c r="F5544" t="s">
        <v>283</v>
      </c>
      <c r="G5544" t="s">
        <v>283</v>
      </c>
      <c r="H5544" s="10">
        <v>97572</v>
      </c>
      <c r="I5544" t="str">
        <f>IFERROR(VLOOKUP(Final!F5544,'LEAID Match'!$A$2:$B$374,2,FALSE),"")</f>
        <v/>
      </c>
      <c r="K5544" s="10">
        <f t="shared" si="86"/>
        <v>97572</v>
      </c>
    </row>
    <row r="5545" spans="1:11">
      <c r="A5545" t="s">
        <v>2470</v>
      </c>
      <c r="B5545" s="10">
        <v>2018</v>
      </c>
      <c r="C5545" t="s">
        <v>337</v>
      </c>
      <c r="D5545" t="s">
        <v>2472</v>
      </c>
      <c r="E5545" t="s">
        <v>2474</v>
      </c>
      <c r="F5545" t="s">
        <v>283</v>
      </c>
      <c r="G5545" t="s">
        <v>283</v>
      </c>
      <c r="H5545" s="10">
        <v>145651</v>
      </c>
      <c r="I5545" t="str">
        <f>IFERROR(VLOOKUP(Final!F5545,'LEAID Match'!$A$2:$B$374,2,FALSE),"")</f>
        <v/>
      </c>
      <c r="K5545" s="10">
        <f t="shared" si="86"/>
        <v>145651</v>
      </c>
    </row>
    <row r="5546" spans="1:11">
      <c r="A5546" t="s">
        <v>2470</v>
      </c>
      <c r="B5546" s="10">
        <v>2019</v>
      </c>
      <c r="C5546" t="s">
        <v>337</v>
      </c>
      <c r="D5546" t="s">
        <v>2472</v>
      </c>
      <c r="E5546" t="s">
        <v>2474</v>
      </c>
      <c r="F5546" t="s">
        <v>283</v>
      </c>
      <c r="G5546" t="s">
        <v>283</v>
      </c>
      <c r="H5546" s="10">
        <v>163189</v>
      </c>
      <c r="I5546" t="str">
        <f>IFERROR(VLOOKUP(Final!F5546,'LEAID Match'!$A$2:$B$374,2,FALSE),"")</f>
        <v/>
      </c>
      <c r="K5546" s="10">
        <f t="shared" si="86"/>
        <v>163189</v>
      </c>
    </row>
    <row r="5547" spans="1:11">
      <c r="A5547" t="s">
        <v>2470</v>
      </c>
      <c r="B5547" s="10">
        <v>2020</v>
      </c>
      <c r="C5547" t="s">
        <v>337</v>
      </c>
      <c r="D5547" t="s">
        <v>2472</v>
      </c>
      <c r="E5547" t="s">
        <v>2474</v>
      </c>
      <c r="F5547" t="s">
        <v>283</v>
      </c>
      <c r="G5547" t="s">
        <v>283</v>
      </c>
      <c r="H5547" s="10">
        <v>171336</v>
      </c>
      <c r="I5547" t="str">
        <f>IFERROR(VLOOKUP(Final!F5547,'LEAID Match'!$A$2:$B$374,2,FALSE),"")</f>
        <v/>
      </c>
      <c r="K5547" s="10">
        <f t="shared" si="86"/>
        <v>171336</v>
      </c>
    </row>
    <row r="5548" spans="1:11">
      <c r="A5548" t="s">
        <v>2470</v>
      </c>
      <c r="B5548" s="10">
        <v>2021</v>
      </c>
      <c r="C5548" t="s">
        <v>337</v>
      </c>
      <c r="D5548" t="s">
        <v>2472</v>
      </c>
      <c r="E5548" t="s">
        <v>2474</v>
      </c>
      <c r="F5548" t="s">
        <v>283</v>
      </c>
      <c r="G5548" t="s">
        <v>283</v>
      </c>
      <c r="H5548" s="10">
        <v>214474</v>
      </c>
      <c r="I5548" t="str">
        <f>IFERROR(VLOOKUP(Final!F5548,'LEAID Match'!$A$2:$B$374,2,FALSE),"")</f>
        <v/>
      </c>
      <c r="K5548" s="10">
        <f t="shared" si="86"/>
        <v>214474</v>
      </c>
    </row>
    <row r="5549" spans="1:11">
      <c r="A5549" t="s">
        <v>2470</v>
      </c>
      <c r="B5549" s="10">
        <v>2022</v>
      </c>
      <c r="C5549" t="s">
        <v>337</v>
      </c>
      <c r="D5549" t="s">
        <v>2472</v>
      </c>
      <c r="E5549" t="s">
        <v>2474</v>
      </c>
      <c r="F5549" t="s">
        <v>283</v>
      </c>
      <c r="G5549" t="s">
        <v>283</v>
      </c>
      <c r="H5549" s="10">
        <v>251685</v>
      </c>
      <c r="I5549" t="str">
        <f>IFERROR(VLOOKUP(Final!F5549,'LEAID Match'!$A$2:$B$374,2,FALSE),"")</f>
        <v/>
      </c>
      <c r="K5549" s="10">
        <f t="shared" si="86"/>
        <v>251685</v>
      </c>
    </row>
    <row r="5550" spans="1:11">
      <c r="A5550" t="s">
        <v>2470</v>
      </c>
      <c r="B5550" s="10">
        <v>2023</v>
      </c>
      <c r="C5550" t="s">
        <v>337</v>
      </c>
      <c r="D5550" t="s">
        <v>2472</v>
      </c>
      <c r="E5550" t="s">
        <v>2474</v>
      </c>
      <c r="F5550" t="s">
        <v>283</v>
      </c>
      <c r="G5550" t="s">
        <v>283</v>
      </c>
      <c r="H5550" s="10">
        <v>297681</v>
      </c>
      <c r="I5550" t="str">
        <f>IFERROR(VLOOKUP(Final!F5550,'LEAID Match'!$A$2:$B$374,2,FALSE),"")</f>
        <v/>
      </c>
      <c r="K5550" s="10">
        <f t="shared" si="86"/>
        <v>297681</v>
      </c>
    </row>
    <row r="5551" spans="1:11">
      <c r="A5551" t="s">
        <v>2470</v>
      </c>
      <c r="B5551" s="10">
        <v>2015</v>
      </c>
      <c r="C5551" t="s">
        <v>674</v>
      </c>
      <c r="D5551" t="s">
        <v>2472</v>
      </c>
      <c r="E5551" t="s">
        <v>2474</v>
      </c>
      <c r="F5551" t="s">
        <v>2429</v>
      </c>
      <c r="G5551" t="s">
        <v>619</v>
      </c>
      <c r="H5551" s="10">
        <v>42258</v>
      </c>
      <c r="I5551" t="str">
        <f>IFERROR(VLOOKUP(Final!F5551,'LEAID Match'!$A$2:$B$374,2,FALSE),"")</f>
        <v/>
      </c>
      <c r="K5551" s="10">
        <f t="shared" si="86"/>
        <v>42258</v>
      </c>
    </row>
    <row r="5552" spans="1:11">
      <c r="A5552" t="s">
        <v>2470</v>
      </c>
      <c r="B5552" s="10">
        <v>2016</v>
      </c>
      <c r="C5552" t="s">
        <v>674</v>
      </c>
      <c r="D5552" t="s">
        <v>2472</v>
      </c>
      <c r="E5552" t="s">
        <v>2474</v>
      </c>
      <c r="F5552" t="s">
        <v>2429</v>
      </c>
      <c r="G5552" t="s">
        <v>619</v>
      </c>
      <c r="H5552" s="10">
        <v>42740</v>
      </c>
      <c r="I5552" t="str">
        <f>IFERROR(VLOOKUP(Final!F5552,'LEAID Match'!$A$2:$B$374,2,FALSE),"")</f>
        <v/>
      </c>
      <c r="K5552" s="10">
        <f t="shared" si="86"/>
        <v>42740</v>
      </c>
    </row>
    <row r="5553" spans="1:11">
      <c r="A5553" t="s">
        <v>2470</v>
      </c>
      <c r="B5553" s="10">
        <v>2017</v>
      </c>
      <c r="C5553" t="s">
        <v>674</v>
      </c>
      <c r="D5553" t="s">
        <v>2472</v>
      </c>
      <c r="E5553" t="s">
        <v>2474</v>
      </c>
      <c r="F5553" t="s">
        <v>2429</v>
      </c>
      <c r="G5553" t="s">
        <v>619</v>
      </c>
      <c r="H5553" s="10">
        <v>43705</v>
      </c>
      <c r="I5553" t="str">
        <f>IFERROR(VLOOKUP(Final!F5553,'LEAID Match'!$A$2:$B$374,2,FALSE),"")</f>
        <v/>
      </c>
      <c r="K5553" s="10">
        <f t="shared" si="86"/>
        <v>43705</v>
      </c>
    </row>
    <row r="5554" spans="1:11">
      <c r="A5554" t="s">
        <v>2470</v>
      </c>
      <c r="B5554" s="10">
        <v>2018</v>
      </c>
      <c r="C5554" t="s">
        <v>674</v>
      </c>
      <c r="D5554" t="s">
        <v>2472</v>
      </c>
      <c r="E5554" t="s">
        <v>2474</v>
      </c>
      <c r="F5554" t="s">
        <v>2429</v>
      </c>
      <c r="G5554" t="s">
        <v>2202</v>
      </c>
      <c r="H5554" s="10">
        <v>45611</v>
      </c>
      <c r="I5554" t="str">
        <f>IFERROR(VLOOKUP(Final!F5554,'LEAID Match'!$A$2:$B$374,2,FALSE),"")</f>
        <v/>
      </c>
      <c r="K5554" s="10">
        <f t="shared" si="86"/>
        <v>45611</v>
      </c>
    </row>
    <row r="5555" spans="1:11">
      <c r="A5555" t="s">
        <v>2470</v>
      </c>
      <c r="B5555" s="10">
        <v>2019</v>
      </c>
      <c r="C5555" t="s">
        <v>674</v>
      </c>
      <c r="D5555" t="s">
        <v>2472</v>
      </c>
      <c r="E5555" t="s">
        <v>2474</v>
      </c>
      <c r="F5555" t="s">
        <v>2429</v>
      </c>
      <c r="G5555" t="s">
        <v>619</v>
      </c>
      <c r="H5555" s="10">
        <v>50250</v>
      </c>
      <c r="I5555" t="str">
        <f>IFERROR(VLOOKUP(Final!F5555,'LEAID Match'!$A$2:$B$374,2,FALSE),"")</f>
        <v/>
      </c>
      <c r="K5555" s="10">
        <f t="shared" si="86"/>
        <v>50250</v>
      </c>
    </row>
    <row r="5556" spans="1:11">
      <c r="A5556" t="s">
        <v>2470</v>
      </c>
      <c r="B5556" s="10">
        <v>2020</v>
      </c>
      <c r="C5556" t="s">
        <v>674</v>
      </c>
      <c r="D5556" t="s">
        <v>2472</v>
      </c>
      <c r="E5556" t="s">
        <v>2474</v>
      </c>
      <c r="F5556" t="s">
        <v>2429</v>
      </c>
      <c r="G5556" t="s">
        <v>619</v>
      </c>
      <c r="H5556" s="10">
        <v>49399</v>
      </c>
      <c r="I5556" t="str">
        <f>IFERROR(VLOOKUP(Final!F5556,'LEAID Match'!$A$2:$B$374,2,FALSE),"")</f>
        <v/>
      </c>
      <c r="K5556" s="10">
        <f t="shared" si="86"/>
        <v>49399</v>
      </c>
    </row>
    <row r="5557" spans="1:11">
      <c r="A5557" t="s">
        <v>2470</v>
      </c>
      <c r="B5557" s="10">
        <v>2021</v>
      </c>
      <c r="C5557" t="s">
        <v>674</v>
      </c>
      <c r="D5557" t="s">
        <v>2472</v>
      </c>
      <c r="E5557" t="s">
        <v>2474</v>
      </c>
      <c r="F5557" t="s">
        <v>2429</v>
      </c>
      <c r="G5557" t="s">
        <v>2429</v>
      </c>
      <c r="H5557" s="10">
        <v>52967</v>
      </c>
      <c r="I5557" t="str">
        <f>IFERROR(VLOOKUP(Final!F5557,'LEAID Match'!$A$2:$B$374,2,FALSE),"")</f>
        <v/>
      </c>
      <c r="K5557" s="10">
        <f t="shared" si="86"/>
        <v>52967</v>
      </c>
    </row>
    <row r="5558" spans="1:11">
      <c r="A5558" t="s">
        <v>2470</v>
      </c>
      <c r="B5558" s="10">
        <v>2022</v>
      </c>
      <c r="C5558" t="s">
        <v>674</v>
      </c>
      <c r="D5558" t="s">
        <v>2472</v>
      </c>
      <c r="E5558" t="s">
        <v>2474</v>
      </c>
      <c r="F5558" t="s">
        <v>2429</v>
      </c>
      <c r="G5558" t="s">
        <v>2429</v>
      </c>
      <c r="H5558" s="10">
        <v>53073</v>
      </c>
      <c r="I5558" t="str">
        <f>IFERROR(VLOOKUP(Final!F5558,'LEAID Match'!$A$2:$B$374,2,FALSE),"")</f>
        <v/>
      </c>
      <c r="K5558" s="10">
        <f t="shared" si="86"/>
        <v>53073</v>
      </c>
    </row>
    <row r="5559" spans="1:11">
      <c r="A5559" t="s">
        <v>2470</v>
      </c>
      <c r="B5559" s="10">
        <v>2023</v>
      </c>
      <c r="C5559" t="s">
        <v>674</v>
      </c>
      <c r="D5559" t="s">
        <v>2472</v>
      </c>
      <c r="E5559" t="s">
        <v>2474</v>
      </c>
      <c r="F5559" t="s">
        <v>2429</v>
      </c>
      <c r="G5559" t="s">
        <v>2429</v>
      </c>
      <c r="H5559" s="10">
        <v>58654</v>
      </c>
      <c r="I5559" t="str">
        <f>IFERROR(VLOOKUP(Final!F5559,'LEAID Match'!$A$2:$B$374,2,FALSE),"")</f>
        <v/>
      </c>
      <c r="K5559" s="10">
        <f t="shared" si="86"/>
        <v>58654</v>
      </c>
    </row>
    <row r="5560" spans="1:11">
      <c r="A5560" t="s">
        <v>2470</v>
      </c>
      <c r="B5560" s="10">
        <v>2015</v>
      </c>
      <c r="C5560" t="s">
        <v>892</v>
      </c>
      <c r="D5560" t="s">
        <v>2472</v>
      </c>
      <c r="E5560" t="s">
        <v>2474</v>
      </c>
      <c r="F5560" t="s">
        <v>1836</v>
      </c>
      <c r="G5560" t="s">
        <v>837</v>
      </c>
      <c r="H5560" s="10">
        <v>100761</v>
      </c>
      <c r="I5560" t="str">
        <f>IFERROR(VLOOKUP(Final!F5560,'LEAID Match'!$A$2:$B$374,2,FALSE),"")</f>
        <v/>
      </c>
      <c r="K5560" s="10">
        <f t="shared" si="86"/>
        <v>100761</v>
      </c>
    </row>
    <row r="5561" spans="1:11">
      <c r="A5561" t="s">
        <v>2470</v>
      </c>
      <c r="B5561" s="10">
        <v>2016</v>
      </c>
      <c r="C5561" t="s">
        <v>892</v>
      </c>
      <c r="D5561" t="s">
        <v>2472</v>
      </c>
      <c r="E5561" t="s">
        <v>2474</v>
      </c>
      <c r="F5561" t="s">
        <v>1836</v>
      </c>
      <c r="G5561" t="s">
        <v>837</v>
      </c>
      <c r="H5561" s="10">
        <v>91583</v>
      </c>
      <c r="I5561" t="str">
        <f>IFERROR(VLOOKUP(Final!F5561,'LEAID Match'!$A$2:$B$374,2,FALSE),"")</f>
        <v/>
      </c>
      <c r="K5561" s="10">
        <f t="shared" si="86"/>
        <v>91583</v>
      </c>
    </row>
    <row r="5562" spans="1:11">
      <c r="A5562" t="s">
        <v>2470</v>
      </c>
      <c r="B5562" s="10">
        <v>2017</v>
      </c>
      <c r="C5562" t="s">
        <v>892</v>
      </c>
      <c r="D5562" t="s">
        <v>2472</v>
      </c>
      <c r="E5562" t="s">
        <v>2474</v>
      </c>
      <c r="F5562" t="s">
        <v>1836</v>
      </c>
      <c r="G5562" t="s">
        <v>1836</v>
      </c>
      <c r="H5562" s="10">
        <v>102491</v>
      </c>
      <c r="I5562" t="str">
        <f>IFERROR(VLOOKUP(Final!F5562,'LEAID Match'!$A$2:$B$374,2,FALSE),"")</f>
        <v/>
      </c>
      <c r="K5562" s="10">
        <f t="shared" si="86"/>
        <v>102491</v>
      </c>
    </row>
    <row r="5563" spans="1:11">
      <c r="A5563" t="s">
        <v>2470</v>
      </c>
      <c r="B5563" s="10">
        <v>2018</v>
      </c>
      <c r="C5563" t="s">
        <v>892</v>
      </c>
      <c r="D5563" t="s">
        <v>2472</v>
      </c>
      <c r="E5563" t="s">
        <v>2474</v>
      </c>
      <c r="F5563" t="s">
        <v>1836</v>
      </c>
      <c r="G5563" t="s">
        <v>2256</v>
      </c>
      <c r="H5563" s="10">
        <v>110670</v>
      </c>
      <c r="I5563" t="str">
        <f>IFERROR(VLOOKUP(Final!F5563,'LEAID Match'!$A$2:$B$374,2,FALSE),"")</f>
        <v/>
      </c>
      <c r="K5563" s="10">
        <f t="shared" si="86"/>
        <v>110670</v>
      </c>
    </row>
    <row r="5564" spans="1:11">
      <c r="A5564" t="s">
        <v>2470</v>
      </c>
      <c r="B5564" s="10">
        <v>2019</v>
      </c>
      <c r="C5564" t="s">
        <v>892</v>
      </c>
      <c r="D5564" t="s">
        <v>2472</v>
      </c>
      <c r="E5564" t="s">
        <v>2474</v>
      </c>
      <c r="F5564" t="s">
        <v>1836</v>
      </c>
      <c r="G5564" t="s">
        <v>1836</v>
      </c>
      <c r="H5564" s="10">
        <v>105315</v>
      </c>
      <c r="I5564" t="str">
        <f>IFERROR(VLOOKUP(Final!F5564,'LEAID Match'!$A$2:$B$374,2,FALSE),"")</f>
        <v/>
      </c>
      <c r="K5564" s="10">
        <f t="shared" si="86"/>
        <v>105315</v>
      </c>
    </row>
    <row r="5565" spans="1:11">
      <c r="A5565" t="s">
        <v>2470</v>
      </c>
      <c r="B5565" s="10">
        <v>2020</v>
      </c>
      <c r="C5565" t="s">
        <v>892</v>
      </c>
      <c r="D5565" t="s">
        <v>2472</v>
      </c>
      <c r="E5565" t="s">
        <v>2474</v>
      </c>
      <c r="F5565" t="s">
        <v>1836</v>
      </c>
      <c r="G5565" t="s">
        <v>1836</v>
      </c>
      <c r="H5565" s="10">
        <v>106516</v>
      </c>
      <c r="I5565" t="str">
        <f>IFERROR(VLOOKUP(Final!F5565,'LEAID Match'!$A$2:$B$374,2,FALSE),"")</f>
        <v/>
      </c>
      <c r="K5565" s="10">
        <f t="shared" si="86"/>
        <v>106516</v>
      </c>
    </row>
    <row r="5566" spans="1:11">
      <c r="A5566" t="s">
        <v>2470</v>
      </c>
      <c r="B5566" s="10">
        <v>2021</v>
      </c>
      <c r="C5566" t="s">
        <v>892</v>
      </c>
      <c r="D5566" t="s">
        <v>2472</v>
      </c>
      <c r="E5566" t="s">
        <v>2474</v>
      </c>
      <c r="F5566" t="s">
        <v>1836</v>
      </c>
      <c r="G5566" t="s">
        <v>1836</v>
      </c>
      <c r="H5566" s="10">
        <v>79696</v>
      </c>
      <c r="I5566" t="str">
        <f>IFERROR(VLOOKUP(Final!F5566,'LEAID Match'!$A$2:$B$374,2,FALSE),"")</f>
        <v/>
      </c>
      <c r="K5566" s="10">
        <f t="shared" si="86"/>
        <v>79696</v>
      </c>
    </row>
    <row r="5567" spans="1:11">
      <c r="A5567" t="s">
        <v>2470</v>
      </c>
      <c r="B5567" s="10">
        <v>2022</v>
      </c>
      <c r="C5567" t="s">
        <v>892</v>
      </c>
      <c r="D5567" t="s">
        <v>2472</v>
      </c>
      <c r="E5567" t="s">
        <v>2474</v>
      </c>
      <c r="F5567" t="s">
        <v>1836</v>
      </c>
      <c r="G5567" t="s">
        <v>1836</v>
      </c>
      <c r="H5567" s="10">
        <v>72227</v>
      </c>
      <c r="I5567" t="str">
        <f>IFERROR(VLOOKUP(Final!F5567,'LEAID Match'!$A$2:$B$374,2,FALSE),"")</f>
        <v/>
      </c>
      <c r="K5567" s="10">
        <f t="shared" si="86"/>
        <v>72227</v>
      </c>
    </row>
    <row r="5568" spans="1:11">
      <c r="A5568" t="s">
        <v>2470</v>
      </c>
      <c r="B5568" s="10">
        <v>2023</v>
      </c>
      <c r="C5568" t="s">
        <v>892</v>
      </c>
      <c r="D5568" t="s">
        <v>2472</v>
      </c>
      <c r="E5568" t="s">
        <v>2474</v>
      </c>
      <c r="F5568" t="s">
        <v>1836</v>
      </c>
      <c r="G5568" t="s">
        <v>1836</v>
      </c>
      <c r="H5568" s="10">
        <v>65004</v>
      </c>
      <c r="I5568" t="str">
        <f>IFERROR(VLOOKUP(Final!F5568,'LEAID Match'!$A$2:$B$374,2,FALSE),"")</f>
        <v/>
      </c>
      <c r="K5568" s="10">
        <f t="shared" si="86"/>
        <v>65004</v>
      </c>
    </row>
    <row r="5569" spans="1:11">
      <c r="A5569" t="s">
        <v>2470</v>
      </c>
      <c r="B5569" s="10">
        <v>2015</v>
      </c>
      <c r="C5569" t="s">
        <v>1211</v>
      </c>
      <c r="D5569" t="s">
        <v>2472</v>
      </c>
      <c r="E5569" t="s">
        <v>2474</v>
      </c>
      <c r="F5569" t="s">
        <v>1157</v>
      </c>
      <c r="G5569" t="s">
        <v>1157</v>
      </c>
      <c r="H5569" s="10">
        <v>1856</v>
      </c>
      <c r="I5569" t="str">
        <f>IFERROR(VLOOKUP(Final!F5569,'LEAID Match'!$A$2:$B$374,2,FALSE),"")</f>
        <v/>
      </c>
      <c r="K5569" s="10">
        <f t="shared" si="86"/>
        <v>1856</v>
      </c>
    </row>
    <row r="5570" spans="1:11">
      <c r="A5570" t="s">
        <v>2470</v>
      </c>
      <c r="B5570" s="10">
        <v>2016</v>
      </c>
      <c r="C5570" t="s">
        <v>1211</v>
      </c>
      <c r="D5570" t="s">
        <v>2472</v>
      </c>
      <c r="E5570" t="s">
        <v>2474</v>
      </c>
      <c r="F5570" t="s">
        <v>1157</v>
      </c>
      <c r="G5570" t="s">
        <v>1157</v>
      </c>
      <c r="H5570" s="10">
        <v>2114</v>
      </c>
      <c r="I5570" t="str">
        <f>IFERROR(VLOOKUP(Final!F5570,'LEAID Match'!$A$2:$B$374,2,FALSE),"")</f>
        <v/>
      </c>
      <c r="K5570" s="10">
        <f t="shared" si="86"/>
        <v>2114</v>
      </c>
    </row>
    <row r="5571" spans="1:11">
      <c r="A5571" t="s">
        <v>2470</v>
      </c>
      <c r="B5571" s="10">
        <v>2017</v>
      </c>
      <c r="C5571" t="s">
        <v>1211</v>
      </c>
      <c r="D5571" t="s">
        <v>2472</v>
      </c>
      <c r="E5571" t="s">
        <v>2474</v>
      </c>
      <c r="F5571" t="s">
        <v>1157</v>
      </c>
      <c r="G5571" t="s">
        <v>1157</v>
      </c>
      <c r="H5571" s="10">
        <v>2210</v>
      </c>
      <c r="I5571" t="str">
        <f>IFERROR(VLOOKUP(Final!F5571,'LEAID Match'!$A$2:$B$374,2,FALSE),"")</f>
        <v/>
      </c>
      <c r="K5571" s="10">
        <f t="shared" ref="K5571:K5634" si="87">SUM(H5571,J5571)</f>
        <v>2210</v>
      </c>
    </row>
    <row r="5572" spans="1:11">
      <c r="A5572" t="s">
        <v>2470</v>
      </c>
      <c r="B5572" s="10">
        <v>2018</v>
      </c>
      <c r="C5572" t="s">
        <v>1211</v>
      </c>
      <c r="D5572" t="s">
        <v>2472</v>
      </c>
      <c r="E5572" t="s">
        <v>2474</v>
      </c>
      <c r="F5572" t="s">
        <v>1157</v>
      </c>
      <c r="G5572" t="s">
        <v>1157</v>
      </c>
      <c r="H5572" s="10">
        <v>3245</v>
      </c>
      <c r="I5572" t="str">
        <f>IFERROR(VLOOKUP(Final!F5572,'LEAID Match'!$A$2:$B$374,2,FALSE),"")</f>
        <v/>
      </c>
      <c r="K5572" s="10">
        <f t="shared" si="87"/>
        <v>3245</v>
      </c>
    </row>
    <row r="5573" spans="1:11">
      <c r="A5573" t="s">
        <v>2470</v>
      </c>
      <c r="B5573" s="10">
        <v>2019</v>
      </c>
      <c r="C5573" t="s">
        <v>1211</v>
      </c>
      <c r="D5573" t="s">
        <v>2472</v>
      </c>
      <c r="E5573" t="s">
        <v>2474</v>
      </c>
      <c r="F5573" t="s">
        <v>1157</v>
      </c>
      <c r="G5573" t="s">
        <v>1157</v>
      </c>
      <c r="H5573" s="10">
        <v>3690</v>
      </c>
      <c r="I5573" t="str">
        <f>IFERROR(VLOOKUP(Final!F5573,'LEAID Match'!$A$2:$B$374,2,FALSE),"")</f>
        <v/>
      </c>
      <c r="K5573" s="10">
        <f t="shared" si="87"/>
        <v>3690</v>
      </c>
    </row>
    <row r="5574" spans="1:11">
      <c r="A5574" t="s">
        <v>2470</v>
      </c>
      <c r="B5574" s="10">
        <v>2020</v>
      </c>
      <c r="C5574" t="s">
        <v>1211</v>
      </c>
      <c r="D5574" t="s">
        <v>2472</v>
      </c>
      <c r="E5574" t="s">
        <v>2474</v>
      </c>
      <c r="F5574" t="s">
        <v>1157</v>
      </c>
      <c r="G5574" t="s">
        <v>1157</v>
      </c>
      <c r="H5574" s="10">
        <v>3859</v>
      </c>
      <c r="I5574" t="str">
        <f>IFERROR(VLOOKUP(Final!F5574,'LEAID Match'!$A$2:$B$374,2,FALSE),"")</f>
        <v/>
      </c>
      <c r="K5574" s="10">
        <f t="shared" si="87"/>
        <v>3859</v>
      </c>
    </row>
    <row r="5575" spans="1:11">
      <c r="A5575" t="s">
        <v>2470</v>
      </c>
      <c r="B5575" s="10">
        <v>2021</v>
      </c>
      <c r="C5575" t="s">
        <v>1211</v>
      </c>
      <c r="D5575" t="s">
        <v>2472</v>
      </c>
      <c r="E5575" t="s">
        <v>2474</v>
      </c>
      <c r="F5575" t="s">
        <v>1157</v>
      </c>
      <c r="G5575" t="s">
        <v>1157</v>
      </c>
      <c r="H5575" s="10">
        <v>3883</v>
      </c>
      <c r="I5575" t="str">
        <f>IFERROR(VLOOKUP(Final!F5575,'LEAID Match'!$A$2:$B$374,2,FALSE),"")</f>
        <v/>
      </c>
      <c r="K5575" s="10">
        <f t="shared" si="87"/>
        <v>3883</v>
      </c>
    </row>
    <row r="5576" spans="1:11">
      <c r="A5576" t="s">
        <v>2470</v>
      </c>
      <c r="B5576" s="10">
        <v>2022</v>
      </c>
      <c r="C5576" t="s">
        <v>1211</v>
      </c>
      <c r="D5576" t="s">
        <v>2472</v>
      </c>
      <c r="E5576" t="s">
        <v>2474</v>
      </c>
      <c r="F5576" t="s">
        <v>1157</v>
      </c>
      <c r="G5576" t="s">
        <v>1157</v>
      </c>
      <c r="H5576" s="10">
        <v>4097</v>
      </c>
      <c r="I5576" t="str">
        <f>IFERROR(VLOOKUP(Final!F5576,'LEAID Match'!$A$2:$B$374,2,FALSE),"")</f>
        <v/>
      </c>
      <c r="K5576" s="10">
        <f t="shared" si="87"/>
        <v>4097</v>
      </c>
    </row>
    <row r="5577" spans="1:11">
      <c r="A5577" t="s">
        <v>2470</v>
      </c>
      <c r="B5577" s="10">
        <v>2023</v>
      </c>
      <c r="C5577" t="s">
        <v>1211</v>
      </c>
      <c r="D5577" t="s">
        <v>2472</v>
      </c>
      <c r="E5577" t="s">
        <v>2474</v>
      </c>
      <c r="F5577" t="s">
        <v>1157</v>
      </c>
      <c r="G5577" t="s">
        <v>1157</v>
      </c>
      <c r="H5577" s="10">
        <v>5153</v>
      </c>
      <c r="I5577" t="str">
        <f>IFERROR(VLOOKUP(Final!F5577,'LEAID Match'!$A$2:$B$374,2,FALSE),"")</f>
        <v/>
      </c>
      <c r="K5577" s="10">
        <f t="shared" si="87"/>
        <v>5153</v>
      </c>
    </row>
    <row r="5578" spans="1:11">
      <c r="A5578" t="s">
        <v>2470</v>
      </c>
      <c r="B5578" s="10">
        <v>2015</v>
      </c>
      <c r="C5578" t="s">
        <v>678</v>
      </c>
      <c r="D5578" t="s">
        <v>2472</v>
      </c>
      <c r="E5578" t="s">
        <v>2474</v>
      </c>
      <c r="F5578" t="s">
        <v>1458</v>
      </c>
      <c r="G5578" t="s">
        <v>623</v>
      </c>
      <c r="H5578" s="10">
        <v>4408</v>
      </c>
      <c r="I5578" t="str">
        <f>IFERROR(VLOOKUP(Final!F5578,'LEAID Match'!$A$2:$B$374,2,FALSE),"")</f>
        <v/>
      </c>
      <c r="K5578" s="10">
        <f t="shared" si="87"/>
        <v>4408</v>
      </c>
    </row>
    <row r="5579" spans="1:11">
      <c r="A5579" t="s">
        <v>2470</v>
      </c>
      <c r="B5579" s="10">
        <v>2016</v>
      </c>
      <c r="C5579" t="s">
        <v>678</v>
      </c>
      <c r="D5579" t="s">
        <v>2472</v>
      </c>
      <c r="E5579" t="s">
        <v>2474</v>
      </c>
      <c r="F5579" t="s">
        <v>1458</v>
      </c>
      <c r="G5579" t="s">
        <v>1458</v>
      </c>
      <c r="H5579" s="10">
        <v>5860</v>
      </c>
      <c r="I5579" t="str">
        <f>IFERROR(VLOOKUP(Final!F5579,'LEAID Match'!$A$2:$B$374,2,FALSE),"")</f>
        <v/>
      </c>
      <c r="K5579" s="10">
        <f t="shared" si="87"/>
        <v>5860</v>
      </c>
    </row>
    <row r="5580" spans="1:11">
      <c r="A5580" t="s">
        <v>2470</v>
      </c>
      <c r="B5580" s="10">
        <v>2017</v>
      </c>
      <c r="C5580" t="s">
        <v>678</v>
      </c>
      <c r="D5580" t="s">
        <v>2472</v>
      </c>
      <c r="E5580" t="s">
        <v>2474</v>
      </c>
      <c r="F5580" t="s">
        <v>1458</v>
      </c>
      <c r="G5580" t="s">
        <v>1458</v>
      </c>
      <c r="H5580" s="10">
        <v>155</v>
      </c>
      <c r="I5580" t="str">
        <f>IFERROR(VLOOKUP(Final!F5580,'LEAID Match'!$A$2:$B$374,2,FALSE),"")</f>
        <v/>
      </c>
      <c r="K5580" s="10">
        <f t="shared" si="87"/>
        <v>155</v>
      </c>
    </row>
    <row r="5581" spans="1:11">
      <c r="A5581" t="s">
        <v>2470</v>
      </c>
      <c r="B5581" s="10">
        <v>2018</v>
      </c>
      <c r="C5581" t="s">
        <v>678</v>
      </c>
      <c r="D5581" t="s">
        <v>2472</v>
      </c>
      <c r="E5581" t="s">
        <v>2474</v>
      </c>
      <c r="F5581" t="s">
        <v>1458</v>
      </c>
      <c r="G5581" t="s">
        <v>1458</v>
      </c>
      <c r="H5581" s="10"/>
      <c r="I5581" t="str">
        <f>IFERROR(VLOOKUP(Final!F5581,'LEAID Match'!$A$2:$B$374,2,FALSE),"")</f>
        <v/>
      </c>
      <c r="K5581" s="10">
        <f t="shared" si="87"/>
        <v>0</v>
      </c>
    </row>
    <row r="5582" spans="1:11">
      <c r="A5582" t="s">
        <v>2470</v>
      </c>
      <c r="B5582" s="10">
        <v>2019</v>
      </c>
      <c r="C5582" t="s">
        <v>678</v>
      </c>
      <c r="D5582" t="s">
        <v>2472</v>
      </c>
      <c r="E5582" t="s">
        <v>2474</v>
      </c>
      <c r="F5582" t="s">
        <v>1458</v>
      </c>
      <c r="G5582" t="s">
        <v>1458</v>
      </c>
      <c r="H5582" s="10"/>
      <c r="I5582" t="str">
        <f>IFERROR(VLOOKUP(Final!F5582,'LEAID Match'!$A$2:$B$374,2,FALSE),"")</f>
        <v/>
      </c>
      <c r="K5582" s="10">
        <f t="shared" si="87"/>
        <v>0</v>
      </c>
    </row>
    <row r="5583" spans="1:11">
      <c r="A5583" t="s">
        <v>2470</v>
      </c>
      <c r="B5583" s="10">
        <v>2020</v>
      </c>
      <c r="C5583" t="s">
        <v>678</v>
      </c>
      <c r="D5583" t="s">
        <v>2472</v>
      </c>
      <c r="E5583" t="s">
        <v>2474</v>
      </c>
      <c r="F5583" t="s">
        <v>1458</v>
      </c>
      <c r="G5583" t="s">
        <v>1458</v>
      </c>
      <c r="H5583" s="10"/>
      <c r="I5583" t="str">
        <f>IFERROR(VLOOKUP(Final!F5583,'LEAID Match'!$A$2:$B$374,2,FALSE),"")</f>
        <v/>
      </c>
      <c r="K5583" s="10">
        <f t="shared" si="87"/>
        <v>0</v>
      </c>
    </row>
    <row r="5584" spans="1:11">
      <c r="A5584" t="s">
        <v>2470</v>
      </c>
      <c r="B5584" s="10">
        <v>2021</v>
      </c>
      <c r="C5584" t="s">
        <v>678</v>
      </c>
      <c r="D5584" t="s">
        <v>2472</v>
      </c>
      <c r="E5584" t="s">
        <v>2474</v>
      </c>
      <c r="F5584" t="s">
        <v>1458</v>
      </c>
      <c r="G5584" t="s">
        <v>1458</v>
      </c>
      <c r="H5584" s="10"/>
      <c r="I5584" t="str">
        <f>IFERROR(VLOOKUP(Final!F5584,'LEAID Match'!$A$2:$B$374,2,FALSE),"")</f>
        <v/>
      </c>
      <c r="K5584" s="10">
        <f t="shared" si="87"/>
        <v>0</v>
      </c>
    </row>
    <row r="5585" spans="1:11">
      <c r="A5585" t="s">
        <v>2470</v>
      </c>
      <c r="B5585" s="10">
        <v>2022</v>
      </c>
      <c r="C5585" t="s">
        <v>678</v>
      </c>
      <c r="D5585" t="s">
        <v>2472</v>
      </c>
      <c r="E5585" t="s">
        <v>2474</v>
      </c>
      <c r="F5585" t="s">
        <v>1458</v>
      </c>
      <c r="G5585" t="s">
        <v>1458</v>
      </c>
      <c r="H5585" s="10"/>
      <c r="I5585" t="str">
        <f>IFERROR(VLOOKUP(Final!F5585,'LEAID Match'!$A$2:$B$374,2,FALSE),"")</f>
        <v/>
      </c>
      <c r="K5585" s="10">
        <f t="shared" si="87"/>
        <v>0</v>
      </c>
    </row>
    <row r="5586" spans="1:11">
      <c r="A5586" t="s">
        <v>2470</v>
      </c>
      <c r="B5586" s="10">
        <v>2015</v>
      </c>
      <c r="C5586" t="s">
        <v>583</v>
      </c>
      <c r="D5586" t="s">
        <v>2472</v>
      </c>
      <c r="E5586" t="s">
        <v>2474</v>
      </c>
      <c r="F5586" t="s">
        <v>1711</v>
      </c>
      <c r="G5586" t="s">
        <v>528</v>
      </c>
      <c r="H5586" s="10">
        <v>10565</v>
      </c>
      <c r="I5586" t="str">
        <f>IFERROR(VLOOKUP(Final!F5586,'LEAID Match'!$A$2:$B$374,2,FALSE),"")</f>
        <v/>
      </c>
      <c r="K5586" s="10">
        <f t="shared" si="87"/>
        <v>10565</v>
      </c>
    </row>
    <row r="5587" spans="1:11">
      <c r="A5587" t="s">
        <v>2470</v>
      </c>
      <c r="B5587" s="10">
        <v>2016</v>
      </c>
      <c r="C5587" t="s">
        <v>583</v>
      </c>
      <c r="D5587" t="s">
        <v>2472</v>
      </c>
      <c r="E5587" t="s">
        <v>2474</v>
      </c>
      <c r="F5587" t="s">
        <v>1711</v>
      </c>
      <c r="G5587" t="s">
        <v>528</v>
      </c>
      <c r="H5587" s="10">
        <v>11061</v>
      </c>
      <c r="I5587" t="str">
        <f>IFERROR(VLOOKUP(Final!F5587,'LEAID Match'!$A$2:$B$374,2,FALSE),"")</f>
        <v/>
      </c>
      <c r="K5587" s="10">
        <f t="shared" si="87"/>
        <v>11061</v>
      </c>
    </row>
    <row r="5588" spans="1:11">
      <c r="A5588" t="s">
        <v>2470</v>
      </c>
      <c r="B5588" s="10">
        <v>2017</v>
      </c>
      <c r="C5588" t="s">
        <v>583</v>
      </c>
      <c r="D5588" t="s">
        <v>2472</v>
      </c>
      <c r="E5588" t="s">
        <v>2474</v>
      </c>
      <c r="F5588" t="s">
        <v>1711</v>
      </c>
      <c r="G5588" t="s">
        <v>1711</v>
      </c>
      <c r="H5588" s="10">
        <v>13448</v>
      </c>
      <c r="I5588" t="str">
        <f>IFERROR(VLOOKUP(Final!F5588,'LEAID Match'!$A$2:$B$374,2,FALSE),"")</f>
        <v/>
      </c>
      <c r="K5588" s="10">
        <f t="shared" si="87"/>
        <v>13448</v>
      </c>
    </row>
    <row r="5589" spans="1:11">
      <c r="A5589" t="s">
        <v>2470</v>
      </c>
      <c r="B5589" s="10">
        <v>2018</v>
      </c>
      <c r="C5589" t="s">
        <v>583</v>
      </c>
      <c r="D5589" t="s">
        <v>2472</v>
      </c>
      <c r="E5589" t="s">
        <v>2474</v>
      </c>
      <c r="F5589" t="s">
        <v>1711</v>
      </c>
      <c r="G5589" t="s">
        <v>1711</v>
      </c>
      <c r="H5589" s="10">
        <v>15980</v>
      </c>
      <c r="I5589" t="str">
        <f>IFERROR(VLOOKUP(Final!F5589,'LEAID Match'!$A$2:$B$374,2,FALSE),"")</f>
        <v/>
      </c>
      <c r="K5589" s="10">
        <f t="shared" si="87"/>
        <v>15980</v>
      </c>
    </row>
    <row r="5590" spans="1:11">
      <c r="A5590" t="s">
        <v>2470</v>
      </c>
      <c r="B5590" s="10">
        <v>2019</v>
      </c>
      <c r="C5590" t="s">
        <v>583</v>
      </c>
      <c r="D5590" t="s">
        <v>2472</v>
      </c>
      <c r="E5590" t="s">
        <v>2474</v>
      </c>
      <c r="F5590" t="s">
        <v>1711</v>
      </c>
      <c r="G5590" t="s">
        <v>1711</v>
      </c>
      <c r="H5590" s="10">
        <v>14863</v>
      </c>
      <c r="I5590" t="str">
        <f>IFERROR(VLOOKUP(Final!F5590,'LEAID Match'!$A$2:$B$374,2,FALSE),"")</f>
        <v/>
      </c>
      <c r="K5590" s="10">
        <f t="shared" si="87"/>
        <v>14863</v>
      </c>
    </row>
    <row r="5591" spans="1:11">
      <c r="A5591" t="s">
        <v>2470</v>
      </c>
      <c r="B5591" s="10">
        <v>2020</v>
      </c>
      <c r="C5591" t="s">
        <v>583</v>
      </c>
      <c r="D5591" t="s">
        <v>2472</v>
      </c>
      <c r="E5591" t="s">
        <v>2474</v>
      </c>
      <c r="F5591" t="s">
        <v>1711</v>
      </c>
      <c r="G5591" t="s">
        <v>1711</v>
      </c>
      <c r="H5591" s="10">
        <v>17925</v>
      </c>
      <c r="I5591" t="str">
        <f>IFERROR(VLOOKUP(Final!F5591,'LEAID Match'!$A$2:$B$374,2,FALSE),"")</f>
        <v/>
      </c>
      <c r="K5591" s="10">
        <f t="shared" si="87"/>
        <v>17925</v>
      </c>
    </row>
    <row r="5592" spans="1:11">
      <c r="A5592" t="s">
        <v>2470</v>
      </c>
      <c r="B5592" s="10">
        <v>2021</v>
      </c>
      <c r="C5592" t="s">
        <v>583</v>
      </c>
      <c r="D5592" t="s">
        <v>2472</v>
      </c>
      <c r="E5592" t="s">
        <v>2474</v>
      </c>
      <c r="F5592" t="s">
        <v>1711</v>
      </c>
      <c r="G5592" t="s">
        <v>1711</v>
      </c>
      <c r="H5592" s="10">
        <v>15962</v>
      </c>
      <c r="I5592" t="str">
        <f>IFERROR(VLOOKUP(Final!F5592,'LEAID Match'!$A$2:$B$374,2,FALSE),"")</f>
        <v/>
      </c>
      <c r="K5592" s="10">
        <f t="shared" si="87"/>
        <v>15962</v>
      </c>
    </row>
    <row r="5593" spans="1:11">
      <c r="A5593" t="s">
        <v>2470</v>
      </c>
      <c r="B5593" s="10">
        <v>2022</v>
      </c>
      <c r="C5593" t="s">
        <v>583</v>
      </c>
      <c r="D5593" t="s">
        <v>2472</v>
      </c>
      <c r="E5593" t="s">
        <v>2474</v>
      </c>
      <c r="F5593" t="s">
        <v>1711</v>
      </c>
      <c r="G5593" t="s">
        <v>1711</v>
      </c>
      <c r="H5593" s="10">
        <v>15184</v>
      </c>
      <c r="I5593" t="str">
        <f>IFERROR(VLOOKUP(Final!F5593,'LEAID Match'!$A$2:$B$374,2,FALSE),"")</f>
        <v/>
      </c>
      <c r="K5593" s="10">
        <f t="shared" si="87"/>
        <v>15184</v>
      </c>
    </row>
    <row r="5594" spans="1:11">
      <c r="A5594" t="s">
        <v>2470</v>
      </c>
      <c r="B5594" s="10">
        <v>2023</v>
      </c>
      <c r="C5594" t="s">
        <v>583</v>
      </c>
      <c r="D5594" t="s">
        <v>2472</v>
      </c>
      <c r="E5594" t="s">
        <v>2474</v>
      </c>
      <c r="F5594" t="s">
        <v>1711</v>
      </c>
      <c r="G5594" t="s">
        <v>1711</v>
      </c>
      <c r="H5594" s="10">
        <v>14108</v>
      </c>
      <c r="I5594" t="str">
        <f>IFERROR(VLOOKUP(Final!F5594,'LEAID Match'!$A$2:$B$374,2,FALSE),"")</f>
        <v/>
      </c>
      <c r="K5594" s="10">
        <f t="shared" si="87"/>
        <v>14108</v>
      </c>
    </row>
    <row r="5595" spans="1:11">
      <c r="A5595" t="s">
        <v>2470</v>
      </c>
      <c r="B5595" s="10">
        <v>2015</v>
      </c>
      <c r="C5595" t="s">
        <v>220</v>
      </c>
      <c r="D5595" t="s">
        <v>2472</v>
      </c>
      <c r="E5595" t="s">
        <v>2474</v>
      </c>
      <c r="F5595" t="s">
        <v>1571</v>
      </c>
      <c r="G5595" t="s">
        <v>165</v>
      </c>
      <c r="H5595" s="10">
        <v>59547</v>
      </c>
      <c r="I5595" t="str">
        <f>IFERROR(VLOOKUP(Final!F5595,'LEAID Match'!$A$2:$B$374,2,FALSE),"")</f>
        <v/>
      </c>
      <c r="K5595" s="10">
        <f t="shared" si="87"/>
        <v>59547</v>
      </c>
    </row>
    <row r="5596" spans="1:11">
      <c r="A5596" t="s">
        <v>2470</v>
      </c>
      <c r="B5596" s="10">
        <v>2016</v>
      </c>
      <c r="C5596" t="s">
        <v>220</v>
      </c>
      <c r="D5596" t="s">
        <v>2472</v>
      </c>
      <c r="E5596" t="s">
        <v>2474</v>
      </c>
      <c r="F5596" t="s">
        <v>1571</v>
      </c>
      <c r="G5596" t="s">
        <v>165</v>
      </c>
      <c r="H5596" s="10">
        <v>54943</v>
      </c>
      <c r="I5596" t="str">
        <f>IFERROR(VLOOKUP(Final!F5596,'LEAID Match'!$A$2:$B$374,2,FALSE),"")</f>
        <v/>
      </c>
      <c r="K5596" s="10">
        <f t="shared" si="87"/>
        <v>54943</v>
      </c>
    </row>
    <row r="5597" spans="1:11">
      <c r="A5597" t="s">
        <v>2470</v>
      </c>
      <c r="B5597" s="10">
        <v>2017</v>
      </c>
      <c r="C5597" t="s">
        <v>220</v>
      </c>
      <c r="D5597" t="s">
        <v>2472</v>
      </c>
      <c r="E5597" t="s">
        <v>2474</v>
      </c>
      <c r="F5597" t="s">
        <v>1571</v>
      </c>
      <c r="G5597" t="s">
        <v>1571</v>
      </c>
      <c r="H5597" s="10">
        <v>63275</v>
      </c>
      <c r="I5597" t="str">
        <f>IFERROR(VLOOKUP(Final!F5597,'LEAID Match'!$A$2:$B$374,2,FALSE),"")</f>
        <v/>
      </c>
      <c r="K5597" s="10">
        <f t="shared" si="87"/>
        <v>63275</v>
      </c>
    </row>
    <row r="5598" spans="1:11">
      <c r="A5598" t="s">
        <v>2470</v>
      </c>
      <c r="B5598" s="10">
        <v>2018</v>
      </c>
      <c r="C5598" t="s">
        <v>220</v>
      </c>
      <c r="D5598" t="s">
        <v>2472</v>
      </c>
      <c r="E5598" t="s">
        <v>2474</v>
      </c>
      <c r="F5598" t="s">
        <v>1571</v>
      </c>
      <c r="G5598" t="s">
        <v>2096</v>
      </c>
      <c r="H5598" s="10">
        <v>67890</v>
      </c>
      <c r="I5598" t="str">
        <f>IFERROR(VLOOKUP(Final!F5598,'LEAID Match'!$A$2:$B$374,2,FALSE),"")</f>
        <v/>
      </c>
      <c r="K5598" s="10">
        <f t="shared" si="87"/>
        <v>67890</v>
      </c>
    </row>
    <row r="5599" spans="1:11">
      <c r="A5599" t="s">
        <v>2470</v>
      </c>
      <c r="B5599" s="10">
        <v>2019</v>
      </c>
      <c r="C5599" t="s">
        <v>220</v>
      </c>
      <c r="D5599" t="s">
        <v>2472</v>
      </c>
      <c r="E5599" t="s">
        <v>2474</v>
      </c>
      <c r="F5599" t="s">
        <v>1571</v>
      </c>
      <c r="G5599" t="s">
        <v>1571</v>
      </c>
      <c r="H5599" s="10">
        <v>69496</v>
      </c>
      <c r="I5599" t="str">
        <f>IFERROR(VLOOKUP(Final!F5599,'LEAID Match'!$A$2:$B$374,2,FALSE),"")</f>
        <v/>
      </c>
      <c r="K5599" s="10">
        <f t="shared" si="87"/>
        <v>69496</v>
      </c>
    </row>
    <row r="5600" spans="1:11">
      <c r="A5600" t="s">
        <v>2470</v>
      </c>
      <c r="B5600" s="10">
        <v>2020</v>
      </c>
      <c r="C5600" t="s">
        <v>220</v>
      </c>
      <c r="D5600" t="s">
        <v>2472</v>
      </c>
      <c r="E5600" t="s">
        <v>2474</v>
      </c>
      <c r="F5600" t="s">
        <v>1571</v>
      </c>
      <c r="G5600" t="s">
        <v>1571</v>
      </c>
      <c r="H5600" s="10">
        <v>68064</v>
      </c>
      <c r="I5600" t="str">
        <f>IFERROR(VLOOKUP(Final!F5600,'LEAID Match'!$A$2:$B$374,2,FALSE),"")</f>
        <v/>
      </c>
      <c r="K5600" s="10">
        <f t="shared" si="87"/>
        <v>68064</v>
      </c>
    </row>
    <row r="5601" spans="1:11">
      <c r="A5601" t="s">
        <v>2470</v>
      </c>
      <c r="B5601" s="10">
        <v>2021</v>
      </c>
      <c r="C5601" t="s">
        <v>220</v>
      </c>
      <c r="D5601" t="s">
        <v>2472</v>
      </c>
      <c r="E5601" t="s">
        <v>2474</v>
      </c>
      <c r="F5601" t="s">
        <v>1571</v>
      </c>
      <c r="G5601" t="s">
        <v>1571</v>
      </c>
      <c r="H5601" s="10">
        <v>77596</v>
      </c>
      <c r="I5601" t="str">
        <f>IFERROR(VLOOKUP(Final!F5601,'LEAID Match'!$A$2:$B$374,2,FALSE),"")</f>
        <v/>
      </c>
      <c r="K5601" s="10">
        <f t="shared" si="87"/>
        <v>77596</v>
      </c>
    </row>
    <row r="5602" spans="1:11">
      <c r="A5602" t="s">
        <v>2470</v>
      </c>
      <c r="B5602" s="10">
        <v>2022</v>
      </c>
      <c r="C5602" t="s">
        <v>220</v>
      </c>
      <c r="D5602" t="s">
        <v>2472</v>
      </c>
      <c r="E5602" t="s">
        <v>2474</v>
      </c>
      <c r="F5602" t="s">
        <v>1571</v>
      </c>
      <c r="G5602" t="s">
        <v>1571</v>
      </c>
      <c r="H5602" s="10">
        <v>78887</v>
      </c>
      <c r="I5602" t="str">
        <f>IFERROR(VLOOKUP(Final!F5602,'LEAID Match'!$A$2:$B$374,2,FALSE),"")</f>
        <v/>
      </c>
      <c r="K5602" s="10">
        <f t="shared" si="87"/>
        <v>78887</v>
      </c>
    </row>
    <row r="5603" spans="1:11">
      <c r="A5603" t="s">
        <v>2470</v>
      </c>
      <c r="B5603" s="10">
        <v>2023</v>
      </c>
      <c r="C5603" t="s">
        <v>220</v>
      </c>
      <c r="D5603" t="s">
        <v>2472</v>
      </c>
      <c r="E5603" t="s">
        <v>2474</v>
      </c>
      <c r="F5603" t="s">
        <v>1571</v>
      </c>
      <c r="G5603" t="s">
        <v>1571</v>
      </c>
      <c r="H5603" s="10">
        <v>77648</v>
      </c>
      <c r="I5603" t="str">
        <f>IFERROR(VLOOKUP(Final!F5603,'LEAID Match'!$A$2:$B$374,2,FALSE),"")</f>
        <v/>
      </c>
      <c r="K5603" s="10">
        <f t="shared" si="87"/>
        <v>77648</v>
      </c>
    </row>
    <row r="5604" spans="1:11">
      <c r="A5604" t="s">
        <v>2470</v>
      </c>
      <c r="B5604" s="10">
        <v>2015</v>
      </c>
      <c r="C5604" t="s">
        <v>581</v>
      </c>
      <c r="D5604" t="s">
        <v>2472</v>
      </c>
      <c r="E5604" t="s">
        <v>2474</v>
      </c>
      <c r="F5604" t="s">
        <v>526</v>
      </c>
      <c r="G5604" t="s">
        <v>526</v>
      </c>
      <c r="H5604" s="10">
        <v>14904</v>
      </c>
      <c r="I5604" t="str">
        <f>IFERROR(VLOOKUP(Final!F5604,'LEAID Match'!$A$2:$B$374,2,FALSE),"")</f>
        <v/>
      </c>
      <c r="K5604" s="10">
        <f t="shared" si="87"/>
        <v>14904</v>
      </c>
    </row>
    <row r="5605" spans="1:11">
      <c r="A5605" t="s">
        <v>2470</v>
      </c>
      <c r="B5605" s="10">
        <v>2016</v>
      </c>
      <c r="C5605" t="s">
        <v>581</v>
      </c>
      <c r="D5605" t="s">
        <v>2472</v>
      </c>
      <c r="E5605" t="s">
        <v>2474</v>
      </c>
      <c r="F5605" t="s">
        <v>526</v>
      </c>
      <c r="G5605" t="s">
        <v>526</v>
      </c>
      <c r="H5605" s="10">
        <v>14876</v>
      </c>
      <c r="I5605" t="str">
        <f>IFERROR(VLOOKUP(Final!F5605,'LEAID Match'!$A$2:$B$374,2,FALSE),"")</f>
        <v/>
      </c>
      <c r="K5605" s="10">
        <f t="shared" si="87"/>
        <v>14876</v>
      </c>
    </row>
    <row r="5606" spans="1:11">
      <c r="A5606" t="s">
        <v>2470</v>
      </c>
      <c r="B5606" s="10">
        <v>2017</v>
      </c>
      <c r="C5606" t="s">
        <v>581</v>
      </c>
      <c r="D5606" t="s">
        <v>2472</v>
      </c>
      <c r="E5606" t="s">
        <v>2474</v>
      </c>
      <c r="F5606" t="s">
        <v>526</v>
      </c>
      <c r="G5606" t="s">
        <v>526</v>
      </c>
      <c r="H5606" s="10">
        <v>12617</v>
      </c>
      <c r="I5606" t="str">
        <f>IFERROR(VLOOKUP(Final!F5606,'LEAID Match'!$A$2:$B$374,2,FALSE),"")</f>
        <v/>
      </c>
      <c r="K5606" s="10">
        <f t="shared" si="87"/>
        <v>12617</v>
      </c>
    </row>
    <row r="5607" spans="1:11">
      <c r="A5607" t="s">
        <v>2470</v>
      </c>
      <c r="B5607" s="10">
        <v>2018</v>
      </c>
      <c r="C5607" t="s">
        <v>581</v>
      </c>
      <c r="D5607" t="s">
        <v>2472</v>
      </c>
      <c r="E5607" t="s">
        <v>2474</v>
      </c>
      <c r="F5607" t="s">
        <v>526</v>
      </c>
      <c r="G5607" t="s">
        <v>526</v>
      </c>
      <c r="H5607" s="10">
        <v>16038</v>
      </c>
      <c r="I5607" t="str">
        <f>IFERROR(VLOOKUP(Final!F5607,'LEAID Match'!$A$2:$B$374,2,FALSE),"")</f>
        <v/>
      </c>
      <c r="K5607" s="10">
        <f t="shared" si="87"/>
        <v>16038</v>
      </c>
    </row>
    <row r="5608" spans="1:11">
      <c r="A5608" t="s">
        <v>2470</v>
      </c>
      <c r="B5608" s="10">
        <v>2019</v>
      </c>
      <c r="C5608" t="s">
        <v>581</v>
      </c>
      <c r="D5608" t="s">
        <v>2472</v>
      </c>
      <c r="E5608" t="s">
        <v>2474</v>
      </c>
      <c r="F5608" t="s">
        <v>526</v>
      </c>
      <c r="G5608" t="s">
        <v>526</v>
      </c>
      <c r="H5608" s="10">
        <v>17601</v>
      </c>
      <c r="I5608" t="str">
        <f>IFERROR(VLOOKUP(Final!F5608,'LEAID Match'!$A$2:$B$374,2,FALSE),"")</f>
        <v/>
      </c>
      <c r="K5608" s="10">
        <f t="shared" si="87"/>
        <v>17601</v>
      </c>
    </row>
    <row r="5609" spans="1:11">
      <c r="A5609" t="s">
        <v>2470</v>
      </c>
      <c r="B5609" s="10">
        <v>2020</v>
      </c>
      <c r="C5609" t="s">
        <v>581</v>
      </c>
      <c r="D5609" t="s">
        <v>2472</v>
      </c>
      <c r="E5609" t="s">
        <v>2474</v>
      </c>
      <c r="F5609" t="s">
        <v>526</v>
      </c>
      <c r="G5609" t="s">
        <v>526</v>
      </c>
      <c r="H5609" s="10">
        <v>19846</v>
      </c>
      <c r="I5609" t="str">
        <f>IFERROR(VLOOKUP(Final!F5609,'LEAID Match'!$A$2:$B$374,2,FALSE),"")</f>
        <v/>
      </c>
      <c r="K5609" s="10">
        <f t="shared" si="87"/>
        <v>19846</v>
      </c>
    </row>
    <row r="5610" spans="1:11">
      <c r="A5610" t="s">
        <v>2470</v>
      </c>
      <c r="B5610" s="10">
        <v>2021</v>
      </c>
      <c r="C5610" t="s">
        <v>581</v>
      </c>
      <c r="D5610" t="s">
        <v>2472</v>
      </c>
      <c r="E5610" t="s">
        <v>2474</v>
      </c>
      <c r="F5610" t="s">
        <v>526</v>
      </c>
      <c r="G5610" t="s">
        <v>526</v>
      </c>
      <c r="H5610" s="10">
        <v>19424</v>
      </c>
      <c r="I5610" t="str">
        <f>IFERROR(VLOOKUP(Final!F5610,'LEAID Match'!$A$2:$B$374,2,FALSE),"")</f>
        <v/>
      </c>
      <c r="K5610" s="10">
        <f t="shared" si="87"/>
        <v>19424</v>
      </c>
    </row>
    <row r="5611" spans="1:11">
      <c r="A5611" t="s">
        <v>2470</v>
      </c>
      <c r="B5611" s="10">
        <v>2022</v>
      </c>
      <c r="C5611" t="s">
        <v>581</v>
      </c>
      <c r="D5611" t="s">
        <v>2472</v>
      </c>
      <c r="E5611" t="s">
        <v>2474</v>
      </c>
      <c r="F5611" t="s">
        <v>526</v>
      </c>
      <c r="G5611" t="s">
        <v>526</v>
      </c>
      <c r="H5611" s="10">
        <v>15768</v>
      </c>
      <c r="I5611" t="str">
        <f>IFERROR(VLOOKUP(Final!F5611,'LEAID Match'!$A$2:$B$374,2,FALSE),"")</f>
        <v/>
      </c>
      <c r="K5611" s="10">
        <f t="shared" si="87"/>
        <v>15768</v>
      </c>
    </row>
    <row r="5612" spans="1:11">
      <c r="A5612" t="s">
        <v>2470</v>
      </c>
      <c r="B5612" s="10">
        <v>2023</v>
      </c>
      <c r="C5612" t="s">
        <v>581</v>
      </c>
      <c r="D5612" t="s">
        <v>2472</v>
      </c>
      <c r="E5612" t="s">
        <v>2474</v>
      </c>
      <c r="F5612" t="s">
        <v>526</v>
      </c>
      <c r="G5612" t="s">
        <v>526</v>
      </c>
      <c r="H5612" s="10">
        <v>9267</v>
      </c>
      <c r="I5612" t="str">
        <f>IFERROR(VLOOKUP(Final!F5612,'LEAID Match'!$A$2:$B$374,2,FALSE),"")</f>
        <v/>
      </c>
      <c r="K5612" s="10">
        <f t="shared" si="87"/>
        <v>9267</v>
      </c>
    </row>
    <row r="5613" spans="1:11">
      <c r="A5613" t="s">
        <v>2470</v>
      </c>
      <c r="B5613" s="10">
        <v>2015</v>
      </c>
      <c r="C5613" t="s">
        <v>1132</v>
      </c>
      <c r="D5613" t="s">
        <v>2472</v>
      </c>
      <c r="E5613" t="s">
        <v>2474</v>
      </c>
      <c r="F5613" t="s">
        <v>2389</v>
      </c>
      <c r="G5613" t="s">
        <v>1077</v>
      </c>
      <c r="H5613" s="10">
        <v>57752</v>
      </c>
      <c r="I5613" t="str">
        <f>IFERROR(VLOOKUP(Final!F5613,'LEAID Match'!$A$2:$B$374,2,FALSE),"")</f>
        <v/>
      </c>
      <c r="K5613" s="10">
        <f t="shared" si="87"/>
        <v>57752</v>
      </c>
    </row>
    <row r="5614" spans="1:11">
      <c r="A5614" t="s">
        <v>2470</v>
      </c>
      <c r="B5614" s="10">
        <v>2016</v>
      </c>
      <c r="C5614" t="s">
        <v>1132</v>
      </c>
      <c r="D5614" t="s">
        <v>2472</v>
      </c>
      <c r="E5614" t="s">
        <v>2474</v>
      </c>
      <c r="F5614" t="s">
        <v>2389</v>
      </c>
      <c r="G5614" t="s">
        <v>1077</v>
      </c>
      <c r="H5614" s="10">
        <v>60647</v>
      </c>
      <c r="I5614" t="str">
        <f>IFERROR(VLOOKUP(Final!F5614,'LEAID Match'!$A$2:$B$374,2,FALSE),"")</f>
        <v/>
      </c>
      <c r="K5614" s="10">
        <f t="shared" si="87"/>
        <v>60647</v>
      </c>
    </row>
    <row r="5615" spans="1:11">
      <c r="A5615" t="s">
        <v>2470</v>
      </c>
      <c r="B5615" s="10">
        <v>2017</v>
      </c>
      <c r="C5615" t="s">
        <v>1132</v>
      </c>
      <c r="D5615" t="s">
        <v>2472</v>
      </c>
      <c r="E5615" t="s">
        <v>2474</v>
      </c>
      <c r="F5615" t="s">
        <v>2389</v>
      </c>
      <c r="G5615" t="s">
        <v>1077</v>
      </c>
      <c r="H5615" s="10">
        <v>61036</v>
      </c>
      <c r="I5615" t="str">
        <f>IFERROR(VLOOKUP(Final!F5615,'LEAID Match'!$A$2:$B$374,2,FALSE),"")</f>
        <v/>
      </c>
      <c r="K5615" s="10">
        <f t="shared" si="87"/>
        <v>61036</v>
      </c>
    </row>
    <row r="5616" spans="1:11">
      <c r="A5616" t="s">
        <v>2470</v>
      </c>
      <c r="B5616" s="10">
        <v>2018</v>
      </c>
      <c r="C5616" t="s">
        <v>1132</v>
      </c>
      <c r="D5616" t="s">
        <v>2472</v>
      </c>
      <c r="E5616" t="s">
        <v>2474</v>
      </c>
      <c r="F5616" t="s">
        <v>2389</v>
      </c>
      <c r="G5616" t="s">
        <v>2315</v>
      </c>
      <c r="H5616" s="10">
        <v>65674</v>
      </c>
      <c r="I5616" t="str">
        <f>IFERROR(VLOOKUP(Final!F5616,'LEAID Match'!$A$2:$B$374,2,FALSE),"")</f>
        <v/>
      </c>
      <c r="K5616" s="10">
        <f t="shared" si="87"/>
        <v>65674</v>
      </c>
    </row>
    <row r="5617" spans="1:11">
      <c r="A5617" t="s">
        <v>2470</v>
      </c>
      <c r="B5617" s="10">
        <v>2019</v>
      </c>
      <c r="C5617" t="s">
        <v>1132</v>
      </c>
      <c r="D5617" t="s">
        <v>2472</v>
      </c>
      <c r="E5617" t="s">
        <v>2474</v>
      </c>
      <c r="F5617" t="s">
        <v>2389</v>
      </c>
      <c r="G5617" t="s">
        <v>2389</v>
      </c>
      <c r="H5617" s="10">
        <v>72703</v>
      </c>
      <c r="I5617" t="str">
        <f>IFERROR(VLOOKUP(Final!F5617,'LEAID Match'!$A$2:$B$374,2,FALSE),"")</f>
        <v/>
      </c>
      <c r="K5617" s="10">
        <f t="shared" si="87"/>
        <v>72703</v>
      </c>
    </row>
    <row r="5618" spans="1:11">
      <c r="A5618" t="s">
        <v>2470</v>
      </c>
      <c r="B5618" s="10">
        <v>2020</v>
      </c>
      <c r="C5618" t="s">
        <v>1132</v>
      </c>
      <c r="D5618" t="s">
        <v>2472</v>
      </c>
      <c r="E5618" t="s">
        <v>2474</v>
      </c>
      <c r="F5618" t="s">
        <v>2389</v>
      </c>
      <c r="G5618" t="s">
        <v>2389</v>
      </c>
      <c r="H5618" s="10">
        <v>75285</v>
      </c>
      <c r="I5618" t="str">
        <f>IFERROR(VLOOKUP(Final!F5618,'LEAID Match'!$A$2:$B$374,2,FALSE),"")</f>
        <v/>
      </c>
      <c r="K5618" s="10">
        <f t="shared" si="87"/>
        <v>75285</v>
      </c>
    </row>
    <row r="5619" spans="1:11">
      <c r="A5619" t="s">
        <v>2470</v>
      </c>
      <c r="B5619" s="10">
        <v>2021</v>
      </c>
      <c r="C5619" t="s">
        <v>1132</v>
      </c>
      <c r="D5619" t="s">
        <v>2472</v>
      </c>
      <c r="E5619" t="s">
        <v>2474</v>
      </c>
      <c r="F5619" t="s">
        <v>2389</v>
      </c>
      <c r="G5619" t="s">
        <v>2389</v>
      </c>
      <c r="H5619" s="10">
        <v>91675</v>
      </c>
      <c r="I5619" t="str">
        <f>IFERROR(VLOOKUP(Final!F5619,'LEAID Match'!$A$2:$B$374,2,FALSE),"")</f>
        <v/>
      </c>
      <c r="K5619" s="10">
        <f t="shared" si="87"/>
        <v>91675</v>
      </c>
    </row>
    <row r="5620" spans="1:11">
      <c r="A5620" t="s">
        <v>2470</v>
      </c>
      <c r="B5620" s="10">
        <v>2022</v>
      </c>
      <c r="C5620" t="s">
        <v>1132</v>
      </c>
      <c r="D5620" t="s">
        <v>2472</v>
      </c>
      <c r="E5620" t="s">
        <v>2474</v>
      </c>
      <c r="F5620" t="s">
        <v>2389</v>
      </c>
      <c r="G5620" t="s">
        <v>2389</v>
      </c>
      <c r="H5620" s="10">
        <v>104354</v>
      </c>
      <c r="I5620" t="str">
        <f>IFERROR(VLOOKUP(Final!F5620,'LEAID Match'!$A$2:$B$374,2,FALSE),"")</f>
        <v/>
      </c>
      <c r="K5620" s="10">
        <f t="shared" si="87"/>
        <v>104354</v>
      </c>
    </row>
    <row r="5621" spans="1:11">
      <c r="A5621" t="s">
        <v>2470</v>
      </c>
      <c r="B5621" s="10">
        <v>2023</v>
      </c>
      <c r="C5621" t="s">
        <v>1132</v>
      </c>
      <c r="D5621" t="s">
        <v>2472</v>
      </c>
      <c r="E5621" t="s">
        <v>2474</v>
      </c>
      <c r="F5621" t="s">
        <v>2389</v>
      </c>
      <c r="G5621" t="s">
        <v>2389</v>
      </c>
      <c r="H5621" s="10">
        <v>110298</v>
      </c>
      <c r="I5621" t="str">
        <f>IFERROR(VLOOKUP(Final!F5621,'LEAID Match'!$A$2:$B$374,2,FALSE),"")</f>
        <v/>
      </c>
      <c r="K5621" s="10">
        <f t="shared" si="87"/>
        <v>110298</v>
      </c>
    </row>
    <row r="5622" spans="1:11">
      <c r="A5622" t="s">
        <v>2470</v>
      </c>
      <c r="B5622" s="10">
        <v>2015</v>
      </c>
      <c r="C5622" t="s">
        <v>934</v>
      </c>
      <c r="D5622" t="s">
        <v>2472</v>
      </c>
      <c r="E5622" t="s">
        <v>2474</v>
      </c>
      <c r="F5622" t="s">
        <v>1880</v>
      </c>
      <c r="G5622" t="s">
        <v>879</v>
      </c>
      <c r="H5622" s="10">
        <v>384772</v>
      </c>
      <c r="I5622" t="str">
        <f>IFERROR(VLOOKUP(Final!F5622,'LEAID Match'!$A$2:$B$374,2,FALSE),"")</f>
        <v/>
      </c>
      <c r="K5622" s="10">
        <f t="shared" si="87"/>
        <v>384772</v>
      </c>
    </row>
    <row r="5623" spans="1:11">
      <c r="A5623" t="s">
        <v>2470</v>
      </c>
      <c r="B5623" s="10">
        <v>2016</v>
      </c>
      <c r="C5623" t="s">
        <v>934</v>
      </c>
      <c r="D5623" t="s">
        <v>2472</v>
      </c>
      <c r="E5623" t="s">
        <v>2474</v>
      </c>
      <c r="F5623" t="s">
        <v>1880</v>
      </c>
      <c r="G5623" t="s">
        <v>879</v>
      </c>
      <c r="H5623" s="10">
        <v>403276</v>
      </c>
      <c r="I5623" t="str">
        <f>IFERROR(VLOOKUP(Final!F5623,'LEAID Match'!$A$2:$B$374,2,FALSE),"")</f>
        <v/>
      </c>
      <c r="K5623" s="10">
        <f t="shared" si="87"/>
        <v>403276</v>
      </c>
    </row>
    <row r="5624" spans="1:11">
      <c r="A5624" t="s">
        <v>2470</v>
      </c>
      <c r="B5624" s="10">
        <v>2017</v>
      </c>
      <c r="C5624" t="s">
        <v>934</v>
      </c>
      <c r="D5624" t="s">
        <v>2472</v>
      </c>
      <c r="E5624" t="s">
        <v>2474</v>
      </c>
      <c r="F5624" t="s">
        <v>1880</v>
      </c>
      <c r="G5624" t="s">
        <v>1880</v>
      </c>
      <c r="H5624" s="10">
        <v>431589</v>
      </c>
      <c r="I5624" t="str">
        <f>IFERROR(VLOOKUP(Final!F5624,'LEAID Match'!$A$2:$B$374,2,FALSE),"")</f>
        <v/>
      </c>
      <c r="K5624" s="10">
        <f t="shared" si="87"/>
        <v>431589</v>
      </c>
    </row>
    <row r="5625" spans="1:11">
      <c r="A5625" t="s">
        <v>2470</v>
      </c>
      <c r="B5625" s="10">
        <v>2018</v>
      </c>
      <c r="C5625" t="s">
        <v>934</v>
      </c>
      <c r="D5625" t="s">
        <v>2472</v>
      </c>
      <c r="E5625" t="s">
        <v>2474</v>
      </c>
      <c r="F5625" t="s">
        <v>1880</v>
      </c>
      <c r="G5625" t="s">
        <v>1880</v>
      </c>
      <c r="H5625" s="10">
        <v>458044</v>
      </c>
      <c r="I5625" t="str">
        <f>IFERROR(VLOOKUP(Final!F5625,'LEAID Match'!$A$2:$B$374,2,FALSE),"")</f>
        <v/>
      </c>
      <c r="K5625" s="10">
        <f t="shared" si="87"/>
        <v>458044</v>
      </c>
    </row>
    <row r="5626" spans="1:11">
      <c r="A5626" t="s">
        <v>2470</v>
      </c>
      <c r="B5626" s="10">
        <v>2019</v>
      </c>
      <c r="C5626" t="s">
        <v>934</v>
      </c>
      <c r="D5626" t="s">
        <v>2472</v>
      </c>
      <c r="E5626" t="s">
        <v>2474</v>
      </c>
      <c r="F5626" t="s">
        <v>1880</v>
      </c>
      <c r="G5626" t="s">
        <v>1880</v>
      </c>
      <c r="H5626" s="10">
        <v>471244</v>
      </c>
      <c r="I5626" t="str">
        <f>IFERROR(VLOOKUP(Final!F5626,'LEAID Match'!$A$2:$B$374,2,FALSE),"")</f>
        <v/>
      </c>
      <c r="K5626" s="10">
        <f t="shared" si="87"/>
        <v>471244</v>
      </c>
    </row>
    <row r="5627" spans="1:11">
      <c r="A5627" t="s">
        <v>2470</v>
      </c>
      <c r="B5627" s="10">
        <v>2020</v>
      </c>
      <c r="C5627" t="s">
        <v>934</v>
      </c>
      <c r="D5627" t="s">
        <v>2472</v>
      </c>
      <c r="E5627" t="s">
        <v>2474</v>
      </c>
      <c r="F5627" t="s">
        <v>1880</v>
      </c>
      <c r="G5627" t="s">
        <v>1880</v>
      </c>
      <c r="H5627" s="10">
        <v>506517</v>
      </c>
      <c r="I5627" t="str">
        <f>IFERROR(VLOOKUP(Final!F5627,'LEAID Match'!$A$2:$B$374,2,FALSE),"")</f>
        <v/>
      </c>
      <c r="K5627" s="10">
        <f t="shared" si="87"/>
        <v>506517</v>
      </c>
    </row>
    <row r="5628" spans="1:11">
      <c r="A5628" t="s">
        <v>2470</v>
      </c>
      <c r="B5628" s="10">
        <v>2021</v>
      </c>
      <c r="C5628" t="s">
        <v>934</v>
      </c>
      <c r="D5628" t="s">
        <v>2472</v>
      </c>
      <c r="E5628" t="s">
        <v>2474</v>
      </c>
      <c r="F5628" t="s">
        <v>1880</v>
      </c>
      <c r="G5628" t="s">
        <v>1880</v>
      </c>
      <c r="H5628" s="10">
        <v>501514</v>
      </c>
      <c r="I5628" t="str">
        <f>IFERROR(VLOOKUP(Final!F5628,'LEAID Match'!$A$2:$B$374,2,FALSE),"")</f>
        <v/>
      </c>
      <c r="K5628" s="10">
        <f t="shared" si="87"/>
        <v>501514</v>
      </c>
    </row>
    <row r="5629" spans="1:11">
      <c r="A5629" t="s">
        <v>2470</v>
      </c>
      <c r="B5629" s="10">
        <v>2022</v>
      </c>
      <c r="C5629" t="s">
        <v>934</v>
      </c>
      <c r="D5629" t="s">
        <v>2472</v>
      </c>
      <c r="E5629" t="s">
        <v>2474</v>
      </c>
      <c r="F5629" t="s">
        <v>1880</v>
      </c>
      <c r="G5629" t="s">
        <v>1880</v>
      </c>
      <c r="H5629" s="10">
        <v>503613</v>
      </c>
      <c r="I5629" t="str">
        <f>IFERROR(VLOOKUP(Final!F5629,'LEAID Match'!$A$2:$B$374,2,FALSE),"")</f>
        <v/>
      </c>
      <c r="K5629" s="10">
        <f t="shared" si="87"/>
        <v>503613</v>
      </c>
    </row>
    <row r="5630" spans="1:11">
      <c r="A5630" t="s">
        <v>2470</v>
      </c>
      <c r="B5630" s="10">
        <v>2023</v>
      </c>
      <c r="C5630" t="s">
        <v>934</v>
      </c>
      <c r="D5630" t="s">
        <v>2472</v>
      </c>
      <c r="E5630" t="s">
        <v>2474</v>
      </c>
      <c r="F5630" t="s">
        <v>1880</v>
      </c>
      <c r="G5630" t="s">
        <v>1880</v>
      </c>
      <c r="H5630" s="10">
        <v>502589</v>
      </c>
      <c r="I5630" t="str">
        <f>IFERROR(VLOOKUP(Final!F5630,'LEAID Match'!$A$2:$B$374,2,FALSE),"")</f>
        <v/>
      </c>
      <c r="K5630" s="10">
        <f t="shared" si="87"/>
        <v>502589</v>
      </c>
    </row>
    <row r="5631" spans="1:11">
      <c r="A5631" t="s">
        <v>2470</v>
      </c>
      <c r="B5631" s="10">
        <v>2015</v>
      </c>
      <c r="C5631" t="s">
        <v>353</v>
      </c>
      <c r="D5631" t="s">
        <v>2472</v>
      </c>
      <c r="E5631" t="s">
        <v>2474</v>
      </c>
      <c r="F5631" t="s">
        <v>1650</v>
      </c>
      <c r="G5631" t="s">
        <v>299</v>
      </c>
      <c r="H5631" s="10">
        <v>83126</v>
      </c>
      <c r="I5631" t="str">
        <f>IFERROR(VLOOKUP(Final!F5631,'LEAID Match'!$A$2:$B$374,2,FALSE),"")</f>
        <v/>
      </c>
      <c r="K5631" s="10">
        <f t="shared" si="87"/>
        <v>83126</v>
      </c>
    </row>
    <row r="5632" spans="1:11">
      <c r="A5632" t="s">
        <v>2470</v>
      </c>
      <c r="B5632" s="10">
        <v>2016</v>
      </c>
      <c r="C5632" t="s">
        <v>353</v>
      </c>
      <c r="D5632" t="s">
        <v>2472</v>
      </c>
      <c r="E5632" t="s">
        <v>2474</v>
      </c>
      <c r="F5632" t="s">
        <v>1650</v>
      </c>
      <c r="G5632" t="s">
        <v>299</v>
      </c>
      <c r="H5632" s="10">
        <v>89601</v>
      </c>
      <c r="I5632" t="str">
        <f>IFERROR(VLOOKUP(Final!F5632,'LEAID Match'!$A$2:$B$374,2,FALSE),"")</f>
        <v/>
      </c>
      <c r="K5632" s="10">
        <f t="shared" si="87"/>
        <v>89601</v>
      </c>
    </row>
    <row r="5633" spans="1:11">
      <c r="A5633" t="s">
        <v>2470</v>
      </c>
      <c r="B5633" s="10">
        <v>2017</v>
      </c>
      <c r="C5633" t="s">
        <v>353</v>
      </c>
      <c r="D5633" t="s">
        <v>2472</v>
      </c>
      <c r="E5633" t="s">
        <v>2474</v>
      </c>
      <c r="F5633" t="s">
        <v>1650</v>
      </c>
      <c r="G5633" t="s">
        <v>1650</v>
      </c>
      <c r="H5633" s="10">
        <v>88392</v>
      </c>
      <c r="I5633" t="str">
        <f>IFERROR(VLOOKUP(Final!F5633,'LEAID Match'!$A$2:$B$374,2,FALSE),"")</f>
        <v/>
      </c>
      <c r="K5633" s="10">
        <f t="shared" si="87"/>
        <v>88392</v>
      </c>
    </row>
    <row r="5634" spans="1:11">
      <c r="A5634" t="s">
        <v>2470</v>
      </c>
      <c r="B5634" s="10">
        <v>2018</v>
      </c>
      <c r="C5634" t="s">
        <v>353</v>
      </c>
      <c r="D5634" t="s">
        <v>2472</v>
      </c>
      <c r="E5634" t="s">
        <v>2474</v>
      </c>
      <c r="F5634" t="s">
        <v>1650</v>
      </c>
      <c r="G5634" t="s">
        <v>2145</v>
      </c>
      <c r="H5634" s="10">
        <v>58006</v>
      </c>
      <c r="I5634" t="str">
        <f>IFERROR(VLOOKUP(Final!F5634,'LEAID Match'!$A$2:$B$374,2,FALSE),"")</f>
        <v/>
      </c>
      <c r="K5634" s="10">
        <f t="shared" si="87"/>
        <v>58006</v>
      </c>
    </row>
    <row r="5635" spans="1:11">
      <c r="A5635" t="s">
        <v>2470</v>
      </c>
      <c r="B5635" s="10">
        <v>2019</v>
      </c>
      <c r="C5635" t="s">
        <v>353</v>
      </c>
      <c r="D5635" t="s">
        <v>2472</v>
      </c>
      <c r="E5635" t="s">
        <v>2474</v>
      </c>
      <c r="F5635" t="s">
        <v>1650</v>
      </c>
      <c r="G5635" t="s">
        <v>1650</v>
      </c>
      <c r="H5635" s="10">
        <v>59032</v>
      </c>
      <c r="I5635" t="str">
        <f>IFERROR(VLOOKUP(Final!F5635,'LEAID Match'!$A$2:$B$374,2,FALSE),"")</f>
        <v/>
      </c>
      <c r="K5635" s="10">
        <f t="shared" ref="K5635:K5698" si="88">SUM(H5635,J5635)</f>
        <v>59032</v>
      </c>
    </row>
    <row r="5636" spans="1:11">
      <c r="A5636" t="s">
        <v>2470</v>
      </c>
      <c r="B5636" s="10">
        <v>2020</v>
      </c>
      <c r="C5636" t="s">
        <v>353</v>
      </c>
      <c r="D5636" t="s">
        <v>2472</v>
      </c>
      <c r="E5636" t="s">
        <v>2474</v>
      </c>
      <c r="F5636" t="s">
        <v>1650</v>
      </c>
      <c r="G5636" t="s">
        <v>1650</v>
      </c>
      <c r="H5636" s="10">
        <v>56912</v>
      </c>
      <c r="I5636" t="str">
        <f>IFERROR(VLOOKUP(Final!F5636,'LEAID Match'!$A$2:$B$374,2,FALSE),"")</f>
        <v/>
      </c>
      <c r="K5636" s="10">
        <f t="shared" si="88"/>
        <v>56912</v>
      </c>
    </row>
    <row r="5637" spans="1:11">
      <c r="A5637" t="s">
        <v>2470</v>
      </c>
      <c r="B5637" s="10">
        <v>2021</v>
      </c>
      <c r="C5637" t="s">
        <v>353</v>
      </c>
      <c r="D5637" t="s">
        <v>2472</v>
      </c>
      <c r="E5637" t="s">
        <v>2474</v>
      </c>
      <c r="F5637" t="s">
        <v>1650</v>
      </c>
      <c r="G5637" t="s">
        <v>1650</v>
      </c>
      <c r="H5637" s="10">
        <v>56051</v>
      </c>
      <c r="I5637" t="str">
        <f>IFERROR(VLOOKUP(Final!F5637,'LEAID Match'!$A$2:$B$374,2,FALSE),"")</f>
        <v/>
      </c>
      <c r="K5637" s="10">
        <f t="shared" si="88"/>
        <v>56051</v>
      </c>
    </row>
    <row r="5638" spans="1:11">
      <c r="A5638" t="s">
        <v>2470</v>
      </c>
      <c r="B5638" s="10">
        <v>2022</v>
      </c>
      <c r="C5638" t="s">
        <v>353</v>
      </c>
      <c r="D5638" t="s">
        <v>2472</v>
      </c>
      <c r="E5638" t="s">
        <v>2474</v>
      </c>
      <c r="F5638" t="s">
        <v>1650</v>
      </c>
      <c r="G5638" t="s">
        <v>1650</v>
      </c>
      <c r="H5638" s="10">
        <v>48118</v>
      </c>
      <c r="I5638" t="str">
        <f>IFERROR(VLOOKUP(Final!F5638,'LEAID Match'!$A$2:$B$374,2,FALSE),"")</f>
        <v/>
      </c>
      <c r="K5638" s="10">
        <f t="shared" si="88"/>
        <v>48118</v>
      </c>
    </row>
    <row r="5639" spans="1:11">
      <c r="A5639" t="s">
        <v>2470</v>
      </c>
      <c r="B5639" s="10">
        <v>2023</v>
      </c>
      <c r="C5639" t="s">
        <v>353</v>
      </c>
      <c r="D5639" t="s">
        <v>2472</v>
      </c>
      <c r="E5639" t="s">
        <v>2474</v>
      </c>
      <c r="F5639" t="s">
        <v>1650</v>
      </c>
      <c r="G5639" t="s">
        <v>1650</v>
      </c>
      <c r="H5639" s="10">
        <v>64045</v>
      </c>
      <c r="I5639" t="str">
        <f>IFERROR(VLOOKUP(Final!F5639,'LEAID Match'!$A$2:$B$374,2,FALSE),"")</f>
        <v/>
      </c>
      <c r="K5639" s="10">
        <f t="shared" si="88"/>
        <v>64045</v>
      </c>
    </row>
    <row r="5640" spans="1:11">
      <c r="A5640" t="s">
        <v>2470</v>
      </c>
      <c r="B5640" s="10">
        <v>2015</v>
      </c>
      <c r="C5640" t="s">
        <v>783</v>
      </c>
      <c r="D5640" t="s">
        <v>2472</v>
      </c>
      <c r="E5640" t="s">
        <v>2474</v>
      </c>
      <c r="F5640" t="s">
        <v>1794</v>
      </c>
      <c r="G5640" t="s">
        <v>728</v>
      </c>
      <c r="H5640" s="10">
        <v>909726</v>
      </c>
      <c r="I5640" t="str">
        <f>IFERROR(VLOOKUP(Final!F5640,'LEAID Match'!$A$2:$B$374,2,FALSE),"")</f>
        <v/>
      </c>
      <c r="K5640" s="10">
        <f t="shared" si="88"/>
        <v>909726</v>
      </c>
    </row>
    <row r="5641" spans="1:11">
      <c r="A5641" t="s">
        <v>2470</v>
      </c>
      <c r="B5641" s="10">
        <v>2016</v>
      </c>
      <c r="C5641" t="s">
        <v>783</v>
      </c>
      <c r="D5641" t="s">
        <v>2472</v>
      </c>
      <c r="E5641" t="s">
        <v>2474</v>
      </c>
      <c r="F5641" t="s">
        <v>1794</v>
      </c>
      <c r="G5641" t="s">
        <v>728</v>
      </c>
      <c r="H5641" s="10">
        <v>941670</v>
      </c>
      <c r="I5641" t="str">
        <f>IFERROR(VLOOKUP(Final!F5641,'LEAID Match'!$A$2:$B$374,2,FALSE),"")</f>
        <v/>
      </c>
      <c r="K5641" s="10">
        <f t="shared" si="88"/>
        <v>941670</v>
      </c>
    </row>
    <row r="5642" spans="1:11">
      <c r="A5642" t="s">
        <v>2470</v>
      </c>
      <c r="B5642" s="10">
        <v>2017</v>
      </c>
      <c r="C5642" t="s">
        <v>783</v>
      </c>
      <c r="D5642" t="s">
        <v>2472</v>
      </c>
      <c r="E5642" t="s">
        <v>2474</v>
      </c>
      <c r="F5642" t="s">
        <v>1794</v>
      </c>
      <c r="G5642" t="s">
        <v>1794</v>
      </c>
      <c r="H5642" s="10">
        <v>973461</v>
      </c>
      <c r="I5642" t="str">
        <f>IFERROR(VLOOKUP(Final!F5642,'LEAID Match'!$A$2:$B$374,2,FALSE),"")</f>
        <v/>
      </c>
      <c r="K5642" s="10">
        <f t="shared" si="88"/>
        <v>973461</v>
      </c>
    </row>
    <row r="5643" spans="1:11">
      <c r="A5643" t="s">
        <v>2470</v>
      </c>
      <c r="B5643" s="10">
        <v>2018</v>
      </c>
      <c r="C5643" t="s">
        <v>783</v>
      </c>
      <c r="D5643" t="s">
        <v>2472</v>
      </c>
      <c r="E5643" t="s">
        <v>2474</v>
      </c>
      <c r="F5643" t="s">
        <v>1794</v>
      </c>
      <c r="G5643" t="s">
        <v>1794</v>
      </c>
      <c r="H5643" s="10">
        <v>991409</v>
      </c>
      <c r="I5643" t="str">
        <f>IFERROR(VLOOKUP(Final!F5643,'LEAID Match'!$A$2:$B$374,2,FALSE),"")</f>
        <v/>
      </c>
      <c r="K5643" s="10">
        <f t="shared" si="88"/>
        <v>991409</v>
      </c>
    </row>
    <row r="5644" spans="1:11">
      <c r="A5644" t="s">
        <v>2470</v>
      </c>
      <c r="B5644" s="10">
        <v>2019</v>
      </c>
      <c r="C5644" t="s">
        <v>783</v>
      </c>
      <c r="D5644" t="s">
        <v>2472</v>
      </c>
      <c r="E5644" t="s">
        <v>2474</v>
      </c>
      <c r="F5644" t="s">
        <v>1794</v>
      </c>
      <c r="G5644" t="s">
        <v>1794</v>
      </c>
      <c r="H5644" s="10">
        <v>1042647</v>
      </c>
      <c r="I5644" t="str">
        <f>IFERROR(VLOOKUP(Final!F5644,'LEAID Match'!$A$2:$B$374,2,FALSE),"")</f>
        <v/>
      </c>
      <c r="K5644" s="10">
        <f t="shared" si="88"/>
        <v>1042647</v>
      </c>
    </row>
    <row r="5645" spans="1:11">
      <c r="A5645" t="s">
        <v>2470</v>
      </c>
      <c r="B5645" s="10">
        <v>2020</v>
      </c>
      <c r="C5645" t="s">
        <v>783</v>
      </c>
      <c r="D5645" t="s">
        <v>2472</v>
      </c>
      <c r="E5645" t="s">
        <v>2474</v>
      </c>
      <c r="F5645" t="s">
        <v>1794</v>
      </c>
      <c r="G5645" t="s">
        <v>1794</v>
      </c>
      <c r="H5645" s="10">
        <v>1130800</v>
      </c>
      <c r="I5645" t="str">
        <f>IFERROR(VLOOKUP(Final!F5645,'LEAID Match'!$A$2:$B$374,2,FALSE),"")</f>
        <v/>
      </c>
      <c r="K5645" s="10">
        <f t="shared" si="88"/>
        <v>1130800</v>
      </c>
    </row>
    <row r="5646" spans="1:11">
      <c r="A5646" t="s">
        <v>2470</v>
      </c>
      <c r="B5646" s="10">
        <v>2021</v>
      </c>
      <c r="C5646" t="s">
        <v>783</v>
      </c>
      <c r="D5646" t="s">
        <v>2472</v>
      </c>
      <c r="E5646" t="s">
        <v>2474</v>
      </c>
      <c r="F5646" t="s">
        <v>1794</v>
      </c>
      <c r="G5646" t="s">
        <v>1794</v>
      </c>
      <c r="H5646" s="10">
        <v>1188814</v>
      </c>
      <c r="I5646" t="str">
        <f>IFERROR(VLOOKUP(Final!F5646,'LEAID Match'!$A$2:$B$374,2,FALSE),"")</f>
        <v/>
      </c>
      <c r="K5646" s="10">
        <f t="shared" si="88"/>
        <v>1188814</v>
      </c>
    </row>
    <row r="5647" spans="1:11">
      <c r="A5647" t="s">
        <v>2470</v>
      </c>
      <c r="B5647" s="10">
        <v>2022</v>
      </c>
      <c r="C5647" t="s">
        <v>783</v>
      </c>
      <c r="D5647" t="s">
        <v>2472</v>
      </c>
      <c r="E5647" t="s">
        <v>2474</v>
      </c>
      <c r="F5647" t="s">
        <v>1794</v>
      </c>
      <c r="G5647" t="s">
        <v>1794</v>
      </c>
      <c r="H5647" s="10">
        <v>1295507</v>
      </c>
      <c r="I5647" t="str">
        <f>IFERROR(VLOOKUP(Final!F5647,'LEAID Match'!$A$2:$B$374,2,FALSE),"")</f>
        <v/>
      </c>
      <c r="K5647" s="10">
        <f t="shared" si="88"/>
        <v>1295507</v>
      </c>
    </row>
    <row r="5648" spans="1:11">
      <c r="A5648" t="s">
        <v>2470</v>
      </c>
      <c r="B5648" s="10">
        <v>2023</v>
      </c>
      <c r="C5648" t="s">
        <v>783</v>
      </c>
      <c r="D5648" t="s">
        <v>2472</v>
      </c>
      <c r="E5648" t="s">
        <v>2474</v>
      </c>
      <c r="F5648" t="s">
        <v>1794</v>
      </c>
      <c r="G5648" t="s">
        <v>1794</v>
      </c>
      <c r="H5648" s="10">
        <v>1409694</v>
      </c>
      <c r="I5648" t="str">
        <f>IFERROR(VLOOKUP(Final!F5648,'LEAID Match'!$A$2:$B$374,2,FALSE),"")</f>
        <v/>
      </c>
      <c r="K5648" s="10">
        <f t="shared" si="88"/>
        <v>1409694</v>
      </c>
    </row>
    <row r="5649" spans="1:11">
      <c r="A5649" t="s">
        <v>2470</v>
      </c>
      <c r="B5649" s="10">
        <v>2015</v>
      </c>
      <c r="C5649" t="s">
        <v>824</v>
      </c>
      <c r="D5649" t="s">
        <v>2472</v>
      </c>
      <c r="E5649" t="s">
        <v>2474</v>
      </c>
      <c r="F5649" t="s">
        <v>1839</v>
      </c>
      <c r="G5649" t="s">
        <v>769</v>
      </c>
      <c r="H5649" s="10">
        <v>316817</v>
      </c>
      <c r="I5649" t="str">
        <f>IFERROR(VLOOKUP(Final!F5649,'LEAID Match'!$A$2:$B$374,2,FALSE),"")</f>
        <v/>
      </c>
      <c r="K5649" s="10">
        <f t="shared" si="88"/>
        <v>316817</v>
      </c>
    </row>
    <row r="5650" spans="1:11">
      <c r="A5650" t="s">
        <v>2470</v>
      </c>
      <c r="B5650" s="10">
        <v>2016</v>
      </c>
      <c r="C5650" t="s">
        <v>824</v>
      </c>
      <c r="D5650" t="s">
        <v>2472</v>
      </c>
      <c r="E5650" t="s">
        <v>2474</v>
      </c>
      <c r="F5650" t="s">
        <v>1839</v>
      </c>
      <c r="G5650" t="s">
        <v>769</v>
      </c>
      <c r="H5650" s="10">
        <v>339795</v>
      </c>
      <c r="I5650" t="str">
        <f>IFERROR(VLOOKUP(Final!F5650,'LEAID Match'!$A$2:$B$374,2,FALSE),"")</f>
        <v/>
      </c>
      <c r="K5650" s="10">
        <f t="shared" si="88"/>
        <v>339795</v>
      </c>
    </row>
    <row r="5651" spans="1:11">
      <c r="A5651" t="s">
        <v>2470</v>
      </c>
      <c r="B5651" s="10">
        <v>2017</v>
      </c>
      <c r="C5651" t="s">
        <v>824</v>
      </c>
      <c r="D5651" t="s">
        <v>2472</v>
      </c>
      <c r="E5651" t="s">
        <v>2474</v>
      </c>
      <c r="F5651" t="s">
        <v>1839</v>
      </c>
      <c r="G5651" t="s">
        <v>1839</v>
      </c>
      <c r="H5651" s="10">
        <v>344364</v>
      </c>
      <c r="I5651" t="str">
        <f>IFERROR(VLOOKUP(Final!F5651,'LEAID Match'!$A$2:$B$374,2,FALSE),"")</f>
        <v/>
      </c>
      <c r="K5651" s="10">
        <f t="shared" si="88"/>
        <v>344364</v>
      </c>
    </row>
    <row r="5652" spans="1:11">
      <c r="A5652" t="s">
        <v>2470</v>
      </c>
      <c r="B5652" s="10">
        <v>2018</v>
      </c>
      <c r="C5652" t="s">
        <v>824</v>
      </c>
      <c r="D5652" t="s">
        <v>2472</v>
      </c>
      <c r="E5652" t="s">
        <v>2474</v>
      </c>
      <c r="F5652" t="s">
        <v>1839</v>
      </c>
      <c r="G5652" t="s">
        <v>2259</v>
      </c>
      <c r="H5652" s="10">
        <v>345266</v>
      </c>
      <c r="I5652" t="str">
        <f>IFERROR(VLOOKUP(Final!F5652,'LEAID Match'!$A$2:$B$374,2,FALSE),"")</f>
        <v/>
      </c>
      <c r="K5652" s="10">
        <f t="shared" si="88"/>
        <v>345266</v>
      </c>
    </row>
    <row r="5653" spans="1:11">
      <c r="A5653" t="s">
        <v>2470</v>
      </c>
      <c r="B5653" s="10">
        <v>2019</v>
      </c>
      <c r="C5653" t="s">
        <v>824</v>
      </c>
      <c r="D5653" t="s">
        <v>2472</v>
      </c>
      <c r="E5653" t="s">
        <v>2474</v>
      </c>
      <c r="F5653" t="s">
        <v>1839</v>
      </c>
      <c r="G5653" t="s">
        <v>1839</v>
      </c>
      <c r="H5653" s="10">
        <v>375457</v>
      </c>
      <c r="I5653" t="str">
        <f>IFERROR(VLOOKUP(Final!F5653,'LEAID Match'!$A$2:$B$374,2,FALSE),"")</f>
        <v/>
      </c>
      <c r="K5653" s="10">
        <f t="shared" si="88"/>
        <v>375457</v>
      </c>
    </row>
    <row r="5654" spans="1:11">
      <c r="A5654" t="s">
        <v>2470</v>
      </c>
      <c r="B5654" s="10">
        <v>2020</v>
      </c>
      <c r="C5654" t="s">
        <v>824</v>
      </c>
      <c r="D5654" t="s">
        <v>2472</v>
      </c>
      <c r="E5654" t="s">
        <v>2474</v>
      </c>
      <c r="F5654" t="s">
        <v>1839</v>
      </c>
      <c r="G5654" t="s">
        <v>1839</v>
      </c>
      <c r="H5654" s="10">
        <v>408354</v>
      </c>
      <c r="I5654" t="str">
        <f>IFERROR(VLOOKUP(Final!F5654,'LEAID Match'!$A$2:$B$374,2,FALSE),"")</f>
        <v/>
      </c>
      <c r="K5654" s="10">
        <f t="shared" si="88"/>
        <v>408354</v>
      </c>
    </row>
    <row r="5655" spans="1:11">
      <c r="A5655" t="s">
        <v>2470</v>
      </c>
      <c r="B5655" s="10">
        <v>2021</v>
      </c>
      <c r="C5655" t="s">
        <v>824</v>
      </c>
      <c r="D5655" t="s">
        <v>2472</v>
      </c>
      <c r="E5655" t="s">
        <v>2474</v>
      </c>
      <c r="F5655" t="s">
        <v>1839</v>
      </c>
      <c r="G5655" t="s">
        <v>1839</v>
      </c>
      <c r="H5655" s="10">
        <v>417147</v>
      </c>
      <c r="I5655" t="str">
        <f>IFERROR(VLOOKUP(Final!F5655,'LEAID Match'!$A$2:$B$374,2,FALSE),"")</f>
        <v/>
      </c>
      <c r="K5655" s="10">
        <f t="shared" si="88"/>
        <v>417147</v>
      </c>
    </row>
    <row r="5656" spans="1:11">
      <c r="A5656" t="s">
        <v>2470</v>
      </c>
      <c r="B5656" s="10">
        <v>2022</v>
      </c>
      <c r="C5656" t="s">
        <v>824</v>
      </c>
      <c r="D5656" t="s">
        <v>2472</v>
      </c>
      <c r="E5656" t="s">
        <v>2474</v>
      </c>
      <c r="F5656" t="s">
        <v>1839</v>
      </c>
      <c r="G5656" t="s">
        <v>1839</v>
      </c>
      <c r="H5656" s="10">
        <v>442889</v>
      </c>
      <c r="I5656" t="str">
        <f>IFERROR(VLOOKUP(Final!F5656,'LEAID Match'!$A$2:$B$374,2,FALSE),"")</f>
        <v/>
      </c>
      <c r="K5656" s="10">
        <f t="shared" si="88"/>
        <v>442889</v>
      </c>
    </row>
    <row r="5657" spans="1:11">
      <c r="A5657" t="s">
        <v>2470</v>
      </c>
      <c r="B5657" s="10">
        <v>2023</v>
      </c>
      <c r="C5657" t="s">
        <v>824</v>
      </c>
      <c r="D5657" t="s">
        <v>2472</v>
      </c>
      <c r="E5657" t="s">
        <v>2474</v>
      </c>
      <c r="F5657" t="s">
        <v>1839</v>
      </c>
      <c r="G5657" t="s">
        <v>1839</v>
      </c>
      <c r="H5657" s="10">
        <v>475677</v>
      </c>
      <c r="I5657" t="str">
        <f>IFERROR(VLOOKUP(Final!F5657,'LEAID Match'!$A$2:$B$374,2,FALSE),"")</f>
        <v/>
      </c>
      <c r="K5657" s="10">
        <f t="shared" si="88"/>
        <v>475677</v>
      </c>
    </row>
    <row r="5658" spans="1:11">
      <c r="A5658" t="s">
        <v>2470</v>
      </c>
      <c r="B5658" s="10">
        <v>2015</v>
      </c>
      <c r="C5658" t="s">
        <v>713</v>
      </c>
      <c r="D5658" t="s">
        <v>2472</v>
      </c>
      <c r="E5658" t="s">
        <v>2474</v>
      </c>
      <c r="F5658" t="s">
        <v>1779</v>
      </c>
      <c r="G5658" t="s">
        <v>658</v>
      </c>
      <c r="H5658" s="10">
        <v>127877</v>
      </c>
      <c r="I5658" t="str">
        <f>IFERROR(VLOOKUP(Final!F5658,'LEAID Match'!$A$2:$B$374,2,FALSE),"")</f>
        <v/>
      </c>
      <c r="K5658" s="10">
        <f t="shared" si="88"/>
        <v>127877</v>
      </c>
    </row>
    <row r="5659" spans="1:11">
      <c r="A5659" t="s">
        <v>2470</v>
      </c>
      <c r="B5659" s="10">
        <v>2016</v>
      </c>
      <c r="C5659" t="s">
        <v>713</v>
      </c>
      <c r="D5659" t="s">
        <v>2472</v>
      </c>
      <c r="E5659" t="s">
        <v>2474</v>
      </c>
      <c r="F5659" t="s">
        <v>1779</v>
      </c>
      <c r="G5659" t="s">
        <v>658</v>
      </c>
      <c r="H5659" s="10">
        <v>135805</v>
      </c>
      <c r="I5659" t="str">
        <f>IFERROR(VLOOKUP(Final!F5659,'LEAID Match'!$A$2:$B$374,2,FALSE),"")</f>
        <v/>
      </c>
      <c r="K5659" s="10">
        <f t="shared" si="88"/>
        <v>135805</v>
      </c>
    </row>
    <row r="5660" spans="1:11">
      <c r="A5660" t="s">
        <v>2470</v>
      </c>
      <c r="B5660" s="10">
        <v>2017</v>
      </c>
      <c r="C5660" t="s">
        <v>713</v>
      </c>
      <c r="D5660" t="s">
        <v>2472</v>
      </c>
      <c r="E5660" t="s">
        <v>2474</v>
      </c>
      <c r="F5660" t="s">
        <v>1779</v>
      </c>
      <c r="G5660" t="s">
        <v>1779</v>
      </c>
      <c r="H5660" s="10">
        <v>139060</v>
      </c>
      <c r="I5660" t="str">
        <f>IFERROR(VLOOKUP(Final!F5660,'LEAID Match'!$A$2:$B$374,2,FALSE),"")</f>
        <v/>
      </c>
      <c r="K5660" s="10">
        <f t="shared" si="88"/>
        <v>139060</v>
      </c>
    </row>
    <row r="5661" spans="1:11">
      <c r="A5661" t="s">
        <v>2470</v>
      </c>
      <c r="B5661" s="10">
        <v>2018</v>
      </c>
      <c r="C5661" t="s">
        <v>713</v>
      </c>
      <c r="D5661" t="s">
        <v>2472</v>
      </c>
      <c r="E5661" t="s">
        <v>2474</v>
      </c>
      <c r="F5661" t="s">
        <v>1779</v>
      </c>
      <c r="G5661" t="s">
        <v>1779</v>
      </c>
      <c r="H5661" s="10">
        <v>150028</v>
      </c>
      <c r="I5661" t="str">
        <f>IFERROR(VLOOKUP(Final!F5661,'LEAID Match'!$A$2:$B$374,2,FALSE),"")</f>
        <v/>
      </c>
      <c r="K5661" s="10">
        <f t="shared" si="88"/>
        <v>150028</v>
      </c>
    </row>
    <row r="5662" spans="1:11">
      <c r="A5662" t="s">
        <v>2470</v>
      </c>
      <c r="B5662" s="10">
        <v>2019</v>
      </c>
      <c r="C5662" t="s">
        <v>713</v>
      </c>
      <c r="D5662" t="s">
        <v>2472</v>
      </c>
      <c r="E5662" t="s">
        <v>2474</v>
      </c>
      <c r="F5662" t="s">
        <v>1779</v>
      </c>
      <c r="G5662" t="s">
        <v>1779</v>
      </c>
      <c r="H5662" s="10">
        <v>153657</v>
      </c>
      <c r="I5662" t="str">
        <f>IFERROR(VLOOKUP(Final!F5662,'LEAID Match'!$A$2:$B$374,2,FALSE),"")</f>
        <v/>
      </c>
      <c r="K5662" s="10">
        <f t="shared" si="88"/>
        <v>153657</v>
      </c>
    </row>
    <row r="5663" spans="1:11">
      <c r="A5663" t="s">
        <v>2470</v>
      </c>
      <c r="B5663" s="10">
        <v>2020</v>
      </c>
      <c r="C5663" t="s">
        <v>713</v>
      </c>
      <c r="D5663" t="s">
        <v>2472</v>
      </c>
      <c r="E5663" t="s">
        <v>2474</v>
      </c>
      <c r="F5663" t="s">
        <v>1779</v>
      </c>
      <c r="G5663" t="s">
        <v>1779</v>
      </c>
      <c r="H5663" s="10">
        <v>156523</v>
      </c>
      <c r="I5663" t="str">
        <f>IFERROR(VLOOKUP(Final!F5663,'LEAID Match'!$A$2:$B$374,2,FALSE),"")</f>
        <v/>
      </c>
      <c r="K5663" s="10">
        <f t="shared" si="88"/>
        <v>156523</v>
      </c>
    </row>
    <row r="5664" spans="1:11">
      <c r="A5664" t="s">
        <v>2470</v>
      </c>
      <c r="B5664" s="10">
        <v>2021</v>
      </c>
      <c r="C5664" t="s">
        <v>713</v>
      </c>
      <c r="D5664" t="s">
        <v>2472</v>
      </c>
      <c r="E5664" t="s">
        <v>2474</v>
      </c>
      <c r="F5664" t="s">
        <v>1779</v>
      </c>
      <c r="G5664" t="s">
        <v>1779</v>
      </c>
      <c r="H5664" s="10">
        <v>163367</v>
      </c>
      <c r="I5664" t="str">
        <f>IFERROR(VLOOKUP(Final!F5664,'LEAID Match'!$A$2:$B$374,2,FALSE),"")</f>
        <v/>
      </c>
      <c r="K5664" s="10">
        <f t="shared" si="88"/>
        <v>163367</v>
      </c>
    </row>
    <row r="5665" spans="1:11">
      <c r="A5665" t="s">
        <v>2470</v>
      </c>
      <c r="B5665" s="10">
        <v>2022</v>
      </c>
      <c r="C5665" t="s">
        <v>713</v>
      </c>
      <c r="D5665" t="s">
        <v>2472</v>
      </c>
      <c r="E5665" t="s">
        <v>2474</v>
      </c>
      <c r="F5665" t="s">
        <v>1779</v>
      </c>
      <c r="G5665" t="s">
        <v>1779</v>
      </c>
      <c r="H5665" s="10">
        <v>179721</v>
      </c>
      <c r="I5665" t="str">
        <f>IFERROR(VLOOKUP(Final!F5665,'LEAID Match'!$A$2:$B$374,2,FALSE),"")</f>
        <v/>
      </c>
      <c r="K5665" s="10">
        <f t="shared" si="88"/>
        <v>179721</v>
      </c>
    </row>
    <row r="5666" spans="1:11">
      <c r="A5666" t="s">
        <v>2470</v>
      </c>
      <c r="B5666" s="10">
        <v>2023</v>
      </c>
      <c r="C5666" t="s">
        <v>713</v>
      </c>
      <c r="D5666" t="s">
        <v>2472</v>
      </c>
      <c r="E5666" t="s">
        <v>2474</v>
      </c>
      <c r="F5666" t="s">
        <v>1779</v>
      </c>
      <c r="G5666" t="s">
        <v>1779</v>
      </c>
      <c r="H5666" s="10">
        <v>182993</v>
      </c>
      <c r="I5666" t="str">
        <f>IFERROR(VLOOKUP(Final!F5666,'LEAID Match'!$A$2:$B$374,2,FALSE),"")</f>
        <v/>
      </c>
      <c r="K5666" s="10">
        <f t="shared" si="88"/>
        <v>182993</v>
      </c>
    </row>
    <row r="5667" spans="1:11">
      <c r="A5667" t="s">
        <v>2470</v>
      </c>
      <c r="B5667" s="10">
        <v>2015</v>
      </c>
      <c r="C5667" t="s">
        <v>772</v>
      </c>
      <c r="D5667" t="s">
        <v>2472</v>
      </c>
      <c r="E5667" t="s">
        <v>2474</v>
      </c>
      <c r="F5667" t="s">
        <v>1783</v>
      </c>
      <c r="G5667" t="s">
        <v>717</v>
      </c>
      <c r="H5667" s="10">
        <v>31666</v>
      </c>
      <c r="I5667" t="str">
        <f>IFERROR(VLOOKUP(Final!F5667,'LEAID Match'!$A$2:$B$374,2,FALSE),"")</f>
        <v/>
      </c>
      <c r="K5667" s="10">
        <f t="shared" si="88"/>
        <v>31666</v>
      </c>
    </row>
    <row r="5668" spans="1:11">
      <c r="A5668" t="s">
        <v>2470</v>
      </c>
      <c r="B5668" s="10">
        <v>2016</v>
      </c>
      <c r="C5668" t="s">
        <v>772</v>
      </c>
      <c r="D5668" t="s">
        <v>2472</v>
      </c>
      <c r="E5668" t="s">
        <v>2474</v>
      </c>
      <c r="F5668" t="s">
        <v>1783</v>
      </c>
      <c r="G5668" t="s">
        <v>717</v>
      </c>
      <c r="H5668" s="10"/>
      <c r="I5668" t="str">
        <f>IFERROR(VLOOKUP(Final!F5668,'LEAID Match'!$A$2:$B$374,2,FALSE),"")</f>
        <v/>
      </c>
      <c r="K5668" s="10">
        <f t="shared" si="88"/>
        <v>0</v>
      </c>
    </row>
    <row r="5669" spans="1:11">
      <c r="A5669" t="s">
        <v>2470</v>
      </c>
      <c r="B5669" s="10">
        <v>2017</v>
      </c>
      <c r="C5669" t="s">
        <v>772</v>
      </c>
      <c r="D5669" t="s">
        <v>2472</v>
      </c>
      <c r="E5669" t="s">
        <v>2474</v>
      </c>
      <c r="F5669" t="s">
        <v>1783</v>
      </c>
      <c r="G5669" t="s">
        <v>1783</v>
      </c>
      <c r="H5669" s="10"/>
      <c r="I5669" t="str">
        <f>IFERROR(VLOOKUP(Final!F5669,'LEAID Match'!$A$2:$B$374,2,FALSE),"")</f>
        <v/>
      </c>
      <c r="K5669" s="10">
        <f t="shared" si="88"/>
        <v>0</v>
      </c>
    </row>
    <row r="5670" spans="1:11">
      <c r="A5670" t="s">
        <v>2470</v>
      </c>
      <c r="B5670" s="10">
        <v>2018</v>
      </c>
      <c r="C5670" t="s">
        <v>772</v>
      </c>
      <c r="D5670" t="s">
        <v>2472</v>
      </c>
      <c r="E5670" t="s">
        <v>2474</v>
      </c>
      <c r="F5670" t="s">
        <v>1783</v>
      </c>
      <c r="G5670" t="s">
        <v>1783</v>
      </c>
      <c r="H5670" s="10"/>
      <c r="I5670" t="str">
        <f>IFERROR(VLOOKUP(Final!F5670,'LEAID Match'!$A$2:$B$374,2,FALSE),"")</f>
        <v/>
      </c>
      <c r="K5670" s="10">
        <f t="shared" si="88"/>
        <v>0</v>
      </c>
    </row>
    <row r="5671" spans="1:11">
      <c r="A5671" t="s">
        <v>2470</v>
      </c>
      <c r="B5671" s="10">
        <v>2019</v>
      </c>
      <c r="C5671" t="s">
        <v>772</v>
      </c>
      <c r="D5671" t="s">
        <v>2472</v>
      </c>
      <c r="E5671" t="s">
        <v>2474</v>
      </c>
      <c r="F5671" t="s">
        <v>1783</v>
      </c>
      <c r="G5671" t="s">
        <v>1783</v>
      </c>
      <c r="H5671" s="10"/>
      <c r="I5671" t="str">
        <f>IFERROR(VLOOKUP(Final!F5671,'LEAID Match'!$A$2:$B$374,2,FALSE),"")</f>
        <v/>
      </c>
      <c r="K5671" s="10">
        <f t="shared" si="88"/>
        <v>0</v>
      </c>
    </row>
    <row r="5672" spans="1:11">
      <c r="A5672" t="s">
        <v>2470</v>
      </c>
      <c r="B5672" s="10">
        <v>2015</v>
      </c>
      <c r="C5672" t="s">
        <v>1333</v>
      </c>
      <c r="D5672" t="s">
        <v>2472</v>
      </c>
      <c r="E5672" t="s">
        <v>2474</v>
      </c>
      <c r="F5672" t="s">
        <v>2015</v>
      </c>
      <c r="G5672" t="s">
        <v>1285</v>
      </c>
      <c r="H5672" s="10"/>
      <c r="I5672" t="str">
        <f>IFERROR(VLOOKUP(Final!F5672,'LEAID Match'!$A$2:$B$374,2,FALSE),"")</f>
        <v/>
      </c>
      <c r="K5672" s="10">
        <f t="shared" si="88"/>
        <v>0</v>
      </c>
    </row>
    <row r="5673" spans="1:11">
      <c r="A5673" t="s">
        <v>2470</v>
      </c>
      <c r="B5673" s="10">
        <v>2016</v>
      </c>
      <c r="C5673" t="s">
        <v>1333</v>
      </c>
      <c r="D5673" t="s">
        <v>2472</v>
      </c>
      <c r="E5673" t="s">
        <v>2474</v>
      </c>
      <c r="F5673" t="s">
        <v>2015</v>
      </c>
      <c r="G5673" t="s">
        <v>1285</v>
      </c>
      <c r="H5673" s="10">
        <v>1660</v>
      </c>
      <c r="I5673" t="str">
        <f>IFERROR(VLOOKUP(Final!F5673,'LEAID Match'!$A$2:$B$374,2,FALSE),"")</f>
        <v/>
      </c>
      <c r="K5673" s="10">
        <f t="shared" si="88"/>
        <v>1660</v>
      </c>
    </row>
    <row r="5674" spans="1:11">
      <c r="A5674" t="s">
        <v>2470</v>
      </c>
      <c r="B5674" s="10">
        <v>2017</v>
      </c>
      <c r="C5674" t="s">
        <v>1333</v>
      </c>
      <c r="D5674" t="s">
        <v>2472</v>
      </c>
      <c r="E5674" t="s">
        <v>2474</v>
      </c>
      <c r="F5674" t="s">
        <v>2015</v>
      </c>
      <c r="G5674" t="s">
        <v>2015</v>
      </c>
      <c r="H5674" s="10">
        <v>5529</v>
      </c>
      <c r="I5674" t="str">
        <f>IFERROR(VLOOKUP(Final!F5674,'LEAID Match'!$A$2:$B$374,2,FALSE),"")</f>
        <v/>
      </c>
      <c r="K5674" s="10">
        <f t="shared" si="88"/>
        <v>5529</v>
      </c>
    </row>
    <row r="5675" spans="1:11">
      <c r="A5675" t="s">
        <v>2470</v>
      </c>
      <c r="B5675" s="10">
        <v>2018</v>
      </c>
      <c r="C5675" t="s">
        <v>1333</v>
      </c>
      <c r="D5675" t="s">
        <v>2472</v>
      </c>
      <c r="E5675" t="s">
        <v>2474</v>
      </c>
      <c r="F5675" t="s">
        <v>2015</v>
      </c>
      <c r="G5675" t="s">
        <v>2338</v>
      </c>
      <c r="H5675" s="10">
        <v>4664</v>
      </c>
      <c r="I5675" t="str">
        <f>IFERROR(VLOOKUP(Final!F5675,'LEAID Match'!$A$2:$B$374,2,FALSE),"")</f>
        <v/>
      </c>
      <c r="K5675" s="10">
        <f t="shared" si="88"/>
        <v>4664</v>
      </c>
    </row>
    <row r="5676" spans="1:11">
      <c r="A5676" t="s">
        <v>2470</v>
      </c>
      <c r="B5676" s="10">
        <v>2019</v>
      </c>
      <c r="C5676" t="s">
        <v>1333</v>
      </c>
      <c r="D5676" t="s">
        <v>2472</v>
      </c>
      <c r="E5676" t="s">
        <v>2474</v>
      </c>
      <c r="F5676" t="s">
        <v>2015</v>
      </c>
      <c r="G5676" t="s">
        <v>2396</v>
      </c>
      <c r="H5676" s="10">
        <v>5411</v>
      </c>
      <c r="I5676" t="str">
        <f>IFERROR(VLOOKUP(Final!F5676,'LEAID Match'!$A$2:$B$374,2,FALSE),"")</f>
        <v/>
      </c>
      <c r="K5676" s="10">
        <f t="shared" si="88"/>
        <v>5411</v>
      </c>
    </row>
    <row r="5677" spans="1:11">
      <c r="A5677" t="s">
        <v>2470</v>
      </c>
      <c r="B5677" s="10">
        <v>2020</v>
      </c>
      <c r="C5677" t="s">
        <v>1333</v>
      </c>
      <c r="D5677" t="s">
        <v>2472</v>
      </c>
      <c r="E5677" t="s">
        <v>2474</v>
      </c>
      <c r="F5677" t="s">
        <v>2015</v>
      </c>
      <c r="G5677" t="s">
        <v>2015</v>
      </c>
      <c r="H5677" s="10">
        <v>6078</v>
      </c>
      <c r="I5677" t="str">
        <f>IFERROR(VLOOKUP(Final!F5677,'LEAID Match'!$A$2:$B$374,2,FALSE),"")</f>
        <v/>
      </c>
      <c r="K5677" s="10">
        <f t="shared" si="88"/>
        <v>6078</v>
      </c>
    </row>
    <row r="5678" spans="1:11">
      <c r="A5678" t="s">
        <v>2470</v>
      </c>
      <c r="B5678" s="10">
        <v>2021</v>
      </c>
      <c r="C5678" t="s">
        <v>1333</v>
      </c>
      <c r="D5678" t="s">
        <v>2472</v>
      </c>
      <c r="E5678" t="s">
        <v>2474</v>
      </c>
      <c r="F5678" t="s">
        <v>2015</v>
      </c>
      <c r="G5678" t="s">
        <v>2396</v>
      </c>
      <c r="H5678" s="10">
        <v>6165</v>
      </c>
      <c r="I5678" t="str">
        <f>IFERROR(VLOOKUP(Final!F5678,'LEAID Match'!$A$2:$B$374,2,FALSE),"")</f>
        <v/>
      </c>
      <c r="K5678" s="10">
        <f t="shared" si="88"/>
        <v>6165</v>
      </c>
    </row>
    <row r="5679" spans="1:11">
      <c r="A5679" t="s">
        <v>2470</v>
      </c>
      <c r="B5679" s="10">
        <v>2022</v>
      </c>
      <c r="C5679" t="s">
        <v>1333</v>
      </c>
      <c r="D5679" t="s">
        <v>2472</v>
      </c>
      <c r="E5679" t="s">
        <v>2474</v>
      </c>
      <c r="F5679" t="s">
        <v>2015</v>
      </c>
      <c r="G5679" t="s">
        <v>2396</v>
      </c>
      <c r="H5679" s="10">
        <v>6488</v>
      </c>
      <c r="I5679" t="str">
        <f>IFERROR(VLOOKUP(Final!F5679,'LEAID Match'!$A$2:$B$374,2,FALSE),"")</f>
        <v/>
      </c>
      <c r="K5679" s="10">
        <f t="shared" si="88"/>
        <v>6488</v>
      </c>
    </row>
    <row r="5680" spans="1:11">
      <c r="A5680" t="s">
        <v>2470</v>
      </c>
      <c r="B5680" s="10">
        <v>2023</v>
      </c>
      <c r="C5680" t="s">
        <v>1333</v>
      </c>
      <c r="D5680" t="s">
        <v>2472</v>
      </c>
      <c r="E5680" t="s">
        <v>2474</v>
      </c>
      <c r="F5680" t="s">
        <v>2015</v>
      </c>
      <c r="G5680" t="s">
        <v>2015</v>
      </c>
      <c r="H5680" s="10">
        <v>6623</v>
      </c>
      <c r="I5680" t="str">
        <f>IFERROR(VLOOKUP(Final!F5680,'LEAID Match'!$A$2:$B$374,2,FALSE),"")</f>
        <v/>
      </c>
      <c r="K5680" s="10">
        <f t="shared" si="88"/>
        <v>6623</v>
      </c>
    </row>
    <row r="5681" spans="1:11">
      <c r="A5681" t="s">
        <v>2470</v>
      </c>
      <c r="B5681" s="10">
        <v>2015</v>
      </c>
      <c r="C5681" t="s">
        <v>1149</v>
      </c>
      <c r="D5681" t="s">
        <v>2472</v>
      </c>
      <c r="E5681" t="s">
        <v>2474</v>
      </c>
      <c r="F5681" t="s">
        <v>1094</v>
      </c>
      <c r="G5681" t="s">
        <v>1094</v>
      </c>
      <c r="H5681" s="10">
        <v>86446</v>
      </c>
      <c r="I5681" t="str">
        <f>IFERROR(VLOOKUP(Final!F5681,'LEAID Match'!$A$2:$B$374,2,FALSE),"")</f>
        <v/>
      </c>
      <c r="K5681" s="10">
        <f t="shared" si="88"/>
        <v>86446</v>
      </c>
    </row>
    <row r="5682" spans="1:11">
      <c r="A5682" t="s">
        <v>2470</v>
      </c>
      <c r="B5682" s="10">
        <v>2016</v>
      </c>
      <c r="C5682" t="s">
        <v>1149</v>
      </c>
      <c r="D5682" t="s">
        <v>2472</v>
      </c>
      <c r="E5682" t="s">
        <v>2474</v>
      </c>
      <c r="F5682" t="s">
        <v>1094</v>
      </c>
      <c r="G5682" t="s">
        <v>1094</v>
      </c>
      <c r="H5682" s="10">
        <v>144705</v>
      </c>
      <c r="I5682" t="str">
        <f>IFERROR(VLOOKUP(Final!F5682,'LEAID Match'!$A$2:$B$374,2,FALSE),"")</f>
        <v/>
      </c>
      <c r="K5682" s="10">
        <f t="shared" si="88"/>
        <v>144705</v>
      </c>
    </row>
    <row r="5683" spans="1:11">
      <c r="A5683" t="s">
        <v>2470</v>
      </c>
      <c r="B5683" s="10">
        <v>2017</v>
      </c>
      <c r="C5683" t="s">
        <v>1149</v>
      </c>
      <c r="D5683" t="s">
        <v>2472</v>
      </c>
      <c r="E5683" t="s">
        <v>2474</v>
      </c>
      <c r="F5683" t="s">
        <v>1094</v>
      </c>
      <c r="G5683" t="s">
        <v>1094</v>
      </c>
      <c r="H5683" s="10">
        <v>185816</v>
      </c>
      <c r="I5683" t="str">
        <f>IFERROR(VLOOKUP(Final!F5683,'LEAID Match'!$A$2:$B$374,2,FALSE),"")</f>
        <v/>
      </c>
      <c r="K5683" s="10">
        <f t="shared" si="88"/>
        <v>185816</v>
      </c>
    </row>
    <row r="5684" spans="1:11">
      <c r="A5684" t="s">
        <v>2470</v>
      </c>
      <c r="B5684" s="10">
        <v>2018</v>
      </c>
      <c r="C5684" t="s">
        <v>1149</v>
      </c>
      <c r="D5684" t="s">
        <v>2472</v>
      </c>
      <c r="E5684" t="s">
        <v>2474</v>
      </c>
      <c r="F5684" t="s">
        <v>1094</v>
      </c>
      <c r="G5684" t="s">
        <v>2321</v>
      </c>
      <c r="H5684" s="10">
        <v>204197</v>
      </c>
      <c r="I5684" t="str">
        <f>IFERROR(VLOOKUP(Final!F5684,'LEAID Match'!$A$2:$B$374,2,FALSE),"")</f>
        <v/>
      </c>
      <c r="K5684" s="10">
        <f t="shared" si="88"/>
        <v>204197</v>
      </c>
    </row>
    <row r="5685" spans="1:11">
      <c r="A5685" t="s">
        <v>2470</v>
      </c>
      <c r="B5685" s="10">
        <v>2019</v>
      </c>
      <c r="C5685" t="s">
        <v>1149</v>
      </c>
      <c r="D5685" t="s">
        <v>2472</v>
      </c>
      <c r="E5685" t="s">
        <v>2474</v>
      </c>
      <c r="F5685" t="s">
        <v>1094</v>
      </c>
      <c r="G5685" t="s">
        <v>1094</v>
      </c>
      <c r="H5685" s="10">
        <v>236376</v>
      </c>
      <c r="I5685" t="str">
        <f>IFERROR(VLOOKUP(Final!F5685,'LEAID Match'!$A$2:$B$374,2,FALSE),"")</f>
        <v/>
      </c>
      <c r="K5685" s="10">
        <f t="shared" si="88"/>
        <v>236376</v>
      </c>
    </row>
    <row r="5686" spans="1:11">
      <c r="A5686" t="s">
        <v>2470</v>
      </c>
      <c r="B5686" s="10">
        <v>2020</v>
      </c>
      <c r="C5686" t="s">
        <v>1149</v>
      </c>
      <c r="D5686" t="s">
        <v>2472</v>
      </c>
      <c r="E5686" t="s">
        <v>2474</v>
      </c>
      <c r="F5686" t="s">
        <v>1094</v>
      </c>
      <c r="G5686" t="s">
        <v>1094</v>
      </c>
      <c r="H5686" s="10">
        <v>256989</v>
      </c>
      <c r="I5686" t="str">
        <f>IFERROR(VLOOKUP(Final!F5686,'LEAID Match'!$A$2:$B$374,2,FALSE),"")</f>
        <v/>
      </c>
      <c r="K5686" s="10">
        <f t="shared" si="88"/>
        <v>256989</v>
      </c>
    </row>
    <row r="5687" spans="1:11">
      <c r="A5687" t="s">
        <v>2470</v>
      </c>
      <c r="B5687" s="10">
        <v>2021</v>
      </c>
      <c r="C5687" t="s">
        <v>1149</v>
      </c>
      <c r="D5687" t="s">
        <v>2472</v>
      </c>
      <c r="E5687" t="s">
        <v>2474</v>
      </c>
      <c r="F5687" t="s">
        <v>1094</v>
      </c>
      <c r="G5687" t="s">
        <v>1094</v>
      </c>
      <c r="H5687" s="10">
        <v>269646</v>
      </c>
      <c r="I5687" t="str">
        <f>IFERROR(VLOOKUP(Final!F5687,'LEAID Match'!$A$2:$B$374,2,FALSE),"")</f>
        <v/>
      </c>
      <c r="K5687" s="10">
        <f t="shared" si="88"/>
        <v>269646</v>
      </c>
    </row>
    <row r="5688" spans="1:11">
      <c r="A5688" t="s">
        <v>2470</v>
      </c>
      <c r="B5688" s="10">
        <v>2022</v>
      </c>
      <c r="C5688" t="s">
        <v>1149</v>
      </c>
      <c r="D5688" t="s">
        <v>2472</v>
      </c>
      <c r="E5688" t="s">
        <v>2474</v>
      </c>
      <c r="F5688" t="s">
        <v>1094</v>
      </c>
      <c r="G5688" t="s">
        <v>1094</v>
      </c>
      <c r="H5688" s="10">
        <v>304617</v>
      </c>
      <c r="I5688" t="str">
        <f>IFERROR(VLOOKUP(Final!F5688,'LEAID Match'!$A$2:$B$374,2,FALSE),"")</f>
        <v/>
      </c>
      <c r="K5688" s="10">
        <f t="shared" si="88"/>
        <v>304617</v>
      </c>
    </row>
    <row r="5689" spans="1:11">
      <c r="A5689" t="s">
        <v>2470</v>
      </c>
      <c r="B5689" s="10">
        <v>2023</v>
      </c>
      <c r="C5689" t="s">
        <v>1149</v>
      </c>
      <c r="D5689" t="s">
        <v>2472</v>
      </c>
      <c r="E5689" t="s">
        <v>2474</v>
      </c>
      <c r="F5689" t="s">
        <v>1094</v>
      </c>
      <c r="G5689" t="s">
        <v>1094</v>
      </c>
      <c r="H5689" s="10">
        <v>336694</v>
      </c>
      <c r="I5689" t="str">
        <f>IFERROR(VLOOKUP(Final!F5689,'LEAID Match'!$A$2:$B$374,2,FALSE),"")</f>
        <v/>
      </c>
      <c r="K5689" s="10">
        <f t="shared" si="88"/>
        <v>336694</v>
      </c>
    </row>
    <row r="5690" spans="1:11">
      <c r="A5690" t="s">
        <v>2470</v>
      </c>
      <c r="B5690" s="10">
        <v>2015</v>
      </c>
      <c r="C5690" t="s">
        <v>214</v>
      </c>
      <c r="D5690" t="s">
        <v>2472</v>
      </c>
      <c r="E5690" t="s">
        <v>2474</v>
      </c>
      <c r="F5690" t="s">
        <v>159</v>
      </c>
      <c r="G5690" t="s">
        <v>159</v>
      </c>
      <c r="H5690" s="10">
        <v>148014</v>
      </c>
      <c r="I5690" t="str">
        <f>IFERROR(VLOOKUP(Final!F5690,'LEAID Match'!$A$2:$B$374,2,FALSE),"")</f>
        <v/>
      </c>
      <c r="K5690" s="10">
        <f t="shared" si="88"/>
        <v>148014</v>
      </c>
    </row>
    <row r="5691" spans="1:11">
      <c r="A5691" t="s">
        <v>2470</v>
      </c>
      <c r="B5691" s="10">
        <v>2016</v>
      </c>
      <c r="C5691" t="s">
        <v>214</v>
      </c>
      <c r="D5691" t="s">
        <v>2472</v>
      </c>
      <c r="E5691" t="s">
        <v>2474</v>
      </c>
      <c r="F5691" t="s">
        <v>159</v>
      </c>
      <c r="G5691" t="s">
        <v>159</v>
      </c>
      <c r="H5691" s="10">
        <v>146529</v>
      </c>
      <c r="I5691" t="str">
        <f>IFERROR(VLOOKUP(Final!F5691,'LEAID Match'!$A$2:$B$374,2,FALSE),"")</f>
        <v/>
      </c>
      <c r="K5691" s="10">
        <f t="shared" si="88"/>
        <v>146529</v>
      </c>
    </row>
    <row r="5692" spans="1:11">
      <c r="A5692" t="s">
        <v>2470</v>
      </c>
      <c r="B5692" s="10">
        <v>2017</v>
      </c>
      <c r="C5692" t="s">
        <v>214</v>
      </c>
      <c r="D5692" t="s">
        <v>2472</v>
      </c>
      <c r="E5692" t="s">
        <v>2474</v>
      </c>
      <c r="F5692" t="s">
        <v>159</v>
      </c>
      <c r="G5692" t="s">
        <v>159</v>
      </c>
      <c r="H5692" s="10">
        <v>148891</v>
      </c>
      <c r="I5692" t="str">
        <f>IFERROR(VLOOKUP(Final!F5692,'LEAID Match'!$A$2:$B$374,2,FALSE),"")</f>
        <v/>
      </c>
      <c r="K5692" s="10">
        <f t="shared" si="88"/>
        <v>148891</v>
      </c>
    </row>
    <row r="5693" spans="1:11">
      <c r="A5693" t="s">
        <v>2470</v>
      </c>
      <c r="B5693" s="10">
        <v>2018</v>
      </c>
      <c r="C5693" t="s">
        <v>214</v>
      </c>
      <c r="D5693" t="s">
        <v>2472</v>
      </c>
      <c r="E5693" t="s">
        <v>2474</v>
      </c>
      <c r="F5693" t="s">
        <v>159</v>
      </c>
      <c r="G5693" t="s">
        <v>159</v>
      </c>
      <c r="H5693" s="10">
        <v>167198</v>
      </c>
      <c r="I5693" t="str">
        <f>IFERROR(VLOOKUP(Final!F5693,'LEAID Match'!$A$2:$B$374,2,FALSE),"")</f>
        <v/>
      </c>
      <c r="K5693" s="10">
        <f t="shared" si="88"/>
        <v>167198</v>
      </c>
    </row>
    <row r="5694" spans="1:11">
      <c r="A5694" t="s">
        <v>2470</v>
      </c>
      <c r="B5694" s="10">
        <v>2019</v>
      </c>
      <c r="C5694" t="s">
        <v>214</v>
      </c>
      <c r="D5694" t="s">
        <v>2472</v>
      </c>
      <c r="E5694" t="s">
        <v>2474</v>
      </c>
      <c r="F5694" t="s">
        <v>159</v>
      </c>
      <c r="G5694" t="s">
        <v>159</v>
      </c>
      <c r="H5694" s="10">
        <v>184480</v>
      </c>
      <c r="I5694" t="str">
        <f>IFERROR(VLOOKUP(Final!F5694,'LEAID Match'!$A$2:$B$374,2,FALSE),"")</f>
        <v/>
      </c>
      <c r="K5694" s="10">
        <f t="shared" si="88"/>
        <v>184480</v>
      </c>
    </row>
    <row r="5695" spans="1:11">
      <c r="A5695" t="s">
        <v>2470</v>
      </c>
      <c r="B5695" s="10">
        <v>2020</v>
      </c>
      <c r="C5695" t="s">
        <v>214</v>
      </c>
      <c r="D5695" t="s">
        <v>2472</v>
      </c>
      <c r="E5695" t="s">
        <v>2474</v>
      </c>
      <c r="F5695" t="s">
        <v>159</v>
      </c>
      <c r="G5695" t="s">
        <v>159</v>
      </c>
      <c r="H5695" s="10">
        <v>194097</v>
      </c>
      <c r="I5695" t="str">
        <f>IFERROR(VLOOKUP(Final!F5695,'LEAID Match'!$A$2:$B$374,2,FALSE),"")</f>
        <v/>
      </c>
      <c r="K5695" s="10">
        <f t="shared" si="88"/>
        <v>194097</v>
      </c>
    </row>
    <row r="5696" spans="1:11">
      <c r="A5696" t="s">
        <v>2470</v>
      </c>
      <c r="B5696" s="10">
        <v>2021</v>
      </c>
      <c r="C5696" t="s">
        <v>214</v>
      </c>
      <c r="D5696" t="s">
        <v>2472</v>
      </c>
      <c r="E5696" t="s">
        <v>2474</v>
      </c>
      <c r="F5696" t="s">
        <v>159</v>
      </c>
      <c r="G5696" t="s">
        <v>159</v>
      </c>
      <c r="H5696" s="10">
        <v>204304</v>
      </c>
      <c r="I5696" t="str">
        <f>IFERROR(VLOOKUP(Final!F5696,'LEAID Match'!$A$2:$B$374,2,FALSE),"")</f>
        <v/>
      </c>
      <c r="K5696" s="10">
        <f t="shared" si="88"/>
        <v>204304</v>
      </c>
    </row>
    <row r="5697" spans="1:11">
      <c r="A5697" t="s">
        <v>2470</v>
      </c>
      <c r="B5697" s="10">
        <v>2022</v>
      </c>
      <c r="C5697" t="s">
        <v>214</v>
      </c>
      <c r="D5697" t="s">
        <v>2472</v>
      </c>
      <c r="E5697" t="s">
        <v>2474</v>
      </c>
      <c r="F5697" t="s">
        <v>159</v>
      </c>
      <c r="G5697" t="s">
        <v>159</v>
      </c>
      <c r="H5697" s="10">
        <v>230397</v>
      </c>
      <c r="I5697" t="str">
        <f>IFERROR(VLOOKUP(Final!F5697,'LEAID Match'!$A$2:$B$374,2,FALSE),"")</f>
        <v/>
      </c>
      <c r="K5697" s="10">
        <f t="shared" si="88"/>
        <v>230397</v>
      </c>
    </row>
    <row r="5698" spans="1:11">
      <c r="A5698" t="s">
        <v>2470</v>
      </c>
      <c r="B5698" s="10">
        <v>2023</v>
      </c>
      <c r="C5698" t="s">
        <v>214</v>
      </c>
      <c r="D5698" t="s">
        <v>2472</v>
      </c>
      <c r="E5698" t="s">
        <v>2474</v>
      </c>
      <c r="F5698" t="s">
        <v>159</v>
      </c>
      <c r="G5698" t="s">
        <v>159</v>
      </c>
      <c r="H5698" s="10">
        <v>246441</v>
      </c>
      <c r="I5698" t="str">
        <f>IFERROR(VLOOKUP(Final!F5698,'LEAID Match'!$A$2:$B$374,2,FALSE),"")</f>
        <v/>
      </c>
      <c r="K5698" s="10">
        <f t="shared" si="88"/>
        <v>246441</v>
      </c>
    </row>
    <row r="5699" spans="1:11">
      <c r="A5699" t="s">
        <v>2470</v>
      </c>
      <c r="B5699" s="10">
        <v>2015</v>
      </c>
      <c r="C5699" t="s">
        <v>797</v>
      </c>
      <c r="D5699" t="s">
        <v>2472</v>
      </c>
      <c r="E5699" t="s">
        <v>2474</v>
      </c>
      <c r="F5699" t="s">
        <v>1808</v>
      </c>
      <c r="G5699" t="s">
        <v>742</v>
      </c>
      <c r="H5699" s="10">
        <v>320510</v>
      </c>
      <c r="I5699" t="str">
        <f>IFERROR(VLOOKUP(Final!F5699,'LEAID Match'!$A$2:$B$374,2,FALSE),"")</f>
        <v/>
      </c>
      <c r="K5699" s="10">
        <f t="shared" ref="K5699:K5762" si="89">SUM(H5699,J5699)</f>
        <v>320510</v>
      </c>
    </row>
    <row r="5700" spans="1:11">
      <c r="A5700" t="s">
        <v>2470</v>
      </c>
      <c r="B5700" s="10">
        <v>2016</v>
      </c>
      <c r="C5700" t="s">
        <v>797</v>
      </c>
      <c r="D5700" t="s">
        <v>2472</v>
      </c>
      <c r="E5700" t="s">
        <v>2474</v>
      </c>
      <c r="F5700" t="s">
        <v>1808</v>
      </c>
      <c r="G5700" t="s">
        <v>742</v>
      </c>
      <c r="H5700" s="10">
        <v>339008</v>
      </c>
      <c r="I5700" t="str">
        <f>IFERROR(VLOOKUP(Final!F5700,'LEAID Match'!$A$2:$B$374,2,FALSE),"")</f>
        <v/>
      </c>
      <c r="K5700" s="10">
        <f t="shared" si="89"/>
        <v>339008</v>
      </c>
    </row>
    <row r="5701" spans="1:11">
      <c r="A5701" t="s">
        <v>2470</v>
      </c>
      <c r="B5701" s="10">
        <v>2017</v>
      </c>
      <c r="C5701" t="s">
        <v>797</v>
      </c>
      <c r="D5701" t="s">
        <v>2472</v>
      </c>
      <c r="E5701" t="s">
        <v>2474</v>
      </c>
      <c r="F5701" t="s">
        <v>1808</v>
      </c>
      <c r="G5701" t="s">
        <v>1808</v>
      </c>
      <c r="H5701" s="10">
        <v>343199</v>
      </c>
      <c r="I5701" t="str">
        <f>IFERROR(VLOOKUP(Final!F5701,'LEAID Match'!$A$2:$B$374,2,FALSE),"")</f>
        <v/>
      </c>
      <c r="K5701" s="10">
        <f t="shared" si="89"/>
        <v>343199</v>
      </c>
    </row>
    <row r="5702" spans="1:11">
      <c r="A5702" t="s">
        <v>2470</v>
      </c>
      <c r="B5702" s="10">
        <v>2018</v>
      </c>
      <c r="C5702" t="s">
        <v>797</v>
      </c>
      <c r="D5702" t="s">
        <v>2472</v>
      </c>
      <c r="E5702" t="s">
        <v>2474</v>
      </c>
      <c r="F5702" t="s">
        <v>1808</v>
      </c>
      <c r="G5702" t="s">
        <v>2238</v>
      </c>
      <c r="H5702" s="10">
        <v>360807</v>
      </c>
      <c r="I5702" t="str">
        <f>IFERROR(VLOOKUP(Final!F5702,'LEAID Match'!$A$2:$B$374,2,FALSE),"")</f>
        <v/>
      </c>
      <c r="K5702" s="10">
        <f t="shared" si="89"/>
        <v>360807</v>
      </c>
    </row>
    <row r="5703" spans="1:11">
      <c r="A5703" t="s">
        <v>2470</v>
      </c>
      <c r="B5703" s="10">
        <v>2019</v>
      </c>
      <c r="C5703" t="s">
        <v>797</v>
      </c>
      <c r="D5703" t="s">
        <v>2472</v>
      </c>
      <c r="E5703" t="s">
        <v>2474</v>
      </c>
      <c r="F5703" t="s">
        <v>1808</v>
      </c>
      <c r="G5703" t="s">
        <v>2376</v>
      </c>
      <c r="H5703" s="10">
        <v>378286</v>
      </c>
      <c r="I5703" t="str">
        <f>IFERROR(VLOOKUP(Final!F5703,'LEAID Match'!$A$2:$B$374,2,FALSE),"")</f>
        <v/>
      </c>
      <c r="K5703" s="10">
        <f t="shared" si="89"/>
        <v>378286</v>
      </c>
    </row>
    <row r="5704" spans="1:11">
      <c r="A5704" t="s">
        <v>2470</v>
      </c>
      <c r="B5704" s="10">
        <v>2020</v>
      </c>
      <c r="C5704" t="s">
        <v>797</v>
      </c>
      <c r="D5704" t="s">
        <v>2472</v>
      </c>
      <c r="E5704" t="s">
        <v>2474</v>
      </c>
      <c r="F5704" t="s">
        <v>1808</v>
      </c>
      <c r="G5704" t="s">
        <v>1808</v>
      </c>
      <c r="H5704" s="10">
        <v>403380</v>
      </c>
      <c r="I5704" t="str">
        <f>IFERROR(VLOOKUP(Final!F5704,'LEAID Match'!$A$2:$B$374,2,FALSE),"")</f>
        <v/>
      </c>
      <c r="K5704" s="10">
        <f t="shared" si="89"/>
        <v>403380</v>
      </c>
    </row>
    <row r="5705" spans="1:11">
      <c r="A5705" t="s">
        <v>2470</v>
      </c>
      <c r="B5705" s="10">
        <v>2021</v>
      </c>
      <c r="C5705" t="s">
        <v>797</v>
      </c>
      <c r="D5705" t="s">
        <v>2472</v>
      </c>
      <c r="E5705" t="s">
        <v>2474</v>
      </c>
      <c r="F5705" t="s">
        <v>1808</v>
      </c>
      <c r="G5705" t="s">
        <v>1808</v>
      </c>
      <c r="H5705" s="10">
        <v>435911</v>
      </c>
      <c r="I5705" t="str">
        <f>IFERROR(VLOOKUP(Final!F5705,'LEAID Match'!$A$2:$B$374,2,FALSE),"")</f>
        <v/>
      </c>
      <c r="K5705" s="10">
        <f t="shared" si="89"/>
        <v>435911</v>
      </c>
    </row>
    <row r="5706" spans="1:11">
      <c r="A5706" t="s">
        <v>2470</v>
      </c>
      <c r="B5706" s="10">
        <v>2022</v>
      </c>
      <c r="C5706" t="s">
        <v>797</v>
      </c>
      <c r="D5706" t="s">
        <v>2472</v>
      </c>
      <c r="E5706" t="s">
        <v>2474</v>
      </c>
      <c r="F5706" t="s">
        <v>1808</v>
      </c>
      <c r="G5706" t="s">
        <v>1808</v>
      </c>
      <c r="H5706" s="10">
        <v>480503</v>
      </c>
      <c r="I5706" t="str">
        <f>IFERROR(VLOOKUP(Final!F5706,'LEAID Match'!$A$2:$B$374,2,FALSE),"")</f>
        <v/>
      </c>
      <c r="K5706" s="10">
        <f t="shared" si="89"/>
        <v>480503</v>
      </c>
    </row>
    <row r="5707" spans="1:11">
      <c r="A5707" t="s">
        <v>2470</v>
      </c>
      <c r="B5707" s="10">
        <v>2023</v>
      </c>
      <c r="C5707" t="s">
        <v>797</v>
      </c>
      <c r="D5707" t="s">
        <v>2472</v>
      </c>
      <c r="E5707" t="s">
        <v>2474</v>
      </c>
      <c r="F5707" t="s">
        <v>1808</v>
      </c>
      <c r="G5707" t="s">
        <v>1808</v>
      </c>
      <c r="H5707" s="10">
        <v>514970</v>
      </c>
      <c r="I5707" t="str">
        <f>IFERROR(VLOOKUP(Final!F5707,'LEAID Match'!$A$2:$B$374,2,FALSE),"")</f>
        <v/>
      </c>
      <c r="K5707" s="10">
        <f t="shared" si="89"/>
        <v>514970</v>
      </c>
    </row>
    <row r="5708" spans="1:11">
      <c r="A5708" t="s">
        <v>2470</v>
      </c>
      <c r="B5708" s="10">
        <v>2015</v>
      </c>
      <c r="C5708" t="s">
        <v>560</v>
      </c>
      <c r="D5708" t="s">
        <v>2472</v>
      </c>
      <c r="E5708" t="s">
        <v>2474</v>
      </c>
      <c r="F5708" t="s">
        <v>505</v>
      </c>
      <c r="G5708" t="s">
        <v>505</v>
      </c>
      <c r="H5708" s="10">
        <v>87280</v>
      </c>
      <c r="I5708" t="str">
        <f>IFERROR(VLOOKUP(Final!F5708,'LEAID Match'!$A$2:$B$374,2,FALSE),"")</f>
        <v/>
      </c>
      <c r="K5708" s="10">
        <f t="shared" si="89"/>
        <v>87280</v>
      </c>
    </row>
    <row r="5709" spans="1:11">
      <c r="A5709" t="s">
        <v>2470</v>
      </c>
      <c r="B5709" s="10">
        <v>2016</v>
      </c>
      <c r="C5709" t="s">
        <v>560</v>
      </c>
      <c r="D5709" t="s">
        <v>2472</v>
      </c>
      <c r="E5709" t="s">
        <v>2474</v>
      </c>
      <c r="F5709" t="s">
        <v>505</v>
      </c>
      <c r="G5709" t="s">
        <v>505</v>
      </c>
      <c r="H5709" s="10">
        <v>88872</v>
      </c>
      <c r="I5709" t="str">
        <f>IFERROR(VLOOKUP(Final!F5709,'LEAID Match'!$A$2:$B$374,2,FALSE),"")</f>
        <v/>
      </c>
      <c r="K5709" s="10">
        <f t="shared" si="89"/>
        <v>88872</v>
      </c>
    </row>
    <row r="5710" spans="1:11">
      <c r="A5710" t="s">
        <v>2470</v>
      </c>
      <c r="B5710" s="10">
        <v>2017</v>
      </c>
      <c r="C5710" t="s">
        <v>560</v>
      </c>
      <c r="D5710" t="s">
        <v>2472</v>
      </c>
      <c r="E5710" t="s">
        <v>2474</v>
      </c>
      <c r="F5710" t="s">
        <v>505</v>
      </c>
      <c r="G5710" t="s">
        <v>505</v>
      </c>
      <c r="H5710" s="10">
        <v>91801</v>
      </c>
      <c r="I5710" t="str">
        <f>IFERROR(VLOOKUP(Final!F5710,'LEAID Match'!$A$2:$B$374,2,FALSE),"")</f>
        <v/>
      </c>
      <c r="K5710" s="10">
        <f t="shared" si="89"/>
        <v>91801</v>
      </c>
    </row>
    <row r="5711" spans="1:11">
      <c r="A5711" t="s">
        <v>2470</v>
      </c>
      <c r="B5711" s="10">
        <v>2018</v>
      </c>
      <c r="C5711" t="s">
        <v>560</v>
      </c>
      <c r="D5711" t="s">
        <v>2472</v>
      </c>
      <c r="E5711" t="s">
        <v>2474</v>
      </c>
      <c r="F5711" t="s">
        <v>505</v>
      </c>
      <c r="G5711" t="s">
        <v>505</v>
      </c>
      <c r="H5711" s="10">
        <v>105922</v>
      </c>
      <c r="I5711" t="str">
        <f>IFERROR(VLOOKUP(Final!F5711,'LEAID Match'!$A$2:$B$374,2,FALSE),"")</f>
        <v/>
      </c>
      <c r="K5711" s="10">
        <f t="shared" si="89"/>
        <v>105922</v>
      </c>
    </row>
    <row r="5712" spans="1:11">
      <c r="A5712" t="s">
        <v>2470</v>
      </c>
      <c r="B5712" s="10">
        <v>2019</v>
      </c>
      <c r="C5712" t="s">
        <v>560</v>
      </c>
      <c r="D5712" t="s">
        <v>2472</v>
      </c>
      <c r="E5712" t="s">
        <v>2474</v>
      </c>
      <c r="F5712" t="s">
        <v>505</v>
      </c>
      <c r="G5712" t="s">
        <v>505</v>
      </c>
      <c r="H5712" s="10">
        <v>113089</v>
      </c>
      <c r="I5712" t="str">
        <f>IFERROR(VLOOKUP(Final!F5712,'LEAID Match'!$A$2:$B$374,2,FALSE),"")</f>
        <v/>
      </c>
      <c r="K5712" s="10">
        <f t="shared" si="89"/>
        <v>113089</v>
      </c>
    </row>
    <row r="5713" spans="1:11">
      <c r="A5713" t="s">
        <v>2470</v>
      </c>
      <c r="B5713" s="10">
        <v>2020</v>
      </c>
      <c r="C5713" t="s">
        <v>560</v>
      </c>
      <c r="D5713" t="s">
        <v>2472</v>
      </c>
      <c r="E5713" t="s">
        <v>2474</v>
      </c>
      <c r="F5713" t="s">
        <v>505</v>
      </c>
      <c r="G5713" t="s">
        <v>505</v>
      </c>
      <c r="H5713" s="10">
        <v>115978</v>
      </c>
      <c r="I5713" t="str">
        <f>IFERROR(VLOOKUP(Final!F5713,'LEAID Match'!$A$2:$B$374,2,FALSE),"")</f>
        <v/>
      </c>
      <c r="K5713" s="10">
        <f t="shared" si="89"/>
        <v>115978</v>
      </c>
    </row>
    <row r="5714" spans="1:11">
      <c r="A5714" t="s">
        <v>2470</v>
      </c>
      <c r="B5714" s="10">
        <v>2021</v>
      </c>
      <c r="C5714" t="s">
        <v>560</v>
      </c>
      <c r="D5714" t="s">
        <v>2472</v>
      </c>
      <c r="E5714" t="s">
        <v>2474</v>
      </c>
      <c r="F5714" t="s">
        <v>505</v>
      </c>
      <c r="G5714" t="s">
        <v>505</v>
      </c>
      <c r="H5714" s="10">
        <v>123859</v>
      </c>
      <c r="I5714" t="str">
        <f>IFERROR(VLOOKUP(Final!F5714,'LEAID Match'!$A$2:$B$374,2,FALSE),"")</f>
        <v/>
      </c>
      <c r="K5714" s="10">
        <f t="shared" si="89"/>
        <v>123859</v>
      </c>
    </row>
    <row r="5715" spans="1:11">
      <c r="A5715" t="s">
        <v>2470</v>
      </c>
      <c r="B5715" s="10">
        <v>2022</v>
      </c>
      <c r="C5715" t="s">
        <v>560</v>
      </c>
      <c r="D5715" t="s">
        <v>2472</v>
      </c>
      <c r="E5715" t="s">
        <v>2474</v>
      </c>
      <c r="F5715" t="s">
        <v>505</v>
      </c>
      <c r="G5715" t="s">
        <v>505</v>
      </c>
      <c r="H5715" s="10">
        <v>146114</v>
      </c>
      <c r="I5715" t="str">
        <f>IFERROR(VLOOKUP(Final!F5715,'LEAID Match'!$A$2:$B$374,2,FALSE),"")</f>
        <v/>
      </c>
      <c r="K5715" s="10">
        <f t="shared" si="89"/>
        <v>146114</v>
      </c>
    </row>
    <row r="5716" spans="1:11">
      <c r="A5716" t="s">
        <v>2470</v>
      </c>
      <c r="B5716" s="10">
        <v>2023</v>
      </c>
      <c r="C5716" t="s">
        <v>560</v>
      </c>
      <c r="D5716" t="s">
        <v>2472</v>
      </c>
      <c r="E5716" t="s">
        <v>2474</v>
      </c>
      <c r="F5716" t="s">
        <v>505</v>
      </c>
      <c r="G5716" t="s">
        <v>505</v>
      </c>
      <c r="H5716" s="10">
        <v>135787</v>
      </c>
      <c r="I5716" t="str">
        <f>IFERROR(VLOOKUP(Final!F5716,'LEAID Match'!$A$2:$B$374,2,FALSE),"")</f>
        <v/>
      </c>
      <c r="K5716" s="10">
        <f t="shared" si="89"/>
        <v>135787</v>
      </c>
    </row>
    <row r="5717" spans="1:11">
      <c r="A5717" t="s">
        <v>2470</v>
      </c>
      <c r="B5717" s="10">
        <v>2015</v>
      </c>
      <c r="C5717" t="s">
        <v>928</v>
      </c>
      <c r="D5717" t="s">
        <v>2472</v>
      </c>
      <c r="E5717" t="s">
        <v>2474</v>
      </c>
      <c r="F5717" t="s">
        <v>1875</v>
      </c>
      <c r="G5717" t="s">
        <v>873</v>
      </c>
      <c r="H5717" s="10">
        <v>514438</v>
      </c>
      <c r="I5717" t="str">
        <f>IFERROR(VLOOKUP(Final!F5717,'LEAID Match'!$A$2:$B$374,2,FALSE),"")</f>
        <v/>
      </c>
      <c r="K5717" s="10">
        <f t="shared" si="89"/>
        <v>514438</v>
      </c>
    </row>
    <row r="5718" spans="1:11">
      <c r="A5718" t="s">
        <v>2470</v>
      </c>
      <c r="B5718" s="10">
        <v>2016</v>
      </c>
      <c r="C5718" t="s">
        <v>928</v>
      </c>
      <c r="D5718" t="s">
        <v>2472</v>
      </c>
      <c r="E5718" t="s">
        <v>2474</v>
      </c>
      <c r="F5718" t="s">
        <v>1875</v>
      </c>
      <c r="G5718" t="s">
        <v>873</v>
      </c>
      <c r="H5718" s="10">
        <v>561168</v>
      </c>
      <c r="I5718" t="str">
        <f>IFERROR(VLOOKUP(Final!F5718,'LEAID Match'!$A$2:$B$374,2,FALSE),"")</f>
        <v/>
      </c>
      <c r="K5718" s="10">
        <f t="shared" si="89"/>
        <v>561168</v>
      </c>
    </row>
    <row r="5719" spans="1:11">
      <c r="A5719" t="s">
        <v>2470</v>
      </c>
      <c r="B5719" s="10">
        <v>2017</v>
      </c>
      <c r="C5719" t="s">
        <v>928</v>
      </c>
      <c r="D5719" t="s">
        <v>2472</v>
      </c>
      <c r="E5719" t="s">
        <v>2474</v>
      </c>
      <c r="F5719" t="s">
        <v>1875</v>
      </c>
      <c r="G5719" t="s">
        <v>1875</v>
      </c>
      <c r="H5719" s="10">
        <v>607856</v>
      </c>
      <c r="I5719" t="str">
        <f>IFERROR(VLOOKUP(Final!F5719,'LEAID Match'!$A$2:$B$374,2,FALSE),"")</f>
        <v/>
      </c>
      <c r="K5719" s="10">
        <f t="shared" si="89"/>
        <v>607856</v>
      </c>
    </row>
    <row r="5720" spans="1:11">
      <c r="A5720" t="s">
        <v>2470</v>
      </c>
      <c r="B5720" s="10">
        <v>2018</v>
      </c>
      <c r="C5720" t="s">
        <v>928</v>
      </c>
      <c r="D5720" t="s">
        <v>2472</v>
      </c>
      <c r="E5720" t="s">
        <v>2474</v>
      </c>
      <c r="F5720" t="s">
        <v>1875</v>
      </c>
      <c r="G5720" t="s">
        <v>2276</v>
      </c>
      <c r="H5720" s="10">
        <v>658962</v>
      </c>
      <c r="I5720" t="str">
        <f>IFERROR(VLOOKUP(Final!F5720,'LEAID Match'!$A$2:$B$374,2,FALSE),"")</f>
        <v/>
      </c>
      <c r="K5720" s="10">
        <f t="shared" si="89"/>
        <v>658962</v>
      </c>
    </row>
    <row r="5721" spans="1:11">
      <c r="A5721" t="s">
        <v>2470</v>
      </c>
      <c r="B5721" s="10">
        <v>2019</v>
      </c>
      <c r="C5721" t="s">
        <v>928</v>
      </c>
      <c r="D5721" t="s">
        <v>2472</v>
      </c>
      <c r="E5721" t="s">
        <v>2474</v>
      </c>
      <c r="F5721" t="s">
        <v>1875</v>
      </c>
      <c r="G5721" t="s">
        <v>1875</v>
      </c>
      <c r="H5721" s="10">
        <v>733437</v>
      </c>
      <c r="I5721" t="str">
        <f>IFERROR(VLOOKUP(Final!F5721,'LEAID Match'!$A$2:$B$374,2,FALSE),"")</f>
        <v/>
      </c>
      <c r="K5721" s="10">
        <f t="shared" si="89"/>
        <v>733437</v>
      </c>
    </row>
    <row r="5722" spans="1:11">
      <c r="A5722" t="s">
        <v>2470</v>
      </c>
      <c r="B5722" s="10">
        <v>2020</v>
      </c>
      <c r="C5722" t="s">
        <v>928</v>
      </c>
      <c r="D5722" t="s">
        <v>2472</v>
      </c>
      <c r="E5722" t="s">
        <v>2474</v>
      </c>
      <c r="F5722" t="s">
        <v>1875</v>
      </c>
      <c r="G5722" t="s">
        <v>1875</v>
      </c>
      <c r="H5722" s="10">
        <v>781806</v>
      </c>
      <c r="I5722" t="str">
        <f>IFERROR(VLOOKUP(Final!F5722,'LEAID Match'!$A$2:$B$374,2,FALSE),"")</f>
        <v/>
      </c>
      <c r="K5722" s="10">
        <f t="shared" si="89"/>
        <v>781806</v>
      </c>
    </row>
    <row r="5723" spans="1:11">
      <c r="A5723" t="s">
        <v>2470</v>
      </c>
      <c r="B5723" s="10">
        <v>2021</v>
      </c>
      <c r="C5723" t="s">
        <v>928</v>
      </c>
      <c r="D5723" t="s">
        <v>2472</v>
      </c>
      <c r="E5723" t="s">
        <v>2474</v>
      </c>
      <c r="F5723" t="s">
        <v>1875</v>
      </c>
      <c r="G5723" t="s">
        <v>1875</v>
      </c>
      <c r="H5723" s="10">
        <v>777064</v>
      </c>
      <c r="I5723" t="str">
        <f>IFERROR(VLOOKUP(Final!F5723,'LEAID Match'!$A$2:$B$374,2,FALSE),"")</f>
        <v/>
      </c>
      <c r="K5723" s="10">
        <f t="shared" si="89"/>
        <v>777064</v>
      </c>
    </row>
    <row r="5724" spans="1:11">
      <c r="A5724" t="s">
        <v>2470</v>
      </c>
      <c r="B5724" s="10">
        <v>2022</v>
      </c>
      <c r="C5724" t="s">
        <v>928</v>
      </c>
      <c r="D5724" t="s">
        <v>2472</v>
      </c>
      <c r="E5724" t="s">
        <v>2474</v>
      </c>
      <c r="F5724" t="s">
        <v>1875</v>
      </c>
      <c r="G5724" t="s">
        <v>1875</v>
      </c>
      <c r="H5724" s="10">
        <v>854389</v>
      </c>
      <c r="I5724" t="str">
        <f>IFERROR(VLOOKUP(Final!F5724,'LEAID Match'!$A$2:$B$374,2,FALSE),"")</f>
        <v/>
      </c>
      <c r="K5724" s="10">
        <f t="shared" si="89"/>
        <v>854389</v>
      </c>
    </row>
    <row r="5725" spans="1:11">
      <c r="A5725" t="s">
        <v>2470</v>
      </c>
      <c r="B5725" s="10">
        <v>2023</v>
      </c>
      <c r="C5725" t="s">
        <v>928</v>
      </c>
      <c r="D5725" t="s">
        <v>2472</v>
      </c>
      <c r="E5725" t="s">
        <v>2474</v>
      </c>
      <c r="F5725" t="s">
        <v>1875</v>
      </c>
      <c r="G5725" t="s">
        <v>1875</v>
      </c>
      <c r="H5725" s="10">
        <v>918945</v>
      </c>
      <c r="I5725" t="str">
        <f>IFERROR(VLOOKUP(Final!F5725,'LEAID Match'!$A$2:$B$374,2,FALSE),"")</f>
        <v/>
      </c>
      <c r="K5725" s="10">
        <f t="shared" si="89"/>
        <v>918945</v>
      </c>
    </row>
    <row r="5726" spans="1:11">
      <c r="A5726" t="s">
        <v>2470</v>
      </c>
      <c r="B5726" s="10">
        <v>2015</v>
      </c>
      <c r="C5726" t="s">
        <v>1129</v>
      </c>
      <c r="D5726" t="s">
        <v>2472</v>
      </c>
      <c r="E5726" t="s">
        <v>2474</v>
      </c>
      <c r="F5726" t="s">
        <v>1074</v>
      </c>
      <c r="G5726" t="s">
        <v>1074</v>
      </c>
      <c r="H5726" s="10">
        <v>5862</v>
      </c>
      <c r="I5726" t="str">
        <f>IFERROR(VLOOKUP(Final!F5726,'LEAID Match'!$A$2:$B$374,2,FALSE),"")</f>
        <v/>
      </c>
      <c r="K5726" s="10">
        <f t="shared" si="89"/>
        <v>5862</v>
      </c>
    </row>
    <row r="5727" spans="1:11">
      <c r="A5727" t="s">
        <v>2470</v>
      </c>
      <c r="B5727" s="10">
        <v>2016</v>
      </c>
      <c r="C5727" t="s">
        <v>1129</v>
      </c>
      <c r="D5727" t="s">
        <v>2472</v>
      </c>
      <c r="E5727" t="s">
        <v>2474</v>
      </c>
      <c r="F5727" t="s">
        <v>1074</v>
      </c>
      <c r="G5727" t="s">
        <v>1074</v>
      </c>
      <c r="H5727" s="10">
        <v>5543</v>
      </c>
      <c r="I5727" t="str">
        <f>IFERROR(VLOOKUP(Final!F5727,'LEAID Match'!$A$2:$B$374,2,FALSE),"")</f>
        <v/>
      </c>
      <c r="K5727" s="10">
        <f t="shared" si="89"/>
        <v>5543</v>
      </c>
    </row>
    <row r="5728" spans="1:11">
      <c r="A5728" t="s">
        <v>2470</v>
      </c>
      <c r="B5728" s="10">
        <v>2017</v>
      </c>
      <c r="C5728" t="s">
        <v>1129</v>
      </c>
      <c r="D5728" t="s">
        <v>2472</v>
      </c>
      <c r="E5728" t="s">
        <v>2474</v>
      </c>
      <c r="F5728" t="s">
        <v>1074</v>
      </c>
      <c r="G5728" t="s">
        <v>1074</v>
      </c>
      <c r="H5728" s="10">
        <v>5514</v>
      </c>
      <c r="I5728" t="str">
        <f>IFERROR(VLOOKUP(Final!F5728,'LEAID Match'!$A$2:$B$374,2,FALSE),"")</f>
        <v/>
      </c>
      <c r="K5728" s="10">
        <f t="shared" si="89"/>
        <v>5514</v>
      </c>
    </row>
    <row r="5729" spans="1:11">
      <c r="A5729" t="s">
        <v>2470</v>
      </c>
      <c r="B5729" s="10">
        <v>2018</v>
      </c>
      <c r="C5729" t="s">
        <v>1129</v>
      </c>
      <c r="D5729" t="s">
        <v>2472</v>
      </c>
      <c r="E5729" t="s">
        <v>2474</v>
      </c>
      <c r="F5729" t="s">
        <v>1074</v>
      </c>
      <c r="G5729" t="s">
        <v>1074</v>
      </c>
      <c r="H5729" s="10">
        <v>5786</v>
      </c>
      <c r="I5729" t="str">
        <f>IFERROR(VLOOKUP(Final!F5729,'LEAID Match'!$A$2:$B$374,2,FALSE),"")</f>
        <v/>
      </c>
      <c r="K5729" s="10">
        <f t="shared" si="89"/>
        <v>5786</v>
      </c>
    </row>
    <row r="5730" spans="1:11">
      <c r="A5730" t="s">
        <v>2470</v>
      </c>
      <c r="B5730" s="10">
        <v>2019</v>
      </c>
      <c r="C5730" t="s">
        <v>1129</v>
      </c>
      <c r="D5730" t="s">
        <v>2472</v>
      </c>
      <c r="E5730" t="s">
        <v>2474</v>
      </c>
      <c r="F5730" t="s">
        <v>1074</v>
      </c>
      <c r="G5730" t="s">
        <v>1074</v>
      </c>
      <c r="H5730" s="10">
        <v>12925</v>
      </c>
      <c r="I5730" t="str">
        <f>IFERROR(VLOOKUP(Final!F5730,'LEAID Match'!$A$2:$B$374,2,FALSE),"")</f>
        <v/>
      </c>
      <c r="K5730" s="10">
        <f t="shared" si="89"/>
        <v>12925</v>
      </c>
    </row>
    <row r="5731" spans="1:11">
      <c r="A5731" t="s">
        <v>2470</v>
      </c>
      <c r="B5731" s="10">
        <v>2020</v>
      </c>
      <c r="C5731" t="s">
        <v>1129</v>
      </c>
      <c r="D5731" t="s">
        <v>2472</v>
      </c>
      <c r="E5731" t="s">
        <v>2474</v>
      </c>
      <c r="F5731" t="s">
        <v>1074</v>
      </c>
      <c r="G5731" t="s">
        <v>1074</v>
      </c>
      <c r="H5731" s="10">
        <v>14971</v>
      </c>
      <c r="I5731" t="str">
        <f>IFERROR(VLOOKUP(Final!F5731,'LEAID Match'!$A$2:$B$374,2,FALSE),"")</f>
        <v/>
      </c>
      <c r="K5731" s="10">
        <f t="shared" si="89"/>
        <v>14971</v>
      </c>
    </row>
    <row r="5732" spans="1:11">
      <c r="A5732" t="s">
        <v>2470</v>
      </c>
      <c r="B5732" s="10">
        <v>2021</v>
      </c>
      <c r="C5732" t="s">
        <v>1129</v>
      </c>
      <c r="D5732" t="s">
        <v>2472</v>
      </c>
      <c r="E5732" t="s">
        <v>2474</v>
      </c>
      <c r="F5732" t="s">
        <v>1074</v>
      </c>
      <c r="G5732" t="s">
        <v>1074</v>
      </c>
      <c r="H5732" s="10">
        <v>9586</v>
      </c>
      <c r="I5732" t="str">
        <f>IFERROR(VLOOKUP(Final!F5732,'LEAID Match'!$A$2:$B$374,2,FALSE),"")</f>
        <v/>
      </c>
      <c r="K5732" s="10">
        <f t="shared" si="89"/>
        <v>9586</v>
      </c>
    </row>
    <row r="5733" spans="1:11">
      <c r="A5733" t="s">
        <v>2470</v>
      </c>
      <c r="B5733" s="10">
        <v>2022</v>
      </c>
      <c r="C5733" t="s">
        <v>1129</v>
      </c>
      <c r="D5733" t="s">
        <v>2472</v>
      </c>
      <c r="E5733" t="s">
        <v>2474</v>
      </c>
      <c r="F5733" t="s">
        <v>1074</v>
      </c>
      <c r="G5733" t="s">
        <v>1074</v>
      </c>
      <c r="H5733" s="10"/>
      <c r="I5733" t="str">
        <f>IFERROR(VLOOKUP(Final!F5733,'LEAID Match'!$A$2:$B$374,2,FALSE),"")</f>
        <v/>
      </c>
      <c r="K5733" s="10">
        <f t="shared" si="89"/>
        <v>0</v>
      </c>
    </row>
    <row r="5734" spans="1:11">
      <c r="A5734" t="s">
        <v>2470</v>
      </c>
      <c r="B5734" s="10">
        <v>2023</v>
      </c>
      <c r="C5734" t="s">
        <v>1129</v>
      </c>
      <c r="D5734" t="s">
        <v>2472</v>
      </c>
      <c r="E5734" t="s">
        <v>2474</v>
      </c>
      <c r="F5734" t="s">
        <v>1074</v>
      </c>
      <c r="G5734" t="s">
        <v>1074</v>
      </c>
      <c r="H5734" s="10"/>
      <c r="I5734" t="str">
        <f>IFERROR(VLOOKUP(Final!F5734,'LEAID Match'!$A$2:$B$374,2,FALSE),"")</f>
        <v/>
      </c>
      <c r="K5734" s="10">
        <f t="shared" si="89"/>
        <v>0</v>
      </c>
    </row>
    <row r="5735" spans="1:11">
      <c r="A5735" t="s">
        <v>2470</v>
      </c>
      <c r="B5735" s="10">
        <v>2015</v>
      </c>
      <c r="C5735" t="s">
        <v>692</v>
      </c>
      <c r="D5735" t="s">
        <v>2472</v>
      </c>
      <c r="E5735" t="s">
        <v>2474</v>
      </c>
      <c r="F5735" t="s">
        <v>637</v>
      </c>
      <c r="G5735" t="s">
        <v>637</v>
      </c>
      <c r="H5735" s="10">
        <v>238748</v>
      </c>
      <c r="I5735" t="str">
        <f>IFERROR(VLOOKUP(Final!F5735,'LEAID Match'!$A$2:$B$374,2,FALSE),"")</f>
        <v/>
      </c>
      <c r="K5735" s="10">
        <f t="shared" si="89"/>
        <v>238748</v>
      </c>
    </row>
    <row r="5736" spans="1:11">
      <c r="A5736" t="s">
        <v>2470</v>
      </c>
      <c r="B5736" s="10">
        <v>2016</v>
      </c>
      <c r="C5736" t="s">
        <v>692</v>
      </c>
      <c r="D5736" t="s">
        <v>2472</v>
      </c>
      <c r="E5736" t="s">
        <v>2474</v>
      </c>
      <c r="F5736" t="s">
        <v>637</v>
      </c>
      <c r="G5736" t="s">
        <v>637</v>
      </c>
      <c r="H5736" s="10">
        <v>238975</v>
      </c>
      <c r="I5736" t="str">
        <f>IFERROR(VLOOKUP(Final!F5736,'LEAID Match'!$A$2:$B$374,2,FALSE),"")</f>
        <v/>
      </c>
      <c r="K5736" s="10">
        <f t="shared" si="89"/>
        <v>238975</v>
      </c>
    </row>
    <row r="5737" spans="1:11">
      <c r="A5737" t="s">
        <v>2470</v>
      </c>
      <c r="B5737" s="10">
        <v>2017</v>
      </c>
      <c r="C5737" t="s">
        <v>692</v>
      </c>
      <c r="D5737" t="s">
        <v>2472</v>
      </c>
      <c r="E5737" t="s">
        <v>2474</v>
      </c>
      <c r="F5737" t="s">
        <v>637</v>
      </c>
      <c r="G5737" t="s">
        <v>637</v>
      </c>
      <c r="H5737" s="10">
        <v>222544</v>
      </c>
      <c r="I5737" t="str">
        <f>IFERROR(VLOOKUP(Final!F5737,'LEAID Match'!$A$2:$B$374,2,FALSE),"")</f>
        <v/>
      </c>
      <c r="K5737" s="10">
        <f t="shared" si="89"/>
        <v>222544</v>
      </c>
    </row>
    <row r="5738" spans="1:11">
      <c r="A5738" t="s">
        <v>2470</v>
      </c>
      <c r="B5738" s="10">
        <v>2018</v>
      </c>
      <c r="C5738" t="s">
        <v>692</v>
      </c>
      <c r="D5738" t="s">
        <v>2472</v>
      </c>
      <c r="E5738" t="s">
        <v>2474</v>
      </c>
      <c r="F5738" t="s">
        <v>637</v>
      </c>
      <c r="G5738" t="s">
        <v>2211</v>
      </c>
      <c r="H5738" s="10">
        <v>221677</v>
      </c>
      <c r="I5738" t="str">
        <f>IFERROR(VLOOKUP(Final!F5738,'LEAID Match'!$A$2:$B$374,2,FALSE),"")</f>
        <v/>
      </c>
      <c r="K5738" s="10">
        <f t="shared" si="89"/>
        <v>221677</v>
      </c>
    </row>
    <row r="5739" spans="1:11">
      <c r="A5739" t="s">
        <v>2470</v>
      </c>
      <c r="B5739" s="10">
        <v>2019</v>
      </c>
      <c r="C5739" t="s">
        <v>692</v>
      </c>
      <c r="D5739" t="s">
        <v>2472</v>
      </c>
      <c r="E5739" t="s">
        <v>2474</v>
      </c>
      <c r="F5739" t="s">
        <v>637</v>
      </c>
      <c r="G5739" t="s">
        <v>637</v>
      </c>
      <c r="H5739" s="10">
        <v>232114</v>
      </c>
      <c r="I5739" t="str">
        <f>IFERROR(VLOOKUP(Final!F5739,'LEAID Match'!$A$2:$B$374,2,FALSE),"")</f>
        <v/>
      </c>
      <c r="K5739" s="10">
        <f t="shared" si="89"/>
        <v>232114</v>
      </c>
    </row>
    <row r="5740" spans="1:11">
      <c r="A5740" t="s">
        <v>2470</v>
      </c>
      <c r="B5740" s="10">
        <v>2020</v>
      </c>
      <c r="C5740" t="s">
        <v>692</v>
      </c>
      <c r="D5740" t="s">
        <v>2472</v>
      </c>
      <c r="E5740" t="s">
        <v>2474</v>
      </c>
      <c r="F5740" t="s">
        <v>637</v>
      </c>
      <c r="G5740" t="s">
        <v>637</v>
      </c>
      <c r="H5740" s="10">
        <v>251999</v>
      </c>
      <c r="I5740" t="str">
        <f>IFERROR(VLOOKUP(Final!F5740,'LEAID Match'!$A$2:$B$374,2,FALSE),"")</f>
        <v/>
      </c>
      <c r="K5740" s="10">
        <f t="shared" si="89"/>
        <v>251999</v>
      </c>
    </row>
    <row r="5741" spans="1:11">
      <c r="A5741" t="s">
        <v>2470</v>
      </c>
      <c r="B5741" s="10">
        <v>2021</v>
      </c>
      <c r="C5741" t="s">
        <v>692</v>
      </c>
      <c r="D5741" t="s">
        <v>2472</v>
      </c>
      <c r="E5741" t="s">
        <v>2474</v>
      </c>
      <c r="F5741" t="s">
        <v>637</v>
      </c>
      <c r="G5741" t="s">
        <v>637</v>
      </c>
      <c r="H5741" s="10">
        <v>278518</v>
      </c>
      <c r="I5741" t="str">
        <f>IFERROR(VLOOKUP(Final!F5741,'LEAID Match'!$A$2:$B$374,2,FALSE),"")</f>
        <v/>
      </c>
      <c r="K5741" s="10">
        <f t="shared" si="89"/>
        <v>278518</v>
      </c>
    </row>
    <row r="5742" spans="1:11">
      <c r="A5742" t="s">
        <v>2470</v>
      </c>
      <c r="B5742" s="10">
        <v>2022</v>
      </c>
      <c r="C5742" t="s">
        <v>692</v>
      </c>
      <c r="D5742" t="s">
        <v>2472</v>
      </c>
      <c r="E5742" t="s">
        <v>2474</v>
      </c>
      <c r="F5742" t="s">
        <v>637</v>
      </c>
      <c r="G5742" t="s">
        <v>637</v>
      </c>
      <c r="H5742" s="10">
        <v>300241</v>
      </c>
      <c r="I5742" t="str">
        <f>IFERROR(VLOOKUP(Final!F5742,'LEAID Match'!$A$2:$B$374,2,FALSE),"")</f>
        <v/>
      </c>
      <c r="K5742" s="10">
        <f t="shared" si="89"/>
        <v>300241</v>
      </c>
    </row>
    <row r="5743" spans="1:11">
      <c r="A5743" t="s">
        <v>2470</v>
      </c>
      <c r="B5743" s="10">
        <v>2023</v>
      </c>
      <c r="C5743" t="s">
        <v>692</v>
      </c>
      <c r="D5743" t="s">
        <v>2472</v>
      </c>
      <c r="E5743" t="s">
        <v>2474</v>
      </c>
      <c r="F5743" t="s">
        <v>637</v>
      </c>
      <c r="G5743" t="s">
        <v>637</v>
      </c>
      <c r="H5743" s="10">
        <v>279784</v>
      </c>
      <c r="I5743" t="str">
        <f>IFERROR(VLOOKUP(Final!F5743,'LEAID Match'!$A$2:$B$374,2,FALSE),"")</f>
        <v/>
      </c>
      <c r="K5743" s="10">
        <f t="shared" si="89"/>
        <v>279784</v>
      </c>
    </row>
    <row r="5744" spans="1:11">
      <c r="A5744" t="s">
        <v>2470</v>
      </c>
      <c r="B5744" s="10">
        <v>2015</v>
      </c>
      <c r="C5744" t="s">
        <v>168</v>
      </c>
      <c r="D5744" t="s">
        <v>2472</v>
      </c>
      <c r="E5744" t="s">
        <v>2474</v>
      </c>
      <c r="F5744" t="s">
        <v>113</v>
      </c>
      <c r="G5744" t="s">
        <v>113</v>
      </c>
      <c r="H5744" s="10">
        <v>58187</v>
      </c>
      <c r="I5744" t="str">
        <f>IFERROR(VLOOKUP(Final!F5744,'LEAID Match'!$A$2:$B$374,2,FALSE),"")</f>
        <v/>
      </c>
      <c r="K5744" s="10">
        <f t="shared" si="89"/>
        <v>58187</v>
      </c>
    </row>
    <row r="5745" spans="1:11">
      <c r="A5745" t="s">
        <v>2470</v>
      </c>
      <c r="B5745" s="10">
        <v>2016</v>
      </c>
      <c r="C5745" t="s">
        <v>168</v>
      </c>
      <c r="D5745" t="s">
        <v>2472</v>
      </c>
      <c r="E5745" t="s">
        <v>2474</v>
      </c>
      <c r="F5745" t="s">
        <v>113</v>
      </c>
      <c r="G5745" t="s">
        <v>113</v>
      </c>
      <c r="H5745" s="10">
        <v>62107</v>
      </c>
      <c r="I5745" t="str">
        <f>IFERROR(VLOOKUP(Final!F5745,'LEAID Match'!$A$2:$B$374,2,FALSE),"")</f>
        <v/>
      </c>
      <c r="K5745" s="10">
        <f t="shared" si="89"/>
        <v>62107</v>
      </c>
    </row>
    <row r="5746" spans="1:11">
      <c r="A5746" t="s">
        <v>2470</v>
      </c>
      <c r="B5746" s="10">
        <v>2017</v>
      </c>
      <c r="C5746" t="s">
        <v>168</v>
      </c>
      <c r="D5746" t="s">
        <v>2472</v>
      </c>
      <c r="E5746" t="s">
        <v>2474</v>
      </c>
      <c r="F5746" t="s">
        <v>113</v>
      </c>
      <c r="G5746" t="s">
        <v>113</v>
      </c>
      <c r="H5746" s="10">
        <v>44811</v>
      </c>
      <c r="I5746" t="str">
        <f>IFERROR(VLOOKUP(Final!F5746,'LEAID Match'!$A$2:$B$374,2,FALSE),"")</f>
        <v/>
      </c>
      <c r="K5746" s="10">
        <f t="shared" si="89"/>
        <v>44811</v>
      </c>
    </row>
    <row r="5747" spans="1:11">
      <c r="A5747" t="s">
        <v>2470</v>
      </c>
      <c r="B5747" s="10">
        <v>2018</v>
      </c>
      <c r="C5747" t="s">
        <v>168</v>
      </c>
      <c r="D5747" t="s">
        <v>2472</v>
      </c>
      <c r="E5747" t="s">
        <v>2474</v>
      </c>
      <c r="F5747" t="s">
        <v>113</v>
      </c>
      <c r="G5747" t="s">
        <v>113</v>
      </c>
      <c r="H5747" s="10">
        <v>49443</v>
      </c>
      <c r="I5747" t="str">
        <f>IFERROR(VLOOKUP(Final!F5747,'LEAID Match'!$A$2:$B$374,2,FALSE),"")</f>
        <v/>
      </c>
      <c r="K5747" s="10">
        <f t="shared" si="89"/>
        <v>49443</v>
      </c>
    </row>
    <row r="5748" spans="1:11">
      <c r="A5748" t="s">
        <v>2470</v>
      </c>
      <c r="B5748" s="10">
        <v>2019</v>
      </c>
      <c r="C5748" t="s">
        <v>168</v>
      </c>
      <c r="D5748" t="s">
        <v>2472</v>
      </c>
      <c r="E5748" t="s">
        <v>2474</v>
      </c>
      <c r="F5748" t="s">
        <v>113</v>
      </c>
      <c r="G5748" t="s">
        <v>113</v>
      </c>
      <c r="H5748" s="10">
        <v>47865</v>
      </c>
      <c r="I5748" t="str">
        <f>IFERROR(VLOOKUP(Final!F5748,'LEAID Match'!$A$2:$B$374,2,FALSE),"")</f>
        <v/>
      </c>
      <c r="K5748" s="10">
        <f t="shared" si="89"/>
        <v>47865</v>
      </c>
    </row>
    <row r="5749" spans="1:11">
      <c r="A5749" t="s">
        <v>2470</v>
      </c>
      <c r="B5749" s="10">
        <v>2020</v>
      </c>
      <c r="C5749" t="s">
        <v>168</v>
      </c>
      <c r="D5749" t="s">
        <v>2472</v>
      </c>
      <c r="E5749" t="s">
        <v>2474</v>
      </c>
      <c r="F5749" t="s">
        <v>113</v>
      </c>
      <c r="G5749" t="s">
        <v>113</v>
      </c>
      <c r="H5749" s="10">
        <v>52087</v>
      </c>
      <c r="I5749" t="str">
        <f>IFERROR(VLOOKUP(Final!F5749,'LEAID Match'!$A$2:$B$374,2,FALSE),"")</f>
        <v/>
      </c>
      <c r="K5749" s="10">
        <f t="shared" si="89"/>
        <v>52087</v>
      </c>
    </row>
    <row r="5750" spans="1:11">
      <c r="A5750" t="s">
        <v>2470</v>
      </c>
      <c r="B5750" s="10">
        <v>2021</v>
      </c>
      <c r="C5750" t="s">
        <v>168</v>
      </c>
      <c r="D5750" t="s">
        <v>2472</v>
      </c>
      <c r="E5750" t="s">
        <v>2474</v>
      </c>
      <c r="F5750" t="s">
        <v>113</v>
      </c>
      <c r="G5750" t="s">
        <v>113</v>
      </c>
      <c r="H5750" s="10">
        <v>62613</v>
      </c>
      <c r="I5750" t="str">
        <f>IFERROR(VLOOKUP(Final!F5750,'LEAID Match'!$A$2:$B$374,2,FALSE),"")</f>
        <v/>
      </c>
      <c r="K5750" s="10">
        <f t="shared" si="89"/>
        <v>62613</v>
      </c>
    </row>
    <row r="5751" spans="1:11">
      <c r="A5751" t="s">
        <v>2470</v>
      </c>
      <c r="B5751" s="10">
        <v>2022</v>
      </c>
      <c r="C5751" t="s">
        <v>168</v>
      </c>
      <c r="D5751" t="s">
        <v>2472</v>
      </c>
      <c r="E5751" t="s">
        <v>2474</v>
      </c>
      <c r="F5751" t="s">
        <v>113</v>
      </c>
      <c r="G5751" t="s">
        <v>113</v>
      </c>
      <c r="H5751" s="10">
        <v>72708</v>
      </c>
      <c r="I5751" t="str">
        <f>IFERROR(VLOOKUP(Final!F5751,'LEAID Match'!$A$2:$B$374,2,FALSE),"")</f>
        <v/>
      </c>
      <c r="K5751" s="10">
        <f t="shared" si="89"/>
        <v>72708</v>
      </c>
    </row>
    <row r="5752" spans="1:11">
      <c r="A5752" t="s">
        <v>2470</v>
      </c>
      <c r="B5752" s="10">
        <v>2023</v>
      </c>
      <c r="C5752" t="s">
        <v>168</v>
      </c>
      <c r="D5752" t="s">
        <v>2472</v>
      </c>
      <c r="E5752" t="s">
        <v>2474</v>
      </c>
      <c r="F5752" t="s">
        <v>113</v>
      </c>
      <c r="G5752" t="s">
        <v>113</v>
      </c>
      <c r="H5752" s="10">
        <v>74113</v>
      </c>
      <c r="I5752" t="str">
        <f>IFERROR(VLOOKUP(Final!F5752,'LEAID Match'!$A$2:$B$374,2,FALSE),"")</f>
        <v/>
      </c>
      <c r="K5752" s="10">
        <f t="shared" si="89"/>
        <v>74113</v>
      </c>
    </row>
    <row r="5753" spans="1:11">
      <c r="A5753" t="s">
        <v>2470</v>
      </c>
      <c r="B5753" s="10">
        <v>2015</v>
      </c>
      <c r="C5753" t="s">
        <v>1027</v>
      </c>
      <c r="D5753" t="s">
        <v>2472</v>
      </c>
      <c r="E5753" t="s">
        <v>2474</v>
      </c>
      <c r="F5753" t="s">
        <v>1909</v>
      </c>
      <c r="G5753" t="s">
        <v>972</v>
      </c>
      <c r="H5753" s="10">
        <v>20016</v>
      </c>
      <c r="I5753" t="str">
        <f>IFERROR(VLOOKUP(Final!F5753,'LEAID Match'!$A$2:$B$374,2,FALSE),"")</f>
        <v/>
      </c>
      <c r="K5753" s="10">
        <f t="shared" si="89"/>
        <v>20016</v>
      </c>
    </row>
    <row r="5754" spans="1:11">
      <c r="A5754" t="s">
        <v>2470</v>
      </c>
      <c r="B5754" s="10">
        <v>2016</v>
      </c>
      <c r="C5754" t="s">
        <v>1027</v>
      </c>
      <c r="D5754" t="s">
        <v>2472</v>
      </c>
      <c r="E5754" t="s">
        <v>2474</v>
      </c>
      <c r="F5754" t="s">
        <v>1909</v>
      </c>
      <c r="G5754" t="s">
        <v>972</v>
      </c>
      <c r="H5754" s="10">
        <v>19735</v>
      </c>
      <c r="I5754" t="str">
        <f>IFERROR(VLOOKUP(Final!F5754,'LEAID Match'!$A$2:$B$374,2,FALSE),"")</f>
        <v/>
      </c>
      <c r="K5754" s="10">
        <f t="shared" si="89"/>
        <v>19735</v>
      </c>
    </row>
    <row r="5755" spans="1:11">
      <c r="A5755" t="s">
        <v>2470</v>
      </c>
      <c r="B5755" s="10">
        <v>2017</v>
      </c>
      <c r="C5755" t="s">
        <v>1027</v>
      </c>
      <c r="D5755" t="s">
        <v>2472</v>
      </c>
      <c r="E5755" t="s">
        <v>2474</v>
      </c>
      <c r="F5755" t="s">
        <v>1909</v>
      </c>
      <c r="G5755" t="s">
        <v>1909</v>
      </c>
      <c r="H5755" s="10">
        <v>20201</v>
      </c>
      <c r="I5755" t="str">
        <f>IFERROR(VLOOKUP(Final!F5755,'LEAID Match'!$A$2:$B$374,2,FALSE),"")</f>
        <v/>
      </c>
      <c r="K5755" s="10">
        <f t="shared" si="89"/>
        <v>20201</v>
      </c>
    </row>
    <row r="5756" spans="1:11">
      <c r="A5756" t="s">
        <v>2470</v>
      </c>
      <c r="B5756" s="10">
        <v>2018</v>
      </c>
      <c r="C5756" t="s">
        <v>1027</v>
      </c>
      <c r="D5756" t="s">
        <v>2472</v>
      </c>
      <c r="E5756" t="s">
        <v>2474</v>
      </c>
      <c r="F5756" t="s">
        <v>1909</v>
      </c>
      <c r="G5756" t="s">
        <v>2292</v>
      </c>
      <c r="H5756" s="10">
        <v>21001</v>
      </c>
      <c r="I5756" t="str">
        <f>IFERROR(VLOOKUP(Final!F5756,'LEAID Match'!$A$2:$B$374,2,FALSE),"")</f>
        <v/>
      </c>
      <c r="K5756" s="10">
        <f t="shared" si="89"/>
        <v>21001</v>
      </c>
    </row>
    <row r="5757" spans="1:11">
      <c r="A5757" t="s">
        <v>2470</v>
      </c>
      <c r="B5757" s="10">
        <v>2019</v>
      </c>
      <c r="C5757" t="s">
        <v>1027</v>
      </c>
      <c r="D5757" t="s">
        <v>2472</v>
      </c>
      <c r="E5757" t="s">
        <v>2474</v>
      </c>
      <c r="F5757" t="s">
        <v>1909</v>
      </c>
      <c r="G5757" t="s">
        <v>1909</v>
      </c>
      <c r="H5757" s="10">
        <v>19896</v>
      </c>
      <c r="I5757" t="str">
        <f>IFERROR(VLOOKUP(Final!F5757,'LEAID Match'!$A$2:$B$374,2,FALSE),"")</f>
        <v/>
      </c>
      <c r="K5757" s="10">
        <f t="shared" si="89"/>
        <v>19896</v>
      </c>
    </row>
    <row r="5758" spans="1:11">
      <c r="A5758" t="s">
        <v>2470</v>
      </c>
      <c r="B5758" s="10">
        <v>2020</v>
      </c>
      <c r="C5758" t="s">
        <v>1027</v>
      </c>
      <c r="D5758" t="s">
        <v>2472</v>
      </c>
      <c r="E5758" t="s">
        <v>2474</v>
      </c>
      <c r="F5758" t="s">
        <v>1909</v>
      </c>
      <c r="G5758" t="s">
        <v>1909</v>
      </c>
      <c r="H5758" s="10">
        <v>19314</v>
      </c>
      <c r="I5758" t="str">
        <f>IFERROR(VLOOKUP(Final!F5758,'LEAID Match'!$A$2:$B$374,2,FALSE),"")</f>
        <v/>
      </c>
      <c r="K5758" s="10">
        <f t="shared" si="89"/>
        <v>19314</v>
      </c>
    </row>
    <row r="5759" spans="1:11">
      <c r="A5759" t="s">
        <v>2470</v>
      </c>
      <c r="B5759" s="10">
        <v>2021</v>
      </c>
      <c r="C5759" t="s">
        <v>1027</v>
      </c>
      <c r="D5759" t="s">
        <v>2472</v>
      </c>
      <c r="E5759" t="s">
        <v>2474</v>
      </c>
      <c r="F5759" t="s">
        <v>1909</v>
      </c>
      <c r="G5759" t="s">
        <v>1909</v>
      </c>
      <c r="H5759" s="10">
        <v>20772</v>
      </c>
      <c r="I5759" t="str">
        <f>IFERROR(VLOOKUP(Final!F5759,'LEAID Match'!$A$2:$B$374,2,FALSE),"")</f>
        <v/>
      </c>
      <c r="K5759" s="10">
        <f t="shared" si="89"/>
        <v>20772</v>
      </c>
    </row>
    <row r="5760" spans="1:11">
      <c r="A5760" t="s">
        <v>2470</v>
      </c>
      <c r="B5760" s="10">
        <v>2022</v>
      </c>
      <c r="C5760" t="s">
        <v>1027</v>
      </c>
      <c r="D5760" t="s">
        <v>2472</v>
      </c>
      <c r="E5760" t="s">
        <v>2474</v>
      </c>
      <c r="F5760" t="s">
        <v>1909</v>
      </c>
      <c r="G5760" t="s">
        <v>1909</v>
      </c>
      <c r="H5760" s="10">
        <v>23526</v>
      </c>
      <c r="I5760" t="str">
        <f>IFERROR(VLOOKUP(Final!F5760,'LEAID Match'!$A$2:$B$374,2,FALSE),"")</f>
        <v/>
      </c>
      <c r="K5760" s="10">
        <f t="shared" si="89"/>
        <v>23526</v>
      </c>
    </row>
    <row r="5761" spans="1:11">
      <c r="A5761" t="s">
        <v>2470</v>
      </c>
      <c r="B5761" s="10">
        <v>2023</v>
      </c>
      <c r="C5761" t="s">
        <v>1027</v>
      </c>
      <c r="D5761" t="s">
        <v>2472</v>
      </c>
      <c r="E5761" t="s">
        <v>2474</v>
      </c>
      <c r="F5761" t="s">
        <v>1909</v>
      </c>
      <c r="G5761" t="s">
        <v>1909</v>
      </c>
      <c r="H5761" s="10">
        <v>26969</v>
      </c>
      <c r="I5761" t="str">
        <f>IFERROR(VLOOKUP(Final!F5761,'LEAID Match'!$A$2:$B$374,2,FALSE),"")</f>
        <v/>
      </c>
      <c r="K5761" s="10">
        <f t="shared" si="89"/>
        <v>26969</v>
      </c>
    </row>
    <row r="5762" spans="1:11">
      <c r="A5762" t="s">
        <v>2470</v>
      </c>
      <c r="B5762" s="10">
        <v>2015</v>
      </c>
      <c r="C5762" t="s">
        <v>1316</v>
      </c>
      <c r="D5762" t="s">
        <v>2472</v>
      </c>
      <c r="E5762" t="s">
        <v>2474</v>
      </c>
      <c r="F5762" t="s">
        <v>2459</v>
      </c>
      <c r="G5762" t="s">
        <v>1268</v>
      </c>
      <c r="H5762" s="10">
        <v>289817</v>
      </c>
      <c r="I5762" t="str">
        <f>IFERROR(VLOOKUP(Final!F5762,'LEAID Match'!$A$2:$B$374,2,FALSE),"")</f>
        <v/>
      </c>
      <c r="K5762" s="10">
        <f t="shared" si="89"/>
        <v>289817</v>
      </c>
    </row>
    <row r="5763" spans="1:11">
      <c r="A5763" t="s">
        <v>2470</v>
      </c>
      <c r="B5763" s="10">
        <v>2016</v>
      </c>
      <c r="C5763" t="s">
        <v>1316</v>
      </c>
      <c r="D5763" t="s">
        <v>2472</v>
      </c>
      <c r="E5763" t="s">
        <v>2474</v>
      </c>
      <c r="F5763" t="s">
        <v>2459</v>
      </c>
      <c r="G5763" t="s">
        <v>1268</v>
      </c>
      <c r="H5763" s="10">
        <v>277401</v>
      </c>
      <c r="I5763" t="str">
        <f>IFERROR(VLOOKUP(Final!F5763,'LEAID Match'!$A$2:$B$374,2,FALSE),"")</f>
        <v/>
      </c>
      <c r="K5763" s="10">
        <f t="shared" ref="K5763:K5826" si="90">SUM(H5763,J5763)</f>
        <v>277401</v>
      </c>
    </row>
    <row r="5764" spans="1:11">
      <c r="A5764" t="s">
        <v>2470</v>
      </c>
      <c r="B5764" s="10">
        <v>2017</v>
      </c>
      <c r="C5764" t="s">
        <v>1316</v>
      </c>
      <c r="D5764" t="s">
        <v>2472</v>
      </c>
      <c r="E5764" t="s">
        <v>2474</v>
      </c>
      <c r="F5764" t="s">
        <v>2459</v>
      </c>
      <c r="G5764" t="s">
        <v>2006</v>
      </c>
      <c r="H5764" s="10">
        <v>259659</v>
      </c>
      <c r="I5764" t="str">
        <f>IFERROR(VLOOKUP(Final!F5764,'LEAID Match'!$A$2:$B$374,2,FALSE),"")</f>
        <v/>
      </c>
      <c r="K5764" s="10">
        <f t="shared" si="90"/>
        <v>259659</v>
      </c>
    </row>
    <row r="5765" spans="1:11">
      <c r="A5765" t="s">
        <v>2470</v>
      </c>
      <c r="B5765" s="10">
        <v>2018</v>
      </c>
      <c r="C5765" t="s">
        <v>1316</v>
      </c>
      <c r="D5765" t="s">
        <v>2472</v>
      </c>
      <c r="E5765" t="s">
        <v>2474</v>
      </c>
      <c r="F5765" t="s">
        <v>2459</v>
      </c>
      <c r="G5765" t="s">
        <v>2006</v>
      </c>
      <c r="H5765" s="10">
        <v>276741</v>
      </c>
      <c r="I5765" t="str">
        <f>IFERROR(VLOOKUP(Final!F5765,'LEAID Match'!$A$2:$B$374,2,FALSE),"")</f>
        <v/>
      </c>
      <c r="K5765" s="10">
        <f t="shared" si="90"/>
        <v>276741</v>
      </c>
    </row>
    <row r="5766" spans="1:11">
      <c r="A5766" t="s">
        <v>2470</v>
      </c>
      <c r="B5766" s="10">
        <v>2019</v>
      </c>
      <c r="C5766" t="s">
        <v>1316</v>
      </c>
      <c r="D5766" t="s">
        <v>2472</v>
      </c>
      <c r="E5766" t="s">
        <v>2474</v>
      </c>
      <c r="F5766" t="s">
        <v>2459</v>
      </c>
      <c r="G5766" t="s">
        <v>2006</v>
      </c>
      <c r="H5766" s="10">
        <v>327120</v>
      </c>
      <c r="I5766" t="str">
        <f>IFERROR(VLOOKUP(Final!F5766,'LEAID Match'!$A$2:$B$374,2,FALSE),"")</f>
        <v/>
      </c>
      <c r="K5766" s="10">
        <f t="shared" si="90"/>
        <v>327120</v>
      </c>
    </row>
    <row r="5767" spans="1:11">
      <c r="A5767" t="s">
        <v>2470</v>
      </c>
      <c r="B5767" s="10">
        <v>2020</v>
      </c>
      <c r="C5767" t="s">
        <v>1316</v>
      </c>
      <c r="D5767" t="s">
        <v>2472</v>
      </c>
      <c r="E5767" t="s">
        <v>2474</v>
      </c>
      <c r="F5767" t="s">
        <v>2459</v>
      </c>
      <c r="G5767" t="s">
        <v>2006</v>
      </c>
      <c r="H5767" s="10">
        <v>344438</v>
      </c>
      <c r="I5767" t="str">
        <f>IFERROR(VLOOKUP(Final!F5767,'LEAID Match'!$A$2:$B$374,2,FALSE),"")</f>
        <v/>
      </c>
      <c r="K5767" s="10">
        <f t="shared" si="90"/>
        <v>344438</v>
      </c>
    </row>
    <row r="5768" spans="1:11">
      <c r="A5768" t="s">
        <v>2470</v>
      </c>
      <c r="B5768" s="10">
        <v>2021</v>
      </c>
      <c r="C5768" t="s">
        <v>1316</v>
      </c>
      <c r="D5768" t="s">
        <v>2472</v>
      </c>
      <c r="E5768" t="s">
        <v>2474</v>
      </c>
      <c r="F5768" t="s">
        <v>2459</v>
      </c>
      <c r="G5768" t="s">
        <v>2006</v>
      </c>
      <c r="H5768" s="10">
        <v>382247</v>
      </c>
      <c r="I5768" t="str">
        <f>IFERROR(VLOOKUP(Final!F5768,'LEAID Match'!$A$2:$B$374,2,FALSE),"")</f>
        <v/>
      </c>
      <c r="K5768" s="10">
        <f t="shared" si="90"/>
        <v>382247</v>
      </c>
    </row>
    <row r="5769" spans="1:11">
      <c r="A5769" t="s">
        <v>2470</v>
      </c>
      <c r="B5769" s="10">
        <v>2022</v>
      </c>
      <c r="C5769" t="s">
        <v>1316</v>
      </c>
      <c r="D5769" t="s">
        <v>2472</v>
      </c>
      <c r="E5769" t="s">
        <v>2474</v>
      </c>
      <c r="F5769" t="s">
        <v>2459</v>
      </c>
      <c r="G5769" t="s">
        <v>2006</v>
      </c>
      <c r="H5769" s="10">
        <v>422441</v>
      </c>
      <c r="I5769" t="str">
        <f>IFERROR(VLOOKUP(Final!F5769,'LEAID Match'!$A$2:$B$374,2,FALSE),"")</f>
        <v/>
      </c>
      <c r="K5769" s="10">
        <f t="shared" si="90"/>
        <v>422441</v>
      </c>
    </row>
    <row r="5770" spans="1:11">
      <c r="A5770" t="s">
        <v>2470</v>
      </c>
      <c r="B5770" s="10">
        <v>2023</v>
      </c>
      <c r="C5770" t="s">
        <v>1316</v>
      </c>
      <c r="D5770" t="s">
        <v>2472</v>
      </c>
      <c r="E5770" t="s">
        <v>2474</v>
      </c>
      <c r="F5770" t="s">
        <v>2459</v>
      </c>
      <c r="G5770" t="s">
        <v>2459</v>
      </c>
      <c r="H5770" s="10">
        <v>456017</v>
      </c>
      <c r="I5770" t="str">
        <f>IFERROR(VLOOKUP(Final!F5770,'LEAID Match'!$A$2:$B$374,2,FALSE),"")</f>
        <v/>
      </c>
      <c r="K5770" s="10">
        <f t="shared" si="90"/>
        <v>456017</v>
      </c>
    </row>
    <row r="5771" spans="1:11">
      <c r="A5771" t="s">
        <v>2470</v>
      </c>
      <c r="B5771" s="10">
        <v>2015</v>
      </c>
      <c r="C5771" t="s">
        <v>1033</v>
      </c>
      <c r="D5771" t="s">
        <v>2472</v>
      </c>
      <c r="E5771" t="s">
        <v>2474</v>
      </c>
      <c r="F5771" t="s">
        <v>2005</v>
      </c>
      <c r="G5771" t="s">
        <v>978</v>
      </c>
      <c r="H5771" s="10">
        <v>1847262</v>
      </c>
      <c r="I5771" t="str">
        <f>IFERROR(VLOOKUP(Final!F5771,'LEAID Match'!$A$2:$B$374,2,FALSE),"")</f>
        <v/>
      </c>
      <c r="K5771" s="10">
        <f t="shared" si="90"/>
        <v>1847262</v>
      </c>
    </row>
    <row r="5772" spans="1:11">
      <c r="A5772" t="s">
        <v>2470</v>
      </c>
      <c r="B5772" s="10">
        <v>2016</v>
      </c>
      <c r="C5772" t="s">
        <v>1033</v>
      </c>
      <c r="D5772" t="s">
        <v>2472</v>
      </c>
      <c r="E5772" t="s">
        <v>2474</v>
      </c>
      <c r="F5772" t="s">
        <v>2005</v>
      </c>
      <c r="G5772" t="s">
        <v>978</v>
      </c>
      <c r="H5772" s="10">
        <v>1916042</v>
      </c>
      <c r="I5772" t="str">
        <f>IFERROR(VLOOKUP(Final!F5772,'LEAID Match'!$A$2:$B$374,2,FALSE),"")</f>
        <v/>
      </c>
      <c r="K5772" s="10">
        <f t="shared" si="90"/>
        <v>1916042</v>
      </c>
    </row>
    <row r="5773" spans="1:11">
      <c r="A5773" t="s">
        <v>2470</v>
      </c>
      <c r="B5773" s="10">
        <v>2017</v>
      </c>
      <c r="C5773" t="s">
        <v>1033</v>
      </c>
      <c r="D5773" t="s">
        <v>2472</v>
      </c>
      <c r="E5773" t="s">
        <v>2474</v>
      </c>
      <c r="F5773" t="s">
        <v>2005</v>
      </c>
      <c r="G5773" t="s">
        <v>2005</v>
      </c>
      <c r="H5773" s="10">
        <v>1948727</v>
      </c>
      <c r="I5773" t="str">
        <f>IFERROR(VLOOKUP(Final!F5773,'LEAID Match'!$A$2:$B$374,2,FALSE),"")</f>
        <v/>
      </c>
      <c r="K5773" s="10">
        <f t="shared" si="90"/>
        <v>1948727</v>
      </c>
    </row>
    <row r="5774" spans="1:11">
      <c r="A5774" t="s">
        <v>2470</v>
      </c>
      <c r="B5774" s="10">
        <v>2018</v>
      </c>
      <c r="C5774" t="s">
        <v>1033</v>
      </c>
      <c r="D5774" t="s">
        <v>2472</v>
      </c>
      <c r="E5774" t="s">
        <v>2474</v>
      </c>
      <c r="F5774" t="s">
        <v>2005</v>
      </c>
      <c r="G5774" t="s">
        <v>2005</v>
      </c>
      <c r="H5774" s="10">
        <v>2201566</v>
      </c>
      <c r="I5774" t="str">
        <f>IFERROR(VLOOKUP(Final!F5774,'LEAID Match'!$A$2:$B$374,2,FALSE),"")</f>
        <v/>
      </c>
      <c r="K5774" s="10">
        <f t="shared" si="90"/>
        <v>2201566</v>
      </c>
    </row>
    <row r="5775" spans="1:11">
      <c r="A5775" t="s">
        <v>2470</v>
      </c>
      <c r="B5775" s="10">
        <v>2019</v>
      </c>
      <c r="C5775" t="s">
        <v>1033</v>
      </c>
      <c r="D5775" t="s">
        <v>2472</v>
      </c>
      <c r="E5775" t="s">
        <v>2474</v>
      </c>
      <c r="F5775" t="s">
        <v>2005</v>
      </c>
      <c r="G5775" t="s">
        <v>2005</v>
      </c>
      <c r="H5775" s="10">
        <v>2611447</v>
      </c>
      <c r="I5775" t="str">
        <f>IFERROR(VLOOKUP(Final!F5775,'LEAID Match'!$A$2:$B$374,2,FALSE),"")</f>
        <v/>
      </c>
      <c r="K5775" s="10">
        <f t="shared" si="90"/>
        <v>2611447</v>
      </c>
    </row>
    <row r="5776" spans="1:11">
      <c r="A5776" t="s">
        <v>2470</v>
      </c>
      <c r="B5776" s="10">
        <v>2020</v>
      </c>
      <c r="C5776" t="s">
        <v>1033</v>
      </c>
      <c r="D5776" t="s">
        <v>2472</v>
      </c>
      <c r="E5776" t="s">
        <v>2474</v>
      </c>
      <c r="F5776" t="s">
        <v>2005</v>
      </c>
      <c r="G5776" t="s">
        <v>2005</v>
      </c>
      <c r="H5776" s="10">
        <v>2756995</v>
      </c>
      <c r="I5776" t="str">
        <f>IFERROR(VLOOKUP(Final!F5776,'LEAID Match'!$A$2:$B$374,2,FALSE),"")</f>
        <v/>
      </c>
      <c r="K5776" s="10">
        <f t="shared" si="90"/>
        <v>2756995</v>
      </c>
    </row>
    <row r="5777" spans="1:11">
      <c r="A5777" t="s">
        <v>2470</v>
      </c>
      <c r="B5777" s="10">
        <v>2021</v>
      </c>
      <c r="C5777" t="s">
        <v>1033</v>
      </c>
      <c r="D5777" t="s">
        <v>2472</v>
      </c>
      <c r="E5777" t="s">
        <v>2474</v>
      </c>
      <c r="F5777" t="s">
        <v>2005</v>
      </c>
      <c r="G5777" t="s">
        <v>2005</v>
      </c>
      <c r="H5777" s="10">
        <v>2953789</v>
      </c>
      <c r="I5777" t="str">
        <f>IFERROR(VLOOKUP(Final!F5777,'LEAID Match'!$A$2:$B$374,2,FALSE),"")</f>
        <v/>
      </c>
      <c r="K5777" s="10">
        <f t="shared" si="90"/>
        <v>2953789</v>
      </c>
    </row>
    <row r="5778" spans="1:11">
      <c r="A5778" t="s">
        <v>2470</v>
      </c>
      <c r="B5778" s="10">
        <v>2022</v>
      </c>
      <c r="C5778" t="s">
        <v>1033</v>
      </c>
      <c r="D5778" t="s">
        <v>2472</v>
      </c>
      <c r="E5778" t="s">
        <v>2474</v>
      </c>
      <c r="F5778" t="s">
        <v>2005</v>
      </c>
      <c r="G5778" t="s">
        <v>2005</v>
      </c>
      <c r="H5778" s="10">
        <v>3325423</v>
      </c>
      <c r="I5778" t="str">
        <f>IFERROR(VLOOKUP(Final!F5778,'LEAID Match'!$A$2:$B$374,2,FALSE),"")</f>
        <v/>
      </c>
      <c r="K5778" s="10">
        <f t="shared" si="90"/>
        <v>3325423</v>
      </c>
    </row>
    <row r="5779" spans="1:11">
      <c r="A5779" t="s">
        <v>2470</v>
      </c>
      <c r="B5779" s="10">
        <v>2023</v>
      </c>
      <c r="C5779" t="s">
        <v>1033</v>
      </c>
      <c r="D5779" t="s">
        <v>2472</v>
      </c>
      <c r="E5779" t="s">
        <v>2474</v>
      </c>
      <c r="F5779" t="s">
        <v>2005</v>
      </c>
      <c r="G5779" t="s">
        <v>2005</v>
      </c>
      <c r="H5779" s="10">
        <v>3622966</v>
      </c>
      <c r="I5779" t="str">
        <f>IFERROR(VLOOKUP(Final!F5779,'LEAID Match'!$A$2:$B$374,2,FALSE),"")</f>
        <v/>
      </c>
      <c r="K5779" s="10">
        <f t="shared" si="90"/>
        <v>3622966</v>
      </c>
    </row>
    <row r="5780" spans="1:11">
      <c r="A5780" t="s">
        <v>2470</v>
      </c>
      <c r="B5780" s="10">
        <v>2015</v>
      </c>
      <c r="C5780" t="s">
        <v>897</v>
      </c>
      <c r="D5780" t="s">
        <v>2472</v>
      </c>
      <c r="E5780" t="s">
        <v>2474</v>
      </c>
      <c r="F5780" t="s">
        <v>1841</v>
      </c>
      <c r="G5780" t="s">
        <v>842</v>
      </c>
      <c r="H5780" s="10">
        <v>346235</v>
      </c>
      <c r="I5780" t="str">
        <f>IFERROR(VLOOKUP(Final!F5780,'LEAID Match'!$A$2:$B$374,2,FALSE),"")</f>
        <v/>
      </c>
      <c r="K5780" s="10">
        <f t="shared" si="90"/>
        <v>346235</v>
      </c>
    </row>
    <row r="5781" spans="1:11">
      <c r="A5781" t="s">
        <v>2470</v>
      </c>
      <c r="B5781" s="10">
        <v>2016</v>
      </c>
      <c r="C5781" t="s">
        <v>897</v>
      </c>
      <c r="D5781" t="s">
        <v>2472</v>
      </c>
      <c r="E5781" t="s">
        <v>2474</v>
      </c>
      <c r="F5781" t="s">
        <v>1841</v>
      </c>
      <c r="G5781" t="s">
        <v>842</v>
      </c>
      <c r="H5781" s="10">
        <v>392494</v>
      </c>
      <c r="I5781" t="str">
        <f>IFERROR(VLOOKUP(Final!F5781,'LEAID Match'!$A$2:$B$374,2,FALSE),"")</f>
        <v/>
      </c>
      <c r="K5781" s="10">
        <f t="shared" si="90"/>
        <v>392494</v>
      </c>
    </row>
    <row r="5782" spans="1:11">
      <c r="A5782" t="s">
        <v>2470</v>
      </c>
      <c r="B5782" s="10">
        <v>2017</v>
      </c>
      <c r="C5782" t="s">
        <v>897</v>
      </c>
      <c r="D5782" t="s">
        <v>2472</v>
      </c>
      <c r="E5782" t="s">
        <v>2474</v>
      </c>
      <c r="F5782" t="s">
        <v>1841</v>
      </c>
      <c r="G5782" t="s">
        <v>1841</v>
      </c>
      <c r="H5782" s="10">
        <v>434795</v>
      </c>
      <c r="I5782" t="str">
        <f>IFERROR(VLOOKUP(Final!F5782,'LEAID Match'!$A$2:$B$374,2,FALSE),"")</f>
        <v/>
      </c>
      <c r="K5782" s="10">
        <f t="shared" si="90"/>
        <v>434795</v>
      </c>
    </row>
    <row r="5783" spans="1:11">
      <c r="A5783" t="s">
        <v>2470</v>
      </c>
      <c r="B5783" s="10">
        <v>2018</v>
      </c>
      <c r="C5783" t="s">
        <v>897</v>
      </c>
      <c r="D5783" t="s">
        <v>2472</v>
      </c>
      <c r="E5783" t="s">
        <v>2474</v>
      </c>
      <c r="F5783" t="s">
        <v>1841</v>
      </c>
      <c r="G5783" t="s">
        <v>2260</v>
      </c>
      <c r="H5783" s="10">
        <v>489472</v>
      </c>
      <c r="I5783" t="str">
        <f>IFERROR(VLOOKUP(Final!F5783,'LEAID Match'!$A$2:$B$374,2,FALSE),"")</f>
        <v/>
      </c>
      <c r="K5783" s="10">
        <f t="shared" si="90"/>
        <v>489472</v>
      </c>
    </row>
    <row r="5784" spans="1:11">
      <c r="A5784" t="s">
        <v>2470</v>
      </c>
      <c r="B5784" s="10">
        <v>2019</v>
      </c>
      <c r="C5784" t="s">
        <v>897</v>
      </c>
      <c r="D5784" t="s">
        <v>2472</v>
      </c>
      <c r="E5784" t="s">
        <v>2474</v>
      </c>
      <c r="F5784" t="s">
        <v>1841</v>
      </c>
      <c r="G5784" t="s">
        <v>2380</v>
      </c>
      <c r="H5784" s="10">
        <v>526903</v>
      </c>
      <c r="I5784" t="str">
        <f>IFERROR(VLOOKUP(Final!F5784,'LEAID Match'!$A$2:$B$374,2,FALSE),"")</f>
        <v/>
      </c>
      <c r="K5784" s="10">
        <f t="shared" si="90"/>
        <v>526903</v>
      </c>
    </row>
    <row r="5785" spans="1:11">
      <c r="A5785" t="s">
        <v>2470</v>
      </c>
      <c r="B5785" s="10">
        <v>2020</v>
      </c>
      <c r="C5785" t="s">
        <v>897</v>
      </c>
      <c r="D5785" t="s">
        <v>2472</v>
      </c>
      <c r="E5785" t="s">
        <v>2474</v>
      </c>
      <c r="F5785" t="s">
        <v>1841</v>
      </c>
      <c r="G5785" t="s">
        <v>1841</v>
      </c>
      <c r="H5785" s="10">
        <v>568261</v>
      </c>
      <c r="I5785" t="str">
        <f>IFERROR(VLOOKUP(Final!F5785,'LEAID Match'!$A$2:$B$374,2,FALSE),"")</f>
        <v/>
      </c>
      <c r="K5785" s="10">
        <f t="shared" si="90"/>
        <v>568261</v>
      </c>
    </row>
    <row r="5786" spans="1:11">
      <c r="A5786" t="s">
        <v>2470</v>
      </c>
      <c r="B5786" s="10">
        <v>2021</v>
      </c>
      <c r="C5786" t="s">
        <v>897</v>
      </c>
      <c r="D5786" t="s">
        <v>2472</v>
      </c>
      <c r="E5786" t="s">
        <v>2474</v>
      </c>
      <c r="F5786" t="s">
        <v>1841</v>
      </c>
      <c r="G5786" t="s">
        <v>1841</v>
      </c>
      <c r="H5786" s="10">
        <v>614084</v>
      </c>
      <c r="I5786" t="str">
        <f>IFERROR(VLOOKUP(Final!F5786,'LEAID Match'!$A$2:$B$374,2,FALSE),"")</f>
        <v/>
      </c>
      <c r="K5786" s="10">
        <f t="shared" si="90"/>
        <v>614084</v>
      </c>
    </row>
    <row r="5787" spans="1:11">
      <c r="A5787" t="s">
        <v>2470</v>
      </c>
      <c r="B5787" s="10">
        <v>2022</v>
      </c>
      <c r="C5787" t="s">
        <v>897</v>
      </c>
      <c r="D5787" t="s">
        <v>2472</v>
      </c>
      <c r="E5787" t="s">
        <v>2474</v>
      </c>
      <c r="F5787" t="s">
        <v>1841</v>
      </c>
      <c r="G5787" t="s">
        <v>1841</v>
      </c>
      <c r="H5787" s="10">
        <v>696646</v>
      </c>
      <c r="I5787" t="str">
        <f>IFERROR(VLOOKUP(Final!F5787,'LEAID Match'!$A$2:$B$374,2,FALSE),"")</f>
        <v/>
      </c>
      <c r="K5787" s="10">
        <f t="shared" si="90"/>
        <v>696646</v>
      </c>
    </row>
    <row r="5788" spans="1:11">
      <c r="A5788" t="s">
        <v>2470</v>
      </c>
      <c r="B5788" s="10">
        <v>2023</v>
      </c>
      <c r="C5788" t="s">
        <v>897</v>
      </c>
      <c r="D5788" t="s">
        <v>2472</v>
      </c>
      <c r="E5788" t="s">
        <v>2474</v>
      </c>
      <c r="F5788" t="s">
        <v>1841</v>
      </c>
      <c r="G5788" t="s">
        <v>1841</v>
      </c>
      <c r="H5788" s="10">
        <v>743611</v>
      </c>
      <c r="I5788" t="str">
        <f>IFERROR(VLOOKUP(Final!F5788,'LEAID Match'!$A$2:$B$374,2,FALSE),"")</f>
        <v/>
      </c>
      <c r="K5788" s="10">
        <f t="shared" si="90"/>
        <v>743611</v>
      </c>
    </row>
    <row r="5789" spans="1:11">
      <c r="A5789" t="s">
        <v>2470</v>
      </c>
      <c r="B5789" s="10">
        <v>2015</v>
      </c>
      <c r="C5789" t="s">
        <v>208</v>
      </c>
      <c r="D5789" t="s">
        <v>2472</v>
      </c>
      <c r="E5789" t="s">
        <v>2474</v>
      </c>
      <c r="F5789" t="s">
        <v>153</v>
      </c>
      <c r="G5789" t="s">
        <v>153</v>
      </c>
      <c r="H5789" s="10">
        <v>39081</v>
      </c>
      <c r="I5789" t="str">
        <f>IFERROR(VLOOKUP(Final!F5789,'LEAID Match'!$A$2:$B$374,2,FALSE),"")</f>
        <v/>
      </c>
      <c r="K5789" s="10">
        <f t="shared" si="90"/>
        <v>39081</v>
      </c>
    </row>
    <row r="5790" spans="1:11">
      <c r="A5790" t="s">
        <v>2470</v>
      </c>
      <c r="B5790" s="10">
        <v>2016</v>
      </c>
      <c r="C5790" t="s">
        <v>208</v>
      </c>
      <c r="D5790" t="s">
        <v>2472</v>
      </c>
      <c r="E5790" t="s">
        <v>2474</v>
      </c>
      <c r="F5790" t="s">
        <v>153</v>
      </c>
      <c r="G5790" t="s">
        <v>153</v>
      </c>
      <c r="H5790" s="10">
        <v>41969</v>
      </c>
      <c r="I5790" t="str">
        <f>IFERROR(VLOOKUP(Final!F5790,'LEAID Match'!$A$2:$B$374,2,FALSE),"")</f>
        <v/>
      </c>
      <c r="K5790" s="10">
        <f t="shared" si="90"/>
        <v>41969</v>
      </c>
    </row>
    <row r="5791" spans="1:11">
      <c r="A5791" t="s">
        <v>2470</v>
      </c>
      <c r="B5791" s="10">
        <v>2017</v>
      </c>
      <c r="C5791" t="s">
        <v>208</v>
      </c>
      <c r="D5791" t="s">
        <v>2472</v>
      </c>
      <c r="E5791" t="s">
        <v>2474</v>
      </c>
      <c r="F5791" t="s">
        <v>153</v>
      </c>
      <c r="G5791" t="s">
        <v>153</v>
      </c>
      <c r="H5791" s="10">
        <v>6650</v>
      </c>
      <c r="I5791" t="str">
        <f>IFERROR(VLOOKUP(Final!F5791,'LEAID Match'!$A$2:$B$374,2,FALSE),"")</f>
        <v/>
      </c>
      <c r="K5791" s="10">
        <f t="shared" si="90"/>
        <v>6650</v>
      </c>
    </row>
    <row r="5792" spans="1:11">
      <c r="A5792" t="s">
        <v>2470</v>
      </c>
      <c r="B5792" s="10">
        <v>2018</v>
      </c>
      <c r="C5792" t="s">
        <v>208</v>
      </c>
      <c r="D5792" t="s">
        <v>2472</v>
      </c>
      <c r="E5792" t="s">
        <v>2474</v>
      </c>
      <c r="F5792" t="s">
        <v>153</v>
      </c>
      <c r="G5792" t="s">
        <v>153</v>
      </c>
      <c r="H5792" s="10"/>
      <c r="I5792" t="str">
        <f>IFERROR(VLOOKUP(Final!F5792,'LEAID Match'!$A$2:$B$374,2,FALSE),"")</f>
        <v/>
      </c>
      <c r="K5792" s="10">
        <f t="shared" si="90"/>
        <v>0</v>
      </c>
    </row>
    <row r="5793" spans="1:11">
      <c r="A5793" t="s">
        <v>2470</v>
      </c>
      <c r="B5793" s="10">
        <v>2019</v>
      </c>
      <c r="C5793" t="s">
        <v>208</v>
      </c>
      <c r="D5793" t="s">
        <v>2472</v>
      </c>
      <c r="E5793" t="s">
        <v>2474</v>
      </c>
      <c r="F5793" t="s">
        <v>153</v>
      </c>
      <c r="G5793" t="s">
        <v>153</v>
      </c>
      <c r="H5793" s="10"/>
      <c r="I5793" t="str">
        <f>IFERROR(VLOOKUP(Final!F5793,'LEAID Match'!$A$2:$B$374,2,FALSE),"")</f>
        <v/>
      </c>
      <c r="K5793" s="10">
        <f t="shared" si="90"/>
        <v>0</v>
      </c>
    </row>
    <row r="5794" spans="1:11">
      <c r="A5794" t="s">
        <v>2470</v>
      </c>
      <c r="B5794" s="10">
        <v>2020</v>
      </c>
      <c r="C5794" t="s">
        <v>208</v>
      </c>
      <c r="D5794" t="s">
        <v>2472</v>
      </c>
      <c r="E5794" t="s">
        <v>2474</v>
      </c>
      <c r="F5794" t="s">
        <v>153</v>
      </c>
      <c r="G5794" t="s">
        <v>153</v>
      </c>
      <c r="H5794" s="10"/>
      <c r="I5794" t="str">
        <f>IFERROR(VLOOKUP(Final!F5794,'LEAID Match'!$A$2:$B$374,2,FALSE),"")</f>
        <v/>
      </c>
      <c r="K5794" s="10">
        <f t="shared" si="90"/>
        <v>0</v>
      </c>
    </row>
    <row r="5795" spans="1:11">
      <c r="A5795" t="s">
        <v>2470</v>
      </c>
      <c r="B5795" s="10">
        <v>2021</v>
      </c>
      <c r="C5795" t="s">
        <v>208</v>
      </c>
      <c r="D5795" t="s">
        <v>2472</v>
      </c>
      <c r="E5795" t="s">
        <v>2474</v>
      </c>
      <c r="F5795" t="s">
        <v>153</v>
      </c>
      <c r="G5795" t="s">
        <v>153</v>
      </c>
      <c r="H5795" s="10"/>
      <c r="I5795" t="str">
        <f>IFERROR(VLOOKUP(Final!F5795,'LEAID Match'!$A$2:$B$374,2,FALSE),"")</f>
        <v/>
      </c>
      <c r="K5795" s="10">
        <f t="shared" si="90"/>
        <v>0</v>
      </c>
    </row>
    <row r="5796" spans="1:11">
      <c r="A5796" t="s">
        <v>2470</v>
      </c>
      <c r="B5796" s="10">
        <v>2022</v>
      </c>
      <c r="C5796" t="s">
        <v>208</v>
      </c>
      <c r="D5796" t="s">
        <v>2472</v>
      </c>
      <c r="E5796" t="s">
        <v>2474</v>
      </c>
      <c r="F5796" t="s">
        <v>153</v>
      </c>
      <c r="G5796" t="s">
        <v>153</v>
      </c>
      <c r="H5796" s="10"/>
      <c r="I5796" t="str">
        <f>IFERROR(VLOOKUP(Final!F5796,'LEAID Match'!$A$2:$B$374,2,FALSE),"")</f>
        <v/>
      </c>
      <c r="K5796" s="10">
        <f t="shared" si="90"/>
        <v>0</v>
      </c>
    </row>
    <row r="5797" spans="1:11">
      <c r="A5797" t="s">
        <v>2470</v>
      </c>
      <c r="B5797" s="10">
        <v>2023</v>
      </c>
      <c r="C5797" t="s">
        <v>208</v>
      </c>
      <c r="D5797" t="s">
        <v>2472</v>
      </c>
      <c r="E5797" t="s">
        <v>2474</v>
      </c>
      <c r="F5797" t="s">
        <v>153</v>
      </c>
      <c r="G5797" t="s">
        <v>153</v>
      </c>
      <c r="H5797" s="10"/>
      <c r="I5797" t="str">
        <f>IFERROR(VLOOKUP(Final!F5797,'LEAID Match'!$A$2:$B$374,2,FALSE),"")</f>
        <v/>
      </c>
      <c r="K5797" s="10">
        <f t="shared" si="90"/>
        <v>0</v>
      </c>
    </row>
    <row r="5798" spans="1:11">
      <c r="A5798" t="s">
        <v>2470</v>
      </c>
      <c r="B5798" s="10">
        <v>2015</v>
      </c>
      <c r="C5798" t="s">
        <v>688</v>
      </c>
      <c r="D5798" t="s">
        <v>2472</v>
      </c>
      <c r="E5798" t="s">
        <v>2474</v>
      </c>
      <c r="F5798" t="s">
        <v>1748</v>
      </c>
      <c r="G5798" t="s">
        <v>633</v>
      </c>
      <c r="H5798" s="10">
        <v>14977</v>
      </c>
      <c r="I5798" t="str">
        <f>IFERROR(VLOOKUP(Final!F5798,'LEAID Match'!$A$2:$B$374,2,FALSE),"")</f>
        <v/>
      </c>
      <c r="K5798" s="10">
        <f t="shared" si="90"/>
        <v>14977</v>
      </c>
    </row>
    <row r="5799" spans="1:11">
      <c r="A5799" t="s">
        <v>2470</v>
      </c>
      <c r="B5799" s="10">
        <v>2016</v>
      </c>
      <c r="C5799" t="s">
        <v>688</v>
      </c>
      <c r="D5799" t="s">
        <v>2472</v>
      </c>
      <c r="E5799" t="s">
        <v>2474</v>
      </c>
      <c r="F5799" t="s">
        <v>1748</v>
      </c>
      <c r="G5799" t="s">
        <v>633</v>
      </c>
      <c r="H5799" s="10">
        <v>13178</v>
      </c>
      <c r="I5799" t="str">
        <f>IFERROR(VLOOKUP(Final!F5799,'LEAID Match'!$A$2:$B$374,2,FALSE),"")</f>
        <v/>
      </c>
      <c r="K5799" s="10">
        <f t="shared" si="90"/>
        <v>13178</v>
      </c>
    </row>
    <row r="5800" spans="1:11">
      <c r="A5800" t="s">
        <v>2470</v>
      </c>
      <c r="B5800" s="10">
        <v>2017</v>
      </c>
      <c r="C5800" t="s">
        <v>688</v>
      </c>
      <c r="D5800" t="s">
        <v>2472</v>
      </c>
      <c r="E5800" t="s">
        <v>2474</v>
      </c>
      <c r="F5800" t="s">
        <v>1748</v>
      </c>
      <c r="G5800" t="s">
        <v>1748</v>
      </c>
      <c r="H5800" s="10">
        <v>13990</v>
      </c>
      <c r="I5800" t="str">
        <f>IFERROR(VLOOKUP(Final!F5800,'LEAID Match'!$A$2:$B$374,2,FALSE),"")</f>
        <v/>
      </c>
      <c r="K5800" s="10">
        <f t="shared" si="90"/>
        <v>13990</v>
      </c>
    </row>
    <row r="5801" spans="1:11">
      <c r="A5801" t="s">
        <v>2470</v>
      </c>
      <c r="B5801" s="10">
        <v>2018</v>
      </c>
      <c r="C5801" t="s">
        <v>688</v>
      </c>
      <c r="D5801" t="s">
        <v>2472</v>
      </c>
      <c r="E5801" t="s">
        <v>2474</v>
      </c>
      <c r="F5801" t="s">
        <v>1748</v>
      </c>
      <c r="G5801" t="s">
        <v>1748</v>
      </c>
      <c r="H5801" s="10">
        <v>17192</v>
      </c>
      <c r="I5801" t="str">
        <f>IFERROR(VLOOKUP(Final!F5801,'LEAID Match'!$A$2:$B$374,2,FALSE),"")</f>
        <v/>
      </c>
      <c r="K5801" s="10">
        <f t="shared" si="90"/>
        <v>17192</v>
      </c>
    </row>
    <row r="5802" spans="1:11">
      <c r="A5802" t="s">
        <v>2470</v>
      </c>
      <c r="B5802" s="10">
        <v>2019</v>
      </c>
      <c r="C5802" t="s">
        <v>688</v>
      </c>
      <c r="D5802" t="s">
        <v>2472</v>
      </c>
      <c r="E5802" t="s">
        <v>2474</v>
      </c>
      <c r="F5802" t="s">
        <v>1748</v>
      </c>
      <c r="G5802" t="s">
        <v>1748</v>
      </c>
      <c r="H5802" s="10">
        <v>27940</v>
      </c>
      <c r="I5802" t="str">
        <f>IFERROR(VLOOKUP(Final!F5802,'LEAID Match'!$A$2:$B$374,2,FALSE),"")</f>
        <v/>
      </c>
      <c r="K5802" s="10">
        <f t="shared" si="90"/>
        <v>27940</v>
      </c>
    </row>
    <row r="5803" spans="1:11">
      <c r="A5803" t="s">
        <v>2470</v>
      </c>
      <c r="B5803" s="10">
        <v>2020</v>
      </c>
      <c r="C5803" t="s">
        <v>688</v>
      </c>
      <c r="D5803" t="s">
        <v>2472</v>
      </c>
      <c r="E5803" t="s">
        <v>2474</v>
      </c>
      <c r="F5803" t="s">
        <v>1748</v>
      </c>
      <c r="G5803" t="s">
        <v>1748</v>
      </c>
      <c r="H5803" s="10">
        <v>31599</v>
      </c>
      <c r="I5803" t="str">
        <f>IFERROR(VLOOKUP(Final!F5803,'LEAID Match'!$A$2:$B$374,2,FALSE),"")</f>
        <v/>
      </c>
      <c r="K5803" s="10">
        <f t="shared" si="90"/>
        <v>31599</v>
      </c>
    </row>
    <row r="5804" spans="1:11">
      <c r="A5804" t="s">
        <v>2470</v>
      </c>
      <c r="B5804" s="10">
        <v>2021</v>
      </c>
      <c r="C5804" t="s">
        <v>688</v>
      </c>
      <c r="D5804" t="s">
        <v>2472</v>
      </c>
      <c r="E5804" t="s">
        <v>2474</v>
      </c>
      <c r="F5804" t="s">
        <v>1748</v>
      </c>
      <c r="G5804" t="s">
        <v>1748</v>
      </c>
      <c r="H5804" s="10">
        <v>37532</v>
      </c>
      <c r="I5804" t="str">
        <f>IFERROR(VLOOKUP(Final!F5804,'LEAID Match'!$A$2:$B$374,2,FALSE),"")</f>
        <v/>
      </c>
      <c r="K5804" s="10">
        <f t="shared" si="90"/>
        <v>37532</v>
      </c>
    </row>
    <row r="5805" spans="1:11">
      <c r="A5805" t="s">
        <v>2470</v>
      </c>
      <c r="B5805" s="10">
        <v>2022</v>
      </c>
      <c r="C5805" t="s">
        <v>688</v>
      </c>
      <c r="D5805" t="s">
        <v>2472</v>
      </c>
      <c r="E5805" t="s">
        <v>2474</v>
      </c>
      <c r="F5805" t="s">
        <v>1748</v>
      </c>
      <c r="G5805" t="s">
        <v>1748</v>
      </c>
      <c r="H5805" s="10">
        <v>49474</v>
      </c>
      <c r="I5805" t="str">
        <f>IFERROR(VLOOKUP(Final!F5805,'LEAID Match'!$A$2:$B$374,2,FALSE),"")</f>
        <v/>
      </c>
      <c r="K5805" s="10">
        <f t="shared" si="90"/>
        <v>49474</v>
      </c>
    </row>
    <row r="5806" spans="1:11">
      <c r="A5806" t="s">
        <v>2470</v>
      </c>
      <c r="B5806" s="10">
        <v>2023</v>
      </c>
      <c r="C5806" t="s">
        <v>688</v>
      </c>
      <c r="D5806" t="s">
        <v>2472</v>
      </c>
      <c r="E5806" t="s">
        <v>2474</v>
      </c>
      <c r="F5806" t="s">
        <v>1748</v>
      </c>
      <c r="G5806" t="s">
        <v>1748</v>
      </c>
      <c r="H5806" s="10">
        <v>47331</v>
      </c>
      <c r="I5806" t="str">
        <f>IFERROR(VLOOKUP(Final!F5806,'LEAID Match'!$A$2:$B$374,2,FALSE),"")</f>
        <v/>
      </c>
      <c r="K5806" s="10">
        <f t="shared" si="90"/>
        <v>47331</v>
      </c>
    </row>
    <row r="5807" spans="1:11">
      <c r="A5807" t="s">
        <v>2470</v>
      </c>
      <c r="B5807" s="10">
        <v>2015</v>
      </c>
      <c r="C5807" t="s">
        <v>467</v>
      </c>
      <c r="D5807" t="s">
        <v>2472</v>
      </c>
      <c r="E5807" t="s">
        <v>2474</v>
      </c>
      <c r="F5807" t="s">
        <v>412</v>
      </c>
      <c r="G5807" t="s">
        <v>412</v>
      </c>
      <c r="H5807" s="10">
        <v>6357</v>
      </c>
      <c r="I5807" t="str">
        <f>IFERROR(VLOOKUP(Final!F5807,'LEAID Match'!$A$2:$B$374,2,FALSE),"")</f>
        <v/>
      </c>
      <c r="K5807" s="10">
        <f t="shared" si="90"/>
        <v>6357</v>
      </c>
    </row>
    <row r="5808" spans="1:11">
      <c r="A5808" t="s">
        <v>2470</v>
      </c>
      <c r="B5808" s="10">
        <v>2016</v>
      </c>
      <c r="C5808" t="s">
        <v>467</v>
      </c>
      <c r="D5808" t="s">
        <v>2472</v>
      </c>
      <c r="E5808" t="s">
        <v>2474</v>
      </c>
      <c r="F5808" t="s">
        <v>412</v>
      </c>
      <c r="G5808" t="s">
        <v>412</v>
      </c>
      <c r="H5808" s="10">
        <v>11232</v>
      </c>
      <c r="I5808" t="str">
        <f>IFERROR(VLOOKUP(Final!F5808,'LEAID Match'!$A$2:$B$374,2,FALSE),"")</f>
        <v/>
      </c>
      <c r="K5808" s="10">
        <f t="shared" si="90"/>
        <v>11232</v>
      </c>
    </row>
    <row r="5809" spans="1:11">
      <c r="A5809" t="s">
        <v>2470</v>
      </c>
      <c r="B5809" s="10">
        <v>2017</v>
      </c>
      <c r="C5809" t="s">
        <v>467</v>
      </c>
      <c r="D5809" t="s">
        <v>2472</v>
      </c>
      <c r="E5809" t="s">
        <v>2474</v>
      </c>
      <c r="F5809" t="s">
        <v>412</v>
      </c>
      <c r="G5809" t="s">
        <v>412</v>
      </c>
      <c r="H5809" s="10"/>
      <c r="I5809" t="str">
        <f>IFERROR(VLOOKUP(Final!F5809,'LEAID Match'!$A$2:$B$374,2,FALSE),"")</f>
        <v/>
      </c>
      <c r="K5809" s="10">
        <f t="shared" si="90"/>
        <v>0</v>
      </c>
    </row>
    <row r="5810" spans="1:11">
      <c r="A5810" t="s">
        <v>2470</v>
      </c>
      <c r="B5810" s="10">
        <v>2018</v>
      </c>
      <c r="C5810" t="s">
        <v>467</v>
      </c>
      <c r="D5810" t="s">
        <v>2472</v>
      </c>
      <c r="E5810" t="s">
        <v>2474</v>
      </c>
      <c r="F5810" t="s">
        <v>412</v>
      </c>
      <c r="G5810" t="s">
        <v>412</v>
      </c>
      <c r="H5810" s="10"/>
      <c r="I5810" t="str">
        <f>IFERROR(VLOOKUP(Final!F5810,'LEAID Match'!$A$2:$B$374,2,FALSE),"")</f>
        <v/>
      </c>
      <c r="K5810" s="10">
        <f t="shared" si="90"/>
        <v>0</v>
      </c>
    </row>
    <row r="5811" spans="1:11">
      <c r="A5811" t="s">
        <v>2470</v>
      </c>
      <c r="B5811" s="10">
        <v>2019</v>
      </c>
      <c r="C5811" t="s">
        <v>467</v>
      </c>
      <c r="D5811" t="s">
        <v>2472</v>
      </c>
      <c r="E5811" t="s">
        <v>2474</v>
      </c>
      <c r="F5811" t="s">
        <v>412</v>
      </c>
      <c r="G5811" t="s">
        <v>412</v>
      </c>
      <c r="H5811" s="10"/>
      <c r="I5811" t="str">
        <f>IFERROR(VLOOKUP(Final!F5811,'LEAID Match'!$A$2:$B$374,2,FALSE),"")</f>
        <v/>
      </c>
      <c r="K5811" s="10">
        <f t="shared" si="90"/>
        <v>0</v>
      </c>
    </row>
    <row r="5812" spans="1:11">
      <c r="A5812" t="s">
        <v>2470</v>
      </c>
      <c r="B5812" s="10">
        <v>2020</v>
      </c>
      <c r="C5812" t="s">
        <v>467</v>
      </c>
      <c r="D5812" t="s">
        <v>2472</v>
      </c>
      <c r="E5812" t="s">
        <v>2474</v>
      </c>
      <c r="F5812" t="s">
        <v>412</v>
      </c>
      <c r="G5812" t="s">
        <v>412</v>
      </c>
      <c r="H5812" s="10"/>
      <c r="I5812" t="str">
        <f>IFERROR(VLOOKUP(Final!F5812,'LEAID Match'!$A$2:$B$374,2,FALSE),"")</f>
        <v/>
      </c>
      <c r="K5812" s="10">
        <f t="shared" si="90"/>
        <v>0</v>
      </c>
    </row>
    <row r="5813" spans="1:11">
      <c r="A5813" t="s">
        <v>2470</v>
      </c>
      <c r="B5813" s="10">
        <v>2015</v>
      </c>
      <c r="C5813" t="s">
        <v>1441</v>
      </c>
      <c r="D5813" t="s">
        <v>2472</v>
      </c>
      <c r="E5813" t="s">
        <v>2474</v>
      </c>
      <c r="F5813" t="s">
        <v>274</v>
      </c>
      <c r="G5813" t="s">
        <v>274</v>
      </c>
      <c r="H5813" s="10">
        <v>9181</v>
      </c>
      <c r="I5813" t="str">
        <f>IFERROR(VLOOKUP(Final!F5813,'LEAID Match'!$A$2:$B$374,2,FALSE),"")</f>
        <v/>
      </c>
      <c r="K5813" s="10">
        <f t="shared" si="90"/>
        <v>9181</v>
      </c>
    </row>
    <row r="5814" spans="1:11">
      <c r="A5814" t="s">
        <v>2470</v>
      </c>
      <c r="B5814" s="10">
        <v>2016</v>
      </c>
      <c r="C5814" t="s">
        <v>1441</v>
      </c>
      <c r="D5814" t="s">
        <v>2472</v>
      </c>
      <c r="E5814" t="s">
        <v>2474</v>
      </c>
      <c r="F5814" t="s">
        <v>274</v>
      </c>
      <c r="G5814" t="s">
        <v>274</v>
      </c>
      <c r="H5814" s="10">
        <v>12392</v>
      </c>
      <c r="I5814" t="str">
        <f>IFERROR(VLOOKUP(Final!F5814,'LEAID Match'!$A$2:$B$374,2,FALSE),"")</f>
        <v/>
      </c>
      <c r="K5814" s="10">
        <f t="shared" si="90"/>
        <v>12392</v>
      </c>
    </row>
    <row r="5815" spans="1:11">
      <c r="A5815" t="s">
        <v>2470</v>
      </c>
      <c r="B5815" s="10">
        <v>2017</v>
      </c>
      <c r="C5815" t="s">
        <v>1441</v>
      </c>
      <c r="D5815" t="s">
        <v>2472</v>
      </c>
      <c r="E5815" t="s">
        <v>2474</v>
      </c>
      <c r="F5815" t="s">
        <v>274</v>
      </c>
      <c r="G5815" t="s">
        <v>274</v>
      </c>
      <c r="H5815" s="10">
        <v>4335</v>
      </c>
      <c r="I5815" t="str">
        <f>IFERROR(VLOOKUP(Final!F5815,'LEAID Match'!$A$2:$B$374,2,FALSE),"")</f>
        <v/>
      </c>
      <c r="K5815" s="10">
        <f t="shared" si="90"/>
        <v>4335</v>
      </c>
    </row>
    <row r="5816" spans="1:11">
      <c r="A5816" t="s">
        <v>2470</v>
      </c>
      <c r="B5816" s="10">
        <v>2018</v>
      </c>
      <c r="C5816" t="s">
        <v>1441</v>
      </c>
      <c r="D5816" t="s">
        <v>2472</v>
      </c>
      <c r="E5816" t="s">
        <v>2474</v>
      </c>
      <c r="F5816" t="s">
        <v>274</v>
      </c>
      <c r="G5816" t="s">
        <v>274</v>
      </c>
      <c r="H5816" s="10"/>
      <c r="I5816" t="str">
        <f>IFERROR(VLOOKUP(Final!F5816,'LEAID Match'!$A$2:$B$374,2,FALSE),"")</f>
        <v/>
      </c>
      <c r="K5816" s="10">
        <f t="shared" si="90"/>
        <v>0</v>
      </c>
    </row>
    <row r="5817" spans="1:11">
      <c r="A5817" t="s">
        <v>2470</v>
      </c>
      <c r="B5817" s="10">
        <v>2019</v>
      </c>
      <c r="C5817" t="s">
        <v>1441</v>
      </c>
      <c r="D5817" t="s">
        <v>2472</v>
      </c>
      <c r="E5817" t="s">
        <v>2474</v>
      </c>
      <c r="F5817" t="s">
        <v>274</v>
      </c>
      <c r="G5817" t="s">
        <v>274</v>
      </c>
      <c r="H5817" s="10"/>
      <c r="I5817" t="str">
        <f>IFERROR(VLOOKUP(Final!F5817,'LEAID Match'!$A$2:$B$374,2,FALSE),"")</f>
        <v/>
      </c>
      <c r="K5817" s="10">
        <f t="shared" si="90"/>
        <v>0</v>
      </c>
    </row>
    <row r="5818" spans="1:11">
      <c r="A5818" t="s">
        <v>2470</v>
      </c>
      <c r="B5818" s="10">
        <v>2020</v>
      </c>
      <c r="C5818" t="s">
        <v>1441</v>
      </c>
      <c r="D5818" t="s">
        <v>2472</v>
      </c>
      <c r="E5818" t="s">
        <v>2474</v>
      </c>
      <c r="F5818" t="s">
        <v>274</v>
      </c>
      <c r="G5818" t="s">
        <v>274</v>
      </c>
      <c r="H5818" s="10"/>
      <c r="I5818" t="str">
        <f>IFERROR(VLOOKUP(Final!F5818,'LEAID Match'!$A$2:$B$374,2,FALSE),"")</f>
        <v/>
      </c>
      <c r="K5818" s="10">
        <f t="shared" si="90"/>
        <v>0</v>
      </c>
    </row>
    <row r="5819" spans="1:11">
      <c r="A5819" t="s">
        <v>2470</v>
      </c>
      <c r="B5819" s="10">
        <v>2021</v>
      </c>
      <c r="C5819" t="s">
        <v>1441</v>
      </c>
      <c r="D5819" t="s">
        <v>2472</v>
      </c>
      <c r="E5819" t="s">
        <v>2474</v>
      </c>
      <c r="F5819" t="s">
        <v>274</v>
      </c>
      <c r="G5819" t="s">
        <v>274</v>
      </c>
      <c r="H5819" s="10"/>
      <c r="I5819" t="str">
        <f>IFERROR(VLOOKUP(Final!F5819,'LEAID Match'!$A$2:$B$374,2,FALSE),"")</f>
        <v/>
      </c>
      <c r="K5819" s="10">
        <f t="shared" si="90"/>
        <v>0</v>
      </c>
    </row>
    <row r="5820" spans="1:11">
      <c r="A5820" t="s">
        <v>2470</v>
      </c>
      <c r="B5820" s="10">
        <v>2022</v>
      </c>
      <c r="C5820" t="s">
        <v>1441</v>
      </c>
      <c r="D5820" t="s">
        <v>2472</v>
      </c>
      <c r="E5820" t="s">
        <v>2474</v>
      </c>
      <c r="F5820" t="s">
        <v>274</v>
      </c>
      <c r="G5820" t="s">
        <v>274</v>
      </c>
      <c r="H5820" s="10"/>
      <c r="I5820" t="str">
        <f>IFERROR(VLOOKUP(Final!F5820,'LEAID Match'!$A$2:$B$374,2,FALSE),"")</f>
        <v/>
      </c>
      <c r="K5820" s="10">
        <f t="shared" si="90"/>
        <v>0</v>
      </c>
    </row>
    <row r="5821" spans="1:11">
      <c r="A5821" t="s">
        <v>2470</v>
      </c>
      <c r="B5821" s="10">
        <v>2023</v>
      </c>
      <c r="C5821" t="s">
        <v>1441</v>
      </c>
      <c r="D5821" t="s">
        <v>2472</v>
      </c>
      <c r="E5821" t="s">
        <v>2474</v>
      </c>
      <c r="F5821" t="s">
        <v>274</v>
      </c>
      <c r="G5821" t="s">
        <v>274</v>
      </c>
      <c r="H5821" s="10"/>
      <c r="I5821" t="str">
        <f>IFERROR(VLOOKUP(Final!F5821,'LEAID Match'!$A$2:$B$374,2,FALSE),"")</f>
        <v/>
      </c>
      <c r="K5821" s="10">
        <f t="shared" si="90"/>
        <v>0</v>
      </c>
    </row>
    <row r="5822" spans="1:11">
      <c r="A5822" t="s">
        <v>2470</v>
      </c>
      <c r="B5822" s="10">
        <v>2015</v>
      </c>
      <c r="C5822" t="s">
        <v>1007</v>
      </c>
      <c r="D5822" t="s">
        <v>2472</v>
      </c>
      <c r="E5822" t="s">
        <v>2474</v>
      </c>
      <c r="F5822" t="s">
        <v>1890</v>
      </c>
      <c r="G5822" t="s">
        <v>952</v>
      </c>
      <c r="H5822" s="10">
        <v>4353</v>
      </c>
      <c r="I5822" t="str">
        <f>IFERROR(VLOOKUP(Final!F5822,'LEAID Match'!$A$2:$B$374,2,FALSE),"")</f>
        <v/>
      </c>
      <c r="K5822" s="10">
        <f t="shared" si="90"/>
        <v>4353</v>
      </c>
    </row>
    <row r="5823" spans="1:11">
      <c r="A5823" t="s">
        <v>2470</v>
      </c>
      <c r="B5823" s="10">
        <v>2016</v>
      </c>
      <c r="C5823" t="s">
        <v>1007</v>
      </c>
      <c r="D5823" t="s">
        <v>2472</v>
      </c>
      <c r="E5823" t="s">
        <v>2474</v>
      </c>
      <c r="F5823" t="s">
        <v>1890</v>
      </c>
      <c r="G5823" t="s">
        <v>952</v>
      </c>
      <c r="H5823" s="10">
        <v>11698</v>
      </c>
      <c r="I5823" t="str">
        <f>IFERROR(VLOOKUP(Final!F5823,'LEAID Match'!$A$2:$B$374,2,FALSE),"")</f>
        <v/>
      </c>
      <c r="K5823" s="10">
        <f t="shared" si="90"/>
        <v>11698</v>
      </c>
    </row>
    <row r="5824" spans="1:11">
      <c r="A5824" t="s">
        <v>2470</v>
      </c>
      <c r="B5824" s="10">
        <v>2017</v>
      </c>
      <c r="C5824" t="s">
        <v>1007</v>
      </c>
      <c r="D5824" t="s">
        <v>2472</v>
      </c>
      <c r="E5824" t="s">
        <v>2474</v>
      </c>
      <c r="F5824" t="s">
        <v>1890</v>
      </c>
      <c r="G5824" t="s">
        <v>1890</v>
      </c>
      <c r="H5824" s="10">
        <v>8746</v>
      </c>
      <c r="I5824" t="str">
        <f>IFERROR(VLOOKUP(Final!F5824,'LEAID Match'!$A$2:$B$374,2,FALSE),"")</f>
        <v/>
      </c>
      <c r="K5824" s="10">
        <f t="shared" si="90"/>
        <v>8746</v>
      </c>
    </row>
    <row r="5825" spans="1:11">
      <c r="A5825" t="s">
        <v>2470</v>
      </c>
      <c r="B5825" s="10">
        <v>2018</v>
      </c>
      <c r="C5825" t="s">
        <v>1007</v>
      </c>
      <c r="D5825" t="s">
        <v>2472</v>
      </c>
      <c r="E5825" t="s">
        <v>2474</v>
      </c>
      <c r="F5825" t="s">
        <v>1890</v>
      </c>
      <c r="G5825" t="s">
        <v>1890</v>
      </c>
      <c r="H5825" s="10">
        <v>11124</v>
      </c>
      <c r="I5825" t="str">
        <f>IFERROR(VLOOKUP(Final!F5825,'LEAID Match'!$A$2:$B$374,2,FALSE),"")</f>
        <v/>
      </c>
      <c r="K5825" s="10">
        <f t="shared" si="90"/>
        <v>11124</v>
      </c>
    </row>
    <row r="5826" spans="1:11">
      <c r="A5826" t="s">
        <v>2470</v>
      </c>
      <c r="B5826" s="10">
        <v>2019</v>
      </c>
      <c r="C5826" t="s">
        <v>1007</v>
      </c>
      <c r="D5826" t="s">
        <v>2472</v>
      </c>
      <c r="E5826" t="s">
        <v>2474</v>
      </c>
      <c r="F5826" t="s">
        <v>1890</v>
      </c>
      <c r="G5826" t="s">
        <v>1890</v>
      </c>
      <c r="H5826" s="10">
        <v>14035</v>
      </c>
      <c r="I5826" t="str">
        <f>IFERROR(VLOOKUP(Final!F5826,'LEAID Match'!$A$2:$B$374,2,FALSE),"")</f>
        <v/>
      </c>
      <c r="K5826" s="10">
        <f t="shared" si="90"/>
        <v>14035</v>
      </c>
    </row>
    <row r="5827" spans="1:11">
      <c r="A5827" t="s">
        <v>2470</v>
      </c>
      <c r="B5827" s="10">
        <v>2020</v>
      </c>
      <c r="C5827" t="s">
        <v>1007</v>
      </c>
      <c r="D5827" t="s">
        <v>2472</v>
      </c>
      <c r="E5827" t="s">
        <v>2474</v>
      </c>
      <c r="F5827" t="s">
        <v>1890</v>
      </c>
      <c r="G5827" t="s">
        <v>1890</v>
      </c>
      <c r="H5827" s="10">
        <v>16666</v>
      </c>
      <c r="I5827" t="str">
        <f>IFERROR(VLOOKUP(Final!F5827,'LEAID Match'!$A$2:$B$374,2,FALSE),"")</f>
        <v/>
      </c>
      <c r="K5827" s="10">
        <f t="shared" ref="K5827:K5890" si="91">SUM(H5827,J5827)</f>
        <v>16666</v>
      </c>
    </row>
    <row r="5828" spans="1:11">
      <c r="A5828" t="s">
        <v>2470</v>
      </c>
      <c r="B5828" s="10">
        <v>2021</v>
      </c>
      <c r="C5828" t="s">
        <v>1007</v>
      </c>
      <c r="D5828" t="s">
        <v>2472</v>
      </c>
      <c r="E5828" t="s">
        <v>2474</v>
      </c>
      <c r="F5828" t="s">
        <v>1890</v>
      </c>
      <c r="G5828" t="s">
        <v>1890</v>
      </c>
      <c r="H5828" s="10">
        <v>23305</v>
      </c>
      <c r="I5828" t="str">
        <f>IFERROR(VLOOKUP(Final!F5828,'LEAID Match'!$A$2:$B$374,2,FALSE),"")</f>
        <v/>
      </c>
      <c r="K5828" s="10">
        <f t="shared" si="91"/>
        <v>23305</v>
      </c>
    </row>
    <row r="5829" spans="1:11">
      <c r="A5829" t="s">
        <v>2470</v>
      </c>
      <c r="B5829" s="10">
        <v>2022</v>
      </c>
      <c r="C5829" t="s">
        <v>1007</v>
      </c>
      <c r="D5829" t="s">
        <v>2472</v>
      </c>
      <c r="E5829" t="s">
        <v>2474</v>
      </c>
      <c r="F5829" t="s">
        <v>1890</v>
      </c>
      <c r="G5829" t="s">
        <v>1890</v>
      </c>
      <c r="H5829" s="10">
        <v>26923</v>
      </c>
      <c r="I5829" t="str">
        <f>IFERROR(VLOOKUP(Final!F5829,'LEAID Match'!$A$2:$B$374,2,FALSE),"")</f>
        <v/>
      </c>
      <c r="K5829" s="10">
        <f t="shared" si="91"/>
        <v>26923</v>
      </c>
    </row>
    <row r="5830" spans="1:11">
      <c r="A5830" t="s">
        <v>2470</v>
      </c>
      <c r="B5830" s="10">
        <v>2023</v>
      </c>
      <c r="C5830" t="s">
        <v>1007</v>
      </c>
      <c r="D5830" t="s">
        <v>2472</v>
      </c>
      <c r="E5830" t="s">
        <v>2474</v>
      </c>
      <c r="F5830" t="s">
        <v>1890</v>
      </c>
      <c r="G5830" t="s">
        <v>1890</v>
      </c>
      <c r="H5830" s="10">
        <v>14767</v>
      </c>
      <c r="I5830" t="str">
        <f>IFERROR(VLOOKUP(Final!F5830,'LEAID Match'!$A$2:$B$374,2,FALSE),"")</f>
        <v/>
      </c>
      <c r="K5830" s="10">
        <f t="shared" si="91"/>
        <v>14767</v>
      </c>
    </row>
    <row r="5831" spans="1:11">
      <c r="A5831" t="s">
        <v>2470</v>
      </c>
      <c r="B5831" s="10">
        <v>2015</v>
      </c>
      <c r="C5831" t="s">
        <v>682</v>
      </c>
      <c r="D5831" t="s">
        <v>2472</v>
      </c>
      <c r="E5831" t="s">
        <v>2474</v>
      </c>
      <c r="F5831" t="s">
        <v>1744</v>
      </c>
      <c r="G5831" t="s">
        <v>627</v>
      </c>
      <c r="H5831" s="10">
        <v>30517</v>
      </c>
      <c r="I5831" t="str">
        <f>IFERROR(VLOOKUP(Final!F5831,'LEAID Match'!$A$2:$B$374,2,FALSE),"")</f>
        <v/>
      </c>
      <c r="K5831" s="10">
        <f t="shared" si="91"/>
        <v>30517</v>
      </c>
    </row>
    <row r="5832" spans="1:11">
      <c r="A5832" t="s">
        <v>2470</v>
      </c>
      <c r="B5832" s="10">
        <v>2016</v>
      </c>
      <c r="C5832" t="s">
        <v>682</v>
      </c>
      <c r="D5832" t="s">
        <v>2472</v>
      </c>
      <c r="E5832" t="s">
        <v>2474</v>
      </c>
      <c r="F5832" t="s">
        <v>1744</v>
      </c>
      <c r="G5832" t="s">
        <v>627</v>
      </c>
      <c r="H5832" s="10">
        <v>29020</v>
      </c>
      <c r="I5832" t="str">
        <f>IFERROR(VLOOKUP(Final!F5832,'LEAID Match'!$A$2:$B$374,2,FALSE),"")</f>
        <v/>
      </c>
      <c r="K5832" s="10">
        <f t="shared" si="91"/>
        <v>29020</v>
      </c>
    </row>
    <row r="5833" spans="1:11">
      <c r="A5833" t="s">
        <v>2470</v>
      </c>
      <c r="B5833" s="10">
        <v>2017</v>
      </c>
      <c r="C5833" t="s">
        <v>682</v>
      </c>
      <c r="D5833" t="s">
        <v>2472</v>
      </c>
      <c r="E5833" t="s">
        <v>2474</v>
      </c>
      <c r="F5833" t="s">
        <v>1744</v>
      </c>
      <c r="G5833" t="s">
        <v>1744</v>
      </c>
      <c r="H5833" s="10">
        <v>29898</v>
      </c>
      <c r="I5833" t="str">
        <f>IFERROR(VLOOKUP(Final!F5833,'LEAID Match'!$A$2:$B$374,2,FALSE),"")</f>
        <v/>
      </c>
      <c r="K5833" s="10">
        <f t="shared" si="91"/>
        <v>29898</v>
      </c>
    </row>
    <row r="5834" spans="1:11">
      <c r="A5834" t="s">
        <v>2470</v>
      </c>
      <c r="B5834" s="10">
        <v>2018</v>
      </c>
      <c r="C5834" t="s">
        <v>682</v>
      </c>
      <c r="D5834" t="s">
        <v>2472</v>
      </c>
      <c r="E5834" t="s">
        <v>2474</v>
      </c>
      <c r="F5834" t="s">
        <v>1744</v>
      </c>
      <c r="G5834" t="s">
        <v>2206</v>
      </c>
      <c r="H5834" s="10">
        <v>31875</v>
      </c>
      <c r="I5834" t="str">
        <f>IFERROR(VLOOKUP(Final!F5834,'LEAID Match'!$A$2:$B$374,2,FALSE),"")</f>
        <v/>
      </c>
      <c r="K5834" s="10">
        <f t="shared" si="91"/>
        <v>31875</v>
      </c>
    </row>
    <row r="5835" spans="1:11">
      <c r="A5835" t="s">
        <v>2470</v>
      </c>
      <c r="B5835" s="10">
        <v>2019</v>
      </c>
      <c r="C5835" t="s">
        <v>682</v>
      </c>
      <c r="D5835" t="s">
        <v>2472</v>
      </c>
      <c r="E5835" t="s">
        <v>2474</v>
      </c>
      <c r="F5835" t="s">
        <v>1744</v>
      </c>
      <c r="G5835" t="s">
        <v>1744</v>
      </c>
      <c r="H5835" s="10">
        <v>32954</v>
      </c>
      <c r="I5835" t="str">
        <f>IFERROR(VLOOKUP(Final!F5835,'LEAID Match'!$A$2:$B$374,2,FALSE),"")</f>
        <v/>
      </c>
      <c r="K5835" s="10">
        <f t="shared" si="91"/>
        <v>32954</v>
      </c>
    </row>
    <row r="5836" spans="1:11">
      <c r="A5836" t="s">
        <v>2470</v>
      </c>
      <c r="B5836" s="10">
        <v>2020</v>
      </c>
      <c r="C5836" t="s">
        <v>682</v>
      </c>
      <c r="D5836" t="s">
        <v>2472</v>
      </c>
      <c r="E5836" t="s">
        <v>2474</v>
      </c>
      <c r="F5836" t="s">
        <v>1744</v>
      </c>
      <c r="G5836" t="s">
        <v>1744</v>
      </c>
      <c r="H5836" s="10">
        <v>31775</v>
      </c>
      <c r="I5836" t="str">
        <f>IFERROR(VLOOKUP(Final!F5836,'LEAID Match'!$A$2:$B$374,2,FALSE),"")</f>
        <v/>
      </c>
      <c r="K5836" s="10">
        <f t="shared" si="91"/>
        <v>31775</v>
      </c>
    </row>
    <row r="5837" spans="1:11">
      <c r="A5837" t="s">
        <v>2470</v>
      </c>
      <c r="B5837" s="10">
        <v>2021</v>
      </c>
      <c r="C5837" t="s">
        <v>682</v>
      </c>
      <c r="D5837" t="s">
        <v>2472</v>
      </c>
      <c r="E5837" t="s">
        <v>2474</v>
      </c>
      <c r="F5837" t="s">
        <v>1744</v>
      </c>
      <c r="G5837" t="s">
        <v>1744</v>
      </c>
      <c r="H5837" s="10">
        <v>26721</v>
      </c>
      <c r="I5837" t="str">
        <f>IFERROR(VLOOKUP(Final!F5837,'LEAID Match'!$A$2:$B$374,2,FALSE),"")</f>
        <v/>
      </c>
      <c r="K5837" s="10">
        <f t="shared" si="91"/>
        <v>26721</v>
      </c>
    </row>
    <row r="5838" spans="1:11">
      <c r="A5838" t="s">
        <v>2470</v>
      </c>
      <c r="B5838" s="10">
        <v>2022</v>
      </c>
      <c r="C5838" t="s">
        <v>682</v>
      </c>
      <c r="D5838" t="s">
        <v>2472</v>
      </c>
      <c r="E5838" t="s">
        <v>2474</v>
      </c>
      <c r="F5838" t="s">
        <v>1744</v>
      </c>
      <c r="G5838" t="s">
        <v>1744</v>
      </c>
      <c r="H5838" s="10">
        <v>21600</v>
      </c>
      <c r="I5838" t="str">
        <f>IFERROR(VLOOKUP(Final!F5838,'LEAID Match'!$A$2:$B$374,2,FALSE),"")</f>
        <v/>
      </c>
      <c r="K5838" s="10">
        <f t="shared" si="91"/>
        <v>21600</v>
      </c>
    </row>
    <row r="5839" spans="1:11">
      <c r="A5839" t="s">
        <v>2470</v>
      </c>
      <c r="B5839" s="10">
        <v>2023</v>
      </c>
      <c r="C5839" t="s">
        <v>682</v>
      </c>
      <c r="D5839" t="s">
        <v>2472</v>
      </c>
      <c r="E5839" t="s">
        <v>2474</v>
      </c>
      <c r="F5839" t="s">
        <v>1744</v>
      </c>
      <c r="G5839" t="s">
        <v>1744</v>
      </c>
      <c r="H5839" s="10">
        <v>12889</v>
      </c>
      <c r="I5839" t="str">
        <f>IFERROR(VLOOKUP(Final!F5839,'LEAID Match'!$A$2:$B$374,2,FALSE),"")</f>
        <v/>
      </c>
      <c r="K5839" s="10">
        <f t="shared" si="91"/>
        <v>12889</v>
      </c>
    </row>
    <row r="5840" spans="1:11">
      <c r="A5840" t="s">
        <v>2470</v>
      </c>
      <c r="B5840" s="10">
        <v>2015</v>
      </c>
      <c r="C5840" t="s">
        <v>886</v>
      </c>
      <c r="D5840" t="s">
        <v>2472</v>
      </c>
      <c r="E5840" t="s">
        <v>2474</v>
      </c>
      <c r="F5840" t="s">
        <v>1829</v>
      </c>
      <c r="G5840" t="s">
        <v>831</v>
      </c>
      <c r="H5840" s="10">
        <v>40542</v>
      </c>
      <c r="I5840" t="str">
        <f>IFERROR(VLOOKUP(Final!F5840,'LEAID Match'!$A$2:$B$374,2,FALSE),"")</f>
        <v/>
      </c>
      <c r="K5840" s="10">
        <f t="shared" si="91"/>
        <v>40542</v>
      </c>
    </row>
    <row r="5841" spans="1:11">
      <c r="A5841" t="s">
        <v>2470</v>
      </c>
      <c r="B5841" s="10">
        <v>2016</v>
      </c>
      <c r="C5841" t="s">
        <v>886</v>
      </c>
      <c r="D5841" t="s">
        <v>2472</v>
      </c>
      <c r="E5841" t="s">
        <v>2474</v>
      </c>
      <c r="F5841" t="s">
        <v>1829</v>
      </c>
      <c r="G5841" t="s">
        <v>831</v>
      </c>
      <c r="H5841" s="10">
        <v>43382</v>
      </c>
      <c r="I5841" t="str">
        <f>IFERROR(VLOOKUP(Final!F5841,'LEAID Match'!$A$2:$B$374,2,FALSE),"")</f>
        <v/>
      </c>
      <c r="K5841" s="10">
        <f t="shared" si="91"/>
        <v>43382</v>
      </c>
    </row>
    <row r="5842" spans="1:11">
      <c r="A5842" t="s">
        <v>2470</v>
      </c>
      <c r="B5842" s="10">
        <v>2017</v>
      </c>
      <c r="C5842" t="s">
        <v>886</v>
      </c>
      <c r="D5842" t="s">
        <v>2472</v>
      </c>
      <c r="E5842" t="s">
        <v>2474</v>
      </c>
      <c r="F5842" t="s">
        <v>1829</v>
      </c>
      <c r="G5842" t="s">
        <v>1829</v>
      </c>
      <c r="H5842" s="10">
        <v>48216</v>
      </c>
      <c r="I5842" t="str">
        <f>IFERROR(VLOOKUP(Final!F5842,'LEAID Match'!$A$2:$B$374,2,FALSE),"")</f>
        <v/>
      </c>
      <c r="K5842" s="10">
        <f t="shared" si="91"/>
        <v>48216</v>
      </c>
    </row>
    <row r="5843" spans="1:11">
      <c r="A5843" t="s">
        <v>2470</v>
      </c>
      <c r="B5843" s="10">
        <v>2018</v>
      </c>
      <c r="C5843" t="s">
        <v>886</v>
      </c>
      <c r="D5843" t="s">
        <v>2472</v>
      </c>
      <c r="E5843" t="s">
        <v>2474</v>
      </c>
      <c r="F5843" t="s">
        <v>1829</v>
      </c>
      <c r="G5843" t="s">
        <v>2253</v>
      </c>
      <c r="H5843" s="10">
        <v>46236</v>
      </c>
      <c r="I5843" t="str">
        <f>IFERROR(VLOOKUP(Final!F5843,'LEAID Match'!$A$2:$B$374,2,FALSE),"")</f>
        <v/>
      </c>
      <c r="K5843" s="10">
        <f t="shared" si="91"/>
        <v>46236</v>
      </c>
    </row>
    <row r="5844" spans="1:11">
      <c r="A5844" t="s">
        <v>2470</v>
      </c>
      <c r="B5844" s="10">
        <v>2019</v>
      </c>
      <c r="C5844" t="s">
        <v>886</v>
      </c>
      <c r="D5844" t="s">
        <v>2472</v>
      </c>
      <c r="E5844" t="s">
        <v>2474</v>
      </c>
      <c r="F5844" t="s">
        <v>1829</v>
      </c>
      <c r="G5844" t="s">
        <v>1829</v>
      </c>
      <c r="H5844" s="10">
        <v>44786</v>
      </c>
      <c r="I5844" t="str">
        <f>IFERROR(VLOOKUP(Final!F5844,'LEAID Match'!$A$2:$B$374,2,FALSE),"")</f>
        <v/>
      </c>
      <c r="K5844" s="10">
        <f t="shared" si="91"/>
        <v>44786</v>
      </c>
    </row>
    <row r="5845" spans="1:11">
      <c r="A5845" t="s">
        <v>2470</v>
      </c>
      <c r="B5845" s="10">
        <v>2020</v>
      </c>
      <c r="C5845" t="s">
        <v>886</v>
      </c>
      <c r="D5845" t="s">
        <v>2472</v>
      </c>
      <c r="E5845" t="s">
        <v>2474</v>
      </c>
      <c r="F5845" t="s">
        <v>1829</v>
      </c>
      <c r="G5845" t="s">
        <v>1829</v>
      </c>
      <c r="H5845" s="10">
        <v>48112</v>
      </c>
      <c r="I5845" t="str">
        <f>IFERROR(VLOOKUP(Final!F5845,'LEAID Match'!$A$2:$B$374,2,FALSE),"")</f>
        <v/>
      </c>
      <c r="K5845" s="10">
        <f t="shared" si="91"/>
        <v>48112</v>
      </c>
    </row>
    <row r="5846" spans="1:11">
      <c r="A5846" t="s">
        <v>2470</v>
      </c>
      <c r="B5846" s="10">
        <v>2021</v>
      </c>
      <c r="C5846" t="s">
        <v>886</v>
      </c>
      <c r="D5846" t="s">
        <v>2472</v>
      </c>
      <c r="E5846" t="s">
        <v>2474</v>
      </c>
      <c r="F5846" t="s">
        <v>1829</v>
      </c>
      <c r="G5846" t="s">
        <v>1829</v>
      </c>
      <c r="H5846" s="10">
        <v>48003</v>
      </c>
      <c r="I5846" t="str">
        <f>IFERROR(VLOOKUP(Final!F5846,'LEAID Match'!$A$2:$B$374,2,FALSE),"")</f>
        <v/>
      </c>
      <c r="K5846" s="10">
        <f t="shared" si="91"/>
        <v>48003</v>
      </c>
    </row>
    <row r="5847" spans="1:11">
      <c r="A5847" t="s">
        <v>2470</v>
      </c>
      <c r="B5847" s="10">
        <v>2022</v>
      </c>
      <c r="C5847" t="s">
        <v>886</v>
      </c>
      <c r="D5847" t="s">
        <v>2472</v>
      </c>
      <c r="E5847" t="s">
        <v>2474</v>
      </c>
      <c r="F5847" t="s">
        <v>1829</v>
      </c>
      <c r="G5847" t="s">
        <v>1829</v>
      </c>
      <c r="H5847" s="10">
        <v>47267</v>
      </c>
      <c r="I5847" t="str">
        <f>IFERROR(VLOOKUP(Final!F5847,'LEAID Match'!$A$2:$B$374,2,FALSE),"")</f>
        <v/>
      </c>
      <c r="K5847" s="10">
        <f t="shared" si="91"/>
        <v>47267</v>
      </c>
    </row>
    <row r="5848" spans="1:11">
      <c r="A5848" t="s">
        <v>2470</v>
      </c>
      <c r="B5848" s="10">
        <v>2023</v>
      </c>
      <c r="C5848" t="s">
        <v>886</v>
      </c>
      <c r="D5848" t="s">
        <v>2472</v>
      </c>
      <c r="E5848" t="s">
        <v>2474</v>
      </c>
      <c r="F5848" t="s">
        <v>1829</v>
      </c>
      <c r="G5848" t="s">
        <v>1829</v>
      </c>
      <c r="H5848" s="10">
        <v>47979</v>
      </c>
      <c r="I5848" t="str">
        <f>IFERROR(VLOOKUP(Final!F5848,'LEAID Match'!$A$2:$B$374,2,FALSE),"")</f>
        <v/>
      </c>
      <c r="K5848" s="10">
        <f t="shared" si="91"/>
        <v>47979</v>
      </c>
    </row>
    <row r="5849" spans="1:11">
      <c r="A5849" t="s">
        <v>2470</v>
      </c>
      <c r="B5849" s="10">
        <v>2015</v>
      </c>
      <c r="C5849" t="s">
        <v>932</v>
      </c>
      <c r="D5849" t="s">
        <v>2472</v>
      </c>
      <c r="E5849" t="s">
        <v>2474</v>
      </c>
      <c r="F5849" t="s">
        <v>1877</v>
      </c>
      <c r="G5849" t="s">
        <v>877</v>
      </c>
      <c r="H5849" s="10">
        <v>3543</v>
      </c>
      <c r="I5849" t="str">
        <f>IFERROR(VLOOKUP(Final!F5849,'LEAID Match'!$A$2:$B$374,2,FALSE),"")</f>
        <v/>
      </c>
      <c r="K5849" s="10">
        <f t="shared" si="91"/>
        <v>3543</v>
      </c>
    </row>
    <row r="5850" spans="1:11">
      <c r="A5850" t="s">
        <v>2470</v>
      </c>
      <c r="B5850" s="10">
        <v>2016</v>
      </c>
      <c r="C5850" t="s">
        <v>932</v>
      </c>
      <c r="D5850" t="s">
        <v>2472</v>
      </c>
      <c r="E5850" t="s">
        <v>2474</v>
      </c>
      <c r="F5850" t="s">
        <v>1877</v>
      </c>
      <c r="G5850" t="s">
        <v>877</v>
      </c>
      <c r="H5850" s="10">
        <v>4263</v>
      </c>
      <c r="I5850" t="str">
        <f>IFERROR(VLOOKUP(Final!F5850,'LEAID Match'!$A$2:$B$374,2,FALSE),"")</f>
        <v/>
      </c>
      <c r="K5850" s="10">
        <f t="shared" si="91"/>
        <v>4263</v>
      </c>
    </row>
    <row r="5851" spans="1:11">
      <c r="A5851" t="s">
        <v>2470</v>
      </c>
      <c r="B5851" s="10">
        <v>2017</v>
      </c>
      <c r="C5851" t="s">
        <v>932</v>
      </c>
      <c r="D5851" t="s">
        <v>2472</v>
      </c>
      <c r="E5851" t="s">
        <v>2474</v>
      </c>
      <c r="F5851" t="s">
        <v>1877</v>
      </c>
      <c r="G5851" t="s">
        <v>1877</v>
      </c>
      <c r="H5851" s="10">
        <v>4413</v>
      </c>
      <c r="I5851" t="str">
        <f>IFERROR(VLOOKUP(Final!F5851,'LEAID Match'!$A$2:$B$374,2,FALSE),"")</f>
        <v/>
      </c>
      <c r="K5851" s="10">
        <f t="shared" si="91"/>
        <v>4413</v>
      </c>
    </row>
    <row r="5852" spans="1:11">
      <c r="A5852" t="s">
        <v>2470</v>
      </c>
      <c r="B5852" s="10">
        <v>2018</v>
      </c>
      <c r="C5852" t="s">
        <v>932</v>
      </c>
      <c r="D5852" t="s">
        <v>2472</v>
      </c>
      <c r="E5852" t="s">
        <v>2474</v>
      </c>
      <c r="F5852" t="s">
        <v>1877</v>
      </c>
      <c r="G5852" t="s">
        <v>2278</v>
      </c>
      <c r="H5852" s="10">
        <v>6120</v>
      </c>
      <c r="I5852" t="str">
        <f>IFERROR(VLOOKUP(Final!F5852,'LEAID Match'!$A$2:$B$374,2,FALSE),"")</f>
        <v/>
      </c>
      <c r="K5852" s="10">
        <f t="shared" si="91"/>
        <v>6120</v>
      </c>
    </row>
    <row r="5853" spans="1:11">
      <c r="A5853" t="s">
        <v>2470</v>
      </c>
      <c r="B5853" s="10">
        <v>2019</v>
      </c>
      <c r="C5853" t="s">
        <v>932</v>
      </c>
      <c r="D5853" t="s">
        <v>2472</v>
      </c>
      <c r="E5853" t="s">
        <v>2474</v>
      </c>
      <c r="F5853" t="s">
        <v>1877</v>
      </c>
      <c r="G5853" t="s">
        <v>1877</v>
      </c>
      <c r="H5853" s="10">
        <v>5984</v>
      </c>
      <c r="I5853" t="str">
        <f>IFERROR(VLOOKUP(Final!F5853,'LEAID Match'!$A$2:$B$374,2,FALSE),"")</f>
        <v/>
      </c>
      <c r="K5853" s="10">
        <f t="shared" si="91"/>
        <v>5984</v>
      </c>
    </row>
    <row r="5854" spans="1:11">
      <c r="A5854" t="s">
        <v>2470</v>
      </c>
      <c r="B5854" s="10">
        <v>2020</v>
      </c>
      <c r="C5854" t="s">
        <v>932</v>
      </c>
      <c r="D5854" t="s">
        <v>2472</v>
      </c>
      <c r="E5854" t="s">
        <v>2474</v>
      </c>
      <c r="F5854" t="s">
        <v>1877</v>
      </c>
      <c r="G5854" t="s">
        <v>1877</v>
      </c>
      <c r="H5854" s="10">
        <v>9773</v>
      </c>
      <c r="I5854" t="str">
        <f>IFERROR(VLOOKUP(Final!F5854,'LEAID Match'!$A$2:$B$374,2,FALSE),"")</f>
        <v/>
      </c>
      <c r="K5854" s="10">
        <f t="shared" si="91"/>
        <v>9773</v>
      </c>
    </row>
    <row r="5855" spans="1:11">
      <c r="A5855" t="s">
        <v>2470</v>
      </c>
      <c r="B5855" s="10">
        <v>2021</v>
      </c>
      <c r="C5855" t="s">
        <v>932</v>
      </c>
      <c r="D5855" t="s">
        <v>2472</v>
      </c>
      <c r="E5855" t="s">
        <v>2474</v>
      </c>
      <c r="F5855" t="s">
        <v>1877</v>
      </c>
      <c r="G5855" t="s">
        <v>1877</v>
      </c>
      <c r="H5855" s="10">
        <v>13110</v>
      </c>
      <c r="I5855" t="str">
        <f>IFERROR(VLOOKUP(Final!F5855,'LEAID Match'!$A$2:$B$374,2,FALSE),"")</f>
        <v/>
      </c>
      <c r="K5855" s="10">
        <f t="shared" si="91"/>
        <v>13110</v>
      </c>
    </row>
    <row r="5856" spans="1:11">
      <c r="A5856" t="s">
        <v>2470</v>
      </c>
      <c r="B5856" s="10">
        <v>2022</v>
      </c>
      <c r="C5856" t="s">
        <v>932</v>
      </c>
      <c r="D5856" t="s">
        <v>2472</v>
      </c>
      <c r="E5856" t="s">
        <v>2474</v>
      </c>
      <c r="F5856" t="s">
        <v>1877</v>
      </c>
      <c r="G5856" t="s">
        <v>1877</v>
      </c>
      <c r="H5856" s="10">
        <v>9005</v>
      </c>
      <c r="I5856" t="str">
        <f>IFERROR(VLOOKUP(Final!F5856,'LEAID Match'!$A$2:$B$374,2,FALSE),"")</f>
        <v/>
      </c>
      <c r="K5856" s="10">
        <f t="shared" si="91"/>
        <v>9005</v>
      </c>
    </row>
    <row r="5857" spans="1:11">
      <c r="A5857" t="s">
        <v>2470</v>
      </c>
      <c r="B5857" s="10">
        <v>2023</v>
      </c>
      <c r="C5857" t="s">
        <v>932</v>
      </c>
      <c r="D5857" t="s">
        <v>2472</v>
      </c>
      <c r="E5857" t="s">
        <v>2474</v>
      </c>
      <c r="F5857" t="s">
        <v>1877</v>
      </c>
      <c r="G5857" t="s">
        <v>1877</v>
      </c>
      <c r="H5857" s="10">
        <v>9735</v>
      </c>
      <c r="I5857" t="str">
        <f>IFERROR(VLOOKUP(Final!F5857,'LEAID Match'!$A$2:$B$374,2,FALSE),"")</f>
        <v/>
      </c>
      <c r="K5857" s="10">
        <f t="shared" si="91"/>
        <v>9735</v>
      </c>
    </row>
    <row r="5858" spans="1:11">
      <c r="A5858" t="s">
        <v>2470</v>
      </c>
      <c r="B5858" s="10">
        <v>2015</v>
      </c>
      <c r="C5858" t="s">
        <v>668</v>
      </c>
      <c r="D5858" t="s">
        <v>2472</v>
      </c>
      <c r="E5858" t="s">
        <v>2474</v>
      </c>
      <c r="F5858" t="s">
        <v>613</v>
      </c>
      <c r="G5858" t="s">
        <v>613</v>
      </c>
      <c r="H5858" s="10">
        <v>169072</v>
      </c>
      <c r="I5858" t="str">
        <f>IFERROR(VLOOKUP(Final!F5858,'LEAID Match'!$A$2:$B$374,2,FALSE),"")</f>
        <v/>
      </c>
      <c r="K5858" s="10">
        <f t="shared" si="91"/>
        <v>169072</v>
      </c>
    </row>
    <row r="5859" spans="1:11">
      <c r="A5859" t="s">
        <v>2470</v>
      </c>
      <c r="B5859" s="10">
        <v>2016</v>
      </c>
      <c r="C5859" t="s">
        <v>668</v>
      </c>
      <c r="D5859" t="s">
        <v>2472</v>
      </c>
      <c r="E5859" t="s">
        <v>2474</v>
      </c>
      <c r="F5859" t="s">
        <v>613</v>
      </c>
      <c r="G5859" t="s">
        <v>613</v>
      </c>
      <c r="H5859" s="10">
        <v>180773</v>
      </c>
      <c r="I5859" t="str">
        <f>IFERROR(VLOOKUP(Final!F5859,'LEAID Match'!$A$2:$B$374,2,FALSE),"")</f>
        <v/>
      </c>
      <c r="K5859" s="10">
        <f t="shared" si="91"/>
        <v>180773</v>
      </c>
    </row>
    <row r="5860" spans="1:11">
      <c r="A5860" t="s">
        <v>2470</v>
      </c>
      <c r="B5860" s="10">
        <v>2017</v>
      </c>
      <c r="C5860" t="s">
        <v>668</v>
      </c>
      <c r="D5860" t="s">
        <v>2472</v>
      </c>
      <c r="E5860" t="s">
        <v>2474</v>
      </c>
      <c r="F5860" t="s">
        <v>613</v>
      </c>
      <c r="G5860" t="s">
        <v>613</v>
      </c>
      <c r="H5860" s="10">
        <v>207060</v>
      </c>
      <c r="I5860" t="str">
        <f>IFERROR(VLOOKUP(Final!F5860,'LEAID Match'!$A$2:$B$374,2,FALSE),"")</f>
        <v/>
      </c>
      <c r="K5860" s="10">
        <f t="shared" si="91"/>
        <v>207060</v>
      </c>
    </row>
    <row r="5861" spans="1:11">
      <c r="A5861" t="s">
        <v>2470</v>
      </c>
      <c r="B5861" s="10">
        <v>2018</v>
      </c>
      <c r="C5861" t="s">
        <v>668</v>
      </c>
      <c r="D5861" t="s">
        <v>2472</v>
      </c>
      <c r="E5861" t="s">
        <v>2474</v>
      </c>
      <c r="F5861" t="s">
        <v>613</v>
      </c>
      <c r="G5861" t="s">
        <v>613</v>
      </c>
      <c r="H5861" s="10">
        <v>243120</v>
      </c>
      <c r="I5861" t="str">
        <f>IFERROR(VLOOKUP(Final!F5861,'LEAID Match'!$A$2:$B$374,2,FALSE),"")</f>
        <v/>
      </c>
      <c r="K5861" s="10">
        <f t="shared" si="91"/>
        <v>243120</v>
      </c>
    </row>
    <row r="5862" spans="1:11">
      <c r="A5862" t="s">
        <v>2470</v>
      </c>
      <c r="B5862" s="10">
        <v>2019</v>
      </c>
      <c r="C5862" t="s">
        <v>668</v>
      </c>
      <c r="D5862" t="s">
        <v>2472</v>
      </c>
      <c r="E5862" t="s">
        <v>2474</v>
      </c>
      <c r="F5862" t="s">
        <v>613</v>
      </c>
      <c r="G5862" t="s">
        <v>613</v>
      </c>
      <c r="H5862" s="10">
        <v>272030</v>
      </c>
      <c r="I5862" t="str">
        <f>IFERROR(VLOOKUP(Final!F5862,'LEAID Match'!$A$2:$B$374,2,FALSE),"")</f>
        <v/>
      </c>
      <c r="K5862" s="10">
        <f t="shared" si="91"/>
        <v>272030</v>
      </c>
    </row>
    <row r="5863" spans="1:11">
      <c r="A5863" t="s">
        <v>2470</v>
      </c>
      <c r="B5863" s="10">
        <v>2020</v>
      </c>
      <c r="C5863" t="s">
        <v>668</v>
      </c>
      <c r="D5863" t="s">
        <v>2472</v>
      </c>
      <c r="E5863" t="s">
        <v>2474</v>
      </c>
      <c r="F5863" t="s">
        <v>613</v>
      </c>
      <c r="G5863" t="s">
        <v>613</v>
      </c>
      <c r="H5863" s="10">
        <v>276628</v>
      </c>
      <c r="I5863" t="str">
        <f>IFERROR(VLOOKUP(Final!F5863,'LEAID Match'!$A$2:$B$374,2,FALSE),"")</f>
        <v/>
      </c>
      <c r="K5863" s="10">
        <f t="shared" si="91"/>
        <v>276628</v>
      </c>
    </row>
    <row r="5864" spans="1:11">
      <c r="A5864" t="s">
        <v>2470</v>
      </c>
      <c r="B5864" s="10">
        <v>2021</v>
      </c>
      <c r="C5864" t="s">
        <v>668</v>
      </c>
      <c r="D5864" t="s">
        <v>2472</v>
      </c>
      <c r="E5864" t="s">
        <v>2474</v>
      </c>
      <c r="F5864" t="s">
        <v>613</v>
      </c>
      <c r="G5864" t="s">
        <v>613</v>
      </c>
      <c r="H5864" s="10">
        <v>292469</v>
      </c>
      <c r="I5864" t="str">
        <f>IFERROR(VLOOKUP(Final!F5864,'LEAID Match'!$A$2:$B$374,2,FALSE),"")</f>
        <v/>
      </c>
      <c r="K5864" s="10">
        <f t="shared" si="91"/>
        <v>292469</v>
      </c>
    </row>
    <row r="5865" spans="1:11">
      <c r="A5865" t="s">
        <v>2470</v>
      </c>
      <c r="B5865" s="10">
        <v>2022</v>
      </c>
      <c r="C5865" t="s">
        <v>668</v>
      </c>
      <c r="D5865" t="s">
        <v>2472</v>
      </c>
      <c r="E5865" t="s">
        <v>2474</v>
      </c>
      <c r="F5865" t="s">
        <v>613</v>
      </c>
      <c r="G5865" t="s">
        <v>613</v>
      </c>
      <c r="H5865" s="10">
        <v>280030</v>
      </c>
      <c r="I5865" t="str">
        <f>IFERROR(VLOOKUP(Final!F5865,'LEAID Match'!$A$2:$B$374,2,FALSE),"")</f>
        <v/>
      </c>
      <c r="K5865" s="10">
        <f t="shared" si="91"/>
        <v>280030</v>
      </c>
    </row>
    <row r="5866" spans="1:11">
      <c r="A5866" t="s">
        <v>2470</v>
      </c>
      <c r="B5866" s="10">
        <v>2023</v>
      </c>
      <c r="C5866" t="s">
        <v>668</v>
      </c>
      <c r="D5866" t="s">
        <v>2472</v>
      </c>
      <c r="E5866" t="s">
        <v>2474</v>
      </c>
      <c r="F5866" t="s">
        <v>613</v>
      </c>
      <c r="G5866" t="s">
        <v>613</v>
      </c>
      <c r="H5866" s="10">
        <v>316382</v>
      </c>
      <c r="I5866" t="str">
        <f>IFERROR(VLOOKUP(Final!F5866,'LEAID Match'!$A$2:$B$374,2,FALSE),"")</f>
        <v/>
      </c>
      <c r="K5866" s="10">
        <f t="shared" si="91"/>
        <v>316382</v>
      </c>
    </row>
    <row r="5867" spans="1:11">
      <c r="A5867" t="s">
        <v>2470</v>
      </c>
      <c r="B5867" s="10">
        <v>2015</v>
      </c>
      <c r="C5867" t="s">
        <v>1103</v>
      </c>
      <c r="D5867" t="s">
        <v>2472</v>
      </c>
      <c r="E5867" t="s">
        <v>2474</v>
      </c>
      <c r="F5867" t="s">
        <v>1929</v>
      </c>
      <c r="G5867" t="s">
        <v>1048</v>
      </c>
      <c r="H5867" s="10">
        <v>112844</v>
      </c>
      <c r="I5867" t="str">
        <f>IFERROR(VLOOKUP(Final!F5867,'LEAID Match'!$A$2:$B$374,2,FALSE),"")</f>
        <v/>
      </c>
      <c r="K5867" s="10">
        <f t="shared" si="91"/>
        <v>112844</v>
      </c>
    </row>
    <row r="5868" spans="1:11">
      <c r="A5868" t="s">
        <v>2470</v>
      </c>
      <c r="B5868" s="10">
        <v>2016</v>
      </c>
      <c r="C5868" t="s">
        <v>1103</v>
      </c>
      <c r="D5868" t="s">
        <v>2472</v>
      </c>
      <c r="E5868" t="s">
        <v>2474</v>
      </c>
      <c r="F5868" t="s">
        <v>1929</v>
      </c>
      <c r="G5868" t="s">
        <v>1048</v>
      </c>
      <c r="H5868" s="10">
        <v>123378</v>
      </c>
      <c r="I5868" t="str">
        <f>IFERROR(VLOOKUP(Final!F5868,'LEAID Match'!$A$2:$B$374,2,FALSE),"")</f>
        <v/>
      </c>
      <c r="K5868" s="10">
        <f t="shared" si="91"/>
        <v>123378</v>
      </c>
    </row>
    <row r="5869" spans="1:11">
      <c r="A5869" t="s">
        <v>2470</v>
      </c>
      <c r="B5869" s="10">
        <v>2017</v>
      </c>
      <c r="C5869" t="s">
        <v>1103</v>
      </c>
      <c r="D5869" t="s">
        <v>2472</v>
      </c>
      <c r="E5869" t="s">
        <v>2474</v>
      </c>
      <c r="F5869" t="s">
        <v>1929</v>
      </c>
      <c r="G5869" t="s">
        <v>1929</v>
      </c>
      <c r="H5869" s="10">
        <v>131906</v>
      </c>
      <c r="I5869" t="str">
        <f>IFERROR(VLOOKUP(Final!F5869,'LEAID Match'!$A$2:$B$374,2,FALSE),"")</f>
        <v/>
      </c>
      <c r="K5869" s="10">
        <f t="shared" si="91"/>
        <v>131906</v>
      </c>
    </row>
    <row r="5870" spans="1:11">
      <c r="A5870" t="s">
        <v>2470</v>
      </c>
      <c r="B5870" s="10">
        <v>2018</v>
      </c>
      <c r="C5870" t="s">
        <v>1103</v>
      </c>
      <c r="D5870" t="s">
        <v>2472</v>
      </c>
      <c r="E5870" t="s">
        <v>2474</v>
      </c>
      <c r="F5870" t="s">
        <v>1929</v>
      </c>
      <c r="G5870" t="s">
        <v>2300</v>
      </c>
      <c r="H5870" s="10">
        <v>127913</v>
      </c>
      <c r="I5870" t="str">
        <f>IFERROR(VLOOKUP(Final!F5870,'LEAID Match'!$A$2:$B$374,2,FALSE),"")</f>
        <v/>
      </c>
      <c r="K5870" s="10">
        <f t="shared" si="91"/>
        <v>127913</v>
      </c>
    </row>
    <row r="5871" spans="1:11">
      <c r="A5871" t="s">
        <v>2470</v>
      </c>
      <c r="B5871" s="10">
        <v>2019</v>
      </c>
      <c r="C5871" t="s">
        <v>1103</v>
      </c>
      <c r="D5871" t="s">
        <v>2472</v>
      </c>
      <c r="E5871" t="s">
        <v>2474</v>
      </c>
      <c r="F5871" t="s">
        <v>1929</v>
      </c>
      <c r="G5871" t="s">
        <v>1929</v>
      </c>
      <c r="H5871" s="10">
        <v>132073</v>
      </c>
      <c r="I5871" t="str">
        <f>IFERROR(VLOOKUP(Final!F5871,'LEAID Match'!$A$2:$B$374,2,FALSE),"")</f>
        <v/>
      </c>
      <c r="K5871" s="10">
        <f t="shared" si="91"/>
        <v>132073</v>
      </c>
    </row>
    <row r="5872" spans="1:11">
      <c r="A5872" t="s">
        <v>2470</v>
      </c>
      <c r="B5872" s="10">
        <v>2020</v>
      </c>
      <c r="C5872" t="s">
        <v>1103</v>
      </c>
      <c r="D5872" t="s">
        <v>2472</v>
      </c>
      <c r="E5872" t="s">
        <v>2474</v>
      </c>
      <c r="F5872" t="s">
        <v>1929</v>
      </c>
      <c r="G5872" t="s">
        <v>1929</v>
      </c>
      <c r="H5872" s="10">
        <v>145481</v>
      </c>
      <c r="I5872" t="str">
        <f>IFERROR(VLOOKUP(Final!F5872,'LEAID Match'!$A$2:$B$374,2,FALSE),"")</f>
        <v/>
      </c>
      <c r="K5872" s="10">
        <f t="shared" si="91"/>
        <v>145481</v>
      </c>
    </row>
    <row r="5873" spans="1:11">
      <c r="A5873" t="s">
        <v>2470</v>
      </c>
      <c r="B5873" s="10">
        <v>2021</v>
      </c>
      <c r="C5873" t="s">
        <v>1103</v>
      </c>
      <c r="D5873" t="s">
        <v>2472</v>
      </c>
      <c r="E5873" t="s">
        <v>2474</v>
      </c>
      <c r="F5873" t="s">
        <v>1929</v>
      </c>
      <c r="G5873" t="s">
        <v>1929</v>
      </c>
      <c r="H5873" s="10">
        <v>151910</v>
      </c>
      <c r="I5873" t="str">
        <f>IFERROR(VLOOKUP(Final!F5873,'LEAID Match'!$A$2:$B$374,2,FALSE),"")</f>
        <v/>
      </c>
      <c r="K5873" s="10">
        <f t="shared" si="91"/>
        <v>151910</v>
      </c>
    </row>
    <row r="5874" spans="1:11">
      <c r="A5874" t="s">
        <v>2470</v>
      </c>
      <c r="B5874" s="10">
        <v>2022</v>
      </c>
      <c r="C5874" t="s">
        <v>1103</v>
      </c>
      <c r="D5874" t="s">
        <v>2472</v>
      </c>
      <c r="E5874" t="s">
        <v>2474</v>
      </c>
      <c r="F5874" t="s">
        <v>1929</v>
      </c>
      <c r="G5874" t="s">
        <v>1929</v>
      </c>
      <c r="H5874" s="10">
        <v>151580</v>
      </c>
      <c r="I5874" t="str">
        <f>IFERROR(VLOOKUP(Final!F5874,'LEAID Match'!$A$2:$B$374,2,FALSE),"")</f>
        <v/>
      </c>
      <c r="K5874" s="10">
        <f t="shared" si="91"/>
        <v>151580</v>
      </c>
    </row>
    <row r="5875" spans="1:11">
      <c r="A5875" t="s">
        <v>2470</v>
      </c>
      <c r="B5875" s="10">
        <v>2023</v>
      </c>
      <c r="C5875" t="s">
        <v>1103</v>
      </c>
      <c r="D5875" t="s">
        <v>2472</v>
      </c>
      <c r="E5875" t="s">
        <v>2474</v>
      </c>
      <c r="F5875" t="s">
        <v>1929</v>
      </c>
      <c r="G5875" t="s">
        <v>1929</v>
      </c>
      <c r="H5875" s="10">
        <v>151273</v>
      </c>
      <c r="I5875" t="str">
        <f>IFERROR(VLOOKUP(Final!F5875,'LEAID Match'!$A$2:$B$374,2,FALSE),"")</f>
        <v/>
      </c>
      <c r="K5875" s="10">
        <f t="shared" si="91"/>
        <v>151273</v>
      </c>
    </row>
    <row r="5876" spans="1:11">
      <c r="A5876" t="s">
        <v>2470</v>
      </c>
      <c r="B5876" s="10">
        <v>2015</v>
      </c>
      <c r="C5876" t="s">
        <v>1028</v>
      </c>
      <c r="D5876" t="s">
        <v>2472</v>
      </c>
      <c r="E5876" t="s">
        <v>2474</v>
      </c>
      <c r="F5876" t="s">
        <v>973</v>
      </c>
      <c r="G5876" t="s">
        <v>973</v>
      </c>
      <c r="H5876" s="10">
        <v>8199</v>
      </c>
      <c r="I5876" t="str">
        <f>IFERROR(VLOOKUP(Final!F5876,'LEAID Match'!$A$2:$B$374,2,FALSE),"")</f>
        <v/>
      </c>
      <c r="K5876" s="10">
        <f t="shared" si="91"/>
        <v>8199</v>
      </c>
    </row>
    <row r="5877" spans="1:11">
      <c r="A5877" t="s">
        <v>2470</v>
      </c>
      <c r="B5877" s="10">
        <v>2016</v>
      </c>
      <c r="C5877" t="s">
        <v>1028</v>
      </c>
      <c r="D5877" t="s">
        <v>2472</v>
      </c>
      <c r="E5877" t="s">
        <v>2474</v>
      </c>
      <c r="F5877" t="s">
        <v>973</v>
      </c>
      <c r="G5877" t="s">
        <v>973</v>
      </c>
      <c r="H5877" s="10">
        <v>6819</v>
      </c>
      <c r="I5877" t="str">
        <f>IFERROR(VLOOKUP(Final!F5877,'LEAID Match'!$A$2:$B$374,2,FALSE),"")</f>
        <v/>
      </c>
      <c r="K5877" s="10">
        <f t="shared" si="91"/>
        <v>6819</v>
      </c>
    </row>
    <row r="5878" spans="1:11">
      <c r="A5878" t="s">
        <v>2470</v>
      </c>
      <c r="B5878" s="10">
        <v>2017</v>
      </c>
      <c r="C5878" t="s">
        <v>1028</v>
      </c>
      <c r="D5878" t="s">
        <v>2472</v>
      </c>
      <c r="E5878" t="s">
        <v>2474</v>
      </c>
      <c r="F5878" t="s">
        <v>973</v>
      </c>
      <c r="G5878" t="s">
        <v>973</v>
      </c>
      <c r="H5878" s="10">
        <v>8958</v>
      </c>
      <c r="I5878" t="str">
        <f>IFERROR(VLOOKUP(Final!F5878,'LEAID Match'!$A$2:$B$374,2,FALSE),"")</f>
        <v/>
      </c>
      <c r="K5878" s="10">
        <f t="shared" si="91"/>
        <v>8958</v>
      </c>
    </row>
    <row r="5879" spans="1:11">
      <c r="A5879" t="s">
        <v>2470</v>
      </c>
      <c r="B5879" s="10">
        <v>2018</v>
      </c>
      <c r="C5879" t="s">
        <v>1028</v>
      </c>
      <c r="D5879" t="s">
        <v>2472</v>
      </c>
      <c r="E5879" t="s">
        <v>2474</v>
      </c>
      <c r="F5879" t="s">
        <v>973</v>
      </c>
      <c r="G5879" t="s">
        <v>973</v>
      </c>
      <c r="H5879" s="10">
        <v>9569</v>
      </c>
      <c r="I5879" t="str">
        <f>IFERROR(VLOOKUP(Final!F5879,'LEAID Match'!$A$2:$B$374,2,FALSE),"")</f>
        <v/>
      </c>
      <c r="K5879" s="10">
        <f t="shared" si="91"/>
        <v>9569</v>
      </c>
    </row>
    <row r="5880" spans="1:11">
      <c r="A5880" t="s">
        <v>2470</v>
      </c>
      <c r="B5880" s="10">
        <v>2019</v>
      </c>
      <c r="C5880" t="s">
        <v>1028</v>
      </c>
      <c r="D5880" t="s">
        <v>2472</v>
      </c>
      <c r="E5880" t="s">
        <v>2474</v>
      </c>
      <c r="F5880" t="s">
        <v>973</v>
      </c>
      <c r="G5880" t="s">
        <v>973</v>
      </c>
      <c r="H5880" s="10">
        <v>12179</v>
      </c>
      <c r="I5880" t="str">
        <f>IFERROR(VLOOKUP(Final!F5880,'LEAID Match'!$A$2:$B$374,2,FALSE),"")</f>
        <v/>
      </c>
      <c r="K5880" s="10">
        <f t="shared" si="91"/>
        <v>12179</v>
      </c>
    </row>
    <row r="5881" spans="1:11">
      <c r="A5881" t="s">
        <v>2470</v>
      </c>
      <c r="B5881" s="10">
        <v>2020</v>
      </c>
      <c r="C5881" t="s">
        <v>1028</v>
      </c>
      <c r="D5881" t="s">
        <v>2472</v>
      </c>
      <c r="E5881" t="s">
        <v>2474</v>
      </c>
      <c r="F5881" t="s">
        <v>973</v>
      </c>
      <c r="G5881" t="s">
        <v>973</v>
      </c>
      <c r="H5881" s="10">
        <v>11963</v>
      </c>
      <c r="I5881" t="str">
        <f>IFERROR(VLOOKUP(Final!F5881,'LEAID Match'!$A$2:$B$374,2,FALSE),"")</f>
        <v/>
      </c>
      <c r="K5881" s="10">
        <f t="shared" si="91"/>
        <v>11963</v>
      </c>
    </row>
    <row r="5882" spans="1:11">
      <c r="A5882" t="s">
        <v>2470</v>
      </c>
      <c r="B5882" s="10">
        <v>2021</v>
      </c>
      <c r="C5882" t="s">
        <v>1028</v>
      </c>
      <c r="D5882" t="s">
        <v>2472</v>
      </c>
      <c r="E5882" t="s">
        <v>2474</v>
      </c>
      <c r="F5882" t="s">
        <v>973</v>
      </c>
      <c r="G5882" t="s">
        <v>973</v>
      </c>
      <c r="H5882" s="10">
        <v>10592</v>
      </c>
      <c r="I5882" t="str">
        <f>IFERROR(VLOOKUP(Final!F5882,'LEAID Match'!$A$2:$B$374,2,FALSE),"")</f>
        <v/>
      </c>
      <c r="K5882" s="10">
        <f t="shared" si="91"/>
        <v>10592</v>
      </c>
    </row>
    <row r="5883" spans="1:11">
      <c r="A5883" t="s">
        <v>2470</v>
      </c>
      <c r="B5883" s="10">
        <v>2022</v>
      </c>
      <c r="C5883" t="s">
        <v>1028</v>
      </c>
      <c r="D5883" t="s">
        <v>2472</v>
      </c>
      <c r="E5883" t="s">
        <v>2474</v>
      </c>
      <c r="F5883" t="s">
        <v>973</v>
      </c>
      <c r="G5883" t="s">
        <v>973</v>
      </c>
      <c r="H5883" s="10">
        <v>12006</v>
      </c>
      <c r="I5883" t="str">
        <f>IFERROR(VLOOKUP(Final!F5883,'LEAID Match'!$A$2:$B$374,2,FALSE),"")</f>
        <v/>
      </c>
      <c r="K5883" s="10">
        <f t="shared" si="91"/>
        <v>12006</v>
      </c>
    </row>
    <row r="5884" spans="1:11">
      <c r="A5884" t="s">
        <v>2470</v>
      </c>
      <c r="B5884" s="10">
        <v>2023</v>
      </c>
      <c r="C5884" t="s">
        <v>1028</v>
      </c>
      <c r="D5884" t="s">
        <v>2472</v>
      </c>
      <c r="E5884" t="s">
        <v>2474</v>
      </c>
      <c r="F5884" t="s">
        <v>973</v>
      </c>
      <c r="G5884" t="s">
        <v>973</v>
      </c>
      <c r="H5884" s="10">
        <v>12653</v>
      </c>
      <c r="I5884" t="str">
        <f>IFERROR(VLOOKUP(Final!F5884,'LEAID Match'!$A$2:$B$374,2,FALSE),"")</f>
        <v/>
      </c>
      <c r="K5884" s="10">
        <f t="shared" si="91"/>
        <v>12653</v>
      </c>
    </row>
    <row r="5885" spans="1:11">
      <c r="A5885" t="s">
        <v>2470</v>
      </c>
      <c r="B5885" s="10">
        <v>2015</v>
      </c>
      <c r="C5885" t="s">
        <v>1398</v>
      </c>
      <c r="D5885" t="s">
        <v>2472</v>
      </c>
      <c r="E5885" t="s">
        <v>2474</v>
      </c>
      <c r="F5885" t="s">
        <v>1580</v>
      </c>
      <c r="G5885" t="s">
        <v>233</v>
      </c>
      <c r="H5885" s="10">
        <v>42349</v>
      </c>
      <c r="I5885" t="str">
        <f>IFERROR(VLOOKUP(Final!F5885,'LEAID Match'!$A$2:$B$374,2,FALSE),"")</f>
        <v/>
      </c>
      <c r="K5885" s="10">
        <f t="shared" si="91"/>
        <v>42349</v>
      </c>
    </row>
    <row r="5886" spans="1:11">
      <c r="A5886" t="s">
        <v>2470</v>
      </c>
      <c r="B5886" s="10">
        <v>2016</v>
      </c>
      <c r="C5886" t="s">
        <v>1398</v>
      </c>
      <c r="D5886" t="s">
        <v>2472</v>
      </c>
      <c r="E5886" t="s">
        <v>2474</v>
      </c>
      <c r="F5886" t="s">
        <v>1580</v>
      </c>
      <c r="G5886" t="s">
        <v>233</v>
      </c>
      <c r="H5886" s="10">
        <v>42164</v>
      </c>
      <c r="I5886" t="str">
        <f>IFERROR(VLOOKUP(Final!F5886,'LEAID Match'!$A$2:$B$374,2,FALSE),"")</f>
        <v/>
      </c>
      <c r="K5886" s="10">
        <f t="shared" si="91"/>
        <v>42164</v>
      </c>
    </row>
    <row r="5887" spans="1:11">
      <c r="A5887" t="s">
        <v>2470</v>
      </c>
      <c r="B5887" s="10">
        <v>2017</v>
      </c>
      <c r="C5887" t="s">
        <v>1398</v>
      </c>
      <c r="D5887" t="s">
        <v>2472</v>
      </c>
      <c r="E5887" t="s">
        <v>2474</v>
      </c>
      <c r="F5887" t="s">
        <v>1580</v>
      </c>
      <c r="G5887" t="s">
        <v>1580</v>
      </c>
      <c r="H5887" s="10">
        <v>35188</v>
      </c>
      <c r="I5887" t="str">
        <f>IFERROR(VLOOKUP(Final!F5887,'LEAID Match'!$A$2:$B$374,2,FALSE),"")</f>
        <v/>
      </c>
      <c r="K5887" s="10">
        <f t="shared" si="91"/>
        <v>35188</v>
      </c>
    </row>
    <row r="5888" spans="1:11">
      <c r="A5888" t="s">
        <v>2470</v>
      </c>
      <c r="B5888" s="10">
        <v>2018</v>
      </c>
      <c r="C5888" t="s">
        <v>1398</v>
      </c>
      <c r="D5888" t="s">
        <v>2472</v>
      </c>
      <c r="E5888" t="s">
        <v>2474</v>
      </c>
      <c r="F5888" t="s">
        <v>1580</v>
      </c>
      <c r="G5888" t="s">
        <v>2102</v>
      </c>
      <c r="H5888" s="10">
        <v>35081</v>
      </c>
      <c r="I5888" t="str">
        <f>IFERROR(VLOOKUP(Final!F5888,'LEAID Match'!$A$2:$B$374,2,FALSE),"")</f>
        <v/>
      </c>
      <c r="K5888" s="10">
        <f t="shared" si="91"/>
        <v>35081</v>
      </c>
    </row>
    <row r="5889" spans="1:11">
      <c r="A5889" t="s">
        <v>2470</v>
      </c>
      <c r="B5889" s="10">
        <v>2019</v>
      </c>
      <c r="C5889" t="s">
        <v>1398</v>
      </c>
      <c r="D5889" t="s">
        <v>2472</v>
      </c>
      <c r="E5889" t="s">
        <v>2474</v>
      </c>
      <c r="F5889" t="s">
        <v>1580</v>
      </c>
      <c r="G5889" t="s">
        <v>1580</v>
      </c>
      <c r="H5889" s="10">
        <v>38529</v>
      </c>
      <c r="I5889" t="str">
        <f>IFERROR(VLOOKUP(Final!F5889,'LEAID Match'!$A$2:$B$374,2,FALSE),"")</f>
        <v/>
      </c>
      <c r="K5889" s="10">
        <f t="shared" si="91"/>
        <v>38529</v>
      </c>
    </row>
    <row r="5890" spans="1:11">
      <c r="A5890" t="s">
        <v>2470</v>
      </c>
      <c r="B5890" s="10">
        <v>2020</v>
      </c>
      <c r="C5890" t="s">
        <v>1398</v>
      </c>
      <c r="D5890" t="s">
        <v>2472</v>
      </c>
      <c r="E5890" t="s">
        <v>2474</v>
      </c>
      <c r="F5890" t="s">
        <v>1580</v>
      </c>
      <c r="G5890" t="s">
        <v>1580</v>
      </c>
      <c r="H5890" s="10">
        <v>39383</v>
      </c>
      <c r="I5890" t="str">
        <f>IFERROR(VLOOKUP(Final!F5890,'LEAID Match'!$A$2:$B$374,2,FALSE),"")</f>
        <v/>
      </c>
      <c r="K5890" s="10">
        <f t="shared" si="91"/>
        <v>39383</v>
      </c>
    </row>
    <row r="5891" spans="1:11">
      <c r="A5891" t="s">
        <v>2470</v>
      </c>
      <c r="B5891" s="10">
        <v>2021</v>
      </c>
      <c r="C5891" t="s">
        <v>1398</v>
      </c>
      <c r="D5891" t="s">
        <v>2472</v>
      </c>
      <c r="E5891" t="s">
        <v>2474</v>
      </c>
      <c r="F5891" t="s">
        <v>1580</v>
      </c>
      <c r="G5891" t="s">
        <v>1580</v>
      </c>
      <c r="H5891" s="10">
        <v>41349</v>
      </c>
      <c r="I5891" t="str">
        <f>IFERROR(VLOOKUP(Final!F5891,'LEAID Match'!$A$2:$B$374,2,FALSE),"")</f>
        <v/>
      </c>
      <c r="K5891" s="10">
        <f t="shared" ref="K5891:K5954" si="92">SUM(H5891,J5891)</f>
        <v>41349</v>
      </c>
    </row>
    <row r="5892" spans="1:11">
      <c r="A5892" t="s">
        <v>2470</v>
      </c>
      <c r="B5892" s="10">
        <v>2022</v>
      </c>
      <c r="C5892" t="s">
        <v>1398</v>
      </c>
      <c r="D5892" t="s">
        <v>2472</v>
      </c>
      <c r="E5892" t="s">
        <v>2474</v>
      </c>
      <c r="F5892" t="s">
        <v>1580</v>
      </c>
      <c r="G5892" t="s">
        <v>1580</v>
      </c>
      <c r="H5892" s="10">
        <v>36816</v>
      </c>
      <c r="I5892" t="str">
        <f>IFERROR(VLOOKUP(Final!F5892,'LEAID Match'!$A$2:$B$374,2,FALSE),"")</f>
        <v/>
      </c>
      <c r="K5892" s="10">
        <f t="shared" si="92"/>
        <v>36816</v>
      </c>
    </row>
    <row r="5893" spans="1:11">
      <c r="A5893" t="s">
        <v>2470</v>
      </c>
      <c r="B5893" s="10">
        <v>2023</v>
      </c>
      <c r="C5893" t="s">
        <v>1398</v>
      </c>
      <c r="D5893" t="s">
        <v>2472</v>
      </c>
      <c r="E5893" t="s">
        <v>2474</v>
      </c>
      <c r="F5893" t="s">
        <v>1580</v>
      </c>
      <c r="G5893" t="s">
        <v>1580</v>
      </c>
      <c r="H5893" s="10">
        <v>48948</v>
      </c>
      <c r="I5893" t="str">
        <f>IFERROR(VLOOKUP(Final!F5893,'LEAID Match'!$A$2:$B$374,2,FALSE),"")</f>
        <v/>
      </c>
      <c r="K5893" s="10">
        <f t="shared" si="92"/>
        <v>48948</v>
      </c>
    </row>
    <row r="5894" spans="1:11">
      <c r="A5894" t="s">
        <v>2470</v>
      </c>
      <c r="B5894" s="10">
        <v>2015</v>
      </c>
      <c r="C5894" t="s">
        <v>1255</v>
      </c>
      <c r="D5894" t="s">
        <v>2472</v>
      </c>
      <c r="E5894" t="s">
        <v>2474</v>
      </c>
      <c r="F5894" t="s">
        <v>1201</v>
      </c>
      <c r="G5894" t="s">
        <v>1201</v>
      </c>
      <c r="H5894" s="10">
        <v>8292</v>
      </c>
      <c r="I5894" t="str">
        <f>IFERROR(VLOOKUP(Final!F5894,'LEAID Match'!$A$2:$B$374,2,FALSE),"")</f>
        <v/>
      </c>
      <c r="K5894" s="10">
        <f t="shared" si="92"/>
        <v>8292</v>
      </c>
    </row>
    <row r="5895" spans="1:11">
      <c r="A5895" t="s">
        <v>2470</v>
      </c>
      <c r="B5895" s="10">
        <v>2016</v>
      </c>
      <c r="C5895" t="s">
        <v>1255</v>
      </c>
      <c r="D5895" t="s">
        <v>2472</v>
      </c>
      <c r="E5895" t="s">
        <v>2474</v>
      </c>
      <c r="F5895" t="s">
        <v>1201</v>
      </c>
      <c r="G5895" t="s">
        <v>1201</v>
      </c>
      <c r="H5895" s="10">
        <v>17170</v>
      </c>
      <c r="I5895" t="str">
        <f>IFERROR(VLOOKUP(Final!F5895,'LEAID Match'!$A$2:$B$374,2,FALSE),"")</f>
        <v/>
      </c>
      <c r="K5895" s="10">
        <f t="shared" si="92"/>
        <v>17170</v>
      </c>
    </row>
    <row r="5896" spans="1:11">
      <c r="A5896" t="s">
        <v>2470</v>
      </c>
      <c r="B5896" s="10">
        <v>2017</v>
      </c>
      <c r="C5896" t="s">
        <v>1255</v>
      </c>
      <c r="D5896" t="s">
        <v>2472</v>
      </c>
      <c r="E5896" t="s">
        <v>2474</v>
      </c>
      <c r="F5896" t="s">
        <v>1201</v>
      </c>
      <c r="G5896" t="s">
        <v>1201</v>
      </c>
      <c r="H5896" s="10">
        <v>13286</v>
      </c>
      <c r="I5896" t="str">
        <f>IFERROR(VLOOKUP(Final!F5896,'LEAID Match'!$A$2:$B$374,2,FALSE),"")</f>
        <v/>
      </c>
      <c r="K5896" s="10">
        <f t="shared" si="92"/>
        <v>13286</v>
      </c>
    </row>
    <row r="5897" spans="1:11">
      <c r="A5897" t="s">
        <v>2470</v>
      </c>
      <c r="B5897" s="10">
        <v>2018</v>
      </c>
      <c r="C5897" t="s">
        <v>1255</v>
      </c>
      <c r="D5897" t="s">
        <v>2472</v>
      </c>
      <c r="E5897" t="s">
        <v>2474</v>
      </c>
      <c r="F5897" t="s">
        <v>1201</v>
      </c>
      <c r="G5897" t="s">
        <v>1201</v>
      </c>
      <c r="H5897" s="10">
        <v>9303</v>
      </c>
      <c r="I5897" t="str">
        <f>IFERROR(VLOOKUP(Final!F5897,'LEAID Match'!$A$2:$B$374,2,FALSE),"")</f>
        <v/>
      </c>
      <c r="K5897" s="10">
        <f t="shared" si="92"/>
        <v>9303</v>
      </c>
    </row>
    <row r="5898" spans="1:11">
      <c r="A5898" t="s">
        <v>2470</v>
      </c>
      <c r="B5898" s="10">
        <v>2019</v>
      </c>
      <c r="C5898" t="s">
        <v>1255</v>
      </c>
      <c r="D5898" t="s">
        <v>2472</v>
      </c>
      <c r="E5898" t="s">
        <v>2474</v>
      </c>
      <c r="F5898" t="s">
        <v>1201</v>
      </c>
      <c r="G5898" t="s">
        <v>1201</v>
      </c>
      <c r="H5898" s="10">
        <v>4870</v>
      </c>
      <c r="I5898" t="str">
        <f>IFERROR(VLOOKUP(Final!F5898,'LEAID Match'!$A$2:$B$374,2,FALSE),"")</f>
        <v/>
      </c>
      <c r="K5898" s="10">
        <f t="shared" si="92"/>
        <v>4870</v>
      </c>
    </row>
    <row r="5899" spans="1:11">
      <c r="A5899" t="s">
        <v>2470</v>
      </c>
      <c r="B5899" s="10">
        <v>2020</v>
      </c>
      <c r="C5899" t="s">
        <v>1255</v>
      </c>
      <c r="D5899" t="s">
        <v>2472</v>
      </c>
      <c r="E5899" t="s">
        <v>2474</v>
      </c>
      <c r="F5899" t="s">
        <v>1201</v>
      </c>
      <c r="G5899" t="s">
        <v>1201</v>
      </c>
      <c r="H5899" s="10">
        <v>4334</v>
      </c>
      <c r="I5899" t="str">
        <f>IFERROR(VLOOKUP(Final!F5899,'LEAID Match'!$A$2:$B$374,2,FALSE),"")</f>
        <v/>
      </c>
      <c r="K5899" s="10">
        <f t="shared" si="92"/>
        <v>4334</v>
      </c>
    </row>
    <row r="5900" spans="1:11">
      <c r="A5900" t="s">
        <v>2470</v>
      </c>
      <c r="B5900" s="10">
        <v>2021</v>
      </c>
      <c r="C5900" t="s">
        <v>1255</v>
      </c>
      <c r="D5900" t="s">
        <v>2472</v>
      </c>
      <c r="E5900" t="s">
        <v>2474</v>
      </c>
      <c r="F5900" t="s">
        <v>1201</v>
      </c>
      <c r="G5900" t="s">
        <v>1201</v>
      </c>
      <c r="H5900" s="10">
        <v>7013</v>
      </c>
      <c r="I5900" t="str">
        <f>IFERROR(VLOOKUP(Final!F5900,'LEAID Match'!$A$2:$B$374,2,FALSE),"")</f>
        <v/>
      </c>
      <c r="K5900" s="10">
        <f t="shared" si="92"/>
        <v>7013</v>
      </c>
    </row>
    <row r="5901" spans="1:11">
      <c r="A5901" t="s">
        <v>2470</v>
      </c>
      <c r="B5901" s="10">
        <v>2022</v>
      </c>
      <c r="C5901" t="s">
        <v>1255</v>
      </c>
      <c r="D5901" t="s">
        <v>2472</v>
      </c>
      <c r="E5901" t="s">
        <v>2474</v>
      </c>
      <c r="F5901" t="s">
        <v>1201</v>
      </c>
      <c r="G5901" t="s">
        <v>1201</v>
      </c>
      <c r="H5901" s="10">
        <v>7542</v>
      </c>
      <c r="I5901" t="str">
        <f>IFERROR(VLOOKUP(Final!F5901,'LEAID Match'!$A$2:$B$374,2,FALSE),"")</f>
        <v/>
      </c>
      <c r="K5901" s="10">
        <f t="shared" si="92"/>
        <v>7542</v>
      </c>
    </row>
    <row r="5902" spans="1:11">
      <c r="A5902" t="s">
        <v>2470</v>
      </c>
      <c r="B5902" s="10">
        <v>2023</v>
      </c>
      <c r="C5902" t="s">
        <v>1255</v>
      </c>
      <c r="D5902" t="s">
        <v>2472</v>
      </c>
      <c r="E5902" t="s">
        <v>2474</v>
      </c>
      <c r="F5902" t="s">
        <v>1201</v>
      </c>
      <c r="G5902" t="s">
        <v>1201</v>
      </c>
      <c r="H5902" s="10">
        <v>8080</v>
      </c>
      <c r="I5902" t="str">
        <f>IFERROR(VLOOKUP(Final!F5902,'LEAID Match'!$A$2:$B$374,2,FALSE),"")</f>
        <v/>
      </c>
      <c r="K5902" s="10">
        <f t="shared" si="92"/>
        <v>8080</v>
      </c>
    </row>
    <row r="5903" spans="1:11">
      <c r="A5903" t="s">
        <v>2470</v>
      </c>
      <c r="B5903" s="10">
        <v>2015</v>
      </c>
      <c r="C5903" t="s">
        <v>591</v>
      </c>
      <c r="D5903" t="s">
        <v>2472</v>
      </c>
      <c r="E5903" t="s">
        <v>2474</v>
      </c>
      <c r="F5903" t="s">
        <v>536</v>
      </c>
      <c r="G5903" t="s">
        <v>536</v>
      </c>
      <c r="H5903" s="10">
        <v>52185</v>
      </c>
      <c r="I5903" t="str">
        <f>IFERROR(VLOOKUP(Final!F5903,'LEAID Match'!$A$2:$B$374,2,FALSE),"")</f>
        <v/>
      </c>
      <c r="K5903" s="10">
        <f t="shared" si="92"/>
        <v>52185</v>
      </c>
    </row>
    <row r="5904" spans="1:11">
      <c r="A5904" t="s">
        <v>2470</v>
      </c>
      <c r="B5904" s="10">
        <v>2016</v>
      </c>
      <c r="C5904" t="s">
        <v>591</v>
      </c>
      <c r="D5904" t="s">
        <v>2472</v>
      </c>
      <c r="E5904" t="s">
        <v>2474</v>
      </c>
      <c r="F5904" t="s">
        <v>536</v>
      </c>
      <c r="G5904" t="s">
        <v>536</v>
      </c>
      <c r="H5904" s="10">
        <v>52908</v>
      </c>
      <c r="I5904" t="str">
        <f>IFERROR(VLOOKUP(Final!F5904,'LEAID Match'!$A$2:$B$374,2,FALSE),"")</f>
        <v/>
      </c>
      <c r="K5904" s="10">
        <f t="shared" si="92"/>
        <v>52908</v>
      </c>
    </row>
    <row r="5905" spans="1:11">
      <c r="A5905" t="s">
        <v>2470</v>
      </c>
      <c r="B5905" s="10">
        <v>2017</v>
      </c>
      <c r="C5905" t="s">
        <v>591</v>
      </c>
      <c r="D5905" t="s">
        <v>2472</v>
      </c>
      <c r="E5905" t="s">
        <v>2474</v>
      </c>
      <c r="F5905" t="s">
        <v>536</v>
      </c>
      <c r="G5905" t="s">
        <v>536</v>
      </c>
      <c r="H5905" s="10">
        <v>52637</v>
      </c>
      <c r="I5905" t="str">
        <f>IFERROR(VLOOKUP(Final!F5905,'LEAID Match'!$A$2:$B$374,2,FALSE),"")</f>
        <v/>
      </c>
      <c r="K5905" s="10">
        <f t="shared" si="92"/>
        <v>52637</v>
      </c>
    </row>
    <row r="5906" spans="1:11">
      <c r="A5906" t="s">
        <v>2470</v>
      </c>
      <c r="B5906" s="10">
        <v>2018</v>
      </c>
      <c r="C5906" t="s">
        <v>591</v>
      </c>
      <c r="D5906" t="s">
        <v>2472</v>
      </c>
      <c r="E5906" t="s">
        <v>2474</v>
      </c>
      <c r="F5906" t="s">
        <v>536</v>
      </c>
      <c r="G5906" t="s">
        <v>536</v>
      </c>
      <c r="H5906" s="10">
        <v>52235</v>
      </c>
      <c r="I5906" t="str">
        <f>IFERROR(VLOOKUP(Final!F5906,'LEAID Match'!$A$2:$B$374,2,FALSE),"")</f>
        <v/>
      </c>
      <c r="K5906" s="10">
        <f t="shared" si="92"/>
        <v>52235</v>
      </c>
    </row>
    <row r="5907" spans="1:11">
      <c r="A5907" t="s">
        <v>2470</v>
      </c>
      <c r="B5907" s="10">
        <v>2019</v>
      </c>
      <c r="C5907" t="s">
        <v>591</v>
      </c>
      <c r="D5907" t="s">
        <v>2472</v>
      </c>
      <c r="E5907" t="s">
        <v>2474</v>
      </c>
      <c r="F5907" t="s">
        <v>536</v>
      </c>
      <c r="G5907" t="s">
        <v>536</v>
      </c>
      <c r="H5907" s="10">
        <v>50581</v>
      </c>
      <c r="I5907" t="str">
        <f>IFERROR(VLOOKUP(Final!F5907,'LEAID Match'!$A$2:$B$374,2,FALSE),"")</f>
        <v/>
      </c>
      <c r="K5907" s="10">
        <f t="shared" si="92"/>
        <v>50581</v>
      </c>
    </row>
    <row r="5908" spans="1:11">
      <c r="A5908" t="s">
        <v>2470</v>
      </c>
      <c r="B5908" s="10">
        <v>2020</v>
      </c>
      <c r="C5908" t="s">
        <v>591</v>
      </c>
      <c r="D5908" t="s">
        <v>2472</v>
      </c>
      <c r="E5908" t="s">
        <v>2474</v>
      </c>
      <c r="F5908" t="s">
        <v>536</v>
      </c>
      <c r="G5908" t="s">
        <v>536</v>
      </c>
      <c r="H5908" s="10">
        <v>58470</v>
      </c>
      <c r="I5908" t="str">
        <f>IFERROR(VLOOKUP(Final!F5908,'LEAID Match'!$A$2:$B$374,2,FALSE),"")</f>
        <v/>
      </c>
      <c r="K5908" s="10">
        <f t="shared" si="92"/>
        <v>58470</v>
      </c>
    </row>
    <row r="5909" spans="1:11">
      <c r="A5909" t="s">
        <v>2470</v>
      </c>
      <c r="B5909" s="10">
        <v>2021</v>
      </c>
      <c r="C5909" t="s">
        <v>591</v>
      </c>
      <c r="D5909" t="s">
        <v>2472</v>
      </c>
      <c r="E5909" t="s">
        <v>2474</v>
      </c>
      <c r="F5909" t="s">
        <v>536</v>
      </c>
      <c r="G5909" t="s">
        <v>536</v>
      </c>
      <c r="H5909" s="10">
        <v>72353</v>
      </c>
      <c r="I5909" t="str">
        <f>IFERROR(VLOOKUP(Final!F5909,'LEAID Match'!$A$2:$B$374,2,FALSE),"")</f>
        <v/>
      </c>
      <c r="K5909" s="10">
        <f t="shared" si="92"/>
        <v>72353</v>
      </c>
    </row>
    <row r="5910" spans="1:11">
      <c r="A5910" t="s">
        <v>2470</v>
      </c>
      <c r="B5910" s="10">
        <v>2022</v>
      </c>
      <c r="C5910" t="s">
        <v>591</v>
      </c>
      <c r="D5910" t="s">
        <v>2472</v>
      </c>
      <c r="E5910" t="s">
        <v>2474</v>
      </c>
      <c r="F5910" t="s">
        <v>536</v>
      </c>
      <c r="G5910" t="s">
        <v>536</v>
      </c>
      <c r="H5910" s="10">
        <v>71013</v>
      </c>
      <c r="I5910" t="str">
        <f>IFERROR(VLOOKUP(Final!F5910,'LEAID Match'!$A$2:$B$374,2,FALSE),"")</f>
        <v/>
      </c>
      <c r="K5910" s="10">
        <f t="shared" si="92"/>
        <v>71013</v>
      </c>
    </row>
    <row r="5911" spans="1:11">
      <c r="A5911" t="s">
        <v>2470</v>
      </c>
      <c r="B5911" s="10">
        <v>2023</v>
      </c>
      <c r="C5911" t="s">
        <v>591</v>
      </c>
      <c r="D5911" t="s">
        <v>2472</v>
      </c>
      <c r="E5911" t="s">
        <v>2474</v>
      </c>
      <c r="F5911" t="s">
        <v>536</v>
      </c>
      <c r="G5911" t="s">
        <v>536</v>
      </c>
      <c r="H5911" s="10">
        <v>58894</v>
      </c>
      <c r="I5911" t="str">
        <f>IFERROR(VLOOKUP(Final!F5911,'LEAID Match'!$A$2:$B$374,2,FALSE),"")</f>
        <v/>
      </c>
      <c r="K5911" s="10">
        <f t="shared" si="92"/>
        <v>58894</v>
      </c>
    </row>
    <row r="5912" spans="1:11">
      <c r="A5912" t="s">
        <v>2470</v>
      </c>
      <c r="B5912" s="10">
        <v>2015</v>
      </c>
      <c r="C5912" t="s">
        <v>1147</v>
      </c>
      <c r="D5912" t="s">
        <v>2472</v>
      </c>
      <c r="E5912" t="s">
        <v>2474</v>
      </c>
      <c r="F5912" t="s">
        <v>1092</v>
      </c>
      <c r="G5912" t="s">
        <v>1092</v>
      </c>
      <c r="H5912" s="10">
        <v>262</v>
      </c>
      <c r="I5912" t="str">
        <f>IFERROR(VLOOKUP(Final!F5912,'LEAID Match'!$A$2:$B$374,2,FALSE),"")</f>
        <v/>
      </c>
      <c r="K5912" s="10">
        <f t="shared" si="92"/>
        <v>262</v>
      </c>
    </row>
    <row r="5913" spans="1:11">
      <c r="A5913" t="s">
        <v>2470</v>
      </c>
      <c r="B5913" s="10">
        <v>2016</v>
      </c>
      <c r="C5913" t="s">
        <v>1147</v>
      </c>
      <c r="D5913" t="s">
        <v>2472</v>
      </c>
      <c r="E5913" t="s">
        <v>2474</v>
      </c>
      <c r="F5913" t="s">
        <v>1092</v>
      </c>
      <c r="G5913" t="s">
        <v>1092</v>
      </c>
      <c r="H5913" s="10"/>
      <c r="I5913" t="str">
        <f>IFERROR(VLOOKUP(Final!F5913,'LEAID Match'!$A$2:$B$374,2,FALSE),"")</f>
        <v/>
      </c>
      <c r="K5913" s="10">
        <f t="shared" si="92"/>
        <v>0</v>
      </c>
    </row>
    <row r="5914" spans="1:11">
      <c r="A5914" t="s">
        <v>2470</v>
      </c>
      <c r="B5914" s="10">
        <v>2017</v>
      </c>
      <c r="C5914" t="s">
        <v>1147</v>
      </c>
      <c r="D5914" t="s">
        <v>2472</v>
      </c>
      <c r="E5914" t="s">
        <v>2474</v>
      </c>
      <c r="F5914" t="s">
        <v>1092</v>
      </c>
      <c r="G5914" t="s">
        <v>1092</v>
      </c>
      <c r="H5914" s="10">
        <v>3857</v>
      </c>
      <c r="I5914" t="str">
        <f>IFERROR(VLOOKUP(Final!F5914,'LEAID Match'!$A$2:$B$374,2,FALSE),"")</f>
        <v/>
      </c>
      <c r="K5914" s="10">
        <f t="shared" si="92"/>
        <v>3857</v>
      </c>
    </row>
    <row r="5915" spans="1:11">
      <c r="A5915" t="s">
        <v>2470</v>
      </c>
      <c r="B5915" s="10">
        <v>2018</v>
      </c>
      <c r="C5915" t="s">
        <v>1147</v>
      </c>
      <c r="D5915" t="s">
        <v>2472</v>
      </c>
      <c r="E5915" t="s">
        <v>2474</v>
      </c>
      <c r="F5915" t="s">
        <v>1092</v>
      </c>
      <c r="G5915" t="s">
        <v>1092</v>
      </c>
      <c r="H5915" s="10">
        <v>5202</v>
      </c>
      <c r="I5915" t="str">
        <f>IFERROR(VLOOKUP(Final!F5915,'LEAID Match'!$A$2:$B$374,2,FALSE),"")</f>
        <v/>
      </c>
      <c r="K5915" s="10">
        <f t="shared" si="92"/>
        <v>5202</v>
      </c>
    </row>
    <row r="5916" spans="1:11">
      <c r="A5916" t="s">
        <v>2470</v>
      </c>
      <c r="B5916" s="10">
        <v>2019</v>
      </c>
      <c r="C5916" t="s">
        <v>1147</v>
      </c>
      <c r="D5916" t="s">
        <v>2472</v>
      </c>
      <c r="E5916" t="s">
        <v>2474</v>
      </c>
      <c r="F5916" t="s">
        <v>1092</v>
      </c>
      <c r="G5916" t="s">
        <v>1092</v>
      </c>
      <c r="H5916" s="10">
        <v>8234</v>
      </c>
      <c r="I5916" t="str">
        <f>IFERROR(VLOOKUP(Final!F5916,'LEAID Match'!$A$2:$B$374,2,FALSE),"")</f>
        <v/>
      </c>
      <c r="K5916" s="10">
        <f t="shared" si="92"/>
        <v>8234</v>
      </c>
    </row>
    <row r="5917" spans="1:11">
      <c r="A5917" t="s">
        <v>2470</v>
      </c>
      <c r="B5917" s="10">
        <v>2020</v>
      </c>
      <c r="C5917" t="s">
        <v>1147</v>
      </c>
      <c r="D5917" t="s">
        <v>2472</v>
      </c>
      <c r="E5917" t="s">
        <v>2474</v>
      </c>
      <c r="F5917" t="s">
        <v>1092</v>
      </c>
      <c r="G5917" t="s">
        <v>1092</v>
      </c>
      <c r="H5917" s="10">
        <v>3596</v>
      </c>
      <c r="I5917" t="str">
        <f>IFERROR(VLOOKUP(Final!F5917,'LEAID Match'!$A$2:$B$374,2,FALSE),"")</f>
        <v/>
      </c>
      <c r="K5917" s="10">
        <f t="shared" si="92"/>
        <v>3596</v>
      </c>
    </row>
    <row r="5918" spans="1:11">
      <c r="A5918" t="s">
        <v>2470</v>
      </c>
      <c r="B5918" s="10">
        <v>2021</v>
      </c>
      <c r="C5918" t="s">
        <v>1147</v>
      </c>
      <c r="D5918" t="s">
        <v>2472</v>
      </c>
      <c r="E5918" t="s">
        <v>2474</v>
      </c>
      <c r="F5918" t="s">
        <v>1092</v>
      </c>
      <c r="G5918" t="s">
        <v>1092</v>
      </c>
      <c r="H5918" s="10">
        <v>3804</v>
      </c>
      <c r="I5918" t="str">
        <f>IFERROR(VLOOKUP(Final!F5918,'LEAID Match'!$A$2:$B$374,2,FALSE),"")</f>
        <v/>
      </c>
      <c r="K5918" s="10">
        <f t="shared" si="92"/>
        <v>3804</v>
      </c>
    </row>
    <row r="5919" spans="1:11">
      <c r="A5919" t="s">
        <v>2470</v>
      </c>
      <c r="B5919" s="10">
        <v>2022</v>
      </c>
      <c r="C5919" t="s">
        <v>1147</v>
      </c>
      <c r="D5919" t="s">
        <v>2472</v>
      </c>
      <c r="E5919" t="s">
        <v>2474</v>
      </c>
      <c r="F5919" t="s">
        <v>1092</v>
      </c>
      <c r="G5919" t="s">
        <v>1092</v>
      </c>
      <c r="H5919" s="10">
        <v>4871</v>
      </c>
      <c r="I5919" t="str">
        <f>IFERROR(VLOOKUP(Final!F5919,'LEAID Match'!$A$2:$B$374,2,FALSE),"")</f>
        <v/>
      </c>
      <c r="K5919" s="10">
        <f t="shared" si="92"/>
        <v>4871</v>
      </c>
    </row>
    <row r="5920" spans="1:11">
      <c r="A5920" t="s">
        <v>2470</v>
      </c>
      <c r="B5920" s="10">
        <v>2023</v>
      </c>
      <c r="C5920" t="s">
        <v>1147</v>
      </c>
      <c r="D5920" t="s">
        <v>2472</v>
      </c>
      <c r="E5920" t="s">
        <v>2474</v>
      </c>
      <c r="F5920" t="s">
        <v>1092</v>
      </c>
      <c r="G5920" t="s">
        <v>1092</v>
      </c>
      <c r="H5920" s="10">
        <v>4273</v>
      </c>
      <c r="I5920" t="str">
        <f>IFERROR(VLOOKUP(Final!F5920,'LEAID Match'!$A$2:$B$374,2,FALSE),"")</f>
        <v/>
      </c>
      <c r="K5920" s="10">
        <f t="shared" si="92"/>
        <v>4273</v>
      </c>
    </row>
    <row r="5921" spans="1:11">
      <c r="A5921" t="s">
        <v>2470</v>
      </c>
      <c r="B5921" s="10">
        <v>2015</v>
      </c>
      <c r="C5921" t="s">
        <v>1324</v>
      </c>
      <c r="D5921" t="s">
        <v>2472</v>
      </c>
      <c r="E5921" t="s">
        <v>2474</v>
      </c>
      <c r="F5921" t="s">
        <v>1504</v>
      </c>
      <c r="G5921" t="s">
        <v>1276</v>
      </c>
      <c r="H5921" s="10">
        <v>76879</v>
      </c>
      <c r="I5921" t="str">
        <f>IFERROR(VLOOKUP(Final!F5921,'LEAID Match'!$A$2:$B$374,2,FALSE),"")</f>
        <v/>
      </c>
      <c r="K5921" s="10">
        <f t="shared" si="92"/>
        <v>76879</v>
      </c>
    </row>
    <row r="5922" spans="1:11">
      <c r="A5922" t="s">
        <v>2470</v>
      </c>
      <c r="B5922" s="10">
        <v>2016</v>
      </c>
      <c r="C5922" t="s">
        <v>1324</v>
      </c>
      <c r="D5922" t="s">
        <v>2472</v>
      </c>
      <c r="E5922" t="s">
        <v>2474</v>
      </c>
      <c r="F5922" t="s">
        <v>1504</v>
      </c>
      <c r="G5922" t="s">
        <v>1276</v>
      </c>
      <c r="H5922" s="10">
        <v>79668</v>
      </c>
      <c r="I5922" t="str">
        <f>IFERROR(VLOOKUP(Final!F5922,'LEAID Match'!$A$2:$B$374,2,FALSE),"")</f>
        <v/>
      </c>
      <c r="K5922" s="10">
        <f t="shared" si="92"/>
        <v>79668</v>
      </c>
    </row>
    <row r="5923" spans="1:11">
      <c r="A5923" t="s">
        <v>2470</v>
      </c>
      <c r="B5923" s="10">
        <v>2017</v>
      </c>
      <c r="C5923" t="s">
        <v>1324</v>
      </c>
      <c r="D5923" t="s">
        <v>2472</v>
      </c>
      <c r="E5923" t="s">
        <v>2474</v>
      </c>
      <c r="F5923" t="s">
        <v>1504</v>
      </c>
      <c r="G5923" t="s">
        <v>1504</v>
      </c>
      <c r="H5923" s="10">
        <v>78931</v>
      </c>
      <c r="I5923" t="str">
        <f>IFERROR(VLOOKUP(Final!F5923,'LEAID Match'!$A$2:$B$374,2,FALSE),"")</f>
        <v/>
      </c>
      <c r="K5923" s="10">
        <f t="shared" si="92"/>
        <v>78931</v>
      </c>
    </row>
    <row r="5924" spans="1:11">
      <c r="A5924" t="s">
        <v>2470</v>
      </c>
      <c r="B5924" s="10">
        <v>2018</v>
      </c>
      <c r="C5924" t="s">
        <v>1324</v>
      </c>
      <c r="D5924" t="s">
        <v>2472</v>
      </c>
      <c r="E5924" t="s">
        <v>2474</v>
      </c>
      <c r="F5924" t="s">
        <v>1504</v>
      </c>
      <c r="G5924" t="s">
        <v>1504</v>
      </c>
      <c r="H5924" s="10">
        <v>80668</v>
      </c>
      <c r="I5924" t="str">
        <f>IFERROR(VLOOKUP(Final!F5924,'LEAID Match'!$A$2:$B$374,2,FALSE),"")</f>
        <v/>
      </c>
      <c r="K5924" s="10">
        <f t="shared" si="92"/>
        <v>80668</v>
      </c>
    </row>
    <row r="5925" spans="1:11">
      <c r="A5925" t="s">
        <v>2470</v>
      </c>
      <c r="B5925" s="10">
        <v>2019</v>
      </c>
      <c r="C5925" t="s">
        <v>1324</v>
      </c>
      <c r="D5925" t="s">
        <v>2472</v>
      </c>
      <c r="E5925" t="s">
        <v>2474</v>
      </c>
      <c r="F5925" t="s">
        <v>1504</v>
      </c>
      <c r="G5925" t="s">
        <v>1504</v>
      </c>
      <c r="H5925" s="10">
        <v>85950</v>
      </c>
      <c r="I5925" t="str">
        <f>IFERROR(VLOOKUP(Final!F5925,'LEAID Match'!$A$2:$B$374,2,FALSE),"")</f>
        <v/>
      </c>
      <c r="K5925" s="10">
        <f t="shared" si="92"/>
        <v>85950</v>
      </c>
    </row>
    <row r="5926" spans="1:11">
      <c r="A5926" t="s">
        <v>2470</v>
      </c>
      <c r="B5926" s="10">
        <v>2020</v>
      </c>
      <c r="C5926" t="s">
        <v>1324</v>
      </c>
      <c r="D5926" t="s">
        <v>2472</v>
      </c>
      <c r="E5926" t="s">
        <v>2474</v>
      </c>
      <c r="F5926" t="s">
        <v>1504</v>
      </c>
      <c r="G5926" t="s">
        <v>1504</v>
      </c>
      <c r="H5926" s="10">
        <v>83304</v>
      </c>
      <c r="I5926" t="str">
        <f>IFERROR(VLOOKUP(Final!F5926,'LEAID Match'!$A$2:$B$374,2,FALSE),"")</f>
        <v/>
      </c>
      <c r="K5926" s="10">
        <f t="shared" si="92"/>
        <v>83304</v>
      </c>
    </row>
    <row r="5927" spans="1:11">
      <c r="A5927" t="s">
        <v>2470</v>
      </c>
      <c r="B5927" s="10">
        <v>2021</v>
      </c>
      <c r="C5927" t="s">
        <v>1324</v>
      </c>
      <c r="D5927" t="s">
        <v>2472</v>
      </c>
      <c r="E5927" t="s">
        <v>2474</v>
      </c>
      <c r="F5927" t="s">
        <v>1504</v>
      </c>
      <c r="G5927" t="s">
        <v>1504</v>
      </c>
      <c r="H5927" s="10">
        <v>94868</v>
      </c>
      <c r="I5927" t="str">
        <f>IFERROR(VLOOKUP(Final!F5927,'LEAID Match'!$A$2:$B$374,2,FALSE),"")</f>
        <v/>
      </c>
      <c r="K5927" s="10">
        <f t="shared" si="92"/>
        <v>94868</v>
      </c>
    </row>
    <row r="5928" spans="1:11">
      <c r="A5928" t="s">
        <v>2470</v>
      </c>
      <c r="B5928" s="10">
        <v>2022</v>
      </c>
      <c r="C5928" t="s">
        <v>1324</v>
      </c>
      <c r="D5928" t="s">
        <v>2472</v>
      </c>
      <c r="E5928" t="s">
        <v>2474</v>
      </c>
      <c r="F5928" t="s">
        <v>1504</v>
      </c>
      <c r="G5928" t="s">
        <v>1504</v>
      </c>
      <c r="H5928" s="10">
        <v>111158</v>
      </c>
      <c r="I5928" t="str">
        <f>IFERROR(VLOOKUP(Final!F5928,'LEAID Match'!$A$2:$B$374,2,FALSE),"")</f>
        <v/>
      </c>
      <c r="K5928" s="10">
        <f t="shared" si="92"/>
        <v>111158</v>
      </c>
    </row>
    <row r="5929" spans="1:11">
      <c r="A5929" t="s">
        <v>2470</v>
      </c>
      <c r="B5929" s="10">
        <v>2023</v>
      </c>
      <c r="C5929" t="s">
        <v>1324</v>
      </c>
      <c r="D5929" t="s">
        <v>2472</v>
      </c>
      <c r="E5929" t="s">
        <v>2474</v>
      </c>
      <c r="F5929" t="s">
        <v>1504</v>
      </c>
      <c r="G5929" t="s">
        <v>1504</v>
      </c>
      <c r="H5929" s="10">
        <v>112435</v>
      </c>
      <c r="I5929" t="str">
        <f>IFERROR(VLOOKUP(Final!F5929,'LEAID Match'!$A$2:$B$374,2,FALSE),"")</f>
        <v/>
      </c>
      <c r="K5929" s="10">
        <f t="shared" si="92"/>
        <v>112435</v>
      </c>
    </row>
    <row r="5930" spans="1:11">
      <c r="A5930" t="s">
        <v>2470</v>
      </c>
      <c r="B5930" s="10">
        <v>2015</v>
      </c>
      <c r="C5930" t="s">
        <v>1356</v>
      </c>
      <c r="D5930" t="s">
        <v>2472</v>
      </c>
      <c r="E5930" t="s">
        <v>2474</v>
      </c>
      <c r="F5930" t="s">
        <v>1755</v>
      </c>
      <c r="G5930" t="s">
        <v>1308</v>
      </c>
      <c r="H5930" s="10">
        <v>151612</v>
      </c>
      <c r="I5930" t="str">
        <f>IFERROR(VLOOKUP(Final!F5930,'LEAID Match'!$A$2:$B$374,2,FALSE),"")</f>
        <v/>
      </c>
      <c r="K5930" s="10">
        <f t="shared" si="92"/>
        <v>151612</v>
      </c>
    </row>
    <row r="5931" spans="1:11">
      <c r="A5931" t="s">
        <v>2470</v>
      </c>
      <c r="B5931" s="10">
        <v>2016</v>
      </c>
      <c r="C5931" t="s">
        <v>1356</v>
      </c>
      <c r="D5931" t="s">
        <v>2472</v>
      </c>
      <c r="E5931" t="s">
        <v>2474</v>
      </c>
      <c r="F5931" t="s">
        <v>1755</v>
      </c>
      <c r="G5931" t="s">
        <v>1308</v>
      </c>
      <c r="H5931" s="10">
        <v>158044</v>
      </c>
      <c r="I5931" t="str">
        <f>IFERROR(VLOOKUP(Final!F5931,'LEAID Match'!$A$2:$B$374,2,FALSE),"")</f>
        <v/>
      </c>
      <c r="K5931" s="10">
        <f t="shared" si="92"/>
        <v>158044</v>
      </c>
    </row>
    <row r="5932" spans="1:11">
      <c r="A5932" t="s">
        <v>2470</v>
      </c>
      <c r="B5932" s="10">
        <v>2017</v>
      </c>
      <c r="C5932" t="s">
        <v>1356</v>
      </c>
      <c r="D5932" t="s">
        <v>2472</v>
      </c>
      <c r="E5932" t="s">
        <v>2474</v>
      </c>
      <c r="F5932" t="s">
        <v>1755</v>
      </c>
      <c r="G5932" t="s">
        <v>1755</v>
      </c>
      <c r="H5932" s="10">
        <v>157065</v>
      </c>
      <c r="I5932" t="str">
        <f>IFERROR(VLOOKUP(Final!F5932,'LEAID Match'!$A$2:$B$374,2,FALSE),"")</f>
        <v/>
      </c>
      <c r="K5932" s="10">
        <f t="shared" si="92"/>
        <v>157065</v>
      </c>
    </row>
    <row r="5933" spans="1:11">
      <c r="A5933" t="s">
        <v>2470</v>
      </c>
      <c r="B5933" s="10">
        <v>2018</v>
      </c>
      <c r="C5933" t="s">
        <v>1356</v>
      </c>
      <c r="D5933" t="s">
        <v>2472</v>
      </c>
      <c r="E5933" t="s">
        <v>2474</v>
      </c>
      <c r="F5933" t="s">
        <v>1755</v>
      </c>
      <c r="G5933" t="s">
        <v>2212</v>
      </c>
      <c r="H5933" s="10">
        <v>159951</v>
      </c>
      <c r="I5933" t="str">
        <f>IFERROR(VLOOKUP(Final!F5933,'LEAID Match'!$A$2:$B$374,2,FALSE),"")</f>
        <v/>
      </c>
      <c r="K5933" s="10">
        <f t="shared" si="92"/>
        <v>159951</v>
      </c>
    </row>
    <row r="5934" spans="1:11">
      <c r="A5934" t="s">
        <v>2470</v>
      </c>
      <c r="B5934" s="10">
        <v>2019</v>
      </c>
      <c r="C5934" t="s">
        <v>1356</v>
      </c>
      <c r="D5934" t="s">
        <v>2472</v>
      </c>
      <c r="E5934" t="s">
        <v>2474</v>
      </c>
      <c r="F5934" t="s">
        <v>1755</v>
      </c>
      <c r="G5934" t="s">
        <v>1755</v>
      </c>
      <c r="H5934" s="10">
        <v>174133</v>
      </c>
      <c r="I5934" t="str">
        <f>IFERROR(VLOOKUP(Final!F5934,'LEAID Match'!$A$2:$B$374,2,FALSE),"")</f>
        <v/>
      </c>
      <c r="K5934" s="10">
        <f t="shared" si="92"/>
        <v>174133</v>
      </c>
    </row>
    <row r="5935" spans="1:11">
      <c r="A5935" t="s">
        <v>2470</v>
      </c>
      <c r="B5935" s="10">
        <v>2020</v>
      </c>
      <c r="C5935" t="s">
        <v>1356</v>
      </c>
      <c r="D5935" t="s">
        <v>2472</v>
      </c>
      <c r="E5935" t="s">
        <v>2474</v>
      </c>
      <c r="F5935" t="s">
        <v>1755</v>
      </c>
      <c r="G5935" t="s">
        <v>1755</v>
      </c>
      <c r="H5935" s="10">
        <v>181737</v>
      </c>
      <c r="I5935" t="str">
        <f>IFERROR(VLOOKUP(Final!F5935,'LEAID Match'!$A$2:$B$374,2,FALSE),"")</f>
        <v/>
      </c>
      <c r="K5935" s="10">
        <f t="shared" si="92"/>
        <v>181737</v>
      </c>
    </row>
    <row r="5936" spans="1:11">
      <c r="A5936" t="s">
        <v>2470</v>
      </c>
      <c r="B5936" s="10">
        <v>2021</v>
      </c>
      <c r="C5936" t="s">
        <v>1356</v>
      </c>
      <c r="D5936" t="s">
        <v>2472</v>
      </c>
      <c r="E5936" t="s">
        <v>2474</v>
      </c>
      <c r="F5936" t="s">
        <v>1755</v>
      </c>
      <c r="G5936" t="s">
        <v>1755</v>
      </c>
      <c r="H5936" s="10">
        <v>191654</v>
      </c>
      <c r="I5936" t="str">
        <f>IFERROR(VLOOKUP(Final!F5936,'LEAID Match'!$A$2:$B$374,2,FALSE),"")</f>
        <v/>
      </c>
      <c r="K5936" s="10">
        <f t="shared" si="92"/>
        <v>191654</v>
      </c>
    </row>
    <row r="5937" spans="1:11">
      <c r="A5937" t="s">
        <v>2470</v>
      </c>
      <c r="B5937" s="10">
        <v>2022</v>
      </c>
      <c r="C5937" t="s">
        <v>1356</v>
      </c>
      <c r="D5937" t="s">
        <v>2472</v>
      </c>
      <c r="E5937" t="s">
        <v>2474</v>
      </c>
      <c r="F5937" t="s">
        <v>1755</v>
      </c>
      <c r="G5937" t="s">
        <v>1755</v>
      </c>
      <c r="H5937" s="10">
        <v>222027</v>
      </c>
      <c r="I5937" t="str">
        <f>IFERROR(VLOOKUP(Final!F5937,'LEAID Match'!$A$2:$B$374,2,FALSE),"")</f>
        <v/>
      </c>
      <c r="K5937" s="10">
        <f t="shared" si="92"/>
        <v>222027</v>
      </c>
    </row>
    <row r="5938" spans="1:11">
      <c r="A5938" t="s">
        <v>2470</v>
      </c>
      <c r="B5938" s="10">
        <v>2023</v>
      </c>
      <c r="C5938" t="s">
        <v>1356</v>
      </c>
      <c r="D5938" t="s">
        <v>2472</v>
      </c>
      <c r="E5938" t="s">
        <v>2474</v>
      </c>
      <c r="F5938" t="s">
        <v>1755</v>
      </c>
      <c r="G5938" t="s">
        <v>1755</v>
      </c>
      <c r="H5938" s="10">
        <v>268630</v>
      </c>
      <c r="I5938" t="str">
        <f>IFERROR(VLOOKUP(Final!F5938,'LEAID Match'!$A$2:$B$374,2,FALSE),"")</f>
        <v/>
      </c>
      <c r="K5938" s="10">
        <f t="shared" si="92"/>
        <v>268630</v>
      </c>
    </row>
    <row r="5939" spans="1:11">
      <c r="A5939" t="s">
        <v>2470</v>
      </c>
      <c r="B5939" s="10">
        <v>2015</v>
      </c>
      <c r="C5939" t="s">
        <v>1010</v>
      </c>
      <c r="D5939" t="s">
        <v>2472</v>
      </c>
      <c r="E5939" t="s">
        <v>2474</v>
      </c>
      <c r="F5939" t="s">
        <v>1893</v>
      </c>
      <c r="G5939" t="s">
        <v>955</v>
      </c>
      <c r="H5939" s="10">
        <v>113024</v>
      </c>
      <c r="I5939" t="str">
        <f>IFERROR(VLOOKUP(Final!F5939,'LEAID Match'!$A$2:$B$374,2,FALSE),"")</f>
        <v/>
      </c>
      <c r="K5939" s="10">
        <f t="shared" si="92"/>
        <v>113024</v>
      </c>
    </row>
    <row r="5940" spans="1:11">
      <c r="A5940" t="s">
        <v>2470</v>
      </c>
      <c r="B5940" s="10">
        <v>2016</v>
      </c>
      <c r="C5940" t="s">
        <v>1010</v>
      </c>
      <c r="D5940" t="s">
        <v>2472</v>
      </c>
      <c r="E5940" t="s">
        <v>2474</v>
      </c>
      <c r="F5940" t="s">
        <v>1893</v>
      </c>
      <c r="G5940" t="s">
        <v>955</v>
      </c>
      <c r="H5940" s="10">
        <v>110415</v>
      </c>
      <c r="I5940" t="str">
        <f>IFERROR(VLOOKUP(Final!F5940,'LEAID Match'!$A$2:$B$374,2,FALSE),"")</f>
        <v/>
      </c>
      <c r="K5940" s="10">
        <f t="shared" si="92"/>
        <v>110415</v>
      </c>
    </row>
    <row r="5941" spans="1:11">
      <c r="A5941" t="s">
        <v>2470</v>
      </c>
      <c r="B5941" s="10">
        <v>2017</v>
      </c>
      <c r="C5941" t="s">
        <v>1010</v>
      </c>
      <c r="D5941" t="s">
        <v>2472</v>
      </c>
      <c r="E5941" t="s">
        <v>2474</v>
      </c>
      <c r="F5941" t="s">
        <v>1893</v>
      </c>
      <c r="G5941" t="s">
        <v>1893</v>
      </c>
      <c r="H5941" s="10">
        <v>112293</v>
      </c>
      <c r="I5941" t="str">
        <f>IFERROR(VLOOKUP(Final!F5941,'LEAID Match'!$A$2:$B$374,2,FALSE),"")</f>
        <v/>
      </c>
      <c r="K5941" s="10">
        <f t="shared" si="92"/>
        <v>112293</v>
      </c>
    </row>
    <row r="5942" spans="1:11">
      <c r="A5942" t="s">
        <v>2470</v>
      </c>
      <c r="B5942" s="10">
        <v>2018</v>
      </c>
      <c r="C5942" t="s">
        <v>1010</v>
      </c>
      <c r="D5942" t="s">
        <v>2472</v>
      </c>
      <c r="E5942" t="s">
        <v>2474</v>
      </c>
      <c r="F5942" t="s">
        <v>1893</v>
      </c>
      <c r="G5942" t="s">
        <v>1893</v>
      </c>
      <c r="H5942" s="10">
        <v>110674</v>
      </c>
      <c r="I5942" t="str">
        <f>IFERROR(VLOOKUP(Final!F5942,'LEAID Match'!$A$2:$B$374,2,FALSE),"")</f>
        <v/>
      </c>
      <c r="K5942" s="10">
        <f t="shared" si="92"/>
        <v>110674</v>
      </c>
    </row>
    <row r="5943" spans="1:11">
      <c r="A5943" t="s">
        <v>2470</v>
      </c>
      <c r="B5943" s="10">
        <v>2019</v>
      </c>
      <c r="C5943" t="s">
        <v>1010</v>
      </c>
      <c r="D5943" t="s">
        <v>2472</v>
      </c>
      <c r="E5943" t="s">
        <v>2474</v>
      </c>
      <c r="F5943" t="s">
        <v>1893</v>
      </c>
      <c r="G5943" t="s">
        <v>1893</v>
      </c>
      <c r="H5943" s="10">
        <v>118425</v>
      </c>
      <c r="I5943" t="str">
        <f>IFERROR(VLOOKUP(Final!F5943,'LEAID Match'!$A$2:$B$374,2,FALSE),"")</f>
        <v/>
      </c>
      <c r="K5943" s="10">
        <f t="shared" si="92"/>
        <v>118425</v>
      </c>
    </row>
    <row r="5944" spans="1:11">
      <c r="A5944" t="s">
        <v>2470</v>
      </c>
      <c r="B5944" s="10">
        <v>2020</v>
      </c>
      <c r="C5944" t="s">
        <v>1010</v>
      </c>
      <c r="D5944" t="s">
        <v>2472</v>
      </c>
      <c r="E5944" t="s">
        <v>2474</v>
      </c>
      <c r="F5944" t="s">
        <v>1893</v>
      </c>
      <c r="G5944" t="s">
        <v>1893</v>
      </c>
      <c r="H5944" s="10">
        <v>122279</v>
      </c>
      <c r="I5944" t="str">
        <f>IFERROR(VLOOKUP(Final!F5944,'LEAID Match'!$A$2:$B$374,2,FALSE),"")</f>
        <v/>
      </c>
      <c r="K5944" s="10">
        <f t="shared" si="92"/>
        <v>122279</v>
      </c>
    </row>
    <row r="5945" spans="1:11">
      <c r="A5945" t="s">
        <v>2470</v>
      </c>
      <c r="B5945" s="10">
        <v>2021</v>
      </c>
      <c r="C5945" t="s">
        <v>1010</v>
      </c>
      <c r="D5945" t="s">
        <v>2472</v>
      </c>
      <c r="E5945" t="s">
        <v>2474</v>
      </c>
      <c r="F5945" t="s">
        <v>1893</v>
      </c>
      <c r="G5945" t="s">
        <v>1893</v>
      </c>
      <c r="H5945" s="10">
        <v>114048</v>
      </c>
      <c r="I5945" t="str">
        <f>IFERROR(VLOOKUP(Final!F5945,'LEAID Match'!$A$2:$B$374,2,FALSE),"")</f>
        <v/>
      </c>
      <c r="K5945" s="10">
        <f t="shared" si="92"/>
        <v>114048</v>
      </c>
    </row>
    <row r="5946" spans="1:11">
      <c r="A5946" t="s">
        <v>2470</v>
      </c>
      <c r="B5946" s="10">
        <v>2022</v>
      </c>
      <c r="C5946" t="s">
        <v>1010</v>
      </c>
      <c r="D5946" t="s">
        <v>2472</v>
      </c>
      <c r="E5946" t="s">
        <v>2474</v>
      </c>
      <c r="F5946" t="s">
        <v>1893</v>
      </c>
      <c r="G5946" t="s">
        <v>1893</v>
      </c>
      <c r="H5946" s="10">
        <v>124352</v>
      </c>
      <c r="I5946" t="str">
        <f>IFERROR(VLOOKUP(Final!F5946,'LEAID Match'!$A$2:$B$374,2,FALSE),"")</f>
        <v/>
      </c>
      <c r="K5946" s="10">
        <f t="shared" si="92"/>
        <v>124352</v>
      </c>
    </row>
    <row r="5947" spans="1:11">
      <c r="A5947" t="s">
        <v>2470</v>
      </c>
      <c r="B5947" s="10">
        <v>2023</v>
      </c>
      <c r="C5947" t="s">
        <v>1010</v>
      </c>
      <c r="D5947" t="s">
        <v>2472</v>
      </c>
      <c r="E5947" t="s">
        <v>2474</v>
      </c>
      <c r="F5947" t="s">
        <v>1893</v>
      </c>
      <c r="G5947" t="s">
        <v>1893</v>
      </c>
      <c r="H5947" s="10">
        <v>130162</v>
      </c>
      <c r="I5947" t="str">
        <f>IFERROR(VLOOKUP(Final!F5947,'LEAID Match'!$A$2:$B$374,2,FALSE),"")</f>
        <v/>
      </c>
      <c r="K5947" s="10">
        <f t="shared" si="92"/>
        <v>130162</v>
      </c>
    </row>
    <row r="5948" spans="1:11">
      <c r="A5948" t="s">
        <v>2470</v>
      </c>
      <c r="B5948" s="10">
        <v>2015</v>
      </c>
      <c r="C5948" t="s">
        <v>1037</v>
      </c>
      <c r="D5948" t="s">
        <v>2472</v>
      </c>
      <c r="E5948" t="s">
        <v>2474</v>
      </c>
      <c r="F5948" t="s">
        <v>1915</v>
      </c>
      <c r="G5948" t="s">
        <v>982</v>
      </c>
      <c r="H5948" s="10">
        <v>39480</v>
      </c>
      <c r="I5948" t="str">
        <f>IFERROR(VLOOKUP(Final!F5948,'LEAID Match'!$A$2:$B$374,2,FALSE),"")</f>
        <v/>
      </c>
      <c r="K5948" s="10">
        <f t="shared" si="92"/>
        <v>39480</v>
      </c>
    </row>
    <row r="5949" spans="1:11">
      <c r="A5949" t="s">
        <v>2470</v>
      </c>
      <c r="B5949" s="10">
        <v>2016</v>
      </c>
      <c r="C5949" t="s">
        <v>1037</v>
      </c>
      <c r="D5949" t="s">
        <v>2472</v>
      </c>
      <c r="E5949" t="s">
        <v>2474</v>
      </c>
      <c r="F5949" t="s">
        <v>1915</v>
      </c>
      <c r="G5949" t="s">
        <v>982</v>
      </c>
      <c r="H5949" s="10">
        <v>50090</v>
      </c>
      <c r="I5949" t="str">
        <f>IFERROR(VLOOKUP(Final!F5949,'LEAID Match'!$A$2:$B$374,2,FALSE),"")</f>
        <v/>
      </c>
      <c r="K5949" s="10">
        <f t="shared" si="92"/>
        <v>50090</v>
      </c>
    </row>
    <row r="5950" spans="1:11">
      <c r="A5950" t="s">
        <v>2470</v>
      </c>
      <c r="B5950" s="10">
        <v>2017</v>
      </c>
      <c r="C5950" t="s">
        <v>1037</v>
      </c>
      <c r="D5950" t="s">
        <v>2472</v>
      </c>
      <c r="E5950" t="s">
        <v>2474</v>
      </c>
      <c r="F5950" t="s">
        <v>1915</v>
      </c>
      <c r="G5950" t="s">
        <v>1915</v>
      </c>
      <c r="H5950" s="10">
        <v>47220</v>
      </c>
      <c r="I5950" t="str">
        <f>IFERROR(VLOOKUP(Final!F5950,'LEAID Match'!$A$2:$B$374,2,FALSE),"")</f>
        <v/>
      </c>
      <c r="K5950" s="10">
        <f t="shared" si="92"/>
        <v>47220</v>
      </c>
    </row>
    <row r="5951" spans="1:11">
      <c r="A5951" t="s">
        <v>2470</v>
      </c>
      <c r="B5951" s="10">
        <v>2018</v>
      </c>
      <c r="C5951" t="s">
        <v>1037</v>
      </c>
      <c r="D5951" t="s">
        <v>2472</v>
      </c>
      <c r="E5951" t="s">
        <v>2474</v>
      </c>
      <c r="F5951" t="s">
        <v>1915</v>
      </c>
      <c r="G5951" t="s">
        <v>1915</v>
      </c>
      <c r="H5951" s="10">
        <v>38014</v>
      </c>
      <c r="I5951" t="str">
        <f>IFERROR(VLOOKUP(Final!F5951,'LEAID Match'!$A$2:$B$374,2,FALSE),"")</f>
        <v/>
      </c>
      <c r="K5951" s="10">
        <f t="shared" si="92"/>
        <v>38014</v>
      </c>
    </row>
    <row r="5952" spans="1:11">
      <c r="A5952" t="s">
        <v>2470</v>
      </c>
      <c r="B5952" s="10">
        <v>2019</v>
      </c>
      <c r="C5952" t="s">
        <v>1037</v>
      </c>
      <c r="D5952" t="s">
        <v>2472</v>
      </c>
      <c r="E5952" t="s">
        <v>2474</v>
      </c>
      <c r="F5952" t="s">
        <v>1915</v>
      </c>
      <c r="G5952" t="s">
        <v>1915</v>
      </c>
      <c r="H5952" s="10">
        <v>43301</v>
      </c>
      <c r="I5952" t="str">
        <f>IFERROR(VLOOKUP(Final!F5952,'LEAID Match'!$A$2:$B$374,2,FALSE),"")</f>
        <v/>
      </c>
      <c r="K5952" s="10">
        <f t="shared" si="92"/>
        <v>43301</v>
      </c>
    </row>
    <row r="5953" spans="1:11">
      <c r="A5953" t="s">
        <v>2470</v>
      </c>
      <c r="B5953" s="10">
        <v>2020</v>
      </c>
      <c r="C5953" t="s">
        <v>1037</v>
      </c>
      <c r="D5953" t="s">
        <v>2472</v>
      </c>
      <c r="E5953" t="s">
        <v>2474</v>
      </c>
      <c r="F5953" t="s">
        <v>1915</v>
      </c>
      <c r="G5953" t="s">
        <v>1915</v>
      </c>
      <c r="H5953" s="10">
        <v>41264</v>
      </c>
      <c r="I5953" t="str">
        <f>IFERROR(VLOOKUP(Final!F5953,'LEAID Match'!$A$2:$B$374,2,FALSE),"")</f>
        <v/>
      </c>
      <c r="K5953" s="10">
        <f t="shared" si="92"/>
        <v>41264</v>
      </c>
    </row>
    <row r="5954" spans="1:11">
      <c r="A5954" t="s">
        <v>2470</v>
      </c>
      <c r="B5954" s="10">
        <v>2021</v>
      </c>
      <c r="C5954" t="s">
        <v>1037</v>
      </c>
      <c r="D5954" t="s">
        <v>2472</v>
      </c>
      <c r="E5954" t="s">
        <v>2474</v>
      </c>
      <c r="F5954" t="s">
        <v>1915</v>
      </c>
      <c r="G5954" t="s">
        <v>1915</v>
      </c>
      <c r="H5954" s="10">
        <v>47605</v>
      </c>
      <c r="I5954" t="str">
        <f>IFERROR(VLOOKUP(Final!F5954,'LEAID Match'!$A$2:$B$374,2,FALSE),"")</f>
        <v/>
      </c>
      <c r="K5954" s="10">
        <f t="shared" si="92"/>
        <v>47605</v>
      </c>
    </row>
    <row r="5955" spans="1:11">
      <c r="A5955" t="s">
        <v>2470</v>
      </c>
      <c r="B5955" s="10">
        <v>2022</v>
      </c>
      <c r="C5955" t="s">
        <v>1037</v>
      </c>
      <c r="D5955" t="s">
        <v>2472</v>
      </c>
      <c r="E5955" t="s">
        <v>2474</v>
      </c>
      <c r="F5955" t="s">
        <v>1915</v>
      </c>
      <c r="G5955" t="s">
        <v>1915</v>
      </c>
      <c r="H5955" s="10">
        <v>49759</v>
      </c>
      <c r="I5955" t="str">
        <f>IFERROR(VLOOKUP(Final!F5955,'LEAID Match'!$A$2:$B$374,2,FALSE),"")</f>
        <v/>
      </c>
      <c r="K5955" s="10">
        <f t="shared" ref="K5955:K6018" si="93">SUM(H5955,J5955)</f>
        <v>49759</v>
      </c>
    </row>
    <row r="5956" spans="1:11">
      <c r="A5956" t="s">
        <v>2470</v>
      </c>
      <c r="B5956" s="10">
        <v>2023</v>
      </c>
      <c r="C5956" t="s">
        <v>1037</v>
      </c>
      <c r="D5956" t="s">
        <v>2472</v>
      </c>
      <c r="E5956" t="s">
        <v>2474</v>
      </c>
      <c r="F5956" t="s">
        <v>1915</v>
      </c>
      <c r="G5956" t="s">
        <v>1915</v>
      </c>
      <c r="H5956" s="10">
        <v>53889</v>
      </c>
      <c r="I5956" t="str">
        <f>IFERROR(VLOOKUP(Final!F5956,'LEAID Match'!$A$2:$B$374,2,FALSE),"")</f>
        <v/>
      </c>
      <c r="K5956" s="10">
        <f t="shared" si="93"/>
        <v>53889</v>
      </c>
    </row>
    <row r="5957" spans="1:11">
      <c r="A5957" t="s">
        <v>2470</v>
      </c>
      <c r="B5957" s="10">
        <v>2015</v>
      </c>
      <c r="C5957" t="s">
        <v>1009</v>
      </c>
      <c r="D5957" t="s">
        <v>2472</v>
      </c>
      <c r="E5957" t="s">
        <v>2474</v>
      </c>
      <c r="F5957" t="s">
        <v>1892</v>
      </c>
      <c r="G5957" t="s">
        <v>954</v>
      </c>
      <c r="H5957" s="10">
        <v>31811</v>
      </c>
      <c r="I5957" t="str">
        <f>IFERROR(VLOOKUP(Final!F5957,'LEAID Match'!$A$2:$B$374,2,FALSE),"")</f>
        <v/>
      </c>
      <c r="K5957" s="10">
        <f t="shared" si="93"/>
        <v>31811</v>
      </c>
    </row>
    <row r="5958" spans="1:11">
      <c r="A5958" t="s">
        <v>2470</v>
      </c>
      <c r="B5958" s="10">
        <v>2016</v>
      </c>
      <c r="C5958" t="s">
        <v>1009</v>
      </c>
      <c r="D5958" t="s">
        <v>2472</v>
      </c>
      <c r="E5958" t="s">
        <v>2474</v>
      </c>
      <c r="F5958" t="s">
        <v>1892</v>
      </c>
      <c r="G5958" t="s">
        <v>954</v>
      </c>
      <c r="H5958" s="10">
        <v>32543</v>
      </c>
      <c r="I5958" t="str">
        <f>IFERROR(VLOOKUP(Final!F5958,'LEAID Match'!$A$2:$B$374,2,FALSE),"")</f>
        <v/>
      </c>
      <c r="K5958" s="10">
        <f t="shared" si="93"/>
        <v>32543</v>
      </c>
    </row>
    <row r="5959" spans="1:11">
      <c r="A5959" t="s">
        <v>2470</v>
      </c>
      <c r="B5959" s="10">
        <v>2017</v>
      </c>
      <c r="C5959" t="s">
        <v>1009</v>
      </c>
      <c r="D5959" t="s">
        <v>2472</v>
      </c>
      <c r="E5959" t="s">
        <v>2474</v>
      </c>
      <c r="F5959" t="s">
        <v>1892</v>
      </c>
      <c r="G5959" t="s">
        <v>1892</v>
      </c>
      <c r="H5959" s="10">
        <v>33405</v>
      </c>
      <c r="I5959" t="str">
        <f>IFERROR(VLOOKUP(Final!F5959,'LEAID Match'!$A$2:$B$374,2,FALSE),"")</f>
        <v/>
      </c>
      <c r="K5959" s="10">
        <f t="shared" si="93"/>
        <v>33405</v>
      </c>
    </row>
    <row r="5960" spans="1:11">
      <c r="A5960" t="s">
        <v>2470</v>
      </c>
      <c r="B5960" s="10">
        <v>2018</v>
      </c>
      <c r="C5960" t="s">
        <v>1009</v>
      </c>
      <c r="D5960" t="s">
        <v>2472</v>
      </c>
      <c r="E5960" t="s">
        <v>2474</v>
      </c>
      <c r="F5960" t="s">
        <v>1892</v>
      </c>
      <c r="G5960" t="s">
        <v>2287</v>
      </c>
      <c r="H5960" s="10">
        <v>34441</v>
      </c>
      <c r="I5960" t="str">
        <f>IFERROR(VLOOKUP(Final!F5960,'LEAID Match'!$A$2:$B$374,2,FALSE),"")</f>
        <v/>
      </c>
      <c r="K5960" s="10">
        <f t="shared" si="93"/>
        <v>34441</v>
      </c>
    </row>
    <row r="5961" spans="1:11">
      <c r="A5961" t="s">
        <v>2470</v>
      </c>
      <c r="B5961" s="10">
        <v>2019</v>
      </c>
      <c r="C5961" t="s">
        <v>1009</v>
      </c>
      <c r="D5961" t="s">
        <v>2472</v>
      </c>
      <c r="E5961" t="s">
        <v>2474</v>
      </c>
      <c r="F5961" t="s">
        <v>1892</v>
      </c>
      <c r="G5961" t="s">
        <v>1892</v>
      </c>
      <c r="H5961" s="10">
        <v>33369</v>
      </c>
      <c r="I5961" t="str">
        <f>IFERROR(VLOOKUP(Final!F5961,'LEAID Match'!$A$2:$B$374,2,FALSE),"")</f>
        <v/>
      </c>
      <c r="K5961" s="10">
        <f t="shared" si="93"/>
        <v>33369</v>
      </c>
    </row>
    <row r="5962" spans="1:11">
      <c r="A5962" t="s">
        <v>2470</v>
      </c>
      <c r="B5962" s="10">
        <v>2020</v>
      </c>
      <c r="C5962" t="s">
        <v>1009</v>
      </c>
      <c r="D5962" t="s">
        <v>2472</v>
      </c>
      <c r="E5962" t="s">
        <v>2474</v>
      </c>
      <c r="F5962" t="s">
        <v>1892</v>
      </c>
      <c r="G5962" t="s">
        <v>1892</v>
      </c>
      <c r="H5962" s="10">
        <v>36680</v>
      </c>
      <c r="I5962" t="str">
        <f>IFERROR(VLOOKUP(Final!F5962,'LEAID Match'!$A$2:$B$374,2,FALSE),"")</f>
        <v/>
      </c>
      <c r="K5962" s="10">
        <f t="shared" si="93"/>
        <v>36680</v>
      </c>
    </row>
    <row r="5963" spans="1:11">
      <c r="A5963" t="s">
        <v>2470</v>
      </c>
      <c r="B5963" s="10">
        <v>2021</v>
      </c>
      <c r="C5963" t="s">
        <v>1009</v>
      </c>
      <c r="D5963" t="s">
        <v>2472</v>
      </c>
      <c r="E5963" t="s">
        <v>2474</v>
      </c>
      <c r="F5963" t="s">
        <v>1892</v>
      </c>
      <c r="G5963" t="s">
        <v>1892</v>
      </c>
      <c r="H5963" s="10">
        <v>28911</v>
      </c>
      <c r="I5963" t="str">
        <f>IFERROR(VLOOKUP(Final!F5963,'LEAID Match'!$A$2:$B$374,2,FALSE),"")</f>
        <v/>
      </c>
      <c r="K5963" s="10">
        <f t="shared" si="93"/>
        <v>28911</v>
      </c>
    </row>
    <row r="5964" spans="1:11">
      <c r="A5964" t="s">
        <v>2470</v>
      </c>
      <c r="B5964" s="10">
        <v>2022</v>
      </c>
      <c r="C5964" t="s">
        <v>1009</v>
      </c>
      <c r="D5964" t="s">
        <v>2472</v>
      </c>
      <c r="E5964" t="s">
        <v>2474</v>
      </c>
      <c r="F5964" t="s">
        <v>1892</v>
      </c>
      <c r="G5964" t="s">
        <v>1892</v>
      </c>
      <c r="H5964" s="10">
        <v>36266</v>
      </c>
      <c r="I5964" t="str">
        <f>IFERROR(VLOOKUP(Final!F5964,'LEAID Match'!$A$2:$B$374,2,FALSE),"")</f>
        <v/>
      </c>
      <c r="K5964" s="10">
        <f t="shared" si="93"/>
        <v>36266</v>
      </c>
    </row>
    <row r="5965" spans="1:11">
      <c r="A5965" t="s">
        <v>2470</v>
      </c>
      <c r="B5965" s="10">
        <v>2023</v>
      </c>
      <c r="C5965" t="s">
        <v>1009</v>
      </c>
      <c r="D5965" t="s">
        <v>2472</v>
      </c>
      <c r="E5965" t="s">
        <v>2474</v>
      </c>
      <c r="F5965" t="s">
        <v>1892</v>
      </c>
      <c r="G5965" t="s">
        <v>1892</v>
      </c>
      <c r="H5965" s="10">
        <v>36700</v>
      </c>
      <c r="I5965" t="str">
        <f>IFERROR(VLOOKUP(Final!F5965,'LEAID Match'!$A$2:$B$374,2,FALSE),"")</f>
        <v/>
      </c>
      <c r="K5965" s="10">
        <f t="shared" si="93"/>
        <v>36700</v>
      </c>
    </row>
    <row r="5966" spans="1:11">
      <c r="A5966" t="s">
        <v>2470</v>
      </c>
      <c r="B5966" s="10">
        <v>2015</v>
      </c>
      <c r="C5966" t="s">
        <v>893</v>
      </c>
      <c r="D5966" t="s">
        <v>2472</v>
      </c>
      <c r="E5966" t="s">
        <v>2474</v>
      </c>
      <c r="F5966" t="s">
        <v>2432</v>
      </c>
      <c r="G5966" t="s">
        <v>838</v>
      </c>
      <c r="H5966" s="10">
        <v>1746</v>
      </c>
      <c r="I5966" t="str">
        <f>IFERROR(VLOOKUP(Final!F5966,'LEAID Match'!$A$2:$B$374,2,FALSE),"")</f>
        <v/>
      </c>
      <c r="K5966" s="10">
        <f t="shared" si="93"/>
        <v>1746</v>
      </c>
    </row>
    <row r="5967" spans="1:11">
      <c r="A5967" t="s">
        <v>2470</v>
      </c>
      <c r="B5967" s="10">
        <v>2016</v>
      </c>
      <c r="C5967" t="s">
        <v>893</v>
      </c>
      <c r="D5967" t="s">
        <v>2472</v>
      </c>
      <c r="E5967" t="s">
        <v>2474</v>
      </c>
      <c r="F5967" t="s">
        <v>2432</v>
      </c>
      <c r="G5967" t="s">
        <v>838</v>
      </c>
      <c r="H5967" s="10">
        <v>3541</v>
      </c>
      <c r="I5967" t="str">
        <f>IFERROR(VLOOKUP(Final!F5967,'LEAID Match'!$A$2:$B$374,2,FALSE),"")</f>
        <v/>
      </c>
      <c r="K5967" s="10">
        <f t="shared" si="93"/>
        <v>3541</v>
      </c>
    </row>
    <row r="5968" spans="1:11">
      <c r="A5968" t="s">
        <v>2470</v>
      </c>
      <c r="B5968" s="10">
        <v>2017</v>
      </c>
      <c r="C5968" t="s">
        <v>893</v>
      </c>
      <c r="D5968" t="s">
        <v>2472</v>
      </c>
      <c r="E5968" t="s">
        <v>2474</v>
      </c>
      <c r="F5968" t="s">
        <v>2432</v>
      </c>
      <c r="G5968" t="s">
        <v>1838</v>
      </c>
      <c r="H5968" s="10">
        <v>3631</v>
      </c>
      <c r="I5968" t="str">
        <f>IFERROR(VLOOKUP(Final!F5968,'LEAID Match'!$A$2:$B$374,2,FALSE),"")</f>
        <v/>
      </c>
      <c r="K5968" s="10">
        <f t="shared" si="93"/>
        <v>3631</v>
      </c>
    </row>
    <row r="5969" spans="1:11">
      <c r="A5969" t="s">
        <v>2470</v>
      </c>
      <c r="B5969" s="10">
        <v>2018</v>
      </c>
      <c r="C5969" t="s">
        <v>893</v>
      </c>
      <c r="D5969" t="s">
        <v>2472</v>
      </c>
      <c r="E5969" t="s">
        <v>2474</v>
      </c>
      <c r="F5969" t="s">
        <v>2432</v>
      </c>
      <c r="G5969" t="s">
        <v>2258</v>
      </c>
      <c r="H5969" s="10">
        <v>3415</v>
      </c>
      <c r="I5969" t="str">
        <f>IFERROR(VLOOKUP(Final!F5969,'LEAID Match'!$A$2:$B$374,2,FALSE),"")</f>
        <v/>
      </c>
      <c r="K5969" s="10">
        <f t="shared" si="93"/>
        <v>3415</v>
      </c>
    </row>
    <row r="5970" spans="1:11">
      <c r="A5970" t="s">
        <v>2470</v>
      </c>
      <c r="B5970" s="10">
        <v>2019</v>
      </c>
      <c r="C5970" t="s">
        <v>893</v>
      </c>
      <c r="D5970" t="s">
        <v>2472</v>
      </c>
      <c r="E5970" t="s">
        <v>2474</v>
      </c>
      <c r="F5970" t="s">
        <v>2432</v>
      </c>
      <c r="G5970" t="s">
        <v>1838</v>
      </c>
      <c r="H5970" s="10">
        <v>1559</v>
      </c>
      <c r="I5970" t="str">
        <f>IFERROR(VLOOKUP(Final!F5970,'LEAID Match'!$A$2:$B$374,2,FALSE),"")</f>
        <v/>
      </c>
      <c r="K5970" s="10">
        <f t="shared" si="93"/>
        <v>1559</v>
      </c>
    </row>
    <row r="5971" spans="1:11">
      <c r="A5971" t="s">
        <v>2470</v>
      </c>
      <c r="B5971" s="10">
        <v>2020</v>
      </c>
      <c r="C5971" t="s">
        <v>893</v>
      </c>
      <c r="D5971" t="s">
        <v>2472</v>
      </c>
      <c r="E5971" t="s">
        <v>2474</v>
      </c>
      <c r="F5971" t="s">
        <v>2432</v>
      </c>
      <c r="G5971" t="s">
        <v>1838</v>
      </c>
      <c r="H5971" s="10">
        <v>4708</v>
      </c>
      <c r="I5971" t="str">
        <f>IFERROR(VLOOKUP(Final!F5971,'LEAID Match'!$A$2:$B$374,2,FALSE),"")</f>
        <v/>
      </c>
      <c r="K5971" s="10">
        <f t="shared" si="93"/>
        <v>4708</v>
      </c>
    </row>
    <row r="5972" spans="1:11">
      <c r="A5972" t="s">
        <v>2470</v>
      </c>
      <c r="B5972" s="10">
        <v>2021</v>
      </c>
      <c r="C5972" t="s">
        <v>893</v>
      </c>
      <c r="D5972" t="s">
        <v>2472</v>
      </c>
      <c r="E5972" t="s">
        <v>2474</v>
      </c>
      <c r="F5972" t="s">
        <v>2432</v>
      </c>
      <c r="G5972" t="s">
        <v>2432</v>
      </c>
      <c r="H5972" s="10">
        <v>6633</v>
      </c>
      <c r="I5972" t="str">
        <f>IFERROR(VLOOKUP(Final!F5972,'LEAID Match'!$A$2:$B$374,2,FALSE),"")</f>
        <v/>
      </c>
      <c r="K5972" s="10">
        <f t="shared" si="93"/>
        <v>6633</v>
      </c>
    </row>
    <row r="5973" spans="1:11">
      <c r="A5973" t="s">
        <v>2470</v>
      </c>
      <c r="B5973" s="10">
        <v>2022</v>
      </c>
      <c r="C5973" t="s">
        <v>893</v>
      </c>
      <c r="D5973" t="s">
        <v>2472</v>
      </c>
      <c r="E5973" t="s">
        <v>2474</v>
      </c>
      <c r="F5973" t="s">
        <v>2432</v>
      </c>
      <c r="G5973" t="s">
        <v>2432</v>
      </c>
      <c r="H5973" s="10">
        <v>7094</v>
      </c>
      <c r="I5973" t="str">
        <f>IFERROR(VLOOKUP(Final!F5973,'LEAID Match'!$A$2:$B$374,2,FALSE),"")</f>
        <v/>
      </c>
      <c r="K5973" s="10">
        <f t="shared" si="93"/>
        <v>7094</v>
      </c>
    </row>
    <row r="5974" spans="1:11">
      <c r="A5974" t="s">
        <v>2470</v>
      </c>
      <c r="B5974" s="10">
        <v>2023</v>
      </c>
      <c r="C5974" t="s">
        <v>893</v>
      </c>
      <c r="D5974" t="s">
        <v>2472</v>
      </c>
      <c r="E5974" t="s">
        <v>2474</v>
      </c>
      <c r="F5974" t="s">
        <v>2432</v>
      </c>
      <c r="G5974" t="s">
        <v>2432</v>
      </c>
      <c r="H5974" s="10">
        <v>6406</v>
      </c>
      <c r="I5974" t="str">
        <f>IFERROR(VLOOKUP(Final!F5974,'LEAID Match'!$A$2:$B$374,2,FALSE),"")</f>
        <v/>
      </c>
      <c r="K5974" s="10">
        <f t="shared" si="93"/>
        <v>6406</v>
      </c>
    </row>
    <row r="5975" spans="1:11">
      <c r="A5975" t="s">
        <v>2470</v>
      </c>
      <c r="B5975" s="10">
        <v>2015</v>
      </c>
      <c r="C5975" t="s">
        <v>355</v>
      </c>
      <c r="D5975" t="s">
        <v>2472</v>
      </c>
      <c r="E5975" t="s">
        <v>2474</v>
      </c>
      <c r="F5975" t="s">
        <v>2423</v>
      </c>
      <c r="G5975" t="s">
        <v>301</v>
      </c>
      <c r="H5975" s="10">
        <v>306008</v>
      </c>
      <c r="I5975" t="str">
        <f>IFERROR(VLOOKUP(Final!F5975,'LEAID Match'!$A$2:$B$374,2,FALSE),"")</f>
        <v/>
      </c>
      <c r="K5975" s="10">
        <f t="shared" si="93"/>
        <v>306008</v>
      </c>
    </row>
    <row r="5976" spans="1:11">
      <c r="A5976" t="s">
        <v>2470</v>
      </c>
      <c r="B5976" s="10">
        <v>2016</v>
      </c>
      <c r="C5976" t="s">
        <v>355</v>
      </c>
      <c r="D5976" t="s">
        <v>2472</v>
      </c>
      <c r="E5976" t="s">
        <v>2474</v>
      </c>
      <c r="F5976" t="s">
        <v>2423</v>
      </c>
      <c r="G5976" t="s">
        <v>301</v>
      </c>
      <c r="H5976" s="10">
        <v>299307</v>
      </c>
      <c r="I5976" t="str">
        <f>IFERROR(VLOOKUP(Final!F5976,'LEAID Match'!$A$2:$B$374,2,FALSE),"")</f>
        <v/>
      </c>
      <c r="K5976" s="10">
        <f t="shared" si="93"/>
        <v>299307</v>
      </c>
    </row>
    <row r="5977" spans="1:11">
      <c r="A5977" t="s">
        <v>2470</v>
      </c>
      <c r="B5977" s="10">
        <v>2017</v>
      </c>
      <c r="C5977" t="s">
        <v>355</v>
      </c>
      <c r="D5977" t="s">
        <v>2472</v>
      </c>
      <c r="E5977" t="s">
        <v>2474</v>
      </c>
      <c r="F5977" t="s">
        <v>2423</v>
      </c>
      <c r="G5977" t="s">
        <v>301</v>
      </c>
      <c r="H5977" s="10">
        <v>305446</v>
      </c>
      <c r="I5977" t="str">
        <f>IFERROR(VLOOKUP(Final!F5977,'LEAID Match'!$A$2:$B$374,2,FALSE),"")</f>
        <v/>
      </c>
      <c r="K5977" s="10">
        <f t="shared" si="93"/>
        <v>305446</v>
      </c>
    </row>
    <row r="5978" spans="1:11">
      <c r="A5978" t="s">
        <v>2470</v>
      </c>
      <c r="B5978" s="10">
        <v>2018</v>
      </c>
      <c r="C5978" t="s">
        <v>355</v>
      </c>
      <c r="D5978" t="s">
        <v>2472</v>
      </c>
      <c r="E5978" t="s">
        <v>2474</v>
      </c>
      <c r="F5978" t="s">
        <v>2423</v>
      </c>
      <c r="G5978" t="s">
        <v>2147</v>
      </c>
      <c r="H5978" s="10">
        <v>332907</v>
      </c>
      <c r="I5978" t="str">
        <f>IFERROR(VLOOKUP(Final!F5978,'LEAID Match'!$A$2:$B$374,2,FALSE),"")</f>
        <v/>
      </c>
      <c r="K5978" s="10">
        <f t="shared" si="93"/>
        <v>332907</v>
      </c>
    </row>
    <row r="5979" spans="1:11">
      <c r="A5979" t="s">
        <v>2470</v>
      </c>
      <c r="B5979" s="10">
        <v>2019</v>
      </c>
      <c r="C5979" t="s">
        <v>355</v>
      </c>
      <c r="D5979" t="s">
        <v>2472</v>
      </c>
      <c r="E5979" t="s">
        <v>2474</v>
      </c>
      <c r="F5979" t="s">
        <v>2423</v>
      </c>
      <c r="G5979" t="s">
        <v>301</v>
      </c>
      <c r="H5979" s="10">
        <v>364707</v>
      </c>
      <c r="I5979" t="str">
        <f>IFERROR(VLOOKUP(Final!F5979,'LEAID Match'!$A$2:$B$374,2,FALSE),"")</f>
        <v/>
      </c>
      <c r="K5979" s="10">
        <f t="shared" si="93"/>
        <v>364707</v>
      </c>
    </row>
    <row r="5980" spans="1:11">
      <c r="A5980" t="s">
        <v>2470</v>
      </c>
      <c r="B5980" s="10">
        <v>2020</v>
      </c>
      <c r="C5980" t="s">
        <v>355</v>
      </c>
      <c r="D5980" t="s">
        <v>2472</v>
      </c>
      <c r="E5980" t="s">
        <v>2474</v>
      </c>
      <c r="F5980" t="s">
        <v>2423</v>
      </c>
      <c r="G5980" t="s">
        <v>301</v>
      </c>
      <c r="H5980" s="10">
        <v>389048</v>
      </c>
      <c r="I5980" t="str">
        <f>IFERROR(VLOOKUP(Final!F5980,'LEAID Match'!$A$2:$B$374,2,FALSE),"")</f>
        <v/>
      </c>
      <c r="K5980" s="10">
        <f t="shared" si="93"/>
        <v>389048</v>
      </c>
    </row>
    <row r="5981" spans="1:11">
      <c r="A5981" t="s">
        <v>2470</v>
      </c>
      <c r="B5981" s="10">
        <v>2021</v>
      </c>
      <c r="C5981" t="s">
        <v>355</v>
      </c>
      <c r="D5981" t="s">
        <v>2472</v>
      </c>
      <c r="E5981" t="s">
        <v>2474</v>
      </c>
      <c r="F5981" t="s">
        <v>2423</v>
      </c>
      <c r="G5981" t="s">
        <v>2423</v>
      </c>
      <c r="H5981" s="10">
        <v>429253</v>
      </c>
      <c r="I5981" t="str">
        <f>IFERROR(VLOOKUP(Final!F5981,'LEAID Match'!$A$2:$B$374,2,FALSE),"")</f>
        <v/>
      </c>
      <c r="K5981" s="10">
        <f t="shared" si="93"/>
        <v>429253</v>
      </c>
    </row>
    <row r="5982" spans="1:11">
      <c r="A5982" t="s">
        <v>2470</v>
      </c>
      <c r="B5982" s="10">
        <v>2022</v>
      </c>
      <c r="C5982" t="s">
        <v>355</v>
      </c>
      <c r="D5982" t="s">
        <v>2472</v>
      </c>
      <c r="E5982" t="s">
        <v>2474</v>
      </c>
      <c r="F5982" t="s">
        <v>2423</v>
      </c>
      <c r="G5982" t="s">
        <v>2423</v>
      </c>
      <c r="H5982" s="10">
        <v>446909</v>
      </c>
      <c r="I5982" t="str">
        <f>IFERROR(VLOOKUP(Final!F5982,'LEAID Match'!$A$2:$B$374,2,FALSE),"")</f>
        <v/>
      </c>
      <c r="K5982" s="10">
        <f t="shared" si="93"/>
        <v>446909</v>
      </c>
    </row>
    <row r="5983" spans="1:11">
      <c r="A5983" t="s">
        <v>2470</v>
      </c>
      <c r="B5983" s="10">
        <v>2023</v>
      </c>
      <c r="C5983" t="s">
        <v>355</v>
      </c>
      <c r="D5983" t="s">
        <v>2472</v>
      </c>
      <c r="E5983" t="s">
        <v>2474</v>
      </c>
      <c r="F5983" t="s">
        <v>2423</v>
      </c>
      <c r="G5983" t="s">
        <v>2423</v>
      </c>
      <c r="H5983" s="10">
        <v>450453</v>
      </c>
      <c r="I5983" t="str">
        <f>IFERROR(VLOOKUP(Final!F5983,'LEAID Match'!$A$2:$B$374,2,FALSE),"")</f>
        <v/>
      </c>
      <c r="K5983" s="10">
        <f t="shared" si="93"/>
        <v>450453</v>
      </c>
    </row>
    <row r="5984" spans="1:11">
      <c r="A5984" t="s">
        <v>2470</v>
      </c>
      <c r="B5984" s="10">
        <v>2015</v>
      </c>
      <c r="C5984" t="s">
        <v>807</v>
      </c>
      <c r="D5984" t="s">
        <v>2472</v>
      </c>
      <c r="E5984" t="s">
        <v>2474</v>
      </c>
      <c r="F5984" t="s">
        <v>752</v>
      </c>
      <c r="G5984" t="s">
        <v>752</v>
      </c>
      <c r="H5984" s="10">
        <v>72445</v>
      </c>
      <c r="I5984" t="str">
        <f>IFERROR(VLOOKUP(Final!F5984,'LEAID Match'!$A$2:$B$374,2,FALSE),"")</f>
        <v/>
      </c>
      <c r="K5984" s="10">
        <f t="shared" si="93"/>
        <v>72445</v>
      </c>
    </row>
    <row r="5985" spans="1:11">
      <c r="A5985" t="s">
        <v>2470</v>
      </c>
      <c r="B5985" s="10">
        <v>2016</v>
      </c>
      <c r="C5985" t="s">
        <v>807</v>
      </c>
      <c r="D5985" t="s">
        <v>2472</v>
      </c>
      <c r="E5985" t="s">
        <v>2474</v>
      </c>
      <c r="F5985" t="s">
        <v>752</v>
      </c>
      <c r="G5985" t="s">
        <v>752</v>
      </c>
      <c r="H5985" s="10">
        <v>70728</v>
      </c>
      <c r="I5985" t="str">
        <f>IFERROR(VLOOKUP(Final!F5985,'LEAID Match'!$A$2:$B$374,2,FALSE),"")</f>
        <v/>
      </c>
      <c r="K5985" s="10">
        <f t="shared" si="93"/>
        <v>70728</v>
      </c>
    </row>
    <row r="5986" spans="1:11">
      <c r="A5986" t="s">
        <v>2470</v>
      </c>
      <c r="B5986" s="10">
        <v>2017</v>
      </c>
      <c r="C5986" t="s">
        <v>807</v>
      </c>
      <c r="D5986" t="s">
        <v>2472</v>
      </c>
      <c r="E5986" t="s">
        <v>2474</v>
      </c>
      <c r="F5986" t="s">
        <v>752</v>
      </c>
      <c r="G5986" t="s">
        <v>752</v>
      </c>
      <c r="H5986" s="10">
        <v>73983</v>
      </c>
      <c r="I5986" t="str">
        <f>IFERROR(VLOOKUP(Final!F5986,'LEAID Match'!$A$2:$B$374,2,FALSE),"")</f>
        <v/>
      </c>
      <c r="K5986" s="10">
        <f t="shared" si="93"/>
        <v>73983</v>
      </c>
    </row>
    <row r="5987" spans="1:11">
      <c r="A5987" t="s">
        <v>2470</v>
      </c>
      <c r="B5987" s="10">
        <v>2018</v>
      </c>
      <c r="C5987" t="s">
        <v>807</v>
      </c>
      <c r="D5987" t="s">
        <v>2472</v>
      </c>
      <c r="E5987" t="s">
        <v>2474</v>
      </c>
      <c r="F5987" t="s">
        <v>752</v>
      </c>
      <c r="G5987" t="s">
        <v>752</v>
      </c>
      <c r="H5987" s="10">
        <v>77340</v>
      </c>
      <c r="I5987" t="str">
        <f>IFERROR(VLOOKUP(Final!F5987,'LEAID Match'!$A$2:$B$374,2,FALSE),"")</f>
        <v/>
      </c>
      <c r="K5987" s="10">
        <f t="shared" si="93"/>
        <v>77340</v>
      </c>
    </row>
    <row r="5988" spans="1:11">
      <c r="A5988" t="s">
        <v>2470</v>
      </c>
      <c r="B5988" s="10">
        <v>2019</v>
      </c>
      <c r="C5988" t="s">
        <v>807</v>
      </c>
      <c r="D5988" t="s">
        <v>2472</v>
      </c>
      <c r="E5988" t="s">
        <v>2474</v>
      </c>
      <c r="F5988" t="s">
        <v>752</v>
      </c>
      <c r="G5988" t="s">
        <v>752</v>
      </c>
      <c r="H5988" s="10">
        <v>88569</v>
      </c>
      <c r="I5988" t="str">
        <f>IFERROR(VLOOKUP(Final!F5988,'LEAID Match'!$A$2:$B$374,2,FALSE),"")</f>
        <v/>
      </c>
      <c r="K5988" s="10">
        <f t="shared" si="93"/>
        <v>88569</v>
      </c>
    </row>
    <row r="5989" spans="1:11">
      <c r="A5989" t="s">
        <v>2470</v>
      </c>
      <c r="B5989" s="10">
        <v>2020</v>
      </c>
      <c r="C5989" t="s">
        <v>807</v>
      </c>
      <c r="D5989" t="s">
        <v>2472</v>
      </c>
      <c r="E5989" t="s">
        <v>2474</v>
      </c>
      <c r="F5989" t="s">
        <v>752</v>
      </c>
      <c r="G5989" t="s">
        <v>752</v>
      </c>
      <c r="H5989" s="10">
        <v>89447</v>
      </c>
      <c r="I5989" t="str">
        <f>IFERROR(VLOOKUP(Final!F5989,'LEAID Match'!$A$2:$B$374,2,FALSE),"")</f>
        <v/>
      </c>
      <c r="K5989" s="10">
        <f t="shared" si="93"/>
        <v>89447</v>
      </c>
    </row>
    <row r="5990" spans="1:11">
      <c r="A5990" t="s">
        <v>2470</v>
      </c>
      <c r="B5990" s="10">
        <v>2021</v>
      </c>
      <c r="C5990" t="s">
        <v>807</v>
      </c>
      <c r="D5990" t="s">
        <v>2472</v>
      </c>
      <c r="E5990" t="s">
        <v>2474</v>
      </c>
      <c r="F5990" t="s">
        <v>752</v>
      </c>
      <c r="G5990" t="s">
        <v>752</v>
      </c>
      <c r="H5990" s="10">
        <v>95132</v>
      </c>
      <c r="I5990" t="str">
        <f>IFERROR(VLOOKUP(Final!F5990,'LEAID Match'!$A$2:$B$374,2,FALSE),"")</f>
        <v/>
      </c>
      <c r="K5990" s="10">
        <f t="shared" si="93"/>
        <v>95132</v>
      </c>
    </row>
    <row r="5991" spans="1:11">
      <c r="A5991" t="s">
        <v>2470</v>
      </c>
      <c r="B5991" s="10">
        <v>2022</v>
      </c>
      <c r="C5991" t="s">
        <v>807</v>
      </c>
      <c r="D5991" t="s">
        <v>2472</v>
      </c>
      <c r="E5991" t="s">
        <v>2474</v>
      </c>
      <c r="F5991" t="s">
        <v>752</v>
      </c>
      <c r="G5991" t="s">
        <v>752</v>
      </c>
      <c r="H5991" s="10">
        <v>103834</v>
      </c>
      <c r="I5991" t="str">
        <f>IFERROR(VLOOKUP(Final!F5991,'LEAID Match'!$A$2:$B$374,2,FALSE),"")</f>
        <v/>
      </c>
      <c r="K5991" s="10">
        <f t="shared" si="93"/>
        <v>103834</v>
      </c>
    </row>
    <row r="5992" spans="1:11">
      <c r="A5992" t="s">
        <v>2470</v>
      </c>
      <c r="B5992" s="10">
        <v>2023</v>
      </c>
      <c r="C5992" t="s">
        <v>807</v>
      </c>
      <c r="D5992" t="s">
        <v>2472</v>
      </c>
      <c r="E5992" t="s">
        <v>2474</v>
      </c>
      <c r="F5992" t="s">
        <v>752</v>
      </c>
      <c r="G5992" t="s">
        <v>752</v>
      </c>
      <c r="H5992" s="10">
        <v>106606</v>
      </c>
      <c r="I5992" t="str">
        <f>IFERROR(VLOOKUP(Final!F5992,'LEAID Match'!$A$2:$B$374,2,FALSE),"")</f>
        <v/>
      </c>
      <c r="K5992" s="10">
        <f t="shared" si="93"/>
        <v>106606</v>
      </c>
    </row>
    <row r="5993" spans="1:11">
      <c r="A5993" t="s">
        <v>2470</v>
      </c>
      <c r="B5993" s="10">
        <v>2015</v>
      </c>
      <c r="C5993" t="s">
        <v>1353</v>
      </c>
      <c r="D5993" t="s">
        <v>2472</v>
      </c>
      <c r="E5993" t="s">
        <v>2474</v>
      </c>
      <c r="F5993" t="s">
        <v>1305</v>
      </c>
      <c r="G5993" t="s">
        <v>1305</v>
      </c>
      <c r="H5993" s="10">
        <v>115728</v>
      </c>
      <c r="I5993" t="str">
        <f>IFERROR(VLOOKUP(Final!F5993,'LEAID Match'!$A$2:$B$374,2,FALSE),"")</f>
        <v/>
      </c>
      <c r="K5993" s="10">
        <f t="shared" si="93"/>
        <v>115728</v>
      </c>
    </row>
    <row r="5994" spans="1:11">
      <c r="A5994" t="s">
        <v>2470</v>
      </c>
      <c r="B5994" s="10">
        <v>2016</v>
      </c>
      <c r="C5994" t="s">
        <v>1353</v>
      </c>
      <c r="D5994" t="s">
        <v>2472</v>
      </c>
      <c r="E5994" t="s">
        <v>2474</v>
      </c>
      <c r="F5994" t="s">
        <v>1305</v>
      </c>
      <c r="G5994" t="s">
        <v>1305</v>
      </c>
      <c r="H5994" s="10">
        <v>121103</v>
      </c>
      <c r="I5994" t="str">
        <f>IFERROR(VLOOKUP(Final!F5994,'LEAID Match'!$A$2:$B$374,2,FALSE),"")</f>
        <v/>
      </c>
      <c r="K5994" s="10">
        <f t="shared" si="93"/>
        <v>121103</v>
      </c>
    </row>
    <row r="5995" spans="1:11">
      <c r="A5995" t="s">
        <v>2470</v>
      </c>
      <c r="B5995" s="10">
        <v>2017</v>
      </c>
      <c r="C5995" t="s">
        <v>1353</v>
      </c>
      <c r="D5995" t="s">
        <v>2472</v>
      </c>
      <c r="E5995" t="s">
        <v>2474</v>
      </c>
      <c r="F5995" t="s">
        <v>1305</v>
      </c>
      <c r="G5995" t="s">
        <v>1305</v>
      </c>
      <c r="H5995" s="10">
        <v>123098</v>
      </c>
      <c r="I5995" t="str">
        <f>IFERROR(VLOOKUP(Final!F5995,'LEAID Match'!$A$2:$B$374,2,FALSE),"")</f>
        <v/>
      </c>
      <c r="K5995" s="10">
        <f t="shared" si="93"/>
        <v>123098</v>
      </c>
    </row>
    <row r="5996" spans="1:11">
      <c r="A5996" t="s">
        <v>2470</v>
      </c>
      <c r="B5996" s="10">
        <v>2018</v>
      </c>
      <c r="C5996" t="s">
        <v>1353</v>
      </c>
      <c r="D5996" t="s">
        <v>2472</v>
      </c>
      <c r="E5996" t="s">
        <v>2474</v>
      </c>
      <c r="F5996" t="s">
        <v>1305</v>
      </c>
      <c r="G5996" t="s">
        <v>1305</v>
      </c>
      <c r="H5996" s="10">
        <v>136298</v>
      </c>
      <c r="I5996" t="str">
        <f>IFERROR(VLOOKUP(Final!F5996,'LEAID Match'!$A$2:$B$374,2,FALSE),"")</f>
        <v/>
      </c>
      <c r="K5996" s="10">
        <f t="shared" si="93"/>
        <v>136298</v>
      </c>
    </row>
    <row r="5997" spans="1:11">
      <c r="A5997" t="s">
        <v>2470</v>
      </c>
      <c r="B5997" s="10">
        <v>2019</v>
      </c>
      <c r="C5997" t="s">
        <v>1353</v>
      </c>
      <c r="D5997" t="s">
        <v>2472</v>
      </c>
      <c r="E5997" t="s">
        <v>2474</v>
      </c>
      <c r="F5997" t="s">
        <v>1305</v>
      </c>
      <c r="G5997" t="s">
        <v>1305</v>
      </c>
      <c r="H5997" s="10">
        <v>142236</v>
      </c>
      <c r="I5997" t="str">
        <f>IFERROR(VLOOKUP(Final!F5997,'LEAID Match'!$A$2:$B$374,2,FALSE),"")</f>
        <v/>
      </c>
      <c r="K5997" s="10">
        <f t="shared" si="93"/>
        <v>142236</v>
      </c>
    </row>
    <row r="5998" spans="1:11">
      <c r="A5998" t="s">
        <v>2470</v>
      </c>
      <c r="B5998" s="10">
        <v>2020</v>
      </c>
      <c r="C5998" t="s">
        <v>1353</v>
      </c>
      <c r="D5998" t="s">
        <v>2472</v>
      </c>
      <c r="E5998" t="s">
        <v>2474</v>
      </c>
      <c r="F5998" t="s">
        <v>1305</v>
      </c>
      <c r="G5998" t="s">
        <v>1305</v>
      </c>
      <c r="H5998" s="10">
        <v>160033</v>
      </c>
      <c r="I5998" t="str">
        <f>IFERROR(VLOOKUP(Final!F5998,'LEAID Match'!$A$2:$B$374,2,FALSE),"")</f>
        <v/>
      </c>
      <c r="K5998" s="10">
        <f t="shared" si="93"/>
        <v>160033</v>
      </c>
    </row>
    <row r="5999" spans="1:11">
      <c r="A5999" t="s">
        <v>2470</v>
      </c>
      <c r="B5999" s="10">
        <v>2021</v>
      </c>
      <c r="C5999" t="s">
        <v>1353</v>
      </c>
      <c r="D5999" t="s">
        <v>2472</v>
      </c>
      <c r="E5999" t="s">
        <v>2474</v>
      </c>
      <c r="F5999" t="s">
        <v>1305</v>
      </c>
      <c r="G5999" t="s">
        <v>1305</v>
      </c>
      <c r="H5999" s="10">
        <v>176052</v>
      </c>
      <c r="I5999" t="str">
        <f>IFERROR(VLOOKUP(Final!F5999,'LEAID Match'!$A$2:$B$374,2,FALSE),"")</f>
        <v/>
      </c>
      <c r="K5999" s="10">
        <f t="shared" si="93"/>
        <v>176052</v>
      </c>
    </row>
    <row r="6000" spans="1:11">
      <c r="A6000" t="s">
        <v>2470</v>
      </c>
      <c r="B6000" s="10">
        <v>2022</v>
      </c>
      <c r="C6000" t="s">
        <v>1353</v>
      </c>
      <c r="D6000" t="s">
        <v>2472</v>
      </c>
      <c r="E6000" t="s">
        <v>2474</v>
      </c>
      <c r="F6000" t="s">
        <v>1305</v>
      </c>
      <c r="G6000" t="s">
        <v>1305</v>
      </c>
      <c r="H6000" s="10">
        <v>177844</v>
      </c>
      <c r="I6000" t="str">
        <f>IFERROR(VLOOKUP(Final!F6000,'LEAID Match'!$A$2:$B$374,2,FALSE),"")</f>
        <v/>
      </c>
      <c r="K6000" s="10">
        <f t="shared" si="93"/>
        <v>177844</v>
      </c>
    </row>
    <row r="6001" spans="1:11">
      <c r="A6001" t="s">
        <v>2470</v>
      </c>
      <c r="B6001" s="10">
        <v>2023</v>
      </c>
      <c r="C6001" t="s">
        <v>1353</v>
      </c>
      <c r="D6001" t="s">
        <v>2472</v>
      </c>
      <c r="E6001" t="s">
        <v>2474</v>
      </c>
      <c r="F6001" t="s">
        <v>1305</v>
      </c>
      <c r="G6001" t="s">
        <v>1305</v>
      </c>
      <c r="H6001" s="10">
        <v>191630</v>
      </c>
      <c r="I6001" t="str">
        <f>IFERROR(VLOOKUP(Final!F6001,'LEAID Match'!$A$2:$B$374,2,FALSE),"")</f>
        <v/>
      </c>
      <c r="K6001" s="10">
        <f t="shared" si="93"/>
        <v>191630</v>
      </c>
    </row>
    <row r="6002" spans="1:11">
      <c r="A6002" t="s">
        <v>2470</v>
      </c>
      <c r="B6002" s="10">
        <v>2015</v>
      </c>
      <c r="C6002" t="s">
        <v>685</v>
      </c>
      <c r="D6002" t="s">
        <v>2472</v>
      </c>
      <c r="E6002" t="s">
        <v>2474</v>
      </c>
      <c r="F6002" t="s">
        <v>1461</v>
      </c>
      <c r="G6002" t="s">
        <v>630</v>
      </c>
      <c r="H6002" s="10">
        <v>25312</v>
      </c>
      <c r="I6002" t="str">
        <f>IFERROR(VLOOKUP(Final!F6002,'LEAID Match'!$A$2:$B$374,2,FALSE),"")</f>
        <v/>
      </c>
      <c r="K6002" s="10">
        <f t="shared" si="93"/>
        <v>25312</v>
      </c>
    </row>
    <row r="6003" spans="1:11">
      <c r="A6003" t="s">
        <v>2470</v>
      </c>
      <c r="B6003" s="10">
        <v>2016</v>
      </c>
      <c r="C6003" t="s">
        <v>685</v>
      </c>
      <c r="D6003" t="s">
        <v>2472</v>
      </c>
      <c r="E6003" t="s">
        <v>2474</v>
      </c>
      <c r="F6003" t="s">
        <v>1461</v>
      </c>
      <c r="G6003" t="s">
        <v>1461</v>
      </c>
      <c r="H6003" s="10">
        <v>24739</v>
      </c>
      <c r="I6003" t="str">
        <f>IFERROR(VLOOKUP(Final!F6003,'LEAID Match'!$A$2:$B$374,2,FALSE),"")</f>
        <v/>
      </c>
      <c r="K6003" s="10">
        <f t="shared" si="93"/>
        <v>24739</v>
      </c>
    </row>
    <row r="6004" spans="1:11">
      <c r="A6004" t="s">
        <v>2470</v>
      </c>
      <c r="B6004" s="10">
        <v>2017</v>
      </c>
      <c r="C6004" t="s">
        <v>685</v>
      </c>
      <c r="D6004" t="s">
        <v>2472</v>
      </c>
      <c r="E6004" t="s">
        <v>2474</v>
      </c>
      <c r="F6004" t="s">
        <v>1461</v>
      </c>
      <c r="G6004" t="s">
        <v>1461</v>
      </c>
      <c r="H6004" s="10">
        <v>20683</v>
      </c>
      <c r="I6004" t="str">
        <f>IFERROR(VLOOKUP(Final!F6004,'LEAID Match'!$A$2:$B$374,2,FALSE),"")</f>
        <v/>
      </c>
      <c r="K6004" s="10">
        <f t="shared" si="93"/>
        <v>20683</v>
      </c>
    </row>
    <row r="6005" spans="1:11">
      <c r="A6005" t="s">
        <v>2470</v>
      </c>
      <c r="B6005" s="10">
        <v>2018</v>
      </c>
      <c r="C6005" t="s">
        <v>685</v>
      </c>
      <c r="D6005" t="s">
        <v>2472</v>
      </c>
      <c r="E6005" t="s">
        <v>2474</v>
      </c>
      <c r="F6005" t="s">
        <v>1461</v>
      </c>
      <c r="G6005" t="s">
        <v>1461</v>
      </c>
      <c r="H6005" s="10">
        <v>19007</v>
      </c>
      <c r="I6005" t="str">
        <f>IFERROR(VLOOKUP(Final!F6005,'LEAID Match'!$A$2:$B$374,2,FALSE),"")</f>
        <v/>
      </c>
      <c r="K6005" s="10">
        <f t="shared" si="93"/>
        <v>19007</v>
      </c>
    </row>
    <row r="6006" spans="1:11">
      <c r="A6006" t="s">
        <v>2470</v>
      </c>
      <c r="B6006" s="10">
        <v>2019</v>
      </c>
      <c r="C6006" t="s">
        <v>685</v>
      </c>
      <c r="D6006" t="s">
        <v>2472</v>
      </c>
      <c r="E6006" t="s">
        <v>2474</v>
      </c>
      <c r="F6006" t="s">
        <v>1461</v>
      </c>
      <c r="G6006" t="s">
        <v>1461</v>
      </c>
      <c r="H6006" s="10">
        <v>21373</v>
      </c>
      <c r="I6006" t="str">
        <f>IFERROR(VLOOKUP(Final!F6006,'LEAID Match'!$A$2:$B$374,2,FALSE),"")</f>
        <v/>
      </c>
      <c r="K6006" s="10">
        <f t="shared" si="93"/>
        <v>21373</v>
      </c>
    </row>
    <row r="6007" spans="1:11">
      <c r="A6007" t="s">
        <v>2470</v>
      </c>
      <c r="B6007" s="10">
        <v>2020</v>
      </c>
      <c r="C6007" t="s">
        <v>685</v>
      </c>
      <c r="D6007" t="s">
        <v>2472</v>
      </c>
      <c r="E6007" t="s">
        <v>2474</v>
      </c>
      <c r="F6007" t="s">
        <v>1461</v>
      </c>
      <c r="G6007" t="s">
        <v>1461</v>
      </c>
      <c r="H6007" s="10">
        <v>15780</v>
      </c>
      <c r="I6007" t="str">
        <f>IFERROR(VLOOKUP(Final!F6007,'LEAID Match'!$A$2:$B$374,2,FALSE),"")</f>
        <v/>
      </c>
      <c r="K6007" s="10">
        <f t="shared" si="93"/>
        <v>15780</v>
      </c>
    </row>
    <row r="6008" spans="1:11">
      <c r="A6008" t="s">
        <v>2470</v>
      </c>
      <c r="B6008" s="10">
        <v>2021</v>
      </c>
      <c r="C6008" t="s">
        <v>685</v>
      </c>
      <c r="D6008" t="s">
        <v>2472</v>
      </c>
      <c r="E6008" t="s">
        <v>2474</v>
      </c>
      <c r="F6008" t="s">
        <v>1461</v>
      </c>
      <c r="G6008" t="s">
        <v>1461</v>
      </c>
      <c r="H6008" s="10">
        <v>26928</v>
      </c>
      <c r="I6008" t="str">
        <f>IFERROR(VLOOKUP(Final!F6008,'LEAID Match'!$A$2:$B$374,2,FALSE),"")</f>
        <v/>
      </c>
      <c r="K6008" s="10">
        <f t="shared" si="93"/>
        <v>26928</v>
      </c>
    </row>
    <row r="6009" spans="1:11">
      <c r="A6009" t="s">
        <v>2470</v>
      </c>
      <c r="B6009" s="10">
        <v>2022</v>
      </c>
      <c r="C6009" t="s">
        <v>685</v>
      </c>
      <c r="D6009" t="s">
        <v>2472</v>
      </c>
      <c r="E6009" t="s">
        <v>2474</v>
      </c>
      <c r="F6009" t="s">
        <v>1461</v>
      </c>
      <c r="G6009" t="s">
        <v>1461</v>
      </c>
      <c r="H6009" s="10">
        <v>32385</v>
      </c>
      <c r="I6009" t="str">
        <f>IFERROR(VLOOKUP(Final!F6009,'LEAID Match'!$A$2:$B$374,2,FALSE),"")</f>
        <v/>
      </c>
      <c r="K6009" s="10">
        <f t="shared" si="93"/>
        <v>32385</v>
      </c>
    </row>
    <row r="6010" spans="1:11">
      <c r="A6010" t="s">
        <v>2470</v>
      </c>
      <c r="B6010" s="10">
        <v>2023</v>
      </c>
      <c r="C6010" t="s">
        <v>685</v>
      </c>
      <c r="D6010" t="s">
        <v>2472</v>
      </c>
      <c r="E6010" t="s">
        <v>2474</v>
      </c>
      <c r="F6010" t="s">
        <v>1461</v>
      </c>
      <c r="G6010" t="s">
        <v>1461</v>
      </c>
      <c r="H6010" s="10">
        <v>33140</v>
      </c>
      <c r="I6010" t="str">
        <f>IFERROR(VLOOKUP(Final!F6010,'LEAID Match'!$A$2:$B$374,2,FALSE),"")</f>
        <v/>
      </c>
      <c r="K6010" s="10">
        <f t="shared" si="93"/>
        <v>33140</v>
      </c>
    </row>
    <row r="6011" spans="1:11">
      <c r="A6011" t="s">
        <v>2470</v>
      </c>
      <c r="B6011" s="10">
        <v>2015</v>
      </c>
      <c r="C6011" t="s">
        <v>1319</v>
      </c>
      <c r="D6011" t="s">
        <v>2472</v>
      </c>
      <c r="E6011" t="s">
        <v>2474</v>
      </c>
      <c r="F6011" t="s">
        <v>1271</v>
      </c>
      <c r="G6011" t="s">
        <v>1271</v>
      </c>
      <c r="H6011" s="10">
        <v>34131</v>
      </c>
      <c r="I6011" t="str">
        <f>IFERROR(VLOOKUP(Final!F6011,'LEAID Match'!$A$2:$B$374,2,FALSE),"")</f>
        <v/>
      </c>
      <c r="K6011" s="10">
        <f t="shared" si="93"/>
        <v>34131</v>
      </c>
    </row>
    <row r="6012" spans="1:11">
      <c r="A6012" t="s">
        <v>2470</v>
      </c>
      <c r="B6012" s="10">
        <v>2016</v>
      </c>
      <c r="C6012" t="s">
        <v>1319</v>
      </c>
      <c r="D6012" t="s">
        <v>2472</v>
      </c>
      <c r="E6012" t="s">
        <v>2474</v>
      </c>
      <c r="F6012" t="s">
        <v>1271</v>
      </c>
      <c r="G6012" t="s">
        <v>1271</v>
      </c>
      <c r="H6012" s="10">
        <v>27556</v>
      </c>
      <c r="I6012" t="str">
        <f>IFERROR(VLOOKUP(Final!F6012,'LEAID Match'!$A$2:$B$374,2,FALSE),"")</f>
        <v/>
      </c>
      <c r="K6012" s="10">
        <f t="shared" si="93"/>
        <v>27556</v>
      </c>
    </row>
    <row r="6013" spans="1:11">
      <c r="A6013" t="s">
        <v>2470</v>
      </c>
      <c r="B6013" s="10">
        <v>2017</v>
      </c>
      <c r="C6013" t="s">
        <v>1319</v>
      </c>
      <c r="D6013" t="s">
        <v>2472</v>
      </c>
      <c r="E6013" t="s">
        <v>2474</v>
      </c>
      <c r="F6013" t="s">
        <v>1271</v>
      </c>
      <c r="G6013" t="s">
        <v>1271</v>
      </c>
      <c r="H6013" s="10">
        <v>25905</v>
      </c>
      <c r="I6013" t="str">
        <f>IFERROR(VLOOKUP(Final!F6013,'LEAID Match'!$A$2:$B$374,2,FALSE),"")</f>
        <v/>
      </c>
      <c r="K6013" s="10">
        <f t="shared" si="93"/>
        <v>25905</v>
      </c>
    </row>
    <row r="6014" spans="1:11">
      <c r="A6014" t="s">
        <v>2470</v>
      </c>
      <c r="B6014" s="10">
        <v>2018</v>
      </c>
      <c r="C6014" t="s">
        <v>1319</v>
      </c>
      <c r="D6014" t="s">
        <v>2472</v>
      </c>
      <c r="E6014" t="s">
        <v>2474</v>
      </c>
      <c r="F6014" t="s">
        <v>1271</v>
      </c>
      <c r="G6014" t="s">
        <v>1271</v>
      </c>
      <c r="H6014" s="10">
        <v>27163</v>
      </c>
      <c r="I6014" t="str">
        <f>IFERROR(VLOOKUP(Final!F6014,'LEAID Match'!$A$2:$B$374,2,FALSE),"")</f>
        <v/>
      </c>
      <c r="K6014" s="10">
        <f t="shared" si="93"/>
        <v>27163</v>
      </c>
    </row>
    <row r="6015" spans="1:11">
      <c r="A6015" t="s">
        <v>2470</v>
      </c>
      <c r="B6015" s="10">
        <v>2019</v>
      </c>
      <c r="C6015" t="s">
        <v>1319</v>
      </c>
      <c r="D6015" t="s">
        <v>2472</v>
      </c>
      <c r="E6015" t="s">
        <v>2474</v>
      </c>
      <c r="F6015" t="s">
        <v>1271</v>
      </c>
      <c r="G6015" t="s">
        <v>1271</v>
      </c>
      <c r="H6015" s="10">
        <v>32132</v>
      </c>
      <c r="I6015" t="str">
        <f>IFERROR(VLOOKUP(Final!F6015,'LEAID Match'!$A$2:$B$374,2,FALSE),"")</f>
        <v/>
      </c>
      <c r="K6015" s="10">
        <f t="shared" si="93"/>
        <v>32132</v>
      </c>
    </row>
    <row r="6016" spans="1:11">
      <c r="A6016" t="s">
        <v>2470</v>
      </c>
      <c r="B6016" s="10">
        <v>2020</v>
      </c>
      <c r="C6016" t="s">
        <v>1319</v>
      </c>
      <c r="D6016" t="s">
        <v>2472</v>
      </c>
      <c r="E6016" t="s">
        <v>2474</v>
      </c>
      <c r="F6016" t="s">
        <v>1271</v>
      </c>
      <c r="G6016" t="s">
        <v>1271</v>
      </c>
      <c r="H6016" s="10">
        <v>35087</v>
      </c>
      <c r="I6016" t="str">
        <f>IFERROR(VLOOKUP(Final!F6016,'LEAID Match'!$A$2:$B$374,2,FALSE),"")</f>
        <v/>
      </c>
      <c r="K6016" s="10">
        <f t="shared" si="93"/>
        <v>35087</v>
      </c>
    </row>
    <row r="6017" spans="1:11">
      <c r="A6017" t="s">
        <v>2470</v>
      </c>
      <c r="B6017" s="10">
        <v>2021</v>
      </c>
      <c r="C6017" t="s">
        <v>1319</v>
      </c>
      <c r="D6017" t="s">
        <v>2472</v>
      </c>
      <c r="E6017" t="s">
        <v>2474</v>
      </c>
      <c r="F6017" t="s">
        <v>1271</v>
      </c>
      <c r="G6017" t="s">
        <v>1271</v>
      </c>
      <c r="H6017" s="10">
        <v>35433</v>
      </c>
      <c r="I6017" t="str">
        <f>IFERROR(VLOOKUP(Final!F6017,'LEAID Match'!$A$2:$B$374,2,FALSE),"")</f>
        <v/>
      </c>
      <c r="K6017" s="10">
        <f t="shared" si="93"/>
        <v>35433</v>
      </c>
    </row>
    <row r="6018" spans="1:11">
      <c r="A6018" t="s">
        <v>2470</v>
      </c>
      <c r="B6018" s="10">
        <v>2022</v>
      </c>
      <c r="C6018" t="s">
        <v>1319</v>
      </c>
      <c r="D6018" t="s">
        <v>2472</v>
      </c>
      <c r="E6018" t="s">
        <v>2474</v>
      </c>
      <c r="F6018" t="s">
        <v>1271</v>
      </c>
      <c r="G6018" t="s">
        <v>1271</v>
      </c>
      <c r="H6018" s="10">
        <v>41130</v>
      </c>
      <c r="I6018" t="str">
        <f>IFERROR(VLOOKUP(Final!F6018,'LEAID Match'!$A$2:$B$374,2,FALSE),"")</f>
        <v/>
      </c>
      <c r="K6018" s="10">
        <f t="shared" si="93"/>
        <v>41130</v>
      </c>
    </row>
    <row r="6019" spans="1:11">
      <c r="A6019" t="s">
        <v>2470</v>
      </c>
      <c r="B6019" s="10">
        <v>2023</v>
      </c>
      <c r="C6019" t="s">
        <v>1319</v>
      </c>
      <c r="D6019" t="s">
        <v>2472</v>
      </c>
      <c r="E6019" t="s">
        <v>2474</v>
      </c>
      <c r="F6019" t="s">
        <v>1271</v>
      </c>
      <c r="G6019" t="s">
        <v>1271</v>
      </c>
      <c r="H6019" s="10">
        <v>47303</v>
      </c>
      <c r="I6019" t="str">
        <f>IFERROR(VLOOKUP(Final!F6019,'LEAID Match'!$A$2:$B$374,2,FALSE),"")</f>
        <v/>
      </c>
      <c r="K6019" s="10">
        <f t="shared" ref="K6019:K6082" si="94">SUM(H6019,J6019)</f>
        <v>47303</v>
      </c>
    </row>
    <row r="6020" spans="1:11">
      <c r="A6020" t="s">
        <v>2470</v>
      </c>
      <c r="B6020" s="10">
        <v>2015</v>
      </c>
      <c r="C6020" t="s">
        <v>811</v>
      </c>
      <c r="D6020" t="s">
        <v>2472</v>
      </c>
      <c r="E6020" t="s">
        <v>2474</v>
      </c>
      <c r="F6020" t="s">
        <v>1817</v>
      </c>
      <c r="G6020" t="s">
        <v>756</v>
      </c>
      <c r="H6020" s="10">
        <v>21226</v>
      </c>
      <c r="I6020" t="str">
        <f>IFERROR(VLOOKUP(Final!F6020,'LEAID Match'!$A$2:$B$374,2,FALSE),"")</f>
        <v/>
      </c>
      <c r="K6020" s="10">
        <f t="shared" si="94"/>
        <v>21226</v>
      </c>
    </row>
    <row r="6021" spans="1:11">
      <c r="A6021" t="s">
        <v>2470</v>
      </c>
      <c r="B6021" s="10">
        <v>2016</v>
      </c>
      <c r="C6021" t="s">
        <v>811</v>
      </c>
      <c r="D6021" t="s">
        <v>2472</v>
      </c>
      <c r="E6021" t="s">
        <v>2474</v>
      </c>
      <c r="F6021" t="s">
        <v>1817</v>
      </c>
      <c r="G6021" t="s">
        <v>1469</v>
      </c>
      <c r="H6021" s="10">
        <v>19121</v>
      </c>
      <c r="I6021" t="str">
        <f>IFERROR(VLOOKUP(Final!F6021,'LEAID Match'!$A$2:$B$374,2,FALSE),"")</f>
        <v/>
      </c>
      <c r="K6021" s="10">
        <f t="shared" si="94"/>
        <v>19121</v>
      </c>
    </row>
    <row r="6022" spans="1:11">
      <c r="A6022" t="s">
        <v>2470</v>
      </c>
      <c r="B6022" s="10">
        <v>2017</v>
      </c>
      <c r="C6022" t="s">
        <v>811</v>
      </c>
      <c r="D6022" t="s">
        <v>2472</v>
      </c>
      <c r="E6022" t="s">
        <v>2474</v>
      </c>
      <c r="F6022" t="s">
        <v>1817</v>
      </c>
      <c r="G6022" t="s">
        <v>1817</v>
      </c>
      <c r="H6022" s="10"/>
      <c r="I6022" t="str">
        <f>IFERROR(VLOOKUP(Final!F6022,'LEAID Match'!$A$2:$B$374,2,FALSE),"")</f>
        <v/>
      </c>
      <c r="K6022" s="10">
        <f t="shared" si="94"/>
        <v>0</v>
      </c>
    </row>
    <row r="6023" spans="1:11">
      <c r="A6023" t="s">
        <v>2470</v>
      </c>
      <c r="B6023" s="10">
        <v>2018</v>
      </c>
      <c r="C6023" t="s">
        <v>811</v>
      </c>
      <c r="D6023" t="s">
        <v>2472</v>
      </c>
      <c r="E6023" t="s">
        <v>2474</v>
      </c>
      <c r="F6023" t="s">
        <v>1817</v>
      </c>
      <c r="G6023" t="s">
        <v>1817</v>
      </c>
      <c r="H6023" s="10"/>
      <c r="I6023" t="str">
        <f>IFERROR(VLOOKUP(Final!F6023,'LEAID Match'!$A$2:$B$374,2,FALSE),"")</f>
        <v/>
      </c>
      <c r="K6023" s="10">
        <f t="shared" si="94"/>
        <v>0</v>
      </c>
    </row>
    <row r="6024" spans="1:11">
      <c r="A6024" t="s">
        <v>2470</v>
      </c>
      <c r="B6024" s="10">
        <v>2019</v>
      </c>
      <c r="C6024" t="s">
        <v>811</v>
      </c>
      <c r="D6024" t="s">
        <v>2472</v>
      </c>
      <c r="E6024" t="s">
        <v>2474</v>
      </c>
      <c r="F6024" t="s">
        <v>1817</v>
      </c>
      <c r="G6024" t="s">
        <v>1817</v>
      </c>
      <c r="H6024" s="10"/>
      <c r="I6024" t="str">
        <f>IFERROR(VLOOKUP(Final!F6024,'LEAID Match'!$A$2:$B$374,2,FALSE),"")</f>
        <v/>
      </c>
      <c r="K6024" s="10">
        <f t="shared" si="94"/>
        <v>0</v>
      </c>
    </row>
    <row r="6025" spans="1:11">
      <c r="A6025" t="s">
        <v>2470</v>
      </c>
      <c r="B6025" s="10">
        <v>2020</v>
      </c>
      <c r="C6025" t="s">
        <v>811</v>
      </c>
      <c r="D6025" t="s">
        <v>2472</v>
      </c>
      <c r="E6025" t="s">
        <v>2474</v>
      </c>
      <c r="F6025" t="s">
        <v>1817</v>
      </c>
      <c r="G6025" t="s">
        <v>1817</v>
      </c>
      <c r="H6025" s="10"/>
      <c r="I6025" t="str">
        <f>IFERROR(VLOOKUP(Final!F6025,'LEAID Match'!$A$2:$B$374,2,FALSE),"")</f>
        <v/>
      </c>
      <c r="K6025" s="10">
        <f t="shared" si="94"/>
        <v>0</v>
      </c>
    </row>
    <row r="6026" spans="1:11">
      <c r="A6026" t="s">
        <v>2470</v>
      </c>
      <c r="B6026" s="10">
        <v>2015</v>
      </c>
      <c r="C6026" t="s">
        <v>364</v>
      </c>
      <c r="D6026" t="s">
        <v>2472</v>
      </c>
      <c r="E6026" t="s">
        <v>2474</v>
      </c>
      <c r="F6026" t="s">
        <v>310</v>
      </c>
      <c r="G6026" t="s">
        <v>310</v>
      </c>
      <c r="H6026" s="10">
        <v>8893</v>
      </c>
      <c r="I6026" t="str">
        <f>IFERROR(VLOOKUP(Final!F6026,'LEAID Match'!$A$2:$B$374,2,FALSE),"")</f>
        <v/>
      </c>
      <c r="K6026" s="10">
        <f t="shared" si="94"/>
        <v>8893</v>
      </c>
    </row>
    <row r="6027" spans="1:11">
      <c r="A6027" t="s">
        <v>2470</v>
      </c>
      <c r="B6027" s="10">
        <v>2016</v>
      </c>
      <c r="C6027" t="s">
        <v>364</v>
      </c>
      <c r="D6027" t="s">
        <v>2472</v>
      </c>
      <c r="E6027" t="s">
        <v>2474</v>
      </c>
      <c r="F6027" t="s">
        <v>310</v>
      </c>
      <c r="G6027" t="s">
        <v>310</v>
      </c>
      <c r="H6027" s="10">
        <v>6815</v>
      </c>
      <c r="I6027" t="str">
        <f>IFERROR(VLOOKUP(Final!F6027,'LEAID Match'!$A$2:$B$374,2,FALSE),"")</f>
        <v/>
      </c>
      <c r="K6027" s="10">
        <f t="shared" si="94"/>
        <v>6815</v>
      </c>
    </row>
    <row r="6028" spans="1:11">
      <c r="A6028" t="s">
        <v>2470</v>
      </c>
      <c r="B6028" s="10">
        <v>2017</v>
      </c>
      <c r="C6028" t="s">
        <v>364</v>
      </c>
      <c r="D6028" t="s">
        <v>2472</v>
      </c>
      <c r="E6028" t="s">
        <v>2474</v>
      </c>
      <c r="F6028" t="s">
        <v>310</v>
      </c>
      <c r="G6028" t="s">
        <v>310</v>
      </c>
      <c r="H6028" s="10">
        <v>336</v>
      </c>
      <c r="I6028" t="str">
        <f>IFERROR(VLOOKUP(Final!F6028,'LEAID Match'!$A$2:$B$374,2,FALSE),"")</f>
        <v/>
      </c>
      <c r="K6028" s="10">
        <f t="shared" si="94"/>
        <v>336</v>
      </c>
    </row>
    <row r="6029" spans="1:11">
      <c r="A6029" t="s">
        <v>2470</v>
      </c>
      <c r="B6029" s="10">
        <v>2018</v>
      </c>
      <c r="C6029" t="s">
        <v>364</v>
      </c>
      <c r="D6029" t="s">
        <v>2472</v>
      </c>
      <c r="E6029" t="s">
        <v>2474</v>
      </c>
      <c r="F6029" t="s">
        <v>310</v>
      </c>
      <c r="G6029" t="s">
        <v>310</v>
      </c>
      <c r="H6029" s="10"/>
      <c r="I6029" t="str">
        <f>IFERROR(VLOOKUP(Final!F6029,'LEAID Match'!$A$2:$B$374,2,FALSE),"")</f>
        <v/>
      </c>
      <c r="K6029" s="10">
        <f t="shared" si="94"/>
        <v>0</v>
      </c>
    </row>
    <row r="6030" spans="1:11">
      <c r="A6030" t="s">
        <v>2470</v>
      </c>
      <c r="B6030" s="10">
        <v>2019</v>
      </c>
      <c r="C6030" t="s">
        <v>364</v>
      </c>
      <c r="D6030" t="s">
        <v>2472</v>
      </c>
      <c r="E6030" t="s">
        <v>2474</v>
      </c>
      <c r="F6030" t="s">
        <v>310</v>
      </c>
      <c r="G6030" t="s">
        <v>310</v>
      </c>
      <c r="H6030" s="10"/>
      <c r="I6030" t="str">
        <f>IFERROR(VLOOKUP(Final!F6030,'LEAID Match'!$A$2:$B$374,2,FALSE),"")</f>
        <v/>
      </c>
      <c r="K6030" s="10">
        <f t="shared" si="94"/>
        <v>0</v>
      </c>
    </row>
    <row r="6031" spans="1:11">
      <c r="A6031" t="s">
        <v>2470</v>
      </c>
      <c r="B6031" s="10">
        <v>2020</v>
      </c>
      <c r="C6031" t="s">
        <v>364</v>
      </c>
      <c r="D6031" t="s">
        <v>2472</v>
      </c>
      <c r="E6031" t="s">
        <v>2474</v>
      </c>
      <c r="F6031" t="s">
        <v>310</v>
      </c>
      <c r="G6031" t="s">
        <v>310</v>
      </c>
      <c r="H6031" s="10"/>
      <c r="I6031" t="str">
        <f>IFERROR(VLOOKUP(Final!F6031,'LEAID Match'!$A$2:$B$374,2,FALSE),"")</f>
        <v/>
      </c>
      <c r="K6031" s="10">
        <f t="shared" si="94"/>
        <v>0</v>
      </c>
    </row>
    <row r="6032" spans="1:11">
      <c r="A6032" t="s">
        <v>2470</v>
      </c>
      <c r="B6032" s="10">
        <v>2021</v>
      </c>
      <c r="C6032" t="s">
        <v>364</v>
      </c>
      <c r="D6032" t="s">
        <v>2472</v>
      </c>
      <c r="E6032" t="s">
        <v>2474</v>
      </c>
      <c r="F6032" t="s">
        <v>310</v>
      </c>
      <c r="G6032" t="s">
        <v>310</v>
      </c>
      <c r="H6032" s="10"/>
      <c r="I6032" t="str">
        <f>IFERROR(VLOOKUP(Final!F6032,'LEAID Match'!$A$2:$B$374,2,FALSE),"")</f>
        <v/>
      </c>
      <c r="K6032" s="10">
        <f t="shared" si="94"/>
        <v>0</v>
      </c>
    </row>
    <row r="6033" spans="1:11">
      <c r="A6033" t="s">
        <v>2470</v>
      </c>
      <c r="B6033" s="10">
        <v>2022</v>
      </c>
      <c r="C6033" t="s">
        <v>364</v>
      </c>
      <c r="D6033" t="s">
        <v>2472</v>
      </c>
      <c r="E6033" t="s">
        <v>2474</v>
      </c>
      <c r="F6033" t="s">
        <v>310</v>
      </c>
      <c r="G6033" t="s">
        <v>310</v>
      </c>
      <c r="H6033" s="10"/>
      <c r="I6033" t="str">
        <f>IFERROR(VLOOKUP(Final!F6033,'LEAID Match'!$A$2:$B$374,2,FALSE),"")</f>
        <v/>
      </c>
      <c r="K6033" s="10">
        <f t="shared" si="94"/>
        <v>0</v>
      </c>
    </row>
    <row r="6034" spans="1:11">
      <c r="A6034" t="s">
        <v>2470</v>
      </c>
      <c r="B6034" s="10">
        <v>2023</v>
      </c>
      <c r="C6034" t="s">
        <v>364</v>
      </c>
      <c r="D6034" t="s">
        <v>2472</v>
      </c>
      <c r="E6034" t="s">
        <v>2474</v>
      </c>
      <c r="F6034" t="s">
        <v>310</v>
      </c>
      <c r="G6034" t="s">
        <v>310</v>
      </c>
      <c r="H6034" s="10"/>
      <c r="I6034" t="str">
        <f>IFERROR(VLOOKUP(Final!F6034,'LEAID Match'!$A$2:$B$374,2,FALSE),"")</f>
        <v/>
      </c>
      <c r="K6034" s="10">
        <f t="shared" si="94"/>
        <v>0</v>
      </c>
    </row>
    <row r="6035" spans="1:11">
      <c r="A6035" t="s">
        <v>2470</v>
      </c>
      <c r="B6035" s="10">
        <v>2015</v>
      </c>
      <c r="C6035" t="s">
        <v>1144</v>
      </c>
      <c r="D6035" t="s">
        <v>2472</v>
      </c>
      <c r="E6035" t="s">
        <v>2474</v>
      </c>
      <c r="F6035" t="s">
        <v>1089</v>
      </c>
      <c r="G6035" t="s">
        <v>1089</v>
      </c>
      <c r="H6035" s="10">
        <v>59631</v>
      </c>
      <c r="I6035" t="str">
        <f>IFERROR(VLOOKUP(Final!F6035,'LEAID Match'!$A$2:$B$374,2,FALSE),"")</f>
        <v/>
      </c>
      <c r="K6035" s="10">
        <f t="shared" si="94"/>
        <v>59631</v>
      </c>
    </row>
    <row r="6036" spans="1:11">
      <c r="A6036" t="s">
        <v>2470</v>
      </c>
      <c r="B6036" s="10">
        <v>2016</v>
      </c>
      <c r="C6036" t="s">
        <v>1144</v>
      </c>
      <c r="D6036" t="s">
        <v>2472</v>
      </c>
      <c r="E6036" t="s">
        <v>2474</v>
      </c>
      <c r="F6036" t="s">
        <v>1089</v>
      </c>
      <c r="G6036" t="s">
        <v>1089</v>
      </c>
      <c r="H6036" s="10">
        <v>63254</v>
      </c>
      <c r="I6036" t="str">
        <f>IFERROR(VLOOKUP(Final!F6036,'LEAID Match'!$A$2:$B$374,2,FALSE),"")</f>
        <v/>
      </c>
      <c r="K6036" s="10">
        <f t="shared" si="94"/>
        <v>63254</v>
      </c>
    </row>
    <row r="6037" spans="1:11">
      <c r="A6037" t="s">
        <v>2470</v>
      </c>
      <c r="B6037" s="10">
        <v>2017</v>
      </c>
      <c r="C6037" t="s">
        <v>1144</v>
      </c>
      <c r="D6037" t="s">
        <v>2472</v>
      </c>
      <c r="E6037" t="s">
        <v>2474</v>
      </c>
      <c r="F6037" t="s">
        <v>1089</v>
      </c>
      <c r="G6037" t="s">
        <v>1089</v>
      </c>
      <c r="H6037" s="10">
        <v>62027</v>
      </c>
      <c r="I6037" t="str">
        <f>IFERROR(VLOOKUP(Final!F6037,'LEAID Match'!$A$2:$B$374,2,FALSE),"")</f>
        <v/>
      </c>
      <c r="K6037" s="10">
        <f t="shared" si="94"/>
        <v>62027</v>
      </c>
    </row>
    <row r="6038" spans="1:11">
      <c r="A6038" t="s">
        <v>2470</v>
      </c>
      <c r="B6038" s="10">
        <v>2018</v>
      </c>
      <c r="C6038" t="s">
        <v>1144</v>
      </c>
      <c r="D6038" t="s">
        <v>2472</v>
      </c>
      <c r="E6038" t="s">
        <v>2474</v>
      </c>
      <c r="F6038" t="s">
        <v>1089</v>
      </c>
      <c r="G6038" t="s">
        <v>1089</v>
      </c>
      <c r="H6038" s="10"/>
      <c r="I6038" t="str">
        <f>IFERROR(VLOOKUP(Final!F6038,'LEAID Match'!$A$2:$B$374,2,FALSE),"")</f>
        <v/>
      </c>
      <c r="K6038" s="10">
        <f t="shared" si="94"/>
        <v>0</v>
      </c>
    </row>
    <row r="6039" spans="1:11">
      <c r="A6039" t="s">
        <v>2470</v>
      </c>
      <c r="B6039" s="10">
        <v>2019</v>
      </c>
      <c r="C6039" t="s">
        <v>1144</v>
      </c>
      <c r="D6039" t="s">
        <v>2472</v>
      </c>
      <c r="E6039" t="s">
        <v>2474</v>
      </c>
      <c r="F6039" t="s">
        <v>1089</v>
      </c>
      <c r="G6039" t="s">
        <v>1089</v>
      </c>
      <c r="H6039" s="10"/>
      <c r="I6039" t="str">
        <f>IFERROR(VLOOKUP(Final!F6039,'LEAID Match'!$A$2:$B$374,2,FALSE),"")</f>
        <v/>
      </c>
      <c r="K6039" s="10">
        <f t="shared" si="94"/>
        <v>0</v>
      </c>
    </row>
    <row r="6040" spans="1:11">
      <c r="A6040" t="s">
        <v>2470</v>
      </c>
      <c r="B6040" s="10">
        <v>2020</v>
      </c>
      <c r="C6040" t="s">
        <v>1144</v>
      </c>
      <c r="D6040" t="s">
        <v>2472</v>
      </c>
      <c r="E6040" t="s">
        <v>2474</v>
      </c>
      <c r="F6040" t="s">
        <v>1089</v>
      </c>
      <c r="G6040" t="s">
        <v>1089</v>
      </c>
      <c r="H6040" s="10"/>
      <c r="I6040" t="str">
        <f>IFERROR(VLOOKUP(Final!F6040,'LEAID Match'!$A$2:$B$374,2,FALSE),"")</f>
        <v/>
      </c>
      <c r="K6040" s="10">
        <f t="shared" si="94"/>
        <v>0</v>
      </c>
    </row>
    <row r="6041" spans="1:11">
      <c r="A6041" t="s">
        <v>2470</v>
      </c>
      <c r="B6041" s="10">
        <v>2021</v>
      </c>
      <c r="C6041" t="s">
        <v>1144</v>
      </c>
      <c r="D6041" t="s">
        <v>2472</v>
      </c>
      <c r="E6041" t="s">
        <v>2474</v>
      </c>
      <c r="F6041" t="s">
        <v>1089</v>
      </c>
      <c r="G6041" t="s">
        <v>1089</v>
      </c>
      <c r="H6041" s="10"/>
      <c r="I6041" t="str">
        <f>IFERROR(VLOOKUP(Final!F6041,'LEAID Match'!$A$2:$B$374,2,FALSE),"")</f>
        <v/>
      </c>
      <c r="K6041" s="10">
        <f t="shared" si="94"/>
        <v>0</v>
      </c>
    </row>
    <row r="6042" spans="1:11">
      <c r="A6042" t="s">
        <v>2470</v>
      </c>
      <c r="B6042" s="10">
        <v>2022</v>
      </c>
      <c r="C6042" t="s">
        <v>1144</v>
      </c>
      <c r="D6042" t="s">
        <v>2472</v>
      </c>
      <c r="E6042" t="s">
        <v>2474</v>
      </c>
      <c r="F6042" t="s">
        <v>1089</v>
      </c>
      <c r="G6042" t="s">
        <v>1089</v>
      </c>
      <c r="H6042" s="10"/>
      <c r="I6042" t="str">
        <f>IFERROR(VLOOKUP(Final!F6042,'LEAID Match'!$A$2:$B$374,2,FALSE),"")</f>
        <v/>
      </c>
      <c r="K6042" s="10">
        <f t="shared" si="94"/>
        <v>0</v>
      </c>
    </row>
    <row r="6043" spans="1:11">
      <c r="A6043" t="s">
        <v>2470</v>
      </c>
      <c r="B6043" s="10">
        <v>2023</v>
      </c>
      <c r="C6043" t="s">
        <v>1144</v>
      </c>
      <c r="D6043" t="s">
        <v>2472</v>
      </c>
      <c r="E6043" t="s">
        <v>2474</v>
      </c>
      <c r="F6043" t="s">
        <v>1089</v>
      </c>
      <c r="G6043" t="s">
        <v>1089</v>
      </c>
      <c r="H6043" s="10"/>
      <c r="I6043" t="str">
        <f>IFERROR(VLOOKUP(Final!F6043,'LEAID Match'!$A$2:$B$374,2,FALSE),"")</f>
        <v/>
      </c>
      <c r="K6043" s="10">
        <f t="shared" si="94"/>
        <v>0</v>
      </c>
    </row>
    <row r="6044" spans="1:11">
      <c r="A6044" t="s">
        <v>2470</v>
      </c>
      <c r="B6044" s="10">
        <v>2015</v>
      </c>
      <c r="C6044" t="s">
        <v>900</v>
      </c>
      <c r="D6044" t="s">
        <v>2472</v>
      </c>
      <c r="E6044" t="s">
        <v>2474</v>
      </c>
      <c r="F6044" t="s">
        <v>845</v>
      </c>
      <c r="G6044" t="s">
        <v>845</v>
      </c>
      <c r="H6044" s="10">
        <v>239085</v>
      </c>
      <c r="I6044" t="str">
        <f>IFERROR(VLOOKUP(Final!F6044,'LEAID Match'!$A$2:$B$374,2,FALSE),"")</f>
        <v/>
      </c>
      <c r="K6044" s="10">
        <f t="shared" si="94"/>
        <v>239085</v>
      </c>
    </row>
    <row r="6045" spans="1:11">
      <c r="A6045" t="s">
        <v>2470</v>
      </c>
      <c r="B6045" s="10">
        <v>2016</v>
      </c>
      <c r="C6045" t="s">
        <v>900</v>
      </c>
      <c r="D6045" t="s">
        <v>2472</v>
      </c>
      <c r="E6045" t="s">
        <v>2474</v>
      </c>
      <c r="F6045" t="s">
        <v>845</v>
      </c>
      <c r="G6045" t="s">
        <v>845</v>
      </c>
      <c r="H6045" s="10">
        <v>241584</v>
      </c>
      <c r="I6045" t="str">
        <f>IFERROR(VLOOKUP(Final!F6045,'LEAID Match'!$A$2:$B$374,2,FALSE),"")</f>
        <v/>
      </c>
      <c r="K6045" s="10">
        <f t="shared" si="94"/>
        <v>241584</v>
      </c>
    </row>
    <row r="6046" spans="1:11">
      <c r="A6046" t="s">
        <v>2470</v>
      </c>
      <c r="B6046" s="10">
        <v>2017</v>
      </c>
      <c r="C6046" t="s">
        <v>900</v>
      </c>
      <c r="D6046" t="s">
        <v>2472</v>
      </c>
      <c r="E6046" t="s">
        <v>2474</v>
      </c>
      <c r="F6046" t="s">
        <v>845</v>
      </c>
      <c r="G6046" t="s">
        <v>845</v>
      </c>
      <c r="H6046" s="10">
        <v>247527</v>
      </c>
      <c r="I6046" t="str">
        <f>IFERROR(VLOOKUP(Final!F6046,'LEAID Match'!$A$2:$B$374,2,FALSE),"")</f>
        <v/>
      </c>
      <c r="K6046" s="10">
        <f t="shared" si="94"/>
        <v>247527</v>
      </c>
    </row>
    <row r="6047" spans="1:11">
      <c r="A6047" t="s">
        <v>2470</v>
      </c>
      <c r="B6047" s="10">
        <v>2018</v>
      </c>
      <c r="C6047" t="s">
        <v>900</v>
      </c>
      <c r="D6047" t="s">
        <v>2472</v>
      </c>
      <c r="E6047" t="s">
        <v>2474</v>
      </c>
      <c r="F6047" t="s">
        <v>845</v>
      </c>
      <c r="G6047" t="s">
        <v>845</v>
      </c>
      <c r="H6047" s="10">
        <v>230010</v>
      </c>
      <c r="I6047" t="str">
        <f>IFERROR(VLOOKUP(Final!F6047,'LEAID Match'!$A$2:$B$374,2,FALSE),"")</f>
        <v/>
      </c>
      <c r="K6047" s="10">
        <f t="shared" si="94"/>
        <v>230010</v>
      </c>
    </row>
    <row r="6048" spans="1:11">
      <c r="A6048" t="s">
        <v>2470</v>
      </c>
      <c r="B6048" s="10">
        <v>2019</v>
      </c>
      <c r="C6048" t="s">
        <v>900</v>
      </c>
      <c r="D6048" t="s">
        <v>2472</v>
      </c>
      <c r="E6048" t="s">
        <v>2474</v>
      </c>
      <c r="F6048" t="s">
        <v>845</v>
      </c>
      <c r="G6048" t="s">
        <v>845</v>
      </c>
      <c r="H6048" s="10">
        <v>254111</v>
      </c>
      <c r="I6048" t="str">
        <f>IFERROR(VLOOKUP(Final!F6048,'LEAID Match'!$A$2:$B$374,2,FALSE),"")</f>
        <v/>
      </c>
      <c r="K6048" s="10">
        <f t="shared" si="94"/>
        <v>254111</v>
      </c>
    </row>
    <row r="6049" spans="1:11">
      <c r="A6049" t="s">
        <v>2470</v>
      </c>
      <c r="B6049" s="10">
        <v>2020</v>
      </c>
      <c r="C6049" t="s">
        <v>900</v>
      </c>
      <c r="D6049" t="s">
        <v>2472</v>
      </c>
      <c r="E6049" t="s">
        <v>2474</v>
      </c>
      <c r="F6049" t="s">
        <v>845</v>
      </c>
      <c r="G6049" t="s">
        <v>845</v>
      </c>
      <c r="H6049" s="10">
        <v>306234</v>
      </c>
      <c r="I6049" t="str">
        <f>IFERROR(VLOOKUP(Final!F6049,'LEAID Match'!$A$2:$B$374,2,FALSE),"")</f>
        <v/>
      </c>
      <c r="K6049" s="10">
        <f t="shared" si="94"/>
        <v>306234</v>
      </c>
    </row>
    <row r="6050" spans="1:11">
      <c r="A6050" t="s">
        <v>2470</v>
      </c>
      <c r="B6050" s="10">
        <v>2021</v>
      </c>
      <c r="C6050" t="s">
        <v>900</v>
      </c>
      <c r="D6050" t="s">
        <v>2472</v>
      </c>
      <c r="E6050" t="s">
        <v>2474</v>
      </c>
      <c r="F6050" t="s">
        <v>845</v>
      </c>
      <c r="G6050" t="s">
        <v>845</v>
      </c>
      <c r="H6050" s="10">
        <v>328825</v>
      </c>
      <c r="I6050" t="str">
        <f>IFERROR(VLOOKUP(Final!F6050,'LEAID Match'!$A$2:$B$374,2,FALSE),"")</f>
        <v/>
      </c>
      <c r="K6050" s="10">
        <f t="shared" si="94"/>
        <v>328825</v>
      </c>
    </row>
    <row r="6051" spans="1:11">
      <c r="A6051" t="s">
        <v>2470</v>
      </c>
      <c r="B6051" s="10">
        <v>2022</v>
      </c>
      <c r="C6051" t="s">
        <v>900</v>
      </c>
      <c r="D6051" t="s">
        <v>2472</v>
      </c>
      <c r="E6051" t="s">
        <v>2474</v>
      </c>
      <c r="F6051" t="s">
        <v>845</v>
      </c>
      <c r="G6051" t="s">
        <v>845</v>
      </c>
      <c r="H6051" s="10">
        <v>390320</v>
      </c>
      <c r="I6051" t="str">
        <f>IFERROR(VLOOKUP(Final!F6051,'LEAID Match'!$A$2:$B$374,2,FALSE),"")</f>
        <v/>
      </c>
      <c r="K6051" s="10">
        <f t="shared" si="94"/>
        <v>390320</v>
      </c>
    </row>
    <row r="6052" spans="1:11">
      <c r="A6052" t="s">
        <v>2470</v>
      </c>
      <c r="B6052" s="10">
        <v>2023</v>
      </c>
      <c r="C6052" t="s">
        <v>900</v>
      </c>
      <c r="D6052" t="s">
        <v>2472</v>
      </c>
      <c r="E6052" t="s">
        <v>2474</v>
      </c>
      <c r="F6052" t="s">
        <v>845</v>
      </c>
      <c r="G6052" t="s">
        <v>845</v>
      </c>
      <c r="H6052" s="10">
        <v>424331</v>
      </c>
      <c r="I6052" t="str">
        <f>IFERROR(VLOOKUP(Final!F6052,'LEAID Match'!$A$2:$B$374,2,FALSE),"")</f>
        <v/>
      </c>
      <c r="K6052" s="10">
        <f t="shared" si="94"/>
        <v>424331</v>
      </c>
    </row>
    <row r="6053" spans="1:11">
      <c r="A6053" t="s">
        <v>2470</v>
      </c>
      <c r="B6053" s="10">
        <v>2015</v>
      </c>
      <c r="C6053" t="s">
        <v>356</v>
      </c>
      <c r="D6053" t="s">
        <v>2472</v>
      </c>
      <c r="E6053" t="s">
        <v>2474</v>
      </c>
      <c r="F6053" t="s">
        <v>1444</v>
      </c>
      <c r="G6053" t="s">
        <v>302</v>
      </c>
      <c r="H6053" s="10">
        <v>4953179</v>
      </c>
      <c r="I6053" t="str">
        <f>IFERROR(VLOOKUP(Final!F6053,'LEAID Match'!$A$2:$B$374,2,FALSE),"")</f>
        <v/>
      </c>
      <c r="K6053" s="10">
        <f t="shared" si="94"/>
        <v>4953179</v>
      </c>
    </row>
    <row r="6054" spans="1:11">
      <c r="A6054" t="s">
        <v>2470</v>
      </c>
      <c r="B6054" s="10">
        <v>2016</v>
      </c>
      <c r="C6054" t="s">
        <v>356</v>
      </c>
      <c r="D6054" t="s">
        <v>2472</v>
      </c>
      <c r="E6054" t="s">
        <v>2474</v>
      </c>
      <c r="F6054" t="s">
        <v>1444</v>
      </c>
      <c r="G6054" t="s">
        <v>1444</v>
      </c>
      <c r="H6054" s="10">
        <v>5028256</v>
      </c>
      <c r="I6054" t="str">
        <f>IFERROR(VLOOKUP(Final!F6054,'LEAID Match'!$A$2:$B$374,2,FALSE),"")</f>
        <v/>
      </c>
      <c r="K6054" s="10">
        <f t="shared" si="94"/>
        <v>5028256</v>
      </c>
    </row>
    <row r="6055" spans="1:11">
      <c r="A6055" t="s">
        <v>2470</v>
      </c>
      <c r="B6055" s="10">
        <v>2017</v>
      </c>
      <c r="C6055" t="s">
        <v>356</v>
      </c>
      <c r="D6055" t="s">
        <v>2472</v>
      </c>
      <c r="E6055" t="s">
        <v>2474</v>
      </c>
      <c r="F6055" t="s">
        <v>1444</v>
      </c>
      <c r="G6055" t="s">
        <v>1444</v>
      </c>
      <c r="H6055" s="10">
        <v>5178604</v>
      </c>
      <c r="I6055" t="str">
        <f>IFERROR(VLOOKUP(Final!F6055,'LEAID Match'!$A$2:$B$374,2,FALSE),"")</f>
        <v/>
      </c>
      <c r="K6055" s="10">
        <f t="shared" si="94"/>
        <v>5178604</v>
      </c>
    </row>
    <row r="6056" spans="1:11">
      <c r="A6056" t="s">
        <v>2470</v>
      </c>
      <c r="B6056" s="10">
        <v>2018</v>
      </c>
      <c r="C6056" t="s">
        <v>356</v>
      </c>
      <c r="D6056" t="s">
        <v>2472</v>
      </c>
      <c r="E6056" t="s">
        <v>2474</v>
      </c>
      <c r="F6056" t="s">
        <v>1444</v>
      </c>
      <c r="G6056" t="s">
        <v>1444</v>
      </c>
      <c r="H6056" s="10">
        <v>5591715</v>
      </c>
      <c r="I6056" t="str">
        <f>IFERROR(VLOOKUP(Final!F6056,'LEAID Match'!$A$2:$B$374,2,FALSE),"")</f>
        <v/>
      </c>
      <c r="K6056" s="10">
        <f t="shared" si="94"/>
        <v>5591715</v>
      </c>
    </row>
    <row r="6057" spans="1:11">
      <c r="A6057" t="s">
        <v>2470</v>
      </c>
      <c r="B6057" s="10">
        <v>2019</v>
      </c>
      <c r="C6057" t="s">
        <v>356</v>
      </c>
      <c r="D6057" t="s">
        <v>2472</v>
      </c>
      <c r="E6057" t="s">
        <v>2474</v>
      </c>
      <c r="F6057" t="s">
        <v>1444</v>
      </c>
      <c r="G6057" t="s">
        <v>1444</v>
      </c>
      <c r="H6057" s="10">
        <v>5792145</v>
      </c>
      <c r="I6057" t="str">
        <f>IFERROR(VLOOKUP(Final!F6057,'LEAID Match'!$A$2:$B$374,2,FALSE),"")</f>
        <v/>
      </c>
      <c r="K6057" s="10">
        <f t="shared" si="94"/>
        <v>5792145</v>
      </c>
    </row>
    <row r="6058" spans="1:11">
      <c r="A6058" t="s">
        <v>2470</v>
      </c>
      <c r="B6058" s="10">
        <v>2020</v>
      </c>
      <c r="C6058" t="s">
        <v>356</v>
      </c>
      <c r="D6058" t="s">
        <v>2472</v>
      </c>
      <c r="E6058" t="s">
        <v>2474</v>
      </c>
      <c r="F6058" t="s">
        <v>1444</v>
      </c>
      <c r="G6058" t="s">
        <v>1444</v>
      </c>
      <c r="H6058" s="10">
        <v>5954012</v>
      </c>
      <c r="I6058" t="str">
        <f>IFERROR(VLOOKUP(Final!F6058,'LEAID Match'!$A$2:$B$374,2,FALSE),"")</f>
        <v/>
      </c>
      <c r="K6058" s="10">
        <f t="shared" si="94"/>
        <v>5954012</v>
      </c>
    </row>
    <row r="6059" spans="1:11">
      <c r="A6059" t="s">
        <v>2470</v>
      </c>
      <c r="B6059" s="10">
        <v>2021</v>
      </c>
      <c r="C6059" t="s">
        <v>356</v>
      </c>
      <c r="D6059" t="s">
        <v>2472</v>
      </c>
      <c r="E6059" t="s">
        <v>2474</v>
      </c>
      <c r="F6059" t="s">
        <v>1444</v>
      </c>
      <c r="G6059" t="s">
        <v>1444</v>
      </c>
      <c r="H6059" s="10">
        <v>6210377</v>
      </c>
      <c r="I6059" t="str">
        <f>IFERROR(VLOOKUP(Final!F6059,'LEAID Match'!$A$2:$B$374,2,FALSE),"")</f>
        <v/>
      </c>
      <c r="K6059" s="10">
        <f t="shared" si="94"/>
        <v>6210377</v>
      </c>
    </row>
    <row r="6060" spans="1:11">
      <c r="A6060" t="s">
        <v>2470</v>
      </c>
      <c r="B6060" s="10">
        <v>2022</v>
      </c>
      <c r="C6060" t="s">
        <v>356</v>
      </c>
      <c r="D6060" t="s">
        <v>2472</v>
      </c>
      <c r="E6060" t="s">
        <v>2474</v>
      </c>
      <c r="F6060" t="s">
        <v>1444</v>
      </c>
      <c r="G6060" t="s">
        <v>1444</v>
      </c>
      <c r="H6060" s="10">
        <v>6739546</v>
      </c>
      <c r="I6060" t="str">
        <f>IFERROR(VLOOKUP(Final!F6060,'LEAID Match'!$A$2:$B$374,2,FALSE),"")</f>
        <v/>
      </c>
      <c r="K6060" s="10">
        <f t="shared" si="94"/>
        <v>6739546</v>
      </c>
    </row>
    <row r="6061" spans="1:11">
      <c r="A6061" t="s">
        <v>2470</v>
      </c>
      <c r="B6061" s="10">
        <v>2023</v>
      </c>
      <c r="C6061" t="s">
        <v>356</v>
      </c>
      <c r="D6061" t="s">
        <v>2472</v>
      </c>
      <c r="E6061" t="s">
        <v>2474</v>
      </c>
      <c r="F6061" t="s">
        <v>1444</v>
      </c>
      <c r="G6061" t="s">
        <v>1444</v>
      </c>
      <c r="H6061" s="10">
        <v>7119424</v>
      </c>
      <c r="I6061" t="str">
        <f>IFERROR(VLOOKUP(Final!F6061,'LEAID Match'!$A$2:$B$374,2,FALSE),"")</f>
        <v/>
      </c>
      <c r="K6061" s="10">
        <f t="shared" si="94"/>
        <v>7119424</v>
      </c>
    </row>
    <row r="6062" spans="1:11">
      <c r="A6062" t="s">
        <v>2470</v>
      </c>
      <c r="B6062" s="10">
        <v>2015</v>
      </c>
      <c r="C6062" t="s">
        <v>1024</v>
      </c>
      <c r="D6062" t="s">
        <v>2472</v>
      </c>
      <c r="E6062" t="s">
        <v>2474</v>
      </c>
      <c r="F6062" t="s">
        <v>969</v>
      </c>
      <c r="G6062" t="s">
        <v>969</v>
      </c>
      <c r="H6062" s="10">
        <v>43221</v>
      </c>
      <c r="I6062" t="str">
        <f>IFERROR(VLOOKUP(Final!F6062,'LEAID Match'!$A$2:$B$374,2,FALSE),"")</f>
        <v/>
      </c>
      <c r="K6062" s="10">
        <f t="shared" si="94"/>
        <v>43221</v>
      </c>
    </row>
    <row r="6063" spans="1:11">
      <c r="A6063" t="s">
        <v>2470</v>
      </c>
      <c r="B6063" s="10">
        <v>2016</v>
      </c>
      <c r="C6063" t="s">
        <v>1024</v>
      </c>
      <c r="D6063" t="s">
        <v>2472</v>
      </c>
      <c r="E6063" t="s">
        <v>2474</v>
      </c>
      <c r="F6063" t="s">
        <v>969</v>
      </c>
      <c r="G6063" t="s">
        <v>969</v>
      </c>
      <c r="H6063" s="10">
        <v>51675</v>
      </c>
      <c r="I6063" t="str">
        <f>IFERROR(VLOOKUP(Final!F6063,'LEAID Match'!$A$2:$B$374,2,FALSE),"")</f>
        <v/>
      </c>
      <c r="K6063" s="10">
        <f t="shared" si="94"/>
        <v>51675</v>
      </c>
    </row>
    <row r="6064" spans="1:11">
      <c r="A6064" t="s">
        <v>2470</v>
      </c>
      <c r="B6064" s="10">
        <v>2017</v>
      </c>
      <c r="C6064" t="s">
        <v>1024</v>
      </c>
      <c r="D6064" t="s">
        <v>2472</v>
      </c>
      <c r="E6064" t="s">
        <v>2474</v>
      </c>
      <c r="F6064" t="s">
        <v>969</v>
      </c>
      <c r="G6064" t="s">
        <v>969</v>
      </c>
      <c r="H6064" s="10">
        <v>43935</v>
      </c>
      <c r="I6064" t="str">
        <f>IFERROR(VLOOKUP(Final!F6064,'LEAID Match'!$A$2:$B$374,2,FALSE),"")</f>
        <v/>
      </c>
      <c r="K6064" s="10">
        <f t="shared" si="94"/>
        <v>43935</v>
      </c>
    </row>
    <row r="6065" spans="1:11">
      <c r="A6065" t="s">
        <v>2470</v>
      </c>
      <c r="B6065" s="10">
        <v>2018</v>
      </c>
      <c r="C6065" t="s">
        <v>1024</v>
      </c>
      <c r="D6065" t="s">
        <v>2472</v>
      </c>
      <c r="E6065" t="s">
        <v>2474</v>
      </c>
      <c r="F6065" t="s">
        <v>969</v>
      </c>
      <c r="G6065" t="s">
        <v>969</v>
      </c>
      <c r="H6065" s="10">
        <v>59928</v>
      </c>
      <c r="I6065" t="str">
        <f>IFERROR(VLOOKUP(Final!F6065,'LEAID Match'!$A$2:$B$374,2,FALSE),"")</f>
        <v/>
      </c>
      <c r="K6065" s="10">
        <f t="shared" si="94"/>
        <v>59928</v>
      </c>
    </row>
    <row r="6066" spans="1:11">
      <c r="A6066" t="s">
        <v>2470</v>
      </c>
      <c r="B6066" s="10">
        <v>2019</v>
      </c>
      <c r="C6066" t="s">
        <v>1024</v>
      </c>
      <c r="D6066" t="s">
        <v>2472</v>
      </c>
      <c r="E6066" t="s">
        <v>2474</v>
      </c>
      <c r="F6066" t="s">
        <v>969</v>
      </c>
      <c r="G6066" t="s">
        <v>969</v>
      </c>
      <c r="H6066" s="10">
        <v>64183</v>
      </c>
      <c r="I6066" t="str">
        <f>IFERROR(VLOOKUP(Final!F6066,'LEAID Match'!$A$2:$B$374,2,FALSE),"")</f>
        <v/>
      </c>
      <c r="K6066" s="10">
        <f t="shared" si="94"/>
        <v>64183</v>
      </c>
    </row>
    <row r="6067" spans="1:11">
      <c r="A6067" t="s">
        <v>2470</v>
      </c>
      <c r="B6067" s="10">
        <v>2020</v>
      </c>
      <c r="C6067" t="s">
        <v>1024</v>
      </c>
      <c r="D6067" t="s">
        <v>2472</v>
      </c>
      <c r="E6067" t="s">
        <v>2474</v>
      </c>
      <c r="F6067" t="s">
        <v>969</v>
      </c>
      <c r="G6067" t="s">
        <v>969</v>
      </c>
      <c r="H6067" s="10">
        <v>76507</v>
      </c>
      <c r="I6067" t="str">
        <f>IFERROR(VLOOKUP(Final!F6067,'LEAID Match'!$A$2:$B$374,2,FALSE),"")</f>
        <v/>
      </c>
      <c r="K6067" s="10">
        <f t="shared" si="94"/>
        <v>76507</v>
      </c>
    </row>
    <row r="6068" spans="1:11">
      <c r="A6068" t="s">
        <v>2470</v>
      </c>
      <c r="B6068" s="10">
        <v>2021</v>
      </c>
      <c r="C6068" t="s">
        <v>1024</v>
      </c>
      <c r="D6068" t="s">
        <v>2472</v>
      </c>
      <c r="E6068" t="s">
        <v>2474</v>
      </c>
      <c r="F6068" t="s">
        <v>969</v>
      </c>
      <c r="G6068" t="s">
        <v>969</v>
      </c>
      <c r="H6068" s="10">
        <v>97552</v>
      </c>
      <c r="I6068" t="str">
        <f>IFERROR(VLOOKUP(Final!F6068,'LEAID Match'!$A$2:$B$374,2,FALSE),"")</f>
        <v/>
      </c>
      <c r="K6068" s="10">
        <f t="shared" si="94"/>
        <v>97552</v>
      </c>
    </row>
    <row r="6069" spans="1:11">
      <c r="A6069" t="s">
        <v>2470</v>
      </c>
      <c r="B6069" s="10">
        <v>2022</v>
      </c>
      <c r="C6069" t="s">
        <v>1024</v>
      </c>
      <c r="D6069" t="s">
        <v>2472</v>
      </c>
      <c r="E6069" t="s">
        <v>2474</v>
      </c>
      <c r="F6069" t="s">
        <v>969</v>
      </c>
      <c r="G6069" t="s">
        <v>969</v>
      </c>
      <c r="H6069" s="10">
        <v>96839</v>
      </c>
      <c r="I6069" t="str">
        <f>IFERROR(VLOOKUP(Final!F6069,'LEAID Match'!$A$2:$B$374,2,FALSE),"")</f>
        <v/>
      </c>
      <c r="K6069" s="10">
        <f t="shared" si="94"/>
        <v>96839</v>
      </c>
    </row>
    <row r="6070" spans="1:11">
      <c r="A6070" t="s">
        <v>2470</v>
      </c>
      <c r="B6070" s="10">
        <v>2023</v>
      </c>
      <c r="C6070" t="s">
        <v>1024</v>
      </c>
      <c r="D6070" t="s">
        <v>2472</v>
      </c>
      <c r="E6070" t="s">
        <v>2474</v>
      </c>
      <c r="F6070" t="s">
        <v>969</v>
      </c>
      <c r="G6070" t="s">
        <v>969</v>
      </c>
      <c r="H6070" s="10">
        <v>107795</v>
      </c>
      <c r="I6070" t="str">
        <f>IFERROR(VLOOKUP(Final!F6070,'LEAID Match'!$A$2:$B$374,2,FALSE),"")</f>
        <v/>
      </c>
      <c r="K6070" s="10">
        <f t="shared" si="94"/>
        <v>107795</v>
      </c>
    </row>
    <row r="6071" spans="1:11">
      <c r="A6071" t="s">
        <v>2470</v>
      </c>
      <c r="B6071" s="10">
        <v>2015</v>
      </c>
      <c r="C6071" t="s">
        <v>1143</v>
      </c>
      <c r="D6071" t="s">
        <v>2472</v>
      </c>
      <c r="E6071" t="s">
        <v>2474</v>
      </c>
      <c r="F6071" t="s">
        <v>1088</v>
      </c>
      <c r="G6071" t="s">
        <v>1088</v>
      </c>
      <c r="H6071" s="10">
        <v>181487</v>
      </c>
      <c r="I6071" t="str">
        <f>IFERROR(VLOOKUP(Final!F6071,'LEAID Match'!$A$2:$B$374,2,FALSE),"")</f>
        <v/>
      </c>
      <c r="K6071" s="10">
        <f t="shared" si="94"/>
        <v>181487</v>
      </c>
    </row>
    <row r="6072" spans="1:11">
      <c r="A6072" t="s">
        <v>2470</v>
      </c>
      <c r="B6072" s="10">
        <v>2016</v>
      </c>
      <c r="C6072" t="s">
        <v>1143</v>
      </c>
      <c r="D6072" t="s">
        <v>2472</v>
      </c>
      <c r="E6072" t="s">
        <v>2474</v>
      </c>
      <c r="F6072" t="s">
        <v>1088</v>
      </c>
      <c r="G6072" t="s">
        <v>1088</v>
      </c>
      <c r="H6072" s="10">
        <v>175657</v>
      </c>
      <c r="I6072" t="str">
        <f>IFERROR(VLOOKUP(Final!F6072,'LEAID Match'!$A$2:$B$374,2,FALSE),"")</f>
        <v/>
      </c>
      <c r="K6072" s="10">
        <f t="shared" si="94"/>
        <v>175657</v>
      </c>
    </row>
    <row r="6073" spans="1:11">
      <c r="A6073" t="s">
        <v>2470</v>
      </c>
      <c r="B6073" s="10">
        <v>2017</v>
      </c>
      <c r="C6073" t="s">
        <v>1143</v>
      </c>
      <c r="D6073" t="s">
        <v>2472</v>
      </c>
      <c r="E6073" t="s">
        <v>2474</v>
      </c>
      <c r="F6073" t="s">
        <v>1088</v>
      </c>
      <c r="G6073" t="s">
        <v>1088</v>
      </c>
      <c r="H6073" s="10">
        <v>206356</v>
      </c>
      <c r="I6073" t="str">
        <f>IFERROR(VLOOKUP(Final!F6073,'LEAID Match'!$A$2:$B$374,2,FALSE),"")</f>
        <v/>
      </c>
      <c r="K6073" s="10">
        <f t="shared" si="94"/>
        <v>206356</v>
      </c>
    </row>
    <row r="6074" spans="1:11">
      <c r="A6074" t="s">
        <v>2470</v>
      </c>
      <c r="B6074" s="10">
        <v>2018</v>
      </c>
      <c r="C6074" t="s">
        <v>1143</v>
      </c>
      <c r="D6074" t="s">
        <v>2472</v>
      </c>
      <c r="E6074" t="s">
        <v>2474</v>
      </c>
      <c r="F6074" t="s">
        <v>1088</v>
      </c>
      <c r="G6074" t="s">
        <v>1088</v>
      </c>
      <c r="H6074" s="10"/>
      <c r="I6074" t="str">
        <f>IFERROR(VLOOKUP(Final!F6074,'LEAID Match'!$A$2:$B$374,2,FALSE),"")</f>
        <v/>
      </c>
      <c r="K6074" s="10">
        <f t="shared" si="94"/>
        <v>0</v>
      </c>
    </row>
    <row r="6075" spans="1:11">
      <c r="A6075" t="s">
        <v>2470</v>
      </c>
      <c r="B6075" s="10">
        <v>2019</v>
      </c>
      <c r="C6075" t="s">
        <v>1143</v>
      </c>
      <c r="D6075" t="s">
        <v>2472</v>
      </c>
      <c r="E6075" t="s">
        <v>2474</v>
      </c>
      <c r="F6075" t="s">
        <v>1088</v>
      </c>
      <c r="G6075" t="s">
        <v>1088</v>
      </c>
      <c r="H6075" s="10"/>
      <c r="I6075" t="str">
        <f>IFERROR(VLOOKUP(Final!F6075,'LEAID Match'!$A$2:$B$374,2,FALSE),"")</f>
        <v/>
      </c>
      <c r="K6075" s="10">
        <f t="shared" si="94"/>
        <v>0</v>
      </c>
    </row>
    <row r="6076" spans="1:11">
      <c r="A6076" t="s">
        <v>2470</v>
      </c>
      <c r="B6076" s="10">
        <v>2020</v>
      </c>
      <c r="C6076" t="s">
        <v>1143</v>
      </c>
      <c r="D6076" t="s">
        <v>2472</v>
      </c>
      <c r="E6076" t="s">
        <v>2474</v>
      </c>
      <c r="F6076" t="s">
        <v>1088</v>
      </c>
      <c r="G6076" t="s">
        <v>1088</v>
      </c>
      <c r="H6076" s="10"/>
      <c r="I6076" t="str">
        <f>IFERROR(VLOOKUP(Final!F6076,'LEAID Match'!$A$2:$B$374,2,FALSE),"")</f>
        <v/>
      </c>
      <c r="K6076" s="10">
        <f t="shared" si="94"/>
        <v>0</v>
      </c>
    </row>
    <row r="6077" spans="1:11">
      <c r="A6077" t="s">
        <v>2470</v>
      </c>
      <c r="B6077" s="10">
        <v>2021</v>
      </c>
      <c r="C6077" t="s">
        <v>1143</v>
      </c>
      <c r="D6077" t="s">
        <v>2472</v>
      </c>
      <c r="E6077" t="s">
        <v>2474</v>
      </c>
      <c r="F6077" t="s">
        <v>1088</v>
      </c>
      <c r="G6077" t="s">
        <v>1088</v>
      </c>
      <c r="H6077" s="10"/>
      <c r="I6077" t="str">
        <f>IFERROR(VLOOKUP(Final!F6077,'LEAID Match'!$A$2:$B$374,2,FALSE),"")</f>
        <v/>
      </c>
      <c r="K6077" s="10">
        <f t="shared" si="94"/>
        <v>0</v>
      </c>
    </row>
    <row r="6078" spans="1:11">
      <c r="A6078" t="s">
        <v>2470</v>
      </c>
      <c r="B6078" s="10">
        <v>2022</v>
      </c>
      <c r="C6078" t="s">
        <v>1143</v>
      </c>
      <c r="D6078" t="s">
        <v>2472</v>
      </c>
      <c r="E6078" t="s">
        <v>2474</v>
      </c>
      <c r="F6078" t="s">
        <v>1088</v>
      </c>
      <c r="G6078" t="s">
        <v>1088</v>
      </c>
      <c r="H6078" s="10"/>
      <c r="I6078" t="str">
        <f>IFERROR(VLOOKUP(Final!F6078,'LEAID Match'!$A$2:$B$374,2,FALSE),"")</f>
        <v/>
      </c>
      <c r="K6078" s="10">
        <f t="shared" si="94"/>
        <v>0</v>
      </c>
    </row>
    <row r="6079" spans="1:11">
      <c r="A6079" t="s">
        <v>2470</v>
      </c>
      <c r="B6079" s="10">
        <v>2023</v>
      </c>
      <c r="C6079" t="s">
        <v>1143</v>
      </c>
      <c r="D6079" t="s">
        <v>2472</v>
      </c>
      <c r="E6079" t="s">
        <v>2474</v>
      </c>
      <c r="F6079" t="s">
        <v>1088</v>
      </c>
      <c r="G6079" t="s">
        <v>1088</v>
      </c>
      <c r="H6079" s="10"/>
      <c r="I6079" t="str">
        <f>IFERROR(VLOOKUP(Final!F6079,'LEAID Match'!$A$2:$B$374,2,FALSE),"")</f>
        <v/>
      </c>
      <c r="K6079" s="10">
        <f t="shared" si="94"/>
        <v>0</v>
      </c>
    </row>
    <row r="6080" spans="1:11">
      <c r="A6080" t="s">
        <v>2470</v>
      </c>
      <c r="B6080" s="10">
        <v>2015</v>
      </c>
      <c r="C6080" t="s">
        <v>1142</v>
      </c>
      <c r="D6080" t="s">
        <v>2472</v>
      </c>
      <c r="E6080" t="s">
        <v>2474</v>
      </c>
      <c r="F6080" t="s">
        <v>1087</v>
      </c>
      <c r="G6080" t="s">
        <v>1087</v>
      </c>
      <c r="H6080" s="10">
        <v>46006</v>
      </c>
      <c r="I6080" t="str">
        <f>IFERROR(VLOOKUP(Final!F6080,'LEAID Match'!$A$2:$B$374,2,FALSE),"")</f>
        <v/>
      </c>
      <c r="K6080" s="10">
        <f t="shared" si="94"/>
        <v>46006</v>
      </c>
    </row>
    <row r="6081" spans="1:11">
      <c r="A6081" t="s">
        <v>2470</v>
      </c>
      <c r="B6081" s="10">
        <v>2016</v>
      </c>
      <c r="C6081" t="s">
        <v>1142</v>
      </c>
      <c r="D6081" t="s">
        <v>2472</v>
      </c>
      <c r="E6081" t="s">
        <v>2474</v>
      </c>
      <c r="F6081" t="s">
        <v>1087</v>
      </c>
      <c r="G6081" t="s">
        <v>1087</v>
      </c>
      <c r="H6081" s="10">
        <v>41482</v>
      </c>
      <c r="I6081" t="str">
        <f>IFERROR(VLOOKUP(Final!F6081,'LEAID Match'!$A$2:$B$374,2,FALSE),"")</f>
        <v/>
      </c>
      <c r="K6081" s="10">
        <f t="shared" si="94"/>
        <v>41482</v>
      </c>
    </row>
    <row r="6082" spans="1:11">
      <c r="A6082" t="s">
        <v>2470</v>
      </c>
      <c r="B6082" s="10">
        <v>2017</v>
      </c>
      <c r="C6082" t="s">
        <v>1142</v>
      </c>
      <c r="D6082" t="s">
        <v>2472</v>
      </c>
      <c r="E6082" t="s">
        <v>2474</v>
      </c>
      <c r="F6082" t="s">
        <v>1087</v>
      </c>
      <c r="G6082" t="s">
        <v>1087</v>
      </c>
      <c r="H6082" s="10">
        <v>75608</v>
      </c>
      <c r="I6082" t="str">
        <f>IFERROR(VLOOKUP(Final!F6082,'LEAID Match'!$A$2:$B$374,2,FALSE),"")</f>
        <v/>
      </c>
      <c r="K6082" s="10">
        <f t="shared" si="94"/>
        <v>75608</v>
      </c>
    </row>
    <row r="6083" spans="1:11">
      <c r="A6083" t="s">
        <v>2470</v>
      </c>
      <c r="B6083" s="10">
        <v>2018</v>
      </c>
      <c r="C6083" t="s">
        <v>1142</v>
      </c>
      <c r="D6083" t="s">
        <v>2472</v>
      </c>
      <c r="E6083" t="s">
        <v>2474</v>
      </c>
      <c r="F6083" t="s">
        <v>1087</v>
      </c>
      <c r="G6083" t="s">
        <v>1087</v>
      </c>
      <c r="H6083" s="10">
        <v>122839</v>
      </c>
      <c r="I6083" t="str">
        <f>IFERROR(VLOOKUP(Final!F6083,'LEAID Match'!$A$2:$B$374,2,FALSE),"")</f>
        <v/>
      </c>
      <c r="K6083" s="10">
        <f t="shared" ref="K6083:K6146" si="95">SUM(H6083,J6083)</f>
        <v>122839</v>
      </c>
    </row>
    <row r="6084" spans="1:11">
      <c r="A6084" t="s">
        <v>2470</v>
      </c>
      <c r="B6084" s="10">
        <v>2019</v>
      </c>
      <c r="C6084" t="s">
        <v>1142</v>
      </c>
      <c r="D6084" t="s">
        <v>2472</v>
      </c>
      <c r="E6084" t="s">
        <v>2474</v>
      </c>
      <c r="F6084" t="s">
        <v>1087</v>
      </c>
      <c r="G6084" t="s">
        <v>1087</v>
      </c>
      <c r="H6084" s="10">
        <v>152951</v>
      </c>
      <c r="I6084" t="str">
        <f>IFERROR(VLOOKUP(Final!F6084,'LEAID Match'!$A$2:$B$374,2,FALSE),"")</f>
        <v/>
      </c>
      <c r="K6084" s="10">
        <f t="shared" si="95"/>
        <v>152951</v>
      </c>
    </row>
    <row r="6085" spans="1:11">
      <c r="A6085" t="s">
        <v>2470</v>
      </c>
      <c r="B6085" s="10">
        <v>2020</v>
      </c>
      <c r="C6085" t="s">
        <v>1142</v>
      </c>
      <c r="D6085" t="s">
        <v>2472</v>
      </c>
      <c r="E6085" t="s">
        <v>2474</v>
      </c>
      <c r="F6085" t="s">
        <v>1087</v>
      </c>
      <c r="G6085" t="s">
        <v>1087</v>
      </c>
      <c r="H6085" s="10">
        <v>191844</v>
      </c>
      <c r="I6085" t="str">
        <f>IFERROR(VLOOKUP(Final!F6085,'LEAID Match'!$A$2:$B$374,2,FALSE),"")</f>
        <v/>
      </c>
      <c r="K6085" s="10">
        <f t="shared" si="95"/>
        <v>191844</v>
      </c>
    </row>
    <row r="6086" spans="1:11">
      <c r="A6086" t="s">
        <v>2470</v>
      </c>
      <c r="B6086" s="10">
        <v>2021</v>
      </c>
      <c r="C6086" t="s">
        <v>1142</v>
      </c>
      <c r="D6086" t="s">
        <v>2472</v>
      </c>
      <c r="E6086" t="s">
        <v>2474</v>
      </c>
      <c r="F6086" t="s">
        <v>1087</v>
      </c>
      <c r="G6086" t="s">
        <v>1087</v>
      </c>
      <c r="H6086" s="10">
        <v>212695</v>
      </c>
      <c r="I6086" t="str">
        <f>IFERROR(VLOOKUP(Final!F6086,'LEAID Match'!$A$2:$B$374,2,FALSE),"")</f>
        <v/>
      </c>
      <c r="K6086" s="10">
        <f t="shared" si="95"/>
        <v>212695</v>
      </c>
    </row>
    <row r="6087" spans="1:11">
      <c r="A6087" t="s">
        <v>2470</v>
      </c>
      <c r="B6087" s="10">
        <v>2022</v>
      </c>
      <c r="C6087" t="s">
        <v>1142</v>
      </c>
      <c r="D6087" t="s">
        <v>2472</v>
      </c>
      <c r="E6087" t="s">
        <v>2474</v>
      </c>
      <c r="F6087" t="s">
        <v>1087</v>
      </c>
      <c r="G6087" t="s">
        <v>1087</v>
      </c>
      <c r="H6087" s="10">
        <v>230378</v>
      </c>
      <c r="I6087" t="str">
        <f>IFERROR(VLOOKUP(Final!F6087,'LEAID Match'!$A$2:$B$374,2,FALSE),"")</f>
        <v/>
      </c>
      <c r="K6087" s="10">
        <f t="shared" si="95"/>
        <v>230378</v>
      </c>
    </row>
    <row r="6088" spans="1:11">
      <c r="A6088" t="s">
        <v>2470</v>
      </c>
      <c r="B6088" s="10">
        <v>2023</v>
      </c>
      <c r="C6088" t="s">
        <v>1142</v>
      </c>
      <c r="D6088" t="s">
        <v>2472</v>
      </c>
      <c r="E6088" t="s">
        <v>2474</v>
      </c>
      <c r="F6088" t="s">
        <v>1087</v>
      </c>
      <c r="G6088" t="s">
        <v>1087</v>
      </c>
      <c r="H6088" s="10">
        <v>255197</v>
      </c>
      <c r="I6088" t="str">
        <f>IFERROR(VLOOKUP(Final!F6088,'LEAID Match'!$A$2:$B$374,2,FALSE),"")</f>
        <v/>
      </c>
      <c r="K6088" s="10">
        <f t="shared" si="95"/>
        <v>255197</v>
      </c>
    </row>
    <row r="6089" spans="1:11">
      <c r="A6089" t="s">
        <v>2470</v>
      </c>
      <c r="B6089" s="10">
        <v>2015</v>
      </c>
      <c r="C6089" t="s">
        <v>1150</v>
      </c>
      <c r="D6089" t="s">
        <v>2472</v>
      </c>
      <c r="E6089" t="s">
        <v>2474</v>
      </c>
      <c r="F6089" t="s">
        <v>1976</v>
      </c>
      <c r="G6089" t="s">
        <v>1095</v>
      </c>
      <c r="H6089" s="10">
        <v>169311</v>
      </c>
      <c r="I6089" t="str">
        <f>IFERROR(VLOOKUP(Final!F6089,'LEAID Match'!$A$2:$B$374,2,FALSE),"")</f>
        <v/>
      </c>
      <c r="K6089" s="10">
        <f t="shared" si="95"/>
        <v>169311</v>
      </c>
    </row>
    <row r="6090" spans="1:11">
      <c r="A6090" t="s">
        <v>2470</v>
      </c>
      <c r="B6090" s="10">
        <v>2016</v>
      </c>
      <c r="C6090" t="s">
        <v>1150</v>
      </c>
      <c r="D6090" t="s">
        <v>2472</v>
      </c>
      <c r="E6090" t="s">
        <v>2474</v>
      </c>
      <c r="F6090" t="s">
        <v>1976</v>
      </c>
      <c r="G6090" t="s">
        <v>1095</v>
      </c>
      <c r="H6090" s="10">
        <v>165498</v>
      </c>
      <c r="I6090" t="str">
        <f>IFERROR(VLOOKUP(Final!F6090,'LEAID Match'!$A$2:$B$374,2,FALSE),"")</f>
        <v/>
      </c>
      <c r="K6090" s="10">
        <f t="shared" si="95"/>
        <v>165498</v>
      </c>
    </row>
    <row r="6091" spans="1:11">
      <c r="A6091" t="s">
        <v>2470</v>
      </c>
      <c r="B6091" s="10">
        <v>2017</v>
      </c>
      <c r="C6091" t="s">
        <v>1150</v>
      </c>
      <c r="D6091" t="s">
        <v>2472</v>
      </c>
      <c r="E6091" t="s">
        <v>2474</v>
      </c>
      <c r="F6091" t="s">
        <v>1976</v>
      </c>
      <c r="G6091" t="s">
        <v>1976</v>
      </c>
      <c r="H6091" s="10">
        <v>181640</v>
      </c>
      <c r="I6091" t="str">
        <f>IFERROR(VLOOKUP(Final!F6091,'LEAID Match'!$A$2:$B$374,2,FALSE),"")</f>
        <v/>
      </c>
      <c r="K6091" s="10">
        <f t="shared" si="95"/>
        <v>181640</v>
      </c>
    </row>
    <row r="6092" spans="1:11">
      <c r="A6092" t="s">
        <v>2470</v>
      </c>
      <c r="B6092" s="10">
        <v>2018</v>
      </c>
      <c r="C6092" t="s">
        <v>1150</v>
      </c>
      <c r="D6092" t="s">
        <v>2472</v>
      </c>
      <c r="E6092" t="s">
        <v>2474</v>
      </c>
      <c r="F6092" t="s">
        <v>1976</v>
      </c>
      <c r="G6092" t="s">
        <v>2322</v>
      </c>
      <c r="H6092" s="10">
        <v>181051</v>
      </c>
      <c r="I6092" t="str">
        <f>IFERROR(VLOOKUP(Final!F6092,'LEAID Match'!$A$2:$B$374,2,FALSE),"")</f>
        <v/>
      </c>
      <c r="K6092" s="10">
        <f t="shared" si="95"/>
        <v>181051</v>
      </c>
    </row>
    <row r="6093" spans="1:11">
      <c r="A6093" t="s">
        <v>2470</v>
      </c>
      <c r="B6093" s="10">
        <v>2019</v>
      </c>
      <c r="C6093" t="s">
        <v>1150</v>
      </c>
      <c r="D6093" t="s">
        <v>2472</v>
      </c>
      <c r="E6093" t="s">
        <v>2474</v>
      </c>
      <c r="F6093" t="s">
        <v>1976</v>
      </c>
      <c r="G6093" t="s">
        <v>2392</v>
      </c>
      <c r="H6093" s="10">
        <v>183086</v>
      </c>
      <c r="I6093" t="str">
        <f>IFERROR(VLOOKUP(Final!F6093,'LEAID Match'!$A$2:$B$374,2,FALSE),"")</f>
        <v/>
      </c>
      <c r="K6093" s="10">
        <f t="shared" si="95"/>
        <v>183086</v>
      </c>
    </row>
    <row r="6094" spans="1:11">
      <c r="A6094" t="s">
        <v>2470</v>
      </c>
      <c r="B6094" s="10">
        <v>2020</v>
      </c>
      <c r="C6094" t="s">
        <v>1150</v>
      </c>
      <c r="D6094" t="s">
        <v>2472</v>
      </c>
      <c r="E6094" t="s">
        <v>2474</v>
      </c>
      <c r="F6094" t="s">
        <v>1976</v>
      </c>
      <c r="G6094" t="s">
        <v>1976</v>
      </c>
      <c r="H6094" s="10">
        <v>183914</v>
      </c>
      <c r="I6094" t="str">
        <f>IFERROR(VLOOKUP(Final!F6094,'LEAID Match'!$A$2:$B$374,2,FALSE),"")</f>
        <v/>
      </c>
      <c r="K6094" s="10">
        <f t="shared" si="95"/>
        <v>183914</v>
      </c>
    </row>
    <row r="6095" spans="1:11">
      <c r="A6095" t="s">
        <v>2470</v>
      </c>
      <c r="B6095" s="10">
        <v>2021</v>
      </c>
      <c r="C6095" t="s">
        <v>1150</v>
      </c>
      <c r="D6095" t="s">
        <v>2472</v>
      </c>
      <c r="E6095" t="s">
        <v>2474</v>
      </c>
      <c r="F6095" t="s">
        <v>1976</v>
      </c>
      <c r="G6095" t="s">
        <v>2392</v>
      </c>
      <c r="H6095" s="10">
        <v>186166</v>
      </c>
      <c r="I6095" t="str">
        <f>IFERROR(VLOOKUP(Final!F6095,'LEAID Match'!$A$2:$B$374,2,FALSE),"")</f>
        <v/>
      </c>
      <c r="K6095" s="10">
        <f t="shared" si="95"/>
        <v>186166</v>
      </c>
    </row>
    <row r="6096" spans="1:11">
      <c r="A6096" t="s">
        <v>2470</v>
      </c>
      <c r="B6096" s="10">
        <v>2022</v>
      </c>
      <c r="C6096" t="s">
        <v>1150</v>
      </c>
      <c r="D6096" t="s">
        <v>2472</v>
      </c>
      <c r="E6096" t="s">
        <v>2474</v>
      </c>
      <c r="F6096" t="s">
        <v>1976</v>
      </c>
      <c r="G6096" t="s">
        <v>1976</v>
      </c>
      <c r="H6096" s="10">
        <v>208925</v>
      </c>
      <c r="I6096" t="str">
        <f>IFERROR(VLOOKUP(Final!F6096,'LEAID Match'!$A$2:$B$374,2,FALSE),"")</f>
        <v/>
      </c>
      <c r="K6096" s="10">
        <f t="shared" si="95"/>
        <v>208925</v>
      </c>
    </row>
    <row r="6097" spans="1:11">
      <c r="A6097" t="s">
        <v>2470</v>
      </c>
      <c r="B6097" s="10">
        <v>2023</v>
      </c>
      <c r="C6097" t="s">
        <v>1150</v>
      </c>
      <c r="D6097" t="s">
        <v>2472</v>
      </c>
      <c r="E6097" t="s">
        <v>2474</v>
      </c>
      <c r="F6097" t="s">
        <v>1976</v>
      </c>
      <c r="G6097" t="s">
        <v>1976</v>
      </c>
      <c r="H6097" s="10">
        <v>232405</v>
      </c>
      <c r="I6097" t="str">
        <f>IFERROR(VLOOKUP(Final!F6097,'LEAID Match'!$A$2:$B$374,2,FALSE),"")</f>
        <v/>
      </c>
      <c r="K6097" s="10">
        <f t="shared" si="95"/>
        <v>232405</v>
      </c>
    </row>
    <row r="6098" spans="1:11">
      <c r="A6098" t="s">
        <v>2470</v>
      </c>
      <c r="B6098" s="10">
        <v>2015</v>
      </c>
      <c r="C6098" t="s">
        <v>1040</v>
      </c>
      <c r="D6098" t="s">
        <v>2472</v>
      </c>
      <c r="E6098" t="s">
        <v>2474</v>
      </c>
      <c r="F6098" t="s">
        <v>985</v>
      </c>
      <c r="G6098" t="s">
        <v>985</v>
      </c>
      <c r="H6098" s="10">
        <v>132579</v>
      </c>
      <c r="I6098" t="str">
        <f>IFERROR(VLOOKUP(Final!F6098,'LEAID Match'!$A$2:$B$374,2,FALSE),"")</f>
        <v/>
      </c>
      <c r="K6098" s="10">
        <f t="shared" si="95"/>
        <v>132579</v>
      </c>
    </row>
    <row r="6099" spans="1:11">
      <c r="A6099" t="s">
        <v>2470</v>
      </c>
      <c r="B6099" s="10">
        <v>2016</v>
      </c>
      <c r="C6099" t="s">
        <v>1040</v>
      </c>
      <c r="D6099" t="s">
        <v>2472</v>
      </c>
      <c r="E6099" t="s">
        <v>2474</v>
      </c>
      <c r="F6099" t="s">
        <v>985</v>
      </c>
      <c r="G6099" t="s">
        <v>985</v>
      </c>
      <c r="H6099" s="10">
        <v>142462</v>
      </c>
      <c r="I6099" t="str">
        <f>IFERROR(VLOOKUP(Final!F6099,'LEAID Match'!$A$2:$B$374,2,FALSE),"")</f>
        <v/>
      </c>
      <c r="K6099" s="10">
        <f t="shared" si="95"/>
        <v>142462</v>
      </c>
    </row>
    <row r="6100" spans="1:11">
      <c r="A6100" t="s">
        <v>2470</v>
      </c>
      <c r="B6100" s="10">
        <v>2017</v>
      </c>
      <c r="C6100" t="s">
        <v>1040</v>
      </c>
      <c r="D6100" t="s">
        <v>2472</v>
      </c>
      <c r="E6100" t="s">
        <v>2474</v>
      </c>
      <c r="F6100" t="s">
        <v>985</v>
      </c>
      <c r="G6100" t="s">
        <v>985</v>
      </c>
      <c r="H6100" s="10">
        <v>148310</v>
      </c>
      <c r="I6100" t="str">
        <f>IFERROR(VLOOKUP(Final!F6100,'LEAID Match'!$A$2:$B$374,2,FALSE),"")</f>
        <v/>
      </c>
      <c r="K6100" s="10">
        <f t="shared" si="95"/>
        <v>148310</v>
      </c>
    </row>
    <row r="6101" spans="1:11">
      <c r="A6101" t="s">
        <v>2470</v>
      </c>
      <c r="B6101" s="10">
        <v>2018</v>
      </c>
      <c r="C6101" t="s">
        <v>1040</v>
      </c>
      <c r="D6101" t="s">
        <v>2472</v>
      </c>
      <c r="E6101" t="s">
        <v>2474</v>
      </c>
      <c r="F6101" t="s">
        <v>985</v>
      </c>
      <c r="G6101" t="s">
        <v>985</v>
      </c>
      <c r="H6101" s="10">
        <v>159984</v>
      </c>
      <c r="I6101" t="str">
        <f>IFERROR(VLOOKUP(Final!F6101,'LEAID Match'!$A$2:$B$374,2,FALSE),"")</f>
        <v/>
      </c>
      <c r="K6101" s="10">
        <f t="shared" si="95"/>
        <v>159984</v>
      </c>
    </row>
    <row r="6102" spans="1:11">
      <c r="A6102" t="s">
        <v>2470</v>
      </c>
      <c r="B6102" s="10">
        <v>2019</v>
      </c>
      <c r="C6102" t="s">
        <v>1040</v>
      </c>
      <c r="D6102" t="s">
        <v>2472</v>
      </c>
      <c r="E6102" t="s">
        <v>2474</v>
      </c>
      <c r="F6102" t="s">
        <v>985</v>
      </c>
      <c r="G6102" t="s">
        <v>985</v>
      </c>
      <c r="H6102" s="10">
        <v>177939</v>
      </c>
      <c r="I6102" t="str">
        <f>IFERROR(VLOOKUP(Final!F6102,'LEAID Match'!$A$2:$B$374,2,FALSE),"")</f>
        <v/>
      </c>
      <c r="K6102" s="10">
        <f t="shared" si="95"/>
        <v>177939</v>
      </c>
    </row>
    <row r="6103" spans="1:11">
      <c r="A6103" t="s">
        <v>2470</v>
      </c>
      <c r="B6103" s="10">
        <v>2020</v>
      </c>
      <c r="C6103" t="s">
        <v>1040</v>
      </c>
      <c r="D6103" t="s">
        <v>2472</v>
      </c>
      <c r="E6103" t="s">
        <v>2474</v>
      </c>
      <c r="F6103" t="s">
        <v>985</v>
      </c>
      <c r="G6103" t="s">
        <v>985</v>
      </c>
      <c r="H6103" s="10">
        <v>188400</v>
      </c>
      <c r="I6103" t="str">
        <f>IFERROR(VLOOKUP(Final!F6103,'LEAID Match'!$A$2:$B$374,2,FALSE),"")</f>
        <v/>
      </c>
      <c r="K6103" s="10">
        <f t="shared" si="95"/>
        <v>188400</v>
      </c>
    </row>
    <row r="6104" spans="1:11">
      <c r="A6104" t="s">
        <v>2470</v>
      </c>
      <c r="B6104" s="10">
        <v>2021</v>
      </c>
      <c r="C6104" t="s">
        <v>1040</v>
      </c>
      <c r="D6104" t="s">
        <v>2472</v>
      </c>
      <c r="E6104" t="s">
        <v>2474</v>
      </c>
      <c r="F6104" t="s">
        <v>985</v>
      </c>
      <c r="G6104" t="s">
        <v>985</v>
      </c>
      <c r="H6104" s="10">
        <v>189963</v>
      </c>
      <c r="I6104" t="str">
        <f>IFERROR(VLOOKUP(Final!F6104,'LEAID Match'!$A$2:$B$374,2,FALSE),"")</f>
        <v/>
      </c>
      <c r="K6104" s="10">
        <f t="shared" si="95"/>
        <v>189963</v>
      </c>
    </row>
    <row r="6105" spans="1:11">
      <c r="A6105" t="s">
        <v>2470</v>
      </c>
      <c r="B6105" s="10">
        <v>2022</v>
      </c>
      <c r="C6105" t="s">
        <v>1040</v>
      </c>
      <c r="D6105" t="s">
        <v>2472</v>
      </c>
      <c r="E6105" t="s">
        <v>2474</v>
      </c>
      <c r="F6105" t="s">
        <v>985</v>
      </c>
      <c r="G6105" t="s">
        <v>985</v>
      </c>
      <c r="H6105" s="10">
        <v>204585</v>
      </c>
      <c r="I6105" t="str">
        <f>IFERROR(VLOOKUP(Final!F6105,'LEAID Match'!$A$2:$B$374,2,FALSE),"")</f>
        <v/>
      </c>
      <c r="K6105" s="10">
        <f t="shared" si="95"/>
        <v>204585</v>
      </c>
    </row>
    <row r="6106" spans="1:11">
      <c r="A6106" t="s">
        <v>2470</v>
      </c>
      <c r="B6106" s="10">
        <v>2023</v>
      </c>
      <c r="C6106" t="s">
        <v>1040</v>
      </c>
      <c r="D6106" t="s">
        <v>2472</v>
      </c>
      <c r="E6106" t="s">
        <v>2474</v>
      </c>
      <c r="F6106" t="s">
        <v>985</v>
      </c>
      <c r="G6106" t="s">
        <v>985</v>
      </c>
      <c r="H6106" s="10">
        <v>226969</v>
      </c>
      <c r="I6106" t="str">
        <f>IFERROR(VLOOKUP(Final!F6106,'LEAID Match'!$A$2:$B$374,2,FALSE),"")</f>
        <v/>
      </c>
      <c r="K6106" s="10">
        <f t="shared" si="95"/>
        <v>226969</v>
      </c>
    </row>
    <row r="6107" spans="1:11">
      <c r="A6107" t="s">
        <v>2470</v>
      </c>
      <c r="B6107" s="10">
        <v>2015</v>
      </c>
      <c r="C6107" t="s">
        <v>366</v>
      </c>
      <c r="D6107" t="s">
        <v>2472</v>
      </c>
      <c r="E6107" t="s">
        <v>2474</v>
      </c>
      <c r="F6107" t="s">
        <v>312</v>
      </c>
      <c r="G6107" t="s">
        <v>312</v>
      </c>
      <c r="H6107" s="10">
        <v>1605</v>
      </c>
      <c r="I6107" t="str">
        <f>IFERROR(VLOOKUP(Final!F6107,'LEAID Match'!$A$2:$B$374,2,FALSE),"")</f>
        <v/>
      </c>
      <c r="K6107" s="10">
        <f t="shared" si="95"/>
        <v>1605</v>
      </c>
    </row>
    <row r="6108" spans="1:11">
      <c r="A6108" t="s">
        <v>2470</v>
      </c>
      <c r="B6108" s="10">
        <v>2016</v>
      </c>
      <c r="C6108" t="s">
        <v>366</v>
      </c>
      <c r="D6108" t="s">
        <v>2472</v>
      </c>
      <c r="E6108" t="s">
        <v>2474</v>
      </c>
      <c r="F6108" t="s">
        <v>312</v>
      </c>
      <c r="G6108" t="s">
        <v>312</v>
      </c>
      <c r="H6108" s="10">
        <v>2083</v>
      </c>
      <c r="I6108" t="str">
        <f>IFERROR(VLOOKUP(Final!F6108,'LEAID Match'!$A$2:$B$374,2,FALSE),"")</f>
        <v/>
      </c>
      <c r="K6108" s="10">
        <f t="shared" si="95"/>
        <v>2083</v>
      </c>
    </row>
    <row r="6109" spans="1:11">
      <c r="A6109" t="s">
        <v>2470</v>
      </c>
      <c r="B6109" s="10">
        <v>2017</v>
      </c>
      <c r="C6109" t="s">
        <v>366</v>
      </c>
      <c r="D6109" t="s">
        <v>2472</v>
      </c>
      <c r="E6109" t="s">
        <v>2474</v>
      </c>
      <c r="F6109" t="s">
        <v>312</v>
      </c>
      <c r="G6109" t="s">
        <v>312</v>
      </c>
      <c r="H6109" s="10">
        <v>3189</v>
      </c>
      <c r="I6109" t="str">
        <f>IFERROR(VLOOKUP(Final!F6109,'LEAID Match'!$A$2:$B$374,2,FALSE),"")</f>
        <v/>
      </c>
      <c r="K6109" s="10">
        <f t="shared" si="95"/>
        <v>3189</v>
      </c>
    </row>
    <row r="6110" spans="1:11">
      <c r="A6110" t="s">
        <v>2470</v>
      </c>
      <c r="B6110" s="10">
        <v>2018</v>
      </c>
      <c r="C6110" t="s">
        <v>366</v>
      </c>
      <c r="D6110" t="s">
        <v>2472</v>
      </c>
      <c r="E6110" t="s">
        <v>2474</v>
      </c>
      <c r="F6110" t="s">
        <v>312</v>
      </c>
      <c r="G6110" t="s">
        <v>312</v>
      </c>
      <c r="H6110" s="10">
        <v>3269</v>
      </c>
      <c r="I6110" t="str">
        <f>IFERROR(VLOOKUP(Final!F6110,'LEAID Match'!$A$2:$B$374,2,FALSE),"")</f>
        <v/>
      </c>
      <c r="K6110" s="10">
        <f t="shared" si="95"/>
        <v>3269</v>
      </c>
    </row>
    <row r="6111" spans="1:11">
      <c r="A6111" t="s">
        <v>2470</v>
      </c>
      <c r="B6111" s="10">
        <v>2019</v>
      </c>
      <c r="C6111" t="s">
        <v>366</v>
      </c>
      <c r="D6111" t="s">
        <v>2472</v>
      </c>
      <c r="E6111" t="s">
        <v>2474</v>
      </c>
      <c r="F6111" t="s">
        <v>312</v>
      </c>
      <c r="G6111" t="s">
        <v>312</v>
      </c>
      <c r="H6111" s="10">
        <v>3562</v>
      </c>
      <c r="I6111" t="str">
        <f>IFERROR(VLOOKUP(Final!F6111,'LEAID Match'!$A$2:$B$374,2,FALSE),"")</f>
        <v/>
      </c>
      <c r="K6111" s="10">
        <f t="shared" si="95"/>
        <v>3562</v>
      </c>
    </row>
    <row r="6112" spans="1:11">
      <c r="A6112" t="s">
        <v>2470</v>
      </c>
      <c r="B6112" s="10">
        <v>2020</v>
      </c>
      <c r="C6112" t="s">
        <v>366</v>
      </c>
      <c r="D6112" t="s">
        <v>2472</v>
      </c>
      <c r="E6112" t="s">
        <v>2474</v>
      </c>
      <c r="F6112" t="s">
        <v>312</v>
      </c>
      <c r="G6112" t="s">
        <v>312</v>
      </c>
      <c r="H6112" s="10">
        <v>4813</v>
      </c>
      <c r="I6112" t="str">
        <f>IFERROR(VLOOKUP(Final!F6112,'LEAID Match'!$A$2:$B$374,2,FALSE),"")</f>
        <v/>
      </c>
      <c r="K6112" s="10">
        <f t="shared" si="95"/>
        <v>4813</v>
      </c>
    </row>
    <row r="6113" spans="1:11">
      <c r="A6113" t="s">
        <v>2470</v>
      </c>
      <c r="B6113" s="10">
        <v>2021</v>
      </c>
      <c r="C6113" t="s">
        <v>366</v>
      </c>
      <c r="D6113" t="s">
        <v>2472</v>
      </c>
      <c r="E6113" t="s">
        <v>2474</v>
      </c>
      <c r="F6113" t="s">
        <v>312</v>
      </c>
      <c r="G6113" t="s">
        <v>312</v>
      </c>
      <c r="H6113" s="10">
        <v>5149</v>
      </c>
      <c r="I6113" t="str">
        <f>IFERROR(VLOOKUP(Final!F6113,'LEAID Match'!$A$2:$B$374,2,FALSE),"")</f>
        <v/>
      </c>
      <c r="K6113" s="10">
        <f t="shared" si="95"/>
        <v>5149</v>
      </c>
    </row>
    <row r="6114" spans="1:11">
      <c r="A6114" t="s">
        <v>2470</v>
      </c>
      <c r="B6114" s="10">
        <v>2022</v>
      </c>
      <c r="C6114" t="s">
        <v>366</v>
      </c>
      <c r="D6114" t="s">
        <v>2472</v>
      </c>
      <c r="E6114" t="s">
        <v>2474</v>
      </c>
      <c r="F6114" t="s">
        <v>312</v>
      </c>
      <c r="G6114" t="s">
        <v>312</v>
      </c>
      <c r="H6114" s="10">
        <v>5573</v>
      </c>
      <c r="I6114" t="str">
        <f>IFERROR(VLOOKUP(Final!F6114,'LEAID Match'!$A$2:$B$374,2,FALSE),"")</f>
        <v/>
      </c>
      <c r="K6114" s="10">
        <f t="shared" si="95"/>
        <v>5573</v>
      </c>
    </row>
    <row r="6115" spans="1:11">
      <c r="A6115" t="s">
        <v>2470</v>
      </c>
      <c r="B6115" s="10">
        <v>2023</v>
      </c>
      <c r="C6115" t="s">
        <v>366</v>
      </c>
      <c r="D6115" t="s">
        <v>2472</v>
      </c>
      <c r="E6115" t="s">
        <v>2474</v>
      </c>
      <c r="F6115" t="s">
        <v>312</v>
      </c>
      <c r="G6115" t="s">
        <v>312</v>
      </c>
      <c r="H6115" s="10">
        <v>5809</v>
      </c>
      <c r="I6115" t="str">
        <f>IFERROR(VLOOKUP(Final!F6115,'LEAID Match'!$A$2:$B$374,2,FALSE),"")</f>
        <v/>
      </c>
      <c r="K6115" s="10">
        <f t="shared" si="95"/>
        <v>5809</v>
      </c>
    </row>
    <row r="6116" spans="1:11">
      <c r="A6116" t="s">
        <v>2470</v>
      </c>
      <c r="B6116" s="10">
        <v>2015</v>
      </c>
      <c r="C6116" t="s">
        <v>174</v>
      </c>
      <c r="D6116" t="s">
        <v>2472</v>
      </c>
      <c r="E6116" t="s">
        <v>2474</v>
      </c>
      <c r="F6116" t="s">
        <v>119</v>
      </c>
      <c r="G6116" t="s">
        <v>119</v>
      </c>
      <c r="H6116" s="10">
        <v>89528</v>
      </c>
      <c r="I6116" t="str">
        <f>IFERROR(VLOOKUP(Final!F6116,'LEAID Match'!$A$2:$B$374,2,FALSE),"")</f>
        <v/>
      </c>
      <c r="K6116" s="10">
        <f t="shared" si="95"/>
        <v>89528</v>
      </c>
    </row>
    <row r="6117" spans="1:11">
      <c r="A6117" t="s">
        <v>2470</v>
      </c>
      <c r="B6117" s="10">
        <v>2016</v>
      </c>
      <c r="C6117" t="s">
        <v>174</v>
      </c>
      <c r="D6117" t="s">
        <v>2472</v>
      </c>
      <c r="E6117" t="s">
        <v>2474</v>
      </c>
      <c r="F6117" t="s">
        <v>119</v>
      </c>
      <c r="G6117" t="s">
        <v>119</v>
      </c>
      <c r="H6117" s="10">
        <v>91782</v>
      </c>
      <c r="I6117" t="str">
        <f>IFERROR(VLOOKUP(Final!F6117,'LEAID Match'!$A$2:$B$374,2,FALSE),"")</f>
        <v/>
      </c>
      <c r="K6117" s="10">
        <f t="shared" si="95"/>
        <v>91782</v>
      </c>
    </row>
    <row r="6118" spans="1:11">
      <c r="A6118" t="s">
        <v>2470</v>
      </c>
      <c r="B6118" s="10">
        <v>2017</v>
      </c>
      <c r="C6118" t="s">
        <v>174</v>
      </c>
      <c r="D6118" t="s">
        <v>2472</v>
      </c>
      <c r="E6118" t="s">
        <v>2474</v>
      </c>
      <c r="F6118" t="s">
        <v>119</v>
      </c>
      <c r="G6118" t="s">
        <v>119</v>
      </c>
      <c r="H6118" s="10">
        <v>88828</v>
      </c>
      <c r="I6118" t="str">
        <f>IFERROR(VLOOKUP(Final!F6118,'LEAID Match'!$A$2:$B$374,2,FALSE),"")</f>
        <v/>
      </c>
      <c r="K6118" s="10">
        <f t="shared" si="95"/>
        <v>88828</v>
      </c>
    </row>
    <row r="6119" spans="1:11">
      <c r="A6119" t="s">
        <v>2470</v>
      </c>
      <c r="B6119" s="10">
        <v>2018</v>
      </c>
      <c r="C6119" t="s">
        <v>174</v>
      </c>
      <c r="D6119" t="s">
        <v>2472</v>
      </c>
      <c r="E6119" t="s">
        <v>2474</v>
      </c>
      <c r="F6119" t="s">
        <v>119</v>
      </c>
      <c r="G6119" t="s">
        <v>119</v>
      </c>
      <c r="H6119" s="10">
        <v>87747</v>
      </c>
      <c r="I6119" t="str">
        <f>IFERROR(VLOOKUP(Final!F6119,'LEAID Match'!$A$2:$B$374,2,FALSE),"")</f>
        <v/>
      </c>
      <c r="K6119" s="10">
        <f t="shared" si="95"/>
        <v>87747</v>
      </c>
    </row>
    <row r="6120" spans="1:11">
      <c r="A6120" t="s">
        <v>2470</v>
      </c>
      <c r="B6120" s="10">
        <v>2019</v>
      </c>
      <c r="C6120" t="s">
        <v>174</v>
      </c>
      <c r="D6120" t="s">
        <v>2472</v>
      </c>
      <c r="E6120" t="s">
        <v>2474</v>
      </c>
      <c r="F6120" t="s">
        <v>119</v>
      </c>
      <c r="G6120" t="s">
        <v>119</v>
      </c>
      <c r="H6120" s="10">
        <v>94965</v>
      </c>
      <c r="I6120" t="str">
        <f>IFERROR(VLOOKUP(Final!F6120,'LEAID Match'!$A$2:$B$374,2,FALSE),"")</f>
        <v/>
      </c>
      <c r="K6120" s="10">
        <f t="shared" si="95"/>
        <v>94965</v>
      </c>
    </row>
    <row r="6121" spans="1:11">
      <c r="A6121" t="s">
        <v>2470</v>
      </c>
      <c r="B6121" s="10">
        <v>2020</v>
      </c>
      <c r="C6121" t="s">
        <v>174</v>
      </c>
      <c r="D6121" t="s">
        <v>2472</v>
      </c>
      <c r="E6121" t="s">
        <v>2474</v>
      </c>
      <c r="F6121" t="s">
        <v>119</v>
      </c>
      <c r="G6121" t="s">
        <v>119</v>
      </c>
      <c r="H6121" s="10">
        <v>96784</v>
      </c>
      <c r="I6121" t="str">
        <f>IFERROR(VLOOKUP(Final!F6121,'LEAID Match'!$A$2:$B$374,2,FALSE),"")</f>
        <v/>
      </c>
      <c r="K6121" s="10">
        <f t="shared" si="95"/>
        <v>96784</v>
      </c>
    </row>
    <row r="6122" spans="1:11">
      <c r="A6122" t="s">
        <v>2470</v>
      </c>
      <c r="B6122" s="10">
        <v>2021</v>
      </c>
      <c r="C6122" t="s">
        <v>174</v>
      </c>
      <c r="D6122" t="s">
        <v>2472</v>
      </c>
      <c r="E6122" t="s">
        <v>2474</v>
      </c>
      <c r="F6122" t="s">
        <v>119</v>
      </c>
      <c r="G6122" t="s">
        <v>119</v>
      </c>
      <c r="H6122" s="10">
        <v>95545</v>
      </c>
      <c r="I6122" t="str">
        <f>IFERROR(VLOOKUP(Final!F6122,'LEAID Match'!$A$2:$B$374,2,FALSE),"")</f>
        <v/>
      </c>
      <c r="K6122" s="10">
        <f t="shared" si="95"/>
        <v>95545</v>
      </c>
    </row>
    <row r="6123" spans="1:11">
      <c r="A6123" t="s">
        <v>2470</v>
      </c>
      <c r="B6123" s="10">
        <v>2022</v>
      </c>
      <c r="C6123" t="s">
        <v>174</v>
      </c>
      <c r="D6123" t="s">
        <v>2472</v>
      </c>
      <c r="E6123" t="s">
        <v>2474</v>
      </c>
      <c r="F6123" t="s">
        <v>119</v>
      </c>
      <c r="G6123" t="s">
        <v>119</v>
      </c>
      <c r="H6123" s="10">
        <v>100092</v>
      </c>
      <c r="I6123" t="str">
        <f>IFERROR(VLOOKUP(Final!F6123,'LEAID Match'!$A$2:$B$374,2,FALSE),"")</f>
        <v/>
      </c>
      <c r="K6123" s="10">
        <f t="shared" si="95"/>
        <v>100092</v>
      </c>
    </row>
    <row r="6124" spans="1:11">
      <c r="A6124" t="s">
        <v>2470</v>
      </c>
      <c r="B6124" s="10">
        <v>2023</v>
      </c>
      <c r="C6124" t="s">
        <v>174</v>
      </c>
      <c r="D6124" t="s">
        <v>2472</v>
      </c>
      <c r="E6124" t="s">
        <v>2474</v>
      </c>
      <c r="F6124" t="s">
        <v>119</v>
      </c>
      <c r="G6124" t="s">
        <v>119</v>
      </c>
      <c r="H6124" s="10">
        <v>106947</v>
      </c>
      <c r="I6124" t="str">
        <f>IFERROR(VLOOKUP(Final!F6124,'LEAID Match'!$A$2:$B$374,2,FALSE),"")</f>
        <v/>
      </c>
      <c r="K6124" s="10">
        <f t="shared" si="95"/>
        <v>106947</v>
      </c>
    </row>
    <row r="6125" spans="1:11">
      <c r="A6125" t="s">
        <v>2470</v>
      </c>
      <c r="B6125" s="10">
        <v>2015</v>
      </c>
      <c r="C6125" t="s">
        <v>1012</v>
      </c>
      <c r="D6125" t="s">
        <v>2472</v>
      </c>
      <c r="E6125" t="s">
        <v>2474</v>
      </c>
      <c r="F6125" t="s">
        <v>957</v>
      </c>
      <c r="G6125" t="s">
        <v>957</v>
      </c>
      <c r="H6125" s="10">
        <v>83199</v>
      </c>
      <c r="I6125" t="str">
        <f>IFERROR(VLOOKUP(Final!F6125,'LEAID Match'!$A$2:$B$374,2,FALSE),"")</f>
        <v/>
      </c>
      <c r="K6125" s="10">
        <f t="shared" si="95"/>
        <v>83199</v>
      </c>
    </row>
    <row r="6126" spans="1:11">
      <c r="A6126" t="s">
        <v>2470</v>
      </c>
      <c r="B6126" s="10">
        <v>2016</v>
      </c>
      <c r="C6126" t="s">
        <v>1012</v>
      </c>
      <c r="D6126" t="s">
        <v>2472</v>
      </c>
      <c r="E6126" t="s">
        <v>2474</v>
      </c>
      <c r="F6126" t="s">
        <v>957</v>
      </c>
      <c r="G6126" t="s">
        <v>957</v>
      </c>
      <c r="H6126" s="10">
        <v>91868</v>
      </c>
      <c r="I6126" t="str">
        <f>IFERROR(VLOOKUP(Final!F6126,'LEAID Match'!$A$2:$B$374,2,FALSE),"")</f>
        <v/>
      </c>
      <c r="K6126" s="10">
        <f t="shared" si="95"/>
        <v>91868</v>
      </c>
    </row>
    <row r="6127" spans="1:11">
      <c r="A6127" t="s">
        <v>2470</v>
      </c>
      <c r="B6127" s="10">
        <v>2017</v>
      </c>
      <c r="C6127" t="s">
        <v>1012</v>
      </c>
      <c r="D6127" t="s">
        <v>2472</v>
      </c>
      <c r="E6127" t="s">
        <v>2474</v>
      </c>
      <c r="F6127" t="s">
        <v>957</v>
      </c>
      <c r="G6127" t="s">
        <v>957</v>
      </c>
      <c r="H6127" s="10">
        <v>97241</v>
      </c>
      <c r="I6127" t="str">
        <f>IFERROR(VLOOKUP(Final!F6127,'LEAID Match'!$A$2:$B$374,2,FALSE),"")</f>
        <v/>
      </c>
      <c r="K6127" s="10">
        <f t="shared" si="95"/>
        <v>97241</v>
      </c>
    </row>
    <row r="6128" spans="1:11">
      <c r="A6128" t="s">
        <v>2470</v>
      </c>
      <c r="B6128" s="10">
        <v>2018</v>
      </c>
      <c r="C6128" t="s">
        <v>1012</v>
      </c>
      <c r="D6128" t="s">
        <v>2472</v>
      </c>
      <c r="E6128" t="s">
        <v>2474</v>
      </c>
      <c r="F6128" t="s">
        <v>957</v>
      </c>
      <c r="G6128" t="s">
        <v>957</v>
      </c>
      <c r="H6128" s="10">
        <v>89411</v>
      </c>
      <c r="I6128" t="str">
        <f>IFERROR(VLOOKUP(Final!F6128,'LEAID Match'!$A$2:$B$374,2,FALSE),"")</f>
        <v/>
      </c>
      <c r="K6128" s="10">
        <f t="shared" si="95"/>
        <v>89411</v>
      </c>
    </row>
    <row r="6129" spans="1:11">
      <c r="A6129" t="s">
        <v>2470</v>
      </c>
      <c r="B6129" s="10">
        <v>2019</v>
      </c>
      <c r="C6129" t="s">
        <v>1012</v>
      </c>
      <c r="D6129" t="s">
        <v>2472</v>
      </c>
      <c r="E6129" t="s">
        <v>2474</v>
      </c>
      <c r="F6129" t="s">
        <v>957</v>
      </c>
      <c r="G6129" t="s">
        <v>957</v>
      </c>
      <c r="H6129" s="10">
        <v>80348</v>
      </c>
      <c r="I6129" t="str">
        <f>IFERROR(VLOOKUP(Final!F6129,'LEAID Match'!$A$2:$B$374,2,FALSE),"")</f>
        <v/>
      </c>
      <c r="K6129" s="10">
        <f t="shared" si="95"/>
        <v>80348</v>
      </c>
    </row>
    <row r="6130" spans="1:11">
      <c r="A6130" t="s">
        <v>2470</v>
      </c>
      <c r="B6130" s="10">
        <v>2020</v>
      </c>
      <c r="C6130" t="s">
        <v>1012</v>
      </c>
      <c r="D6130" t="s">
        <v>2472</v>
      </c>
      <c r="E6130" t="s">
        <v>2474</v>
      </c>
      <c r="F6130" t="s">
        <v>957</v>
      </c>
      <c r="G6130" t="s">
        <v>957</v>
      </c>
      <c r="H6130" s="10">
        <v>85032</v>
      </c>
      <c r="I6130" t="str">
        <f>IFERROR(VLOOKUP(Final!F6130,'LEAID Match'!$A$2:$B$374,2,FALSE),"")</f>
        <v/>
      </c>
      <c r="K6130" s="10">
        <f t="shared" si="95"/>
        <v>85032</v>
      </c>
    </row>
    <row r="6131" spans="1:11">
      <c r="A6131" t="s">
        <v>2470</v>
      </c>
      <c r="B6131" s="10">
        <v>2021</v>
      </c>
      <c r="C6131" t="s">
        <v>1012</v>
      </c>
      <c r="D6131" t="s">
        <v>2472</v>
      </c>
      <c r="E6131" t="s">
        <v>2474</v>
      </c>
      <c r="F6131" t="s">
        <v>957</v>
      </c>
      <c r="G6131" t="s">
        <v>957</v>
      </c>
      <c r="H6131" s="10">
        <v>103101</v>
      </c>
      <c r="I6131" t="str">
        <f>IFERROR(VLOOKUP(Final!F6131,'LEAID Match'!$A$2:$B$374,2,FALSE),"")</f>
        <v/>
      </c>
      <c r="K6131" s="10">
        <f t="shared" si="95"/>
        <v>103101</v>
      </c>
    </row>
    <row r="6132" spans="1:11">
      <c r="A6132" t="s">
        <v>2470</v>
      </c>
      <c r="B6132" s="10">
        <v>2022</v>
      </c>
      <c r="C6132" t="s">
        <v>1012</v>
      </c>
      <c r="D6132" t="s">
        <v>2472</v>
      </c>
      <c r="E6132" t="s">
        <v>2474</v>
      </c>
      <c r="F6132" t="s">
        <v>957</v>
      </c>
      <c r="G6132" t="s">
        <v>957</v>
      </c>
      <c r="H6132" s="10">
        <v>87575</v>
      </c>
      <c r="I6132" t="str">
        <f>IFERROR(VLOOKUP(Final!F6132,'LEAID Match'!$A$2:$B$374,2,FALSE),"")</f>
        <v/>
      </c>
      <c r="K6132" s="10">
        <f t="shared" si="95"/>
        <v>87575</v>
      </c>
    </row>
    <row r="6133" spans="1:11">
      <c r="A6133" t="s">
        <v>2470</v>
      </c>
      <c r="B6133" s="10">
        <v>2023</v>
      </c>
      <c r="C6133" t="s">
        <v>1012</v>
      </c>
      <c r="D6133" t="s">
        <v>2472</v>
      </c>
      <c r="E6133" t="s">
        <v>2474</v>
      </c>
      <c r="F6133" t="s">
        <v>957</v>
      </c>
      <c r="G6133" t="s">
        <v>957</v>
      </c>
      <c r="H6133" s="10">
        <v>89170</v>
      </c>
      <c r="I6133" t="str">
        <f>IFERROR(VLOOKUP(Final!F6133,'LEAID Match'!$A$2:$B$374,2,FALSE),"")</f>
        <v/>
      </c>
      <c r="K6133" s="10">
        <f t="shared" si="95"/>
        <v>89170</v>
      </c>
    </row>
    <row r="6134" spans="1:11">
      <c r="A6134" t="s">
        <v>2470</v>
      </c>
      <c r="B6134" s="10">
        <v>2015</v>
      </c>
      <c r="C6134" t="s">
        <v>1332</v>
      </c>
      <c r="D6134" t="s">
        <v>2472</v>
      </c>
      <c r="E6134" t="s">
        <v>2474</v>
      </c>
      <c r="F6134" t="s">
        <v>1284</v>
      </c>
      <c r="G6134" t="s">
        <v>1284</v>
      </c>
      <c r="H6134" s="10">
        <v>20869</v>
      </c>
      <c r="I6134" t="str">
        <f>IFERROR(VLOOKUP(Final!F6134,'LEAID Match'!$A$2:$B$374,2,FALSE),"")</f>
        <v/>
      </c>
      <c r="K6134" s="10">
        <f t="shared" si="95"/>
        <v>20869</v>
      </c>
    </row>
    <row r="6135" spans="1:11">
      <c r="A6135" t="s">
        <v>2470</v>
      </c>
      <c r="B6135" s="10">
        <v>2016</v>
      </c>
      <c r="C6135" t="s">
        <v>1332</v>
      </c>
      <c r="D6135" t="s">
        <v>2472</v>
      </c>
      <c r="E6135" t="s">
        <v>2474</v>
      </c>
      <c r="F6135" t="s">
        <v>1284</v>
      </c>
      <c r="G6135" t="s">
        <v>1284</v>
      </c>
      <c r="H6135" s="10">
        <v>22767</v>
      </c>
      <c r="I6135" t="str">
        <f>IFERROR(VLOOKUP(Final!F6135,'LEAID Match'!$A$2:$B$374,2,FALSE),"")</f>
        <v/>
      </c>
      <c r="K6135" s="10">
        <f t="shared" si="95"/>
        <v>22767</v>
      </c>
    </row>
    <row r="6136" spans="1:11">
      <c r="A6136" t="s">
        <v>2470</v>
      </c>
      <c r="B6136" s="10">
        <v>2017</v>
      </c>
      <c r="C6136" t="s">
        <v>1332</v>
      </c>
      <c r="D6136" t="s">
        <v>2472</v>
      </c>
      <c r="E6136" t="s">
        <v>2474</v>
      </c>
      <c r="F6136" t="s">
        <v>1284</v>
      </c>
      <c r="G6136" t="s">
        <v>1284</v>
      </c>
      <c r="H6136" s="10">
        <v>25606</v>
      </c>
      <c r="I6136" t="str">
        <f>IFERROR(VLOOKUP(Final!F6136,'LEAID Match'!$A$2:$B$374,2,FALSE),"")</f>
        <v/>
      </c>
      <c r="K6136" s="10">
        <f t="shared" si="95"/>
        <v>25606</v>
      </c>
    </row>
    <row r="6137" spans="1:11">
      <c r="A6137" t="s">
        <v>2470</v>
      </c>
      <c r="B6137" s="10">
        <v>2018</v>
      </c>
      <c r="C6137" t="s">
        <v>1332</v>
      </c>
      <c r="D6137" t="s">
        <v>2472</v>
      </c>
      <c r="E6137" t="s">
        <v>2474</v>
      </c>
      <c r="F6137" t="s">
        <v>1284</v>
      </c>
      <c r="G6137" t="s">
        <v>1284</v>
      </c>
      <c r="H6137" s="10">
        <v>29651</v>
      </c>
      <c r="I6137" t="str">
        <f>IFERROR(VLOOKUP(Final!F6137,'LEAID Match'!$A$2:$B$374,2,FALSE),"")</f>
        <v/>
      </c>
      <c r="K6137" s="10">
        <f t="shared" si="95"/>
        <v>29651</v>
      </c>
    </row>
    <row r="6138" spans="1:11">
      <c r="A6138" t="s">
        <v>2470</v>
      </c>
      <c r="B6138" s="10">
        <v>2019</v>
      </c>
      <c r="C6138" t="s">
        <v>1332</v>
      </c>
      <c r="D6138" t="s">
        <v>2472</v>
      </c>
      <c r="E6138" t="s">
        <v>2474</v>
      </c>
      <c r="F6138" t="s">
        <v>1284</v>
      </c>
      <c r="G6138" t="s">
        <v>1284</v>
      </c>
      <c r="H6138" s="10">
        <v>28402</v>
      </c>
      <c r="I6138" t="str">
        <f>IFERROR(VLOOKUP(Final!F6138,'LEAID Match'!$A$2:$B$374,2,FALSE),"")</f>
        <v/>
      </c>
      <c r="K6138" s="10">
        <f t="shared" si="95"/>
        <v>28402</v>
      </c>
    </row>
    <row r="6139" spans="1:11">
      <c r="A6139" t="s">
        <v>2470</v>
      </c>
      <c r="B6139" s="10">
        <v>2020</v>
      </c>
      <c r="C6139" t="s">
        <v>1332</v>
      </c>
      <c r="D6139" t="s">
        <v>2472</v>
      </c>
      <c r="E6139" t="s">
        <v>2474</v>
      </c>
      <c r="F6139" t="s">
        <v>1284</v>
      </c>
      <c r="G6139" t="s">
        <v>1284</v>
      </c>
      <c r="H6139" s="10">
        <v>31808</v>
      </c>
      <c r="I6139" t="str">
        <f>IFERROR(VLOOKUP(Final!F6139,'LEAID Match'!$A$2:$B$374,2,FALSE),"")</f>
        <v/>
      </c>
      <c r="K6139" s="10">
        <f t="shared" si="95"/>
        <v>31808</v>
      </c>
    </row>
    <row r="6140" spans="1:11">
      <c r="A6140" t="s">
        <v>2470</v>
      </c>
      <c r="B6140" s="10">
        <v>2021</v>
      </c>
      <c r="C6140" t="s">
        <v>1332</v>
      </c>
      <c r="D6140" t="s">
        <v>2472</v>
      </c>
      <c r="E6140" t="s">
        <v>2474</v>
      </c>
      <c r="F6140" t="s">
        <v>1284</v>
      </c>
      <c r="G6140" t="s">
        <v>1284</v>
      </c>
      <c r="H6140" s="10">
        <v>19252</v>
      </c>
      <c r="I6140" t="str">
        <f>IFERROR(VLOOKUP(Final!F6140,'LEAID Match'!$A$2:$B$374,2,FALSE),"")</f>
        <v/>
      </c>
      <c r="K6140" s="10">
        <f t="shared" si="95"/>
        <v>19252</v>
      </c>
    </row>
    <row r="6141" spans="1:11">
      <c r="A6141" t="s">
        <v>2470</v>
      </c>
      <c r="B6141" s="10">
        <v>2022</v>
      </c>
      <c r="C6141" t="s">
        <v>1332</v>
      </c>
      <c r="D6141" t="s">
        <v>2472</v>
      </c>
      <c r="E6141" t="s">
        <v>2474</v>
      </c>
      <c r="F6141" t="s">
        <v>1284</v>
      </c>
      <c r="G6141" t="s">
        <v>1284</v>
      </c>
      <c r="H6141" s="10">
        <v>21880</v>
      </c>
      <c r="I6141" t="str">
        <f>IFERROR(VLOOKUP(Final!F6141,'LEAID Match'!$A$2:$B$374,2,FALSE),"")</f>
        <v/>
      </c>
      <c r="K6141" s="10">
        <f t="shared" si="95"/>
        <v>21880</v>
      </c>
    </row>
    <row r="6142" spans="1:11">
      <c r="A6142" t="s">
        <v>2470</v>
      </c>
      <c r="B6142" s="10">
        <v>2023</v>
      </c>
      <c r="C6142" t="s">
        <v>1332</v>
      </c>
      <c r="D6142" t="s">
        <v>2472</v>
      </c>
      <c r="E6142" t="s">
        <v>2474</v>
      </c>
      <c r="F6142" t="s">
        <v>1284</v>
      </c>
      <c r="G6142" t="s">
        <v>1284</v>
      </c>
      <c r="H6142" s="10">
        <v>14763</v>
      </c>
      <c r="I6142" t="str">
        <f>IFERROR(VLOOKUP(Final!F6142,'LEAID Match'!$A$2:$B$374,2,FALSE),"")</f>
        <v/>
      </c>
      <c r="K6142" s="10">
        <f t="shared" si="95"/>
        <v>14763</v>
      </c>
    </row>
    <row r="6143" spans="1:11">
      <c r="A6143" t="s">
        <v>2470</v>
      </c>
      <c r="B6143" s="10">
        <v>2015</v>
      </c>
      <c r="C6143" t="s">
        <v>489</v>
      </c>
      <c r="D6143" t="s">
        <v>2472</v>
      </c>
      <c r="E6143" t="s">
        <v>2474</v>
      </c>
      <c r="F6143" t="s">
        <v>434</v>
      </c>
      <c r="G6143" t="s">
        <v>434</v>
      </c>
      <c r="H6143" s="10">
        <v>49336</v>
      </c>
      <c r="I6143" t="str">
        <f>IFERROR(VLOOKUP(Final!F6143,'LEAID Match'!$A$2:$B$374,2,FALSE),"")</f>
        <v/>
      </c>
      <c r="K6143" s="10">
        <f t="shared" si="95"/>
        <v>49336</v>
      </c>
    </row>
    <row r="6144" spans="1:11">
      <c r="A6144" t="s">
        <v>2470</v>
      </c>
      <c r="B6144" s="10">
        <v>2016</v>
      </c>
      <c r="C6144" t="s">
        <v>489</v>
      </c>
      <c r="D6144" t="s">
        <v>2472</v>
      </c>
      <c r="E6144" t="s">
        <v>2474</v>
      </c>
      <c r="F6144" t="s">
        <v>434</v>
      </c>
      <c r="G6144" t="s">
        <v>434</v>
      </c>
      <c r="H6144" s="10">
        <v>53584</v>
      </c>
      <c r="I6144" t="str">
        <f>IFERROR(VLOOKUP(Final!F6144,'LEAID Match'!$A$2:$B$374,2,FALSE),"")</f>
        <v/>
      </c>
      <c r="K6144" s="10">
        <f t="shared" si="95"/>
        <v>53584</v>
      </c>
    </row>
    <row r="6145" spans="1:11">
      <c r="A6145" t="s">
        <v>2470</v>
      </c>
      <c r="B6145" s="10">
        <v>2017</v>
      </c>
      <c r="C6145" t="s">
        <v>489</v>
      </c>
      <c r="D6145" t="s">
        <v>2472</v>
      </c>
      <c r="E6145" t="s">
        <v>2474</v>
      </c>
      <c r="F6145" t="s">
        <v>434</v>
      </c>
      <c r="G6145" t="s">
        <v>434</v>
      </c>
      <c r="H6145" s="10">
        <v>50694</v>
      </c>
      <c r="I6145" t="str">
        <f>IFERROR(VLOOKUP(Final!F6145,'LEAID Match'!$A$2:$B$374,2,FALSE),"")</f>
        <v/>
      </c>
      <c r="K6145" s="10">
        <f t="shared" si="95"/>
        <v>50694</v>
      </c>
    </row>
    <row r="6146" spans="1:11">
      <c r="A6146" t="s">
        <v>2470</v>
      </c>
      <c r="B6146" s="10">
        <v>2018</v>
      </c>
      <c r="C6146" t="s">
        <v>489</v>
      </c>
      <c r="D6146" t="s">
        <v>2472</v>
      </c>
      <c r="E6146" t="s">
        <v>2474</v>
      </c>
      <c r="F6146" t="s">
        <v>434</v>
      </c>
      <c r="G6146" t="s">
        <v>2165</v>
      </c>
      <c r="H6146" s="10">
        <v>54062</v>
      </c>
      <c r="I6146" t="str">
        <f>IFERROR(VLOOKUP(Final!F6146,'LEAID Match'!$A$2:$B$374,2,FALSE),"")</f>
        <v/>
      </c>
      <c r="K6146" s="10">
        <f t="shared" si="95"/>
        <v>54062</v>
      </c>
    </row>
    <row r="6147" spans="1:11">
      <c r="A6147" t="s">
        <v>2470</v>
      </c>
      <c r="B6147" s="10">
        <v>2019</v>
      </c>
      <c r="C6147" t="s">
        <v>489</v>
      </c>
      <c r="D6147" t="s">
        <v>2472</v>
      </c>
      <c r="E6147" t="s">
        <v>2474</v>
      </c>
      <c r="F6147" t="s">
        <v>434</v>
      </c>
      <c r="G6147" t="s">
        <v>434</v>
      </c>
      <c r="H6147" s="10">
        <v>57375</v>
      </c>
      <c r="I6147" t="str">
        <f>IFERROR(VLOOKUP(Final!F6147,'LEAID Match'!$A$2:$B$374,2,FALSE),"")</f>
        <v/>
      </c>
      <c r="K6147" s="10">
        <f t="shared" ref="K6147:K6210" si="96">SUM(H6147,J6147)</f>
        <v>57375</v>
      </c>
    </row>
    <row r="6148" spans="1:11">
      <c r="A6148" t="s">
        <v>2470</v>
      </c>
      <c r="B6148" s="10">
        <v>2020</v>
      </c>
      <c r="C6148" t="s">
        <v>489</v>
      </c>
      <c r="D6148" t="s">
        <v>2472</v>
      </c>
      <c r="E6148" t="s">
        <v>2474</v>
      </c>
      <c r="F6148" t="s">
        <v>434</v>
      </c>
      <c r="G6148" t="s">
        <v>434</v>
      </c>
      <c r="H6148" s="10">
        <v>60392</v>
      </c>
      <c r="I6148" t="str">
        <f>IFERROR(VLOOKUP(Final!F6148,'LEAID Match'!$A$2:$B$374,2,FALSE),"")</f>
        <v/>
      </c>
      <c r="K6148" s="10">
        <f t="shared" si="96"/>
        <v>60392</v>
      </c>
    </row>
    <row r="6149" spans="1:11">
      <c r="A6149" t="s">
        <v>2470</v>
      </c>
      <c r="B6149" s="10">
        <v>2021</v>
      </c>
      <c r="C6149" t="s">
        <v>489</v>
      </c>
      <c r="D6149" t="s">
        <v>2472</v>
      </c>
      <c r="E6149" t="s">
        <v>2474</v>
      </c>
      <c r="F6149" t="s">
        <v>434</v>
      </c>
      <c r="G6149" t="s">
        <v>434</v>
      </c>
      <c r="H6149" s="10">
        <v>60049</v>
      </c>
      <c r="I6149" t="str">
        <f>IFERROR(VLOOKUP(Final!F6149,'LEAID Match'!$A$2:$B$374,2,FALSE),"")</f>
        <v/>
      </c>
      <c r="K6149" s="10">
        <f t="shared" si="96"/>
        <v>60049</v>
      </c>
    </row>
    <row r="6150" spans="1:11">
      <c r="A6150" t="s">
        <v>2470</v>
      </c>
      <c r="B6150" s="10">
        <v>2022</v>
      </c>
      <c r="C6150" t="s">
        <v>489</v>
      </c>
      <c r="D6150" t="s">
        <v>2472</v>
      </c>
      <c r="E6150" t="s">
        <v>2474</v>
      </c>
      <c r="F6150" t="s">
        <v>434</v>
      </c>
      <c r="G6150" t="s">
        <v>434</v>
      </c>
      <c r="H6150" s="10">
        <v>71543</v>
      </c>
      <c r="I6150" t="str">
        <f>IFERROR(VLOOKUP(Final!F6150,'LEAID Match'!$A$2:$B$374,2,FALSE),"")</f>
        <v/>
      </c>
      <c r="K6150" s="10">
        <f t="shared" si="96"/>
        <v>71543</v>
      </c>
    </row>
    <row r="6151" spans="1:11">
      <c r="A6151" t="s">
        <v>2470</v>
      </c>
      <c r="B6151" s="10">
        <v>2023</v>
      </c>
      <c r="C6151" t="s">
        <v>489</v>
      </c>
      <c r="D6151" t="s">
        <v>2472</v>
      </c>
      <c r="E6151" t="s">
        <v>2474</v>
      </c>
      <c r="F6151" t="s">
        <v>434</v>
      </c>
      <c r="G6151" t="s">
        <v>434</v>
      </c>
      <c r="H6151" s="10">
        <v>77591</v>
      </c>
      <c r="I6151" t="str">
        <f>IFERROR(VLOOKUP(Final!F6151,'LEAID Match'!$A$2:$B$374,2,FALSE),"")</f>
        <v/>
      </c>
      <c r="K6151" s="10">
        <f t="shared" si="96"/>
        <v>77591</v>
      </c>
    </row>
    <row r="6152" spans="1:11">
      <c r="A6152" t="s">
        <v>2470</v>
      </c>
      <c r="B6152" s="10">
        <v>2015</v>
      </c>
      <c r="C6152" t="s">
        <v>338</v>
      </c>
      <c r="D6152" t="s">
        <v>2472</v>
      </c>
      <c r="E6152" t="s">
        <v>2474</v>
      </c>
      <c r="F6152" t="s">
        <v>1635</v>
      </c>
      <c r="G6152" t="s">
        <v>284</v>
      </c>
      <c r="H6152" s="10">
        <v>56474</v>
      </c>
      <c r="I6152" t="str">
        <f>IFERROR(VLOOKUP(Final!F6152,'LEAID Match'!$A$2:$B$374,2,FALSE),"")</f>
        <v/>
      </c>
      <c r="K6152" s="10">
        <f t="shared" si="96"/>
        <v>56474</v>
      </c>
    </row>
    <row r="6153" spans="1:11">
      <c r="A6153" t="s">
        <v>2470</v>
      </c>
      <c r="B6153" s="10">
        <v>2016</v>
      </c>
      <c r="C6153" t="s">
        <v>338</v>
      </c>
      <c r="D6153" t="s">
        <v>2472</v>
      </c>
      <c r="E6153" t="s">
        <v>2474</v>
      </c>
      <c r="F6153" t="s">
        <v>1635</v>
      </c>
      <c r="G6153" t="s">
        <v>284</v>
      </c>
      <c r="H6153" s="10">
        <v>64352</v>
      </c>
      <c r="I6153" t="str">
        <f>IFERROR(VLOOKUP(Final!F6153,'LEAID Match'!$A$2:$B$374,2,FALSE),"")</f>
        <v/>
      </c>
      <c r="K6153" s="10">
        <f t="shared" si="96"/>
        <v>64352</v>
      </c>
    </row>
    <row r="6154" spans="1:11">
      <c r="A6154" t="s">
        <v>2470</v>
      </c>
      <c r="B6154" s="10">
        <v>2017</v>
      </c>
      <c r="C6154" t="s">
        <v>338</v>
      </c>
      <c r="D6154" t="s">
        <v>2472</v>
      </c>
      <c r="E6154" t="s">
        <v>2474</v>
      </c>
      <c r="F6154" t="s">
        <v>1635</v>
      </c>
      <c r="G6154" t="s">
        <v>1635</v>
      </c>
      <c r="H6154" s="10">
        <v>59340</v>
      </c>
      <c r="I6154" t="str">
        <f>IFERROR(VLOOKUP(Final!F6154,'LEAID Match'!$A$2:$B$374,2,FALSE),"")</f>
        <v/>
      </c>
      <c r="K6154" s="10">
        <f t="shared" si="96"/>
        <v>59340</v>
      </c>
    </row>
    <row r="6155" spans="1:11">
      <c r="A6155" t="s">
        <v>2470</v>
      </c>
      <c r="B6155" s="10">
        <v>2018</v>
      </c>
      <c r="C6155" t="s">
        <v>338</v>
      </c>
      <c r="D6155" t="s">
        <v>2472</v>
      </c>
      <c r="E6155" t="s">
        <v>2474</v>
      </c>
      <c r="F6155" t="s">
        <v>1635</v>
      </c>
      <c r="G6155" t="s">
        <v>2135</v>
      </c>
      <c r="H6155" s="10">
        <v>58610</v>
      </c>
      <c r="I6155" t="str">
        <f>IFERROR(VLOOKUP(Final!F6155,'LEAID Match'!$A$2:$B$374,2,FALSE),"")</f>
        <v/>
      </c>
      <c r="K6155" s="10">
        <f t="shared" si="96"/>
        <v>58610</v>
      </c>
    </row>
    <row r="6156" spans="1:11">
      <c r="A6156" t="s">
        <v>2470</v>
      </c>
      <c r="B6156" s="10">
        <v>2019</v>
      </c>
      <c r="C6156" t="s">
        <v>338</v>
      </c>
      <c r="D6156" t="s">
        <v>2472</v>
      </c>
      <c r="E6156" t="s">
        <v>2474</v>
      </c>
      <c r="F6156" t="s">
        <v>1635</v>
      </c>
      <c r="G6156" t="s">
        <v>1635</v>
      </c>
      <c r="H6156" s="10">
        <v>59868</v>
      </c>
      <c r="I6156" t="str">
        <f>IFERROR(VLOOKUP(Final!F6156,'LEAID Match'!$A$2:$B$374,2,FALSE),"")</f>
        <v/>
      </c>
      <c r="K6156" s="10">
        <f t="shared" si="96"/>
        <v>59868</v>
      </c>
    </row>
    <row r="6157" spans="1:11">
      <c r="A6157" t="s">
        <v>2470</v>
      </c>
      <c r="B6157" s="10">
        <v>2020</v>
      </c>
      <c r="C6157" t="s">
        <v>338</v>
      </c>
      <c r="D6157" t="s">
        <v>2472</v>
      </c>
      <c r="E6157" t="s">
        <v>2474</v>
      </c>
      <c r="F6157" t="s">
        <v>1635</v>
      </c>
      <c r="G6157" t="s">
        <v>1635</v>
      </c>
      <c r="H6157" s="10">
        <v>63120</v>
      </c>
      <c r="I6157" t="str">
        <f>IFERROR(VLOOKUP(Final!F6157,'LEAID Match'!$A$2:$B$374,2,FALSE),"")</f>
        <v/>
      </c>
      <c r="K6157" s="10">
        <f t="shared" si="96"/>
        <v>63120</v>
      </c>
    </row>
    <row r="6158" spans="1:11">
      <c r="A6158" t="s">
        <v>2470</v>
      </c>
      <c r="B6158" s="10">
        <v>2021</v>
      </c>
      <c r="C6158" t="s">
        <v>338</v>
      </c>
      <c r="D6158" t="s">
        <v>2472</v>
      </c>
      <c r="E6158" t="s">
        <v>2474</v>
      </c>
      <c r="F6158" t="s">
        <v>1635</v>
      </c>
      <c r="G6158" t="s">
        <v>1635</v>
      </c>
      <c r="H6158" s="10">
        <v>74339</v>
      </c>
      <c r="I6158" t="str">
        <f>IFERROR(VLOOKUP(Final!F6158,'LEAID Match'!$A$2:$B$374,2,FALSE),"")</f>
        <v/>
      </c>
      <c r="K6158" s="10">
        <f t="shared" si="96"/>
        <v>74339</v>
      </c>
    </row>
    <row r="6159" spans="1:11">
      <c r="A6159" t="s">
        <v>2470</v>
      </c>
      <c r="B6159" s="10">
        <v>2022</v>
      </c>
      <c r="C6159" t="s">
        <v>338</v>
      </c>
      <c r="D6159" t="s">
        <v>2472</v>
      </c>
      <c r="E6159" t="s">
        <v>2474</v>
      </c>
      <c r="F6159" t="s">
        <v>1635</v>
      </c>
      <c r="G6159" t="s">
        <v>1635</v>
      </c>
      <c r="H6159" s="10">
        <v>81733</v>
      </c>
      <c r="I6159" t="str">
        <f>IFERROR(VLOOKUP(Final!F6159,'LEAID Match'!$A$2:$B$374,2,FALSE),"")</f>
        <v/>
      </c>
      <c r="K6159" s="10">
        <f t="shared" si="96"/>
        <v>81733</v>
      </c>
    </row>
    <row r="6160" spans="1:11">
      <c r="A6160" t="s">
        <v>2470</v>
      </c>
      <c r="B6160" s="10">
        <v>2023</v>
      </c>
      <c r="C6160" t="s">
        <v>338</v>
      </c>
      <c r="D6160" t="s">
        <v>2472</v>
      </c>
      <c r="E6160" t="s">
        <v>2474</v>
      </c>
      <c r="F6160" t="s">
        <v>1635</v>
      </c>
      <c r="G6160" t="s">
        <v>1635</v>
      </c>
      <c r="H6160" s="10">
        <v>97132</v>
      </c>
      <c r="I6160" t="str">
        <f>IFERROR(VLOOKUP(Final!F6160,'LEAID Match'!$A$2:$B$374,2,FALSE),"")</f>
        <v/>
      </c>
      <c r="K6160" s="10">
        <f t="shared" si="96"/>
        <v>97132</v>
      </c>
    </row>
    <row r="6161" spans="1:11">
      <c r="A6161" t="s">
        <v>2470</v>
      </c>
      <c r="B6161" s="10">
        <v>2015</v>
      </c>
      <c r="C6161" t="s">
        <v>1262</v>
      </c>
      <c r="D6161" t="s">
        <v>2472</v>
      </c>
      <c r="E6161" t="s">
        <v>2474</v>
      </c>
      <c r="F6161" t="s">
        <v>1208</v>
      </c>
      <c r="G6161" t="s">
        <v>1208</v>
      </c>
      <c r="H6161" s="10">
        <v>17251</v>
      </c>
      <c r="I6161" t="str">
        <f>IFERROR(VLOOKUP(Final!F6161,'LEAID Match'!$A$2:$B$374,2,FALSE),"")</f>
        <v/>
      </c>
      <c r="K6161" s="10">
        <f t="shared" si="96"/>
        <v>17251</v>
      </c>
    </row>
    <row r="6162" spans="1:11">
      <c r="A6162" t="s">
        <v>2470</v>
      </c>
      <c r="B6162" s="10">
        <v>2016</v>
      </c>
      <c r="C6162" t="s">
        <v>1262</v>
      </c>
      <c r="D6162" t="s">
        <v>2472</v>
      </c>
      <c r="E6162" t="s">
        <v>2474</v>
      </c>
      <c r="F6162" t="s">
        <v>1208</v>
      </c>
      <c r="G6162" t="s">
        <v>1208</v>
      </c>
      <c r="H6162" s="10">
        <v>23288</v>
      </c>
      <c r="I6162" t="str">
        <f>IFERROR(VLOOKUP(Final!F6162,'LEAID Match'!$A$2:$B$374,2,FALSE),"")</f>
        <v/>
      </c>
      <c r="K6162" s="10">
        <f t="shared" si="96"/>
        <v>23288</v>
      </c>
    </row>
    <row r="6163" spans="1:11">
      <c r="A6163" t="s">
        <v>2470</v>
      </c>
      <c r="B6163" s="10">
        <v>2017</v>
      </c>
      <c r="C6163" t="s">
        <v>1262</v>
      </c>
      <c r="D6163" t="s">
        <v>2472</v>
      </c>
      <c r="E6163" t="s">
        <v>2474</v>
      </c>
      <c r="F6163" t="s">
        <v>1208</v>
      </c>
      <c r="G6163" t="s">
        <v>1208</v>
      </c>
      <c r="H6163" s="10">
        <v>32651</v>
      </c>
      <c r="I6163" t="str">
        <f>IFERROR(VLOOKUP(Final!F6163,'LEAID Match'!$A$2:$B$374,2,FALSE),"")</f>
        <v/>
      </c>
      <c r="K6163" s="10">
        <f t="shared" si="96"/>
        <v>32651</v>
      </c>
    </row>
    <row r="6164" spans="1:11">
      <c r="A6164" t="s">
        <v>2470</v>
      </c>
      <c r="B6164" s="10">
        <v>2018</v>
      </c>
      <c r="C6164" t="s">
        <v>1262</v>
      </c>
      <c r="D6164" t="s">
        <v>2472</v>
      </c>
      <c r="E6164" t="s">
        <v>2474</v>
      </c>
      <c r="F6164" t="s">
        <v>1208</v>
      </c>
      <c r="G6164" t="s">
        <v>1208</v>
      </c>
      <c r="H6164" s="10">
        <v>36498</v>
      </c>
      <c r="I6164" t="str">
        <f>IFERROR(VLOOKUP(Final!F6164,'LEAID Match'!$A$2:$B$374,2,FALSE),"")</f>
        <v/>
      </c>
      <c r="K6164" s="10">
        <f t="shared" si="96"/>
        <v>36498</v>
      </c>
    </row>
    <row r="6165" spans="1:11">
      <c r="A6165" t="s">
        <v>2470</v>
      </c>
      <c r="B6165" s="10">
        <v>2019</v>
      </c>
      <c r="C6165" t="s">
        <v>1262</v>
      </c>
      <c r="D6165" t="s">
        <v>2472</v>
      </c>
      <c r="E6165" t="s">
        <v>2474</v>
      </c>
      <c r="F6165" t="s">
        <v>1208</v>
      </c>
      <c r="G6165" t="s">
        <v>1208</v>
      </c>
      <c r="H6165" s="10">
        <v>39055</v>
      </c>
      <c r="I6165" t="str">
        <f>IFERROR(VLOOKUP(Final!F6165,'LEAID Match'!$A$2:$B$374,2,FALSE),"")</f>
        <v/>
      </c>
      <c r="K6165" s="10">
        <f t="shared" si="96"/>
        <v>39055</v>
      </c>
    </row>
    <row r="6166" spans="1:11">
      <c r="A6166" t="s">
        <v>2470</v>
      </c>
      <c r="B6166" s="10">
        <v>2020</v>
      </c>
      <c r="C6166" t="s">
        <v>1262</v>
      </c>
      <c r="D6166" t="s">
        <v>2472</v>
      </c>
      <c r="E6166" t="s">
        <v>2474</v>
      </c>
      <c r="F6166" t="s">
        <v>1208</v>
      </c>
      <c r="G6166" t="s">
        <v>1208</v>
      </c>
      <c r="H6166" s="10">
        <v>45241</v>
      </c>
      <c r="I6166" t="str">
        <f>IFERROR(VLOOKUP(Final!F6166,'LEAID Match'!$A$2:$B$374,2,FALSE),"")</f>
        <v/>
      </c>
      <c r="K6166" s="10">
        <f t="shared" si="96"/>
        <v>45241</v>
      </c>
    </row>
    <row r="6167" spans="1:11">
      <c r="A6167" t="s">
        <v>2470</v>
      </c>
      <c r="B6167" s="10">
        <v>2021</v>
      </c>
      <c r="C6167" t="s">
        <v>1262</v>
      </c>
      <c r="D6167" t="s">
        <v>2472</v>
      </c>
      <c r="E6167" t="s">
        <v>2474</v>
      </c>
      <c r="F6167" t="s">
        <v>1208</v>
      </c>
      <c r="G6167" t="s">
        <v>1208</v>
      </c>
      <c r="H6167" s="10">
        <v>50036</v>
      </c>
      <c r="I6167" t="str">
        <f>IFERROR(VLOOKUP(Final!F6167,'LEAID Match'!$A$2:$B$374,2,FALSE),"")</f>
        <v/>
      </c>
      <c r="K6167" s="10">
        <f t="shared" si="96"/>
        <v>50036</v>
      </c>
    </row>
    <row r="6168" spans="1:11">
      <c r="A6168" t="s">
        <v>2470</v>
      </c>
      <c r="B6168" s="10">
        <v>2022</v>
      </c>
      <c r="C6168" t="s">
        <v>1262</v>
      </c>
      <c r="D6168" t="s">
        <v>2472</v>
      </c>
      <c r="E6168" t="s">
        <v>2474</v>
      </c>
      <c r="F6168" t="s">
        <v>1208</v>
      </c>
      <c r="G6168" t="s">
        <v>1208</v>
      </c>
      <c r="H6168" s="10">
        <v>63676</v>
      </c>
      <c r="I6168" t="str">
        <f>IFERROR(VLOOKUP(Final!F6168,'LEAID Match'!$A$2:$B$374,2,FALSE),"")</f>
        <v/>
      </c>
      <c r="K6168" s="10">
        <f t="shared" si="96"/>
        <v>63676</v>
      </c>
    </row>
    <row r="6169" spans="1:11">
      <c r="A6169" t="s">
        <v>2470</v>
      </c>
      <c r="B6169" s="10">
        <v>2023</v>
      </c>
      <c r="C6169" t="s">
        <v>1262</v>
      </c>
      <c r="D6169" t="s">
        <v>2472</v>
      </c>
      <c r="E6169" t="s">
        <v>2474</v>
      </c>
      <c r="F6169" t="s">
        <v>1208</v>
      </c>
      <c r="G6169" t="s">
        <v>1208</v>
      </c>
      <c r="H6169" s="10">
        <v>68353</v>
      </c>
      <c r="I6169" t="str">
        <f>IFERROR(VLOOKUP(Final!F6169,'LEAID Match'!$A$2:$B$374,2,FALSE),"")</f>
        <v/>
      </c>
      <c r="K6169" s="10">
        <f t="shared" si="96"/>
        <v>68353</v>
      </c>
    </row>
    <row r="6170" spans="1:11">
      <c r="A6170" t="s">
        <v>2470</v>
      </c>
      <c r="B6170" s="10">
        <v>2015</v>
      </c>
      <c r="C6170" t="s">
        <v>1115</v>
      </c>
      <c r="D6170" t="s">
        <v>2472</v>
      </c>
      <c r="E6170" t="s">
        <v>2474</v>
      </c>
      <c r="F6170" t="s">
        <v>1941</v>
      </c>
      <c r="G6170" t="s">
        <v>1060</v>
      </c>
      <c r="H6170" s="10">
        <v>34969</v>
      </c>
      <c r="I6170" t="str">
        <f>IFERROR(VLOOKUP(Final!F6170,'LEAID Match'!$A$2:$B$374,2,FALSE),"")</f>
        <v/>
      </c>
      <c r="K6170" s="10">
        <f t="shared" si="96"/>
        <v>34969</v>
      </c>
    </row>
    <row r="6171" spans="1:11">
      <c r="A6171" t="s">
        <v>2470</v>
      </c>
      <c r="B6171" s="10">
        <v>2016</v>
      </c>
      <c r="C6171" t="s">
        <v>1115</v>
      </c>
      <c r="D6171" t="s">
        <v>2472</v>
      </c>
      <c r="E6171" t="s">
        <v>2474</v>
      </c>
      <c r="F6171" t="s">
        <v>1941</v>
      </c>
      <c r="G6171" t="s">
        <v>1480</v>
      </c>
      <c r="H6171" s="10">
        <v>27713</v>
      </c>
      <c r="I6171" t="str">
        <f>IFERROR(VLOOKUP(Final!F6171,'LEAID Match'!$A$2:$B$374,2,FALSE),"")</f>
        <v/>
      </c>
      <c r="K6171" s="10">
        <f t="shared" si="96"/>
        <v>27713</v>
      </c>
    </row>
    <row r="6172" spans="1:11">
      <c r="A6172" t="s">
        <v>2470</v>
      </c>
      <c r="B6172" s="10">
        <v>2017</v>
      </c>
      <c r="C6172" t="s">
        <v>1115</v>
      </c>
      <c r="D6172" t="s">
        <v>2472</v>
      </c>
      <c r="E6172" t="s">
        <v>2474</v>
      </c>
      <c r="F6172" t="s">
        <v>1941</v>
      </c>
      <c r="G6172" t="s">
        <v>1941</v>
      </c>
      <c r="H6172" s="10">
        <v>36893</v>
      </c>
      <c r="I6172" t="str">
        <f>IFERROR(VLOOKUP(Final!F6172,'LEAID Match'!$A$2:$B$374,2,FALSE),"")</f>
        <v/>
      </c>
      <c r="K6172" s="10">
        <f t="shared" si="96"/>
        <v>36893</v>
      </c>
    </row>
    <row r="6173" spans="1:11">
      <c r="A6173" t="s">
        <v>2470</v>
      </c>
      <c r="B6173" s="10">
        <v>2018</v>
      </c>
      <c r="C6173" t="s">
        <v>1115</v>
      </c>
      <c r="D6173" t="s">
        <v>2472</v>
      </c>
      <c r="E6173" t="s">
        <v>2474</v>
      </c>
      <c r="F6173" t="s">
        <v>1941</v>
      </c>
      <c r="G6173" t="s">
        <v>1941</v>
      </c>
      <c r="H6173" s="10">
        <v>46680</v>
      </c>
      <c r="I6173" t="str">
        <f>IFERROR(VLOOKUP(Final!F6173,'LEAID Match'!$A$2:$B$374,2,FALSE),"")</f>
        <v/>
      </c>
      <c r="K6173" s="10">
        <f t="shared" si="96"/>
        <v>46680</v>
      </c>
    </row>
    <row r="6174" spans="1:11">
      <c r="A6174" t="s">
        <v>2470</v>
      </c>
      <c r="B6174" s="10">
        <v>2019</v>
      </c>
      <c r="C6174" t="s">
        <v>1115</v>
      </c>
      <c r="D6174" t="s">
        <v>2472</v>
      </c>
      <c r="E6174" t="s">
        <v>2474</v>
      </c>
      <c r="F6174" t="s">
        <v>1941</v>
      </c>
      <c r="G6174" t="s">
        <v>1941</v>
      </c>
      <c r="H6174" s="10">
        <v>47906</v>
      </c>
      <c r="I6174" t="str">
        <f>IFERROR(VLOOKUP(Final!F6174,'LEAID Match'!$A$2:$B$374,2,FALSE),"")</f>
        <v/>
      </c>
      <c r="K6174" s="10">
        <f t="shared" si="96"/>
        <v>47906</v>
      </c>
    </row>
    <row r="6175" spans="1:11">
      <c r="A6175" t="s">
        <v>2470</v>
      </c>
      <c r="B6175" s="10">
        <v>2020</v>
      </c>
      <c r="C6175" t="s">
        <v>1115</v>
      </c>
      <c r="D6175" t="s">
        <v>2472</v>
      </c>
      <c r="E6175" t="s">
        <v>2474</v>
      </c>
      <c r="F6175" t="s">
        <v>1941</v>
      </c>
      <c r="G6175" t="s">
        <v>1941</v>
      </c>
      <c r="H6175" s="10">
        <v>47811</v>
      </c>
      <c r="I6175" t="str">
        <f>IFERROR(VLOOKUP(Final!F6175,'LEAID Match'!$A$2:$B$374,2,FALSE),"")</f>
        <v/>
      </c>
      <c r="K6175" s="10">
        <f t="shared" si="96"/>
        <v>47811</v>
      </c>
    </row>
    <row r="6176" spans="1:11">
      <c r="A6176" t="s">
        <v>2470</v>
      </c>
      <c r="B6176" s="10">
        <v>2021</v>
      </c>
      <c r="C6176" t="s">
        <v>1115</v>
      </c>
      <c r="D6176" t="s">
        <v>2472</v>
      </c>
      <c r="E6176" t="s">
        <v>2474</v>
      </c>
      <c r="F6176" t="s">
        <v>1941</v>
      </c>
      <c r="G6176" t="s">
        <v>1941</v>
      </c>
      <c r="H6176" s="10">
        <v>58110</v>
      </c>
      <c r="I6176" t="str">
        <f>IFERROR(VLOOKUP(Final!F6176,'LEAID Match'!$A$2:$B$374,2,FALSE),"")</f>
        <v/>
      </c>
      <c r="K6176" s="10">
        <f t="shared" si="96"/>
        <v>58110</v>
      </c>
    </row>
    <row r="6177" spans="1:11">
      <c r="A6177" t="s">
        <v>2470</v>
      </c>
      <c r="B6177" s="10">
        <v>2022</v>
      </c>
      <c r="C6177" t="s">
        <v>1115</v>
      </c>
      <c r="D6177" t="s">
        <v>2472</v>
      </c>
      <c r="E6177" t="s">
        <v>2474</v>
      </c>
      <c r="F6177" t="s">
        <v>1941</v>
      </c>
      <c r="G6177" t="s">
        <v>1941</v>
      </c>
      <c r="H6177" s="10">
        <v>74032</v>
      </c>
      <c r="I6177" t="str">
        <f>IFERROR(VLOOKUP(Final!F6177,'LEAID Match'!$A$2:$B$374,2,FALSE),"")</f>
        <v/>
      </c>
      <c r="K6177" s="10">
        <f t="shared" si="96"/>
        <v>74032</v>
      </c>
    </row>
    <row r="6178" spans="1:11">
      <c r="A6178" t="s">
        <v>2470</v>
      </c>
      <c r="B6178" s="10">
        <v>2023</v>
      </c>
      <c r="C6178" t="s">
        <v>1115</v>
      </c>
      <c r="D6178" t="s">
        <v>2472</v>
      </c>
      <c r="E6178" t="s">
        <v>2474</v>
      </c>
      <c r="F6178" t="s">
        <v>1941</v>
      </c>
      <c r="G6178" t="s">
        <v>1941</v>
      </c>
      <c r="H6178" s="10">
        <v>87304</v>
      </c>
      <c r="I6178" t="str">
        <f>IFERROR(VLOOKUP(Final!F6178,'LEAID Match'!$A$2:$B$374,2,FALSE),"")</f>
        <v/>
      </c>
      <c r="K6178" s="10">
        <f t="shared" si="96"/>
        <v>87304</v>
      </c>
    </row>
    <row r="6179" spans="1:11">
      <c r="A6179" t="s">
        <v>2470</v>
      </c>
      <c r="B6179" s="10">
        <v>2015</v>
      </c>
      <c r="C6179" t="s">
        <v>594</v>
      </c>
      <c r="D6179" t="s">
        <v>2472</v>
      </c>
      <c r="E6179" t="s">
        <v>2474</v>
      </c>
      <c r="F6179" t="s">
        <v>2190</v>
      </c>
      <c r="G6179" t="s">
        <v>539</v>
      </c>
      <c r="H6179" s="10">
        <v>13829</v>
      </c>
      <c r="I6179" t="str">
        <f>IFERROR(VLOOKUP(Final!F6179,'LEAID Match'!$A$2:$B$374,2,FALSE),"")</f>
        <v/>
      </c>
      <c r="K6179" s="10">
        <f t="shared" si="96"/>
        <v>13829</v>
      </c>
    </row>
    <row r="6180" spans="1:11">
      <c r="A6180" t="s">
        <v>2470</v>
      </c>
      <c r="B6180" s="10">
        <v>2016</v>
      </c>
      <c r="C6180" t="s">
        <v>594</v>
      </c>
      <c r="D6180" t="s">
        <v>2472</v>
      </c>
      <c r="E6180" t="s">
        <v>2474</v>
      </c>
      <c r="F6180" t="s">
        <v>2190</v>
      </c>
      <c r="G6180" t="s">
        <v>539</v>
      </c>
      <c r="H6180" s="10">
        <v>16738</v>
      </c>
      <c r="I6180" t="str">
        <f>IFERROR(VLOOKUP(Final!F6180,'LEAID Match'!$A$2:$B$374,2,FALSE),"")</f>
        <v/>
      </c>
      <c r="K6180" s="10">
        <f t="shared" si="96"/>
        <v>16738</v>
      </c>
    </row>
    <row r="6181" spans="1:11">
      <c r="A6181" t="s">
        <v>2470</v>
      </c>
      <c r="B6181" s="10">
        <v>2017</v>
      </c>
      <c r="C6181" t="s">
        <v>594</v>
      </c>
      <c r="D6181" t="s">
        <v>2472</v>
      </c>
      <c r="E6181" t="s">
        <v>2474</v>
      </c>
      <c r="F6181" t="s">
        <v>2190</v>
      </c>
      <c r="G6181" t="s">
        <v>539</v>
      </c>
      <c r="H6181" s="10">
        <v>13980</v>
      </c>
      <c r="I6181" t="str">
        <f>IFERROR(VLOOKUP(Final!F6181,'LEAID Match'!$A$2:$B$374,2,FALSE),"")</f>
        <v/>
      </c>
      <c r="K6181" s="10">
        <f t="shared" si="96"/>
        <v>13980</v>
      </c>
    </row>
    <row r="6182" spans="1:11">
      <c r="A6182" t="s">
        <v>2470</v>
      </c>
      <c r="B6182" s="10">
        <v>2018</v>
      </c>
      <c r="C6182" t="s">
        <v>594</v>
      </c>
      <c r="D6182" t="s">
        <v>2472</v>
      </c>
      <c r="E6182" t="s">
        <v>2474</v>
      </c>
      <c r="F6182" t="s">
        <v>2190</v>
      </c>
      <c r="G6182" t="s">
        <v>2190</v>
      </c>
      <c r="H6182" s="10">
        <v>16920</v>
      </c>
      <c r="I6182" t="str">
        <f>IFERROR(VLOOKUP(Final!F6182,'LEAID Match'!$A$2:$B$374,2,FALSE),"")</f>
        <v/>
      </c>
      <c r="K6182" s="10">
        <f t="shared" si="96"/>
        <v>16920</v>
      </c>
    </row>
    <row r="6183" spans="1:11">
      <c r="A6183" t="s">
        <v>2470</v>
      </c>
      <c r="B6183" s="10">
        <v>2019</v>
      </c>
      <c r="C6183" t="s">
        <v>594</v>
      </c>
      <c r="D6183" t="s">
        <v>2472</v>
      </c>
      <c r="E6183" t="s">
        <v>2474</v>
      </c>
      <c r="F6183" t="s">
        <v>2190</v>
      </c>
      <c r="G6183" t="s">
        <v>2190</v>
      </c>
      <c r="H6183" s="10">
        <v>16327</v>
      </c>
      <c r="I6183" t="str">
        <f>IFERROR(VLOOKUP(Final!F6183,'LEAID Match'!$A$2:$B$374,2,FALSE),"")</f>
        <v/>
      </c>
      <c r="K6183" s="10">
        <f t="shared" si="96"/>
        <v>16327</v>
      </c>
    </row>
    <row r="6184" spans="1:11">
      <c r="A6184" t="s">
        <v>2470</v>
      </c>
      <c r="B6184" s="10">
        <v>2020</v>
      </c>
      <c r="C6184" t="s">
        <v>594</v>
      </c>
      <c r="D6184" t="s">
        <v>2472</v>
      </c>
      <c r="E6184" t="s">
        <v>2474</v>
      </c>
      <c r="F6184" t="s">
        <v>2190</v>
      </c>
      <c r="G6184" t="s">
        <v>2190</v>
      </c>
      <c r="H6184" s="10">
        <v>18827</v>
      </c>
      <c r="I6184" t="str">
        <f>IFERROR(VLOOKUP(Final!F6184,'LEAID Match'!$A$2:$B$374,2,FALSE),"")</f>
        <v/>
      </c>
      <c r="K6184" s="10">
        <f t="shared" si="96"/>
        <v>18827</v>
      </c>
    </row>
    <row r="6185" spans="1:11">
      <c r="A6185" t="s">
        <v>2470</v>
      </c>
      <c r="B6185" s="10">
        <v>2021</v>
      </c>
      <c r="C6185" t="s">
        <v>594</v>
      </c>
      <c r="D6185" t="s">
        <v>2472</v>
      </c>
      <c r="E6185" t="s">
        <v>2474</v>
      </c>
      <c r="F6185" t="s">
        <v>2190</v>
      </c>
      <c r="G6185" t="s">
        <v>2190</v>
      </c>
      <c r="H6185" s="10">
        <v>20028</v>
      </c>
      <c r="I6185" t="str">
        <f>IFERROR(VLOOKUP(Final!F6185,'LEAID Match'!$A$2:$B$374,2,FALSE),"")</f>
        <v/>
      </c>
      <c r="K6185" s="10">
        <f t="shared" si="96"/>
        <v>20028</v>
      </c>
    </row>
    <row r="6186" spans="1:11">
      <c r="A6186" t="s">
        <v>2470</v>
      </c>
      <c r="B6186" s="10">
        <v>2022</v>
      </c>
      <c r="C6186" t="s">
        <v>594</v>
      </c>
      <c r="D6186" t="s">
        <v>2472</v>
      </c>
      <c r="E6186" t="s">
        <v>2474</v>
      </c>
      <c r="F6186" t="s">
        <v>2190</v>
      </c>
      <c r="G6186" t="s">
        <v>2190</v>
      </c>
      <c r="H6186" s="10">
        <v>31086</v>
      </c>
      <c r="I6186" t="str">
        <f>IFERROR(VLOOKUP(Final!F6186,'LEAID Match'!$A$2:$B$374,2,FALSE),"")</f>
        <v/>
      </c>
      <c r="K6186" s="10">
        <f t="shared" si="96"/>
        <v>31086</v>
      </c>
    </row>
    <row r="6187" spans="1:11">
      <c r="A6187" t="s">
        <v>2470</v>
      </c>
      <c r="B6187" s="10">
        <v>2023</v>
      </c>
      <c r="C6187" t="s">
        <v>594</v>
      </c>
      <c r="D6187" t="s">
        <v>2472</v>
      </c>
      <c r="E6187" t="s">
        <v>2474</v>
      </c>
      <c r="F6187" t="s">
        <v>2190</v>
      </c>
      <c r="G6187" t="s">
        <v>2190</v>
      </c>
      <c r="H6187" s="10">
        <v>31436</v>
      </c>
      <c r="I6187" t="str">
        <f>IFERROR(VLOOKUP(Final!F6187,'LEAID Match'!$A$2:$B$374,2,FALSE),"")</f>
        <v/>
      </c>
      <c r="K6187" s="10">
        <f t="shared" si="96"/>
        <v>31436</v>
      </c>
    </row>
    <row r="6188" spans="1:11">
      <c r="A6188" t="s">
        <v>2470</v>
      </c>
      <c r="B6188" s="10">
        <v>2015</v>
      </c>
      <c r="C6188" t="s">
        <v>1141</v>
      </c>
      <c r="D6188" t="s">
        <v>2472</v>
      </c>
      <c r="E6188" t="s">
        <v>2474</v>
      </c>
      <c r="F6188" t="s">
        <v>1971</v>
      </c>
      <c r="G6188" t="s">
        <v>1086</v>
      </c>
      <c r="H6188" s="10">
        <v>11710</v>
      </c>
      <c r="I6188" t="str">
        <f>IFERROR(VLOOKUP(Final!F6188,'LEAID Match'!$A$2:$B$374,2,FALSE),"")</f>
        <v/>
      </c>
      <c r="K6188" s="10">
        <f t="shared" si="96"/>
        <v>11710</v>
      </c>
    </row>
    <row r="6189" spans="1:11">
      <c r="A6189" t="s">
        <v>2470</v>
      </c>
      <c r="B6189" s="10">
        <v>2016</v>
      </c>
      <c r="C6189" t="s">
        <v>1141</v>
      </c>
      <c r="D6189" t="s">
        <v>2472</v>
      </c>
      <c r="E6189" t="s">
        <v>2474</v>
      </c>
      <c r="F6189" t="s">
        <v>1971</v>
      </c>
      <c r="G6189" t="s">
        <v>1086</v>
      </c>
      <c r="H6189" s="10">
        <v>18033</v>
      </c>
      <c r="I6189" t="str">
        <f>IFERROR(VLOOKUP(Final!F6189,'LEAID Match'!$A$2:$B$374,2,FALSE),"")</f>
        <v/>
      </c>
      <c r="K6189" s="10">
        <f t="shared" si="96"/>
        <v>18033</v>
      </c>
    </row>
    <row r="6190" spans="1:11">
      <c r="A6190" t="s">
        <v>2470</v>
      </c>
      <c r="B6190" s="10">
        <v>2017</v>
      </c>
      <c r="C6190" t="s">
        <v>1141</v>
      </c>
      <c r="D6190" t="s">
        <v>2472</v>
      </c>
      <c r="E6190" t="s">
        <v>2474</v>
      </c>
      <c r="F6190" t="s">
        <v>1971</v>
      </c>
      <c r="G6190" t="s">
        <v>1971</v>
      </c>
      <c r="H6190" s="10">
        <v>18479</v>
      </c>
      <c r="I6190" t="str">
        <f>IFERROR(VLOOKUP(Final!F6190,'LEAID Match'!$A$2:$B$374,2,FALSE),"")</f>
        <v/>
      </c>
      <c r="K6190" s="10">
        <f t="shared" si="96"/>
        <v>18479</v>
      </c>
    </row>
    <row r="6191" spans="1:11">
      <c r="A6191" t="s">
        <v>2470</v>
      </c>
      <c r="B6191" s="10">
        <v>2018</v>
      </c>
      <c r="C6191" t="s">
        <v>1141</v>
      </c>
      <c r="D6191" t="s">
        <v>2472</v>
      </c>
      <c r="E6191" t="s">
        <v>2474</v>
      </c>
      <c r="F6191" t="s">
        <v>1971</v>
      </c>
      <c r="G6191" t="s">
        <v>1971</v>
      </c>
      <c r="H6191" s="10">
        <v>19051</v>
      </c>
      <c r="I6191" t="str">
        <f>IFERROR(VLOOKUP(Final!F6191,'LEAID Match'!$A$2:$B$374,2,FALSE),"")</f>
        <v/>
      </c>
      <c r="K6191" s="10">
        <f t="shared" si="96"/>
        <v>19051</v>
      </c>
    </row>
    <row r="6192" spans="1:11">
      <c r="A6192" t="s">
        <v>2470</v>
      </c>
      <c r="B6192" s="10">
        <v>2019</v>
      </c>
      <c r="C6192" t="s">
        <v>1141</v>
      </c>
      <c r="D6192" t="s">
        <v>2472</v>
      </c>
      <c r="E6192" t="s">
        <v>2474</v>
      </c>
      <c r="F6192" t="s">
        <v>1971</v>
      </c>
      <c r="G6192" t="s">
        <v>1971</v>
      </c>
      <c r="H6192" s="10">
        <v>21762</v>
      </c>
      <c r="I6192" t="str">
        <f>IFERROR(VLOOKUP(Final!F6192,'LEAID Match'!$A$2:$B$374,2,FALSE),"")</f>
        <v/>
      </c>
      <c r="K6192" s="10">
        <f t="shared" si="96"/>
        <v>21762</v>
      </c>
    </row>
    <row r="6193" spans="1:11">
      <c r="A6193" t="s">
        <v>2470</v>
      </c>
      <c r="B6193" s="10">
        <v>2020</v>
      </c>
      <c r="C6193" t="s">
        <v>1141</v>
      </c>
      <c r="D6193" t="s">
        <v>2472</v>
      </c>
      <c r="E6193" t="s">
        <v>2474</v>
      </c>
      <c r="F6193" t="s">
        <v>1971</v>
      </c>
      <c r="G6193" t="s">
        <v>1971</v>
      </c>
      <c r="H6193" s="10">
        <v>22971</v>
      </c>
      <c r="I6193" t="str">
        <f>IFERROR(VLOOKUP(Final!F6193,'LEAID Match'!$A$2:$B$374,2,FALSE),"")</f>
        <v/>
      </c>
      <c r="K6193" s="10">
        <f t="shared" si="96"/>
        <v>22971</v>
      </c>
    </row>
    <row r="6194" spans="1:11">
      <c r="A6194" t="s">
        <v>2470</v>
      </c>
      <c r="B6194" s="10">
        <v>2021</v>
      </c>
      <c r="C6194" t="s">
        <v>1141</v>
      </c>
      <c r="D6194" t="s">
        <v>2472</v>
      </c>
      <c r="E6194" t="s">
        <v>2474</v>
      </c>
      <c r="F6194" t="s">
        <v>1971</v>
      </c>
      <c r="G6194" t="s">
        <v>1971</v>
      </c>
      <c r="H6194" s="10">
        <v>24853</v>
      </c>
      <c r="I6194" t="str">
        <f>IFERROR(VLOOKUP(Final!F6194,'LEAID Match'!$A$2:$B$374,2,FALSE),"")</f>
        <v/>
      </c>
      <c r="K6194" s="10">
        <f t="shared" si="96"/>
        <v>24853</v>
      </c>
    </row>
    <row r="6195" spans="1:11">
      <c r="A6195" t="s">
        <v>2470</v>
      </c>
      <c r="B6195" s="10">
        <v>2022</v>
      </c>
      <c r="C6195" t="s">
        <v>1141</v>
      </c>
      <c r="D6195" t="s">
        <v>2472</v>
      </c>
      <c r="E6195" t="s">
        <v>2474</v>
      </c>
      <c r="F6195" t="s">
        <v>1971</v>
      </c>
      <c r="G6195" t="s">
        <v>1971</v>
      </c>
      <c r="H6195" s="10">
        <v>22886</v>
      </c>
      <c r="I6195" t="str">
        <f>IFERROR(VLOOKUP(Final!F6195,'LEAID Match'!$A$2:$B$374,2,FALSE),"")</f>
        <v/>
      </c>
      <c r="K6195" s="10">
        <f t="shared" si="96"/>
        <v>22886</v>
      </c>
    </row>
    <row r="6196" spans="1:11">
      <c r="A6196" t="s">
        <v>2470</v>
      </c>
      <c r="B6196" s="10">
        <v>2023</v>
      </c>
      <c r="C6196" t="s">
        <v>1141</v>
      </c>
      <c r="D6196" t="s">
        <v>2472</v>
      </c>
      <c r="E6196" t="s">
        <v>2474</v>
      </c>
      <c r="F6196" t="s">
        <v>1971</v>
      </c>
      <c r="G6196" t="s">
        <v>1971</v>
      </c>
      <c r="H6196" s="10">
        <v>26566</v>
      </c>
      <c r="I6196" t="str">
        <f>IFERROR(VLOOKUP(Final!F6196,'LEAID Match'!$A$2:$B$374,2,FALSE),"")</f>
        <v/>
      </c>
      <c r="K6196" s="10">
        <f t="shared" si="96"/>
        <v>26566</v>
      </c>
    </row>
    <row r="6197" spans="1:11">
      <c r="A6197" t="s">
        <v>2470</v>
      </c>
      <c r="B6197" s="10">
        <v>2015</v>
      </c>
      <c r="C6197" t="s">
        <v>1425</v>
      </c>
      <c r="D6197" t="s">
        <v>2472</v>
      </c>
      <c r="E6197" t="s">
        <v>2474</v>
      </c>
      <c r="F6197" t="s">
        <v>258</v>
      </c>
      <c r="G6197" t="s">
        <v>258</v>
      </c>
      <c r="H6197" s="10">
        <v>23568</v>
      </c>
      <c r="I6197" t="str">
        <f>IFERROR(VLOOKUP(Final!F6197,'LEAID Match'!$A$2:$B$374,2,FALSE),"")</f>
        <v/>
      </c>
      <c r="K6197" s="10">
        <f t="shared" si="96"/>
        <v>23568</v>
      </c>
    </row>
    <row r="6198" spans="1:11">
      <c r="A6198" t="s">
        <v>2470</v>
      </c>
      <c r="B6198" s="10">
        <v>2016</v>
      </c>
      <c r="C6198" t="s">
        <v>1425</v>
      </c>
      <c r="D6198" t="s">
        <v>2472</v>
      </c>
      <c r="E6198" t="s">
        <v>2474</v>
      </c>
      <c r="F6198" t="s">
        <v>258</v>
      </c>
      <c r="G6198" t="s">
        <v>258</v>
      </c>
      <c r="H6198" s="10">
        <v>33935</v>
      </c>
      <c r="I6198" t="str">
        <f>IFERROR(VLOOKUP(Final!F6198,'LEAID Match'!$A$2:$B$374,2,FALSE),"")</f>
        <v/>
      </c>
      <c r="K6198" s="10">
        <f t="shared" si="96"/>
        <v>33935</v>
      </c>
    </row>
    <row r="6199" spans="1:11">
      <c r="A6199" t="s">
        <v>2470</v>
      </c>
      <c r="B6199" s="10">
        <v>2017</v>
      </c>
      <c r="C6199" t="s">
        <v>1425</v>
      </c>
      <c r="D6199" t="s">
        <v>2472</v>
      </c>
      <c r="E6199" t="s">
        <v>2474</v>
      </c>
      <c r="F6199" t="s">
        <v>258</v>
      </c>
      <c r="G6199" t="s">
        <v>258</v>
      </c>
      <c r="H6199" s="10">
        <v>33620</v>
      </c>
      <c r="I6199" t="str">
        <f>IFERROR(VLOOKUP(Final!F6199,'LEAID Match'!$A$2:$B$374,2,FALSE),"")</f>
        <v/>
      </c>
      <c r="K6199" s="10">
        <f t="shared" si="96"/>
        <v>33620</v>
      </c>
    </row>
    <row r="6200" spans="1:11">
      <c r="A6200" t="s">
        <v>2470</v>
      </c>
      <c r="B6200" s="10">
        <v>2018</v>
      </c>
      <c r="C6200" t="s">
        <v>1425</v>
      </c>
      <c r="D6200" t="s">
        <v>2472</v>
      </c>
      <c r="E6200" t="s">
        <v>2474</v>
      </c>
      <c r="F6200" t="s">
        <v>258</v>
      </c>
      <c r="G6200" t="s">
        <v>258</v>
      </c>
      <c r="H6200" s="10">
        <v>32683</v>
      </c>
      <c r="I6200" t="str">
        <f>IFERROR(VLOOKUP(Final!F6200,'LEAID Match'!$A$2:$B$374,2,FALSE),"")</f>
        <v/>
      </c>
      <c r="K6200" s="10">
        <f t="shared" si="96"/>
        <v>32683</v>
      </c>
    </row>
    <row r="6201" spans="1:11">
      <c r="A6201" t="s">
        <v>2470</v>
      </c>
      <c r="B6201" s="10">
        <v>2019</v>
      </c>
      <c r="C6201" t="s">
        <v>1425</v>
      </c>
      <c r="D6201" t="s">
        <v>2472</v>
      </c>
      <c r="E6201" t="s">
        <v>2474</v>
      </c>
      <c r="F6201" t="s">
        <v>258</v>
      </c>
      <c r="G6201" t="s">
        <v>258</v>
      </c>
      <c r="H6201" s="10">
        <v>34734</v>
      </c>
      <c r="I6201" t="str">
        <f>IFERROR(VLOOKUP(Final!F6201,'LEAID Match'!$A$2:$B$374,2,FALSE),"")</f>
        <v/>
      </c>
      <c r="K6201" s="10">
        <f t="shared" si="96"/>
        <v>34734</v>
      </c>
    </row>
    <row r="6202" spans="1:11">
      <c r="A6202" t="s">
        <v>2470</v>
      </c>
      <c r="B6202" s="10">
        <v>2020</v>
      </c>
      <c r="C6202" t="s">
        <v>1425</v>
      </c>
      <c r="D6202" t="s">
        <v>2472</v>
      </c>
      <c r="E6202" t="s">
        <v>2474</v>
      </c>
      <c r="F6202" t="s">
        <v>258</v>
      </c>
      <c r="G6202" t="s">
        <v>258</v>
      </c>
      <c r="H6202" s="10">
        <v>35828</v>
      </c>
      <c r="I6202" t="str">
        <f>IFERROR(VLOOKUP(Final!F6202,'LEAID Match'!$A$2:$B$374,2,FALSE),"")</f>
        <v/>
      </c>
      <c r="K6202" s="10">
        <f t="shared" si="96"/>
        <v>35828</v>
      </c>
    </row>
    <row r="6203" spans="1:11">
      <c r="A6203" t="s">
        <v>2470</v>
      </c>
      <c r="B6203" s="10">
        <v>2021</v>
      </c>
      <c r="C6203" t="s">
        <v>1425</v>
      </c>
      <c r="D6203" t="s">
        <v>2472</v>
      </c>
      <c r="E6203" t="s">
        <v>2474</v>
      </c>
      <c r="F6203" t="s">
        <v>258</v>
      </c>
      <c r="G6203" t="s">
        <v>258</v>
      </c>
      <c r="H6203" s="10">
        <v>38080</v>
      </c>
      <c r="I6203" t="str">
        <f>IFERROR(VLOOKUP(Final!F6203,'LEAID Match'!$A$2:$B$374,2,FALSE),"")</f>
        <v/>
      </c>
      <c r="K6203" s="10">
        <f t="shared" si="96"/>
        <v>38080</v>
      </c>
    </row>
    <row r="6204" spans="1:11">
      <c r="A6204" t="s">
        <v>2470</v>
      </c>
      <c r="B6204" s="10">
        <v>2022</v>
      </c>
      <c r="C6204" t="s">
        <v>1425</v>
      </c>
      <c r="D6204" t="s">
        <v>2472</v>
      </c>
      <c r="E6204" t="s">
        <v>2474</v>
      </c>
      <c r="F6204" t="s">
        <v>258</v>
      </c>
      <c r="G6204" t="s">
        <v>258</v>
      </c>
      <c r="H6204" s="10">
        <v>57967</v>
      </c>
      <c r="I6204" t="str">
        <f>IFERROR(VLOOKUP(Final!F6204,'LEAID Match'!$A$2:$B$374,2,FALSE),"")</f>
        <v/>
      </c>
      <c r="K6204" s="10">
        <f t="shared" si="96"/>
        <v>57967</v>
      </c>
    </row>
    <row r="6205" spans="1:11">
      <c r="A6205" t="s">
        <v>2470</v>
      </c>
      <c r="B6205" s="10">
        <v>2023</v>
      </c>
      <c r="C6205" t="s">
        <v>1425</v>
      </c>
      <c r="D6205" t="s">
        <v>2472</v>
      </c>
      <c r="E6205" t="s">
        <v>2474</v>
      </c>
      <c r="F6205" t="s">
        <v>258</v>
      </c>
      <c r="G6205" t="s">
        <v>258</v>
      </c>
      <c r="H6205" s="10">
        <v>59235</v>
      </c>
      <c r="I6205" t="str">
        <f>IFERROR(VLOOKUP(Final!F6205,'LEAID Match'!$A$2:$B$374,2,FALSE),"")</f>
        <v/>
      </c>
      <c r="K6205" s="10">
        <f t="shared" si="96"/>
        <v>59235</v>
      </c>
    </row>
    <row r="6206" spans="1:11">
      <c r="A6206" t="s">
        <v>2470</v>
      </c>
      <c r="B6206" s="10">
        <v>2015</v>
      </c>
      <c r="C6206" t="s">
        <v>1405</v>
      </c>
      <c r="D6206" t="s">
        <v>2472</v>
      </c>
      <c r="E6206" t="s">
        <v>2474</v>
      </c>
      <c r="F6206" t="s">
        <v>1586</v>
      </c>
      <c r="G6206" t="s">
        <v>240</v>
      </c>
      <c r="H6206" s="10">
        <v>49901</v>
      </c>
      <c r="I6206" t="str">
        <f>IFERROR(VLOOKUP(Final!F6206,'LEAID Match'!$A$2:$B$374,2,FALSE),"")</f>
        <v/>
      </c>
      <c r="K6206" s="10">
        <f t="shared" si="96"/>
        <v>49901</v>
      </c>
    </row>
    <row r="6207" spans="1:11">
      <c r="A6207" t="s">
        <v>2470</v>
      </c>
      <c r="B6207" s="10">
        <v>2016</v>
      </c>
      <c r="C6207" t="s">
        <v>1405</v>
      </c>
      <c r="D6207" t="s">
        <v>2472</v>
      </c>
      <c r="E6207" t="s">
        <v>2474</v>
      </c>
      <c r="F6207" t="s">
        <v>1586</v>
      </c>
      <c r="G6207" t="s">
        <v>240</v>
      </c>
      <c r="H6207" s="10">
        <v>51768</v>
      </c>
      <c r="I6207" t="str">
        <f>IFERROR(VLOOKUP(Final!F6207,'LEAID Match'!$A$2:$B$374,2,FALSE),"")</f>
        <v/>
      </c>
      <c r="K6207" s="10">
        <f t="shared" si="96"/>
        <v>51768</v>
      </c>
    </row>
    <row r="6208" spans="1:11">
      <c r="A6208" t="s">
        <v>2470</v>
      </c>
      <c r="B6208" s="10">
        <v>2017</v>
      </c>
      <c r="C6208" t="s">
        <v>1405</v>
      </c>
      <c r="D6208" t="s">
        <v>2472</v>
      </c>
      <c r="E6208" t="s">
        <v>2474</v>
      </c>
      <c r="F6208" t="s">
        <v>1586</v>
      </c>
      <c r="G6208" t="s">
        <v>1586</v>
      </c>
      <c r="H6208" s="10">
        <v>52553</v>
      </c>
      <c r="I6208" t="str">
        <f>IFERROR(VLOOKUP(Final!F6208,'LEAID Match'!$A$2:$B$374,2,FALSE),"")</f>
        <v/>
      </c>
      <c r="K6208" s="10">
        <f t="shared" si="96"/>
        <v>52553</v>
      </c>
    </row>
    <row r="6209" spans="1:11">
      <c r="A6209" t="s">
        <v>2470</v>
      </c>
      <c r="B6209" s="10">
        <v>2018</v>
      </c>
      <c r="C6209" t="s">
        <v>1405</v>
      </c>
      <c r="D6209" t="s">
        <v>2472</v>
      </c>
      <c r="E6209" t="s">
        <v>2474</v>
      </c>
      <c r="F6209" t="s">
        <v>1586</v>
      </c>
      <c r="G6209" t="s">
        <v>2105</v>
      </c>
      <c r="H6209" s="10">
        <v>55811</v>
      </c>
      <c r="I6209" t="str">
        <f>IFERROR(VLOOKUP(Final!F6209,'LEAID Match'!$A$2:$B$374,2,FALSE),"")</f>
        <v/>
      </c>
      <c r="K6209" s="10">
        <f t="shared" si="96"/>
        <v>55811</v>
      </c>
    </row>
    <row r="6210" spans="1:11">
      <c r="A6210" t="s">
        <v>2470</v>
      </c>
      <c r="B6210" s="10">
        <v>2019</v>
      </c>
      <c r="C6210" t="s">
        <v>1405</v>
      </c>
      <c r="D6210" t="s">
        <v>2472</v>
      </c>
      <c r="E6210" t="s">
        <v>2474</v>
      </c>
      <c r="F6210" t="s">
        <v>1586</v>
      </c>
      <c r="G6210" t="s">
        <v>1586</v>
      </c>
      <c r="H6210" s="10">
        <v>59957</v>
      </c>
      <c r="I6210" t="str">
        <f>IFERROR(VLOOKUP(Final!F6210,'LEAID Match'!$A$2:$B$374,2,FALSE),"")</f>
        <v/>
      </c>
      <c r="K6210" s="10">
        <f t="shared" si="96"/>
        <v>59957</v>
      </c>
    </row>
    <row r="6211" spans="1:11">
      <c r="A6211" t="s">
        <v>2470</v>
      </c>
      <c r="B6211" s="10">
        <v>2020</v>
      </c>
      <c r="C6211" t="s">
        <v>1405</v>
      </c>
      <c r="D6211" t="s">
        <v>2472</v>
      </c>
      <c r="E6211" t="s">
        <v>2474</v>
      </c>
      <c r="F6211" t="s">
        <v>1586</v>
      </c>
      <c r="G6211" t="s">
        <v>1586</v>
      </c>
      <c r="H6211" s="10">
        <v>66824</v>
      </c>
      <c r="I6211" t="str">
        <f>IFERROR(VLOOKUP(Final!F6211,'LEAID Match'!$A$2:$B$374,2,FALSE),"")</f>
        <v/>
      </c>
      <c r="K6211" s="10">
        <f t="shared" ref="K6211:K6274" si="97">SUM(H6211,J6211)</f>
        <v>66824</v>
      </c>
    </row>
    <row r="6212" spans="1:11">
      <c r="A6212" t="s">
        <v>2470</v>
      </c>
      <c r="B6212" s="10">
        <v>2021</v>
      </c>
      <c r="C6212" t="s">
        <v>1405</v>
      </c>
      <c r="D6212" t="s">
        <v>2472</v>
      </c>
      <c r="E6212" t="s">
        <v>2474</v>
      </c>
      <c r="F6212" t="s">
        <v>1586</v>
      </c>
      <c r="G6212" t="s">
        <v>1586</v>
      </c>
      <c r="H6212" s="10">
        <v>56310</v>
      </c>
      <c r="I6212" t="str">
        <f>IFERROR(VLOOKUP(Final!F6212,'LEAID Match'!$A$2:$B$374,2,FALSE),"")</f>
        <v/>
      </c>
      <c r="K6212" s="10">
        <f t="shared" si="97"/>
        <v>56310</v>
      </c>
    </row>
    <row r="6213" spans="1:11">
      <c r="A6213" t="s">
        <v>2470</v>
      </c>
      <c r="B6213" s="10">
        <v>2022</v>
      </c>
      <c r="C6213" t="s">
        <v>1405</v>
      </c>
      <c r="D6213" t="s">
        <v>2472</v>
      </c>
      <c r="E6213" t="s">
        <v>2474</v>
      </c>
      <c r="F6213" t="s">
        <v>1586</v>
      </c>
      <c r="G6213" t="s">
        <v>1586</v>
      </c>
      <c r="H6213" s="10">
        <v>60487</v>
      </c>
      <c r="I6213" t="str">
        <f>IFERROR(VLOOKUP(Final!F6213,'LEAID Match'!$A$2:$B$374,2,FALSE),"")</f>
        <v/>
      </c>
      <c r="K6213" s="10">
        <f t="shared" si="97"/>
        <v>60487</v>
      </c>
    </row>
    <row r="6214" spans="1:11">
      <c r="A6214" t="s">
        <v>2470</v>
      </c>
      <c r="B6214" s="10">
        <v>2023</v>
      </c>
      <c r="C6214" t="s">
        <v>1405</v>
      </c>
      <c r="D6214" t="s">
        <v>2472</v>
      </c>
      <c r="E6214" t="s">
        <v>2474</v>
      </c>
      <c r="F6214" t="s">
        <v>1586</v>
      </c>
      <c r="G6214" t="s">
        <v>1586</v>
      </c>
      <c r="H6214" s="10">
        <v>67522</v>
      </c>
      <c r="I6214" t="str">
        <f>IFERROR(VLOOKUP(Final!F6214,'LEAID Match'!$A$2:$B$374,2,FALSE),"")</f>
        <v/>
      </c>
      <c r="K6214" s="10">
        <f t="shared" si="97"/>
        <v>67522</v>
      </c>
    </row>
    <row r="6215" spans="1:11">
      <c r="A6215" t="s">
        <v>2470</v>
      </c>
      <c r="B6215" s="10">
        <v>2015</v>
      </c>
      <c r="C6215" t="s">
        <v>556</v>
      </c>
      <c r="D6215" t="s">
        <v>2472</v>
      </c>
      <c r="E6215" t="s">
        <v>2474</v>
      </c>
      <c r="F6215" t="s">
        <v>501</v>
      </c>
      <c r="G6215" t="s">
        <v>501</v>
      </c>
      <c r="H6215" s="10">
        <v>7124</v>
      </c>
      <c r="I6215" t="str">
        <f>IFERROR(VLOOKUP(Final!F6215,'LEAID Match'!$A$2:$B$374,2,FALSE),"")</f>
        <v/>
      </c>
      <c r="K6215" s="10">
        <f t="shared" si="97"/>
        <v>7124</v>
      </c>
    </row>
    <row r="6216" spans="1:11">
      <c r="A6216" t="s">
        <v>2470</v>
      </c>
      <c r="B6216" s="10">
        <v>2016</v>
      </c>
      <c r="C6216" t="s">
        <v>556</v>
      </c>
      <c r="D6216" t="s">
        <v>2472</v>
      </c>
      <c r="E6216" t="s">
        <v>2474</v>
      </c>
      <c r="F6216" t="s">
        <v>501</v>
      </c>
      <c r="G6216" t="s">
        <v>501</v>
      </c>
      <c r="H6216" s="10">
        <v>7202</v>
      </c>
      <c r="I6216" t="str">
        <f>IFERROR(VLOOKUP(Final!F6216,'LEAID Match'!$A$2:$B$374,2,FALSE),"")</f>
        <v/>
      </c>
      <c r="K6216" s="10">
        <f t="shared" si="97"/>
        <v>7202</v>
      </c>
    </row>
    <row r="6217" spans="1:11">
      <c r="A6217" t="s">
        <v>2470</v>
      </c>
      <c r="B6217" s="10">
        <v>2017</v>
      </c>
      <c r="C6217" t="s">
        <v>556</v>
      </c>
      <c r="D6217" t="s">
        <v>2472</v>
      </c>
      <c r="E6217" t="s">
        <v>2474</v>
      </c>
      <c r="F6217" t="s">
        <v>501</v>
      </c>
      <c r="G6217" t="s">
        <v>501</v>
      </c>
      <c r="H6217" s="10">
        <v>7344</v>
      </c>
      <c r="I6217" t="str">
        <f>IFERROR(VLOOKUP(Final!F6217,'LEAID Match'!$A$2:$B$374,2,FALSE),"")</f>
        <v/>
      </c>
      <c r="K6217" s="10">
        <f t="shared" si="97"/>
        <v>7344</v>
      </c>
    </row>
    <row r="6218" spans="1:11">
      <c r="A6218" t="s">
        <v>2470</v>
      </c>
      <c r="B6218" s="10">
        <v>2018</v>
      </c>
      <c r="C6218" t="s">
        <v>556</v>
      </c>
      <c r="D6218" t="s">
        <v>2472</v>
      </c>
      <c r="E6218" t="s">
        <v>2474</v>
      </c>
      <c r="F6218" t="s">
        <v>501</v>
      </c>
      <c r="G6218" t="s">
        <v>501</v>
      </c>
      <c r="H6218" s="10"/>
      <c r="I6218" t="str">
        <f>IFERROR(VLOOKUP(Final!F6218,'LEAID Match'!$A$2:$B$374,2,FALSE),"")</f>
        <v/>
      </c>
      <c r="K6218" s="10">
        <f t="shared" si="97"/>
        <v>0</v>
      </c>
    </row>
    <row r="6219" spans="1:11">
      <c r="A6219" t="s">
        <v>2470</v>
      </c>
      <c r="B6219" s="10">
        <v>2019</v>
      </c>
      <c r="C6219" t="s">
        <v>556</v>
      </c>
      <c r="D6219" t="s">
        <v>2472</v>
      </c>
      <c r="E6219" t="s">
        <v>2474</v>
      </c>
      <c r="F6219" t="s">
        <v>501</v>
      </c>
      <c r="G6219" t="s">
        <v>501</v>
      </c>
      <c r="H6219" s="10"/>
      <c r="I6219" t="str">
        <f>IFERROR(VLOOKUP(Final!F6219,'LEAID Match'!$A$2:$B$374,2,FALSE),"")</f>
        <v/>
      </c>
      <c r="K6219" s="10">
        <f t="shared" si="97"/>
        <v>0</v>
      </c>
    </row>
    <row r="6220" spans="1:11">
      <c r="A6220" t="s">
        <v>2470</v>
      </c>
      <c r="B6220" s="10">
        <v>2020</v>
      </c>
      <c r="C6220" t="s">
        <v>556</v>
      </c>
      <c r="D6220" t="s">
        <v>2472</v>
      </c>
      <c r="E6220" t="s">
        <v>2474</v>
      </c>
      <c r="F6220" t="s">
        <v>501</v>
      </c>
      <c r="G6220" t="s">
        <v>501</v>
      </c>
      <c r="H6220" s="10"/>
      <c r="I6220" t="str">
        <f>IFERROR(VLOOKUP(Final!F6220,'LEAID Match'!$A$2:$B$374,2,FALSE),"")</f>
        <v/>
      </c>
      <c r="K6220" s="10">
        <f t="shared" si="97"/>
        <v>0</v>
      </c>
    </row>
    <row r="6221" spans="1:11">
      <c r="A6221" t="s">
        <v>2470</v>
      </c>
      <c r="B6221" s="10">
        <v>2021</v>
      </c>
      <c r="C6221" t="s">
        <v>556</v>
      </c>
      <c r="D6221" t="s">
        <v>2472</v>
      </c>
      <c r="E6221" t="s">
        <v>2474</v>
      </c>
      <c r="F6221" t="s">
        <v>501</v>
      </c>
      <c r="G6221" t="s">
        <v>501</v>
      </c>
      <c r="H6221" s="10"/>
      <c r="I6221" t="str">
        <f>IFERROR(VLOOKUP(Final!F6221,'LEAID Match'!$A$2:$B$374,2,FALSE),"")</f>
        <v/>
      </c>
      <c r="K6221" s="10">
        <f t="shared" si="97"/>
        <v>0</v>
      </c>
    </row>
    <row r="6222" spans="1:11">
      <c r="A6222" t="s">
        <v>2470</v>
      </c>
      <c r="B6222" s="10">
        <v>2022</v>
      </c>
      <c r="C6222" t="s">
        <v>556</v>
      </c>
      <c r="D6222" t="s">
        <v>2472</v>
      </c>
      <c r="E6222" t="s">
        <v>2474</v>
      </c>
      <c r="F6222" t="s">
        <v>501</v>
      </c>
      <c r="G6222" t="s">
        <v>501</v>
      </c>
      <c r="H6222" s="10"/>
      <c r="I6222" t="str">
        <f>IFERROR(VLOOKUP(Final!F6222,'LEAID Match'!$A$2:$B$374,2,FALSE),"")</f>
        <v/>
      </c>
      <c r="K6222" s="10">
        <f t="shared" si="97"/>
        <v>0</v>
      </c>
    </row>
    <row r="6223" spans="1:11">
      <c r="A6223" t="s">
        <v>2470</v>
      </c>
      <c r="B6223" s="10">
        <v>2023</v>
      </c>
      <c r="C6223" t="s">
        <v>556</v>
      </c>
      <c r="D6223" t="s">
        <v>2472</v>
      </c>
      <c r="E6223" t="s">
        <v>2474</v>
      </c>
      <c r="F6223" t="s">
        <v>501</v>
      </c>
      <c r="G6223" t="s">
        <v>501</v>
      </c>
      <c r="H6223" s="10"/>
      <c r="I6223" t="str">
        <f>IFERROR(VLOOKUP(Final!F6223,'LEAID Match'!$A$2:$B$374,2,FALSE),"")</f>
        <v/>
      </c>
      <c r="K6223" s="10">
        <f t="shared" si="97"/>
        <v>0</v>
      </c>
    </row>
    <row r="6224" spans="1:11">
      <c r="A6224" t="s">
        <v>2470</v>
      </c>
      <c r="B6224" s="10">
        <v>2015</v>
      </c>
      <c r="C6224" t="s">
        <v>1008</v>
      </c>
      <c r="D6224" t="s">
        <v>2472</v>
      </c>
      <c r="E6224" t="s">
        <v>2474</v>
      </c>
      <c r="F6224" t="s">
        <v>2286</v>
      </c>
      <c r="G6224" t="s">
        <v>953</v>
      </c>
      <c r="H6224" s="10">
        <v>26636</v>
      </c>
      <c r="I6224" t="str">
        <f>IFERROR(VLOOKUP(Final!F6224,'LEAID Match'!$A$2:$B$374,2,FALSE),"")</f>
        <v/>
      </c>
      <c r="K6224" s="10">
        <f t="shared" si="97"/>
        <v>26636</v>
      </c>
    </row>
    <row r="6225" spans="1:11">
      <c r="A6225" t="s">
        <v>2470</v>
      </c>
      <c r="B6225" s="10">
        <v>2016</v>
      </c>
      <c r="C6225" t="s">
        <v>1008</v>
      </c>
      <c r="D6225" t="s">
        <v>2472</v>
      </c>
      <c r="E6225" t="s">
        <v>2474</v>
      </c>
      <c r="F6225" t="s">
        <v>2286</v>
      </c>
      <c r="G6225" t="s">
        <v>953</v>
      </c>
      <c r="H6225" s="10">
        <v>31930</v>
      </c>
      <c r="I6225" t="str">
        <f>IFERROR(VLOOKUP(Final!F6225,'LEAID Match'!$A$2:$B$374,2,FALSE),"")</f>
        <v/>
      </c>
      <c r="K6225" s="10">
        <f t="shared" si="97"/>
        <v>31930</v>
      </c>
    </row>
    <row r="6226" spans="1:11">
      <c r="A6226" t="s">
        <v>2470</v>
      </c>
      <c r="B6226" s="10">
        <v>2017</v>
      </c>
      <c r="C6226" t="s">
        <v>1008</v>
      </c>
      <c r="D6226" t="s">
        <v>2472</v>
      </c>
      <c r="E6226" t="s">
        <v>2474</v>
      </c>
      <c r="F6226" t="s">
        <v>2286</v>
      </c>
      <c r="G6226" t="s">
        <v>1891</v>
      </c>
      <c r="H6226" s="10">
        <v>30333</v>
      </c>
      <c r="I6226" t="str">
        <f>IFERROR(VLOOKUP(Final!F6226,'LEAID Match'!$A$2:$B$374,2,FALSE),"")</f>
        <v/>
      </c>
      <c r="K6226" s="10">
        <f t="shared" si="97"/>
        <v>30333</v>
      </c>
    </row>
    <row r="6227" spans="1:11">
      <c r="A6227" t="s">
        <v>2470</v>
      </c>
      <c r="B6227" s="10">
        <v>2018</v>
      </c>
      <c r="C6227" t="s">
        <v>1008</v>
      </c>
      <c r="D6227" t="s">
        <v>2472</v>
      </c>
      <c r="E6227" t="s">
        <v>2474</v>
      </c>
      <c r="F6227" t="s">
        <v>2286</v>
      </c>
      <c r="G6227" t="s">
        <v>2286</v>
      </c>
      <c r="H6227" s="10">
        <v>54682</v>
      </c>
      <c r="I6227" t="str">
        <f>IFERROR(VLOOKUP(Final!F6227,'LEAID Match'!$A$2:$B$374,2,FALSE),"")</f>
        <v/>
      </c>
      <c r="K6227" s="10">
        <f t="shared" si="97"/>
        <v>54682</v>
      </c>
    </row>
    <row r="6228" spans="1:11">
      <c r="A6228" t="s">
        <v>2470</v>
      </c>
      <c r="B6228" s="10">
        <v>2019</v>
      </c>
      <c r="C6228" t="s">
        <v>1008</v>
      </c>
      <c r="D6228" t="s">
        <v>2472</v>
      </c>
      <c r="E6228" t="s">
        <v>2474</v>
      </c>
      <c r="F6228" t="s">
        <v>2286</v>
      </c>
      <c r="G6228" t="s">
        <v>2286</v>
      </c>
      <c r="H6228" s="10">
        <v>66054</v>
      </c>
      <c r="I6228" t="str">
        <f>IFERROR(VLOOKUP(Final!F6228,'LEAID Match'!$A$2:$B$374,2,FALSE),"")</f>
        <v/>
      </c>
      <c r="K6228" s="10">
        <f t="shared" si="97"/>
        <v>66054</v>
      </c>
    </row>
    <row r="6229" spans="1:11">
      <c r="A6229" t="s">
        <v>2470</v>
      </c>
      <c r="B6229" s="10">
        <v>2020</v>
      </c>
      <c r="C6229" t="s">
        <v>1008</v>
      </c>
      <c r="D6229" t="s">
        <v>2472</v>
      </c>
      <c r="E6229" t="s">
        <v>2474</v>
      </c>
      <c r="F6229" t="s">
        <v>2286</v>
      </c>
      <c r="G6229" t="s">
        <v>2286</v>
      </c>
      <c r="H6229" s="10">
        <v>78364</v>
      </c>
      <c r="I6229" t="str">
        <f>IFERROR(VLOOKUP(Final!F6229,'LEAID Match'!$A$2:$B$374,2,FALSE),"")</f>
        <v/>
      </c>
      <c r="K6229" s="10">
        <f t="shared" si="97"/>
        <v>78364</v>
      </c>
    </row>
    <row r="6230" spans="1:11">
      <c r="A6230" t="s">
        <v>2470</v>
      </c>
      <c r="B6230" s="10">
        <v>2021</v>
      </c>
      <c r="C6230" t="s">
        <v>1008</v>
      </c>
      <c r="D6230" t="s">
        <v>2472</v>
      </c>
      <c r="E6230" t="s">
        <v>2474</v>
      </c>
      <c r="F6230" t="s">
        <v>2286</v>
      </c>
      <c r="G6230" t="s">
        <v>2286</v>
      </c>
      <c r="H6230" s="10">
        <v>134938</v>
      </c>
      <c r="I6230" t="str">
        <f>IFERROR(VLOOKUP(Final!F6230,'LEAID Match'!$A$2:$B$374,2,FALSE),"")</f>
        <v/>
      </c>
      <c r="K6230" s="10">
        <f t="shared" si="97"/>
        <v>134938</v>
      </c>
    </row>
    <row r="6231" spans="1:11">
      <c r="A6231" t="s">
        <v>2470</v>
      </c>
      <c r="B6231" s="10">
        <v>2022</v>
      </c>
      <c r="C6231" t="s">
        <v>1008</v>
      </c>
      <c r="D6231" t="s">
        <v>2472</v>
      </c>
      <c r="E6231" t="s">
        <v>2474</v>
      </c>
      <c r="F6231" t="s">
        <v>2286</v>
      </c>
      <c r="G6231" t="s">
        <v>2286</v>
      </c>
      <c r="H6231" s="10">
        <v>132320</v>
      </c>
      <c r="I6231" t="str">
        <f>IFERROR(VLOOKUP(Final!F6231,'LEAID Match'!$A$2:$B$374,2,FALSE),"")</f>
        <v/>
      </c>
      <c r="K6231" s="10">
        <f t="shared" si="97"/>
        <v>132320</v>
      </c>
    </row>
    <row r="6232" spans="1:11">
      <c r="A6232" t="s">
        <v>2470</v>
      </c>
      <c r="B6232" s="10">
        <v>2023</v>
      </c>
      <c r="C6232" t="s">
        <v>1008</v>
      </c>
      <c r="D6232" t="s">
        <v>2472</v>
      </c>
      <c r="E6232" t="s">
        <v>2474</v>
      </c>
      <c r="F6232" t="s">
        <v>2286</v>
      </c>
      <c r="G6232" t="s">
        <v>2286</v>
      </c>
      <c r="H6232" s="10">
        <v>113465</v>
      </c>
      <c r="I6232" t="str">
        <f>IFERROR(VLOOKUP(Final!F6232,'LEAID Match'!$A$2:$B$374,2,FALSE),"")</f>
        <v/>
      </c>
      <c r="K6232" s="10">
        <f t="shared" si="97"/>
        <v>113465</v>
      </c>
    </row>
    <row r="6233" spans="1:11">
      <c r="A6233" t="s">
        <v>2470</v>
      </c>
      <c r="B6233" s="10">
        <v>2015</v>
      </c>
      <c r="C6233" t="s">
        <v>711</v>
      </c>
      <c r="D6233" t="s">
        <v>2472</v>
      </c>
      <c r="E6233" t="s">
        <v>2474</v>
      </c>
      <c r="F6233" t="s">
        <v>1777</v>
      </c>
      <c r="G6233" t="s">
        <v>656</v>
      </c>
      <c r="H6233" s="10">
        <v>14341</v>
      </c>
      <c r="I6233" t="str">
        <f>IFERROR(VLOOKUP(Final!F6233,'LEAID Match'!$A$2:$B$374,2,FALSE),"")</f>
        <v/>
      </c>
      <c r="K6233" s="10">
        <f t="shared" si="97"/>
        <v>14341</v>
      </c>
    </row>
    <row r="6234" spans="1:11">
      <c r="A6234" t="s">
        <v>2470</v>
      </c>
      <c r="B6234" s="10">
        <v>2016</v>
      </c>
      <c r="C6234" t="s">
        <v>711</v>
      </c>
      <c r="D6234" t="s">
        <v>2472</v>
      </c>
      <c r="E6234" t="s">
        <v>2474</v>
      </c>
      <c r="F6234" t="s">
        <v>1777</v>
      </c>
      <c r="G6234" t="s">
        <v>656</v>
      </c>
      <c r="H6234" s="10"/>
      <c r="I6234" t="str">
        <f>IFERROR(VLOOKUP(Final!F6234,'LEAID Match'!$A$2:$B$374,2,FALSE),"")</f>
        <v/>
      </c>
      <c r="K6234" s="10">
        <f t="shared" si="97"/>
        <v>0</v>
      </c>
    </row>
    <row r="6235" spans="1:11">
      <c r="A6235" t="s">
        <v>2470</v>
      </c>
      <c r="B6235" s="10">
        <v>2017</v>
      </c>
      <c r="C6235" t="s">
        <v>711</v>
      </c>
      <c r="D6235" t="s">
        <v>2472</v>
      </c>
      <c r="E6235" t="s">
        <v>2474</v>
      </c>
      <c r="F6235" t="s">
        <v>1777</v>
      </c>
      <c r="G6235" t="s">
        <v>1777</v>
      </c>
      <c r="H6235" s="10"/>
      <c r="I6235" t="str">
        <f>IFERROR(VLOOKUP(Final!F6235,'LEAID Match'!$A$2:$B$374,2,FALSE),"")</f>
        <v/>
      </c>
      <c r="K6235" s="10">
        <f t="shared" si="97"/>
        <v>0</v>
      </c>
    </row>
    <row r="6236" spans="1:11">
      <c r="A6236" t="s">
        <v>2470</v>
      </c>
      <c r="B6236" s="10">
        <v>2018</v>
      </c>
      <c r="C6236" t="s">
        <v>711</v>
      </c>
      <c r="D6236" t="s">
        <v>2472</v>
      </c>
      <c r="E6236" t="s">
        <v>2474</v>
      </c>
      <c r="F6236" t="s">
        <v>1777</v>
      </c>
      <c r="G6236" t="s">
        <v>1777</v>
      </c>
      <c r="H6236" s="10"/>
      <c r="I6236" t="str">
        <f>IFERROR(VLOOKUP(Final!F6236,'LEAID Match'!$A$2:$B$374,2,FALSE),"")</f>
        <v/>
      </c>
      <c r="K6236" s="10">
        <f t="shared" si="97"/>
        <v>0</v>
      </c>
    </row>
    <row r="6237" spans="1:11">
      <c r="A6237" t="s">
        <v>2470</v>
      </c>
      <c r="B6237" s="10">
        <v>2019</v>
      </c>
      <c r="C6237" t="s">
        <v>711</v>
      </c>
      <c r="D6237" t="s">
        <v>2472</v>
      </c>
      <c r="E6237" t="s">
        <v>2474</v>
      </c>
      <c r="F6237" t="s">
        <v>1777</v>
      </c>
      <c r="G6237" t="s">
        <v>1777</v>
      </c>
      <c r="H6237" s="10"/>
      <c r="I6237" t="str">
        <f>IFERROR(VLOOKUP(Final!F6237,'LEAID Match'!$A$2:$B$374,2,FALSE),"")</f>
        <v/>
      </c>
      <c r="K6237" s="10">
        <f t="shared" si="97"/>
        <v>0</v>
      </c>
    </row>
    <row r="6238" spans="1:11">
      <c r="A6238" t="s">
        <v>2470</v>
      </c>
      <c r="B6238" s="10">
        <v>2015</v>
      </c>
      <c r="C6238" t="s">
        <v>493</v>
      </c>
      <c r="D6238" t="s">
        <v>2472</v>
      </c>
      <c r="E6238" t="s">
        <v>2474</v>
      </c>
      <c r="F6238" t="s">
        <v>1684</v>
      </c>
      <c r="G6238" t="s">
        <v>438</v>
      </c>
      <c r="H6238" s="10">
        <v>10024</v>
      </c>
      <c r="I6238" t="str">
        <f>IFERROR(VLOOKUP(Final!F6238,'LEAID Match'!$A$2:$B$374,2,FALSE),"")</f>
        <v/>
      </c>
      <c r="K6238" s="10">
        <f t="shared" si="97"/>
        <v>10024</v>
      </c>
    </row>
    <row r="6239" spans="1:11">
      <c r="A6239" t="s">
        <v>2470</v>
      </c>
      <c r="B6239" s="10">
        <v>2016</v>
      </c>
      <c r="C6239" t="s">
        <v>493</v>
      </c>
      <c r="D6239" t="s">
        <v>2472</v>
      </c>
      <c r="E6239" t="s">
        <v>2474</v>
      </c>
      <c r="F6239" t="s">
        <v>1684</v>
      </c>
      <c r="G6239" t="s">
        <v>438</v>
      </c>
      <c r="H6239" s="10">
        <v>10359</v>
      </c>
      <c r="I6239" t="str">
        <f>IFERROR(VLOOKUP(Final!F6239,'LEAID Match'!$A$2:$B$374,2,FALSE),"")</f>
        <v/>
      </c>
      <c r="K6239" s="10">
        <f t="shared" si="97"/>
        <v>10359</v>
      </c>
    </row>
    <row r="6240" spans="1:11">
      <c r="A6240" t="s">
        <v>2470</v>
      </c>
      <c r="B6240" s="10">
        <v>2017</v>
      </c>
      <c r="C6240" t="s">
        <v>493</v>
      </c>
      <c r="D6240" t="s">
        <v>2472</v>
      </c>
      <c r="E6240" t="s">
        <v>2474</v>
      </c>
      <c r="F6240" t="s">
        <v>1684</v>
      </c>
      <c r="G6240" t="s">
        <v>1684</v>
      </c>
      <c r="H6240" s="10">
        <v>12177</v>
      </c>
      <c r="I6240" t="str">
        <f>IFERROR(VLOOKUP(Final!F6240,'LEAID Match'!$A$2:$B$374,2,FALSE),"")</f>
        <v/>
      </c>
      <c r="K6240" s="10">
        <f t="shared" si="97"/>
        <v>12177</v>
      </c>
    </row>
    <row r="6241" spans="1:11">
      <c r="A6241" t="s">
        <v>2470</v>
      </c>
      <c r="B6241" s="10">
        <v>2018</v>
      </c>
      <c r="C6241" t="s">
        <v>493</v>
      </c>
      <c r="D6241" t="s">
        <v>2472</v>
      </c>
      <c r="E6241" t="s">
        <v>2474</v>
      </c>
      <c r="F6241" t="s">
        <v>1684</v>
      </c>
      <c r="G6241" t="s">
        <v>1684</v>
      </c>
      <c r="H6241" s="10">
        <v>9652</v>
      </c>
      <c r="I6241" t="str">
        <f>IFERROR(VLOOKUP(Final!F6241,'LEAID Match'!$A$2:$B$374,2,FALSE),"")</f>
        <v/>
      </c>
      <c r="K6241" s="10">
        <f t="shared" si="97"/>
        <v>9652</v>
      </c>
    </row>
    <row r="6242" spans="1:11">
      <c r="A6242" t="s">
        <v>2470</v>
      </c>
      <c r="B6242" s="10">
        <v>2019</v>
      </c>
      <c r="C6242" t="s">
        <v>493</v>
      </c>
      <c r="D6242" t="s">
        <v>2472</v>
      </c>
      <c r="E6242" t="s">
        <v>2474</v>
      </c>
      <c r="F6242" t="s">
        <v>1684</v>
      </c>
      <c r="G6242" t="s">
        <v>1684</v>
      </c>
      <c r="H6242" s="10">
        <v>16718</v>
      </c>
      <c r="I6242" t="str">
        <f>IFERROR(VLOOKUP(Final!F6242,'LEAID Match'!$A$2:$B$374,2,FALSE),"")</f>
        <v/>
      </c>
      <c r="K6242" s="10">
        <f t="shared" si="97"/>
        <v>16718</v>
      </c>
    </row>
    <row r="6243" spans="1:11">
      <c r="A6243" t="s">
        <v>2470</v>
      </c>
      <c r="B6243" s="10">
        <v>2020</v>
      </c>
      <c r="C6243" t="s">
        <v>493</v>
      </c>
      <c r="D6243" t="s">
        <v>2472</v>
      </c>
      <c r="E6243" t="s">
        <v>2474</v>
      </c>
      <c r="F6243" t="s">
        <v>1684</v>
      </c>
      <c r="G6243" t="s">
        <v>1684</v>
      </c>
      <c r="H6243" s="10">
        <v>18423</v>
      </c>
      <c r="I6243" t="str">
        <f>IFERROR(VLOOKUP(Final!F6243,'LEAID Match'!$A$2:$B$374,2,FALSE),"")</f>
        <v/>
      </c>
      <c r="K6243" s="10">
        <f t="shared" si="97"/>
        <v>18423</v>
      </c>
    </row>
    <row r="6244" spans="1:11">
      <c r="A6244" t="s">
        <v>2470</v>
      </c>
      <c r="B6244" s="10">
        <v>2021</v>
      </c>
      <c r="C6244" t="s">
        <v>493</v>
      </c>
      <c r="D6244" t="s">
        <v>2472</v>
      </c>
      <c r="E6244" t="s">
        <v>2474</v>
      </c>
      <c r="F6244" t="s">
        <v>1684</v>
      </c>
      <c r="G6244" t="s">
        <v>1684</v>
      </c>
      <c r="H6244" s="10">
        <v>16136</v>
      </c>
      <c r="I6244" t="str">
        <f>IFERROR(VLOOKUP(Final!F6244,'LEAID Match'!$A$2:$B$374,2,FALSE),"")</f>
        <v/>
      </c>
      <c r="K6244" s="10">
        <f t="shared" si="97"/>
        <v>16136</v>
      </c>
    </row>
    <row r="6245" spans="1:11">
      <c r="A6245" t="s">
        <v>2470</v>
      </c>
      <c r="B6245" s="10">
        <v>2022</v>
      </c>
      <c r="C6245" t="s">
        <v>493</v>
      </c>
      <c r="D6245" t="s">
        <v>2472</v>
      </c>
      <c r="E6245" t="s">
        <v>2474</v>
      </c>
      <c r="F6245" t="s">
        <v>1684</v>
      </c>
      <c r="G6245" t="s">
        <v>1684</v>
      </c>
      <c r="H6245" s="10">
        <v>23456</v>
      </c>
      <c r="I6245" t="str">
        <f>IFERROR(VLOOKUP(Final!F6245,'LEAID Match'!$A$2:$B$374,2,FALSE),"")</f>
        <v/>
      </c>
      <c r="K6245" s="10">
        <f t="shared" si="97"/>
        <v>23456</v>
      </c>
    </row>
    <row r="6246" spans="1:11">
      <c r="A6246" t="s">
        <v>2470</v>
      </c>
      <c r="B6246" s="10">
        <v>2023</v>
      </c>
      <c r="C6246" t="s">
        <v>493</v>
      </c>
      <c r="D6246" t="s">
        <v>2472</v>
      </c>
      <c r="E6246" t="s">
        <v>2474</v>
      </c>
      <c r="F6246" t="s">
        <v>1684</v>
      </c>
      <c r="G6246" t="s">
        <v>1684</v>
      </c>
      <c r="H6246" s="10">
        <v>26902</v>
      </c>
      <c r="I6246" t="str">
        <f>IFERROR(VLOOKUP(Final!F6246,'LEAID Match'!$A$2:$B$374,2,FALSE),"")</f>
        <v/>
      </c>
      <c r="K6246" s="10">
        <f t="shared" si="97"/>
        <v>26902</v>
      </c>
    </row>
    <row r="6247" spans="1:11">
      <c r="A6247" t="s">
        <v>2470</v>
      </c>
      <c r="B6247" s="10">
        <v>2015</v>
      </c>
      <c r="C6247" t="s">
        <v>1342</v>
      </c>
      <c r="D6247" t="s">
        <v>2472</v>
      </c>
      <c r="E6247" t="s">
        <v>2474</v>
      </c>
      <c r="F6247" t="s">
        <v>1294</v>
      </c>
      <c r="G6247" t="s">
        <v>1294</v>
      </c>
      <c r="H6247" s="10">
        <v>5340</v>
      </c>
      <c r="I6247" t="str">
        <f>IFERROR(VLOOKUP(Final!F6247,'LEAID Match'!$A$2:$B$374,2,FALSE),"")</f>
        <v/>
      </c>
      <c r="K6247" s="10">
        <f t="shared" si="97"/>
        <v>5340</v>
      </c>
    </row>
    <row r="6248" spans="1:11">
      <c r="A6248" t="s">
        <v>2470</v>
      </c>
      <c r="B6248" s="10">
        <v>2016</v>
      </c>
      <c r="C6248" t="s">
        <v>1342</v>
      </c>
      <c r="D6248" t="s">
        <v>2472</v>
      </c>
      <c r="E6248" t="s">
        <v>2474</v>
      </c>
      <c r="F6248" t="s">
        <v>1294</v>
      </c>
      <c r="G6248" t="s">
        <v>1294</v>
      </c>
      <c r="H6248" s="10">
        <v>2702</v>
      </c>
      <c r="I6248" t="str">
        <f>IFERROR(VLOOKUP(Final!F6248,'LEAID Match'!$A$2:$B$374,2,FALSE),"")</f>
        <v/>
      </c>
      <c r="K6248" s="10">
        <f t="shared" si="97"/>
        <v>2702</v>
      </c>
    </row>
    <row r="6249" spans="1:11">
      <c r="A6249" t="s">
        <v>2470</v>
      </c>
      <c r="B6249" s="10">
        <v>2017</v>
      </c>
      <c r="C6249" t="s">
        <v>1342</v>
      </c>
      <c r="D6249" t="s">
        <v>2472</v>
      </c>
      <c r="E6249" t="s">
        <v>2474</v>
      </c>
      <c r="F6249" t="s">
        <v>1294</v>
      </c>
      <c r="G6249" t="s">
        <v>1294</v>
      </c>
      <c r="H6249" s="10"/>
      <c r="I6249" t="str">
        <f>IFERROR(VLOOKUP(Final!F6249,'LEAID Match'!$A$2:$B$374,2,FALSE),"")</f>
        <v/>
      </c>
      <c r="K6249" s="10">
        <f t="shared" si="97"/>
        <v>0</v>
      </c>
    </row>
    <row r="6250" spans="1:11">
      <c r="A6250" t="s">
        <v>2470</v>
      </c>
      <c r="B6250" s="10">
        <v>2018</v>
      </c>
      <c r="C6250" t="s">
        <v>1342</v>
      </c>
      <c r="D6250" t="s">
        <v>2472</v>
      </c>
      <c r="E6250" t="s">
        <v>2474</v>
      </c>
      <c r="F6250" t="s">
        <v>1294</v>
      </c>
      <c r="G6250" t="s">
        <v>1294</v>
      </c>
      <c r="H6250" s="10"/>
      <c r="I6250" t="str">
        <f>IFERROR(VLOOKUP(Final!F6250,'LEAID Match'!$A$2:$B$374,2,FALSE),"")</f>
        <v/>
      </c>
      <c r="K6250" s="10">
        <f t="shared" si="97"/>
        <v>0</v>
      </c>
    </row>
    <row r="6251" spans="1:11">
      <c r="A6251" t="s">
        <v>2470</v>
      </c>
      <c r="B6251" s="10">
        <v>2019</v>
      </c>
      <c r="C6251" t="s">
        <v>1342</v>
      </c>
      <c r="D6251" t="s">
        <v>2472</v>
      </c>
      <c r="E6251" t="s">
        <v>2474</v>
      </c>
      <c r="F6251" t="s">
        <v>1294</v>
      </c>
      <c r="G6251" t="s">
        <v>1294</v>
      </c>
      <c r="H6251" s="10"/>
      <c r="I6251" t="str">
        <f>IFERROR(VLOOKUP(Final!F6251,'LEAID Match'!$A$2:$B$374,2,FALSE),"")</f>
        <v/>
      </c>
      <c r="K6251" s="10">
        <f t="shared" si="97"/>
        <v>0</v>
      </c>
    </row>
    <row r="6252" spans="1:11">
      <c r="A6252" t="s">
        <v>2470</v>
      </c>
      <c r="B6252" s="10">
        <v>2020</v>
      </c>
      <c r="C6252" t="s">
        <v>1342</v>
      </c>
      <c r="D6252" t="s">
        <v>2472</v>
      </c>
      <c r="E6252" t="s">
        <v>2474</v>
      </c>
      <c r="F6252" t="s">
        <v>1294</v>
      </c>
      <c r="G6252" t="s">
        <v>1294</v>
      </c>
      <c r="H6252" s="10"/>
      <c r="I6252" t="str">
        <f>IFERROR(VLOOKUP(Final!F6252,'LEAID Match'!$A$2:$B$374,2,FALSE),"")</f>
        <v/>
      </c>
      <c r="K6252" s="10">
        <f t="shared" si="97"/>
        <v>0</v>
      </c>
    </row>
    <row r="6253" spans="1:11">
      <c r="A6253">
        <v>400433</v>
      </c>
      <c r="B6253" s="10">
        <v>2016</v>
      </c>
      <c r="C6253" t="s">
        <v>1450</v>
      </c>
      <c r="D6253" t="s">
        <v>2472</v>
      </c>
      <c r="E6253" t="s">
        <v>2474</v>
      </c>
      <c r="F6253" t="s">
        <v>1708</v>
      </c>
      <c r="G6253" t="s">
        <v>1448</v>
      </c>
      <c r="H6253" s="10">
        <v>40090</v>
      </c>
      <c r="I6253">
        <f>IFERROR(VLOOKUP(Final!F6253,'LEAID Match'!$A$2:$B$374,2,FALSE),"")</f>
        <v>400928</v>
      </c>
      <c r="K6253" s="10">
        <f t="shared" si="97"/>
        <v>40090</v>
      </c>
    </row>
    <row r="6254" spans="1:11">
      <c r="A6254">
        <v>400433</v>
      </c>
      <c r="B6254" s="10">
        <v>2017</v>
      </c>
      <c r="C6254" t="s">
        <v>1450</v>
      </c>
      <c r="D6254" t="s">
        <v>2472</v>
      </c>
      <c r="E6254" t="s">
        <v>2474</v>
      </c>
      <c r="F6254" t="s">
        <v>1708</v>
      </c>
      <c r="G6254" t="s">
        <v>1708</v>
      </c>
      <c r="H6254" s="10"/>
      <c r="I6254">
        <f>IFERROR(VLOOKUP(Final!F6254,'LEAID Match'!$A$2:$B$374,2,FALSE),"")</f>
        <v>400928</v>
      </c>
      <c r="K6254" s="10">
        <f t="shared" si="97"/>
        <v>0</v>
      </c>
    </row>
    <row r="6255" spans="1:11">
      <c r="A6255">
        <v>400433</v>
      </c>
      <c r="B6255" s="10">
        <v>2018</v>
      </c>
      <c r="C6255" t="s">
        <v>1450</v>
      </c>
      <c r="D6255" t="s">
        <v>2472</v>
      </c>
      <c r="E6255" t="s">
        <v>2474</v>
      </c>
      <c r="F6255" t="s">
        <v>1708</v>
      </c>
      <c r="G6255" t="s">
        <v>2180</v>
      </c>
      <c r="H6255" s="10"/>
      <c r="I6255">
        <f>IFERROR(VLOOKUP(Final!F6255,'LEAID Match'!$A$2:$B$374,2,FALSE),"")</f>
        <v>400928</v>
      </c>
      <c r="K6255" s="10">
        <f t="shared" si="97"/>
        <v>0</v>
      </c>
    </row>
    <row r="6256" spans="1:11">
      <c r="A6256">
        <v>400433</v>
      </c>
      <c r="B6256" s="10">
        <v>2019</v>
      </c>
      <c r="C6256" t="s">
        <v>1450</v>
      </c>
      <c r="D6256" t="s">
        <v>2472</v>
      </c>
      <c r="E6256" t="s">
        <v>2474</v>
      </c>
      <c r="F6256" t="s">
        <v>1708</v>
      </c>
      <c r="G6256" t="s">
        <v>1708</v>
      </c>
      <c r="H6256" s="10"/>
      <c r="I6256">
        <f>IFERROR(VLOOKUP(Final!F6256,'LEAID Match'!$A$2:$B$374,2,FALSE),"")</f>
        <v>400928</v>
      </c>
      <c r="K6256" s="10">
        <f t="shared" si="97"/>
        <v>0</v>
      </c>
    </row>
    <row r="6257" spans="1:11">
      <c r="A6257">
        <v>400433</v>
      </c>
      <c r="B6257" s="10">
        <v>2020</v>
      </c>
      <c r="C6257" t="s">
        <v>1450</v>
      </c>
      <c r="D6257" t="s">
        <v>2472</v>
      </c>
      <c r="E6257" t="s">
        <v>2474</v>
      </c>
      <c r="F6257" t="s">
        <v>1708</v>
      </c>
      <c r="G6257" t="s">
        <v>1708</v>
      </c>
      <c r="H6257" s="10"/>
      <c r="I6257">
        <f>IFERROR(VLOOKUP(Final!F6257,'LEAID Match'!$A$2:$B$374,2,FALSE),"")</f>
        <v>400928</v>
      </c>
      <c r="K6257" s="10">
        <f t="shared" si="97"/>
        <v>0</v>
      </c>
    </row>
    <row r="6258" spans="1:11">
      <c r="A6258">
        <v>400746</v>
      </c>
      <c r="B6258" s="10">
        <v>2016</v>
      </c>
      <c r="C6258" t="s">
        <v>1451</v>
      </c>
      <c r="D6258" t="s">
        <v>2472</v>
      </c>
      <c r="E6258" t="s">
        <v>2474</v>
      </c>
      <c r="F6258" t="s">
        <v>1707</v>
      </c>
      <c r="G6258" t="s">
        <v>1449</v>
      </c>
      <c r="H6258" s="10">
        <v>36373</v>
      </c>
      <c r="I6258">
        <f>IFERROR(VLOOKUP(Final!F6258,'LEAID Match'!$A$2:$B$374,2,FALSE),"")</f>
        <v>400433</v>
      </c>
      <c r="K6258" s="10">
        <f t="shared" si="97"/>
        <v>36373</v>
      </c>
    </row>
    <row r="6259" spans="1:11">
      <c r="A6259">
        <v>400746</v>
      </c>
      <c r="B6259" s="10">
        <v>2017</v>
      </c>
      <c r="C6259" t="s">
        <v>1451</v>
      </c>
      <c r="D6259" t="s">
        <v>2472</v>
      </c>
      <c r="E6259" t="s">
        <v>2474</v>
      </c>
      <c r="F6259" t="s">
        <v>1707</v>
      </c>
      <c r="G6259" t="s">
        <v>1707</v>
      </c>
      <c r="H6259" s="10"/>
      <c r="I6259">
        <f>IFERROR(VLOOKUP(Final!F6259,'LEAID Match'!$A$2:$B$374,2,FALSE),"")</f>
        <v>400433</v>
      </c>
      <c r="K6259" s="10">
        <f t="shared" si="97"/>
        <v>0</v>
      </c>
    </row>
    <row r="6260" spans="1:11">
      <c r="A6260">
        <v>400746</v>
      </c>
      <c r="B6260" s="10">
        <v>2018</v>
      </c>
      <c r="C6260" t="s">
        <v>1451</v>
      </c>
      <c r="D6260" t="s">
        <v>2472</v>
      </c>
      <c r="E6260" t="s">
        <v>2474</v>
      </c>
      <c r="F6260" t="s">
        <v>1707</v>
      </c>
      <c r="G6260" t="s">
        <v>2180</v>
      </c>
      <c r="H6260" s="10"/>
      <c r="I6260">
        <f>IFERROR(VLOOKUP(Final!F6260,'LEAID Match'!$A$2:$B$374,2,FALSE),"")</f>
        <v>400433</v>
      </c>
      <c r="K6260" s="10">
        <f t="shared" si="97"/>
        <v>0</v>
      </c>
    </row>
    <row r="6261" spans="1:11">
      <c r="A6261">
        <v>400746</v>
      </c>
      <c r="B6261" s="10">
        <v>2019</v>
      </c>
      <c r="C6261" t="s">
        <v>1451</v>
      </c>
      <c r="D6261" t="s">
        <v>2472</v>
      </c>
      <c r="E6261" t="s">
        <v>2474</v>
      </c>
      <c r="F6261" t="s">
        <v>1707</v>
      </c>
      <c r="G6261" t="s">
        <v>1707</v>
      </c>
      <c r="H6261" s="10"/>
      <c r="I6261">
        <f>IFERROR(VLOOKUP(Final!F6261,'LEAID Match'!$A$2:$B$374,2,FALSE),"")</f>
        <v>400433</v>
      </c>
      <c r="K6261" s="10">
        <f t="shared" si="97"/>
        <v>0</v>
      </c>
    </row>
    <row r="6262" spans="1:11">
      <c r="A6262">
        <v>400746</v>
      </c>
      <c r="B6262" s="10">
        <v>2020</v>
      </c>
      <c r="C6262" t="s">
        <v>1451</v>
      </c>
      <c r="D6262" t="s">
        <v>2472</v>
      </c>
      <c r="E6262" t="s">
        <v>2474</v>
      </c>
      <c r="F6262" t="s">
        <v>1707</v>
      </c>
      <c r="G6262" t="s">
        <v>1707</v>
      </c>
      <c r="H6262" s="10"/>
      <c r="I6262">
        <f>IFERROR(VLOOKUP(Final!F6262,'LEAID Match'!$A$2:$B$374,2,FALSE),"")</f>
        <v>400433</v>
      </c>
      <c r="K6262" s="10">
        <f t="shared" si="97"/>
        <v>0</v>
      </c>
    </row>
    <row r="6263" spans="1:11">
      <c r="A6263" t="s">
        <v>2470</v>
      </c>
      <c r="B6263" s="10">
        <v>2016</v>
      </c>
      <c r="C6263" t="s">
        <v>1483</v>
      </c>
      <c r="D6263" t="s">
        <v>2472</v>
      </c>
      <c r="E6263" t="s">
        <v>2474</v>
      </c>
      <c r="F6263" t="s">
        <v>1482</v>
      </c>
      <c r="G6263" t="s">
        <v>1482</v>
      </c>
      <c r="H6263" s="10">
        <v>48705</v>
      </c>
      <c r="I6263" t="str">
        <f>IFERROR(VLOOKUP(Final!F6263,'LEAID Match'!$A$2:$B$374,2,FALSE),"")</f>
        <v/>
      </c>
      <c r="K6263" s="10">
        <f t="shared" si="97"/>
        <v>48705</v>
      </c>
    </row>
    <row r="6264" spans="1:11">
      <c r="A6264" t="s">
        <v>2470</v>
      </c>
      <c r="B6264" s="10">
        <v>2017</v>
      </c>
      <c r="C6264" t="s">
        <v>1483</v>
      </c>
      <c r="D6264" t="s">
        <v>2472</v>
      </c>
      <c r="E6264" t="s">
        <v>2474</v>
      </c>
      <c r="F6264" t="s">
        <v>1482</v>
      </c>
      <c r="G6264" t="s">
        <v>1482</v>
      </c>
      <c r="H6264" s="10">
        <v>66651</v>
      </c>
      <c r="I6264" t="str">
        <f>IFERROR(VLOOKUP(Final!F6264,'LEAID Match'!$A$2:$B$374,2,FALSE),"")</f>
        <v/>
      </c>
      <c r="K6264" s="10">
        <f t="shared" si="97"/>
        <v>66651</v>
      </c>
    </row>
    <row r="6265" spans="1:11">
      <c r="A6265" t="s">
        <v>2470</v>
      </c>
      <c r="B6265" s="10">
        <v>2018</v>
      </c>
      <c r="C6265" t="s">
        <v>1483</v>
      </c>
      <c r="D6265" t="s">
        <v>2472</v>
      </c>
      <c r="E6265" t="s">
        <v>2474</v>
      </c>
      <c r="F6265" t="s">
        <v>1482</v>
      </c>
      <c r="G6265" t="s">
        <v>2324</v>
      </c>
      <c r="H6265" s="10">
        <v>67955</v>
      </c>
      <c r="I6265" t="str">
        <f>IFERROR(VLOOKUP(Final!F6265,'LEAID Match'!$A$2:$B$374,2,FALSE),"")</f>
        <v/>
      </c>
      <c r="K6265" s="10">
        <f t="shared" si="97"/>
        <v>67955</v>
      </c>
    </row>
    <row r="6266" spans="1:11">
      <c r="A6266" t="s">
        <v>2470</v>
      </c>
      <c r="B6266" s="10">
        <v>2019</v>
      </c>
      <c r="C6266" t="s">
        <v>1483</v>
      </c>
      <c r="D6266" t="s">
        <v>2472</v>
      </c>
      <c r="E6266" t="s">
        <v>2474</v>
      </c>
      <c r="F6266" t="s">
        <v>1482</v>
      </c>
      <c r="G6266" t="s">
        <v>1482</v>
      </c>
      <c r="H6266" s="10">
        <v>73016</v>
      </c>
      <c r="I6266" t="str">
        <f>IFERROR(VLOOKUP(Final!F6266,'LEAID Match'!$A$2:$B$374,2,FALSE),"")</f>
        <v/>
      </c>
      <c r="K6266" s="10">
        <f t="shared" si="97"/>
        <v>73016</v>
      </c>
    </row>
    <row r="6267" spans="1:11">
      <c r="A6267" t="s">
        <v>2470</v>
      </c>
      <c r="B6267" s="10">
        <v>2020</v>
      </c>
      <c r="C6267" t="s">
        <v>1483</v>
      </c>
      <c r="D6267" t="s">
        <v>2472</v>
      </c>
      <c r="E6267" t="s">
        <v>2474</v>
      </c>
      <c r="F6267" t="s">
        <v>1482</v>
      </c>
      <c r="G6267" t="s">
        <v>1482</v>
      </c>
      <c r="H6267" s="10">
        <v>72896</v>
      </c>
      <c r="I6267" t="str">
        <f>IFERROR(VLOOKUP(Final!F6267,'LEAID Match'!$A$2:$B$374,2,FALSE),"")</f>
        <v/>
      </c>
      <c r="K6267" s="10">
        <f t="shared" si="97"/>
        <v>72896</v>
      </c>
    </row>
    <row r="6268" spans="1:11">
      <c r="A6268" t="s">
        <v>2470</v>
      </c>
      <c r="B6268" s="10">
        <v>2021</v>
      </c>
      <c r="C6268" t="s">
        <v>1483</v>
      </c>
      <c r="D6268" t="s">
        <v>2472</v>
      </c>
      <c r="E6268" t="s">
        <v>2474</v>
      </c>
      <c r="F6268" t="s">
        <v>1482</v>
      </c>
      <c r="G6268" t="s">
        <v>1482</v>
      </c>
      <c r="H6268" s="10">
        <v>80821</v>
      </c>
      <c r="I6268" t="str">
        <f>IFERROR(VLOOKUP(Final!F6268,'LEAID Match'!$A$2:$B$374,2,FALSE),"")</f>
        <v/>
      </c>
      <c r="K6268" s="10">
        <f t="shared" si="97"/>
        <v>80821</v>
      </c>
    </row>
    <row r="6269" spans="1:11">
      <c r="A6269" t="s">
        <v>2470</v>
      </c>
      <c r="B6269" s="10">
        <v>2022</v>
      </c>
      <c r="C6269" t="s">
        <v>1483</v>
      </c>
      <c r="D6269" t="s">
        <v>2472</v>
      </c>
      <c r="E6269" t="s">
        <v>2474</v>
      </c>
      <c r="F6269" t="s">
        <v>1482</v>
      </c>
      <c r="G6269" t="s">
        <v>1482</v>
      </c>
      <c r="H6269" s="10">
        <v>92312</v>
      </c>
      <c r="I6269" t="str">
        <f>IFERROR(VLOOKUP(Final!F6269,'LEAID Match'!$A$2:$B$374,2,FALSE),"")</f>
        <v/>
      </c>
      <c r="K6269" s="10">
        <f t="shared" si="97"/>
        <v>92312</v>
      </c>
    </row>
    <row r="6270" spans="1:11">
      <c r="A6270" t="s">
        <v>2470</v>
      </c>
      <c r="B6270" s="10">
        <v>2023</v>
      </c>
      <c r="C6270" t="s">
        <v>1483</v>
      </c>
      <c r="D6270" t="s">
        <v>2472</v>
      </c>
      <c r="E6270" t="s">
        <v>2474</v>
      </c>
      <c r="F6270" t="s">
        <v>1482</v>
      </c>
      <c r="G6270" t="s">
        <v>1482</v>
      </c>
      <c r="H6270" s="10">
        <v>114305</v>
      </c>
      <c r="I6270" t="str">
        <f>IFERROR(VLOOKUP(Final!F6270,'LEAID Match'!$A$2:$B$374,2,FALSE),"")</f>
        <v/>
      </c>
      <c r="K6270" s="10">
        <f t="shared" si="97"/>
        <v>114305</v>
      </c>
    </row>
    <row r="6271" spans="1:11">
      <c r="A6271">
        <v>400921</v>
      </c>
      <c r="B6271" s="10">
        <v>2016</v>
      </c>
      <c r="C6271" t="s">
        <v>1464</v>
      </c>
      <c r="D6271" t="s">
        <v>2472</v>
      </c>
      <c r="E6271" t="s">
        <v>2474</v>
      </c>
      <c r="F6271" t="s">
        <v>1753</v>
      </c>
      <c r="G6271" t="s">
        <v>1460</v>
      </c>
      <c r="H6271" s="10">
        <v>324783</v>
      </c>
      <c r="I6271">
        <f>IFERROR(VLOOKUP(Final!F6271,'LEAID Match'!$A$2:$B$374,2,FALSE),"")</f>
        <v>400921</v>
      </c>
      <c r="K6271" s="10">
        <f t="shared" si="97"/>
        <v>324783</v>
      </c>
    </row>
    <row r="6272" spans="1:11">
      <c r="A6272">
        <v>400921</v>
      </c>
      <c r="B6272" s="10">
        <v>2017</v>
      </c>
      <c r="C6272" t="s">
        <v>1464</v>
      </c>
      <c r="D6272" t="s">
        <v>2472</v>
      </c>
      <c r="E6272" t="s">
        <v>2474</v>
      </c>
      <c r="F6272" t="s">
        <v>1753</v>
      </c>
      <c r="G6272" t="s">
        <v>1753</v>
      </c>
      <c r="H6272" s="10">
        <v>286632</v>
      </c>
      <c r="I6272">
        <f>IFERROR(VLOOKUP(Final!F6272,'LEAID Match'!$A$2:$B$374,2,FALSE),"")</f>
        <v>400921</v>
      </c>
      <c r="K6272" s="10">
        <f t="shared" si="97"/>
        <v>286632</v>
      </c>
    </row>
    <row r="6273" spans="1:11">
      <c r="A6273">
        <v>400921</v>
      </c>
      <c r="B6273" s="10">
        <v>2018</v>
      </c>
      <c r="C6273" t="s">
        <v>1464</v>
      </c>
      <c r="D6273" t="s">
        <v>2472</v>
      </c>
      <c r="E6273" t="s">
        <v>2474</v>
      </c>
      <c r="F6273" t="s">
        <v>1753</v>
      </c>
      <c r="G6273" t="s">
        <v>2210</v>
      </c>
      <c r="H6273" s="10">
        <v>305402</v>
      </c>
      <c r="I6273">
        <f>IFERROR(VLOOKUP(Final!F6273,'LEAID Match'!$A$2:$B$374,2,FALSE),"")</f>
        <v>400921</v>
      </c>
      <c r="K6273" s="10">
        <f t="shared" si="97"/>
        <v>305402</v>
      </c>
    </row>
    <row r="6274" spans="1:11">
      <c r="A6274">
        <v>400921</v>
      </c>
      <c r="B6274" s="10">
        <v>2019</v>
      </c>
      <c r="C6274" t="s">
        <v>1464</v>
      </c>
      <c r="D6274" t="s">
        <v>2472</v>
      </c>
      <c r="E6274" t="s">
        <v>2474</v>
      </c>
      <c r="F6274" t="s">
        <v>1753</v>
      </c>
      <c r="G6274" t="s">
        <v>1753</v>
      </c>
      <c r="H6274" s="10">
        <v>344905</v>
      </c>
      <c r="I6274">
        <f>IFERROR(VLOOKUP(Final!F6274,'LEAID Match'!$A$2:$B$374,2,FALSE),"")</f>
        <v>400921</v>
      </c>
      <c r="K6274" s="10">
        <f t="shared" si="97"/>
        <v>344905</v>
      </c>
    </row>
    <row r="6275" spans="1:11">
      <c r="A6275">
        <v>400921</v>
      </c>
      <c r="B6275" s="10">
        <v>2020</v>
      </c>
      <c r="C6275" t="s">
        <v>1464</v>
      </c>
      <c r="D6275" t="s">
        <v>2472</v>
      </c>
      <c r="E6275" t="s">
        <v>2474</v>
      </c>
      <c r="F6275" t="s">
        <v>1753</v>
      </c>
      <c r="G6275" t="s">
        <v>1753</v>
      </c>
      <c r="H6275" s="10">
        <v>382556</v>
      </c>
      <c r="I6275">
        <f>IFERROR(VLOOKUP(Final!F6275,'LEAID Match'!$A$2:$B$374,2,FALSE),"")</f>
        <v>400921</v>
      </c>
      <c r="K6275" s="10">
        <f t="shared" ref="K6275:K6338" si="98">SUM(H6275,J6275)</f>
        <v>382556</v>
      </c>
    </row>
    <row r="6276" spans="1:11">
      <c r="A6276">
        <v>400921</v>
      </c>
      <c r="B6276" s="10">
        <v>2021</v>
      </c>
      <c r="C6276" t="s">
        <v>1464</v>
      </c>
      <c r="D6276" t="s">
        <v>2472</v>
      </c>
      <c r="E6276" t="s">
        <v>2474</v>
      </c>
      <c r="F6276" t="s">
        <v>1753</v>
      </c>
      <c r="G6276" t="s">
        <v>1753</v>
      </c>
      <c r="H6276" s="10">
        <v>385276</v>
      </c>
      <c r="I6276">
        <f>IFERROR(VLOOKUP(Final!F6276,'LEAID Match'!$A$2:$B$374,2,FALSE),"")</f>
        <v>400921</v>
      </c>
      <c r="K6276" s="10">
        <f t="shared" si="98"/>
        <v>385276</v>
      </c>
    </row>
    <row r="6277" spans="1:11">
      <c r="A6277">
        <v>400921</v>
      </c>
      <c r="B6277" s="10">
        <v>2022</v>
      </c>
      <c r="C6277" t="s">
        <v>1464</v>
      </c>
      <c r="D6277" t="s">
        <v>2472</v>
      </c>
      <c r="E6277" t="s">
        <v>2474</v>
      </c>
      <c r="F6277" t="s">
        <v>1753</v>
      </c>
      <c r="G6277" t="s">
        <v>1753</v>
      </c>
      <c r="H6277" s="10">
        <v>458187</v>
      </c>
      <c r="I6277">
        <f>IFERROR(VLOOKUP(Final!F6277,'LEAID Match'!$A$2:$B$374,2,FALSE),"")</f>
        <v>400921</v>
      </c>
      <c r="K6277" s="10">
        <f t="shared" si="98"/>
        <v>458187</v>
      </c>
    </row>
    <row r="6278" spans="1:11">
      <c r="A6278">
        <v>400921</v>
      </c>
      <c r="B6278" s="10">
        <v>2023</v>
      </c>
      <c r="C6278" t="s">
        <v>1464</v>
      </c>
      <c r="D6278" t="s">
        <v>2472</v>
      </c>
      <c r="E6278" t="s">
        <v>2474</v>
      </c>
      <c r="F6278" t="s">
        <v>1753</v>
      </c>
      <c r="G6278" t="s">
        <v>1753</v>
      </c>
      <c r="H6278" s="10">
        <v>485389</v>
      </c>
      <c r="I6278">
        <f>IFERROR(VLOOKUP(Final!F6278,'LEAID Match'!$A$2:$B$374,2,FALSE),"")</f>
        <v>400921</v>
      </c>
      <c r="K6278" s="10">
        <f t="shared" si="98"/>
        <v>485389</v>
      </c>
    </row>
    <row r="6279" spans="1:11">
      <c r="A6279" t="s">
        <v>2470</v>
      </c>
      <c r="B6279" s="10">
        <v>2016</v>
      </c>
      <c r="C6279" t="s">
        <v>1481</v>
      </c>
      <c r="D6279" t="s">
        <v>2472</v>
      </c>
      <c r="E6279" t="s">
        <v>2474</v>
      </c>
      <c r="F6279" t="s">
        <v>1479</v>
      </c>
      <c r="G6279" t="s">
        <v>1479</v>
      </c>
      <c r="H6279" s="10">
        <v>76396</v>
      </c>
      <c r="I6279" t="str">
        <f>IFERROR(VLOOKUP(Final!F6279,'LEAID Match'!$A$2:$B$374,2,FALSE),"")</f>
        <v/>
      </c>
      <c r="K6279" s="10">
        <f t="shared" si="98"/>
        <v>76396</v>
      </c>
    </row>
    <row r="6280" spans="1:11">
      <c r="A6280" t="s">
        <v>2470</v>
      </c>
      <c r="B6280" s="10">
        <v>2017</v>
      </c>
      <c r="C6280" t="s">
        <v>1481</v>
      </c>
      <c r="D6280" t="s">
        <v>2472</v>
      </c>
      <c r="E6280" t="s">
        <v>2474</v>
      </c>
      <c r="F6280" t="s">
        <v>1479</v>
      </c>
      <c r="G6280" t="s">
        <v>1479</v>
      </c>
      <c r="H6280" s="10">
        <v>125003</v>
      </c>
      <c r="I6280" t="str">
        <f>IFERROR(VLOOKUP(Final!F6280,'LEAID Match'!$A$2:$B$374,2,FALSE),"")</f>
        <v/>
      </c>
      <c r="K6280" s="10">
        <f t="shared" si="98"/>
        <v>125003</v>
      </c>
    </row>
    <row r="6281" spans="1:11">
      <c r="A6281" t="s">
        <v>2470</v>
      </c>
      <c r="B6281" s="10">
        <v>2018</v>
      </c>
      <c r="C6281" t="s">
        <v>1481</v>
      </c>
      <c r="D6281" t="s">
        <v>2472</v>
      </c>
      <c r="E6281" t="s">
        <v>2474</v>
      </c>
      <c r="F6281" t="s">
        <v>1479</v>
      </c>
      <c r="G6281" t="s">
        <v>1479</v>
      </c>
      <c r="H6281" s="10">
        <v>123099</v>
      </c>
      <c r="I6281" t="str">
        <f>IFERROR(VLOOKUP(Final!F6281,'LEAID Match'!$A$2:$B$374,2,FALSE),"")</f>
        <v/>
      </c>
      <c r="K6281" s="10">
        <f t="shared" si="98"/>
        <v>123099</v>
      </c>
    </row>
    <row r="6282" spans="1:11">
      <c r="A6282" t="s">
        <v>2470</v>
      </c>
      <c r="B6282" s="10">
        <v>2019</v>
      </c>
      <c r="C6282" t="s">
        <v>1481</v>
      </c>
      <c r="D6282" t="s">
        <v>2472</v>
      </c>
      <c r="E6282" t="s">
        <v>2474</v>
      </c>
      <c r="F6282" t="s">
        <v>1479</v>
      </c>
      <c r="G6282" t="s">
        <v>1479</v>
      </c>
      <c r="H6282" s="10">
        <v>107940</v>
      </c>
      <c r="I6282" t="str">
        <f>IFERROR(VLOOKUP(Final!F6282,'LEAID Match'!$A$2:$B$374,2,FALSE),"")</f>
        <v/>
      </c>
      <c r="K6282" s="10">
        <f t="shared" si="98"/>
        <v>107940</v>
      </c>
    </row>
    <row r="6283" spans="1:11">
      <c r="A6283" t="s">
        <v>2470</v>
      </c>
      <c r="B6283" s="10">
        <v>2020</v>
      </c>
      <c r="C6283" t="s">
        <v>1481</v>
      </c>
      <c r="D6283" t="s">
        <v>2472</v>
      </c>
      <c r="E6283" t="s">
        <v>2474</v>
      </c>
      <c r="F6283" t="s">
        <v>1479</v>
      </c>
      <c r="G6283" t="s">
        <v>1479</v>
      </c>
      <c r="H6283" s="10">
        <v>111304</v>
      </c>
      <c r="I6283" t="str">
        <f>IFERROR(VLOOKUP(Final!F6283,'LEAID Match'!$A$2:$B$374,2,FALSE),"")</f>
        <v/>
      </c>
      <c r="K6283" s="10">
        <f t="shared" si="98"/>
        <v>111304</v>
      </c>
    </row>
    <row r="6284" spans="1:11">
      <c r="A6284" t="s">
        <v>2470</v>
      </c>
      <c r="B6284" s="10">
        <v>2021</v>
      </c>
      <c r="C6284" t="s">
        <v>1481</v>
      </c>
      <c r="D6284" t="s">
        <v>2472</v>
      </c>
      <c r="E6284" t="s">
        <v>2474</v>
      </c>
      <c r="F6284" t="s">
        <v>1479</v>
      </c>
      <c r="G6284" t="s">
        <v>1479</v>
      </c>
      <c r="H6284" s="10">
        <v>121663</v>
      </c>
      <c r="I6284" t="str">
        <f>IFERROR(VLOOKUP(Final!F6284,'LEAID Match'!$A$2:$B$374,2,FALSE),"")</f>
        <v/>
      </c>
      <c r="K6284" s="10">
        <f t="shared" si="98"/>
        <v>121663</v>
      </c>
    </row>
    <row r="6285" spans="1:11">
      <c r="A6285" t="s">
        <v>2470</v>
      </c>
      <c r="B6285" s="10">
        <v>2022</v>
      </c>
      <c r="C6285" t="s">
        <v>1481</v>
      </c>
      <c r="D6285" t="s">
        <v>2472</v>
      </c>
      <c r="E6285" t="s">
        <v>2474</v>
      </c>
      <c r="F6285" t="s">
        <v>1479</v>
      </c>
      <c r="G6285" t="s">
        <v>1479</v>
      </c>
      <c r="H6285" s="10">
        <v>115063</v>
      </c>
      <c r="I6285" t="str">
        <f>IFERROR(VLOOKUP(Final!F6285,'LEAID Match'!$A$2:$B$374,2,FALSE),"")</f>
        <v/>
      </c>
      <c r="K6285" s="10">
        <f t="shared" si="98"/>
        <v>115063</v>
      </c>
    </row>
    <row r="6286" spans="1:11">
      <c r="A6286" t="s">
        <v>2470</v>
      </c>
      <c r="B6286" s="10">
        <v>2023</v>
      </c>
      <c r="C6286" t="s">
        <v>1481</v>
      </c>
      <c r="D6286" t="s">
        <v>2472</v>
      </c>
      <c r="E6286" t="s">
        <v>2474</v>
      </c>
      <c r="F6286" t="s">
        <v>1479</v>
      </c>
      <c r="G6286" t="s">
        <v>1479</v>
      </c>
      <c r="H6286" s="10">
        <v>115129</v>
      </c>
      <c r="I6286" t="str">
        <f>IFERROR(VLOOKUP(Final!F6286,'LEAID Match'!$A$2:$B$374,2,FALSE),"")</f>
        <v/>
      </c>
      <c r="K6286" s="10">
        <f t="shared" si="98"/>
        <v>115129</v>
      </c>
    </row>
    <row r="6287" spans="1:11">
      <c r="A6287">
        <v>400874</v>
      </c>
      <c r="B6287" s="10">
        <v>2016</v>
      </c>
      <c r="C6287" t="s">
        <v>1474</v>
      </c>
      <c r="D6287" t="s">
        <v>2472</v>
      </c>
      <c r="E6287" t="s">
        <v>2474</v>
      </c>
      <c r="F6287" t="s">
        <v>1473</v>
      </c>
      <c r="G6287" t="s">
        <v>1473</v>
      </c>
      <c r="H6287" s="10">
        <v>6510</v>
      </c>
      <c r="I6287">
        <f>IFERROR(VLOOKUP(Final!F6287,'LEAID Match'!$A$2:$B$374,2,FALSE),"")</f>
        <v>400874</v>
      </c>
      <c r="K6287" s="10">
        <f t="shared" si="98"/>
        <v>6510</v>
      </c>
    </row>
    <row r="6288" spans="1:11">
      <c r="A6288">
        <v>400874</v>
      </c>
      <c r="B6288" s="10">
        <v>2017</v>
      </c>
      <c r="C6288" t="s">
        <v>1474</v>
      </c>
      <c r="D6288" t="s">
        <v>2472</v>
      </c>
      <c r="E6288" t="s">
        <v>2474</v>
      </c>
      <c r="F6288" t="s">
        <v>1473</v>
      </c>
      <c r="G6288" t="s">
        <v>1473</v>
      </c>
      <c r="H6288" s="10">
        <v>10870</v>
      </c>
      <c r="I6288">
        <f>IFERROR(VLOOKUP(Final!F6288,'LEAID Match'!$A$2:$B$374,2,FALSE),"")</f>
        <v>400874</v>
      </c>
      <c r="K6288" s="10">
        <f t="shared" si="98"/>
        <v>10870</v>
      </c>
    </row>
    <row r="6289" spans="1:11">
      <c r="A6289">
        <v>400874</v>
      </c>
      <c r="B6289" s="10">
        <v>2018</v>
      </c>
      <c r="C6289" t="s">
        <v>1474</v>
      </c>
      <c r="D6289" t="s">
        <v>2472</v>
      </c>
      <c r="E6289" t="s">
        <v>2474</v>
      </c>
      <c r="F6289" t="s">
        <v>1473</v>
      </c>
      <c r="G6289" t="s">
        <v>2267</v>
      </c>
      <c r="H6289" s="10">
        <v>7085</v>
      </c>
      <c r="I6289">
        <f>IFERROR(VLOOKUP(Final!F6289,'LEAID Match'!$A$2:$B$374,2,FALSE),"")</f>
        <v>400874</v>
      </c>
      <c r="K6289" s="10">
        <f t="shared" si="98"/>
        <v>7085</v>
      </c>
    </row>
    <row r="6290" spans="1:11">
      <c r="A6290">
        <v>400874</v>
      </c>
      <c r="B6290" s="10">
        <v>2019</v>
      </c>
      <c r="C6290" t="s">
        <v>1474</v>
      </c>
      <c r="D6290" t="s">
        <v>2472</v>
      </c>
      <c r="E6290" t="s">
        <v>2474</v>
      </c>
      <c r="F6290" t="s">
        <v>1473</v>
      </c>
      <c r="G6290" t="s">
        <v>1473</v>
      </c>
      <c r="H6290" s="10"/>
      <c r="I6290">
        <f>IFERROR(VLOOKUP(Final!F6290,'LEAID Match'!$A$2:$B$374,2,FALSE),"")</f>
        <v>400874</v>
      </c>
      <c r="K6290" s="10">
        <f t="shared" si="98"/>
        <v>0</v>
      </c>
    </row>
    <row r="6291" spans="1:11">
      <c r="A6291">
        <v>400874</v>
      </c>
      <c r="B6291" s="10">
        <v>2020</v>
      </c>
      <c r="C6291" t="s">
        <v>1474</v>
      </c>
      <c r="D6291" t="s">
        <v>2472</v>
      </c>
      <c r="E6291" t="s">
        <v>2474</v>
      </c>
      <c r="F6291" t="s">
        <v>1473</v>
      </c>
      <c r="G6291" t="s">
        <v>1473</v>
      </c>
      <c r="H6291" s="10"/>
      <c r="I6291">
        <f>IFERROR(VLOOKUP(Final!F6291,'LEAID Match'!$A$2:$B$374,2,FALSE),"")</f>
        <v>400874</v>
      </c>
      <c r="K6291" s="10">
        <f t="shared" si="98"/>
        <v>0</v>
      </c>
    </row>
    <row r="6292" spans="1:11">
      <c r="A6292">
        <v>400874</v>
      </c>
      <c r="B6292" s="10">
        <v>2021</v>
      </c>
      <c r="C6292" t="s">
        <v>1474</v>
      </c>
      <c r="D6292" t="s">
        <v>2472</v>
      </c>
      <c r="E6292" t="s">
        <v>2474</v>
      </c>
      <c r="F6292" t="s">
        <v>1473</v>
      </c>
      <c r="G6292" t="s">
        <v>1473</v>
      </c>
      <c r="H6292" s="10"/>
      <c r="I6292">
        <f>IFERROR(VLOOKUP(Final!F6292,'LEAID Match'!$A$2:$B$374,2,FALSE),"")</f>
        <v>400874</v>
      </c>
      <c r="K6292" s="10">
        <f t="shared" si="98"/>
        <v>0</v>
      </c>
    </row>
    <row r="6293" spans="1:11">
      <c r="A6293">
        <v>400874</v>
      </c>
      <c r="B6293" s="10">
        <v>2022</v>
      </c>
      <c r="C6293" t="s">
        <v>1474</v>
      </c>
      <c r="D6293" t="s">
        <v>2472</v>
      </c>
      <c r="E6293" t="s">
        <v>2474</v>
      </c>
      <c r="F6293" t="s">
        <v>1473</v>
      </c>
      <c r="G6293" t="s">
        <v>1473</v>
      </c>
      <c r="H6293" s="10"/>
      <c r="I6293">
        <f>IFERROR(VLOOKUP(Final!F6293,'LEAID Match'!$A$2:$B$374,2,FALSE),"")</f>
        <v>400874</v>
      </c>
      <c r="K6293" s="10">
        <f t="shared" si="98"/>
        <v>0</v>
      </c>
    </row>
    <row r="6294" spans="1:11">
      <c r="A6294">
        <v>400874</v>
      </c>
      <c r="B6294" s="10">
        <v>2023</v>
      </c>
      <c r="C6294" t="s">
        <v>1474</v>
      </c>
      <c r="D6294" t="s">
        <v>2472</v>
      </c>
      <c r="E6294" t="s">
        <v>2474</v>
      </c>
      <c r="F6294" t="s">
        <v>1473</v>
      </c>
      <c r="G6294" t="s">
        <v>1473</v>
      </c>
      <c r="H6294" s="10"/>
      <c r="I6294">
        <f>IFERROR(VLOOKUP(Final!F6294,'LEAID Match'!$A$2:$B$374,2,FALSE),"")</f>
        <v>400874</v>
      </c>
      <c r="K6294" s="10">
        <f t="shared" si="98"/>
        <v>0</v>
      </c>
    </row>
    <row r="6295" spans="1:11">
      <c r="A6295" t="s">
        <v>2470</v>
      </c>
      <c r="B6295" s="10">
        <v>2016</v>
      </c>
      <c r="C6295" t="s">
        <v>1456</v>
      </c>
      <c r="D6295" t="s">
        <v>2472</v>
      </c>
      <c r="E6295" t="s">
        <v>2474</v>
      </c>
      <c r="F6295" t="s">
        <v>1720</v>
      </c>
      <c r="G6295" t="s">
        <v>1453</v>
      </c>
      <c r="H6295" s="10">
        <v>13314</v>
      </c>
      <c r="I6295" t="str">
        <f>IFERROR(VLOOKUP(Final!F6295,'LEAID Match'!$A$2:$B$374,2,FALSE),"")</f>
        <v/>
      </c>
      <c r="K6295" s="10">
        <f t="shared" si="98"/>
        <v>13314</v>
      </c>
    </row>
    <row r="6296" spans="1:11">
      <c r="A6296" t="s">
        <v>2470</v>
      </c>
      <c r="B6296" s="10">
        <v>2017</v>
      </c>
      <c r="C6296" t="s">
        <v>1456</v>
      </c>
      <c r="D6296" t="s">
        <v>2472</v>
      </c>
      <c r="E6296" t="s">
        <v>2474</v>
      </c>
      <c r="F6296" t="s">
        <v>1720</v>
      </c>
      <c r="G6296" t="s">
        <v>1720</v>
      </c>
      <c r="H6296" s="10">
        <v>15190</v>
      </c>
      <c r="I6296" t="str">
        <f>IFERROR(VLOOKUP(Final!F6296,'LEAID Match'!$A$2:$B$374,2,FALSE),"")</f>
        <v/>
      </c>
      <c r="K6296" s="10">
        <f t="shared" si="98"/>
        <v>15190</v>
      </c>
    </row>
    <row r="6297" spans="1:11">
      <c r="A6297" t="s">
        <v>2470</v>
      </c>
      <c r="B6297" s="10">
        <v>2018</v>
      </c>
      <c r="C6297" t="s">
        <v>1456</v>
      </c>
      <c r="D6297" t="s">
        <v>2472</v>
      </c>
      <c r="E6297" t="s">
        <v>2474</v>
      </c>
      <c r="F6297" t="s">
        <v>1720</v>
      </c>
      <c r="G6297" t="s">
        <v>2189</v>
      </c>
      <c r="H6297" s="10">
        <v>16191</v>
      </c>
      <c r="I6297" t="str">
        <f>IFERROR(VLOOKUP(Final!F6297,'LEAID Match'!$A$2:$B$374,2,FALSE),"")</f>
        <v/>
      </c>
      <c r="K6297" s="10">
        <f t="shared" si="98"/>
        <v>16191</v>
      </c>
    </row>
    <row r="6298" spans="1:11">
      <c r="A6298" t="s">
        <v>2470</v>
      </c>
      <c r="B6298" s="10">
        <v>2019</v>
      </c>
      <c r="C6298" t="s">
        <v>1456</v>
      </c>
      <c r="D6298" t="s">
        <v>2472</v>
      </c>
      <c r="E6298" t="s">
        <v>2474</v>
      </c>
      <c r="F6298" t="s">
        <v>1720</v>
      </c>
      <c r="G6298" t="s">
        <v>2372</v>
      </c>
      <c r="H6298" s="10">
        <v>17396</v>
      </c>
      <c r="I6298" t="str">
        <f>IFERROR(VLOOKUP(Final!F6298,'LEAID Match'!$A$2:$B$374,2,FALSE),"")</f>
        <v/>
      </c>
      <c r="K6298" s="10">
        <f t="shared" si="98"/>
        <v>17396</v>
      </c>
    </row>
    <row r="6299" spans="1:11">
      <c r="A6299" t="s">
        <v>2470</v>
      </c>
      <c r="B6299" s="10">
        <v>2020</v>
      </c>
      <c r="C6299" t="s">
        <v>1456</v>
      </c>
      <c r="D6299" t="s">
        <v>2472</v>
      </c>
      <c r="E6299" t="s">
        <v>2474</v>
      </c>
      <c r="F6299" t="s">
        <v>1720</v>
      </c>
      <c r="G6299" t="s">
        <v>1720</v>
      </c>
      <c r="H6299" s="10">
        <v>19599</v>
      </c>
      <c r="I6299" t="str">
        <f>IFERROR(VLOOKUP(Final!F6299,'LEAID Match'!$A$2:$B$374,2,FALSE),"")</f>
        <v/>
      </c>
      <c r="K6299" s="10">
        <f t="shared" si="98"/>
        <v>19599</v>
      </c>
    </row>
    <row r="6300" spans="1:11">
      <c r="A6300" t="s">
        <v>2470</v>
      </c>
      <c r="B6300" s="10">
        <v>2021</v>
      </c>
      <c r="C6300" t="s">
        <v>1456</v>
      </c>
      <c r="D6300" t="s">
        <v>2472</v>
      </c>
      <c r="E6300" t="s">
        <v>2474</v>
      </c>
      <c r="F6300" t="s">
        <v>1720</v>
      </c>
      <c r="G6300" t="s">
        <v>1720</v>
      </c>
      <c r="H6300" s="10">
        <v>20843</v>
      </c>
      <c r="I6300" t="str">
        <f>IFERROR(VLOOKUP(Final!F6300,'LEAID Match'!$A$2:$B$374,2,FALSE),"")</f>
        <v/>
      </c>
      <c r="K6300" s="10">
        <f t="shared" si="98"/>
        <v>20843</v>
      </c>
    </row>
    <row r="6301" spans="1:11">
      <c r="A6301" t="s">
        <v>2470</v>
      </c>
      <c r="B6301" s="10">
        <v>2022</v>
      </c>
      <c r="C6301" t="s">
        <v>1456</v>
      </c>
      <c r="D6301" t="s">
        <v>2472</v>
      </c>
      <c r="E6301" t="s">
        <v>2474</v>
      </c>
      <c r="F6301" t="s">
        <v>1720</v>
      </c>
      <c r="G6301" t="s">
        <v>1720</v>
      </c>
      <c r="H6301" s="10">
        <v>22783</v>
      </c>
      <c r="I6301" t="str">
        <f>IFERROR(VLOOKUP(Final!F6301,'LEAID Match'!$A$2:$B$374,2,FALSE),"")</f>
        <v/>
      </c>
      <c r="K6301" s="10">
        <f t="shared" si="98"/>
        <v>22783</v>
      </c>
    </row>
    <row r="6302" spans="1:11">
      <c r="A6302" t="s">
        <v>2470</v>
      </c>
      <c r="B6302" s="10">
        <v>2023</v>
      </c>
      <c r="C6302" t="s">
        <v>1456</v>
      </c>
      <c r="D6302" t="s">
        <v>2472</v>
      </c>
      <c r="E6302" t="s">
        <v>2474</v>
      </c>
      <c r="F6302" t="s">
        <v>1720</v>
      </c>
      <c r="G6302" t="s">
        <v>1720</v>
      </c>
      <c r="H6302" s="10">
        <v>26096</v>
      </c>
      <c r="I6302" t="str">
        <f>IFERROR(VLOOKUP(Final!F6302,'LEAID Match'!$A$2:$B$374,2,FALSE),"")</f>
        <v/>
      </c>
      <c r="K6302" s="10">
        <f t="shared" si="98"/>
        <v>26096</v>
      </c>
    </row>
    <row r="6303" spans="1:11">
      <c r="A6303" t="s">
        <v>2470</v>
      </c>
      <c r="B6303" s="10">
        <v>2016</v>
      </c>
      <c r="C6303" t="s">
        <v>1470</v>
      </c>
      <c r="D6303" t="s">
        <v>2472</v>
      </c>
      <c r="E6303" t="s">
        <v>2474</v>
      </c>
      <c r="F6303" t="s">
        <v>1815</v>
      </c>
      <c r="G6303" t="s">
        <v>1468</v>
      </c>
      <c r="H6303" s="10">
        <v>11628</v>
      </c>
      <c r="I6303" t="str">
        <f>IFERROR(VLOOKUP(Final!F6303,'LEAID Match'!$A$2:$B$374,2,FALSE),"")</f>
        <v/>
      </c>
      <c r="K6303" s="10">
        <f t="shared" si="98"/>
        <v>11628</v>
      </c>
    </row>
    <row r="6304" spans="1:11">
      <c r="A6304" t="s">
        <v>2470</v>
      </c>
      <c r="B6304" s="10">
        <v>2017</v>
      </c>
      <c r="C6304" t="s">
        <v>1470</v>
      </c>
      <c r="D6304" t="s">
        <v>2472</v>
      </c>
      <c r="E6304" t="s">
        <v>2474</v>
      </c>
      <c r="F6304" t="s">
        <v>1815</v>
      </c>
      <c r="G6304" t="s">
        <v>1815</v>
      </c>
      <c r="H6304" s="10">
        <v>12672</v>
      </c>
      <c r="I6304" t="str">
        <f>IFERROR(VLOOKUP(Final!F6304,'LEAID Match'!$A$2:$B$374,2,FALSE),"")</f>
        <v/>
      </c>
      <c r="K6304" s="10">
        <f t="shared" si="98"/>
        <v>12672</v>
      </c>
    </row>
    <row r="6305" spans="1:11">
      <c r="A6305" t="s">
        <v>2470</v>
      </c>
      <c r="B6305" s="10">
        <v>2018</v>
      </c>
      <c r="C6305" t="s">
        <v>1470</v>
      </c>
      <c r="D6305" t="s">
        <v>2472</v>
      </c>
      <c r="E6305" t="s">
        <v>2474</v>
      </c>
      <c r="F6305" t="s">
        <v>1815</v>
      </c>
      <c r="G6305" t="s">
        <v>1815</v>
      </c>
      <c r="H6305" s="10">
        <v>14224</v>
      </c>
      <c r="I6305" t="str">
        <f>IFERROR(VLOOKUP(Final!F6305,'LEAID Match'!$A$2:$B$374,2,FALSE),"")</f>
        <v/>
      </c>
      <c r="K6305" s="10">
        <f t="shared" si="98"/>
        <v>14224</v>
      </c>
    </row>
    <row r="6306" spans="1:11">
      <c r="A6306" t="s">
        <v>2470</v>
      </c>
      <c r="B6306" s="10">
        <v>2019</v>
      </c>
      <c r="C6306" t="s">
        <v>1470</v>
      </c>
      <c r="D6306" t="s">
        <v>2472</v>
      </c>
      <c r="E6306" t="s">
        <v>2474</v>
      </c>
      <c r="F6306" t="s">
        <v>1815</v>
      </c>
      <c r="G6306" t="s">
        <v>1815</v>
      </c>
      <c r="H6306" s="10">
        <v>15695</v>
      </c>
      <c r="I6306" t="str">
        <f>IFERROR(VLOOKUP(Final!F6306,'LEAID Match'!$A$2:$B$374,2,FALSE),"")</f>
        <v/>
      </c>
      <c r="K6306" s="10">
        <f t="shared" si="98"/>
        <v>15695</v>
      </c>
    </row>
    <row r="6307" spans="1:11">
      <c r="A6307" t="s">
        <v>2470</v>
      </c>
      <c r="B6307" s="10">
        <v>2020</v>
      </c>
      <c r="C6307" t="s">
        <v>1470</v>
      </c>
      <c r="D6307" t="s">
        <v>2472</v>
      </c>
      <c r="E6307" t="s">
        <v>2474</v>
      </c>
      <c r="F6307" t="s">
        <v>1815</v>
      </c>
      <c r="G6307" t="s">
        <v>1815</v>
      </c>
      <c r="H6307" s="10">
        <v>15950</v>
      </c>
      <c r="I6307" t="str">
        <f>IFERROR(VLOOKUP(Final!F6307,'LEAID Match'!$A$2:$B$374,2,FALSE),"")</f>
        <v/>
      </c>
      <c r="K6307" s="10">
        <f t="shared" si="98"/>
        <v>15950</v>
      </c>
    </row>
    <row r="6308" spans="1:11">
      <c r="A6308" t="s">
        <v>2470</v>
      </c>
      <c r="B6308" s="10">
        <v>2021</v>
      </c>
      <c r="C6308" t="s">
        <v>1470</v>
      </c>
      <c r="D6308" t="s">
        <v>2472</v>
      </c>
      <c r="E6308" t="s">
        <v>2474</v>
      </c>
      <c r="F6308" t="s">
        <v>1815</v>
      </c>
      <c r="G6308" t="s">
        <v>1815</v>
      </c>
      <c r="H6308" s="10">
        <v>17240</v>
      </c>
      <c r="I6308" t="str">
        <f>IFERROR(VLOOKUP(Final!F6308,'LEAID Match'!$A$2:$B$374,2,FALSE),"")</f>
        <v/>
      </c>
      <c r="K6308" s="10">
        <f t="shared" si="98"/>
        <v>17240</v>
      </c>
    </row>
    <row r="6309" spans="1:11">
      <c r="A6309" t="s">
        <v>2470</v>
      </c>
      <c r="B6309" s="10">
        <v>2022</v>
      </c>
      <c r="C6309" t="s">
        <v>1470</v>
      </c>
      <c r="D6309" t="s">
        <v>2472</v>
      </c>
      <c r="E6309" t="s">
        <v>2474</v>
      </c>
      <c r="F6309" t="s">
        <v>1815</v>
      </c>
      <c r="G6309" t="s">
        <v>1815</v>
      </c>
      <c r="H6309" s="10">
        <v>19215</v>
      </c>
      <c r="I6309" t="str">
        <f>IFERROR(VLOOKUP(Final!F6309,'LEAID Match'!$A$2:$B$374,2,FALSE),"")</f>
        <v/>
      </c>
      <c r="K6309" s="10">
        <f t="shared" si="98"/>
        <v>19215</v>
      </c>
    </row>
    <row r="6310" spans="1:11">
      <c r="A6310" t="s">
        <v>2470</v>
      </c>
      <c r="B6310" s="10">
        <v>2023</v>
      </c>
      <c r="C6310" t="s">
        <v>1470</v>
      </c>
      <c r="D6310" t="s">
        <v>2472</v>
      </c>
      <c r="E6310" t="s">
        <v>2474</v>
      </c>
      <c r="F6310" t="s">
        <v>1815</v>
      </c>
      <c r="G6310" t="s">
        <v>1815</v>
      </c>
      <c r="H6310" s="10">
        <v>19836</v>
      </c>
      <c r="I6310" t="str">
        <f>IFERROR(VLOOKUP(Final!F6310,'LEAID Match'!$A$2:$B$374,2,FALSE),"")</f>
        <v/>
      </c>
      <c r="K6310" s="10">
        <f t="shared" si="98"/>
        <v>19836</v>
      </c>
    </row>
    <row r="6311" spans="1:11">
      <c r="A6311" t="s">
        <v>2470</v>
      </c>
      <c r="B6311" s="10">
        <v>2017</v>
      </c>
      <c r="C6311" t="s">
        <v>1659</v>
      </c>
      <c r="D6311" t="s">
        <v>2472</v>
      </c>
      <c r="E6311" t="s">
        <v>2474</v>
      </c>
      <c r="F6311" t="s">
        <v>1651</v>
      </c>
      <c r="G6311" t="s">
        <v>1651</v>
      </c>
      <c r="H6311" s="10">
        <v>154279</v>
      </c>
      <c r="I6311" t="str">
        <f>IFERROR(VLOOKUP(Final!F6311,'LEAID Match'!$A$2:$B$374,2,FALSE),"")</f>
        <v/>
      </c>
      <c r="K6311" s="10">
        <f t="shared" si="98"/>
        <v>154279</v>
      </c>
    </row>
    <row r="6312" spans="1:11">
      <c r="A6312" t="s">
        <v>2470</v>
      </c>
      <c r="B6312" s="10">
        <v>2018</v>
      </c>
      <c r="C6312" t="s">
        <v>1659</v>
      </c>
      <c r="D6312" t="s">
        <v>2472</v>
      </c>
      <c r="E6312" t="s">
        <v>2474</v>
      </c>
      <c r="F6312" t="s">
        <v>1651</v>
      </c>
      <c r="G6312" t="s">
        <v>2146</v>
      </c>
      <c r="H6312" s="10">
        <v>170567</v>
      </c>
      <c r="I6312" t="str">
        <f>IFERROR(VLOOKUP(Final!F6312,'LEAID Match'!$A$2:$B$374,2,FALSE),"")</f>
        <v/>
      </c>
      <c r="K6312" s="10">
        <f t="shared" si="98"/>
        <v>170567</v>
      </c>
    </row>
    <row r="6313" spans="1:11">
      <c r="A6313" t="s">
        <v>2470</v>
      </c>
      <c r="B6313" s="10">
        <v>2019</v>
      </c>
      <c r="C6313" t="s">
        <v>1659</v>
      </c>
      <c r="D6313" t="s">
        <v>2472</v>
      </c>
      <c r="E6313" t="s">
        <v>2474</v>
      </c>
      <c r="F6313" t="s">
        <v>1651</v>
      </c>
      <c r="G6313" t="s">
        <v>1651</v>
      </c>
      <c r="H6313" s="10">
        <v>183147</v>
      </c>
      <c r="I6313" t="str">
        <f>IFERROR(VLOOKUP(Final!F6313,'LEAID Match'!$A$2:$B$374,2,FALSE),"")</f>
        <v/>
      </c>
      <c r="K6313" s="10">
        <f t="shared" si="98"/>
        <v>183147</v>
      </c>
    </row>
    <row r="6314" spans="1:11">
      <c r="A6314" t="s">
        <v>2470</v>
      </c>
      <c r="B6314" s="10">
        <v>2020</v>
      </c>
      <c r="C6314" t="s">
        <v>1659</v>
      </c>
      <c r="D6314" t="s">
        <v>2472</v>
      </c>
      <c r="E6314" t="s">
        <v>2474</v>
      </c>
      <c r="F6314" t="s">
        <v>1651</v>
      </c>
      <c r="G6314" t="s">
        <v>1651</v>
      </c>
      <c r="H6314" s="10">
        <v>223329</v>
      </c>
      <c r="I6314" t="str">
        <f>IFERROR(VLOOKUP(Final!F6314,'LEAID Match'!$A$2:$B$374,2,FALSE),"")</f>
        <v/>
      </c>
      <c r="K6314" s="10">
        <f t="shared" si="98"/>
        <v>223329</v>
      </c>
    </row>
    <row r="6315" spans="1:11">
      <c r="A6315" t="s">
        <v>2470</v>
      </c>
      <c r="B6315" s="10">
        <v>2021</v>
      </c>
      <c r="C6315" t="s">
        <v>1659</v>
      </c>
      <c r="D6315" t="s">
        <v>2472</v>
      </c>
      <c r="E6315" t="s">
        <v>2474</v>
      </c>
      <c r="F6315" t="s">
        <v>1651</v>
      </c>
      <c r="G6315" t="s">
        <v>1651</v>
      </c>
      <c r="H6315" s="10">
        <v>237349</v>
      </c>
      <c r="I6315" t="str">
        <f>IFERROR(VLOOKUP(Final!F6315,'LEAID Match'!$A$2:$B$374,2,FALSE),"")</f>
        <v/>
      </c>
      <c r="K6315" s="10">
        <f t="shared" si="98"/>
        <v>237349</v>
      </c>
    </row>
    <row r="6316" spans="1:11">
      <c r="A6316" t="s">
        <v>2470</v>
      </c>
      <c r="B6316" s="10">
        <v>2022</v>
      </c>
      <c r="C6316" t="s">
        <v>1659</v>
      </c>
      <c r="D6316" t="s">
        <v>2472</v>
      </c>
      <c r="E6316" t="s">
        <v>2474</v>
      </c>
      <c r="F6316" t="s">
        <v>1651</v>
      </c>
      <c r="G6316" t="s">
        <v>1651</v>
      </c>
      <c r="H6316" s="10">
        <v>260579</v>
      </c>
      <c r="I6316" t="str">
        <f>IFERROR(VLOOKUP(Final!F6316,'LEAID Match'!$A$2:$B$374,2,FALSE),"")</f>
        <v/>
      </c>
      <c r="K6316" s="10">
        <f t="shared" si="98"/>
        <v>260579</v>
      </c>
    </row>
    <row r="6317" spans="1:11">
      <c r="A6317" t="s">
        <v>2470</v>
      </c>
      <c r="B6317" s="10">
        <v>2023</v>
      </c>
      <c r="C6317" t="s">
        <v>1659</v>
      </c>
      <c r="D6317" t="s">
        <v>2472</v>
      </c>
      <c r="E6317" t="s">
        <v>2474</v>
      </c>
      <c r="F6317" t="s">
        <v>1651</v>
      </c>
      <c r="G6317" t="s">
        <v>1651</v>
      </c>
      <c r="H6317" s="10">
        <v>267169</v>
      </c>
      <c r="I6317" t="str">
        <f>IFERROR(VLOOKUP(Final!F6317,'LEAID Match'!$A$2:$B$374,2,FALSE),"")</f>
        <v/>
      </c>
      <c r="K6317" s="10">
        <f t="shared" si="98"/>
        <v>267169</v>
      </c>
    </row>
    <row r="6318" spans="1:11">
      <c r="A6318" t="s">
        <v>2470</v>
      </c>
      <c r="B6318" s="10">
        <v>2017</v>
      </c>
      <c r="C6318" t="s">
        <v>1690</v>
      </c>
      <c r="D6318" t="s">
        <v>2472</v>
      </c>
      <c r="E6318" t="s">
        <v>2474</v>
      </c>
      <c r="F6318" t="s">
        <v>1677</v>
      </c>
      <c r="G6318" t="s">
        <v>1677</v>
      </c>
      <c r="H6318" s="10">
        <v>42131</v>
      </c>
      <c r="I6318" t="str">
        <f>IFERROR(VLOOKUP(Final!F6318,'LEAID Match'!$A$2:$B$374,2,FALSE),"")</f>
        <v/>
      </c>
      <c r="K6318" s="10">
        <f t="shared" si="98"/>
        <v>42131</v>
      </c>
    </row>
    <row r="6319" spans="1:11">
      <c r="A6319" t="s">
        <v>2470</v>
      </c>
      <c r="B6319" s="10">
        <v>2018</v>
      </c>
      <c r="C6319" t="s">
        <v>1690</v>
      </c>
      <c r="D6319" t="s">
        <v>2472</v>
      </c>
      <c r="E6319" t="s">
        <v>2474</v>
      </c>
      <c r="F6319" t="s">
        <v>1677</v>
      </c>
      <c r="G6319" t="s">
        <v>2162</v>
      </c>
      <c r="H6319" s="10">
        <v>42079</v>
      </c>
      <c r="I6319" t="str">
        <f>IFERROR(VLOOKUP(Final!F6319,'LEAID Match'!$A$2:$B$374,2,FALSE),"")</f>
        <v/>
      </c>
      <c r="K6319" s="10">
        <f t="shared" si="98"/>
        <v>42079</v>
      </c>
    </row>
    <row r="6320" spans="1:11">
      <c r="A6320" t="s">
        <v>2470</v>
      </c>
      <c r="B6320" s="10">
        <v>2019</v>
      </c>
      <c r="C6320" t="s">
        <v>1690</v>
      </c>
      <c r="D6320" t="s">
        <v>2472</v>
      </c>
      <c r="E6320" t="s">
        <v>2474</v>
      </c>
      <c r="F6320" t="s">
        <v>1677</v>
      </c>
      <c r="G6320" t="s">
        <v>1677</v>
      </c>
      <c r="H6320" s="10"/>
      <c r="I6320" t="str">
        <f>IFERROR(VLOOKUP(Final!F6320,'LEAID Match'!$A$2:$B$374,2,FALSE),"")</f>
        <v/>
      </c>
      <c r="K6320" s="10">
        <f t="shared" si="98"/>
        <v>0</v>
      </c>
    </row>
    <row r="6321" spans="1:11">
      <c r="A6321" t="s">
        <v>2470</v>
      </c>
      <c r="B6321" s="10">
        <v>2020</v>
      </c>
      <c r="C6321" t="s">
        <v>1690</v>
      </c>
      <c r="D6321" t="s">
        <v>2472</v>
      </c>
      <c r="E6321" t="s">
        <v>2474</v>
      </c>
      <c r="F6321" t="s">
        <v>1677</v>
      </c>
      <c r="G6321" t="s">
        <v>1677</v>
      </c>
      <c r="H6321" s="10"/>
      <c r="I6321" t="str">
        <f>IFERROR(VLOOKUP(Final!F6321,'LEAID Match'!$A$2:$B$374,2,FALSE),"")</f>
        <v/>
      </c>
      <c r="K6321" s="10">
        <f t="shared" si="98"/>
        <v>0</v>
      </c>
    </row>
    <row r="6322" spans="1:11">
      <c r="A6322" t="s">
        <v>2470</v>
      </c>
      <c r="B6322" s="10">
        <v>2021</v>
      </c>
      <c r="C6322" t="s">
        <v>1690</v>
      </c>
      <c r="D6322" t="s">
        <v>2472</v>
      </c>
      <c r="E6322" t="s">
        <v>2474</v>
      </c>
      <c r="F6322" t="s">
        <v>1677</v>
      </c>
      <c r="G6322" t="s">
        <v>1677</v>
      </c>
      <c r="H6322" s="10"/>
      <c r="I6322" t="str">
        <f>IFERROR(VLOOKUP(Final!F6322,'LEAID Match'!$A$2:$B$374,2,FALSE),"")</f>
        <v/>
      </c>
      <c r="K6322" s="10">
        <f t="shared" si="98"/>
        <v>0</v>
      </c>
    </row>
    <row r="6323" spans="1:11">
      <c r="A6323" t="s">
        <v>2470</v>
      </c>
      <c r="B6323" s="10">
        <v>2022</v>
      </c>
      <c r="C6323" t="s">
        <v>1690</v>
      </c>
      <c r="D6323" t="s">
        <v>2472</v>
      </c>
      <c r="E6323" t="s">
        <v>2474</v>
      </c>
      <c r="F6323" t="s">
        <v>1677</v>
      </c>
      <c r="G6323" t="s">
        <v>1677</v>
      </c>
      <c r="H6323" s="10"/>
      <c r="I6323" t="str">
        <f>IFERROR(VLOOKUP(Final!F6323,'LEAID Match'!$A$2:$B$374,2,FALSE),"")</f>
        <v/>
      </c>
      <c r="K6323" s="10">
        <f t="shared" si="98"/>
        <v>0</v>
      </c>
    </row>
    <row r="6324" spans="1:11">
      <c r="A6324" t="s">
        <v>2470</v>
      </c>
      <c r="B6324" s="10">
        <v>2023</v>
      </c>
      <c r="C6324" t="s">
        <v>1690</v>
      </c>
      <c r="D6324" t="s">
        <v>2472</v>
      </c>
      <c r="E6324" t="s">
        <v>2474</v>
      </c>
      <c r="F6324" t="s">
        <v>1677</v>
      </c>
      <c r="G6324" t="s">
        <v>1677</v>
      </c>
      <c r="H6324" s="10"/>
      <c r="I6324" t="str">
        <f>IFERROR(VLOOKUP(Final!F6324,'LEAID Match'!$A$2:$B$374,2,FALSE),"")</f>
        <v/>
      </c>
      <c r="K6324" s="10">
        <f t="shared" si="98"/>
        <v>0</v>
      </c>
    </row>
    <row r="6325" spans="1:11">
      <c r="A6325" t="s">
        <v>2470</v>
      </c>
      <c r="B6325" s="10">
        <v>2017</v>
      </c>
      <c r="C6325" t="s">
        <v>2043</v>
      </c>
      <c r="D6325" t="s">
        <v>2472</v>
      </c>
      <c r="E6325" t="s">
        <v>2474</v>
      </c>
      <c r="F6325" t="s">
        <v>2040</v>
      </c>
      <c r="G6325" t="s">
        <v>2040</v>
      </c>
      <c r="H6325" s="10">
        <v>23322</v>
      </c>
      <c r="I6325" t="str">
        <f>IFERROR(VLOOKUP(Final!F6325,'LEAID Match'!$A$2:$B$374,2,FALSE),"")</f>
        <v/>
      </c>
      <c r="K6325" s="10">
        <f t="shared" si="98"/>
        <v>23322</v>
      </c>
    </row>
    <row r="6326" spans="1:11">
      <c r="A6326" t="s">
        <v>2470</v>
      </c>
      <c r="B6326" s="10">
        <v>2018</v>
      </c>
      <c r="C6326" t="s">
        <v>2043</v>
      </c>
      <c r="D6326" t="s">
        <v>2472</v>
      </c>
      <c r="E6326" t="s">
        <v>2474</v>
      </c>
      <c r="F6326" t="s">
        <v>2040</v>
      </c>
      <c r="G6326" t="s">
        <v>2348</v>
      </c>
      <c r="H6326" s="10">
        <v>28234</v>
      </c>
      <c r="I6326" t="str">
        <f>IFERROR(VLOOKUP(Final!F6326,'LEAID Match'!$A$2:$B$374,2,FALSE),"")</f>
        <v/>
      </c>
      <c r="K6326" s="10">
        <f t="shared" si="98"/>
        <v>28234</v>
      </c>
    </row>
    <row r="6327" spans="1:11">
      <c r="A6327" t="s">
        <v>2470</v>
      </c>
      <c r="B6327" s="10">
        <v>2019</v>
      </c>
      <c r="C6327" t="s">
        <v>2043</v>
      </c>
      <c r="D6327" t="s">
        <v>2472</v>
      </c>
      <c r="E6327" t="s">
        <v>2474</v>
      </c>
      <c r="F6327" t="s">
        <v>2040</v>
      </c>
      <c r="G6327" t="s">
        <v>2040</v>
      </c>
      <c r="H6327" s="10">
        <v>32644</v>
      </c>
      <c r="I6327" t="str">
        <f>IFERROR(VLOOKUP(Final!F6327,'LEAID Match'!$A$2:$B$374,2,FALSE),"")</f>
        <v/>
      </c>
      <c r="K6327" s="10">
        <f t="shared" si="98"/>
        <v>32644</v>
      </c>
    </row>
    <row r="6328" spans="1:11">
      <c r="A6328" t="s">
        <v>2470</v>
      </c>
      <c r="B6328" s="10">
        <v>2020</v>
      </c>
      <c r="C6328" t="s">
        <v>2043</v>
      </c>
      <c r="D6328" t="s">
        <v>2472</v>
      </c>
      <c r="E6328" t="s">
        <v>2474</v>
      </c>
      <c r="F6328" t="s">
        <v>2040</v>
      </c>
      <c r="G6328" t="s">
        <v>2040</v>
      </c>
      <c r="H6328" s="10">
        <v>34743</v>
      </c>
      <c r="I6328" t="str">
        <f>IFERROR(VLOOKUP(Final!F6328,'LEAID Match'!$A$2:$B$374,2,FALSE),"")</f>
        <v/>
      </c>
      <c r="K6328" s="10">
        <f t="shared" si="98"/>
        <v>34743</v>
      </c>
    </row>
    <row r="6329" spans="1:11">
      <c r="A6329" t="s">
        <v>2470</v>
      </c>
      <c r="B6329" s="10">
        <v>2021</v>
      </c>
      <c r="C6329" t="s">
        <v>2043</v>
      </c>
      <c r="D6329" t="s">
        <v>2472</v>
      </c>
      <c r="E6329" t="s">
        <v>2474</v>
      </c>
      <c r="F6329" t="s">
        <v>2040</v>
      </c>
      <c r="G6329" t="s">
        <v>2040</v>
      </c>
      <c r="H6329" s="10">
        <v>36035</v>
      </c>
      <c r="I6329" t="str">
        <f>IFERROR(VLOOKUP(Final!F6329,'LEAID Match'!$A$2:$B$374,2,FALSE),"")</f>
        <v/>
      </c>
      <c r="K6329" s="10">
        <f t="shared" si="98"/>
        <v>36035</v>
      </c>
    </row>
    <row r="6330" spans="1:11">
      <c r="A6330" t="s">
        <v>2470</v>
      </c>
      <c r="B6330" s="10">
        <v>2022</v>
      </c>
      <c r="C6330" t="s">
        <v>2043</v>
      </c>
      <c r="D6330" t="s">
        <v>2472</v>
      </c>
      <c r="E6330" t="s">
        <v>2474</v>
      </c>
      <c r="F6330" t="s">
        <v>2040</v>
      </c>
      <c r="G6330" t="s">
        <v>2040</v>
      </c>
      <c r="H6330" s="10">
        <v>37927</v>
      </c>
      <c r="I6330" t="str">
        <f>IFERROR(VLOOKUP(Final!F6330,'LEAID Match'!$A$2:$B$374,2,FALSE),"")</f>
        <v/>
      </c>
      <c r="K6330" s="10">
        <f t="shared" si="98"/>
        <v>37927</v>
      </c>
    </row>
    <row r="6331" spans="1:11">
      <c r="A6331" t="s">
        <v>2470</v>
      </c>
      <c r="B6331" s="10">
        <v>2023</v>
      </c>
      <c r="C6331" t="s">
        <v>2043</v>
      </c>
      <c r="D6331" t="s">
        <v>2472</v>
      </c>
      <c r="E6331" t="s">
        <v>2474</v>
      </c>
      <c r="F6331" t="s">
        <v>2040</v>
      </c>
      <c r="G6331" t="s">
        <v>2040</v>
      </c>
      <c r="H6331" s="10">
        <v>41328</v>
      </c>
      <c r="I6331" t="str">
        <f>IFERROR(VLOOKUP(Final!F6331,'LEAID Match'!$A$2:$B$374,2,FALSE),"")</f>
        <v/>
      </c>
      <c r="K6331" s="10">
        <f t="shared" si="98"/>
        <v>41328</v>
      </c>
    </row>
    <row r="6332" spans="1:11">
      <c r="A6332">
        <v>400885</v>
      </c>
      <c r="B6332" s="10">
        <v>2017</v>
      </c>
      <c r="C6332" t="s">
        <v>1781</v>
      </c>
      <c r="D6332" t="s">
        <v>2472</v>
      </c>
      <c r="E6332" t="s">
        <v>2474</v>
      </c>
      <c r="F6332" t="s">
        <v>1759</v>
      </c>
      <c r="G6332" t="s">
        <v>1759</v>
      </c>
      <c r="H6332" s="10">
        <v>118785</v>
      </c>
      <c r="I6332">
        <f>IFERROR(VLOOKUP(Final!F6332,'LEAID Match'!$A$2:$B$374,2,FALSE),"")</f>
        <v>400885</v>
      </c>
      <c r="K6332" s="10">
        <f t="shared" si="98"/>
        <v>118785</v>
      </c>
    </row>
    <row r="6333" spans="1:11">
      <c r="A6333">
        <v>400885</v>
      </c>
      <c r="B6333" s="10">
        <v>2018</v>
      </c>
      <c r="C6333" t="s">
        <v>1781</v>
      </c>
      <c r="D6333" t="s">
        <v>2472</v>
      </c>
      <c r="E6333" t="s">
        <v>2474</v>
      </c>
      <c r="F6333" t="s">
        <v>1759</v>
      </c>
      <c r="G6333" t="s">
        <v>1759</v>
      </c>
      <c r="H6333" s="10">
        <v>206424</v>
      </c>
      <c r="I6333">
        <f>IFERROR(VLOOKUP(Final!F6333,'LEAID Match'!$A$2:$B$374,2,FALSE),"")</f>
        <v>400885</v>
      </c>
      <c r="K6333" s="10">
        <f t="shared" si="98"/>
        <v>206424</v>
      </c>
    </row>
    <row r="6334" spans="1:11">
      <c r="A6334">
        <v>400885</v>
      </c>
      <c r="B6334" s="10">
        <v>2019</v>
      </c>
      <c r="C6334" t="s">
        <v>1781</v>
      </c>
      <c r="D6334" t="s">
        <v>2472</v>
      </c>
      <c r="E6334" t="s">
        <v>2474</v>
      </c>
      <c r="F6334" t="s">
        <v>1759</v>
      </c>
      <c r="G6334" t="s">
        <v>1759</v>
      </c>
      <c r="H6334" s="10">
        <v>204286</v>
      </c>
      <c r="I6334">
        <f>IFERROR(VLOOKUP(Final!F6334,'LEAID Match'!$A$2:$B$374,2,FALSE),"")</f>
        <v>400885</v>
      </c>
      <c r="K6334" s="10">
        <f t="shared" si="98"/>
        <v>204286</v>
      </c>
    </row>
    <row r="6335" spans="1:11">
      <c r="A6335">
        <v>400885</v>
      </c>
      <c r="B6335" s="10">
        <v>2020</v>
      </c>
      <c r="C6335" t="s">
        <v>1781</v>
      </c>
      <c r="D6335" t="s">
        <v>2472</v>
      </c>
      <c r="E6335" t="s">
        <v>2474</v>
      </c>
      <c r="F6335" t="s">
        <v>1759</v>
      </c>
      <c r="G6335" t="s">
        <v>1759</v>
      </c>
      <c r="H6335" s="10">
        <v>177421</v>
      </c>
      <c r="I6335">
        <f>IFERROR(VLOOKUP(Final!F6335,'LEAID Match'!$A$2:$B$374,2,FALSE),"")</f>
        <v>400885</v>
      </c>
      <c r="K6335" s="10">
        <f t="shared" si="98"/>
        <v>177421</v>
      </c>
    </row>
    <row r="6336" spans="1:11">
      <c r="A6336">
        <v>400885</v>
      </c>
      <c r="B6336" s="10">
        <v>2021</v>
      </c>
      <c r="C6336" t="s">
        <v>1781</v>
      </c>
      <c r="D6336" t="s">
        <v>2472</v>
      </c>
      <c r="E6336" t="s">
        <v>2474</v>
      </c>
      <c r="F6336" t="s">
        <v>1759</v>
      </c>
      <c r="G6336" t="s">
        <v>1759</v>
      </c>
      <c r="H6336" s="10">
        <v>183459</v>
      </c>
      <c r="I6336">
        <f>IFERROR(VLOOKUP(Final!F6336,'LEAID Match'!$A$2:$B$374,2,FALSE),"")</f>
        <v>400885</v>
      </c>
      <c r="K6336" s="10">
        <f t="shared" si="98"/>
        <v>183459</v>
      </c>
    </row>
    <row r="6337" spans="1:11">
      <c r="A6337">
        <v>400885</v>
      </c>
      <c r="B6337" s="10">
        <v>2022</v>
      </c>
      <c r="C6337" t="s">
        <v>1781</v>
      </c>
      <c r="D6337" t="s">
        <v>2472</v>
      </c>
      <c r="E6337" t="s">
        <v>2474</v>
      </c>
      <c r="F6337" t="s">
        <v>1759</v>
      </c>
      <c r="G6337" t="s">
        <v>1759</v>
      </c>
      <c r="H6337" s="10">
        <v>179709</v>
      </c>
      <c r="I6337">
        <f>IFERROR(VLOOKUP(Final!F6337,'LEAID Match'!$A$2:$B$374,2,FALSE),"")</f>
        <v>400885</v>
      </c>
      <c r="K6337" s="10">
        <f t="shared" si="98"/>
        <v>179709</v>
      </c>
    </row>
    <row r="6338" spans="1:11">
      <c r="A6338">
        <v>400885</v>
      </c>
      <c r="B6338" s="10">
        <v>2023</v>
      </c>
      <c r="C6338" t="s">
        <v>1781</v>
      </c>
      <c r="D6338" t="s">
        <v>2472</v>
      </c>
      <c r="E6338" t="s">
        <v>2474</v>
      </c>
      <c r="F6338" t="s">
        <v>1759</v>
      </c>
      <c r="G6338" t="s">
        <v>1759</v>
      </c>
      <c r="H6338" s="10">
        <v>206335</v>
      </c>
      <c r="I6338">
        <f>IFERROR(VLOOKUP(Final!F6338,'LEAID Match'!$A$2:$B$374,2,FALSE),"")</f>
        <v>400885</v>
      </c>
      <c r="K6338" s="10">
        <f t="shared" si="98"/>
        <v>206335</v>
      </c>
    </row>
    <row r="6339" spans="1:11">
      <c r="A6339">
        <v>400920</v>
      </c>
      <c r="B6339" s="10">
        <v>2017</v>
      </c>
      <c r="C6339" t="s">
        <v>1994</v>
      </c>
      <c r="D6339" t="s">
        <v>2472</v>
      </c>
      <c r="E6339" t="s">
        <v>2474</v>
      </c>
      <c r="F6339" t="s">
        <v>1963</v>
      </c>
      <c r="G6339" t="s">
        <v>1963</v>
      </c>
      <c r="H6339" s="10">
        <v>22312</v>
      </c>
      <c r="I6339">
        <f>IFERROR(VLOOKUP(Final!F6339,'LEAID Match'!$A$2:$B$374,2,FALSE),"")</f>
        <v>400920</v>
      </c>
      <c r="K6339" s="10">
        <f t="shared" ref="K6339:K6402" si="99">SUM(H6339,J6339)</f>
        <v>22312</v>
      </c>
    </row>
    <row r="6340" spans="1:11">
      <c r="A6340">
        <v>400920</v>
      </c>
      <c r="B6340" s="10">
        <v>2018</v>
      </c>
      <c r="C6340" t="s">
        <v>1994</v>
      </c>
      <c r="D6340" t="s">
        <v>2472</v>
      </c>
      <c r="E6340" t="s">
        <v>2474</v>
      </c>
      <c r="F6340" t="s">
        <v>1963</v>
      </c>
      <c r="G6340" t="s">
        <v>2316</v>
      </c>
      <c r="H6340" s="10">
        <v>36271</v>
      </c>
      <c r="I6340">
        <f>IFERROR(VLOOKUP(Final!F6340,'LEAID Match'!$A$2:$B$374,2,FALSE),"")</f>
        <v>400920</v>
      </c>
      <c r="K6340" s="10">
        <f t="shared" si="99"/>
        <v>36271</v>
      </c>
    </row>
    <row r="6341" spans="1:11">
      <c r="A6341">
        <v>400920</v>
      </c>
      <c r="B6341" s="10">
        <v>2019</v>
      </c>
      <c r="C6341" t="s">
        <v>1994</v>
      </c>
      <c r="D6341" t="s">
        <v>2472</v>
      </c>
      <c r="E6341" t="s">
        <v>2474</v>
      </c>
      <c r="F6341" t="s">
        <v>1963</v>
      </c>
      <c r="G6341" t="s">
        <v>1963</v>
      </c>
      <c r="H6341" s="10">
        <v>50954</v>
      </c>
      <c r="I6341">
        <f>IFERROR(VLOOKUP(Final!F6341,'LEAID Match'!$A$2:$B$374,2,FALSE),"")</f>
        <v>400920</v>
      </c>
      <c r="K6341" s="10">
        <f t="shared" si="99"/>
        <v>50954</v>
      </c>
    </row>
    <row r="6342" spans="1:11">
      <c r="A6342">
        <v>400920</v>
      </c>
      <c r="B6342" s="10">
        <v>2020</v>
      </c>
      <c r="C6342" t="s">
        <v>1994</v>
      </c>
      <c r="D6342" t="s">
        <v>2472</v>
      </c>
      <c r="E6342" t="s">
        <v>2474</v>
      </c>
      <c r="F6342" t="s">
        <v>1963</v>
      </c>
      <c r="G6342" t="s">
        <v>1963</v>
      </c>
      <c r="H6342" s="10">
        <v>64609</v>
      </c>
      <c r="I6342">
        <f>IFERROR(VLOOKUP(Final!F6342,'LEAID Match'!$A$2:$B$374,2,FALSE),"")</f>
        <v>400920</v>
      </c>
      <c r="K6342" s="10">
        <f t="shared" si="99"/>
        <v>64609</v>
      </c>
    </row>
    <row r="6343" spans="1:11">
      <c r="A6343">
        <v>400920</v>
      </c>
      <c r="B6343" s="10">
        <v>2021</v>
      </c>
      <c r="C6343" t="s">
        <v>1994</v>
      </c>
      <c r="D6343" t="s">
        <v>2472</v>
      </c>
      <c r="E6343" t="s">
        <v>2474</v>
      </c>
      <c r="F6343" t="s">
        <v>1963</v>
      </c>
      <c r="G6343" t="s">
        <v>1963</v>
      </c>
      <c r="H6343" s="10">
        <v>66830</v>
      </c>
      <c r="I6343">
        <f>IFERROR(VLOOKUP(Final!F6343,'LEAID Match'!$A$2:$B$374,2,FALSE),"")</f>
        <v>400920</v>
      </c>
      <c r="K6343" s="10">
        <f t="shared" si="99"/>
        <v>66830</v>
      </c>
    </row>
    <row r="6344" spans="1:11">
      <c r="A6344">
        <v>400920</v>
      </c>
      <c r="B6344" s="10">
        <v>2022</v>
      </c>
      <c r="C6344" t="s">
        <v>1994</v>
      </c>
      <c r="D6344" t="s">
        <v>2472</v>
      </c>
      <c r="E6344" t="s">
        <v>2474</v>
      </c>
      <c r="F6344" t="s">
        <v>1963</v>
      </c>
      <c r="G6344" t="s">
        <v>1963</v>
      </c>
      <c r="H6344" s="10">
        <v>73670</v>
      </c>
      <c r="I6344">
        <f>IFERROR(VLOOKUP(Final!F6344,'LEAID Match'!$A$2:$B$374,2,FALSE),"")</f>
        <v>400920</v>
      </c>
      <c r="K6344" s="10">
        <f t="shared" si="99"/>
        <v>73670</v>
      </c>
    </row>
    <row r="6345" spans="1:11">
      <c r="A6345">
        <v>400920</v>
      </c>
      <c r="B6345" s="10">
        <v>2023</v>
      </c>
      <c r="C6345" t="s">
        <v>1994</v>
      </c>
      <c r="D6345" t="s">
        <v>2472</v>
      </c>
      <c r="E6345" t="s">
        <v>2474</v>
      </c>
      <c r="F6345" t="s">
        <v>1963</v>
      </c>
      <c r="G6345" t="s">
        <v>1963</v>
      </c>
      <c r="H6345" s="10">
        <v>99778</v>
      </c>
      <c r="I6345">
        <f>IFERROR(VLOOKUP(Final!F6345,'LEAID Match'!$A$2:$B$374,2,FALSE),"")</f>
        <v>400920</v>
      </c>
      <c r="K6345" s="10">
        <f t="shared" si="99"/>
        <v>99778</v>
      </c>
    </row>
    <row r="6346" spans="1:11">
      <c r="A6346" t="s">
        <v>2470</v>
      </c>
      <c r="B6346" s="10">
        <v>2017</v>
      </c>
      <c r="C6346" t="s">
        <v>1597</v>
      </c>
      <c r="D6346" t="s">
        <v>2472</v>
      </c>
      <c r="E6346" t="s">
        <v>2474</v>
      </c>
      <c r="F6346" t="s">
        <v>1567</v>
      </c>
      <c r="G6346" t="s">
        <v>1567</v>
      </c>
      <c r="H6346" s="10">
        <v>9391</v>
      </c>
      <c r="I6346" t="str">
        <f>IFERROR(VLOOKUP(Final!F6346,'LEAID Match'!$A$2:$B$374,2,FALSE),"")</f>
        <v/>
      </c>
      <c r="K6346" s="10">
        <f t="shared" si="99"/>
        <v>9391</v>
      </c>
    </row>
    <row r="6347" spans="1:11">
      <c r="A6347" t="s">
        <v>2470</v>
      </c>
      <c r="B6347" s="10">
        <v>2018</v>
      </c>
      <c r="C6347" t="s">
        <v>1597</v>
      </c>
      <c r="D6347" t="s">
        <v>2472</v>
      </c>
      <c r="E6347" t="s">
        <v>2474</v>
      </c>
      <c r="F6347" t="s">
        <v>1567</v>
      </c>
      <c r="G6347" t="s">
        <v>2092</v>
      </c>
      <c r="H6347" s="10">
        <v>9352</v>
      </c>
      <c r="I6347" t="str">
        <f>IFERROR(VLOOKUP(Final!F6347,'LEAID Match'!$A$2:$B$374,2,FALSE),"")</f>
        <v/>
      </c>
      <c r="K6347" s="10">
        <f t="shared" si="99"/>
        <v>9352</v>
      </c>
    </row>
    <row r="6348" spans="1:11">
      <c r="A6348" t="s">
        <v>2470</v>
      </c>
      <c r="B6348" s="10">
        <v>2019</v>
      </c>
      <c r="C6348" t="s">
        <v>1597</v>
      </c>
      <c r="D6348" t="s">
        <v>2472</v>
      </c>
      <c r="E6348" t="s">
        <v>2474</v>
      </c>
      <c r="F6348" t="s">
        <v>1567</v>
      </c>
      <c r="G6348" t="s">
        <v>1567</v>
      </c>
      <c r="H6348" s="10">
        <v>11180</v>
      </c>
      <c r="I6348" t="str">
        <f>IFERROR(VLOOKUP(Final!F6348,'LEAID Match'!$A$2:$B$374,2,FALSE),"")</f>
        <v/>
      </c>
      <c r="K6348" s="10">
        <f t="shared" si="99"/>
        <v>11180</v>
      </c>
    </row>
    <row r="6349" spans="1:11">
      <c r="A6349" t="s">
        <v>2470</v>
      </c>
      <c r="B6349" s="10">
        <v>2020</v>
      </c>
      <c r="C6349" t="s">
        <v>1597</v>
      </c>
      <c r="D6349" t="s">
        <v>2472</v>
      </c>
      <c r="E6349" t="s">
        <v>2474</v>
      </c>
      <c r="F6349" t="s">
        <v>1567</v>
      </c>
      <c r="G6349" t="s">
        <v>1567</v>
      </c>
      <c r="H6349" s="10">
        <v>11450</v>
      </c>
      <c r="I6349" t="str">
        <f>IFERROR(VLOOKUP(Final!F6349,'LEAID Match'!$A$2:$B$374,2,FALSE),"")</f>
        <v/>
      </c>
      <c r="K6349" s="10">
        <f t="shared" si="99"/>
        <v>11450</v>
      </c>
    </row>
    <row r="6350" spans="1:11">
      <c r="A6350" t="s">
        <v>2470</v>
      </c>
      <c r="B6350" s="10">
        <v>2021</v>
      </c>
      <c r="C6350" t="s">
        <v>1597</v>
      </c>
      <c r="D6350" t="s">
        <v>2472</v>
      </c>
      <c r="E6350" t="s">
        <v>2474</v>
      </c>
      <c r="F6350" t="s">
        <v>1567</v>
      </c>
      <c r="G6350" t="s">
        <v>1567</v>
      </c>
      <c r="H6350" s="10">
        <v>17206</v>
      </c>
      <c r="I6350" t="str">
        <f>IFERROR(VLOOKUP(Final!F6350,'LEAID Match'!$A$2:$B$374,2,FALSE),"")</f>
        <v/>
      </c>
      <c r="K6350" s="10">
        <f t="shared" si="99"/>
        <v>17206</v>
      </c>
    </row>
    <row r="6351" spans="1:11">
      <c r="A6351" t="s">
        <v>2470</v>
      </c>
      <c r="B6351" s="10">
        <v>2022</v>
      </c>
      <c r="C6351" t="s">
        <v>1597</v>
      </c>
      <c r="D6351" t="s">
        <v>2472</v>
      </c>
      <c r="E6351" t="s">
        <v>2474</v>
      </c>
      <c r="F6351" t="s">
        <v>1567</v>
      </c>
      <c r="G6351" t="s">
        <v>1567</v>
      </c>
      <c r="H6351" s="10">
        <v>21219</v>
      </c>
      <c r="I6351" t="str">
        <f>IFERROR(VLOOKUP(Final!F6351,'LEAID Match'!$A$2:$B$374,2,FALSE),"")</f>
        <v/>
      </c>
      <c r="K6351" s="10">
        <f t="shared" si="99"/>
        <v>21219</v>
      </c>
    </row>
    <row r="6352" spans="1:11">
      <c r="A6352" t="s">
        <v>2470</v>
      </c>
      <c r="B6352" s="10">
        <v>2023</v>
      </c>
      <c r="C6352" t="s">
        <v>1597</v>
      </c>
      <c r="D6352" t="s">
        <v>2472</v>
      </c>
      <c r="E6352" t="s">
        <v>2474</v>
      </c>
      <c r="F6352" t="s">
        <v>1567</v>
      </c>
      <c r="G6352" t="s">
        <v>1567</v>
      </c>
      <c r="H6352" s="10">
        <v>25724</v>
      </c>
      <c r="I6352" t="str">
        <f>IFERROR(VLOOKUP(Final!F6352,'LEAID Match'!$A$2:$B$374,2,FALSE),"")</f>
        <v/>
      </c>
      <c r="K6352" s="10">
        <f t="shared" si="99"/>
        <v>25724</v>
      </c>
    </row>
    <row r="6353" spans="1:11">
      <c r="A6353" t="s">
        <v>2470</v>
      </c>
      <c r="B6353" s="10">
        <v>2018</v>
      </c>
      <c r="C6353" t="s">
        <v>2088</v>
      </c>
      <c r="D6353" t="s">
        <v>2472</v>
      </c>
      <c r="E6353" t="s">
        <v>2474</v>
      </c>
      <c r="F6353" t="s">
        <v>2086</v>
      </c>
      <c r="G6353" t="s">
        <v>2086</v>
      </c>
      <c r="H6353" s="10">
        <v>369666</v>
      </c>
      <c r="I6353" t="str">
        <f>IFERROR(VLOOKUP(Final!F6353,'LEAID Match'!$A$2:$B$374,2,FALSE),"")</f>
        <v/>
      </c>
      <c r="K6353" s="10">
        <f t="shared" si="99"/>
        <v>369666</v>
      </c>
    </row>
    <row r="6354" spans="1:11">
      <c r="A6354" t="s">
        <v>2470</v>
      </c>
      <c r="B6354" s="10">
        <v>2019</v>
      </c>
      <c r="C6354" t="s">
        <v>2088</v>
      </c>
      <c r="D6354" t="s">
        <v>2472</v>
      </c>
      <c r="E6354" t="s">
        <v>2474</v>
      </c>
      <c r="F6354" t="s">
        <v>2086</v>
      </c>
      <c r="G6354" t="s">
        <v>2086</v>
      </c>
      <c r="H6354" s="10">
        <v>409910</v>
      </c>
      <c r="I6354" t="str">
        <f>IFERROR(VLOOKUP(Final!F6354,'LEAID Match'!$A$2:$B$374,2,FALSE),"")</f>
        <v/>
      </c>
      <c r="K6354" s="10">
        <f t="shared" si="99"/>
        <v>409910</v>
      </c>
    </row>
    <row r="6355" spans="1:11">
      <c r="A6355" t="s">
        <v>2470</v>
      </c>
      <c r="B6355" s="10">
        <v>2020</v>
      </c>
      <c r="C6355" t="s">
        <v>2088</v>
      </c>
      <c r="D6355" t="s">
        <v>2472</v>
      </c>
      <c r="E6355" t="s">
        <v>2474</v>
      </c>
      <c r="F6355" t="s">
        <v>2086</v>
      </c>
      <c r="G6355" t="s">
        <v>2086</v>
      </c>
      <c r="H6355" s="10">
        <v>426144</v>
      </c>
      <c r="I6355" t="str">
        <f>IFERROR(VLOOKUP(Final!F6355,'LEAID Match'!$A$2:$B$374,2,FALSE),"")</f>
        <v/>
      </c>
      <c r="K6355" s="10">
        <f t="shared" si="99"/>
        <v>426144</v>
      </c>
    </row>
    <row r="6356" spans="1:11">
      <c r="A6356" t="s">
        <v>2470</v>
      </c>
      <c r="B6356" s="10">
        <v>2021</v>
      </c>
      <c r="C6356" t="s">
        <v>2088</v>
      </c>
      <c r="D6356" t="s">
        <v>2472</v>
      </c>
      <c r="E6356" t="s">
        <v>2474</v>
      </c>
      <c r="F6356" t="s">
        <v>2086</v>
      </c>
      <c r="G6356" t="s">
        <v>2086</v>
      </c>
      <c r="H6356" s="10">
        <v>448871</v>
      </c>
      <c r="I6356" t="str">
        <f>IFERROR(VLOOKUP(Final!F6356,'LEAID Match'!$A$2:$B$374,2,FALSE),"")</f>
        <v/>
      </c>
      <c r="K6356" s="10">
        <f t="shared" si="99"/>
        <v>448871</v>
      </c>
    </row>
    <row r="6357" spans="1:11">
      <c r="A6357" t="s">
        <v>2470</v>
      </c>
      <c r="B6357" s="10">
        <v>2022</v>
      </c>
      <c r="C6357" t="s">
        <v>2088</v>
      </c>
      <c r="D6357" t="s">
        <v>2472</v>
      </c>
      <c r="E6357" t="s">
        <v>2474</v>
      </c>
      <c r="F6357" t="s">
        <v>2086</v>
      </c>
      <c r="G6357" t="s">
        <v>2086</v>
      </c>
      <c r="H6357" s="10">
        <v>463226</v>
      </c>
      <c r="I6357" t="str">
        <f>IFERROR(VLOOKUP(Final!F6357,'LEAID Match'!$A$2:$B$374,2,FALSE),"")</f>
        <v/>
      </c>
      <c r="K6357" s="10">
        <f t="shared" si="99"/>
        <v>463226</v>
      </c>
    </row>
    <row r="6358" spans="1:11">
      <c r="A6358" t="s">
        <v>2470</v>
      </c>
      <c r="B6358" s="10">
        <v>2023</v>
      </c>
      <c r="C6358" t="s">
        <v>2088</v>
      </c>
      <c r="D6358" t="s">
        <v>2472</v>
      </c>
      <c r="E6358" t="s">
        <v>2474</v>
      </c>
      <c r="F6358" t="s">
        <v>2086</v>
      </c>
      <c r="G6358" t="s">
        <v>2086</v>
      </c>
      <c r="H6358" s="10">
        <v>545716</v>
      </c>
      <c r="I6358" t="str">
        <f>IFERROR(VLOOKUP(Final!F6358,'LEAID Match'!$A$2:$B$374,2,FALSE),"")</f>
        <v/>
      </c>
      <c r="K6358" s="10">
        <f t="shared" si="99"/>
        <v>545716</v>
      </c>
    </row>
    <row r="6359" spans="1:11">
      <c r="A6359" t="s">
        <v>2470</v>
      </c>
      <c r="B6359" s="10">
        <v>2018</v>
      </c>
      <c r="C6359" t="s">
        <v>2089</v>
      </c>
      <c r="D6359" t="s">
        <v>2472</v>
      </c>
      <c r="E6359" t="s">
        <v>2474</v>
      </c>
      <c r="F6359" t="s">
        <v>2087</v>
      </c>
      <c r="G6359" t="s">
        <v>2087</v>
      </c>
      <c r="H6359" s="10">
        <v>7746</v>
      </c>
      <c r="I6359" t="str">
        <f>IFERROR(VLOOKUP(Final!F6359,'LEAID Match'!$A$2:$B$374,2,FALSE),"")</f>
        <v/>
      </c>
      <c r="K6359" s="10">
        <f t="shared" si="99"/>
        <v>7746</v>
      </c>
    </row>
    <row r="6360" spans="1:11">
      <c r="A6360" t="s">
        <v>2470</v>
      </c>
      <c r="B6360" s="10">
        <v>2019</v>
      </c>
      <c r="C6360" t="s">
        <v>2089</v>
      </c>
      <c r="D6360" t="s">
        <v>2472</v>
      </c>
      <c r="E6360" t="s">
        <v>2474</v>
      </c>
      <c r="F6360" t="s">
        <v>2087</v>
      </c>
      <c r="G6360" t="s">
        <v>2087</v>
      </c>
      <c r="H6360" s="10">
        <v>8283</v>
      </c>
      <c r="I6360" t="str">
        <f>IFERROR(VLOOKUP(Final!F6360,'LEAID Match'!$A$2:$B$374,2,FALSE),"")</f>
        <v/>
      </c>
      <c r="K6360" s="10">
        <f t="shared" si="99"/>
        <v>8283</v>
      </c>
    </row>
    <row r="6361" spans="1:11">
      <c r="A6361" t="s">
        <v>2470</v>
      </c>
      <c r="B6361" s="10">
        <v>2020</v>
      </c>
      <c r="C6361" t="s">
        <v>2089</v>
      </c>
      <c r="D6361" t="s">
        <v>2472</v>
      </c>
      <c r="E6361" t="s">
        <v>2474</v>
      </c>
      <c r="F6361" t="s">
        <v>2087</v>
      </c>
      <c r="G6361" t="s">
        <v>2087</v>
      </c>
      <c r="H6361" s="10">
        <v>8153</v>
      </c>
      <c r="I6361" t="str">
        <f>IFERROR(VLOOKUP(Final!F6361,'LEAID Match'!$A$2:$B$374,2,FALSE),"")</f>
        <v/>
      </c>
      <c r="K6361" s="10">
        <f t="shared" si="99"/>
        <v>8153</v>
      </c>
    </row>
    <row r="6362" spans="1:11">
      <c r="A6362" t="s">
        <v>2470</v>
      </c>
      <c r="B6362" s="10">
        <v>2021</v>
      </c>
      <c r="C6362" t="s">
        <v>2089</v>
      </c>
      <c r="D6362" t="s">
        <v>2472</v>
      </c>
      <c r="E6362" t="s">
        <v>2474</v>
      </c>
      <c r="F6362" t="s">
        <v>2087</v>
      </c>
      <c r="G6362" t="s">
        <v>2087</v>
      </c>
      <c r="H6362" s="10">
        <v>8117</v>
      </c>
      <c r="I6362" t="str">
        <f>IFERROR(VLOOKUP(Final!F6362,'LEAID Match'!$A$2:$B$374,2,FALSE),"")</f>
        <v/>
      </c>
      <c r="K6362" s="10">
        <f t="shared" si="99"/>
        <v>8117</v>
      </c>
    </row>
    <row r="6363" spans="1:11">
      <c r="A6363" t="s">
        <v>2470</v>
      </c>
      <c r="B6363" s="10">
        <v>2022</v>
      </c>
      <c r="C6363" t="s">
        <v>2089</v>
      </c>
      <c r="D6363" t="s">
        <v>2472</v>
      </c>
      <c r="E6363" t="s">
        <v>2474</v>
      </c>
      <c r="F6363" t="s">
        <v>2087</v>
      </c>
      <c r="G6363" t="s">
        <v>2087</v>
      </c>
      <c r="H6363" s="10">
        <v>8814</v>
      </c>
      <c r="I6363" t="str">
        <f>IFERROR(VLOOKUP(Final!F6363,'LEAID Match'!$A$2:$B$374,2,FALSE),"")</f>
        <v/>
      </c>
      <c r="K6363" s="10">
        <f t="shared" si="99"/>
        <v>8814</v>
      </c>
    </row>
    <row r="6364" spans="1:11">
      <c r="A6364" t="s">
        <v>2470</v>
      </c>
      <c r="B6364" s="10">
        <v>2023</v>
      </c>
      <c r="C6364" t="s">
        <v>2089</v>
      </c>
      <c r="D6364" t="s">
        <v>2472</v>
      </c>
      <c r="E6364" t="s">
        <v>2474</v>
      </c>
      <c r="F6364" t="s">
        <v>2087</v>
      </c>
      <c r="G6364" t="s">
        <v>2087</v>
      </c>
      <c r="H6364" s="10">
        <v>10253</v>
      </c>
      <c r="I6364" t="str">
        <f>IFERROR(VLOOKUP(Final!F6364,'LEAID Match'!$A$2:$B$374,2,FALSE),"")</f>
        <v/>
      </c>
      <c r="K6364" s="10">
        <f t="shared" si="99"/>
        <v>10253</v>
      </c>
    </row>
    <row r="6365" spans="1:11">
      <c r="A6365" t="s">
        <v>2470</v>
      </c>
      <c r="B6365" s="10">
        <v>2019</v>
      </c>
      <c r="C6365" t="s">
        <v>2371</v>
      </c>
      <c r="D6365" t="s">
        <v>2472</v>
      </c>
      <c r="E6365" t="s">
        <v>2474</v>
      </c>
      <c r="F6365" t="s">
        <v>2369</v>
      </c>
      <c r="G6365" t="s">
        <v>2369</v>
      </c>
      <c r="H6365" s="10">
        <v>9624</v>
      </c>
      <c r="I6365" t="str">
        <f>IFERROR(VLOOKUP(Final!F6365,'LEAID Match'!$A$2:$B$374,2,FALSE),"")</f>
        <v/>
      </c>
      <c r="K6365" s="10">
        <f t="shared" si="99"/>
        <v>9624</v>
      </c>
    </row>
    <row r="6366" spans="1:11">
      <c r="A6366" t="s">
        <v>2470</v>
      </c>
      <c r="B6366" s="10">
        <v>2020</v>
      </c>
      <c r="C6366" t="s">
        <v>2371</v>
      </c>
      <c r="D6366" t="s">
        <v>2472</v>
      </c>
      <c r="E6366" t="s">
        <v>2474</v>
      </c>
      <c r="F6366" t="s">
        <v>2369</v>
      </c>
      <c r="G6366" t="s">
        <v>2369</v>
      </c>
      <c r="H6366" s="10">
        <v>10936</v>
      </c>
      <c r="I6366" t="str">
        <f>IFERROR(VLOOKUP(Final!F6366,'LEAID Match'!$A$2:$B$374,2,FALSE),"")</f>
        <v/>
      </c>
      <c r="K6366" s="10">
        <f t="shared" si="99"/>
        <v>10936</v>
      </c>
    </row>
    <row r="6367" spans="1:11">
      <c r="A6367" t="s">
        <v>2470</v>
      </c>
      <c r="B6367" s="10">
        <v>2021</v>
      </c>
      <c r="C6367" t="s">
        <v>2371</v>
      </c>
      <c r="D6367" t="s">
        <v>2472</v>
      </c>
      <c r="E6367" t="s">
        <v>2474</v>
      </c>
      <c r="F6367" t="s">
        <v>2369</v>
      </c>
      <c r="G6367" t="s">
        <v>2369</v>
      </c>
      <c r="H6367" s="10">
        <v>8503</v>
      </c>
      <c r="I6367" t="str">
        <f>IFERROR(VLOOKUP(Final!F6367,'LEAID Match'!$A$2:$B$374,2,FALSE),"")</f>
        <v/>
      </c>
      <c r="K6367" s="10">
        <f t="shared" si="99"/>
        <v>8503</v>
      </c>
    </row>
    <row r="6368" spans="1:11">
      <c r="A6368" t="s">
        <v>2470</v>
      </c>
      <c r="B6368" s="10">
        <v>2022</v>
      </c>
      <c r="C6368" t="s">
        <v>2371</v>
      </c>
      <c r="D6368" t="s">
        <v>2472</v>
      </c>
      <c r="E6368" t="s">
        <v>2474</v>
      </c>
      <c r="F6368" t="s">
        <v>2369</v>
      </c>
      <c r="G6368" t="s">
        <v>2369</v>
      </c>
      <c r="H6368" s="10">
        <v>1549</v>
      </c>
      <c r="I6368" t="str">
        <f>IFERROR(VLOOKUP(Final!F6368,'LEAID Match'!$A$2:$B$374,2,FALSE),"")</f>
        <v/>
      </c>
      <c r="K6368" s="10">
        <f t="shared" si="99"/>
        <v>1549</v>
      </c>
    </row>
    <row r="6369" spans="1:11">
      <c r="A6369" t="s">
        <v>2470</v>
      </c>
      <c r="B6369" s="10">
        <v>2023</v>
      </c>
      <c r="C6369" t="s">
        <v>2371</v>
      </c>
      <c r="D6369" t="s">
        <v>2472</v>
      </c>
      <c r="E6369" t="s">
        <v>2474</v>
      </c>
      <c r="F6369" t="s">
        <v>2369</v>
      </c>
      <c r="G6369" t="s">
        <v>2369</v>
      </c>
      <c r="H6369" s="10"/>
      <c r="I6369" t="str">
        <f>IFERROR(VLOOKUP(Final!F6369,'LEAID Match'!$A$2:$B$374,2,FALSE),"")</f>
        <v/>
      </c>
      <c r="K6369" s="10">
        <f t="shared" si="99"/>
        <v>0</v>
      </c>
    </row>
    <row r="6370" spans="1:11">
      <c r="A6370" t="s">
        <v>2470</v>
      </c>
      <c r="B6370" s="10">
        <v>2019</v>
      </c>
      <c r="C6370" t="s">
        <v>2390</v>
      </c>
      <c r="D6370" t="s">
        <v>2472</v>
      </c>
      <c r="E6370" t="s">
        <v>2474</v>
      </c>
      <c r="F6370" t="s">
        <v>2387</v>
      </c>
      <c r="G6370" t="s">
        <v>2391</v>
      </c>
      <c r="H6370" s="10">
        <v>27903</v>
      </c>
      <c r="I6370" t="str">
        <f>IFERROR(VLOOKUP(Final!F6370,'LEAID Match'!$A$2:$B$374,2,FALSE),"")</f>
        <v/>
      </c>
      <c r="K6370" s="10">
        <f t="shared" si="99"/>
        <v>27903</v>
      </c>
    </row>
    <row r="6371" spans="1:11">
      <c r="A6371" t="s">
        <v>2470</v>
      </c>
      <c r="B6371" s="10">
        <v>2020</v>
      </c>
      <c r="C6371" t="s">
        <v>2390</v>
      </c>
      <c r="D6371" t="s">
        <v>2472</v>
      </c>
      <c r="E6371" t="s">
        <v>2474</v>
      </c>
      <c r="F6371" t="s">
        <v>2387</v>
      </c>
      <c r="G6371" t="s">
        <v>2416</v>
      </c>
      <c r="H6371" s="10">
        <v>33493</v>
      </c>
      <c r="I6371" t="str">
        <f>IFERROR(VLOOKUP(Final!F6371,'LEAID Match'!$A$2:$B$374,2,FALSE),"")</f>
        <v/>
      </c>
      <c r="K6371" s="10">
        <f t="shared" si="99"/>
        <v>33493</v>
      </c>
    </row>
    <row r="6372" spans="1:11">
      <c r="A6372" t="s">
        <v>2470</v>
      </c>
      <c r="B6372" s="10">
        <v>2021</v>
      </c>
      <c r="C6372" t="s">
        <v>2390</v>
      </c>
      <c r="D6372" t="s">
        <v>2472</v>
      </c>
      <c r="E6372" t="s">
        <v>2474</v>
      </c>
      <c r="F6372" t="s">
        <v>2387</v>
      </c>
      <c r="G6372" t="s">
        <v>2416</v>
      </c>
      <c r="H6372" s="10">
        <v>29376</v>
      </c>
      <c r="I6372" t="str">
        <f>IFERROR(VLOOKUP(Final!F6372,'LEAID Match'!$A$2:$B$374,2,FALSE),"")</f>
        <v/>
      </c>
      <c r="K6372" s="10">
        <f t="shared" si="99"/>
        <v>29376</v>
      </c>
    </row>
    <row r="6373" spans="1:11">
      <c r="A6373" t="s">
        <v>2470</v>
      </c>
      <c r="B6373" s="10">
        <v>2022</v>
      </c>
      <c r="C6373" t="s">
        <v>2390</v>
      </c>
      <c r="D6373" t="s">
        <v>2472</v>
      </c>
      <c r="E6373" t="s">
        <v>2474</v>
      </c>
      <c r="F6373" t="s">
        <v>2387</v>
      </c>
      <c r="G6373" t="s">
        <v>2387</v>
      </c>
      <c r="H6373" s="10">
        <v>13030</v>
      </c>
      <c r="I6373" t="str">
        <f>IFERROR(VLOOKUP(Final!F6373,'LEAID Match'!$A$2:$B$374,2,FALSE),"")</f>
        <v/>
      </c>
      <c r="K6373" s="10">
        <f t="shared" si="99"/>
        <v>13030</v>
      </c>
    </row>
    <row r="6374" spans="1:11">
      <c r="A6374" t="s">
        <v>2470</v>
      </c>
      <c r="B6374" s="10">
        <v>2023</v>
      </c>
      <c r="C6374" t="s">
        <v>2390</v>
      </c>
      <c r="D6374" t="s">
        <v>2472</v>
      </c>
      <c r="E6374" t="s">
        <v>2474</v>
      </c>
      <c r="F6374" t="s">
        <v>2387</v>
      </c>
      <c r="G6374" t="s">
        <v>2387</v>
      </c>
      <c r="H6374" s="10">
        <v>13891</v>
      </c>
      <c r="I6374" t="str">
        <f>IFERROR(VLOOKUP(Final!F6374,'LEAID Match'!$A$2:$B$374,2,FALSE),"")</f>
        <v/>
      </c>
      <c r="K6374" s="10">
        <f t="shared" si="99"/>
        <v>13891</v>
      </c>
    </row>
    <row r="6375" spans="1:11">
      <c r="A6375" t="s">
        <v>2470</v>
      </c>
      <c r="B6375" s="10">
        <v>2019</v>
      </c>
      <c r="C6375" t="s">
        <v>2365</v>
      </c>
      <c r="D6375" t="s">
        <v>2472</v>
      </c>
      <c r="E6375" t="s">
        <v>2474</v>
      </c>
      <c r="F6375" t="s">
        <v>2363</v>
      </c>
      <c r="G6375" t="s">
        <v>2363</v>
      </c>
      <c r="H6375" s="10">
        <v>42650</v>
      </c>
      <c r="I6375" t="str">
        <f>IFERROR(VLOOKUP(Final!F6375,'LEAID Match'!$A$2:$B$374,2,FALSE),"")</f>
        <v/>
      </c>
      <c r="K6375" s="10">
        <f t="shared" si="99"/>
        <v>42650</v>
      </c>
    </row>
    <row r="6376" spans="1:11">
      <c r="A6376" t="s">
        <v>2470</v>
      </c>
      <c r="B6376" s="10">
        <v>2020</v>
      </c>
      <c r="C6376" t="s">
        <v>2365</v>
      </c>
      <c r="D6376" t="s">
        <v>2472</v>
      </c>
      <c r="E6376" t="s">
        <v>2474</v>
      </c>
      <c r="F6376" t="s">
        <v>2363</v>
      </c>
      <c r="G6376" t="s">
        <v>2363</v>
      </c>
      <c r="H6376" s="10">
        <v>45340</v>
      </c>
      <c r="I6376" t="str">
        <f>IFERROR(VLOOKUP(Final!F6376,'LEAID Match'!$A$2:$B$374,2,FALSE),"")</f>
        <v/>
      </c>
      <c r="K6376" s="10">
        <f t="shared" si="99"/>
        <v>45340</v>
      </c>
    </row>
    <row r="6377" spans="1:11">
      <c r="A6377" t="s">
        <v>2470</v>
      </c>
      <c r="B6377" s="10">
        <v>2021</v>
      </c>
      <c r="C6377" t="s">
        <v>2365</v>
      </c>
      <c r="D6377" t="s">
        <v>2472</v>
      </c>
      <c r="E6377" t="s">
        <v>2474</v>
      </c>
      <c r="F6377" t="s">
        <v>2363</v>
      </c>
      <c r="G6377" t="s">
        <v>2363</v>
      </c>
      <c r="H6377" s="10">
        <v>44958</v>
      </c>
      <c r="I6377" t="str">
        <f>IFERROR(VLOOKUP(Final!F6377,'LEAID Match'!$A$2:$B$374,2,FALSE),"")</f>
        <v/>
      </c>
      <c r="K6377" s="10">
        <f t="shared" si="99"/>
        <v>44958</v>
      </c>
    </row>
    <row r="6378" spans="1:11">
      <c r="A6378" t="s">
        <v>2470</v>
      </c>
      <c r="B6378" s="10">
        <v>2022</v>
      </c>
      <c r="C6378" t="s">
        <v>2365</v>
      </c>
      <c r="D6378" t="s">
        <v>2472</v>
      </c>
      <c r="E6378" t="s">
        <v>2474</v>
      </c>
      <c r="F6378" t="s">
        <v>2363</v>
      </c>
      <c r="G6378" t="s">
        <v>2363</v>
      </c>
      <c r="H6378" s="10">
        <v>48762</v>
      </c>
      <c r="I6378" t="str">
        <f>IFERROR(VLOOKUP(Final!F6378,'LEAID Match'!$A$2:$B$374,2,FALSE),"")</f>
        <v/>
      </c>
      <c r="K6378" s="10">
        <f t="shared" si="99"/>
        <v>48762</v>
      </c>
    </row>
    <row r="6379" spans="1:11">
      <c r="A6379" t="s">
        <v>2470</v>
      </c>
      <c r="B6379" s="10">
        <v>2023</v>
      </c>
      <c r="C6379" t="s">
        <v>2365</v>
      </c>
      <c r="D6379" t="s">
        <v>2472</v>
      </c>
      <c r="E6379" t="s">
        <v>2474</v>
      </c>
      <c r="F6379" t="s">
        <v>2363</v>
      </c>
      <c r="G6379" t="s">
        <v>2363</v>
      </c>
      <c r="H6379" s="10">
        <v>46510</v>
      </c>
      <c r="I6379" t="str">
        <f>IFERROR(VLOOKUP(Final!F6379,'LEAID Match'!$A$2:$B$374,2,FALSE),"")</f>
        <v/>
      </c>
      <c r="K6379" s="10">
        <f t="shared" si="99"/>
        <v>46510</v>
      </c>
    </row>
    <row r="6380" spans="1:11">
      <c r="A6380">
        <v>400273</v>
      </c>
      <c r="B6380" s="10">
        <v>2020</v>
      </c>
      <c r="C6380" t="s">
        <v>2404</v>
      </c>
      <c r="D6380" t="s">
        <v>2472</v>
      </c>
      <c r="E6380" t="s">
        <v>2474</v>
      </c>
      <c r="F6380" t="s">
        <v>2441</v>
      </c>
      <c r="G6380" t="s">
        <v>2402</v>
      </c>
      <c r="H6380" s="10">
        <v>344873</v>
      </c>
      <c r="I6380">
        <f>IFERROR(VLOOKUP(Final!F6380,'LEAID Match'!$A$2:$B$374,2,FALSE),"")</f>
        <v>400273</v>
      </c>
      <c r="K6380" s="10">
        <f t="shared" si="99"/>
        <v>344873</v>
      </c>
    </row>
    <row r="6381" spans="1:11">
      <c r="A6381">
        <v>400273</v>
      </c>
      <c r="B6381" s="10">
        <v>2021</v>
      </c>
      <c r="C6381" t="s">
        <v>2404</v>
      </c>
      <c r="D6381" t="s">
        <v>2472</v>
      </c>
      <c r="E6381" t="s">
        <v>2474</v>
      </c>
      <c r="F6381" t="s">
        <v>2441</v>
      </c>
      <c r="G6381" t="s">
        <v>2402</v>
      </c>
      <c r="H6381" s="10">
        <v>335283</v>
      </c>
      <c r="I6381">
        <f>IFERROR(VLOOKUP(Final!F6381,'LEAID Match'!$A$2:$B$374,2,FALSE),"")</f>
        <v>400273</v>
      </c>
      <c r="K6381" s="10">
        <f t="shared" si="99"/>
        <v>335283</v>
      </c>
    </row>
    <row r="6382" spans="1:11">
      <c r="A6382">
        <v>400273</v>
      </c>
      <c r="B6382" s="10">
        <v>2022</v>
      </c>
      <c r="C6382" t="s">
        <v>2404</v>
      </c>
      <c r="D6382" t="s">
        <v>2472</v>
      </c>
      <c r="E6382" t="s">
        <v>2474</v>
      </c>
      <c r="F6382" t="s">
        <v>2441</v>
      </c>
      <c r="G6382" t="s">
        <v>2441</v>
      </c>
      <c r="H6382" s="10">
        <v>400979</v>
      </c>
      <c r="I6382">
        <f>IFERROR(VLOOKUP(Final!F6382,'LEAID Match'!$A$2:$B$374,2,FALSE),"")</f>
        <v>400273</v>
      </c>
      <c r="K6382" s="10">
        <f t="shared" si="99"/>
        <v>400979</v>
      </c>
    </row>
    <row r="6383" spans="1:11">
      <c r="A6383">
        <v>400273</v>
      </c>
      <c r="B6383" s="10">
        <v>2023</v>
      </c>
      <c r="C6383" t="s">
        <v>2404</v>
      </c>
      <c r="D6383" t="s">
        <v>2472</v>
      </c>
      <c r="E6383" t="s">
        <v>2474</v>
      </c>
      <c r="F6383" t="s">
        <v>2441</v>
      </c>
      <c r="G6383" t="s">
        <v>2441</v>
      </c>
      <c r="H6383" s="10">
        <v>434703</v>
      </c>
      <c r="I6383">
        <f>IFERROR(VLOOKUP(Final!F6383,'LEAID Match'!$A$2:$B$374,2,FALSE),"")</f>
        <v>400273</v>
      </c>
      <c r="K6383" s="10">
        <f t="shared" si="99"/>
        <v>434703</v>
      </c>
    </row>
    <row r="6384" spans="1:11">
      <c r="A6384">
        <v>400978</v>
      </c>
      <c r="B6384" s="10">
        <v>2020</v>
      </c>
      <c r="C6384" t="s">
        <v>2400</v>
      </c>
      <c r="D6384" t="s">
        <v>2472</v>
      </c>
      <c r="E6384" t="s">
        <v>2474</v>
      </c>
      <c r="F6384" t="s">
        <v>2399</v>
      </c>
      <c r="G6384" t="s">
        <v>2399</v>
      </c>
      <c r="H6384" s="10">
        <v>143108</v>
      </c>
      <c r="I6384">
        <f>IFERROR(VLOOKUP(Final!F6384,'LEAID Match'!$A$2:$B$374,2,FALSE),"")</f>
        <v>400978</v>
      </c>
      <c r="K6384" s="10">
        <f t="shared" si="99"/>
        <v>143108</v>
      </c>
    </row>
    <row r="6385" spans="1:11">
      <c r="A6385">
        <v>400978</v>
      </c>
      <c r="B6385" s="10">
        <v>2021</v>
      </c>
      <c r="C6385" t="s">
        <v>2400</v>
      </c>
      <c r="D6385" t="s">
        <v>2472</v>
      </c>
      <c r="E6385" t="s">
        <v>2474</v>
      </c>
      <c r="F6385" t="s">
        <v>2399</v>
      </c>
      <c r="G6385" t="s">
        <v>2399</v>
      </c>
      <c r="H6385" s="10">
        <v>132206</v>
      </c>
      <c r="I6385">
        <f>IFERROR(VLOOKUP(Final!F6385,'LEAID Match'!$A$2:$B$374,2,FALSE),"")</f>
        <v>400978</v>
      </c>
      <c r="K6385" s="10">
        <f t="shared" si="99"/>
        <v>132206</v>
      </c>
    </row>
    <row r="6386" spans="1:11">
      <c r="A6386">
        <v>400978</v>
      </c>
      <c r="B6386" s="10">
        <v>2022</v>
      </c>
      <c r="C6386" t="s">
        <v>2400</v>
      </c>
      <c r="D6386" t="s">
        <v>2472</v>
      </c>
      <c r="E6386" t="s">
        <v>2474</v>
      </c>
      <c r="F6386" t="s">
        <v>2399</v>
      </c>
      <c r="G6386" t="s">
        <v>2399</v>
      </c>
      <c r="H6386" s="10">
        <v>151106</v>
      </c>
      <c r="I6386">
        <f>IFERROR(VLOOKUP(Final!F6386,'LEAID Match'!$A$2:$B$374,2,FALSE),"")</f>
        <v>400978</v>
      </c>
      <c r="K6386" s="10">
        <f t="shared" si="99"/>
        <v>151106</v>
      </c>
    </row>
    <row r="6387" spans="1:11">
      <c r="A6387">
        <v>400978</v>
      </c>
      <c r="B6387" s="10">
        <v>2023</v>
      </c>
      <c r="C6387" t="s">
        <v>2400</v>
      </c>
      <c r="D6387" t="s">
        <v>2472</v>
      </c>
      <c r="E6387" t="s">
        <v>2474</v>
      </c>
      <c r="F6387" t="s">
        <v>2399</v>
      </c>
      <c r="G6387" t="s">
        <v>2399</v>
      </c>
      <c r="H6387" s="10">
        <v>169892</v>
      </c>
      <c r="I6387">
        <f>IFERROR(VLOOKUP(Final!F6387,'LEAID Match'!$A$2:$B$374,2,FALSE),"")</f>
        <v>400978</v>
      </c>
      <c r="K6387" s="10">
        <f t="shared" si="99"/>
        <v>169892</v>
      </c>
    </row>
    <row r="6388" spans="1:11">
      <c r="A6388" t="s">
        <v>2470</v>
      </c>
      <c r="B6388" s="10">
        <v>2020</v>
      </c>
      <c r="C6388" t="s">
        <v>2403</v>
      </c>
      <c r="D6388" t="s">
        <v>2472</v>
      </c>
      <c r="E6388" t="s">
        <v>2474</v>
      </c>
      <c r="F6388" t="s">
        <v>2401</v>
      </c>
      <c r="G6388" t="s">
        <v>2401</v>
      </c>
      <c r="H6388" s="10">
        <v>21376</v>
      </c>
      <c r="I6388" t="str">
        <f>IFERROR(VLOOKUP(Final!F6388,'LEAID Match'!$A$2:$B$374,2,FALSE),"")</f>
        <v/>
      </c>
      <c r="K6388" s="10">
        <f t="shared" si="99"/>
        <v>21376</v>
      </c>
    </row>
    <row r="6389" spans="1:11">
      <c r="A6389" t="s">
        <v>2470</v>
      </c>
      <c r="B6389" s="10">
        <v>2021</v>
      </c>
      <c r="C6389" t="s">
        <v>2403</v>
      </c>
      <c r="D6389" t="s">
        <v>2472</v>
      </c>
      <c r="E6389" t="s">
        <v>2474</v>
      </c>
      <c r="F6389" t="s">
        <v>2401</v>
      </c>
      <c r="G6389" t="s">
        <v>2401</v>
      </c>
      <c r="H6389" s="10">
        <v>23290</v>
      </c>
      <c r="I6389" t="str">
        <f>IFERROR(VLOOKUP(Final!F6389,'LEAID Match'!$A$2:$B$374,2,FALSE),"")</f>
        <v/>
      </c>
      <c r="K6389" s="10">
        <f t="shared" si="99"/>
        <v>23290</v>
      </c>
    </row>
    <row r="6390" spans="1:11">
      <c r="A6390" t="s">
        <v>2470</v>
      </c>
      <c r="B6390" s="10">
        <v>2022</v>
      </c>
      <c r="C6390" t="s">
        <v>2403</v>
      </c>
      <c r="D6390" t="s">
        <v>2472</v>
      </c>
      <c r="E6390" t="s">
        <v>2474</v>
      </c>
      <c r="F6390" t="s">
        <v>2401</v>
      </c>
      <c r="G6390" t="s">
        <v>2401</v>
      </c>
      <c r="H6390" s="10">
        <v>25417</v>
      </c>
      <c r="I6390" t="str">
        <f>IFERROR(VLOOKUP(Final!F6390,'LEAID Match'!$A$2:$B$374,2,FALSE),"")</f>
        <v/>
      </c>
      <c r="K6390" s="10">
        <f t="shared" si="99"/>
        <v>25417</v>
      </c>
    </row>
    <row r="6391" spans="1:11">
      <c r="A6391" t="s">
        <v>2470</v>
      </c>
      <c r="B6391" s="10">
        <v>2023</v>
      </c>
      <c r="C6391" t="s">
        <v>2403</v>
      </c>
      <c r="D6391" t="s">
        <v>2472</v>
      </c>
      <c r="E6391" t="s">
        <v>2474</v>
      </c>
      <c r="F6391" t="s">
        <v>2401</v>
      </c>
      <c r="G6391" t="s">
        <v>2401</v>
      </c>
      <c r="H6391" s="10">
        <v>33935</v>
      </c>
      <c r="I6391" t="str">
        <f>IFERROR(VLOOKUP(Final!F6391,'LEAID Match'!$A$2:$B$374,2,FALSE),"")</f>
        <v/>
      </c>
      <c r="K6391" s="10">
        <f t="shared" si="99"/>
        <v>33935</v>
      </c>
    </row>
    <row r="6392" spans="1:11">
      <c r="A6392" t="s">
        <v>2470</v>
      </c>
      <c r="B6392" s="10">
        <v>2021</v>
      </c>
      <c r="C6392" t="s">
        <v>2431</v>
      </c>
      <c r="D6392" t="s">
        <v>2472</v>
      </c>
      <c r="E6392" t="s">
        <v>2474</v>
      </c>
      <c r="F6392" t="s">
        <v>2464</v>
      </c>
      <c r="G6392" t="s">
        <v>2430</v>
      </c>
      <c r="H6392" s="10">
        <v>191364</v>
      </c>
      <c r="I6392" t="str">
        <f>IFERROR(VLOOKUP(Final!F6392,'LEAID Match'!$A$2:$B$374,2,FALSE),"")</f>
        <v/>
      </c>
      <c r="K6392" s="10">
        <f t="shared" si="99"/>
        <v>191364</v>
      </c>
    </row>
    <row r="6393" spans="1:11">
      <c r="A6393" t="s">
        <v>2470</v>
      </c>
      <c r="B6393" s="10">
        <v>2022</v>
      </c>
      <c r="C6393" t="s">
        <v>2431</v>
      </c>
      <c r="D6393" t="s">
        <v>2472</v>
      </c>
      <c r="E6393" t="s">
        <v>2474</v>
      </c>
      <c r="F6393" t="s">
        <v>2464</v>
      </c>
      <c r="G6393" t="s">
        <v>2430</v>
      </c>
      <c r="H6393" s="10">
        <v>194135</v>
      </c>
      <c r="I6393" t="str">
        <f>IFERROR(VLOOKUP(Final!F6393,'LEAID Match'!$A$2:$B$374,2,FALSE),"")</f>
        <v/>
      </c>
      <c r="K6393" s="10">
        <f t="shared" si="99"/>
        <v>194135</v>
      </c>
    </row>
    <row r="6394" spans="1:11">
      <c r="A6394" t="s">
        <v>2470</v>
      </c>
      <c r="B6394" s="10">
        <v>2023</v>
      </c>
      <c r="C6394" t="s">
        <v>2431</v>
      </c>
      <c r="D6394" t="s">
        <v>2472</v>
      </c>
      <c r="E6394" t="s">
        <v>2474</v>
      </c>
      <c r="F6394" t="s">
        <v>2464</v>
      </c>
      <c r="G6394" t="s">
        <v>2430</v>
      </c>
      <c r="H6394" s="10">
        <v>204963</v>
      </c>
      <c r="I6394" t="str">
        <f>IFERROR(VLOOKUP(Final!F6394,'LEAID Match'!$A$2:$B$374,2,FALSE),"")</f>
        <v/>
      </c>
      <c r="K6394" s="10">
        <f t="shared" si="99"/>
        <v>204963</v>
      </c>
    </row>
    <row r="6395" spans="1:11">
      <c r="A6395">
        <v>400052</v>
      </c>
      <c r="B6395" s="10">
        <v>2021</v>
      </c>
      <c r="C6395" t="s">
        <v>2426</v>
      </c>
      <c r="D6395" t="s">
        <v>2472</v>
      </c>
      <c r="E6395" t="s">
        <v>2474</v>
      </c>
      <c r="F6395" t="s">
        <v>2428</v>
      </c>
      <c r="G6395" t="s">
        <v>2428</v>
      </c>
      <c r="H6395" s="10">
        <v>163688</v>
      </c>
      <c r="I6395">
        <f>IFERROR(VLOOKUP(Final!F6395,'LEAID Match'!$A$2:$B$374,2,FALSE),"")</f>
        <v>400052</v>
      </c>
      <c r="K6395" s="10">
        <f t="shared" si="99"/>
        <v>163688</v>
      </c>
    </row>
    <row r="6396" spans="1:11">
      <c r="A6396">
        <v>400052</v>
      </c>
      <c r="B6396" s="10">
        <v>2022</v>
      </c>
      <c r="C6396" t="s">
        <v>2426</v>
      </c>
      <c r="D6396" t="s">
        <v>2472</v>
      </c>
      <c r="E6396" t="s">
        <v>2474</v>
      </c>
      <c r="F6396" t="s">
        <v>2428</v>
      </c>
      <c r="G6396" t="s">
        <v>2428</v>
      </c>
      <c r="H6396" s="10">
        <v>152198</v>
      </c>
      <c r="I6396">
        <f>IFERROR(VLOOKUP(Final!F6396,'LEAID Match'!$A$2:$B$374,2,FALSE),"")</f>
        <v>400052</v>
      </c>
      <c r="K6396" s="10">
        <f t="shared" si="99"/>
        <v>152198</v>
      </c>
    </row>
    <row r="6397" spans="1:11">
      <c r="A6397">
        <v>400052</v>
      </c>
      <c r="B6397" s="10">
        <v>2023</v>
      </c>
      <c r="C6397" t="s">
        <v>2426</v>
      </c>
      <c r="D6397" t="s">
        <v>2472</v>
      </c>
      <c r="E6397" t="s">
        <v>2474</v>
      </c>
      <c r="F6397" t="s">
        <v>2428</v>
      </c>
      <c r="G6397" t="s">
        <v>2428</v>
      </c>
      <c r="H6397" s="10">
        <v>152833</v>
      </c>
      <c r="I6397">
        <f>IFERROR(VLOOKUP(Final!F6397,'LEAID Match'!$A$2:$B$374,2,FALSE),"")</f>
        <v>400052</v>
      </c>
      <c r="K6397" s="10">
        <f t="shared" si="99"/>
        <v>152833</v>
      </c>
    </row>
    <row r="6398" spans="1:11">
      <c r="A6398" t="s">
        <v>2470</v>
      </c>
      <c r="B6398" s="10">
        <v>2022</v>
      </c>
      <c r="C6398" t="s">
        <v>2440</v>
      </c>
      <c r="D6398" t="s">
        <v>2472</v>
      </c>
      <c r="E6398" t="s">
        <v>2474</v>
      </c>
      <c r="F6398" t="s">
        <v>2438</v>
      </c>
      <c r="G6398" t="s">
        <v>2438</v>
      </c>
      <c r="H6398" s="10">
        <v>15727</v>
      </c>
      <c r="I6398" t="str">
        <f>IFERROR(VLOOKUP(Final!F6398,'LEAID Match'!$A$2:$B$374,2,FALSE),"")</f>
        <v/>
      </c>
      <c r="K6398" s="10">
        <f t="shared" si="99"/>
        <v>15727</v>
      </c>
    </row>
    <row r="6399" spans="1:11">
      <c r="A6399" t="s">
        <v>2470</v>
      </c>
      <c r="B6399" s="10">
        <v>2023</v>
      </c>
      <c r="C6399" t="s">
        <v>2440</v>
      </c>
      <c r="D6399" t="s">
        <v>2472</v>
      </c>
      <c r="E6399" t="s">
        <v>2474</v>
      </c>
      <c r="F6399" t="s">
        <v>2438</v>
      </c>
      <c r="G6399" t="s">
        <v>2438</v>
      </c>
      <c r="H6399" s="10">
        <v>15971</v>
      </c>
      <c r="I6399" t="str">
        <f>IFERROR(VLOOKUP(Final!F6399,'LEAID Match'!$A$2:$B$374,2,FALSE),"")</f>
        <v/>
      </c>
      <c r="K6399" s="10">
        <f t="shared" si="99"/>
        <v>15971</v>
      </c>
    </row>
    <row r="6400" spans="1:11">
      <c r="A6400" t="s">
        <v>2470</v>
      </c>
      <c r="B6400" s="10">
        <v>2022</v>
      </c>
      <c r="C6400" t="s">
        <v>2453</v>
      </c>
      <c r="D6400" t="s">
        <v>2472</v>
      </c>
      <c r="E6400" t="s">
        <v>2474</v>
      </c>
      <c r="F6400" t="s">
        <v>2439</v>
      </c>
      <c r="G6400" t="s">
        <v>2439</v>
      </c>
      <c r="H6400" s="10">
        <v>394630</v>
      </c>
      <c r="I6400" t="str">
        <f>IFERROR(VLOOKUP(Final!F6400,'LEAID Match'!$A$2:$B$374,2,FALSE),"")</f>
        <v/>
      </c>
      <c r="K6400" s="10">
        <f t="shared" si="99"/>
        <v>394630</v>
      </c>
    </row>
    <row r="6401" spans="1:11">
      <c r="A6401" t="s">
        <v>2470</v>
      </c>
      <c r="B6401" s="10">
        <v>2023</v>
      </c>
      <c r="C6401" t="s">
        <v>2453</v>
      </c>
      <c r="D6401" t="s">
        <v>2472</v>
      </c>
      <c r="E6401" t="s">
        <v>2474</v>
      </c>
      <c r="F6401" t="s">
        <v>2439</v>
      </c>
      <c r="G6401" t="s">
        <v>2439</v>
      </c>
      <c r="H6401" s="10">
        <v>423361</v>
      </c>
      <c r="I6401" t="str">
        <f>IFERROR(VLOOKUP(Final!F6401,'LEAID Match'!$A$2:$B$374,2,FALSE),"")</f>
        <v/>
      </c>
      <c r="K6401" s="10">
        <f t="shared" si="99"/>
        <v>423361</v>
      </c>
    </row>
    <row r="6402" spans="1:11">
      <c r="A6402" t="s">
        <v>2470</v>
      </c>
      <c r="B6402" s="10">
        <v>2023</v>
      </c>
      <c r="C6402" t="s">
        <v>2452</v>
      </c>
      <c r="D6402" t="s">
        <v>2472</v>
      </c>
      <c r="E6402" t="s">
        <v>2474</v>
      </c>
      <c r="F6402" t="s">
        <v>2450</v>
      </c>
      <c r="G6402" t="s">
        <v>2450</v>
      </c>
      <c r="H6402" s="10">
        <v>34440</v>
      </c>
      <c r="I6402" t="str">
        <f>IFERROR(VLOOKUP(Final!F6402,'LEAID Match'!$A$2:$B$374,2,FALSE),"")</f>
        <v/>
      </c>
      <c r="K6402" s="10">
        <f t="shared" si="99"/>
        <v>34440</v>
      </c>
    </row>
    <row r="6403" spans="1:11">
      <c r="A6403" t="s">
        <v>2470</v>
      </c>
      <c r="B6403" s="10">
        <v>2023</v>
      </c>
      <c r="C6403" t="s">
        <v>2448</v>
      </c>
      <c r="D6403" t="s">
        <v>2472</v>
      </c>
      <c r="E6403" t="s">
        <v>2474</v>
      </c>
      <c r="F6403" t="s">
        <v>2447</v>
      </c>
      <c r="G6403" t="s">
        <v>2447</v>
      </c>
      <c r="H6403" s="10">
        <v>95561</v>
      </c>
      <c r="I6403" t="str">
        <f>IFERROR(VLOOKUP(Final!F6403,'LEAID Match'!$A$2:$B$374,2,FALSE),"")</f>
        <v/>
      </c>
      <c r="K6403" s="10">
        <f t="shared" ref="K6403:K6407" si="100">SUM(H6403,J6403)</f>
        <v>95561</v>
      </c>
    </row>
    <row r="6404" spans="1:11">
      <c r="A6404" t="s">
        <v>2470</v>
      </c>
      <c r="B6404" s="10">
        <v>2023</v>
      </c>
      <c r="C6404" t="s">
        <v>2458</v>
      </c>
      <c r="D6404" t="s">
        <v>2472</v>
      </c>
      <c r="E6404" t="s">
        <v>2474</v>
      </c>
      <c r="F6404" t="s">
        <v>2456</v>
      </c>
      <c r="G6404" t="s">
        <v>2456</v>
      </c>
      <c r="H6404" s="10">
        <v>206301</v>
      </c>
      <c r="I6404" t="str">
        <f>IFERROR(VLOOKUP(Final!F6404,'LEAID Match'!$A$2:$B$374,2,FALSE),"")</f>
        <v/>
      </c>
      <c r="K6404" s="10">
        <f t="shared" si="100"/>
        <v>206301</v>
      </c>
    </row>
    <row r="6405" spans="1:11">
      <c r="A6405" t="s">
        <v>2470</v>
      </c>
      <c r="B6405" s="10">
        <v>2023</v>
      </c>
      <c r="C6405" t="s">
        <v>2457</v>
      </c>
      <c r="D6405" t="s">
        <v>2472</v>
      </c>
      <c r="E6405" t="s">
        <v>2474</v>
      </c>
      <c r="F6405" t="s">
        <v>2455</v>
      </c>
      <c r="G6405" t="s">
        <v>2455</v>
      </c>
      <c r="H6405" s="10">
        <v>1202082</v>
      </c>
      <c r="I6405" t="str">
        <f>IFERROR(VLOOKUP(Final!F6405,'LEAID Match'!$A$2:$B$374,2,FALSE),"")</f>
        <v/>
      </c>
      <c r="K6405" s="10">
        <f t="shared" si="100"/>
        <v>1202082</v>
      </c>
    </row>
    <row r="6406" spans="1:11">
      <c r="A6406" t="s">
        <v>2470</v>
      </c>
      <c r="B6406" s="10">
        <v>2023</v>
      </c>
      <c r="C6406" t="s">
        <v>2451</v>
      </c>
      <c r="D6406" t="s">
        <v>2472</v>
      </c>
      <c r="E6406" t="s">
        <v>2474</v>
      </c>
      <c r="F6406" t="s">
        <v>2449</v>
      </c>
      <c r="G6406" t="s">
        <v>2449</v>
      </c>
      <c r="H6406" s="10">
        <v>5945</v>
      </c>
      <c r="I6406" t="str">
        <f>IFERROR(VLOOKUP(Final!F6406,'LEAID Match'!$A$2:$B$374,2,FALSE),"")</f>
        <v/>
      </c>
      <c r="K6406" s="10">
        <f t="shared" si="100"/>
        <v>5945</v>
      </c>
    </row>
    <row r="6407" spans="1:11">
      <c r="A6407" t="s">
        <v>2470</v>
      </c>
      <c r="B6407" s="10">
        <v>2023</v>
      </c>
      <c r="C6407" t="s">
        <v>2454</v>
      </c>
      <c r="D6407" t="s">
        <v>2472</v>
      </c>
      <c r="E6407" t="s">
        <v>2474</v>
      </c>
      <c r="F6407" t="s">
        <v>2461</v>
      </c>
      <c r="G6407" t="s">
        <v>2461</v>
      </c>
      <c r="H6407" s="10">
        <v>59388</v>
      </c>
      <c r="I6407" t="str">
        <f>IFERROR(VLOOKUP(Final!F6407,'LEAID Match'!$A$2:$B$374,2,FALSE),"")</f>
        <v/>
      </c>
      <c r="K6407" s="10">
        <f t="shared" si="100"/>
        <v>59388</v>
      </c>
    </row>
  </sheetData>
  <autoFilter ref="B1:H6407" xr:uid="{4A3C9663-5673-6B49-B4D9-5AC379B435AE}">
    <sortState xmlns:xlrd2="http://schemas.microsoft.com/office/spreadsheetml/2017/richdata2" ref="B2:H6407">
      <sortCondition ref="C1:C640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EA5D-D469-B648-B627-25A427514F96}">
  <sheetPr>
    <tabColor rgb="FFFF0000"/>
  </sheetPr>
  <dimension ref="A1"/>
  <sheetViews>
    <sheetView workbookViewId="0">
      <selection activeCell="D38" sqref="D38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7C6-AE1F-3146-8CD2-C2E5A7E2B315}">
  <sheetPr>
    <tabColor rgb="FFFFFF00"/>
  </sheetPr>
  <dimension ref="A1:E11"/>
  <sheetViews>
    <sheetView workbookViewId="0">
      <selection activeCell="C4" sqref="C4"/>
    </sheetView>
  </sheetViews>
  <sheetFormatPr baseColWidth="10" defaultRowHeight="16"/>
  <cols>
    <col min="1" max="1" width="5.1640625" bestFit="1" customWidth="1"/>
    <col min="2" max="2" width="17.6640625" style="6" bestFit="1" customWidth="1"/>
    <col min="3" max="3" width="17.6640625" bestFit="1" customWidth="1"/>
    <col min="4" max="4" width="12.5" bestFit="1" customWidth="1"/>
  </cols>
  <sheetData>
    <row r="1" spans="1:5">
      <c r="A1" s="13" t="s">
        <v>1359</v>
      </c>
      <c r="B1" s="13"/>
      <c r="C1" s="13"/>
      <c r="D1" s="13"/>
      <c r="E1" s="13"/>
    </row>
    <row r="2" spans="1:5">
      <c r="A2" s="1" t="s">
        <v>1360</v>
      </c>
      <c r="B2" s="5" t="s">
        <v>1361</v>
      </c>
      <c r="C2" s="1" t="s">
        <v>1362</v>
      </c>
      <c r="D2" s="1" t="s">
        <v>1363</v>
      </c>
      <c r="E2" s="1"/>
    </row>
    <row r="3" spans="1:5">
      <c r="A3" s="1">
        <v>2015</v>
      </c>
      <c r="B3" s="7">
        <v>1003030750</v>
      </c>
      <c r="C3" s="6">
        <f>SUMIF(Final!B$2:B$6407,'Contributions Check'!A3,Final!H$2:H$6407)</f>
        <v>1003030750</v>
      </c>
      <c r="D3" s="8">
        <f>B3-C3</f>
        <v>0</v>
      </c>
    </row>
    <row r="4" spans="1:5">
      <c r="A4" s="1">
        <v>2016</v>
      </c>
      <c r="B4" s="7">
        <v>1015920247</v>
      </c>
      <c r="C4" s="6">
        <f>SUMIF(Final!B$2:B$6407,'Contributions Check'!A4,Final!H$2:H$6407)</f>
        <v>1015920247</v>
      </c>
      <c r="D4" s="8">
        <f t="shared" ref="D4:D11" si="0">B4-C4</f>
        <v>0</v>
      </c>
    </row>
    <row r="5" spans="1:5">
      <c r="A5" s="1">
        <v>2017</v>
      </c>
      <c r="B5" s="7">
        <v>1051469476</v>
      </c>
      <c r="C5" s="6">
        <f>SUMIF(Final!B$2:B$6407,'Contributions Check'!A5,Final!H$2:H$6407)</f>
        <v>1051469476</v>
      </c>
      <c r="D5" s="8">
        <f t="shared" si="0"/>
        <v>0</v>
      </c>
    </row>
    <row r="6" spans="1:5">
      <c r="A6" s="1">
        <v>2018</v>
      </c>
      <c r="B6" s="7">
        <v>1083432138</v>
      </c>
      <c r="C6" s="6">
        <f>SUMIF(Final!B$2:B$6407,'Contributions Check'!A6,Final!H$2:H$6407)</f>
        <v>1083432138</v>
      </c>
      <c r="D6" s="8">
        <f t="shared" si="0"/>
        <v>0</v>
      </c>
    </row>
    <row r="7" spans="1:5">
      <c r="A7" s="1">
        <v>2019</v>
      </c>
      <c r="B7" s="7">
        <v>1179092833</v>
      </c>
      <c r="C7" s="6">
        <f>SUMIF(Final!B$2:B$6407,'Contributions Check'!A7,Final!H$2:H$6407)</f>
        <v>1179092833</v>
      </c>
      <c r="D7" s="8">
        <f t="shared" si="0"/>
        <v>0</v>
      </c>
    </row>
    <row r="8" spans="1:5">
      <c r="A8" s="1">
        <v>2020</v>
      </c>
      <c r="B8" s="7">
        <v>1251493308</v>
      </c>
      <c r="C8" s="6">
        <f>SUMIF(Final!B$2:B$6407,'Contributions Check'!A8,Final!H$2:H$6407)</f>
        <v>1251493308</v>
      </c>
      <c r="D8" s="8">
        <f t="shared" si="0"/>
        <v>0</v>
      </c>
    </row>
    <row r="9" spans="1:5">
      <c r="A9" s="1">
        <v>2021</v>
      </c>
      <c r="B9" s="7">
        <v>1309666248</v>
      </c>
      <c r="C9" s="6">
        <f>SUMIF(Final!B$2:B$6407,'Contributions Check'!A9,Final!H$2:H$6407)</f>
        <v>1309666244</v>
      </c>
      <c r="D9" s="8">
        <f t="shared" si="0"/>
        <v>4</v>
      </c>
    </row>
    <row r="10" spans="1:5">
      <c r="A10" s="1">
        <v>2022</v>
      </c>
      <c r="B10" s="7">
        <v>1429670650</v>
      </c>
      <c r="C10" s="6">
        <f>SUMIF(Final!B$2:B$6407,'Contributions Check'!A10,Final!H$2:H$6407)</f>
        <v>1429670650</v>
      </c>
      <c r="D10" s="8">
        <f t="shared" si="0"/>
        <v>0</v>
      </c>
    </row>
    <row r="11" spans="1:5">
      <c r="A11" s="1">
        <v>2023</v>
      </c>
      <c r="B11" s="7">
        <v>1556007811</v>
      </c>
      <c r="C11" s="6">
        <f>SUMIF(Final!B$2:B$6407,'Contributions Check'!A11,Final!H$2:H$6407)</f>
        <v>1556007811</v>
      </c>
      <c r="D11" s="8">
        <f t="shared" si="0"/>
        <v>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42CB-B949-FC49-AFC5-6AA8DE489C04}">
  <sheetPr>
    <tabColor rgb="FFFFFF00"/>
  </sheetPr>
  <dimension ref="A1:B397"/>
  <sheetViews>
    <sheetView topLeftCell="A92" workbookViewId="0">
      <selection activeCell="A126" sqref="A126"/>
    </sheetView>
  </sheetViews>
  <sheetFormatPr baseColWidth="10" defaultRowHeight="16"/>
  <cols>
    <col min="1" max="1" width="72.33203125" bestFit="1" customWidth="1"/>
  </cols>
  <sheetData>
    <row r="1" spans="1:2">
      <c r="A1" t="s">
        <v>2463</v>
      </c>
      <c r="B1" t="s">
        <v>2465</v>
      </c>
    </row>
    <row r="2" spans="1:2">
      <c r="A2" t="s">
        <v>1648</v>
      </c>
      <c r="B2">
        <v>400001</v>
      </c>
    </row>
    <row r="3" spans="1:2">
      <c r="A3" t="s">
        <v>1663</v>
      </c>
      <c r="B3">
        <v>400004</v>
      </c>
    </row>
    <row r="4" spans="1:2">
      <c r="A4" t="s">
        <v>1927</v>
      </c>
      <c r="B4">
        <v>400005</v>
      </c>
    </row>
    <row r="5" spans="1:2">
      <c r="A5" t="s">
        <v>1888</v>
      </c>
      <c r="B5">
        <v>400018</v>
      </c>
    </row>
    <row r="6" spans="1:2">
      <c r="A6" t="s">
        <v>532</v>
      </c>
      <c r="B6">
        <v>400019</v>
      </c>
    </row>
    <row r="7" spans="1:2">
      <c r="A7" t="s">
        <v>1669</v>
      </c>
      <c r="B7">
        <v>400021</v>
      </c>
    </row>
    <row r="8" spans="1:2">
      <c r="A8" t="s">
        <v>2009</v>
      </c>
      <c r="B8">
        <v>400022</v>
      </c>
    </row>
    <row r="9" spans="1:2">
      <c r="A9" t="s">
        <v>2408</v>
      </c>
      <c r="B9">
        <v>400023</v>
      </c>
    </row>
    <row r="10" spans="1:2">
      <c r="A10" t="s">
        <v>1747</v>
      </c>
      <c r="B10">
        <v>400026</v>
      </c>
    </row>
    <row r="11" spans="1:2">
      <c r="A11" t="s">
        <v>1202</v>
      </c>
      <c r="B11">
        <v>400028</v>
      </c>
    </row>
    <row r="12" spans="1:2">
      <c r="A12" t="s">
        <v>1913</v>
      </c>
      <c r="B12">
        <v>400031</v>
      </c>
    </row>
    <row r="13" spans="1:2">
      <c r="A13" t="s">
        <v>1084</v>
      </c>
      <c r="B13">
        <v>400040</v>
      </c>
    </row>
    <row r="14" spans="1:2">
      <c r="A14" t="s">
        <v>1830</v>
      </c>
      <c r="B14">
        <v>400043</v>
      </c>
    </row>
    <row r="15" spans="1:2">
      <c r="A15" t="s">
        <v>2428</v>
      </c>
      <c r="B15">
        <v>400052</v>
      </c>
    </row>
    <row r="16" spans="1:2">
      <c r="A16" t="s">
        <v>632</v>
      </c>
      <c r="B16">
        <v>400053</v>
      </c>
    </row>
    <row r="17" spans="1:2">
      <c r="A17" t="s">
        <v>1704</v>
      </c>
      <c r="B17">
        <v>400055</v>
      </c>
    </row>
    <row r="18" spans="1:2">
      <c r="A18" t="s">
        <v>1584</v>
      </c>
      <c r="B18">
        <v>400056</v>
      </c>
    </row>
    <row r="19" spans="1:2">
      <c r="A19" t="s">
        <v>2443</v>
      </c>
      <c r="B19">
        <v>400061</v>
      </c>
    </row>
    <row r="20" spans="1:2">
      <c r="A20" t="s">
        <v>270</v>
      </c>
      <c r="B20">
        <v>400065</v>
      </c>
    </row>
    <row r="21" spans="1:2">
      <c r="A21" t="s">
        <v>1769</v>
      </c>
      <c r="B21">
        <v>400069</v>
      </c>
    </row>
    <row r="22" spans="1:2">
      <c r="A22" t="s">
        <v>1770</v>
      </c>
      <c r="B22">
        <v>400074</v>
      </c>
    </row>
    <row r="23" spans="1:2">
      <c r="A23" t="s">
        <v>2033</v>
      </c>
      <c r="B23">
        <v>400075</v>
      </c>
    </row>
    <row r="24" spans="1:2">
      <c r="A24" t="s">
        <v>1699</v>
      </c>
      <c r="B24">
        <v>400078</v>
      </c>
    </row>
    <row r="25" spans="1:2">
      <c r="A25" t="s">
        <v>1904</v>
      </c>
      <c r="B25">
        <v>400081</v>
      </c>
    </row>
    <row r="26" spans="1:2">
      <c r="A26" t="s">
        <v>1671</v>
      </c>
      <c r="B26">
        <v>400082</v>
      </c>
    </row>
    <row r="27" spans="1:2">
      <c r="A27" t="s">
        <v>1058</v>
      </c>
      <c r="B27">
        <v>400089</v>
      </c>
    </row>
    <row r="28" spans="1:2">
      <c r="A28" t="s">
        <v>745</v>
      </c>
      <c r="B28">
        <v>400090</v>
      </c>
    </row>
    <row r="29" spans="1:2">
      <c r="A29" t="s">
        <v>543</v>
      </c>
      <c r="B29">
        <v>400092</v>
      </c>
    </row>
    <row r="30" spans="1:2">
      <c r="A30" t="s">
        <v>1953</v>
      </c>
      <c r="B30">
        <v>400093</v>
      </c>
    </row>
    <row r="31" spans="1:2">
      <c r="A31" t="s">
        <v>762</v>
      </c>
      <c r="B31">
        <v>400096</v>
      </c>
    </row>
    <row r="32" spans="1:2">
      <c r="A32" t="s">
        <v>844</v>
      </c>
      <c r="B32">
        <v>400097</v>
      </c>
    </row>
    <row r="33" spans="1:2">
      <c r="A33" t="s">
        <v>533</v>
      </c>
      <c r="B33">
        <v>400098</v>
      </c>
    </row>
    <row r="34" spans="1:2">
      <c r="A34" t="s">
        <v>715</v>
      </c>
      <c r="B34">
        <v>400099</v>
      </c>
    </row>
    <row r="35" spans="1:2">
      <c r="A35" t="s">
        <v>265</v>
      </c>
      <c r="B35">
        <v>400100</v>
      </c>
    </row>
    <row r="36" spans="1:2">
      <c r="A36" t="s">
        <v>1761</v>
      </c>
      <c r="B36">
        <v>400107</v>
      </c>
    </row>
    <row r="37" spans="1:2">
      <c r="A37" t="s">
        <v>2442</v>
      </c>
      <c r="B37">
        <v>400108</v>
      </c>
    </row>
    <row r="38" spans="1:2">
      <c r="A38" t="s">
        <v>1365</v>
      </c>
      <c r="B38">
        <v>400112</v>
      </c>
    </row>
    <row r="39" spans="1:2">
      <c r="A39" t="s">
        <v>1537</v>
      </c>
      <c r="B39">
        <v>400120</v>
      </c>
    </row>
    <row r="40" spans="1:2">
      <c r="A40" t="s">
        <v>9</v>
      </c>
      <c r="B40">
        <v>400121</v>
      </c>
    </row>
    <row r="41" spans="1:2">
      <c r="A41" t="s">
        <v>1488</v>
      </c>
      <c r="B41">
        <v>400122</v>
      </c>
    </row>
    <row r="42" spans="1:2">
      <c r="A42" t="s">
        <v>547</v>
      </c>
      <c r="B42">
        <v>400124</v>
      </c>
    </row>
    <row r="43" spans="1:2">
      <c r="A43" t="s">
        <v>721</v>
      </c>
      <c r="B43">
        <v>400125</v>
      </c>
    </row>
    <row r="44" spans="1:2">
      <c r="A44" t="s">
        <v>6</v>
      </c>
      <c r="B44">
        <v>400128</v>
      </c>
    </row>
    <row r="45" spans="1:2">
      <c r="A45" t="s">
        <v>1487</v>
      </c>
      <c r="B45">
        <v>400129</v>
      </c>
    </row>
    <row r="46" spans="1:2">
      <c r="A46" t="s">
        <v>1446</v>
      </c>
      <c r="B46">
        <v>400130</v>
      </c>
    </row>
    <row r="47" spans="1:2">
      <c r="A47" t="s">
        <v>1655</v>
      </c>
      <c r="B47">
        <v>400131</v>
      </c>
    </row>
    <row r="48" spans="1:2">
      <c r="A48" t="s">
        <v>305</v>
      </c>
      <c r="B48">
        <v>400135</v>
      </c>
    </row>
    <row r="49" spans="1:2">
      <c r="A49" t="s">
        <v>502</v>
      </c>
      <c r="B49">
        <v>400141</v>
      </c>
    </row>
    <row r="50" spans="1:2">
      <c r="A50" t="s">
        <v>1459</v>
      </c>
      <c r="B50">
        <v>400147</v>
      </c>
    </row>
    <row r="51" spans="1:2">
      <c r="A51" t="s">
        <v>743</v>
      </c>
      <c r="B51">
        <v>400150</v>
      </c>
    </row>
    <row r="52" spans="1:2">
      <c r="A52" t="s">
        <v>834</v>
      </c>
      <c r="B52">
        <v>400152</v>
      </c>
    </row>
    <row r="53" spans="1:2">
      <c r="A53" t="s">
        <v>1873</v>
      </c>
      <c r="B53">
        <v>400153</v>
      </c>
    </row>
    <row r="54" spans="1:2">
      <c r="A54" t="s">
        <v>517</v>
      </c>
      <c r="B54">
        <v>400157</v>
      </c>
    </row>
    <row r="55" spans="1:2">
      <c r="A55" t="s">
        <v>1206</v>
      </c>
      <c r="B55">
        <v>400159</v>
      </c>
    </row>
    <row r="56" spans="1:2">
      <c r="A56" t="s">
        <v>1282</v>
      </c>
      <c r="B56">
        <v>400161</v>
      </c>
    </row>
    <row r="57" spans="1:2">
      <c r="A57" t="s">
        <v>1668</v>
      </c>
      <c r="B57">
        <v>400163</v>
      </c>
    </row>
    <row r="58" spans="1:2">
      <c r="A58" t="s">
        <v>269</v>
      </c>
      <c r="B58">
        <v>400181</v>
      </c>
    </row>
    <row r="59" spans="1:2">
      <c r="A59" t="s">
        <v>264</v>
      </c>
      <c r="B59">
        <v>400184</v>
      </c>
    </row>
    <row r="60" spans="1:2">
      <c r="A60" t="s">
        <v>1698</v>
      </c>
      <c r="B60">
        <v>400189</v>
      </c>
    </row>
    <row r="61" spans="1:2">
      <c r="A61" t="s">
        <v>1075</v>
      </c>
      <c r="B61">
        <v>400192</v>
      </c>
    </row>
    <row r="62" spans="1:2">
      <c r="A62" t="s">
        <v>1842</v>
      </c>
      <c r="B62">
        <v>400197</v>
      </c>
    </row>
    <row r="63" spans="1:2">
      <c r="A63" t="s">
        <v>936</v>
      </c>
      <c r="B63">
        <v>400201</v>
      </c>
    </row>
    <row r="64" spans="1:2">
      <c r="A64" t="s">
        <v>7</v>
      </c>
      <c r="B64">
        <v>400202</v>
      </c>
    </row>
    <row r="65" spans="1:2">
      <c r="A65" t="s">
        <v>761</v>
      </c>
      <c r="B65">
        <v>400204</v>
      </c>
    </row>
    <row r="66" spans="1:2">
      <c r="A66" t="s">
        <v>618</v>
      </c>
      <c r="B66">
        <v>400205</v>
      </c>
    </row>
    <row r="67" spans="1:2">
      <c r="A67" t="s">
        <v>499</v>
      </c>
      <c r="B67">
        <v>400206</v>
      </c>
    </row>
    <row r="68" spans="1:2">
      <c r="A68" t="s">
        <v>2008</v>
      </c>
      <c r="B68">
        <v>400207</v>
      </c>
    </row>
    <row r="69" spans="1:2">
      <c r="A69" t="s">
        <v>760</v>
      </c>
      <c r="B69">
        <v>400208</v>
      </c>
    </row>
    <row r="70" spans="1:2">
      <c r="A70" t="s">
        <v>1858</v>
      </c>
      <c r="B70">
        <v>400209</v>
      </c>
    </row>
    <row r="71" spans="1:2">
      <c r="A71" t="s">
        <v>1802</v>
      </c>
      <c r="B71">
        <v>400211</v>
      </c>
    </row>
    <row r="72" spans="1:2">
      <c r="A72" t="s">
        <v>1622</v>
      </c>
      <c r="B72">
        <v>400212</v>
      </c>
    </row>
    <row r="73" spans="1:2">
      <c r="A73" t="s">
        <v>1498</v>
      </c>
      <c r="B73">
        <v>400218</v>
      </c>
    </row>
    <row r="74" spans="1:2">
      <c r="A74" t="s">
        <v>1754</v>
      </c>
      <c r="B74">
        <v>400225</v>
      </c>
    </row>
    <row r="75" spans="1:2">
      <c r="A75" t="s">
        <v>1714</v>
      </c>
      <c r="B75">
        <v>400235</v>
      </c>
    </row>
    <row r="76" spans="1:2">
      <c r="A76" t="s">
        <v>1857</v>
      </c>
      <c r="B76">
        <v>400237</v>
      </c>
    </row>
    <row r="77" spans="1:2">
      <c r="A77" t="s">
        <v>741</v>
      </c>
      <c r="B77">
        <v>400238</v>
      </c>
    </row>
    <row r="78" spans="1:2">
      <c r="A78" t="s">
        <v>1952</v>
      </c>
      <c r="B78">
        <v>400243</v>
      </c>
    </row>
    <row r="79" spans="1:2">
      <c r="A79" t="s">
        <v>516</v>
      </c>
      <c r="B79">
        <v>400244</v>
      </c>
    </row>
    <row r="80" spans="1:2">
      <c r="A80" t="s">
        <v>521</v>
      </c>
      <c r="B80">
        <v>400246</v>
      </c>
    </row>
    <row r="81" spans="1:2">
      <c r="A81" t="s">
        <v>1981</v>
      </c>
      <c r="B81">
        <v>400248</v>
      </c>
    </row>
    <row r="82" spans="1:2">
      <c r="A82" t="s">
        <v>1962</v>
      </c>
      <c r="B82">
        <v>400254</v>
      </c>
    </row>
    <row r="83" spans="1:2">
      <c r="A83" t="s">
        <v>1205</v>
      </c>
      <c r="B83">
        <v>400255</v>
      </c>
    </row>
    <row r="84" spans="1:2">
      <c r="A84" t="s">
        <v>1978</v>
      </c>
      <c r="B84">
        <v>400260</v>
      </c>
    </row>
    <row r="85" spans="1:2">
      <c r="A85" t="s">
        <v>863</v>
      </c>
      <c r="B85">
        <v>400263</v>
      </c>
    </row>
    <row r="86" spans="1:2">
      <c r="A86" t="s">
        <v>1847</v>
      </c>
      <c r="B86">
        <v>400266</v>
      </c>
    </row>
    <row r="87" spans="1:2">
      <c r="A87" t="s">
        <v>1766</v>
      </c>
      <c r="B87">
        <v>400268</v>
      </c>
    </row>
    <row r="88" spans="1:2">
      <c r="A88" t="s">
        <v>2441</v>
      </c>
      <c r="B88">
        <v>400273</v>
      </c>
    </row>
    <row r="89" spans="1:2">
      <c r="A89" t="s">
        <v>1491</v>
      </c>
      <c r="B89">
        <v>400274</v>
      </c>
    </row>
    <row r="90" spans="1:2">
      <c r="A90" t="s">
        <v>749</v>
      </c>
      <c r="B90">
        <v>400280</v>
      </c>
    </row>
    <row r="91" spans="1:2">
      <c r="A91" t="s">
        <v>736</v>
      </c>
      <c r="B91">
        <v>400281</v>
      </c>
    </row>
    <row r="92" spans="1:2">
      <c r="A92" t="s">
        <v>1771</v>
      </c>
      <c r="B92">
        <v>400295</v>
      </c>
    </row>
    <row r="93" spans="1:2">
      <c r="A93" t="s">
        <v>1447</v>
      </c>
      <c r="B93">
        <v>400296</v>
      </c>
    </row>
    <row r="94" spans="1:2">
      <c r="A94" t="s">
        <v>1273</v>
      </c>
      <c r="B94">
        <v>400299</v>
      </c>
    </row>
    <row r="95" spans="1:2">
      <c r="A95" t="s">
        <v>1834</v>
      </c>
      <c r="B95">
        <v>400303</v>
      </c>
    </row>
    <row r="96" spans="1:2">
      <c r="A96" t="s">
        <v>2030</v>
      </c>
      <c r="B96">
        <v>400315</v>
      </c>
    </row>
    <row r="97" spans="1:2">
      <c r="A97" t="s">
        <v>2361</v>
      </c>
      <c r="B97">
        <v>400316</v>
      </c>
    </row>
    <row r="98" spans="1:2">
      <c r="A98" t="s">
        <v>1506</v>
      </c>
      <c r="B98">
        <v>400318</v>
      </c>
    </row>
    <row r="99" spans="1:2">
      <c r="A99" t="s">
        <v>498</v>
      </c>
      <c r="B99">
        <v>400322</v>
      </c>
    </row>
    <row r="100" spans="1:2">
      <c r="A100" t="s">
        <v>2104</v>
      </c>
      <c r="B100">
        <v>400324</v>
      </c>
    </row>
    <row r="101" spans="1:2">
      <c r="A101" t="s">
        <v>1897</v>
      </c>
      <c r="B101">
        <v>400327</v>
      </c>
    </row>
    <row r="102" spans="1:2">
      <c r="A102" t="s">
        <v>2374</v>
      </c>
      <c r="B102">
        <v>400332</v>
      </c>
    </row>
    <row r="103" spans="1:2">
      <c r="A103" t="s">
        <v>1283</v>
      </c>
      <c r="B103">
        <v>400334</v>
      </c>
    </row>
    <row r="104" spans="1:2">
      <c r="A104" t="s">
        <v>500</v>
      </c>
      <c r="B104">
        <v>400339</v>
      </c>
    </row>
    <row r="105" spans="1:2">
      <c r="A105" t="s">
        <v>1741</v>
      </c>
      <c r="B105">
        <v>400343</v>
      </c>
    </row>
    <row r="106" spans="1:2">
      <c r="A106" t="s">
        <v>1667</v>
      </c>
      <c r="B106">
        <v>400345</v>
      </c>
    </row>
    <row r="107" spans="1:2">
      <c r="A107" t="s">
        <v>297</v>
      </c>
      <c r="B107">
        <v>400347</v>
      </c>
    </row>
    <row r="108" spans="1:2">
      <c r="A108" t="s">
        <v>2424</v>
      </c>
      <c r="B108">
        <v>400348</v>
      </c>
    </row>
    <row r="109" spans="1:2">
      <c r="A109" t="s">
        <v>608</v>
      </c>
      <c r="B109">
        <v>400349</v>
      </c>
    </row>
    <row r="110" spans="1:2">
      <c r="A110" t="s">
        <v>868</v>
      </c>
      <c r="B110">
        <v>400350</v>
      </c>
    </row>
    <row r="111" spans="1:2">
      <c r="A111" t="s">
        <v>846</v>
      </c>
      <c r="B111">
        <v>400356</v>
      </c>
    </row>
    <row r="112" spans="1:2">
      <c r="A112" t="s">
        <v>1948</v>
      </c>
      <c r="B112">
        <v>400360</v>
      </c>
    </row>
    <row r="113" spans="1:2">
      <c r="A113" t="s">
        <v>1937</v>
      </c>
      <c r="B113">
        <v>400363</v>
      </c>
    </row>
    <row r="114" spans="1:2">
      <c r="A114" t="s">
        <v>2434</v>
      </c>
      <c r="B114">
        <v>400367</v>
      </c>
    </row>
    <row r="115" spans="1:2">
      <c r="A115" t="s">
        <v>1642</v>
      </c>
      <c r="B115">
        <v>400381</v>
      </c>
    </row>
    <row r="116" spans="1:2">
      <c r="A116" t="s">
        <v>1782</v>
      </c>
      <c r="B116">
        <v>400383</v>
      </c>
    </row>
    <row r="117" spans="1:2">
      <c r="A117" t="s">
        <v>1494</v>
      </c>
      <c r="B117">
        <v>400403</v>
      </c>
    </row>
    <row r="118" spans="1:2">
      <c r="A118" t="s">
        <v>1493</v>
      </c>
      <c r="B118">
        <v>400404</v>
      </c>
    </row>
    <row r="119" spans="1:2">
      <c r="A119" t="s">
        <v>626</v>
      </c>
      <c r="B119">
        <v>400406</v>
      </c>
    </row>
    <row r="120" spans="1:2">
      <c r="A120" t="s">
        <v>1661</v>
      </c>
      <c r="B120">
        <v>400407</v>
      </c>
    </row>
    <row r="121" spans="1:2">
      <c r="A121" t="s">
        <v>748</v>
      </c>
      <c r="B121">
        <v>400413</v>
      </c>
    </row>
    <row r="122" spans="1:2">
      <c r="A122" t="s">
        <v>2354</v>
      </c>
      <c r="B122">
        <v>400415</v>
      </c>
    </row>
    <row r="123" spans="1:2">
      <c r="A123" t="s">
        <v>1083</v>
      </c>
      <c r="B123">
        <v>400416</v>
      </c>
    </row>
    <row r="124" spans="1:2">
      <c r="A124" t="s">
        <v>607</v>
      </c>
      <c r="B124">
        <v>400419</v>
      </c>
    </row>
    <row r="125" spans="1:2">
      <c r="A125" t="s">
        <v>1878</v>
      </c>
      <c r="B125">
        <v>400420</v>
      </c>
    </row>
    <row r="126" spans="1:2">
      <c r="A126" t="s">
        <v>529</v>
      </c>
      <c r="B126">
        <v>400421</v>
      </c>
    </row>
    <row r="127" spans="1:2">
      <c r="A127" t="s">
        <v>432</v>
      </c>
      <c r="B127">
        <v>400429</v>
      </c>
    </row>
    <row r="128" spans="1:2">
      <c r="A128" t="s">
        <v>1680</v>
      </c>
      <c r="B128">
        <v>407500</v>
      </c>
    </row>
    <row r="129" spans="1:2">
      <c r="A129" t="s">
        <v>1708</v>
      </c>
      <c r="B129">
        <v>400928</v>
      </c>
    </row>
    <row r="130" spans="1:2">
      <c r="A130" t="s">
        <v>1936</v>
      </c>
      <c r="B130">
        <v>400434</v>
      </c>
    </row>
    <row r="131" spans="1:2">
      <c r="A131" t="s">
        <v>1902</v>
      </c>
      <c r="B131">
        <v>400444</v>
      </c>
    </row>
    <row r="132" spans="1:2">
      <c r="A132" t="s">
        <v>1489</v>
      </c>
      <c r="B132">
        <v>400450</v>
      </c>
    </row>
    <row r="133" spans="1:2">
      <c r="A133" t="s">
        <v>2433</v>
      </c>
      <c r="B133">
        <v>400453</v>
      </c>
    </row>
    <row r="134" spans="1:2">
      <c r="A134" t="s">
        <v>1490</v>
      </c>
      <c r="B134">
        <v>400480</v>
      </c>
    </row>
    <row r="135" spans="1:2">
      <c r="A135" t="s">
        <v>1492</v>
      </c>
      <c r="B135">
        <v>400520</v>
      </c>
    </row>
    <row r="136" spans="1:2">
      <c r="A136" t="s">
        <v>1495</v>
      </c>
      <c r="B136">
        <v>400600</v>
      </c>
    </row>
    <row r="137" spans="1:2">
      <c r="A137" t="s">
        <v>1835</v>
      </c>
      <c r="B137">
        <v>400612</v>
      </c>
    </row>
    <row r="138" spans="1:2">
      <c r="A138" t="s">
        <v>1831</v>
      </c>
      <c r="B138">
        <v>400616</v>
      </c>
    </row>
    <row r="139" spans="1:2">
      <c r="A139" t="s">
        <v>1496</v>
      </c>
      <c r="B139">
        <v>400630</v>
      </c>
    </row>
    <row r="140" spans="1:2">
      <c r="A140" t="s">
        <v>290</v>
      </c>
      <c r="B140">
        <v>400633</v>
      </c>
    </row>
    <row r="141" spans="1:2">
      <c r="A141" t="s">
        <v>1629</v>
      </c>
      <c r="B141">
        <v>400636</v>
      </c>
    </row>
    <row r="142" spans="1:2">
      <c r="A142" t="s">
        <v>515</v>
      </c>
      <c r="B142">
        <v>400638</v>
      </c>
    </row>
    <row r="143" spans="1:2">
      <c r="A143" t="s">
        <v>2437</v>
      </c>
      <c r="B143">
        <v>400640</v>
      </c>
    </row>
    <row r="144" spans="1:2">
      <c r="A144" t="s">
        <v>1702</v>
      </c>
      <c r="B144">
        <v>400641</v>
      </c>
    </row>
    <row r="145" spans="1:2">
      <c r="A145" t="s">
        <v>1700</v>
      </c>
      <c r="B145">
        <v>400653</v>
      </c>
    </row>
    <row r="146" spans="1:2">
      <c r="A146" t="s">
        <v>2296</v>
      </c>
      <c r="B146">
        <v>400656</v>
      </c>
    </row>
    <row r="147" spans="1:2">
      <c r="A147" t="s">
        <v>1499</v>
      </c>
      <c r="B147">
        <v>400680</v>
      </c>
    </row>
    <row r="148" spans="1:2">
      <c r="A148" t="s">
        <v>1500</v>
      </c>
      <c r="B148">
        <v>400720</v>
      </c>
    </row>
    <row r="149" spans="1:2">
      <c r="A149" t="s">
        <v>1705</v>
      </c>
      <c r="B149">
        <v>400746</v>
      </c>
    </row>
    <row r="150" spans="1:2">
      <c r="A150" t="s">
        <v>1707</v>
      </c>
      <c r="B150">
        <v>400433</v>
      </c>
    </row>
    <row r="151" spans="1:2">
      <c r="A151" t="s">
        <v>1502</v>
      </c>
      <c r="B151">
        <v>400750</v>
      </c>
    </row>
    <row r="152" spans="1:2">
      <c r="A152" t="s">
        <v>1881</v>
      </c>
      <c r="B152">
        <v>400752</v>
      </c>
    </row>
    <row r="153" spans="1:2">
      <c r="A153" t="s">
        <v>256</v>
      </c>
      <c r="B153">
        <v>400764</v>
      </c>
    </row>
    <row r="154" spans="1:2">
      <c r="A154" t="s">
        <v>2435</v>
      </c>
      <c r="B154">
        <v>400768</v>
      </c>
    </row>
    <row r="155" spans="1:2">
      <c r="A155" t="s">
        <v>1820</v>
      </c>
      <c r="B155">
        <v>400772</v>
      </c>
    </row>
    <row r="156" spans="1:2">
      <c r="A156" t="s">
        <v>1960</v>
      </c>
      <c r="B156">
        <v>400774</v>
      </c>
    </row>
    <row r="157" spans="1:2">
      <c r="A157" t="s">
        <v>1685</v>
      </c>
      <c r="B157">
        <v>400776</v>
      </c>
    </row>
    <row r="158" spans="1:2">
      <c r="A158" t="s">
        <v>1828</v>
      </c>
      <c r="B158">
        <v>400784</v>
      </c>
    </row>
    <row r="159" spans="1:2">
      <c r="A159" t="s">
        <v>1503</v>
      </c>
      <c r="B159">
        <v>400790</v>
      </c>
    </row>
    <row r="160" spans="1:2">
      <c r="A160" t="s">
        <v>1484</v>
      </c>
      <c r="B160">
        <v>400794</v>
      </c>
    </row>
    <row r="161" spans="1:2">
      <c r="A161" t="s">
        <v>1686</v>
      </c>
      <c r="B161">
        <v>400807</v>
      </c>
    </row>
    <row r="162" spans="1:2">
      <c r="A162" t="s">
        <v>2436</v>
      </c>
      <c r="B162">
        <v>400821</v>
      </c>
    </row>
    <row r="163" spans="1:2">
      <c r="A163" t="s">
        <v>249</v>
      </c>
      <c r="B163">
        <v>400836</v>
      </c>
    </row>
    <row r="164" spans="1:2">
      <c r="A164" t="s">
        <v>1612</v>
      </c>
      <c r="B164">
        <v>400840</v>
      </c>
    </row>
    <row r="165" spans="1:2">
      <c r="A165" t="s">
        <v>1614</v>
      </c>
      <c r="B165">
        <v>400848</v>
      </c>
    </row>
    <row r="166" spans="1:2">
      <c r="A166" t="s">
        <v>1850</v>
      </c>
      <c r="B166">
        <v>400850</v>
      </c>
    </row>
    <row r="167" spans="1:2">
      <c r="A167" t="s">
        <v>622</v>
      </c>
      <c r="B167">
        <v>400860</v>
      </c>
    </row>
    <row r="168" spans="1:2">
      <c r="A168" t="s">
        <v>266</v>
      </c>
      <c r="B168">
        <v>400867</v>
      </c>
    </row>
    <row r="169" spans="1:2">
      <c r="A169" t="s">
        <v>1615</v>
      </c>
      <c r="B169">
        <v>400870</v>
      </c>
    </row>
    <row r="170" spans="1:2">
      <c r="A170" t="s">
        <v>1473</v>
      </c>
      <c r="B170">
        <v>400874</v>
      </c>
    </row>
    <row r="171" spans="1:2">
      <c r="A171" t="s">
        <v>548</v>
      </c>
      <c r="B171">
        <v>400876</v>
      </c>
    </row>
    <row r="172" spans="1:2">
      <c r="A172" t="s">
        <v>1759</v>
      </c>
      <c r="B172">
        <v>400885</v>
      </c>
    </row>
    <row r="173" spans="1:2">
      <c r="A173" t="s">
        <v>1713</v>
      </c>
      <c r="B173">
        <v>400895</v>
      </c>
    </row>
    <row r="174" spans="1:2">
      <c r="A174" t="s">
        <v>518</v>
      </c>
      <c r="B174">
        <v>400904</v>
      </c>
    </row>
    <row r="175" spans="1:2">
      <c r="A175" t="s">
        <v>1616</v>
      </c>
      <c r="B175">
        <v>400910</v>
      </c>
    </row>
    <row r="176" spans="1:2">
      <c r="A176" t="s">
        <v>1963</v>
      </c>
      <c r="B176">
        <v>400920</v>
      </c>
    </row>
    <row r="177" spans="1:2">
      <c r="A177" t="s">
        <v>1753</v>
      </c>
      <c r="B177">
        <v>400921</v>
      </c>
    </row>
    <row r="178" spans="1:2">
      <c r="A178" t="s">
        <v>2388</v>
      </c>
      <c r="B178">
        <v>400934</v>
      </c>
    </row>
    <row r="179" spans="1:2">
      <c r="A179" t="s">
        <v>257</v>
      </c>
      <c r="B179">
        <v>400960</v>
      </c>
    </row>
    <row r="180" spans="1:2">
      <c r="A180" t="s">
        <v>2031</v>
      </c>
      <c r="B180">
        <v>400972</v>
      </c>
    </row>
    <row r="181" spans="1:2">
      <c r="A181" t="s">
        <v>2399</v>
      </c>
      <c r="B181">
        <v>400978</v>
      </c>
    </row>
    <row r="182" spans="1:2">
      <c r="A182" t="s">
        <v>1619</v>
      </c>
      <c r="B182">
        <v>401000</v>
      </c>
    </row>
    <row r="183" spans="1:2">
      <c r="A183" t="s">
        <v>1620</v>
      </c>
      <c r="B183">
        <v>401050</v>
      </c>
    </row>
    <row r="184" spans="1:2">
      <c r="A184" t="s">
        <v>2359</v>
      </c>
      <c r="B184">
        <v>401080</v>
      </c>
    </row>
    <row r="185" spans="1:2">
      <c r="A185" t="s">
        <v>1624</v>
      </c>
      <c r="B185">
        <v>401160</v>
      </c>
    </row>
    <row r="186" spans="1:2">
      <c r="A186" t="s">
        <v>1625</v>
      </c>
      <c r="B186">
        <v>401180</v>
      </c>
    </row>
    <row r="187" spans="1:2">
      <c r="A187" t="s">
        <v>1627</v>
      </c>
      <c r="B187">
        <v>401230</v>
      </c>
    </row>
    <row r="188" spans="1:2">
      <c r="A188" t="s">
        <v>1630</v>
      </c>
      <c r="B188">
        <v>401260</v>
      </c>
    </row>
    <row r="189" spans="1:2">
      <c r="A189" t="s">
        <v>1631</v>
      </c>
      <c r="B189">
        <v>401290</v>
      </c>
    </row>
    <row r="190" spans="1:2">
      <c r="A190" t="s">
        <v>1632</v>
      </c>
      <c r="B190">
        <v>401330</v>
      </c>
    </row>
    <row r="191" spans="1:2">
      <c r="A191" t="s">
        <v>1633</v>
      </c>
      <c r="B191">
        <v>401380</v>
      </c>
    </row>
    <row r="192" spans="1:2">
      <c r="A192" t="s">
        <v>1634</v>
      </c>
      <c r="B192">
        <v>401410</v>
      </c>
    </row>
    <row r="193" spans="1:2">
      <c r="A193" t="s">
        <v>1949</v>
      </c>
      <c r="B193">
        <v>401460</v>
      </c>
    </row>
    <row r="194" spans="1:2">
      <c r="A194" t="s">
        <v>1637</v>
      </c>
      <c r="B194">
        <v>401500</v>
      </c>
    </row>
    <row r="195" spans="1:2">
      <c r="A195" t="s">
        <v>1638</v>
      </c>
      <c r="B195">
        <v>401600</v>
      </c>
    </row>
    <row r="196" spans="1:2">
      <c r="A196" t="s">
        <v>1640</v>
      </c>
      <c r="B196">
        <v>401650</v>
      </c>
    </row>
    <row r="197" spans="1:2">
      <c r="A197" t="s">
        <v>1643</v>
      </c>
      <c r="B197">
        <v>401680</v>
      </c>
    </row>
    <row r="198" spans="1:2">
      <c r="A198" t="s">
        <v>1644</v>
      </c>
      <c r="B198">
        <v>401710</v>
      </c>
    </row>
    <row r="199" spans="1:2">
      <c r="A199" t="s">
        <v>1645</v>
      </c>
      <c r="B199">
        <v>401740</v>
      </c>
    </row>
    <row r="200" spans="1:2">
      <c r="A200" t="s">
        <v>1647</v>
      </c>
      <c r="B200">
        <v>401760</v>
      </c>
    </row>
    <row r="201" spans="1:2">
      <c r="A201" t="s">
        <v>2398</v>
      </c>
      <c r="B201">
        <v>401810</v>
      </c>
    </row>
    <row r="202" spans="1:2">
      <c r="A202" t="s">
        <v>1653</v>
      </c>
      <c r="B202">
        <v>401870</v>
      </c>
    </row>
    <row r="203" spans="1:2">
      <c r="A203" t="s">
        <v>1656</v>
      </c>
      <c r="B203">
        <v>401920</v>
      </c>
    </row>
    <row r="204" spans="1:2">
      <c r="A204" t="s">
        <v>1657</v>
      </c>
      <c r="B204">
        <v>401940</v>
      </c>
    </row>
    <row r="205" spans="1:2">
      <c r="A205" t="s">
        <v>1664</v>
      </c>
      <c r="B205">
        <v>402110</v>
      </c>
    </row>
    <row r="206" spans="1:2">
      <c r="A206" t="s">
        <v>1666</v>
      </c>
      <c r="B206">
        <v>402130</v>
      </c>
    </row>
    <row r="207" spans="1:2">
      <c r="A207" t="s">
        <v>1672</v>
      </c>
      <c r="B207">
        <v>402190</v>
      </c>
    </row>
    <row r="208" spans="1:2">
      <c r="A208" t="s">
        <v>1673</v>
      </c>
      <c r="B208">
        <v>402220</v>
      </c>
    </row>
    <row r="209" spans="1:2">
      <c r="A209" t="s">
        <v>1674</v>
      </c>
      <c r="B209">
        <v>402250</v>
      </c>
    </row>
    <row r="210" spans="1:2">
      <c r="A210" t="s">
        <v>1675</v>
      </c>
      <c r="B210">
        <v>402320</v>
      </c>
    </row>
    <row r="211" spans="1:2">
      <c r="A211" t="s">
        <v>1679</v>
      </c>
      <c r="B211">
        <v>402370</v>
      </c>
    </row>
    <row r="212" spans="1:2">
      <c r="A212" t="s">
        <v>1681</v>
      </c>
      <c r="B212">
        <v>402400</v>
      </c>
    </row>
    <row r="213" spans="1:2">
      <c r="A213" t="s">
        <v>1682</v>
      </c>
      <c r="B213">
        <v>402430</v>
      </c>
    </row>
    <row r="214" spans="1:2">
      <c r="A214" t="s">
        <v>1683</v>
      </c>
      <c r="B214">
        <v>402460</v>
      </c>
    </row>
    <row r="215" spans="1:2">
      <c r="A215" t="s">
        <v>1687</v>
      </c>
      <c r="B215">
        <v>402480</v>
      </c>
    </row>
    <row r="216" spans="1:2">
      <c r="A216" t="s">
        <v>1691</v>
      </c>
      <c r="B216">
        <v>402490</v>
      </c>
    </row>
    <row r="217" spans="1:2">
      <c r="A217" t="s">
        <v>1692</v>
      </c>
      <c r="B217">
        <v>402530</v>
      </c>
    </row>
    <row r="218" spans="1:2">
      <c r="A218" t="s">
        <v>1694</v>
      </c>
      <c r="B218">
        <v>402600</v>
      </c>
    </row>
    <row r="219" spans="1:2">
      <c r="A219" t="s">
        <v>2367</v>
      </c>
      <c r="B219">
        <v>402690</v>
      </c>
    </row>
    <row r="220" spans="1:2">
      <c r="A220" t="s">
        <v>1801</v>
      </c>
      <c r="B220">
        <v>402740</v>
      </c>
    </row>
    <row r="221" spans="1:2">
      <c r="A221" t="s">
        <v>1709</v>
      </c>
      <c r="B221">
        <v>402760</v>
      </c>
    </row>
    <row r="222" spans="1:2">
      <c r="A222" t="s">
        <v>1710</v>
      </c>
      <c r="B222">
        <v>402790</v>
      </c>
    </row>
    <row r="223" spans="1:2">
      <c r="A223" t="s">
        <v>1715</v>
      </c>
      <c r="B223">
        <v>402860</v>
      </c>
    </row>
    <row r="224" spans="1:2">
      <c r="A224" t="s">
        <v>1717</v>
      </c>
      <c r="B224">
        <v>402920</v>
      </c>
    </row>
    <row r="225" spans="1:2">
      <c r="A225" t="s">
        <v>1719</v>
      </c>
      <c r="B225">
        <v>403010</v>
      </c>
    </row>
    <row r="226" spans="1:2">
      <c r="A226" t="s">
        <v>1723</v>
      </c>
      <c r="B226">
        <v>403040</v>
      </c>
    </row>
    <row r="227" spans="1:2">
      <c r="A227" t="s">
        <v>1724</v>
      </c>
      <c r="B227">
        <v>403060</v>
      </c>
    </row>
    <row r="228" spans="1:2">
      <c r="A228" t="s">
        <v>1726</v>
      </c>
      <c r="B228">
        <v>403080</v>
      </c>
    </row>
    <row r="229" spans="1:2">
      <c r="A229" t="s">
        <v>1721</v>
      </c>
      <c r="B229">
        <v>403150</v>
      </c>
    </row>
    <row r="230" spans="1:2">
      <c r="A230" t="s">
        <v>1722</v>
      </c>
      <c r="B230">
        <v>403200</v>
      </c>
    </row>
    <row r="231" spans="1:2">
      <c r="A231" t="s">
        <v>1727</v>
      </c>
      <c r="B231">
        <v>403240</v>
      </c>
    </row>
    <row r="232" spans="1:2">
      <c r="A232" t="s">
        <v>1728</v>
      </c>
      <c r="B232">
        <v>403290</v>
      </c>
    </row>
    <row r="233" spans="1:2">
      <c r="A233" t="s">
        <v>1729</v>
      </c>
      <c r="B233">
        <v>403310</v>
      </c>
    </row>
    <row r="234" spans="1:2">
      <c r="A234" t="s">
        <v>609</v>
      </c>
      <c r="B234">
        <v>403400</v>
      </c>
    </row>
    <row r="235" spans="1:2">
      <c r="A235" t="s">
        <v>1732</v>
      </c>
      <c r="B235">
        <v>403420</v>
      </c>
    </row>
    <row r="236" spans="1:2">
      <c r="A236" t="s">
        <v>1733</v>
      </c>
      <c r="B236">
        <v>403450</v>
      </c>
    </row>
    <row r="237" spans="1:2">
      <c r="A237" t="s">
        <v>1735</v>
      </c>
      <c r="B237">
        <v>403500</v>
      </c>
    </row>
    <row r="238" spans="1:2">
      <c r="A238" t="s">
        <v>1739</v>
      </c>
      <c r="B238">
        <v>403550</v>
      </c>
    </row>
    <row r="239" spans="1:2">
      <c r="A239" t="s">
        <v>1740</v>
      </c>
      <c r="B239">
        <v>403580</v>
      </c>
    </row>
    <row r="240" spans="1:2">
      <c r="A240" t="s">
        <v>1743</v>
      </c>
      <c r="B240">
        <v>403660</v>
      </c>
    </row>
    <row r="241" spans="1:2">
      <c r="A241" t="s">
        <v>1746</v>
      </c>
      <c r="B241">
        <v>403730</v>
      </c>
    </row>
    <row r="242" spans="1:2">
      <c r="A242" t="s">
        <v>1749</v>
      </c>
      <c r="B242">
        <v>403780</v>
      </c>
    </row>
    <row r="243" spans="1:2">
      <c r="A243" t="s">
        <v>1751</v>
      </c>
      <c r="B243">
        <v>403820</v>
      </c>
    </row>
    <row r="244" spans="1:2">
      <c r="A244" t="s">
        <v>1797</v>
      </c>
      <c r="B244">
        <v>403860</v>
      </c>
    </row>
    <row r="245" spans="1:2">
      <c r="A245" t="s">
        <v>1757</v>
      </c>
      <c r="B245">
        <v>403870</v>
      </c>
    </row>
    <row r="246" spans="1:2">
      <c r="A246" t="s">
        <v>1758</v>
      </c>
      <c r="B246">
        <v>403900</v>
      </c>
    </row>
    <row r="247" spans="1:2">
      <c r="A247" t="s">
        <v>2422</v>
      </c>
      <c r="B247">
        <v>403950</v>
      </c>
    </row>
    <row r="248" spans="1:2">
      <c r="A248" t="s">
        <v>1762</v>
      </c>
      <c r="B248">
        <v>403960</v>
      </c>
    </row>
    <row r="249" spans="1:2">
      <c r="A249" t="s">
        <v>1763</v>
      </c>
      <c r="B249">
        <v>403990</v>
      </c>
    </row>
    <row r="250" spans="1:2">
      <c r="A250" t="s">
        <v>2405</v>
      </c>
      <c r="B250">
        <v>404010</v>
      </c>
    </row>
    <row r="251" spans="1:2">
      <c r="A251" t="s">
        <v>1767</v>
      </c>
      <c r="B251">
        <v>404060</v>
      </c>
    </row>
    <row r="252" spans="1:2">
      <c r="A252" t="s">
        <v>1773</v>
      </c>
      <c r="B252">
        <v>404170</v>
      </c>
    </row>
    <row r="253" spans="1:2">
      <c r="A253" t="s">
        <v>1774</v>
      </c>
      <c r="B253">
        <v>404230</v>
      </c>
    </row>
    <row r="254" spans="1:2">
      <c r="A254" t="s">
        <v>1775</v>
      </c>
      <c r="B254">
        <v>404280</v>
      </c>
    </row>
    <row r="255" spans="1:2">
      <c r="A255" t="s">
        <v>1778</v>
      </c>
      <c r="B255">
        <v>404290</v>
      </c>
    </row>
    <row r="256" spans="1:2">
      <c r="A256" t="s">
        <v>1780</v>
      </c>
      <c r="B256">
        <v>404320</v>
      </c>
    </row>
    <row r="257" spans="1:2">
      <c r="A257" t="s">
        <v>1784</v>
      </c>
      <c r="B257">
        <v>404380</v>
      </c>
    </row>
    <row r="258" spans="1:2">
      <c r="A258" t="s">
        <v>1786</v>
      </c>
      <c r="B258">
        <v>404410</v>
      </c>
    </row>
    <row r="259" spans="1:2">
      <c r="A259" t="s">
        <v>1787</v>
      </c>
      <c r="B259">
        <v>404440</v>
      </c>
    </row>
    <row r="260" spans="1:2">
      <c r="A260" t="s">
        <v>1788</v>
      </c>
      <c r="B260">
        <v>404500</v>
      </c>
    </row>
    <row r="261" spans="1:2">
      <c r="A261" t="s">
        <v>1789</v>
      </c>
      <c r="B261">
        <v>404530</v>
      </c>
    </row>
    <row r="262" spans="1:2">
      <c r="A262" t="s">
        <v>1790</v>
      </c>
      <c r="B262">
        <v>404570</v>
      </c>
    </row>
    <row r="263" spans="1:2">
      <c r="A263" t="s">
        <v>1792</v>
      </c>
      <c r="B263">
        <v>404630</v>
      </c>
    </row>
    <row r="264" spans="1:2">
      <c r="A264" t="s">
        <v>1799</v>
      </c>
      <c r="B264">
        <v>404720</v>
      </c>
    </row>
    <row r="265" spans="1:2">
      <c r="A265" t="s">
        <v>1497</v>
      </c>
      <c r="B265">
        <v>404770</v>
      </c>
    </row>
    <row r="266" spans="1:2">
      <c r="A266" t="s">
        <v>1803</v>
      </c>
      <c r="B266">
        <v>404820</v>
      </c>
    </row>
    <row r="267" spans="1:2">
      <c r="A267" t="s">
        <v>1804</v>
      </c>
      <c r="B267">
        <v>404860</v>
      </c>
    </row>
    <row r="268" spans="1:2">
      <c r="A268" t="s">
        <v>1805</v>
      </c>
      <c r="B268">
        <v>404920</v>
      </c>
    </row>
    <row r="269" spans="1:2">
      <c r="A269" t="s">
        <v>1806</v>
      </c>
      <c r="B269">
        <v>404970</v>
      </c>
    </row>
    <row r="270" spans="1:2">
      <c r="A270" t="s">
        <v>1809</v>
      </c>
      <c r="B270">
        <v>405030</v>
      </c>
    </row>
    <row r="271" spans="1:2">
      <c r="A271" t="s">
        <v>1811</v>
      </c>
      <c r="B271">
        <v>405070</v>
      </c>
    </row>
    <row r="272" spans="1:2">
      <c r="A272" t="s">
        <v>1812</v>
      </c>
      <c r="B272">
        <v>405100</v>
      </c>
    </row>
    <row r="273" spans="1:2">
      <c r="A273" t="s">
        <v>1814</v>
      </c>
      <c r="B273">
        <v>405190</v>
      </c>
    </row>
    <row r="274" spans="1:2">
      <c r="A274" t="s">
        <v>1816</v>
      </c>
      <c r="B274">
        <v>405220</v>
      </c>
    </row>
    <row r="275" spans="1:2">
      <c r="A275" t="s">
        <v>1818</v>
      </c>
      <c r="B275">
        <v>405320</v>
      </c>
    </row>
    <row r="276" spans="1:2">
      <c r="A276" t="s">
        <v>1819</v>
      </c>
      <c r="B276">
        <v>405340</v>
      </c>
    </row>
    <row r="277" spans="1:2">
      <c r="A277" t="s">
        <v>1879</v>
      </c>
      <c r="B277">
        <v>405360</v>
      </c>
    </row>
    <row r="278" spans="1:2">
      <c r="A278" t="s">
        <v>1822</v>
      </c>
      <c r="B278">
        <v>405400</v>
      </c>
    </row>
    <row r="279" spans="1:2">
      <c r="A279" t="s">
        <v>2406</v>
      </c>
      <c r="B279">
        <v>405430</v>
      </c>
    </row>
    <row r="280" spans="1:2">
      <c r="A280" t="s">
        <v>2407</v>
      </c>
      <c r="B280">
        <v>405460</v>
      </c>
    </row>
    <row r="281" spans="1:2">
      <c r="A281" t="s">
        <v>1825</v>
      </c>
      <c r="B281">
        <v>405500</v>
      </c>
    </row>
    <row r="282" spans="1:2">
      <c r="A282" t="s">
        <v>1832</v>
      </c>
      <c r="B282">
        <v>405530</v>
      </c>
    </row>
    <row r="283" spans="1:2">
      <c r="A283" t="s">
        <v>1843</v>
      </c>
      <c r="B283">
        <v>405640</v>
      </c>
    </row>
    <row r="284" spans="1:2">
      <c r="A284" t="s">
        <v>1845</v>
      </c>
      <c r="B284">
        <v>405670</v>
      </c>
    </row>
    <row r="285" spans="1:2">
      <c r="A285" t="s">
        <v>1846</v>
      </c>
      <c r="B285">
        <v>405730</v>
      </c>
    </row>
    <row r="286" spans="1:2">
      <c r="A286" t="s">
        <v>1993</v>
      </c>
      <c r="B286">
        <v>405760</v>
      </c>
    </row>
    <row r="287" spans="1:2">
      <c r="A287" t="s">
        <v>1848</v>
      </c>
      <c r="B287">
        <v>405820</v>
      </c>
    </row>
    <row r="288" spans="1:2">
      <c r="A288" t="s">
        <v>1851</v>
      </c>
      <c r="B288">
        <v>405850</v>
      </c>
    </row>
    <row r="289" spans="1:2">
      <c r="A289" t="s">
        <v>1853</v>
      </c>
      <c r="B289">
        <v>405880</v>
      </c>
    </row>
    <row r="290" spans="1:2">
      <c r="A290" t="s">
        <v>1855</v>
      </c>
      <c r="B290">
        <v>405930</v>
      </c>
    </row>
    <row r="291" spans="1:2">
      <c r="A291" t="s">
        <v>1859</v>
      </c>
      <c r="B291">
        <v>405980</v>
      </c>
    </row>
    <row r="292" spans="1:2">
      <c r="A292" t="s">
        <v>1861</v>
      </c>
      <c r="B292">
        <v>406000</v>
      </c>
    </row>
    <row r="293" spans="1:2" ht="17" customHeight="1">
      <c r="A293" t="s">
        <v>1862</v>
      </c>
      <c r="B293">
        <v>406030</v>
      </c>
    </row>
    <row r="294" spans="1:2">
      <c r="A294" t="s">
        <v>1865</v>
      </c>
      <c r="B294">
        <v>406070</v>
      </c>
    </row>
    <row r="295" spans="1:2">
      <c r="A295" t="s">
        <v>1867</v>
      </c>
      <c r="B295">
        <v>406120</v>
      </c>
    </row>
    <row r="296" spans="1:2">
      <c r="A296" t="s">
        <v>1868</v>
      </c>
      <c r="B296">
        <v>406150</v>
      </c>
    </row>
    <row r="297" spans="1:2">
      <c r="A297" t="s">
        <v>1869</v>
      </c>
      <c r="B297">
        <v>406210</v>
      </c>
    </row>
    <row r="298" spans="1:2">
      <c r="A298" t="s">
        <v>1870</v>
      </c>
      <c r="B298">
        <v>406250</v>
      </c>
    </row>
    <row r="299" spans="1:2">
      <c r="A299" t="s">
        <v>1872</v>
      </c>
      <c r="B299">
        <v>406300</v>
      </c>
    </row>
    <row r="300" spans="1:2">
      <c r="A300" t="s">
        <v>1874</v>
      </c>
      <c r="B300">
        <v>406330</v>
      </c>
    </row>
    <row r="301" spans="1:2">
      <c r="A301" t="s">
        <v>1876</v>
      </c>
      <c r="B301">
        <v>406360</v>
      </c>
    </row>
    <row r="302" spans="1:2">
      <c r="A302" t="s">
        <v>1884</v>
      </c>
      <c r="B302">
        <v>406440</v>
      </c>
    </row>
    <row r="303" spans="1:2">
      <c r="A303" t="s">
        <v>1889</v>
      </c>
      <c r="B303">
        <v>406510</v>
      </c>
    </row>
    <row r="304" spans="1:2">
      <c r="A304" t="s">
        <v>1628</v>
      </c>
      <c r="B304">
        <v>406580</v>
      </c>
    </row>
    <row r="305" spans="1:2">
      <c r="A305" t="s">
        <v>1898</v>
      </c>
      <c r="B305">
        <v>406630</v>
      </c>
    </row>
    <row r="306" spans="1:2">
      <c r="A306" t="s">
        <v>1900</v>
      </c>
      <c r="B306">
        <v>406730</v>
      </c>
    </row>
    <row r="307" spans="1:2">
      <c r="A307" t="s">
        <v>1934</v>
      </c>
      <c r="B307">
        <v>406740</v>
      </c>
    </row>
    <row r="308" spans="1:2">
      <c r="A308" t="s">
        <v>1906</v>
      </c>
      <c r="B308">
        <v>406780</v>
      </c>
    </row>
    <row r="309" spans="1:2">
      <c r="A309" t="s">
        <v>1907</v>
      </c>
      <c r="B309">
        <v>406810</v>
      </c>
    </row>
    <row r="310" spans="1:2">
      <c r="A310" t="s">
        <v>2409</v>
      </c>
      <c r="B310">
        <v>406850</v>
      </c>
    </row>
    <row r="311" spans="1:2">
      <c r="A311" t="s">
        <v>1911</v>
      </c>
      <c r="B311">
        <v>406870</v>
      </c>
    </row>
    <row r="312" spans="1:2">
      <c r="A312" t="s">
        <v>1912</v>
      </c>
      <c r="B312">
        <v>406900</v>
      </c>
    </row>
    <row r="313" spans="1:2">
      <c r="A313" t="s">
        <v>1930</v>
      </c>
      <c r="B313">
        <v>406960</v>
      </c>
    </row>
    <row r="314" spans="1:2">
      <c r="A314" t="s">
        <v>1916</v>
      </c>
      <c r="B314">
        <v>407020</v>
      </c>
    </row>
    <row r="315" spans="1:2">
      <c r="A315" t="s">
        <v>1917</v>
      </c>
      <c r="B315">
        <v>407080</v>
      </c>
    </row>
    <row r="316" spans="1:2">
      <c r="A316" t="s">
        <v>1919</v>
      </c>
      <c r="B316">
        <v>407130</v>
      </c>
    </row>
    <row r="317" spans="1:2">
      <c r="A317" t="s">
        <v>1922</v>
      </c>
      <c r="B317">
        <v>407170</v>
      </c>
    </row>
    <row r="318" spans="1:2">
      <c r="A318" t="s">
        <v>1921</v>
      </c>
      <c r="B318">
        <v>407200</v>
      </c>
    </row>
    <row r="319" spans="1:2">
      <c r="A319" t="s">
        <v>1923</v>
      </c>
      <c r="B319">
        <v>407240</v>
      </c>
    </row>
    <row r="320" spans="1:2">
      <c r="A320" t="s">
        <v>1925</v>
      </c>
      <c r="B320">
        <v>407300</v>
      </c>
    </row>
    <row r="321" spans="1:2">
      <c r="A321" t="s">
        <v>1931</v>
      </c>
      <c r="B321">
        <v>407380</v>
      </c>
    </row>
    <row r="322" spans="1:2">
      <c r="A322" t="s">
        <v>1933</v>
      </c>
      <c r="B322">
        <v>407430</v>
      </c>
    </row>
    <row r="323" spans="1:2">
      <c r="A323" t="s">
        <v>2410</v>
      </c>
      <c r="B323">
        <v>407500</v>
      </c>
    </row>
    <row r="324" spans="1:2">
      <c r="A324" t="s">
        <v>1938</v>
      </c>
      <c r="B324">
        <v>407570</v>
      </c>
    </row>
    <row r="325" spans="1:2">
      <c r="A325" t="s">
        <v>1944</v>
      </c>
      <c r="B325">
        <v>407630</v>
      </c>
    </row>
    <row r="326" spans="1:2">
      <c r="A326" t="s">
        <v>2411</v>
      </c>
      <c r="B326">
        <v>407680</v>
      </c>
    </row>
    <row r="327" spans="1:2">
      <c r="A327" t="s">
        <v>2412</v>
      </c>
      <c r="B327">
        <v>407700</v>
      </c>
    </row>
    <row r="328" spans="1:2">
      <c r="A328" t="s">
        <v>1688</v>
      </c>
      <c r="B328">
        <v>407750</v>
      </c>
    </row>
    <row r="329" spans="1:2">
      <c r="A329" t="s">
        <v>1951</v>
      </c>
      <c r="B329">
        <v>407770</v>
      </c>
    </row>
    <row r="330" spans="1:2">
      <c r="A330" t="s">
        <v>1954</v>
      </c>
      <c r="B330">
        <v>407820</v>
      </c>
    </row>
    <row r="331" spans="1:2">
      <c r="A331" t="s">
        <v>1956</v>
      </c>
      <c r="B331">
        <v>407860</v>
      </c>
    </row>
    <row r="332" spans="1:2">
      <c r="A332" t="s">
        <v>2413</v>
      </c>
      <c r="B332">
        <v>407890</v>
      </c>
    </row>
    <row r="333" spans="1:2">
      <c r="A333" t="s">
        <v>1959</v>
      </c>
      <c r="B333">
        <v>407920</v>
      </c>
    </row>
    <row r="334" spans="1:2">
      <c r="A334" t="s">
        <v>1965</v>
      </c>
      <c r="B334">
        <v>408020</v>
      </c>
    </row>
    <row r="335" spans="1:2">
      <c r="A335" t="s">
        <v>1966</v>
      </c>
      <c r="B335">
        <v>408080</v>
      </c>
    </row>
    <row r="336" spans="1:2">
      <c r="A336" t="s">
        <v>1968</v>
      </c>
      <c r="B336">
        <v>408130</v>
      </c>
    </row>
    <row r="337" spans="1:2">
      <c r="A337" t="s">
        <v>1973</v>
      </c>
      <c r="B337">
        <v>408170</v>
      </c>
    </row>
    <row r="338" spans="1:2">
      <c r="A338" t="s">
        <v>1974</v>
      </c>
      <c r="B338">
        <v>408230</v>
      </c>
    </row>
    <row r="339" spans="1:2">
      <c r="A339" t="s">
        <v>1979</v>
      </c>
      <c r="B339">
        <v>408280</v>
      </c>
    </row>
    <row r="340" spans="1:2">
      <c r="A340" t="s">
        <v>1982</v>
      </c>
      <c r="B340">
        <v>408310</v>
      </c>
    </row>
    <row r="341" spans="1:2">
      <c r="A341" t="s">
        <v>1983</v>
      </c>
      <c r="B341">
        <v>408340</v>
      </c>
    </row>
    <row r="342" spans="1:2">
      <c r="A342" t="s">
        <v>1985</v>
      </c>
      <c r="B342">
        <v>408410</v>
      </c>
    </row>
    <row r="343" spans="1:2">
      <c r="A343" t="s">
        <v>1852</v>
      </c>
      <c r="B343">
        <v>408430</v>
      </c>
    </row>
    <row r="344" spans="1:2">
      <c r="A344" t="s">
        <v>1750</v>
      </c>
      <c r="B344">
        <v>408460</v>
      </c>
    </row>
    <row r="345" spans="1:2">
      <c r="A345" t="s">
        <v>1987</v>
      </c>
      <c r="B345">
        <v>408490</v>
      </c>
    </row>
    <row r="346" spans="1:2">
      <c r="A346" t="s">
        <v>1988</v>
      </c>
      <c r="B346">
        <v>408520</v>
      </c>
    </row>
    <row r="347" spans="1:2">
      <c r="A347" t="s">
        <v>1990</v>
      </c>
      <c r="B347">
        <v>408550</v>
      </c>
    </row>
    <row r="348" spans="1:2">
      <c r="A348" t="s">
        <v>1991</v>
      </c>
      <c r="B348">
        <v>408600</v>
      </c>
    </row>
    <row r="349" spans="1:2">
      <c r="A349" t="s">
        <v>1995</v>
      </c>
      <c r="B349">
        <v>408640</v>
      </c>
    </row>
    <row r="350" spans="1:2">
      <c r="A350" t="s">
        <v>1996</v>
      </c>
      <c r="B350">
        <v>408680</v>
      </c>
    </row>
    <row r="351" spans="1:2">
      <c r="A351" t="s">
        <v>1997</v>
      </c>
      <c r="B351">
        <v>408800</v>
      </c>
    </row>
    <row r="352" spans="1:2">
      <c r="A352" t="s">
        <v>2414</v>
      </c>
      <c r="B352">
        <v>408820</v>
      </c>
    </row>
    <row r="353" spans="1:2">
      <c r="A353" t="s">
        <v>2001</v>
      </c>
      <c r="B353">
        <v>408850</v>
      </c>
    </row>
    <row r="354" spans="1:2">
      <c r="A354" t="s">
        <v>2002</v>
      </c>
      <c r="B354">
        <v>408880</v>
      </c>
    </row>
    <row r="355" spans="1:2">
      <c r="A355" t="s">
        <v>2007</v>
      </c>
      <c r="B355">
        <v>408910</v>
      </c>
    </row>
    <row r="356" spans="1:2">
      <c r="A356" t="s">
        <v>2333</v>
      </c>
      <c r="B356">
        <v>409030</v>
      </c>
    </row>
    <row r="357" spans="1:2">
      <c r="A357" t="s">
        <v>2011</v>
      </c>
      <c r="B357">
        <v>409060</v>
      </c>
    </row>
    <row r="358" spans="1:2">
      <c r="A358" t="s">
        <v>2395</v>
      </c>
      <c r="B358">
        <v>409090</v>
      </c>
    </row>
    <row r="359" spans="1:2">
      <c r="A359" t="s">
        <v>2014</v>
      </c>
      <c r="B359">
        <v>409120</v>
      </c>
    </row>
    <row r="360" spans="1:2">
      <c r="A360" t="s">
        <v>2016</v>
      </c>
      <c r="B360">
        <v>409160</v>
      </c>
    </row>
    <row r="361" spans="1:2">
      <c r="A361" t="s">
        <v>2017</v>
      </c>
      <c r="B361">
        <v>409190</v>
      </c>
    </row>
    <row r="362" spans="1:2">
      <c r="A362" t="s">
        <v>2019</v>
      </c>
      <c r="B362">
        <v>409250</v>
      </c>
    </row>
    <row r="363" spans="1:2">
      <c r="A363" t="s">
        <v>2021</v>
      </c>
      <c r="B363">
        <v>409310</v>
      </c>
    </row>
    <row r="364" spans="1:2">
      <c r="A364" t="s">
        <v>2023</v>
      </c>
      <c r="B364">
        <v>409360</v>
      </c>
    </row>
    <row r="365" spans="1:2">
      <c r="A365" t="s">
        <v>2025</v>
      </c>
      <c r="B365">
        <v>409390</v>
      </c>
    </row>
    <row r="366" spans="1:2">
      <c r="A366" t="s">
        <v>2026</v>
      </c>
      <c r="B366">
        <v>409430</v>
      </c>
    </row>
    <row r="367" spans="1:2">
      <c r="A367" t="s">
        <v>2027</v>
      </c>
      <c r="B367">
        <v>409460</v>
      </c>
    </row>
    <row r="368" spans="1:2">
      <c r="A368" t="s">
        <v>2029</v>
      </c>
      <c r="B368">
        <v>409510</v>
      </c>
    </row>
    <row r="369" spans="1:2">
      <c r="A369" t="s">
        <v>2032</v>
      </c>
      <c r="B369">
        <v>409540</v>
      </c>
    </row>
    <row r="370" spans="1:2">
      <c r="A370" t="s">
        <v>2035</v>
      </c>
      <c r="B370">
        <v>409570</v>
      </c>
    </row>
    <row r="371" spans="1:2">
      <c r="A371" t="s">
        <v>2038</v>
      </c>
      <c r="B371">
        <v>409600</v>
      </c>
    </row>
    <row r="372" spans="1:2">
      <c r="A372" t="s">
        <v>2041</v>
      </c>
      <c r="B372">
        <v>409630</v>
      </c>
    </row>
    <row r="373" spans="1:2">
      <c r="A373" t="s">
        <v>509</v>
      </c>
      <c r="B373">
        <v>409731</v>
      </c>
    </row>
    <row r="374" spans="1:2">
      <c r="A374" t="s">
        <v>1942</v>
      </c>
      <c r="B374">
        <v>409733</v>
      </c>
    </row>
    <row r="375" spans="1:2">
      <c r="A375" t="s">
        <v>1525</v>
      </c>
    </row>
    <row r="376" spans="1:2">
      <c r="A376" t="s">
        <v>1530</v>
      </c>
    </row>
    <row r="377" spans="1:2">
      <c r="A377" t="s">
        <v>1613</v>
      </c>
    </row>
    <row r="378" spans="1:2">
      <c r="A378" t="s">
        <v>1658</v>
      </c>
    </row>
    <row r="379" spans="1:2">
      <c r="A379" t="s">
        <v>1689</v>
      </c>
    </row>
    <row r="380" spans="1:2">
      <c r="A380" t="s">
        <v>2446</v>
      </c>
    </row>
    <row r="381" spans="1:2">
      <c r="A381" t="s">
        <v>2369</v>
      </c>
    </row>
    <row r="382" spans="1:2">
      <c r="A382" t="s">
        <v>1738</v>
      </c>
    </row>
    <row r="383" spans="1:2">
      <c r="A383" t="s">
        <v>641</v>
      </c>
    </row>
    <row r="384" spans="1:2">
      <c r="A384" t="s">
        <v>1827</v>
      </c>
    </row>
    <row r="385" spans="1:1">
      <c r="A385" t="s">
        <v>2418</v>
      </c>
    </row>
    <row r="386" spans="1:1">
      <c r="A386" t="s">
        <v>1837</v>
      </c>
    </row>
    <row r="387" spans="1:1">
      <c r="A387" t="s">
        <v>1840</v>
      </c>
    </row>
    <row r="388" spans="1:1">
      <c r="A388" t="s">
        <v>1854</v>
      </c>
    </row>
    <row r="389" spans="1:1">
      <c r="A389" t="s">
        <v>1864</v>
      </c>
    </row>
    <row r="390" spans="1:1">
      <c r="A390" t="s">
        <v>1914</v>
      </c>
    </row>
    <row r="391" spans="1:1">
      <c r="A391" t="s">
        <v>1918</v>
      </c>
    </row>
    <row r="392" spans="1:1">
      <c r="A392" t="s">
        <v>2319</v>
      </c>
    </row>
    <row r="393" spans="1:1">
      <c r="A393" t="s">
        <v>1482</v>
      </c>
    </row>
    <row r="394" spans="1:1">
      <c r="A394" t="s">
        <v>2003</v>
      </c>
    </row>
    <row r="395" spans="1:1">
      <c r="A395" t="s">
        <v>2005</v>
      </c>
    </row>
    <row r="396" spans="1:1">
      <c r="A396" t="s">
        <v>2459</v>
      </c>
    </row>
    <row r="397" spans="1:1">
      <c r="A397" t="s">
        <v>2024</v>
      </c>
    </row>
  </sheetData>
  <autoFilter ref="A1:B397" xr:uid="{DB6542CB-B949-FC49-AFC5-6AA8DE489C04}">
    <sortState xmlns:xlrd2="http://schemas.microsoft.com/office/spreadsheetml/2017/richdata2" ref="A2:B397">
      <sortCondition ref="B1:B39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DAFC-D002-E846-BA63-BB26A70694E2}">
  <sheetPr>
    <tabColor rgb="FFFF0000"/>
  </sheetPr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89B4-1DDE-1445-9850-C734DC084C5C}">
  <sheetPr>
    <tabColor theme="0" tint="-0.249977111117893"/>
  </sheetPr>
  <dimension ref="A1:E6407"/>
  <sheetViews>
    <sheetView topLeftCell="A87" workbookViewId="0">
      <selection activeCell="C23" sqref="C23"/>
    </sheetView>
  </sheetViews>
  <sheetFormatPr baseColWidth="10" defaultRowHeight="16"/>
  <cols>
    <col min="1" max="1" width="5.1640625" bestFit="1" customWidth="1"/>
    <col min="2" max="2" width="13.5" style="3" bestFit="1" customWidth="1"/>
    <col min="3" max="3" width="49.5" bestFit="1" customWidth="1"/>
    <col min="4" max="4" width="19.6640625" style="6" bestFit="1" customWidth="1"/>
    <col min="5" max="5" width="19.6640625" bestFit="1" customWidth="1"/>
  </cols>
  <sheetData>
    <row r="1" spans="1:5" s="1" customFormat="1">
      <c r="A1" s="1" t="s">
        <v>0</v>
      </c>
      <c r="B1" s="2" t="s">
        <v>1</v>
      </c>
      <c r="C1" s="1" t="s">
        <v>2</v>
      </c>
      <c r="D1" s="5" t="s">
        <v>3</v>
      </c>
      <c r="E1" s="1" t="s">
        <v>221</v>
      </c>
    </row>
    <row r="2" spans="1:5">
      <c r="A2">
        <v>2015</v>
      </c>
      <c r="B2" s="3">
        <v>102300</v>
      </c>
      <c r="C2" t="s">
        <v>4</v>
      </c>
      <c r="D2" s="9">
        <v>4565257</v>
      </c>
      <c r="E2">
        <v>4.5515E-3</v>
      </c>
    </row>
    <row r="3" spans="1:5">
      <c r="A3">
        <v>2015</v>
      </c>
      <c r="B3" s="3">
        <v>307810</v>
      </c>
      <c r="C3" t="s">
        <v>5</v>
      </c>
      <c r="D3" s="9">
        <v>478197</v>
      </c>
      <c r="E3">
        <v>4.7679999999999999E-4</v>
      </c>
    </row>
    <row r="4" spans="1:5">
      <c r="A4">
        <v>2015</v>
      </c>
      <c r="B4" s="3">
        <v>307850</v>
      </c>
      <c r="C4" t="s">
        <v>6</v>
      </c>
      <c r="D4" s="9">
        <v>28397</v>
      </c>
      <c r="E4">
        <v>2.83E-5</v>
      </c>
    </row>
    <row r="5" spans="1:5">
      <c r="A5">
        <v>2015</v>
      </c>
      <c r="B5" s="3">
        <v>450540</v>
      </c>
      <c r="C5" t="s">
        <v>7</v>
      </c>
      <c r="D5" s="9">
        <v>263201</v>
      </c>
      <c r="E5">
        <v>2.6239999999999998E-4</v>
      </c>
    </row>
    <row r="6" spans="1:5">
      <c r="A6">
        <v>2015</v>
      </c>
      <c r="B6" s="3">
        <v>307940</v>
      </c>
      <c r="C6" t="s">
        <v>8</v>
      </c>
      <c r="D6" s="9">
        <v>66764</v>
      </c>
      <c r="E6">
        <v>6.6600000000000006E-5</v>
      </c>
    </row>
    <row r="7" spans="1:5">
      <c r="A7">
        <v>2015</v>
      </c>
      <c r="B7" s="3">
        <v>303320</v>
      </c>
      <c r="C7" t="s">
        <v>9</v>
      </c>
      <c r="D7" s="9">
        <v>77520</v>
      </c>
      <c r="E7">
        <v>7.7299999999999995E-5</v>
      </c>
    </row>
    <row r="8" spans="1:5">
      <c r="A8">
        <v>2015</v>
      </c>
      <c r="B8" s="3">
        <v>307490</v>
      </c>
      <c r="C8" t="s">
        <v>10</v>
      </c>
      <c r="D8" s="9">
        <v>134215</v>
      </c>
      <c r="E8">
        <v>1.338E-4</v>
      </c>
    </row>
    <row r="9" spans="1:5">
      <c r="A9">
        <v>2015</v>
      </c>
      <c r="B9" s="3">
        <v>302160</v>
      </c>
      <c r="C9" t="s">
        <v>11</v>
      </c>
      <c r="D9" s="9">
        <v>3407931</v>
      </c>
      <c r="E9">
        <v>3.3976000000000002E-3</v>
      </c>
    </row>
    <row r="10" spans="1:5">
      <c r="A10">
        <v>2015</v>
      </c>
      <c r="B10" s="3">
        <v>300630</v>
      </c>
      <c r="C10" t="s">
        <v>12</v>
      </c>
      <c r="D10" s="9">
        <v>98855</v>
      </c>
      <c r="E10">
        <v>9.8599999999999998E-5</v>
      </c>
    </row>
    <row r="11" spans="1:5">
      <c r="A11">
        <v>2015</v>
      </c>
      <c r="B11" s="3">
        <v>302310</v>
      </c>
      <c r="C11" t="s">
        <v>13</v>
      </c>
      <c r="D11" s="9">
        <v>70606</v>
      </c>
      <c r="E11">
        <v>7.0400000000000004E-5</v>
      </c>
    </row>
    <row r="12" spans="1:5">
      <c r="A12">
        <v>2015</v>
      </c>
      <c r="B12" s="3">
        <v>450150</v>
      </c>
      <c r="C12" t="s">
        <v>14</v>
      </c>
      <c r="D12" s="9">
        <v>212251</v>
      </c>
      <c r="E12">
        <v>2.1159999999999999E-4</v>
      </c>
    </row>
    <row r="13" spans="1:5">
      <c r="A13">
        <v>2015</v>
      </c>
      <c r="B13" s="3">
        <v>302800</v>
      </c>
      <c r="C13" t="s">
        <v>15</v>
      </c>
      <c r="D13" s="9">
        <v>24816</v>
      </c>
      <c r="E13">
        <v>2.4700000000000001E-5</v>
      </c>
    </row>
    <row r="14" spans="1:5">
      <c r="A14">
        <v>2015</v>
      </c>
      <c r="B14" s="3">
        <v>302810</v>
      </c>
      <c r="C14" t="s">
        <v>16</v>
      </c>
      <c r="D14" s="9">
        <v>319835</v>
      </c>
      <c r="E14">
        <v>3.189E-4</v>
      </c>
    </row>
    <row r="15" spans="1:5">
      <c r="A15">
        <v>2015</v>
      </c>
      <c r="B15" s="3">
        <v>300680</v>
      </c>
      <c r="C15" t="s">
        <v>17</v>
      </c>
      <c r="D15" s="9">
        <v>6539212</v>
      </c>
      <c r="E15">
        <v>6.5195000000000001E-3</v>
      </c>
    </row>
    <row r="16" spans="1:5">
      <c r="A16">
        <v>2015</v>
      </c>
      <c r="B16" s="3">
        <v>461070</v>
      </c>
      <c r="C16" t="s">
        <v>18</v>
      </c>
      <c r="D16" s="9">
        <v>54805</v>
      </c>
      <c r="E16">
        <v>5.4599999999999999E-5</v>
      </c>
    </row>
    <row r="17" spans="1:5">
      <c r="A17">
        <v>2015</v>
      </c>
      <c r="B17" s="3">
        <v>450510</v>
      </c>
      <c r="C17" t="s">
        <v>19</v>
      </c>
      <c r="D17" s="9">
        <v>319595</v>
      </c>
      <c r="E17">
        <v>3.1859999999999999E-4</v>
      </c>
    </row>
    <row r="18" spans="1:5">
      <c r="A18">
        <v>2015</v>
      </c>
      <c r="B18" s="3">
        <v>240050</v>
      </c>
      <c r="C18" t="s">
        <v>20</v>
      </c>
      <c r="D18" s="9">
        <v>51434</v>
      </c>
      <c r="E18">
        <v>5.13E-5</v>
      </c>
    </row>
    <row r="19" spans="1:5">
      <c r="A19">
        <v>2015</v>
      </c>
      <c r="B19" s="3">
        <v>308200</v>
      </c>
      <c r="C19" t="s">
        <v>21</v>
      </c>
      <c r="D19" s="9">
        <v>52516</v>
      </c>
      <c r="E19">
        <v>5.24E-5</v>
      </c>
    </row>
    <row r="20" spans="1:5">
      <c r="A20">
        <v>2015</v>
      </c>
      <c r="B20" s="3">
        <v>307860</v>
      </c>
      <c r="C20" t="s">
        <v>22</v>
      </c>
      <c r="D20" s="9">
        <v>44520</v>
      </c>
      <c r="E20">
        <v>4.4400000000000002E-5</v>
      </c>
    </row>
    <row r="21" spans="1:5">
      <c r="A21">
        <v>2015</v>
      </c>
      <c r="B21" s="3">
        <v>450100</v>
      </c>
      <c r="C21" t="s">
        <v>23</v>
      </c>
      <c r="D21" s="9">
        <v>7321963</v>
      </c>
      <c r="E21">
        <v>7.2998000000000004E-3</v>
      </c>
    </row>
    <row r="22" spans="1:5">
      <c r="A22">
        <v>2015</v>
      </c>
      <c r="B22" s="3">
        <v>493810</v>
      </c>
      <c r="C22" t="s">
        <v>24</v>
      </c>
      <c r="D22" s="9">
        <v>211863</v>
      </c>
      <c r="E22">
        <v>2.1120000000000001E-4</v>
      </c>
    </row>
    <row r="23" spans="1:5">
      <c r="A23">
        <v>2015</v>
      </c>
      <c r="B23" s="3">
        <v>410100</v>
      </c>
      <c r="C23" t="s">
        <v>25</v>
      </c>
      <c r="D23" s="9">
        <v>1083072</v>
      </c>
      <c r="E23">
        <v>1.0797999999999999E-3</v>
      </c>
    </row>
    <row r="24" spans="1:5">
      <c r="A24">
        <v>2015</v>
      </c>
      <c r="B24" s="3">
        <v>462420</v>
      </c>
      <c r="C24" t="s">
        <v>26</v>
      </c>
      <c r="D24" s="9">
        <v>12061</v>
      </c>
      <c r="E24">
        <v>1.2E-5</v>
      </c>
    </row>
    <row r="25" spans="1:5">
      <c r="A25">
        <v>2015</v>
      </c>
      <c r="B25" s="3">
        <v>200430</v>
      </c>
      <c r="C25" t="s">
        <v>27</v>
      </c>
      <c r="D25" s="9">
        <v>2048087</v>
      </c>
      <c r="E25">
        <v>2.0419000000000001E-3</v>
      </c>
    </row>
    <row r="26" spans="1:5">
      <c r="A26">
        <v>2015</v>
      </c>
      <c r="B26" s="3">
        <v>302020</v>
      </c>
      <c r="C26" t="s">
        <v>28</v>
      </c>
      <c r="D26" s="9">
        <v>103869</v>
      </c>
      <c r="E26">
        <v>1.036E-4</v>
      </c>
    </row>
    <row r="27" spans="1:5">
      <c r="A27">
        <v>2015</v>
      </c>
      <c r="B27" s="3">
        <v>480090</v>
      </c>
      <c r="C27" t="s">
        <v>29</v>
      </c>
      <c r="D27" s="9">
        <v>34884</v>
      </c>
      <c r="E27">
        <v>3.4799999999999999E-5</v>
      </c>
    </row>
    <row r="28" spans="1:5">
      <c r="A28">
        <v>2015</v>
      </c>
      <c r="B28" s="3">
        <v>101050</v>
      </c>
      <c r="C28" t="s">
        <v>30</v>
      </c>
      <c r="D28" s="9">
        <v>4308228</v>
      </c>
      <c r="E28">
        <v>4.2951999999999999E-3</v>
      </c>
    </row>
    <row r="29" spans="1:5">
      <c r="A29">
        <v>2015</v>
      </c>
      <c r="B29" s="3">
        <v>109010</v>
      </c>
      <c r="C29" t="s">
        <v>31</v>
      </c>
      <c r="D29" s="9">
        <v>21985</v>
      </c>
      <c r="E29">
        <v>2.19E-5</v>
      </c>
    </row>
    <row r="30" spans="1:5">
      <c r="A30">
        <v>2015</v>
      </c>
      <c r="B30" s="3">
        <v>102500</v>
      </c>
      <c r="C30" t="s">
        <v>32</v>
      </c>
      <c r="D30" s="9">
        <v>25251</v>
      </c>
      <c r="E30">
        <v>2.5199999999999999E-5</v>
      </c>
    </row>
    <row r="31" spans="1:5">
      <c r="A31">
        <v>2015</v>
      </c>
      <c r="B31" s="3">
        <v>103890</v>
      </c>
      <c r="C31" t="s">
        <v>33</v>
      </c>
      <c r="D31" s="9">
        <v>16644</v>
      </c>
      <c r="E31">
        <v>1.66E-5</v>
      </c>
    </row>
    <row r="32" spans="1:5">
      <c r="A32">
        <v>2015</v>
      </c>
      <c r="B32" s="3">
        <v>103160</v>
      </c>
      <c r="C32" t="s">
        <v>34</v>
      </c>
      <c r="D32" s="9">
        <v>72885</v>
      </c>
      <c r="E32">
        <v>7.2700000000000005E-5</v>
      </c>
    </row>
    <row r="33" spans="1:5">
      <c r="A33">
        <v>2015</v>
      </c>
      <c r="B33" s="3">
        <v>103020</v>
      </c>
      <c r="C33" t="s">
        <v>35</v>
      </c>
      <c r="D33" s="9">
        <v>62765</v>
      </c>
      <c r="E33">
        <v>6.2600000000000004E-5</v>
      </c>
    </row>
    <row r="34" spans="1:5">
      <c r="A34">
        <v>2015</v>
      </c>
      <c r="B34" s="3">
        <v>103070</v>
      </c>
      <c r="C34" t="s">
        <v>36</v>
      </c>
      <c r="D34" s="9">
        <v>33410</v>
      </c>
      <c r="E34">
        <v>3.3300000000000003E-5</v>
      </c>
    </row>
    <row r="35" spans="1:5">
      <c r="A35">
        <v>2015</v>
      </c>
      <c r="B35" s="3">
        <v>103150</v>
      </c>
      <c r="C35" t="s">
        <v>37</v>
      </c>
      <c r="D35" s="9">
        <v>18895</v>
      </c>
      <c r="E35">
        <v>1.88E-5</v>
      </c>
    </row>
    <row r="36" spans="1:5">
      <c r="A36">
        <v>2015</v>
      </c>
      <c r="B36" s="3">
        <v>103180</v>
      </c>
      <c r="C36" t="s">
        <v>38</v>
      </c>
      <c r="D36" s="9">
        <v>17475</v>
      </c>
      <c r="E36">
        <v>1.7399999999999999E-5</v>
      </c>
    </row>
    <row r="37" spans="1:5">
      <c r="A37">
        <v>2015</v>
      </c>
      <c r="B37" s="3">
        <v>103270</v>
      </c>
      <c r="C37" t="s">
        <v>39</v>
      </c>
      <c r="D37" s="9">
        <v>78339</v>
      </c>
      <c r="E37">
        <v>7.8100000000000001E-5</v>
      </c>
    </row>
    <row r="38" spans="1:5">
      <c r="A38">
        <v>2015</v>
      </c>
      <c r="B38" s="3">
        <v>103350</v>
      </c>
      <c r="C38" t="s">
        <v>40</v>
      </c>
      <c r="D38" s="9">
        <v>51991</v>
      </c>
      <c r="E38">
        <v>5.1799999999999999E-5</v>
      </c>
    </row>
    <row r="39" spans="1:5">
      <c r="A39">
        <v>2015</v>
      </c>
      <c r="B39" s="3">
        <v>103380</v>
      </c>
      <c r="C39" t="s">
        <v>41</v>
      </c>
      <c r="D39" s="9">
        <v>6950</v>
      </c>
      <c r="E39">
        <v>6.9E-6</v>
      </c>
    </row>
    <row r="40" spans="1:5">
      <c r="A40">
        <v>2015</v>
      </c>
      <c r="B40" s="3">
        <v>109310</v>
      </c>
      <c r="C40" t="s">
        <v>42</v>
      </c>
      <c r="D40" s="9">
        <v>45831</v>
      </c>
      <c r="E40">
        <v>4.57E-5</v>
      </c>
    </row>
    <row r="41" spans="1:5">
      <c r="A41">
        <v>2015</v>
      </c>
      <c r="B41" s="3">
        <v>109060</v>
      </c>
      <c r="C41" t="s">
        <v>43</v>
      </c>
      <c r="D41" s="9">
        <v>17500</v>
      </c>
      <c r="E41">
        <v>1.7399999999999999E-5</v>
      </c>
    </row>
    <row r="42" spans="1:5">
      <c r="A42">
        <v>2015</v>
      </c>
      <c r="B42" s="3">
        <v>105700</v>
      </c>
      <c r="C42" t="s">
        <v>1370</v>
      </c>
      <c r="D42" s="9">
        <v>47042</v>
      </c>
      <c r="E42">
        <v>4.6900000000000002E-5</v>
      </c>
    </row>
    <row r="43" spans="1:5">
      <c r="A43">
        <v>2015</v>
      </c>
      <c r="B43" s="3">
        <v>109140</v>
      </c>
      <c r="C43" t="s">
        <v>44</v>
      </c>
      <c r="D43" s="9">
        <v>31850</v>
      </c>
      <c r="E43">
        <v>3.18E-5</v>
      </c>
    </row>
    <row r="44" spans="1:5">
      <c r="A44">
        <v>2015</v>
      </c>
      <c r="B44" s="3">
        <v>103460</v>
      </c>
      <c r="C44" t="s">
        <v>45</v>
      </c>
      <c r="D44" s="9">
        <v>10634</v>
      </c>
      <c r="E44">
        <v>1.06E-5</v>
      </c>
    </row>
    <row r="45" spans="1:5">
      <c r="A45">
        <v>2015</v>
      </c>
      <c r="B45" s="3">
        <v>109290</v>
      </c>
      <c r="C45" t="s">
        <v>46</v>
      </c>
      <c r="D45" s="9">
        <v>23409</v>
      </c>
      <c r="E45">
        <v>2.3300000000000001E-5</v>
      </c>
    </row>
    <row r="46" spans="1:5">
      <c r="A46">
        <v>2015</v>
      </c>
      <c r="B46" s="3">
        <v>103710</v>
      </c>
      <c r="C46" t="s">
        <v>47</v>
      </c>
      <c r="D46" s="9">
        <v>272412</v>
      </c>
      <c r="E46">
        <v>2.7159999999999999E-4</v>
      </c>
    </row>
    <row r="47" spans="1:5">
      <c r="A47">
        <v>2015</v>
      </c>
      <c r="B47" s="3">
        <v>103240</v>
      </c>
      <c r="C47" t="s">
        <v>48</v>
      </c>
      <c r="D47" s="9">
        <v>13309</v>
      </c>
      <c r="E47">
        <v>1.33E-5</v>
      </c>
    </row>
    <row r="48" spans="1:5">
      <c r="A48">
        <v>2015</v>
      </c>
      <c r="B48" s="3">
        <v>103750</v>
      </c>
      <c r="C48" t="s">
        <v>49</v>
      </c>
      <c r="D48" s="9">
        <v>12118</v>
      </c>
      <c r="E48">
        <v>1.2099999999999999E-5</v>
      </c>
    </row>
    <row r="49" spans="1:5">
      <c r="A49">
        <v>2015</v>
      </c>
      <c r="B49" s="3">
        <v>103770</v>
      </c>
      <c r="C49" t="s">
        <v>50</v>
      </c>
      <c r="D49" s="9">
        <v>35044</v>
      </c>
      <c r="E49">
        <v>3.4900000000000001E-5</v>
      </c>
    </row>
    <row r="50" spans="1:5">
      <c r="A50">
        <v>2015</v>
      </c>
      <c r="B50" s="3">
        <v>103820</v>
      </c>
      <c r="C50" t="s">
        <v>51</v>
      </c>
      <c r="D50" s="9">
        <v>135512</v>
      </c>
      <c r="E50">
        <v>1.351E-4</v>
      </c>
    </row>
    <row r="51" spans="1:5">
      <c r="A51">
        <v>2015</v>
      </c>
      <c r="B51" s="3">
        <v>103850</v>
      </c>
      <c r="C51" t="s">
        <v>52</v>
      </c>
      <c r="D51" s="9">
        <v>6429</v>
      </c>
      <c r="E51">
        <v>6.3999999999999997E-6</v>
      </c>
    </row>
    <row r="52" spans="1:5">
      <c r="A52">
        <v>2015</v>
      </c>
      <c r="B52" s="3">
        <v>103860</v>
      </c>
      <c r="C52" t="s">
        <v>53</v>
      </c>
      <c r="D52" s="9">
        <v>20367</v>
      </c>
      <c r="E52">
        <v>2.0299999999999999E-5</v>
      </c>
    </row>
    <row r="53" spans="1:5">
      <c r="A53">
        <v>2015</v>
      </c>
      <c r="B53" s="3">
        <v>104100</v>
      </c>
      <c r="C53" t="s">
        <v>54</v>
      </c>
      <c r="D53" s="9">
        <v>204861</v>
      </c>
      <c r="E53">
        <v>2.042E-4</v>
      </c>
    </row>
    <row r="54" spans="1:5">
      <c r="A54">
        <v>2015</v>
      </c>
      <c r="B54" s="3">
        <v>101880</v>
      </c>
      <c r="C54" t="s">
        <v>55</v>
      </c>
      <c r="D54" s="9">
        <v>18373</v>
      </c>
      <c r="E54">
        <v>1.8300000000000001E-5</v>
      </c>
    </row>
    <row r="55" spans="1:5">
      <c r="A55">
        <v>2015</v>
      </c>
      <c r="B55" s="3">
        <v>103960</v>
      </c>
      <c r="C55" t="s">
        <v>56</v>
      </c>
      <c r="D55" s="9">
        <v>89213</v>
      </c>
      <c r="E55">
        <v>8.8900000000000006E-5</v>
      </c>
    </row>
    <row r="56" spans="1:5">
      <c r="A56">
        <v>2015</v>
      </c>
      <c r="B56" s="3">
        <v>103830</v>
      </c>
      <c r="C56" t="s">
        <v>111</v>
      </c>
      <c r="D56" s="9">
        <v>20761</v>
      </c>
      <c r="E56">
        <v>2.0699999999999998E-5</v>
      </c>
    </row>
    <row r="57" spans="1:5">
      <c r="A57">
        <v>2015</v>
      </c>
      <c r="B57" s="3">
        <v>109220</v>
      </c>
      <c r="C57" t="s">
        <v>112</v>
      </c>
      <c r="D57" s="9"/>
      <c r="E57">
        <v>0</v>
      </c>
    </row>
    <row r="58" spans="1:5">
      <c r="A58">
        <v>2015</v>
      </c>
      <c r="B58" s="3">
        <v>495900</v>
      </c>
      <c r="C58" t="s">
        <v>113</v>
      </c>
      <c r="D58" s="9">
        <v>58187</v>
      </c>
      <c r="E58">
        <v>5.8E-5</v>
      </c>
    </row>
    <row r="59" spans="1:5">
      <c r="A59">
        <v>2015</v>
      </c>
      <c r="B59" s="3">
        <v>102100</v>
      </c>
      <c r="C59" t="s">
        <v>114</v>
      </c>
      <c r="D59" s="9">
        <v>87962</v>
      </c>
      <c r="E59">
        <v>8.7700000000000004E-5</v>
      </c>
    </row>
    <row r="60" spans="1:5">
      <c r="A60">
        <v>2015</v>
      </c>
      <c r="B60" s="3">
        <v>109030</v>
      </c>
      <c r="C60" t="s">
        <v>115</v>
      </c>
      <c r="D60" s="9">
        <v>36425</v>
      </c>
      <c r="E60">
        <v>3.6300000000000001E-5</v>
      </c>
    </row>
    <row r="61" spans="1:5">
      <c r="A61">
        <v>2015</v>
      </c>
      <c r="B61" s="3">
        <v>104820</v>
      </c>
      <c r="C61" t="s">
        <v>116</v>
      </c>
      <c r="D61" s="9">
        <v>56835</v>
      </c>
      <c r="E61">
        <v>5.6700000000000003E-5</v>
      </c>
    </row>
    <row r="62" spans="1:5">
      <c r="A62">
        <v>2015</v>
      </c>
      <c r="B62" s="3">
        <v>103250</v>
      </c>
      <c r="C62" t="s">
        <v>117</v>
      </c>
      <c r="D62" s="9">
        <v>1632964</v>
      </c>
      <c r="E62">
        <v>1.6280000000000001E-3</v>
      </c>
    </row>
    <row r="63" spans="1:5">
      <c r="A63">
        <v>2015</v>
      </c>
      <c r="B63" s="3">
        <v>109270</v>
      </c>
      <c r="C63" t="s">
        <v>118</v>
      </c>
      <c r="D63" s="9">
        <v>105805</v>
      </c>
      <c r="E63">
        <v>1.055E-4</v>
      </c>
    </row>
    <row r="64" spans="1:5">
      <c r="A64">
        <v>2015</v>
      </c>
      <c r="B64" s="3">
        <v>497380</v>
      </c>
      <c r="C64" t="s">
        <v>119</v>
      </c>
      <c r="D64" s="9">
        <v>89528</v>
      </c>
      <c r="E64">
        <v>8.9300000000000002E-5</v>
      </c>
    </row>
    <row r="65" spans="1:5">
      <c r="A65">
        <v>2015</v>
      </c>
      <c r="B65" s="3">
        <v>101140</v>
      </c>
      <c r="C65" t="s">
        <v>120</v>
      </c>
      <c r="D65" s="9">
        <v>348019</v>
      </c>
      <c r="E65">
        <v>3.4699999999999998E-4</v>
      </c>
    </row>
    <row r="66" spans="1:5">
      <c r="A66">
        <v>2015</v>
      </c>
      <c r="B66" s="3">
        <v>101150</v>
      </c>
      <c r="C66" t="s">
        <v>121</v>
      </c>
      <c r="D66" s="9">
        <v>161378</v>
      </c>
      <c r="E66">
        <v>1.6090000000000001E-4</v>
      </c>
    </row>
    <row r="67" spans="1:5">
      <c r="A67">
        <v>2015</v>
      </c>
      <c r="B67" s="3">
        <v>101190</v>
      </c>
      <c r="C67" t="s">
        <v>122</v>
      </c>
      <c r="D67" s="9">
        <v>151115</v>
      </c>
      <c r="E67">
        <v>1.507E-4</v>
      </c>
    </row>
    <row r="68" spans="1:5">
      <c r="A68">
        <v>2015</v>
      </c>
      <c r="B68" s="3">
        <v>100000</v>
      </c>
      <c r="C68" t="s">
        <v>123</v>
      </c>
      <c r="D68" s="9">
        <v>3731576</v>
      </c>
      <c r="E68">
        <v>3.7203000000000002E-3</v>
      </c>
    </row>
    <row r="69" spans="1:5">
      <c r="A69">
        <v>2015</v>
      </c>
      <c r="B69" s="3">
        <v>103880</v>
      </c>
      <c r="C69" t="s">
        <v>124</v>
      </c>
      <c r="D69" s="9">
        <v>143598</v>
      </c>
      <c r="E69">
        <v>1.4320000000000001E-4</v>
      </c>
    </row>
    <row r="70" spans="1:5">
      <c r="A70">
        <v>2015</v>
      </c>
      <c r="B70" s="3">
        <v>103660</v>
      </c>
      <c r="C70" t="s">
        <v>125</v>
      </c>
      <c r="D70" s="9">
        <v>134830</v>
      </c>
      <c r="E70">
        <v>1.3439999999999999E-4</v>
      </c>
    </row>
    <row r="71" spans="1:5">
      <c r="A71">
        <v>2015</v>
      </c>
      <c r="B71" s="3">
        <v>103060</v>
      </c>
      <c r="C71" t="s">
        <v>126</v>
      </c>
      <c r="D71" s="9">
        <v>869767</v>
      </c>
      <c r="E71">
        <v>8.6709999999999999E-4</v>
      </c>
    </row>
    <row r="72" spans="1:5">
      <c r="A72">
        <v>2015</v>
      </c>
      <c r="B72" s="3">
        <v>105200</v>
      </c>
      <c r="C72" t="s">
        <v>127</v>
      </c>
      <c r="D72" s="9">
        <v>4926885</v>
      </c>
      <c r="E72">
        <v>4.9119999999999997E-3</v>
      </c>
    </row>
    <row r="73" spans="1:5">
      <c r="A73">
        <v>2015</v>
      </c>
      <c r="B73" s="3">
        <v>102200</v>
      </c>
      <c r="C73" t="s">
        <v>128</v>
      </c>
      <c r="D73" s="9">
        <v>42188482</v>
      </c>
      <c r="E73">
        <v>4.2061000000000001E-2</v>
      </c>
    </row>
    <row r="74" spans="1:5">
      <c r="A74">
        <v>2015</v>
      </c>
      <c r="B74" s="3">
        <v>104550</v>
      </c>
      <c r="C74" t="s">
        <v>129</v>
      </c>
      <c r="D74" s="9">
        <v>3473565</v>
      </c>
      <c r="E74">
        <v>3.4631000000000002E-3</v>
      </c>
    </row>
    <row r="75" spans="1:5">
      <c r="A75">
        <v>2015</v>
      </c>
      <c r="B75" s="3">
        <v>105360</v>
      </c>
      <c r="C75" t="s">
        <v>130</v>
      </c>
      <c r="D75" s="9">
        <v>1731251</v>
      </c>
      <c r="E75">
        <v>1.7260000000000001E-3</v>
      </c>
    </row>
    <row r="76" spans="1:5">
      <c r="A76">
        <v>2015</v>
      </c>
      <c r="B76" s="3">
        <v>107100</v>
      </c>
      <c r="C76" t="s">
        <v>131</v>
      </c>
      <c r="D76" s="9">
        <v>2405362</v>
      </c>
      <c r="E76">
        <v>2.3980999999999998E-3</v>
      </c>
    </row>
    <row r="77" spans="1:5">
      <c r="A77">
        <v>2015</v>
      </c>
      <c r="B77" s="3">
        <v>103120</v>
      </c>
      <c r="C77" t="s">
        <v>132</v>
      </c>
      <c r="D77" s="9">
        <v>249707</v>
      </c>
      <c r="E77">
        <v>2.4899999999999998E-4</v>
      </c>
    </row>
    <row r="78" spans="1:5">
      <c r="A78">
        <v>2015</v>
      </c>
      <c r="B78" s="3">
        <v>107200</v>
      </c>
      <c r="C78" t="s">
        <v>133</v>
      </c>
      <c r="D78" s="9">
        <v>2617769</v>
      </c>
      <c r="E78">
        <v>2.6099000000000001E-3</v>
      </c>
    </row>
    <row r="79" spans="1:5">
      <c r="A79">
        <v>2015</v>
      </c>
      <c r="B79" s="3">
        <v>109050</v>
      </c>
      <c r="C79" t="s">
        <v>134</v>
      </c>
      <c r="D79" s="9">
        <v>594468</v>
      </c>
      <c r="E79">
        <v>5.9270000000000004E-4</v>
      </c>
    </row>
    <row r="80" spans="1:5">
      <c r="A80">
        <v>2015</v>
      </c>
      <c r="B80" s="3">
        <v>102350</v>
      </c>
      <c r="C80" t="s">
        <v>135</v>
      </c>
      <c r="D80" s="9">
        <v>8506139</v>
      </c>
      <c r="E80">
        <v>8.4804000000000008E-3</v>
      </c>
    </row>
    <row r="81" spans="1:5">
      <c r="A81">
        <v>2015</v>
      </c>
      <c r="B81" s="3">
        <v>109210</v>
      </c>
      <c r="C81" t="s">
        <v>136</v>
      </c>
      <c r="D81" s="9">
        <v>89189</v>
      </c>
      <c r="E81">
        <v>8.8900000000000006E-5</v>
      </c>
    </row>
    <row r="82" spans="1:5">
      <c r="A82">
        <v>2015</v>
      </c>
      <c r="B82" s="3">
        <v>109160</v>
      </c>
      <c r="C82" t="s">
        <v>137</v>
      </c>
      <c r="D82" s="9">
        <v>367358</v>
      </c>
      <c r="E82">
        <v>3.6620000000000001E-4</v>
      </c>
    </row>
    <row r="83" spans="1:5">
      <c r="A83">
        <v>2015</v>
      </c>
      <c r="B83" s="3">
        <v>103530</v>
      </c>
      <c r="C83" t="s">
        <v>138</v>
      </c>
      <c r="D83" s="9">
        <v>487082</v>
      </c>
      <c r="E83">
        <v>4.8559999999999999E-4</v>
      </c>
    </row>
    <row r="84" spans="1:5">
      <c r="A84">
        <v>2015</v>
      </c>
      <c r="B84" s="3">
        <v>105220</v>
      </c>
      <c r="C84" t="s">
        <v>139</v>
      </c>
      <c r="D84" s="9">
        <v>572647</v>
      </c>
      <c r="E84">
        <v>5.7090000000000005E-4</v>
      </c>
    </row>
    <row r="85" spans="1:5">
      <c r="A85">
        <v>2015</v>
      </c>
      <c r="B85" s="3">
        <v>107400</v>
      </c>
      <c r="C85" t="s">
        <v>140</v>
      </c>
      <c r="D85" s="9">
        <v>684728</v>
      </c>
      <c r="E85">
        <v>6.8269999999999995E-4</v>
      </c>
    </row>
    <row r="86" spans="1:5">
      <c r="A86">
        <v>2015</v>
      </c>
      <c r="B86" s="3">
        <v>103570</v>
      </c>
      <c r="C86" t="s">
        <v>141</v>
      </c>
      <c r="D86" s="9">
        <v>147223</v>
      </c>
      <c r="E86">
        <v>1.4679999999999999E-4</v>
      </c>
    </row>
    <row r="87" spans="1:5">
      <c r="A87">
        <v>2015</v>
      </c>
      <c r="B87" s="3">
        <v>105800</v>
      </c>
      <c r="C87" t="s">
        <v>142</v>
      </c>
      <c r="D87" s="9">
        <v>4311449</v>
      </c>
      <c r="E87">
        <v>4.2984E-3</v>
      </c>
    </row>
    <row r="88" spans="1:5">
      <c r="A88">
        <v>2015</v>
      </c>
      <c r="B88" s="3">
        <v>103900</v>
      </c>
      <c r="C88" t="s">
        <v>143</v>
      </c>
      <c r="D88" s="9">
        <v>140949</v>
      </c>
      <c r="E88">
        <v>1.405E-4</v>
      </c>
    </row>
    <row r="89" spans="1:5">
      <c r="A89">
        <v>2015</v>
      </c>
      <c r="B89" s="3">
        <v>101790</v>
      </c>
      <c r="C89" t="s">
        <v>144</v>
      </c>
      <c r="D89" s="9">
        <v>3650012</v>
      </c>
      <c r="E89">
        <v>3.6389999999999999E-3</v>
      </c>
    </row>
    <row r="90" spans="1:5">
      <c r="A90">
        <v>2015</v>
      </c>
      <c r="B90" s="3">
        <v>106100</v>
      </c>
      <c r="C90" t="s">
        <v>145</v>
      </c>
      <c r="D90" s="9">
        <v>20736712</v>
      </c>
      <c r="E90">
        <v>2.0674100000000001E-2</v>
      </c>
    </row>
    <row r="91" spans="1:5">
      <c r="A91">
        <v>2015</v>
      </c>
      <c r="B91" s="3">
        <v>102400</v>
      </c>
      <c r="C91" t="s">
        <v>146</v>
      </c>
      <c r="D91" s="9">
        <v>1619143</v>
      </c>
      <c r="E91">
        <v>1.6142000000000001E-3</v>
      </c>
    </row>
    <row r="92" spans="1:5">
      <c r="A92">
        <v>2015</v>
      </c>
      <c r="B92" s="3">
        <v>107900</v>
      </c>
      <c r="C92" t="s">
        <v>147</v>
      </c>
      <c r="D92" s="9">
        <v>746822</v>
      </c>
      <c r="E92">
        <v>7.4459999999999999E-4</v>
      </c>
    </row>
    <row r="93" spans="1:5">
      <c r="A93">
        <v>2015</v>
      </c>
      <c r="B93" s="3">
        <v>103010</v>
      </c>
      <c r="C93" t="s">
        <v>148</v>
      </c>
      <c r="D93" s="9">
        <v>142388</v>
      </c>
      <c r="E93">
        <v>1.4200000000000001E-4</v>
      </c>
    </row>
    <row r="94" spans="1:5">
      <c r="A94">
        <v>2015</v>
      </c>
      <c r="B94" s="3">
        <v>109230</v>
      </c>
      <c r="C94" t="s">
        <v>149</v>
      </c>
      <c r="D94" s="9">
        <v>951972</v>
      </c>
      <c r="E94">
        <v>9.4910000000000003E-4</v>
      </c>
    </row>
    <row r="95" spans="1:5">
      <c r="A95">
        <v>2015</v>
      </c>
      <c r="B95" s="3">
        <v>101100</v>
      </c>
      <c r="C95" t="s">
        <v>150</v>
      </c>
      <c r="D95" s="9">
        <v>193310</v>
      </c>
      <c r="E95">
        <v>1.9269999999999999E-4</v>
      </c>
    </row>
    <row r="96" spans="1:5">
      <c r="A96">
        <v>2015</v>
      </c>
      <c r="B96" s="3">
        <v>107300</v>
      </c>
      <c r="C96" t="s">
        <v>151</v>
      </c>
      <c r="D96" s="9">
        <v>198090</v>
      </c>
      <c r="E96">
        <v>1.975E-4</v>
      </c>
    </row>
    <row r="97" spans="1:5">
      <c r="A97">
        <v>2015</v>
      </c>
      <c r="B97" s="3">
        <v>101400</v>
      </c>
      <c r="C97" t="s">
        <v>152</v>
      </c>
      <c r="D97" s="9">
        <v>746406</v>
      </c>
      <c r="E97">
        <v>7.4410000000000003E-4</v>
      </c>
    </row>
    <row r="98" spans="1:5">
      <c r="A98">
        <v>2015</v>
      </c>
      <c r="B98" s="3">
        <v>496050</v>
      </c>
      <c r="C98" t="s">
        <v>153</v>
      </c>
      <c r="D98" s="9">
        <v>39081</v>
      </c>
      <c r="E98">
        <v>3.8999999999999999E-5</v>
      </c>
    </row>
    <row r="99" spans="1:5">
      <c r="A99">
        <v>2015</v>
      </c>
      <c r="B99" s="3">
        <v>104920</v>
      </c>
      <c r="C99" t="s">
        <v>154</v>
      </c>
      <c r="D99" s="9">
        <v>173717</v>
      </c>
      <c r="E99">
        <v>1.7320000000000001E-4</v>
      </c>
    </row>
    <row r="100" spans="1:5">
      <c r="A100">
        <v>2015</v>
      </c>
      <c r="B100" s="3">
        <v>103200</v>
      </c>
      <c r="C100" t="s">
        <v>155</v>
      </c>
      <c r="D100" s="9"/>
      <c r="E100">
        <v>0</v>
      </c>
    </row>
    <row r="101" spans="1:5">
      <c r="A101">
        <v>2015</v>
      </c>
      <c r="B101" s="3">
        <v>101520</v>
      </c>
      <c r="C101" t="s">
        <v>156</v>
      </c>
      <c r="D101" s="9">
        <v>650833</v>
      </c>
      <c r="E101">
        <v>6.489E-4</v>
      </c>
    </row>
    <row r="102" spans="1:5">
      <c r="A102">
        <v>2015</v>
      </c>
      <c r="B102" s="3">
        <v>109150</v>
      </c>
      <c r="C102" t="s">
        <v>157</v>
      </c>
      <c r="D102" s="9">
        <v>27218</v>
      </c>
      <c r="E102">
        <v>2.7100000000000001E-5</v>
      </c>
    </row>
    <row r="103" spans="1:5">
      <c r="A103">
        <v>2015</v>
      </c>
      <c r="B103" s="3">
        <v>103500</v>
      </c>
      <c r="C103" t="s">
        <v>158</v>
      </c>
      <c r="D103" s="9">
        <v>1134350</v>
      </c>
      <c r="E103">
        <v>1.1309E-3</v>
      </c>
    </row>
    <row r="104" spans="1:5">
      <c r="A104">
        <v>2015</v>
      </c>
      <c r="B104" s="3">
        <v>495300</v>
      </c>
      <c r="C104" t="s">
        <v>159</v>
      </c>
      <c r="D104" s="9">
        <v>148014</v>
      </c>
      <c r="E104">
        <v>1.4760000000000001E-4</v>
      </c>
    </row>
    <row r="105" spans="1:5">
      <c r="A105">
        <v>2015</v>
      </c>
      <c r="B105" s="3">
        <v>101540</v>
      </c>
      <c r="C105" t="s">
        <v>160</v>
      </c>
      <c r="D105" s="9">
        <v>161433</v>
      </c>
      <c r="E105">
        <v>1.6090000000000001E-4</v>
      </c>
    </row>
    <row r="106" spans="1:5">
      <c r="A106">
        <v>2015</v>
      </c>
      <c r="B106" s="3">
        <v>101470</v>
      </c>
      <c r="C106" t="s">
        <v>161</v>
      </c>
      <c r="D106" s="9"/>
      <c r="E106">
        <v>0</v>
      </c>
    </row>
    <row r="107" spans="1:5">
      <c r="A107">
        <v>2015</v>
      </c>
      <c r="B107" s="3">
        <v>101530</v>
      </c>
      <c r="C107" t="s">
        <v>162</v>
      </c>
      <c r="D107" s="9">
        <v>335529</v>
      </c>
      <c r="E107">
        <v>3.345E-4</v>
      </c>
    </row>
    <row r="108" spans="1:5">
      <c r="A108">
        <v>2015</v>
      </c>
      <c r="B108" s="3">
        <v>103610</v>
      </c>
      <c r="C108" t="s">
        <v>163</v>
      </c>
      <c r="D108" s="9">
        <v>421061</v>
      </c>
      <c r="E108">
        <v>4.1980000000000001E-4</v>
      </c>
    </row>
    <row r="109" spans="1:5">
      <c r="A109">
        <v>2015</v>
      </c>
      <c r="B109" s="3">
        <v>103620</v>
      </c>
      <c r="C109" t="s">
        <v>164</v>
      </c>
      <c r="D109" s="9">
        <v>263790</v>
      </c>
      <c r="E109">
        <v>2.63E-4</v>
      </c>
    </row>
    <row r="110" spans="1:5">
      <c r="A110">
        <v>2015</v>
      </c>
      <c r="B110" s="3">
        <v>495090</v>
      </c>
      <c r="C110" t="s">
        <v>165</v>
      </c>
      <c r="D110" s="9">
        <v>59547</v>
      </c>
      <c r="E110">
        <v>5.94E-5</v>
      </c>
    </row>
    <row r="111" spans="1:5">
      <c r="A111">
        <v>2015</v>
      </c>
      <c r="B111" s="3">
        <v>103680</v>
      </c>
      <c r="C111" t="s">
        <v>222</v>
      </c>
      <c r="D111" s="9">
        <v>8905</v>
      </c>
      <c r="E111">
        <v>8.8999999999999995E-6</v>
      </c>
    </row>
    <row r="112" spans="1:5">
      <c r="A112">
        <v>2015</v>
      </c>
      <c r="B112" s="3">
        <v>109040</v>
      </c>
      <c r="C112" t="s">
        <v>223</v>
      </c>
      <c r="D112" s="9">
        <v>7708</v>
      </c>
      <c r="E112">
        <v>7.7000000000000008E-6</v>
      </c>
    </row>
    <row r="113" spans="1:5">
      <c r="A113">
        <v>2015</v>
      </c>
      <c r="B113" s="3">
        <v>101590</v>
      </c>
      <c r="C113" t="s">
        <v>224</v>
      </c>
      <c r="D113" s="9">
        <v>1376489</v>
      </c>
      <c r="E113">
        <v>1.3722999999999999E-3</v>
      </c>
    </row>
    <row r="114" spans="1:5">
      <c r="A114">
        <v>2015</v>
      </c>
      <c r="B114" s="3">
        <v>101410</v>
      </c>
      <c r="C114" t="s">
        <v>225</v>
      </c>
      <c r="D114" s="9"/>
      <c r="E114">
        <v>0</v>
      </c>
    </row>
    <row r="115" spans="1:5">
      <c r="A115">
        <v>2015</v>
      </c>
      <c r="B115" s="3">
        <v>103940</v>
      </c>
      <c r="C115" t="s">
        <v>226</v>
      </c>
      <c r="D115" s="9">
        <v>77743</v>
      </c>
      <c r="E115">
        <v>7.75E-5</v>
      </c>
    </row>
    <row r="116" spans="1:5">
      <c r="A116">
        <v>2015</v>
      </c>
      <c r="B116" s="3">
        <v>101430</v>
      </c>
      <c r="C116" t="s">
        <v>227</v>
      </c>
      <c r="D116" s="9">
        <v>183598</v>
      </c>
      <c r="E116">
        <v>1.83E-4</v>
      </c>
    </row>
    <row r="117" spans="1:5">
      <c r="A117">
        <v>2015</v>
      </c>
      <c r="B117" s="3">
        <v>109070</v>
      </c>
      <c r="C117" t="s">
        <v>228</v>
      </c>
      <c r="D117" s="9">
        <v>106558</v>
      </c>
      <c r="E117">
        <v>1.0620000000000001E-4</v>
      </c>
    </row>
    <row r="118" spans="1:5">
      <c r="A118">
        <v>2015</v>
      </c>
      <c r="B118" s="3">
        <v>101030</v>
      </c>
      <c r="C118" t="s">
        <v>229</v>
      </c>
      <c r="D118" s="9">
        <v>11736</v>
      </c>
      <c r="E118">
        <v>1.17E-5</v>
      </c>
    </row>
    <row r="119" spans="1:5">
      <c r="A119">
        <v>2015</v>
      </c>
      <c r="B119" s="3">
        <v>102700</v>
      </c>
      <c r="C119" t="s">
        <v>230</v>
      </c>
      <c r="D119" s="9">
        <v>322297</v>
      </c>
      <c r="E119">
        <v>3.213E-4</v>
      </c>
    </row>
    <row r="120" spans="1:5">
      <c r="A120">
        <v>2015</v>
      </c>
      <c r="B120" s="3">
        <v>109990</v>
      </c>
      <c r="C120" t="s">
        <v>231</v>
      </c>
      <c r="D120" s="9">
        <v>59443</v>
      </c>
      <c r="E120">
        <v>5.9299999999999998E-5</v>
      </c>
    </row>
    <row r="121" spans="1:5">
      <c r="A121">
        <v>2015</v>
      </c>
      <c r="B121" s="3">
        <v>103870</v>
      </c>
      <c r="C121" t="s">
        <v>232</v>
      </c>
      <c r="D121" s="9">
        <v>28092</v>
      </c>
      <c r="E121">
        <v>2.8E-5</v>
      </c>
    </row>
    <row r="122" spans="1:5">
      <c r="A122">
        <v>2015</v>
      </c>
      <c r="B122" s="3">
        <v>496750</v>
      </c>
      <c r="C122" t="s">
        <v>233</v>
      </c>
      <c r="D122" s="9">
        <v>42349</v>
      </c>
      <c r="E122">
        <v>4.2200000000000003E-5</v>
      </c>
    </row>
    <row r="123" spans="1:5">
      <c r="A123">
        <v>2015</v>
      </c>
      <c r="B123" s="3">
        <v>103100</v>
      </c>
      <c r="C123" t="s">
        <v>234</v>
      </c>
      <c r="D123" s="9">
        <v>134783</v>
      </c>
      <c r="E123">
        <v>1.3439999999999999E-4</v>
      </c>
    </row>
    <row r="124" spans="1:5">
      <c r="A124">
        <v>2015</v>
      </c>
      <c r="B124" s="3">
        <v>103220</v>
      </c>
      <c r="C124" t="s">
        <v>235</v>
      </c>
      <c r="D124" s="9">
        <v>467809</v>
      </c>
      <c r="E124">
        <v>4.6640000000000001E-4</v>
      </c>
    </row>
    <row r="125" spans="1:5">
      <c r="A125">
        <v>2015</v>
      </c>
      <c r="B125" s="3">
        <v>103260</v>
      </c>
      <c r="C125" t="s">
        <v>236</v>
      </c>
      <c r="D125" s="9">
        <v>56288</v>
      </c>
      <c r="E125">
        <v>5.6100000000000002E-5</v>
      </c>
    </row>
    <row r="126" spans="1:5">
      <c r="A126">
        <v>2015</v>
      </c>
      <c r="B126" s="3">
        <v>109080</v>
      </c>
      <c r="C126" t="s">
        <v>237</v>
      </c>
      <c r="D126" s="9">
        <v>100148</v>
      </c>
      <c r="E126">
        <v>9.98E-5</v>
      </c>
    </row>
    <row r="127" spans="1:5">
      <c r="A127">
        <v>2015</v>
      </c>
      <c r="B127" s="3">
        <v>306890</v>
      </c>
      <c r="C127" t="s">
        <v>238</v>
      </c>
      <c r="D127" s="9">
        <v>322471</v>
      </c>
      <c r="E127">
        <v>3.2150000000000001E-4</v>
      </c>
    </row>
    <row r="128" spans="1:5">
      <c r="A128">
        <v>2015</v>
      </c>
      <c r="B128" s="3">
        <v>101800</v>
      </c>
      <c r="C128" t="s">
        <v>239</v>
      </c>
      <c r="D128" s="9">
        <v>640078</v>
      </c>
      <c r="E128">
        <v>6.3809999999999995E-4</v>
      </c>
    </row>
    <row r="129" spans="1:5">
      <c r="A129">
        <v>2015</v>
      </c>
      <c r="B129" s="3">
        <v>497510</v>
      </c>
      <c r="C129" t="s">
        <v>240</v>
      </c>
      <c r="D129" s="9">
        <v>49901</v>
      </c>
      <c r="E129">
        <v>4.9700000000000002E-5</v>
      </c>
    </row>
    <row r="130" spans="1:5">
      <c r="A130">
        <v>2015</v>
      </c>
      <c r="B130" s="3">
        <v>109190</v>
      </c>
      <c r="C130" t="s">
        <v>241</v>
      </c>
      <c r="D130" s="9">
        <v>42061</v>
      </c>
      <c r="E130">
        <v>4.1900000000000002E-5</v>
      </c>
    </row>
    <row r="131" spans="1:5">
      <c r="A131">
        <v>2015</v>
      </c>
      <c r="B131" s="3">
        <v>109250</v>
      </c>
      <c r="C131" t="s">
        <v>242</v>
      </c>
      <c r="D131" s="9">
        <v>331595</v>
      </c>
      <c r="E131">
        <v>3.3060000000000001E-4</v>
      </c>
    </row>
    <row r="132" spans="1:5">
      <c r="A132">
        <v>2015</v>
      </c>
      <c r="B132" s="3">
        <v>103650</v>
      </c>
      <c r="C132" t="s">
        <v>243</v>
      </c>
      <c r="D132" s="9">
        <v>79395</v>
      </c>
      <c r="E132">
        <v>7.9200000000000001E-5</v>
      </c>
    </row>
    <row r="133" spans="1:5">
      <c r="A133">
        <v>2015</v>
      </c>
      <c r="B133" s="3">
        <v>107700</v>
      </c>
      <c r="C133" t="s">
        <v>244</v>
      </c>
      <c r="D133" s="9">
        <v>703131</v>
      </c>
      <c r="E133">
        <v>7.0100000000000002E-4</v>
      </c>
    </row>
    <row r="134" spans="1:5">
      <c r="A134">
        <v>2015</v>
      </c>
      <c r="B134" s="3">
        <v>104750</v>
      </c>
      <c r="C134" t="s">
        <v>245</v>
      </c>
      <c r="D134" s="9">
        <v>2752019</v>
      </c>
      <c r="E134">
        <v>2.7437E-3</v>
      </c>
    </row>
    <row r="135" spans="1:5">
      <c r="A135">
        <v>2015</v>
      </c>
      <c r="B135" s="3">
        <v>101510</v>
      </c>
      <c r="C135" t="s">
        <v>246</v>
      </c>
      <c r="D135" s="9">
        <v>454238</v>
      </c>
      <c r="E135">
        <v>4.529E-4</v>
      </c>
    </row>
    <row r="136" spans="1:5">
      <c r="A136">
        <v>2015</v>
      </c>
      <c r="B136" s="3">
        <v>101920</v>
      </c>
      <c r="C136" t="s">
        <v>247</v>
      </c>
      <c r="D136" s="9">
        <v>138676</v>
      </c>
      <c r="E136">
        <v>1.383E-4</v>
      </c>
    </row>
    <row r="137" spans="1:5">
      <c r="A137">
        <v>2015</v>
      </c>
      <c r="B137" s="3">
        <v>104140</v>
      </c>
      <c r="C137" t="s">
        <v>248</v>
      </c>
      <c r="D137" s="9">
        <v>32026446</v>
      </c>
      <c r="E137">
        <v>3.1929699999999998E-2</v>
      </c>
    </row>
    <row r="138" spans="1:5">
      <c r="A138">
        <v>2015</v>
      </c>
      <c r="B138" s="3">
        <v>101170</v>
      </c>
      <c r="C138" t="s">
        <v>249</v>
      </c>
      <c r="D138" s="9">
        <v>2617136</v>
      </c>
      <c r="E138">
        <v>2.6091999999999999E-3</v>
      </c>
    </row>
    <row r="139" spans="1:5">
      <c r="A139">
        <v>2015</v>
      </c>
      <c r="B139" s="3">
        <v>103980</v>
      </c>
      <c r="C139" t="s">
        <v>250</v>
      </c>
      <c r="D139" s="9">
        <v>28049</v>
      </c>
      <c r="E139">
        <v>2.8E-5</v>
      </c>
    </row>
    <row r="140" spans="1:5">
      <c r="A140">
        <v>2015</v>
      </c>
      <c r="B140" s="3">
        <v>109110</v>
      </c>
      <c r="C140" t="s">
        <v>251</v>
      </c>
      <c r="D140" s="9">
        <v>125030</v>
      </c>
      <c r="E140">
        <v>1.247E-4</v>
      </c>
    </row>
    <row r="141" spans="1:5">
      <c r="A141">
        <v>2015</v>
      </c>
      <c r="B141" s="3">
        <v>493880</v>
      </c>
      <c r="C141" t="s">
        <v>252</v>
      </c>
      <c r="D141" s="9">
        <v>2589676</v>
      </c>
      <c r="E141">
        <v>2.5818E-3</v>
      </c>
    </row>
    <row r="142" spans="1:5">
      <c r="A142">
        <v>2015</v>
      </c>
      <c r="B142" s="3">
        <v>300470</v>
      </c>
      <c r="C142" t="s">
        <v>253</v>
      </c>
      <c r="D142" s="9">
        <v>158707</v>
      </c>
      <c r="E142">
        <v>1.582E-4</v>
      </c>
    </row>
    <row r="143" spans="1:5">
      <c r="A143">
        <v>2015</v>
      </c>
      <c r="B143" s="3">
        <v>462530</v>
      </c>
      <c r="C143" t="s">
        <v>254</v>
      </c>
      <c r="D143" s="9">
        <v>24521</v>
      </c>
      <c r="E143">
        <v>2.44E-5</v>
      </c>
    </row>
    <row r="144" spans="1:5">
      <c r="A144">
        <v>2015</v>
      </c>
      <c r="B144" s="3">
        <v>492310</v>
      </c>
      <c r="C144" t="s">
        <v>255</v>
      </c>
      <c r="D144" s="9">
        <v>171464</v>
      </c>
      <c r="E144">
        <v>1.7090000000000001E-4</v>
      </c>
    </row>
    <row r="145" spans="1:5">
      <c r="A145">
        <v>2015</v>
      </c>
      <c r="B145" s="3">
        <v>308090</v>
      </c>
      <c r="C145" t="s">
        <v>256</v>
      </c>
      <c r="D145" s="9">
        <v>883056</v>
      </c>
      <c r="E145">
        <v>8.8040000000000004E-4</v>
      </c>
    </row>
    <row r="146" spans="1:5">
      <c r="A146">
        <v>2015</v>
      </c>
      <c r="B146" s="3">
        <v>300440</v>
      </c>
      <c r="C146" t="s">
        <v>257</v>
      </c>
      <c r="D146" s="9">
        <v>2435173</v>
      </c>
      <c r="E146">
        <v>2.4277999999999999E-3</v>
      </c>
    </row>
    <row r="147" spans="1:5">
      <c r="A147">
        <v>2015</v>
      </c>
      <c r="B147" s="3">
        <v>497500</v>
      </c>
      <c r="C147" t="s">
        <v>258</v>
      </c>
      <c r="D147" s="9">
        <v>23568</v>
      </c>
      <c r="E147">
        <v>2.3499999999999999E-5</v>
      </c>
    </row>
    <row r="148" spans="1:5">
      <c r="A148">
        <v>2015</v>
      </c>
      <c r="B148" s="3">
        <v>109280</v>
      </c>
      <c r="C148" t="s">
        <v>259</v>
      </c>
      <c r="D148" s="9">
        <v>2195</v>
      </c>
      <c r="E148">
        <v>2.2000000000000001E-6</v>
      </c>
    </row>
    <row r="149" spans="1:5">
      <c r="A149">
        <v>2015</v>
      </c>
      <c r="B149" s="3">
        <v>304040</v>
      </c>
      <c r="C149" t="s">
        <v>260</v>
      </c>
      <c r="D149" s="9">
        <v>621590</v>
      </c>
      <c r="E149">
        <v>6.1970000000000005E-4</v>
      </c>
    </row>
    <row r="150" spans="1:5">
      <c r="A150">
        <v>2015</v>
      </c>
      <c r="B150" s="3">
        <v>302870</v>
      </c>
      <c r="C150" t="s">
        <v>261</v>
      </c>
      <c r="D150" s="9"/>
      <c r="E150">
        <v>0</v>
      </c>
    </row>
    <row r="151" spans="1:5">
      <c r="A151">
        <v>2015</v>
      </c>
      <c r="B151" s="3">
        <v>450400</v>
      </c>
      <c r="C151" t="s">
        <v>262</v>
      </c>
      <c r="D151" s="9">
        <v>996612</v>
      </c>
      <c r="E151">
        <v>9.9360000000000008E-4</v>
      </c>
    </row>
    <row r="152" spans="1:5">
      <c r="A152">
        <v>2015</v>
      </c>
      <c r="B152" s="3">
        <v>492200</v>
      </c>
      <c r="C152" t="s">
        <v>263</v>
      </c>
      <c r="D152" s="9">
        <v>306384</v>
      </c>
      <c r="E152">
        <v>3.055E-4</v>
      </c>
    </row>
    <row r="153" spans="1:5">
      <c r="A153">
        <v>2015</v>
      </c>
      <c r="B153" s="3">
        <v>302240</v>
      </c>
      <c r="C153" t="s">
        <v>264</v>
      </c>
      <c r="D153" s="9">
        <v>272049</v>
      </c>
      <c r="E153">
        <v>2.7119999999999998E-4</v>
      </c>
    </row>
    <row r="154" spans="1:5">
      <c r="A154">
        <v>2015</v>
      </c>
      <c r="B154" s="3">
        <v>307430</v>
      </c>
      <c r="C154" t="s">
        <v>265</v>
      </c>
      <c r="D154" s="9">
        <v>257980</v>
      </c>
      <c r="E154">
        <v>2.5720000000000002E-4</v>
      </c>
    </row>
    <row r="155" spans="1:5">
      <c r="A155">
        <v>2015</v>
      </c>
      <c r="B155" s="3">
        <v>200280</v>
      </c>
      <c r="C155" t="s">
        <v>266</v>
      </c>
      <c r="D155" s="9">
        <v>155883</v>
      </c>
      <c r="E155">
        <v>1.5540000000000001E-4</v>
      </c>
    </row>
    <row r="156" spans="1:5">
      <c r="A156">
        <v>2015</v>
      </c>
      <c r="B156" s="3">
        <v>300310</v>
      </c>
      <c r="C156" t="s">
        <v>267</v>
      </c>
      <c r="D156" s="9">
        <v>1288350</v>
      </c>
      <c r="E156">
        <v>1.2845000000000001E-3</v>
      </c>
    </row>
    <row r="157" spans="1:5">
      <c r="A157">
        <v>2015</v>
      </c>
      <c r="B157" s="3">
        <v>492260</v>
      </c>
      <c r="C157" t="s">
        <v>268</v>
      </c>
      <c r="D157" s="9">
        <v>168086</v>
      </c>
      <c r="E157">
        <v>1.6760000000000001E-4</v>
      </c>
    </row>
    <row r="158" spans="1:5">
      <c r="A158">
        <v>2015</v>
      </c>
      <c r="B158" s="3">
        <v>302080</v>
      </c>
      <c r="C158" t="s">
        <v>269</v>
      </c>
      <c r="D158" s="9">
        <v>146810</v>
      </c>
      <c r="E158">
        <v>1.4640000000000001E-4</v>
      </c>
    </row>
    <row r="159" spans="1:5">
      <c r="A159">
        <v>2015</v>
      </c>
      <c r="B159" s="3">
        <v>306910</v>
      </c>
      <c r="C159" t="s">
        <v>270</v>
      </c>
      <c r="D159" s="9">
        <v>807684</v>
      </c>
      <c r="E159">
        <v>8.0519999999999995E-4</v>
      </c>
    </row>
    <row r="160" spans="1:5">
      <c r="A160">
        <v>2015</v>
      </c>
      <c r="B160" s="3">
        <v>462090</v>
      </c>
      <c r="C160" t="s">
        <v>271</v>
      </c>
      <c r="D160" s="9">
        <v>585808</v>
      </c>
      <c r="E160">
        <v>5.8399999999999999E-4</v>
      </c>
    </row>
    <row r="161" spans="1:5">
      <c r="A161">
        <v>2015</v>
      </c>
      <c r="B161" s="3">
        <v>494760</v>
      </c>
      <c r="C161" t="s">
        <v>272</v>
      </c>
      <c r="D161" s="9">
        <v>110538</v>
      </c>
      <c r="E161">
        <v>1.102E-4</v>
      </c>
    </row>
    <row r="162" spans="1:5">
      <c r="A162">
        <v>2015</v>
      </c>
      <c r="B162" s="3">
        <v>462020</v>
      </c>
      <c r="C162" t="s">
        <v>273</v>
      </c>
      <c r="D162" s="9">
        <v>436870</v>
      </c>
      <c r="E162">
        <v>4.3550000000000001E-4</v>
      </c>
    </row>
    <row r="163" spans="1:5">
      <c r="A163">
        <v>2015</v>
      </c>
      <c r="B163" s="3">
        <v>496080</v>
      </c>
      <c r="C163" t="s">
        <v>274</v>
      </c>
      <c r="D163" s="9">
        <v>9181</v>
      </c>
      <c r="E163">
        <v>9.2E-6</v>
      </c>
    </row>
    <row r="164" spans="1:5">
      <c r="A164">
        <v>2015</v>
      </c>
      <c r="B164" s="3">
        <v>473220</v>
      </c>
      <c r="C164" t="s">
        <v>275</v>
      </c>
      <c r="D164" s="9">
        <v>5700</v>
      </c>
      <c r="E164">
        <v>5.6999999999999996E-6</v>
      </c>
    </row>
    <row r="165" spans="1:5">
      <c r="A165">
        <v>2015</v>
      </c>
      <c r="B165" s="3">
        <v>482320</v>
      </c>
      <c r="C165" t="s">
        <v>276</v>
      </c>
      <c r="D165" s="9">
        <v>858732</v>
      </c>
      <c r="E165">
        <v>8.5610000000000005E-4</v>
      </c>
    </row>
    <row r="166" spans="1:5">
      <c r="A166">
        <v>2015</v>
      </c>
      <c r="B166" s="3" t="s">
        <v>331</v>
      </c>
      <c r="C166" t="s">
        <v>277</v>
      </c>
      <c r="D166" s="9">
        <v>38489</v>
      </c>
      <c r="E166">
        <v>3.8399999999999998E-5</v>
      </c>
    </row>
    <row r="167" spans="1:5">
      <c r="A167">
        <v>2015</v>
      </c>
      <c r="B167" s="3" t="s">
        <v>332</v>
      </c>
      <c r="C167" t="s">
        <v>278</v>
      </c>
      <c r="D167" s="9">
        <v>98866</v>
      </c>
      <c r="E167">
        <v>9.8599999999999998E-5</v>
      </c>
    </row>
    <row r="168" spans="1:5">
      <c r="A168">
        <v>2015</v>
      </c>
      <c r="B168" s="3" t="s">
        <v>333</v>
      </c>
      <c r="C168" t="s">
        <v>279</v>
      </c>
      <c r="D168" s="9">
        <v>46414</v>
      </c>
      <c r="E168">
        <v>4.6300000000000001E-5</v>
      </c>
    </row>
    <row r="169" spans="1:5">
      <c r="A169">
        <v>2015</v>
      </c>
      <c r="B169" s="3" t="s">
        <v>334</v>
      </c>
      <c r="C169" t="s">
        <v>280</v>
      </c>
      <c r="D169" s="9">
        <v>55923</v>
      </c>
      <c r="E169">
        <v>5.5800000000000001E-5</v>
      </c>
    </row>
    <row r="170" spans="1:5">
      <c r="A170">
        <v>2015</v>
      </c>
      <c r="B170" s="3" t="s">
        <v>335</v>
      </c>
      <c r="C170" t="s">
        <v>281</v>
      </c>
      <c r="D170" s="9">
        <v>1940952</v>
      </c>
      <c r="E170">
        <v>1.9350999999999999E-3</v>
      </c>
    </row>
    <row r="171" spans="1:5">
      <c r="A171">
        <v>2015</v>
      </c>
      <c r="B171" s="3" t="s">
        <v>336</v>
      </c>
      <c r="C171" t="s">
        <v>282</v>
      </c>
      <c r="D171" s="9">
        <v>1744191</v>
      </c>
      <c r="E171">
        <v>1.7389E-3</v>
      </c>
    </row>
    <row r="172" spans="1:5">
      <c r="A172">
        <v>2015</v>
      </c>
      <c r="B172" s="3" t="s">
        <v>337</v>
      </c>
      <c r="C172" t="s">
        <v>283</v>
      </c>
      <c r="D172" s="9">
        <v>77103</v>
      </c>
      <c r="E172">
        <v>7.6899999999999999E-5</v>
      </c>
    </row>
    <row r="173" spans="1:5">
      <c r="A173">
        <v>2015</v>
      </c>
      <c r="B173" s="3" t="s">
        <v>338</v>
      </c>
      <c r="C173" t="s">
        <v>284</v>
      </c>
      <c r="D173" s="9">
        <v>56474</v>
      </c>
      <c r="E173">
        <v>5.63E-5</v>
      </c>
    </row>
    <row r="174" spans="1:5">
      <c r="A174">
        <v>2015</v>
      </c>
      <c r="B174" s="3" t="s">
        <v>339</v>
      </c>
      <c r="C174" t="s">
        <v>285</v>
      </c>
      <c r="D174" s="9">
        <v>1188659</v>
      </c>
      <c r="E174">
        <v>1.1850999999999999E-3</v>
      </c>
    </row>
    <row r="175" spans="1:5">
      <c r="A175">
        <v>2015</v>
      </c>
      <c r="B175" s="3" t="s">
        <v>340</v>
      </c>
      <c r="C175" t="s">
        <v>286</v>
      </c>
      <c r="D175" s="9">
        <v>126860</v>
      </c>
      <c r="E175">
        <v>1.2650000000000001E-4</v>
      </c>
    </row>
    <row r="176" spans="1:5">
      <c r="A176">
        <v>2015</v>
      </c>
      <c r="B176" s="3" t="s">
        <v>341</v>
      </c>
      <c r="C176" t="s">
        <v>287</v>
      </c>
      <c r="D176" s="9">
        <v>31176</v>
      </c>
      <c r="E176">
        <v>3.1099999999999997E-5</v>
      </c>
    </row>
    <row r="177" spans="1:5">
      <c r="A177">
        <v>2015</v>
      </c>
      <c r="B177" s="3" t="s">
        <v>342</v>
      </c>
      <c r="C177" t="s">
        <v>288</v>
      </c>
      <c r="D177" s="9">
        <v>732070</v>
      </c>
      <c r="E177">
        <v>7.2990000000000001E-4</v>
      </c>
    </row>
    <row r="178" spans="1:5">
      <c r="A178">
        <v>2015</v>
      </c>
      <c r="B178" s="3" t="s">
        <v>343</v>
      </c>
      <c r="C178" t="s">
        <v>289</v>
      </c>
      <c r="D178" s="9">
        <v>77069</v>
      </c>
      <c r="E178">
        <v>7.6799999999999997E-5</v>
      </c>
    </row>
    <row r="179" spans="1:5">
      <c r="A179">
        <v>2015</v>
      </c>
      <c r="B179" s="3" t="s">
        <v>344</v>
      </c>
      <c r="C179" t="s">
        <v>290</v>
      </c>
      <c r="D179" s="9">
        <v>54638</v>
      </c>
      <c r="E179">
        <v>5.4500000000000003E-5</v>
      </c>
    </row>
    <row r="180" spans="1:5">
      <c r="A180">
        <v>2015</v>
      </c>
      <c r="B180" s="3" t="s">
        <v>345</v>
      </c>
      <c r="C180" t="s">
        <v>291</v>
      </c>
      <c r="D180" s="9">
        <v>136162</v>
      </c>
      <c r="E180">
        <v>1.3569999999999999E-4</v>
      </c>
    </row>
    <row r="181" spans="1:5">
      <c r="A181">
        <v>2015</v>
      </c>
      <c r="B181" s="3" t="s">
        <v>346</v>
      </c>
      <c r="C181" t="s">
        <v>292</v>
      </c>
      <c r="D181" s="9">
        <v>8128685</v>
      </c>
      <c r="E181">
        <v>8.1040999999999995E-3</v>
      </c>
    </row>
    <row r="182" spans="1:5">
      <c r="A182">
        <v>2015</v>
      </c>
      <c r="B182" s="3" t="s">
        <v>347</v>
      </c>
      <c r="C182" t="s">
        <v>293</v>
      </c>
      <c r="D182" s="9">
        <v>3144173</v>
      </c>
      <c r="E182">
        <v>3.1346999999999998E-3</v>
      </c>
    </row>
    <row r="183" spans="1:5">
      <c r="A183">
        <v>2015</v>
      </c>
      <c r="B183" s="3" t="s">
        <v>348</v>
      </c>
      <c r="C183" t="s">
        <v>294</v>
      </c>
      <c r="D183" s="9">
        <v>1423363</v>
      </c>
      <c r="E183">
        <v>1.4191E-3</v>
      </c>
    </row>
    <row r="184" spans="1:5">
      <c r="A184">
        <v>2015</v>
      </c>
      <c r="B184" s="3" t="s">
        <v>349</v>
      </c>
      <c r="C184" t="s">
        <v>295</v>
      </c>
      <c r="D184" s="9">
        <v>2363271</v>
      </c>
      <c r="E184">
        <v>2.3560999999999999E-3</v>
      </c>
    </row>
    <row r="185" spans="1:5">
      <c r="A185">
        <v>2015</v>
      </c>
      <c r="B185" s="3" t="s">
        <v>350</v>
      </c>
      <c r="C185" t="s">
        <v>296</v>
      </c>
      <c r="D185" s="9">
        <v>2508260</v>
      </c>
      <c r="E185">
        <v>2.5006999999999998E-3</v>
      </c>
    </row>
    <row r="186" spans="1:5">
      <c r="A186">
        <v>2015</v>
      </c>
      <c r="B186" s="3" t="s">
        <v>351</v>
      </c>
      <c r="C186" t="s">
        <v>297</v>
      </c>
      <c r="D186" s="9">
        <v>27420</v>
      </c>
      <c r="E186">
        <v>2.73E-5</v>
      </c>
    </row>
    <row r="187" spans="1:5">
      <c r="A187">
        <v>2015</v>
      </c>
      <c r="B187" s="3" t="s">
        <v>352</v>
      </c>
      <c r="C187" t="s">
        <v>298</v>
      </c>
      <c r="D187" s="9">
        <v>175662</v>
      </c>
      <c r="E187">
        <v>1.751E-4</v>
      </c>
    </row>
    <row r="188" spans="1:5">
      <c r="A188">
        <v>2015</v>
      </c>
      <c r="B188" s="3" t="s">
        <v>353</v>
      </c>
      <c r="C188" t="s">
        <v>299</v>
      </c>
      <c r="D188" s="9">
        <v>83126</v>
      </c>
      <c r="E188">
        <v>8.2899999999999996E-5</v>
      </c>
    </row>
    <row r="189" spans="1:5">
      <c r="A189">
        <v>2015</v>
      </c>
      <c r="B189" s="3" t="s">
        <v>354</v>
      </c>
      <c r="C189" t="s">
        <v>300</v>
      </c>
      <c r="D189" s="9">
        <v>2151135</v>
      </c>
      <c r="E189">
        <v>2.1446E-3</v>
      </c>
    </row>
    <row r="190" spans="1:5">
      <c r="A190">
        <v>2015</v>
      </c>
      <c r="B190" s="3" t="s">
        <v>355</v>
      </c>
      <c r="C190" t="s">
        <v>301</v>
      </c>
      <c r="D190" s="9">
        <v>306008</v>
      </c>
      <c r="E190">
        <v>3.0509999999999999E-4</v>
      </c>
    </row>
    <row r="191" spans="1:5">
      <c r="A191">
        <v>2015</v>
      </c>
      <c r="B191" s="3" t="s">
        <v>356</v>
      </c>
      <c r="C191" t="s">
        <v>302</v>
      </c>
      <c r="D191" s="9">
        <v>4953179</v>
      </c>
      <c r="E191">
        <v>4.9382000000000002E-3</v>
      </c>
    </row>
    <row r="192" spans="1:5">
      <c r="A192">
        <v>2015</v>
      </c>
      <c r="B192" s="3" t="s">
        <v>357</v>
      </c>
      <c r="C192" t="s">
        <v>303</v>
      </c>
      <c r="D192" s="9">
        <v>131768</v>
      </c>
      <c r="E192">
        <v>1.314E-4</v>
      </c>
    </row>
    <row r="193" spans="1:5">
      <c r="A193">
        <v>2015</v>
      </c>
      <c r="B193" s="3" t="s">
        <v>358</v>
      </c>
      <c r="C193" t="s">
        <v>304</v>
      </c>
      <c r="D193" s="9">
        <v>124594</v>
      </c>
      <c r="E193">
        <v>1.2420000000000001E-4</v>
      </c>
    </row>
    <row r="194" spans="1:5">
      <c r="A194">
        <v>2015</v>
      </c>
      <c r="B194" s="3" t="s">
        <v>359</v>
      </c>
      <c r="C194" t="s">
        <v>305</v>
      </c>
      <c r="D194" s="9">
        <v>203952</v>
      </c>
      <c r="E194">
        <v>2.0330000000000001E-4</v>
      </c>
    </row>
    <row r="195" spans="1:5">
      <c r="A195">
        <v>2015</v>
      </c>
      <c r="B195" s="3" t="s">
        <v>360</v>
      </c>
      <c r="C195" t="s">
        <v>306</v>
      </c>
      <c r="D195" s="9">
        <v>19473225</v>
      </c>
      <c r="E195">
        <v>1.9414399999999998E-2</v>
      </c>
    </row>
    <row r="196" spans="1:5">
      <c r="A196">
        <v>2015</v>
      </c>
      <c r="B196" s="3" t="s">
        <v>361</v>
      </c>
      <c r="C196" t="s">
        <v>307</v>
      </c>
      <c r="D196" s="9">
        <v>123479</v>
      </c>
      <c r="E196">
        <v>1.2310000000000001E-4</v>
      </c>
    </row>
    <row r="197" spans="1:5">
      <c r="A197">
        <v>2015</v>
      </c>
      <c r="B197" s="3" t="s">
        <v>362</v>
      </c>
      <c r="C197" t="s">
        <v>308</v>
      </c>
      <c r="D197" s="9">
        <v>6667</v>
      </c>
      <c r="E197">
        <v>6.6000000000000003E-6</v>
      </c>
    </row>
    <row r="198" spans="1:5">
      <c r="A198">
        <v>2015</v>
      </c>
      <c r="B198" s="3" t="s">
        <v>363</v>
      </c>
      <c r="C198" t="s">
        <v>309</v>
      </c>
      <c r="D198" s="9">
        <v>2799576</v>
      </c>
      <c r="E198">
        <v>2.7910999999999999E-3</v>
      </c>
    </row>
    <row r="199" spans="1:5">
      <c r="A199">
        <v>2015</v>
      </c>
      <c r="B199" s="3" t="s">
        <v>364</v>
      </c>
      <c r="C199" t="s">
        <v>310</v>
      </c>
      <c r="D199" s="9">
        <v>8893</v>
      </c>
      <c r="E199">
        <v>8.8999999999999995E-6</v>
      </c>
    </row>
    <row r="200" spans="1:5">
      <c r="A200">
        <v>2015</v>
      </c>
      <c r="B200" s="3" t="s">
        <v>365</v>
      </c>
      <c r="C200" t="s">
        <v>311</v>
      </c>
      <c r="D200" s="9">
        <v>850576</v>
      </c>
      <c r="E200">
        <v>8.4800000000000001E-4</v>
      </c>
    </row>
    <row r="201" spans="1:5">
      <c r="A201">
        <v>2015</v>
      </c>
      <c r="B201" s="3" t="s">
        <v>366</v>
      </c>
      <c r="C201" t="s">
        <v>312</v>
      </c>
      <c r="D201" s="9">
        <v>1605</v>
      </c>
      <c r="E201">
        <v>1.5999999999999999E-6</v>
      </c>
    </row>
    <row r="202" spans="1:5">
      <c r="A202">
        <v>2015</v>
      </c>
      <c r="B202" s="3" t="s">
        <v>367</v>
      </c>
      <c r="C202" t="s">
        <v>313</v>
      </c>
      <c r="D202" s="9">
        <v>43412</v>
      </c>
      <c r="E202">
        <v>4.3300000000000002E-5</v>
      </c>
    </row>
    <row r="203" spans="1:5">
      <c r="A203">
        <v>2015</v>
      </c>
      <c r="B203" s="3" t="s">
        <v>368</v>
      </c>
      <c r="C203" t="s">
        <v>314</v>
      </c>
      <c r="D203" s="9">
        <v>100862</v>
      </c>
      <c r="E203">
        <v>1.0060000000000001E-4</v>
      </c>
    </row>
    <row r="204" spans="1:5">
      <c r="A204">
        <v>2015</v>
      </c>
      <c r="B204" s="3" t="s">
        <v>369</v>
      </c>
      <c r="C204" t="s">
        <v>315</v>
      </c>
      <c r="D204" s="9">
        <v>1019295</v>
      </c>
      <c r="E204">
        <v>1.0162000000000001E-3</v>
      </c>
    </row>
    <row r="205" spans="1:5">
      <c r="A205">
        <v>2015</v>
      </c>
      <c r="B205" s="3" t="s">
        <v>370</v>
      </c>
      <c r="C205" t="s">
        <v>316</v>
      </c>
      <c r="D205" s="9">
        <v>2043209</v>
      </c>
      <c r="E205">
        <v>2.0370000000000002E-3</v>
      </c>
    </row>
    <row r="206" spans="1:5">
      <c r="A206">
        <v>2015</v>
      </c>
      <c r="B206" s="3" t="s">
        <v>371</v>
      </c>
      <c r="C206" t="s">
        <v>317</v>
      </c>
      <c r="D206" s="9">
        <v>248279</v>
      </c>
      <c r="E206">
        <v>2.475E-4</v>
      </c>
    </row>
    <row r="207" spans="1:5">
      <c r="A207">
        <v>2015</v>
      </c>
      <c r="B207" s="3" t="s">
        <v>372</v>
      </c>
      <c r="C207" t="s">
        <v>318</v>
      </c>
      <c r="D207" s="9">
        <v>202269</v>
      </c>
      <c r="E207">
        <v>2.017E-4</v>
      </c>
    </row>
    <row r="208" spans="1:5">
      <c r="A208">
        <v>2015</v>
      </c>
      <c r="B208" s="3" t="s">
        <v>373</v>
      </c>
      <c r="C208" t="s">
        <v>319</v>
      </c>
      <c r="D208" s="9">
        <v>1709239</v>
      </c>
      <c r="E208">
        <v>1.7041000000000001E-3</v>
      </c>
    </row>
    <row r="209" spans="1:5">
      <c r="A209">
        <v>2015</v>
      </c>
      <c r="B209" s="3" t="s">
        <v>374</v>
      </c>
      <c r="C209" t="s">
        <v>320</v>
      </c>
      <c r="D209" s="9">
        <v>1464181</v>
      </c>
      <c r="E209">
        <v>1.4598E-3</v>
      </c>
    </row>
    <row r="210" spans="1:5">
      <c r="A210">
        <v>2015</v>
      </c>
      <c r="B210" s="3" t="s">
        <v>375</v>
      </c>
      <c r="C210" t="s">
        <v>321</v>
      </c>
      <c r="D210" s="9">
        <v>7333532</v>
      </c>
      <c r="E210">
        <v>7.3114E-3</v>
      </c>
    </row>
    <row r="211" spans="1:5">
      <c r="A211">
        <v>2015</v>
      </c>
      <c r="B211" s="3" t="s">
        <v>376</v>
      </c>
      <c r="C211" t="s">
        <v>322</v>
      </c>
      <c r="D211" s="9">
        <v>475104</v>
      </c>
      <c r="E211">
        <v>4.7370000000000002E-4</v>
      </c>
    </row>
    <row r="212" spans="1:5">
      <c r="A212">
        <v>2015</v>
      </c>
      <c r="B212" s="3" t="s">
        <v>377</v>
      </c>
      <c r="C212" t="s">
        <v>323</v>
      </c>
      <c r="D212" s="9">
        <v>757217</v>
      </c>
      <c r="E212">
        <v>7.5489999999999997E-4</v>
      </c>
    </row>
    <row r="213" spans="1:5">
      <c r="A213">
        <v>2015</v>
      </c>
      <c r="B213" s="3" t="s">
        <v>378</v>
      </c>
      <c r="C213" t="s">
        <v>324</v>
      </c>
      <c r="D213" s="9">
        <v>456053</v>
      </c>
      <c r="E213">
        <v>4.5469999999999999E-4</v>
      </c>
    </row>
    <row r="214" spans="1:5">
      <c r="A214">
        <v>2015</v>
      </c>
      <c r="B214" s="3" t="s">
        <v>379</v>
      </c>
      <c r="C214" t="s">
        <v>325</v>
      </c>
      <c r="D214" s="9">
        <v>614167</v>
      </c>
      <c r="E214">
        <v>6.1229999999999998E-4</v>
      </c>
    </row>
    <row r="215" spans="1:5">
      <c r="A215">
        <v>2015</v>
      </c>
      <c r="B215" s="3" t="s">
        <v>380</v>
      </c>
      <c r="C215" t="s">
        <v>326</v>
      </c>
      <c r="D215" s="9">
        <v>408737</v>
      </c>
      <c r="E215">
        <v>4.0749999999999998E-4</v>
      </c>
    </row>
    <row r="216" spans="1:5">
      <c r="A216">
        <v>2015</v>
      </c>
      <c r="B216" s="3" t="s">
        <v>381</v>
      </c>
      <c r="C216" t="s">
        <v>327</v>
      </c>
      <c r="D216" s="9">
        <v>3013561</v>
      </c>
      <c r="E216">
        <v>3.0044999999999998E-3</v>
      </c>
    </row>
    <row r="217" spans="1:5">
      <c r="A217">
        <v>2015</v>
      </c>
      <c r="B217" s="3" t="s">
        <v>382</v>
      </c>
      <c r="C217" t="s">
        <v>328</v>
      </c>
      <c r="D217" s="9">
        <v>6070948</v>
      </c>
      <c r="E217">
        <v>6.0526E-3</v>
      </c>
    </row>
    <row r="218" spans="1:5">
      <c r="A218">
        <v>2015</v>
      </c>
      <c r="B218" s="3" t="s">
        <v>383</v>
      </c>
      <c r="C218" t="s">
        <v>329</v>
      </c>
      <c r="D218" s="9">
        <v>225991</v>
      </c>
      <c r="E218">
        <v>2.253E-4</v>
      </c>
    </row>
    <row r="219" spans="1:5">
      <c r="A219">
        <v>2015</v>
      </c>
      <c r="B219" s="3" t="s">
        <v>384</v>
      </c>
      <c r="C219" t="s">
        <v>330</v>
      </c>
      <c r="D219" s="9">
        <v>2381728</v>
      </c>
      <c r="E219">
        <v>2.3744999999999999E-3</v>
      </c>
    </row>
    <row r="220" spans="1:5">
      <c r="A220">
        <v>2015</v>
      </c>
      <c r="B220" s="3" t="s">
        <v>440</v>
      </c>
      <c r="C220" t="s">
        <v>385</v>
      </c>
      <c r="D220" s="9">
        <v>183845</v>
      </c>
      <c r="E220">
        <v>1.8330000000000001E-4</v>
      </c>
    </row>
    <row r="221" spans="1:5">
      <c r="A221">
        <v>2015</v>
      </c>
      <c r="B221" s="3" t="s">
        <v>441</v>
      </c>
      <c r="C221" t="s">
        <v>386</v>
      </c>
      <c r="D221" s="9">
        <v>1030566</v>
      </c>
      <c r="E221">
        <v>1.0275E-3</v>
      </c>
    </row>
    <row r="222" spans="1:5">
      <c r="A222">
        <v>2015</v>
      </c>
      <c r="B222" s="3" t="s">
        <v>442</v>
      </c>
      <c r="C222" t="s">
        <v>387</v>
      </c>
      <c r="D222" s="9">
        <v>1670099</v>
      </c>
      <c r="E222">
        <v>1.6651000000000001E-3</v>
      </c>
    </row>
    <row r="223" spans="1:5">
      <c r="A223">
        <v>2015</v>
      </c>
      <c r="B223" s="3" t="s">
        <v>443</v>
      </c>
      <c r="C223" t="s">
        <v>388</v>
      </c>
      <c r="D223" s="9">
        <v>224650</v>
      </c>
      <c r="E223">
        <v>2.24E-4</v>
      </c>
    </row>
    <row r="224" spans="1:5">
      <c r="A224">
        <v>2015</v>
      </c>
      <c r="B224" s="3" t="s">
        <v>444</v>
      </c>
      <c r="C224" t="s">
        <v>389</v>
      </c>
      <c r="D224" s="9">
        <v>775991</v>
      </c>
      <c r="E224">
        <v>7.7360000000000005E-4</v>
      </c>
    </row>
    <row r="225" spans="1:5">
      <c r="A225">
        <v>2015</v>
      </c>
      <c r="B225" s="3" t="s">
        <v>445</v>
      </c>
      <c r="C225" t="s">
        <v>390</v>
      </c>
      <c r="D225" s="9">
        <v>16442201</v>
      </c>
      <c r="E225">
        <v>1.6392500000000001E-2</v>
      </c>
    </row>
    <row r="226" spans="1:5">
      <c r="A226">
        <v>2015</v>
      </c>
      <c r="B226" s="3" t="s">
        <v>446</v>
      </c>
      <c r="C226" t="s">
        <v>391</v>
      </c>
      <c r="D226" s="9">
        <v>714373</v>
      </c>
      <c r="E226">
        <v>7.1219999999999996E-4</v>
      </c>
    </row>
    <row r="227" spans="1:5">
      <c r="A227">
        <v>2015</v>
      </c>
      <c r="B227" s="3" t="s">
        <v>447</v>
      </c>
      <c r="C227" t="s">
        <v>392</v>
      </c>
      <c r="D227" s="9">
        <v>506890</v>
      </c>
      <c r="E227">
        <v>5.0540000000000003E-4</v>
      </c>
    </row>
    <row r="228" spans="1:5">
      <c r="A228">
        <v>2015</v>
      </c>
      <c r="B228" s="3" t="s">
        <v>448</v>
      </c>
      <c r="C228" t="s">
        <v>393</v>
      </c>
      <c r="D228" s="9">
        <v>5282670</v>
      </c>
      <c r="E228">
        <v>5.2667E-3</v>
      </c>
    </row>
    <row r="229" spans="1:5">
      <c r="A229">
        <v>2015</v>
      </c>
      <c r="B229" s="3" t="s">
        <v>449</v>
      </c>
      <c r="C229" t="s">
        <v>394</v>
      </c>
      <c r="D229" s="9">
        <v>1999035</v>
      </c>
      <c r="E229">
        <v>1.993E-3</v>
      </c>
    </row>
    <row r="230" spans="1:5">
      <c r="A230">
        <v>2015</v>
      </c>
      <c r="B230" s="3" t="s">
        <v>450</v>
      </c>
      <c r="C230" t="s">
        <v>395</v>
      </c>
      <c r="D230" s="9">
        <v>648783</v>
      </c>
      <c r="E230">
        <v>6.468E-4</v>
      </c>
    </row>
    <row r="231" spans="1:5">
      <c r="A231">
        <v>2015</v>
      </c>
      <c r="B231" s="3" t="s">
        <v>451</v>
      </c>
      <c r="C231" t="s">
        <v>396</v>
      </c>
      <c r="D231" s="9">
        <v>639617</v>
      </c>
      <c r="E231">
        <v>6.3770000000000005E-4</v>
      </c>
    </row>
    <row r="232" spans="1:5">
      <c r="A232">
        <v>2015</v>
      </c>
      <c r="B232" s="3" t="s">
        <v>452</v>
      </c>
      <c r="C232" t="s">
        <v>397</v>
      </c>
      <c r="D232" s="9">
        <v>11030969</v>
      </c>
      <c r="E232">
        <v>1.09976E-2</v>
      </c>
    </row>
    <row r="233" spans="1:5">
      <c r="A233">
        <v>2015</v>
      </c>
      <c r="B233" s="3" t="s">
        <v>453</v>
      </c>
      <c r="C233" t="s">
        <v>398</v>
      </c>
      <c r="D233" s="9">
        <v>520998</v>
      </c>
      <c r="E233">
        <v>5.1940000000000005E-4</v>
      </c>
    </row>
    <row r="234" spans="1:5">
      <c r="A234">
        <v>2015</v>
      </c>
      <c r="B234" s="3" t="s">
        <v>454</v>
      </c>
      <c r="C234" t="s">
        <v>399</v>
      </c>
      <c r="D234" s="9">
        <v>523897</v>
      </c>
      <c r="E234">
        <v>5.2229999999999996E-4</v>
      </c>
    </row>
    <row r="235" spans="1:5">
      <c r="A235">
        <v>2015</v>
      </c>
      <c r="B235" s="3" t="s">
        <v>455</v>
      </c>
      <c r="C235" t="s">
        <v>400</v>
      </c>
      <c r="D235" s="9">
        <v>1099865</v>
      </c>
      <c r="E235">
        <v>1.0965E-3</v>
      </c>
    </row>
    <row r="236" spans="1:5">
      <c r="A236">
        <v>2015</v>
      </c>
      <c r="B236" s="3" t="s">
        <v>456</v>
      </c>
      <c r="C236" t="s">
        <v>401</v>
      </c>
      <c r="D236" s="9">
        <v>258403</v>
      </c>
      <c r="E236">
        <v>2.5759999999999997E-4</v>
      </c>
    </row>
    <row r="237" spans="1:5">
      <c r="A237">
        <v>2015</v>
      </c>
      <c r="B237" s="3" t="s">
        <v>457</v>
      </c>
      <c r="C237" t="s">
        <v>402</v>
      </c>
      <c r="D237" s="9">
        <v>113145</v>
      </c>
      <c r="E237">
        <v>1.128E-4</v>
      </c>
    </row>
    <row r="238" spans="1:5">
      <c r="A238">
        <v>2015</v>
      </c>
      <c r="B238" s="3" t="s">
        <v>458</v>
      </c>
      <c r="C238" t="s">
        <v>403</v>
      </c>
      <c r="D238" s="9">
        <v>111527</v>
      </c>
      <c r="E238">
        <v>1.1120000000000001E-4</v>
      </c>
    </row>
    <row r="239" spans="1:5">
      <c r="A239">
        <v>2015</v>
      </c>
      <c r="B239" s="3" t="s">
        <v>459</v>
      </c>
      <c r="C239" t="s">
        <v>404</v>
      </c>
      <c r="D239" s="9">
        <v>3273878</v>
      </c>
      <c r="E239">
        <v>3.264E-3</v>
      </c>
    </row>
    <row r="240" spans="1:5">
      <c r="A240">
        <v>2015</v>
      </c>
      <c r="B240" s="3" t="s">
        <v>460</v>
      </c>
      <c r="C240" t="s">
        <v>405</v>
      </c>
      <c r="D240" s="9">
        <v>7674811</v>
      </c>
      <c r="E240">
        <v>7.6515999999999997E-3</v>
      </c>
    </row>
    <row r="241" spans="1:5">
      <c r="A241">
        <v>2015</v>
      </c>
      <c r="B241" s="3" t="s">
        <v>461</v>
      </c>
      <c r="C241" t="s">
        <v>406</v>
      </c>
      <c r="D241" s="9">
        <v>776216</v>
      </c>
      <c r="E241">
        <v>7.739E-4</v>
      </c>
    </row>
    <row r="242" spans="1:5">
      <c r="A242">
        <v>2015</v>
      </c>
      <c r="B242" s="3" t="s">
        <v>462</v>
      </c>
      <c r="C242" t="s">
        <v>407</v>
      </c>
      <c r="D242" s="9">
        <v>60331</v>
      </c>
      <c r="E242">
        <v>6.0099999999999997E-5</v>
      </c>
    </row>
    <row r="243" spans="1:5">
      <c r="A243">
        <v>2015</v>
      </c>
      <c r="B243" s="3" t="s">
        <v>463</v>
      </c>
      <c r="C243" t="s">
        <v>408</v>
      </c>
      <c r="D243" s="9">
        <v>184033</v>
      </c>
      <c r="E243">
        <v>1.8349999999999999E-4</v>
      </c>
    </row>
    <row r="244" spans="1:5">
      <c r="A244">
        <v>2015</v>
      </c>
      <c r="B244" s="3" t="s">
        <v>464</v>
      </c>
      <c r="C244" t="s">
        <v>409</v>
      </c>
      <c r="D244" s="9">
        <v>267890</v>
      </c>
      <c r="E244">
        <v>2.6709999999999999E-4</v>
      </c>
    </row>
    <row r="245" spans="1:5">
      <c r="A245">
        <v>2015</v>
      </c>
      <c r="B245" s="3" t="s">
        <v>465</v>
      </c>
      <c r="C245" t="s">
        <v>410</v>
      </c>
      <c r="D245" s="9">
        <v>271145</v>
      </c>
      <c r="E245">
        <v>2.7030000000000001E-4</v>
      </c>
    </row>
    <row r="246" spans="1:5">
      <c r="A246">
        <v>2015</v>
      </c>
      <c r="B246" s="3" t="s">
        <v>466</v>
      </c>
      <c r="C246" t="s">
        <v>411</v>
      </c>
      <c r="D246" s="9">
        <v>3147056</v>
      </c>
      <c r="E246">
        <v>3.1375000000000001E-3</v>
      </c>
    </row>
    <row r="247" spans="1:5">
      <c r="A247">
        <v>2015</v>
      </c>
      <c r="B247" s="3" t="s">
        <v>467</v>
      </c>
      <c r="C247" t="s">
        <v>412</v>
      </c>
      <c r="D247" s="9">
        <v>6357</v>
      </c>
      <c r="E247">
        <v>6.2999999999999998E-6</v>
      </c>
    </row>
    <row r="248" spans="1:5">
      <c r="A248">
        <v>2015</v>
      </c>
      <c r="B248" s="3" t="s">
        <v>468</v>
      </c>
      <c r="C248" t="s">
        <v>413</v>
      </c>
      <c r="D248" s="9">
        <v>208329</v>
      </c>
      <c r="E248">
        <v>2.0770000000000001E-4</v>
      </c>
    </row>
    <row r="249" spans="1:5">
      <c r="A249">
        <v>2015</v>
      </c>
      <c r="B249" s="3" t="s">
        <v>469</v>
      </c>
      <c r="C249" t="s">
        <v>414</v>
      </c>
      <c r="D249" s="9">
        <v>14398</v>
      </c>
      <c r="E249">
        <v>1.4399999999999999E-5</v>
      </c>
    </row>
    <row r="250" spans="1:5">
      <c r="A250">
        <v>2015</v>
      </c>
      <c r="B250" s="3" t="s">
        <v>470</v>
      </c>
      <c r="C250" t="s">
        <v>415</v>
      </c>
      <c r="D250" s="9">
        <v>21667</v>
      </c>
      <c r="E250">
        <v>2.16E-5</v>
      </c>
    </row>
    <row r="251" spans="1:5">
      <c r="A251">
        <v>2015</v>
      </c>
      <c r="B251" s="3" t="s">
        <v>471</v>
      </c>
      <c r="C251" t="s">
        <v>416</v>
      </c>
      <c r="D251" s="9">
        <v>2098811</v>
      </c>
      <c r="E251">
        <v>2.0925000000000002E-3</v>
      </c>
    </row>
    <row r="252" spans="1:5">
      <c r="A252">
        <v>2015</v>
      </c>
      <c r="B252" s="3" t="s">
        <v>472</v>
      </c>
      <c r="C252" t="s">
        <v>417</v>
      </c>
      <c r="D252" s="9">
        <v>2738855</v>
      </c>
      <c r="E252">
        <v>2.7306000000000001E-3</v>
      </c>
    </row>
    <row r="253" spans="1:5">
      <c r="A253">
        <v>2015</v>
      </c>
      <c r="B253" s="3" t="s">
        <v>473</v>
      </c>
      <c r="C253" t="s">
        <v>418</v>
      </c>
      <c r="D253" s="9"/>
      <c r="E253">
        <v>0</v>
      </c>
    </row>
    <row r="254" spans="1:5">
      <c r="A254">
        <v>2015</v>
      </c>
      <c r="B254" s="3" t="s">
        <v>474</v>
      </c>
      <c r="C254" t="s">
        <v>419</v>
      </c>
      <c r="D254" s="9">
        <v>75473</v>
      </c>
      <c r="E254">
        <v>7.5199999999999998E-5</v>
      </c>
    </row>
    <row r="255" spans="1:5">
      <c r="A255">
        <v>2015</v>
      </c>
      <c r="B255" s="3" t="s">
        <v>475</v>
      </c>
      <c r="C255" t="s">
        <v>420</v>
      </c>
      <c r="D255" s="9">
        <v>16393</v>
      </c>
      <c r="E255">
        <v>1.63E-5</v>
      </c>
    </row>
    <row r="256" spans="1:5">
      <c r="A256">
        <v>2015</v>
      </c>
      <c r="B256" s="3" t="s">
        <v>476</v>
      </c>
      <c r="C256" t="s">
        <v>421</v>
      </c>
      <c r="D256" s="9">
        <v>3839986</v>
      </c>
      <c r="E256">
        <v>3.8284E-3</v>
      </c>
    </row>
    <row r="257" spans="1:5">
      <c r="A257">
        <v>2015</v>
      </c>
      <c r="B257" s="3" t="s">
        <v>477</v>
      </c>
      <c r="C257" t="s">
        <v>422</v>
      </c>
      <c r="D257" s="9">
        <v>750800</v>
      </c>
      <c r="E257">
        <v>7.4850000000000003E-4</v>
      </c>
    </row>
    <row r="258" spans="1:5">
      <c r="A258">
        <v>2015</v>
      </c>
      <c r="B258" s="3" t="s">
        <v>478</v>
      </c>
      <c r="C258" t="s">
        <v>423</v>
      </c>
      <c r="D258" s="9">
        <v>91356</v>
      </c>
      <c r="E258">
        <v>9.1100000000000005E-5</v>
      </c>
    </row>
    <row r="259" spans="1:5">
      <c r="A259">
        <v>2015</v>
      </c>
      <c r="B259" s="3" t="s">
        <v>479</v>
      </c>
      <c r="C259" t="s">
        <v>424</v>
      </c>
      <c r="D259" s="9">
        <v>156536</v>
      </c>
      <c r="E259">
        <v>1.561E-4</v>
      </c>
    </row>
    <row r="260" spans="1:5">
      <c r="A260">
        <v>2015</v>
      </c>
      <c r="B260" s="3" t="s">
        <v>480</v>
      </c>
      <c r="C260" t="s">
        <v>425</v>
      </c>
      <c r="D260" s="9">
        <v>41482</v>
      </c>
      <c r="E260">
        <v>4.1399999999999997E-5</v>
      </c>
    </row>
    <row r="261" spans="1:5">
      <c r="A261">
        <v>2015</v>
      </c>
      <c r="B261" s="3" t="s">
        <v>481</v>
      </c>
      <c r="C261" t="s">
        <v>426</v>
      </c>
      <c r="D261" s="9">
        <v>826868</v>
      </c>
      <c r="E261">
        <v>8.2439999999999998E-4</v>
      </c>
    </row>
    <row r="262" spans="1:5">
      <c r="A262">
        <v>2015</v>
      </c>
      <c r="B262" s="3" t="s">
        <v>482</v>
      </c>
      <c r="C262" t="s">
        <v>427</v>
      </c>
      <c r="D262" s="9">
        <v>145915</v>
      </c>
      <c r="E262">
        <v>1.4550000000000001E-4</v>
      </c>
    </row>
    <row r="263" spans="1:5">
      <c r="A263">
        <v>2015</v>
      </c>
      <c r="B263" s="3" t="s">
        <v>483</v>
      </c>
      <c r="C263" t="s">
        <v>428</v>
      </c>
      <c r="D263" s="9">
        <v>100727</v>
      </c>
      <c r="E263">
        <v>1.004E-4</v>
      </c>
    </row>
    <row r="264" spans="1:5">
      <c r="A264">
        <v>2015</v>
      </c>
      <c r="B264" s="3" t="s">
        <v>484</v>
      </c>
      <c r="C264" t="s">
        <v>429</v>
      </c>
      <c r="D264" s="9">
        <v>267216</v>
      </c>
      <c r="E264">
        <v>2.6640000000000002E-4</v>
      </c>
    </row>
    <row r="265" spans="1:5">
      <c r="A265">
        <v>2015</v>
      </c>
      <c r="B265" s="3" t="s">
        <v>485</v>
      </c>
      <c r="C265" t="s">
        <v>430</v>
      </c>
      <c r="D265" s="9">
        <v>1559852</v>
      </c>
      <c r="E265">
        <v>1.5551E-3</v>
      </c>
    </row>
    <row r="266" spans="1:5">
      <c r="A266">
        <v>2015</v>
      </c>
      <c r="B266" s="3" t="s">
        <v>486</v>
      </c>
      <c r="C266" t="s">
        <v>431</v>
      </c>
      <c r="D266" s="9">
        <v>868655</v>
      </c>
      <c r="E266">
        <v>8.6600000000000002E-4</v>
      </c>
    </row>
    <row r="267" spans="1:5">
      <c r="A267">
        <v>2015</v>
      </c>
      <c r="B267" s="3" t="s">
        <v>487</v>
      </c>
      <c r="C267" t="s">
        <v>432</v>
      </c>
      <c r="D267" s="9">
        <v>8003</v>
      </c>
      <c r="E267">
        <v>7.9999999999999996E-6</v>
      </c>
    </row>
    <row r="268" spans="1:5">
      <c r="A268">
        <v>2015</v>
      </c>
      <c r="B268" s="3" t="s">
        <v>488</v>
      </c>
      <c r="C268" t="s">
        <v>433</v>
      </c>
      <c r="D268" s="9">
        <v>118554</v>
      </c>
      <c r="E268">
        <v>1.182E-4</v>
      </c>
    </row>
    <row r="269" spans="1:5">
      <c r="A269">
        <v>2015</v>
      </c>
      <c r="B269" s="3" t="s">
        <v>489</v>
      </c>
      <c r="C269" t="s">
        <v>434</v>
      </c>
      <c r="D269" s="9">
        <v>49336</v>
      </c>
      <c r="E269">
        <v>4.9200000000000003E-5</v>
      </c>
    </row>
    <row r="270" spans="1:5">
      <c r="A270">
        <v>2015</v>
      </c>
      <c r="B270" s="3" t="s">
        <v>490</v>
      </c>
      <c r="C270" t="s">
        <v>435</v>
      </c>
      <c r="D270" s="9">
        <v>2542268</v>
      </c>
      <c r="E270">
        <v>2.5346000000000001E-3</v>
      </c>
    </row>
    <row r="271" spans="1:5">
      <c r="A271">
        <v>2015</v>
      </c>
      <c r="B271" s="3" t="s">
        <v>491</v>
      </c>
      <c r="C271" t="s">
        <v>436</v>
      </c>
      <c r="D271" s="9">
        <v>3317239</v>
      </c>
      <c r="E271">
        <v>3.3072000000000002E-3</v>
      </c>
    </row>
    <row r="272" spans="1:5">
      <c r="A272">
        <v>2015</v>
      </c>
      <c r="B272" s="3" t="s">
        <v>492</v>
      </c>
      <c r="C272" t="s">
        <v>437</v>
      </c>
      <c r="D272" s="9">
        <v>3228</v>
      </c>
      <c r="E272">
        <v>3.1999999999999999E-6</v>
      </c>
    </row>
    <row r="273" spans="1:5">
      <c r="A273">
        <v>2015</v>
      </c>
      <c r="B273" s="3" t="s">
        <v>493</v>
      </c>
      <c r="C273" t="s">
        <v>438</v>
      </c>
      <c r="D273" s="9">
        <v>10024</v>
      </c>
      <c r="E273">
        <v>1.0000000000000001E-5</v>
      </c>
    </row>
    <row r="274" spans="1:5">
      <c r="A274">
        <v>2015</v>
      </c>
      <c r="B274" s="3" t="s">
        <v>494</v>
      </c>
      <c r="C274" t="s">
        <v>439</v>
      </c>
      <c r="D274" s="9">
        <v>23869</v>
      </c>
      <c r="E274">
        <v>2.3799999999999999E-5</v>
      </c>
    </row>
    <row r="275" spans="1:5">
      <c r="A275">
        <v>2015</v>
      </c>
      <c r="B275" s="3" t="s">
        <v>550</v>
      </c>
      <c r="C275" t="s">
        <v>495</v>
      </c>
      <c r="D275" s="9">
        <v>69882</v>
      </c>
      <c r="E275">
        <v>6.97E-5</v>
      </c>
    </row>
    <row r="276" spans="1:5">
      <c r="A276">
        <v>2015</v>
      </c>
      <c r="B276" s="3" t="s">
        <v>551</v>
      </c>
      <c r="C276" t="s">
        <v>496</v>
      </c>
      <c r="D276" s="9">
        <v>76429</v>
      </c>
      <c r="E276">
        <v>7.6199999999999995E-5</v>
      </c>
    </row>
    <row r="277" spans="1:5">
      <c r="A277">
        <v>2015</v>
      </c>
      <c r="B277" s="3" t="s">
        <v>552</v>
      </c>
      <c r="C277" t="s">
        <v>497</v>
      </c>
      <c r="D277" s="9">
        <v>15288215</v>
      </c>
      <c r="E277">
        <v>1.5242E-2</v>
      </c>
    </row>
    <row r="278" spans="1:5">
      <c r="A278">
        <v>2015</v>
      </c>
      <c r="B278" s="3" t="s">
        <v>553</v>
      </c>
      <c r="C278" t="s">
        <v>498</v>
      </c>
      <c r="D278" s="9">
        <v>49863</v>
      </c>
      <c r="E278">
        <v>4.9700000000000002E-5</v>
      </c>
    </row>
    <row r="279" spans="1:5">
      <c r="A279">
        <v>2015</v>
      </c>
      <c r="B279" s="3" t="s">
        <v>554</v>
      </c>
      <c r="C279" t="s">
        <v>499</v>
      </c>
      <c r="D279" s="9">
        <v>36144</v>
      </c>
      <c r="E279">
        <v>3.6000000000000001E-5</v>
      </c>
    </row>
    <row r="280" spans="1:5">
      <c r="A280">
        <v>2015</v>
      </c>
      <c r="B280" s="3" t="s">
        <v>555</v>
      </c>
      <c r="C280" t="s">
        <v>500</v>
      </c>
      <c r="D280" s="9">
        <v>162781</v>
      </c>
      <c r="E280">
        <v>1.6229999999999999E-4</v>
      </c>
    </row>
    <row r="281" spans="1:5">
      <c r="A281">
        <v>2015</v>
      </c>
      <c r="B281" s="3" t="s">
        <v>556</v>
      </c>
      <c r="C281" t="s">
        <v>501</v>
      </c>
      <c r="D281" s="9">
        <v>7124</v>
      </c>
      <c r="E281">
        <v>7.0999999999999998E-6</v>
      </c>
    </row>
    <row r="282" spans="1:5">
      <c r="A282">
        <v>2015</v>
      </c>
      <c r="B282" s="3" t="s">
        <v>557</v>
      </c>
      <c r="C282" t="s">
        <v>502</v>
      </c>
      <c r="D282" s="9">
        <v>41411</v>
      </c>
      <c r="E282">
        <v>4.1300000000000001E-5</v>
      </c>
    </row>
    <row r="283" spans="1:5">
      <c r="A283">
        <v>2015</v>
      </c>
      <c r="B283" s="3" t="s">
        <v>558</v>
      </c>
      <c r="C283" t="s">
        <v>503</v>
      </c>
      <c r="D283" s="9">
        <v>27555</v>
      </c>
      <c r="E283">
        <v>2.7500000000000001E-5</v>
      </c>
    </row>
    <row r="284" spans="1:5">
      <c r="A284">
        <v>2015</v>
      </c>
      <c r="B284" s="3" t="s">
        <v>559</v>
      </c>
      <c r="C284" t="s">
        <v>504</v>
      </c>
      <c r="D284" s="9">
        <v>1671680</v>
      </c>
      <c r="E284">
        <v>1.6666000000000001E-3</v>
      </c>
    </row>
    <row r="285" spans="1:5">
      <c r="A285">
        <v>2015</v>
      </c>
      <c r="B285" s="3" t="s">
        <v>560</v>
      </c>
      <c r="C285" t="s">
        <v>505</v>
      </c>
      <c r="D285" s="9">
        <v>87280</v>
      </c>
      <c r="E285">
        <v>8.7000000000000001E-5</v>
      </c>
    </row>
    <row r="286" spans="1:5">
      <c r="A286">
        <v>2015</v>
      </c>
      <c r="B286" s="3" t="s">
        <v>561</v>
      </c>
      <c r="C286" t="s">
        <v>506</v>
      </c>
      <c r="D286" s="9">
        <v>214363</v>
      </c>
      <c r="E286">
        <v>2.1369999999999999E-4</v>
      </c>
    </row>
    <row r="287" spans="1:5">
      <c r="A287">
        <v>2015</v>
      </c>
      <c r="B287" s="3" t="s">
        <v>562</v>
      </c>
      <c r="C287" t="s">
        <v>507</v>
      </c>
      <c r="D287" s="9">
        <v>10473155</v>
      </c>
      <c r="E287">
        <v>1.0441499999999999E-2</v>
      </c>
    </row>
    <row r="288" spans="1:5">
      <c r="A288">
        <v>2015</v>
      </c>
      <c r="B288" s="3" t="s">
        <v>563</v>
      </c>
      <c r="C288" t="s">
        <v>508</v>
      </c>
      <c r="D288" s="9">
        <v>7702</v>
      </c>
      <c r="E288">
        <v>7.7000000000000008E-6</v>
      </c>
    </row>
    <row r="289" spans="1:5">
      <c r="A289">
        <v>2015</v>
      </c>
      <c r="B289" s="3" t="s">
        <v>564</v>
      </c>
      <c r="C289" t="s">
        <v>509</v>
      </c>
      <c r="D289" s="9">
        <v>927588</v>
      </c>
      <c r="E289">
        <v>9.2480000000000004E-4</v>
      </c>
    </row>
    <row r="290" spans="1:5">
      <c r="A290">
        <v>2015</v>
      </c>
      <c r="B290" s="3" t="s">
        <v>565</v>
      </c>
      <c r="C290" t="s">
        <v>510</v>
      </c>
      <c r="D290" s="9">
        <v>2038136</v>
      </c>
      <c r="E290">
        <v>2.032E-3</v>
      </c>
    </row>
    <row r="291" spans="1:5">
      <c r="A291">
        <v>2015</v>
      </c>
      <c r="B291" s="3" t="s">
        <v>566</v>
      </c>
      <c r="C291" t="s">
        <v>511</v>
      </c>
      <c r="D291" s="9">
        <v>109008</v>
      </c>
      <c r="E291">
        <v>1.087E-4</v>
      </c>
    </row>
    <row r="292" spans="1:5">
      <c r="A292">
        <v>2015</v>
      </c>
      <c r="B292" s="3" t="s">
        <v>567</v>
      </c>
      <c r="C292" t="s">
        <v>512</v>
      </c>
      <c r="D292" s="9">
        <v>75649</v>
      </c>
      <c r="E292">
        <v>7.5400000000000003E-5</v>
      </c>
    </row>
    <row r="293" spans="1:5">
      <c r="A293">
        <v>2015</v>
      </c>
      <c r="B293" s="3" t="s">
        <v>568</v>
      </c>
      <c r="C293" t="s">
        <v>513</v>
      </c>
      <c r="D293" s="9">
        <v>169038</v>
      </c>
      <c r="E293">
        <v>1.685E-4</v>
      </c>
    </row>
    <row r="294" spans="1:5">
      <c r="A294">
        <v>2015</v>
      </c>
      <c r="B294" s="3" t="s">
        <v>569</v>
      </c>
      <c r="C294" t="s">
        <v>514</v>
      </c>
      <c r="D294" s="9">
        <v>157915</v>
      </c>
      <c r="E294">
        <v>1.574E-4</v>
      </c>
    </row>
    <row r="295" spans="1:5">
      <c r="A295">
        <v>2015</v>
      </c>
      <c r="B295" s="3" t="s">
        <v>570</v>
      </c>
      <c r="C295" t="s">
        <v>515</v>
      </c>
      <c r="D295" s="9">
        <v>160089</v>
      </c>
      <c r="E295">
        <v>1.596E-4</v>
      </c>
    </row>
    <row r="296" spans="1:5">
      <c r="A296">
        <v>2015</v>
      </c>
      <c r="B296" s="3" t="s">
        <v>571</v>
      </c>
      <c r="C296" t="s">
        <v>516</v>
      </c>
      <c r="D296" s="9">
        <v>665433</v>
      </c>
      <c r="E296">
        <v>6.6339999999999997E-4</v>
      </c>
    </row>
    <row r="297" spans="1:5">
      <c r="A297">
        <v>2015</v>
      </c>
      <c r="B297" s="3" t="s">
        <v>572</v>
      </c>
      <c r="C297" t="s">
        <v>517</v>
      </c>
      <c r="D297" s="9">
        <v>214305</v>
      </c>
      <c r="E297">
        <v>2.1369999999999999E-4</v>
      </c>
    </row>
    <row r="298" spans="1:5">
      <c r="A298">
        <v>2015</v>
      </c>
      <c r="B298" s="3" t="s">
        <v>573</v>
      </c>
      <c r="C298" t="s">
        <v>518</v>
      </c>
      <c r="D298" s="9">
        <v>281557</v>
      </c>
      <c r="E298">
        <v>2.8069999999999999E-4</v>
      </c>
    </row>
    <row r="299" spans="1:5">
      <c r="A299">
        <v>2015</v>
      </c>
      <c r="B299" s="3" t="s">
        <v>574</v>
      </c>
      <c r="C299" t="s">
        <v>519</v>
      </c>
      <c r="D299" s="9">
        <v>270046</v>
      </c>
      <c r="E299">
        <v>2.6919999999999998E-4</v>
      </c>
    </row>
    <row r="300" spans="1:5">
      <c r="A300">
        <v>2015</v>
      </c>
      <c r="B300" s="3" t="s">
        <v>575</v>
      </c>
      <c r="C300" t="s">
        <v>520</v>
      </c>
      <c r="D300" s="9">
        <v>64791</v>
      </c>
      <c r="E300">
        <v>6.4599999999999998E-5</v>
      </c>
    </row>
    <row r="301" spans="1:5">
      <c r="A301">
        <v>2015</v>
      </c>
      <c r="B301" s="3" t="s">
        <v>576</v>
      </c>
      <c r="C301" t="s">
        <v>521</v>
      </c>
      <c r="D301" s="9">
        <v>96752</v>
      </c>
      <c r="E301">
        <v>9.6500000000000001E-5</v>
      </c>
    </row>
    <row r="302" spans="1:5">
      <c r="A302">
        <v>2015</v>
      </c>
      <c r="B302" s="3" t="s">
        <v>577</v>
      </c>
      <c r="C302" t="s">
        <v>522</v>
      </c>
      <c r="D302" s="9">
        <v>32483</v>
      </c>
      <c r="E302">
        <v>3.2400000000000001E-5</v>
      </c>
    </row>
    <row r="303" spans="1:5">
      <c r="A303">
        <v>2015</v>
      </c>
      <c r="B303" s="3" t="s">
        <v>578</v>
      </c>
      <c r="C303" t="s">
        <v>523</v>
      </c>
      <c r="D303" s="9">
        <v>1217194</v>
      </c>
      <c r="E303">
        <v>1.2135E-3</v>
      </c>
    </row>
    <row r="304" spans="1:5">
      <c r="A304">
        <v>2015</v>
      </c>
      <c r="B304" s="3" t="s">
        <v>579</v>
      </c>
      <c r="C304" t="s">
        <v>524</v>
      </c>
      <c r="D304" s="9"/>
      <c r="E304">
        <v>0</v>
      </c>
    </row>
    <row r="305" spans="1:5">
      <c r="A305">
        <v>2015</v>
      </c>
      <c r="B305" s="3" t="s">
        <v>580</v>
      </c>
      <c r="C305" t="s">
        <v>525</v>
      </c>
      <c r="D305" s="9">
        <v>75359</v>
      </c>
      <c r="E305">
        <v>7.5099999999999996E-5</v>
      </c>
    </row>
    <row r="306" spans="1:5">
      <c r="A306">
        <v>2015</v>
      </c>
      <c r="B306" s="3" t="s">
        <v>581</v>
      </c>
      <c r="C306" t="s">
        <v>526</v>
      </c>
      <c r="D306" s="9">
        <v>14904</v>
      </c>
      <c r="E306">
        <v>1.49E-5</v>
      </c>
    </row>
    <row r="307" spans="1:5">
      <c r="A307">
        <v>2015</v>
      </c>
      <c r="B307" s="3" t="s">
        <v>582</v>
      </c>
      <c r="C307" t="s">
        <v>527</v>
      </c>
      <c r="D307" s="9">
        <v>510477</v>
      </c>
      <c r="E307">
        <v>5.0889999999999996E-4</v>
      </c>
    </row>
    <row r="308" spans="1:5">
      <c r="A308">
        <v>2015</v>
      </c>
      <c r="B308" s="3" t="s">
        <v>583</v>
      </c>
      <c r="C308" t="s">
        <v>528</v>
      </c>
      <c r="D308" s="9">
        <v>10565</v>
      </c>
      <c r="E308">
        <v>1.0499999999999999E-5</v>
      </c>
    </row>
    <row r="309" spans="1:5">
      <c r="A309">
        <v>2015</v>
      </c>
      <c r="B309" s="3" t="s">
        <v>584</v>
      </c>
      <c r="C309" t="s">
        <v>529</v>
      </c>
      <c r="D309" s="9"/>
      <c r="E309">
        <v>0</v>
      </c>
    </row>
    <row r="310" spans="1:5">
      <c r="A310">
        <v>2015</v>
      </c>
      <c r="B310" s="3" t="s">
        <v>585</v>
      </c>
      <c r="C310" t="s">
        <v>530</v>
      </c>
      <c r="D310" s="9">
        <v>194014</v>
      </c>
      <c r="E310">
        <v>1.9340000000000001E-4</v>
      </c>
    </row>
    <row r="311" spans="1:5">
      <c r="A311">
        <v>2015</v>
      </c>
      <c r="B311" s="3" t="s">
        <v>586</v>
      </c>
      <c r="C311" t="s">
        <v>531</v>
      </c>
      <c r="D311" s="9">
        <v>111876</v>
      </c>
      <c r="E311">
        <v>1.115E-4</v>
      </c>
    </row>
    <row r="312" spans="1:5">
      <c r="A312">
        <v>2015</v>
      </c>
      <c r="B312" s="3" t="s">
        <v>587</v>
      </c>
      <c r="C312" t="s">
        <v>532</v>
      </c>
      <c r="D312" s="9">
        <v>142211</v>
      </c>
      <c r="E312">
        <v>1.418E-4</v>
      </c>
    </row>
    <row r="313" spans="1:5">
      <c r="A313">
        <v>2015</v>
      </c>
      <c r="B313" s="3" t="s">
        <v>588</v>
      </c>
      <c r="C313" t="s">
        <v>533</v>
      </c>
      <c r="D313" s="9">
        <v>126262</v>
      </c>
      <c r="E313">
        <v>1.259E-4</v>
      </c>
    </row>
    <row r="314" spans="1:5">
      <c r="A314">
        <v>2015</v>
      </c>
      <c r="B314" s="3" t="s">
        <v>589</v>
      </c>
      <c r="C314" t="s">
        <v>534</v>
      </c>
      <c r="D314" s="9">
        <v>4949469</v>
      </c>
      <c r="E314">
        <v>4.9344999999999997E-3</v>
      </c>
    </row>
    <row r="315" spans="1:5">
      <c r="A315">
        <v>2015</v>
      </c>
      <c r="B315" s="3" t="s">
        <v>590</v>
      </c>
      <c r="C315" t="s">
        <v>535</v>
      </c>
      <c r="D315" s="9">
        <v>3594078</v>
      </c>
      <c r="E315">
        <v>3.5831999999999999E-3</v>
      </c>
    </row>
    <row r="316" spans="1:5">
      <c r="A316">
        <v>2015</v>
      </c>
      <c r="B316" s="3" t="s">
        <v>591</v>
      </c>
      <c r="C316" t="s">
        <v>536</v>
      </c>
      <c r="D316" s="9">
        <v>52185</v>
      </c>
      <c r="E316">
        <v>5.1999999999999997E-5</v>
      </c>
    </row>
    <row r="317" spans="1:5">
      <c r="A317">
        <v>2015</v>
      </c>
      <c r="B317" s="3" t="s">
        <v>592</v>
      </c>
      <c r="C317" t="s">
        <v>537</v>
      </c>
      <c r="D317" s="9">
        <v>2648808</v>
      </c>
      <c r="E317">
        <v>2.6408E-3</v>
      </c>
    </row>
    <row r="318" spans="1:5">
      <c r="A318">
        <v>2015</v>
      </c>
      <c r="B318" s="3" t="s">
        <v>593</v>
      </c>
      <c r="C318" t="s">
        <v>538</v>
      </c>
      <c r="D318" s="9">
        <v>637256</v>
      </c>
      <c r="E318">
        <v>6.3529999999999999E-4</v>
      </c>
    </row>
    <row r="319" spans="1:5">
      <c r="A319">
        <v>2015</v>
      </c>
      <c r="B319" s="3" t="s">
        <v>594</v>
      </c>
      <c r="C319" t="s">
        <v>539</v>
      </c>
      <c r="D319" s="9">
        <v>13829</v>
      </c>
      <c r="E319">
        <v>1.38E-5</v>
      </c>
    </row>
    <row r="320" spans="1:5">
      <c r="A320">
        <v>2015</v>
      </c>
      <c r="B320" s="3" t="s">
        <v>595</v>
      </c>
      <c r="C320" t="s">
        <v>540</v>
      </c>
      <c r="D320" s="9">
        <v>489800</v>
      </c>
      <c r="E320">
        <v>4.883E-4</v>
      </c>
    </row>
    <row r="321" spans="1:5">
      <c r="A321">
        <v>2015</v>
      </c>
      <c r="B321" s="3" t="s">
        <v>596</v>
      </c>
      <c r="C321" t="s">
        <v>541</v>
      </c>
      <c r="D321" s="9">
        <v>791651</v>
      </c>
      <c r="E321">
        <v>7.8930000000000005E-4</v>
      </c>
    </row>
    <row r="322" spans="1:5">
      <c r="A322">
        <v>2015</v>
      </c>
      <c r="B322" s="3" t="s">
        <v>597</v>
      </c>
      <c r="C322" t="s">
        <v>542</v>
      </c>
      <c r="D322" s="9">
        <v>2033431</v>
      </c>
      <c r="E322">
        <v>2.0273000000000001E-3</v>
      </c>
    </row>
    <row r="323" spans="1:5">
      <c r="A323">
        <v>2015</v>
      </c>
      <c r="B323" s="3" t="s">
        <v>598</v>
      </c>
      <c r="C323" t="s">
        <v>543</v>
      </c>
      <c r="D323" s="9">
        <v>176889</v>
      </c>
      <c r="E323">
        <v>1.7640000000000001E-4</v>
      </c>
    </row>
    <row r="324" spans="1:5">
      <c r="A324">
        <v>2015</v>
      </c>
      <c r="B324" s="3" t="s">
        <v>599</v>
      </c>
      <c r="C324" t="s">
        <v>544</v>
      </c>
      <c r="D324" s="9">
        <v>142407</v>
      </c>
      <c r="E324">
        <v>1.4200000000000001E-4</v>
      </c>
    </row>
    <row r="325" spans="1:5">
      <c r="A325">
        <v>2015</v>
      </c>
      <c r="B325" s="3" t="s">
        <v>600</v>
      </c>
      <c r="C325" t="s">
        <v>545</v>
      </c>
      <c r="D325" s="9">
        <v>2041123</v>
      </c>
      <c r="E325">
        <v>2.0349999999999999E-3</v>
      </c>
    </row>
    <row r="326" spans="1:5">
      <c r="A326">
        <v>2015</v>
      </c>
      <c r="B326" s="3" t="s">
        <v>601</v>
      </c>
      <c r="C326" t="s">
        <v>546</v>
      </c>
      <c r="D326" s="9">
        <v>1016844</v>
      </c>
      <c r="E326">
        <v>1.0138E-3</v>
      </c>
    </row>
    <row r="327" spans="1:5">
      <c r="A327">
        <v>2015</v>
      </c>
      <c r="B327" s="3" t="s">
        <v>602</v>
      </c>
      <c r="C327" t="s">
        <v>547</v>
      </c>
      <c r="D327" s="9">
        <v>78496</v>
      </c>
      <c r="E327">
        <v>7.8300000000000006E-5</v>
      </c>
    </row>
    <row r="328" spans="1:5">
      <c r="A328">
        <v>2015</v>
      </c>
      <c r="B328" s="3" t="s">
        <v>603</v>
      </c>
      <c r="C328" t="s">
        <v>548</v>
      </c>
      <c r="D328" s="9">
        <v>70967</v>
      </c>
      <c r="E328">
        <v>7.08E-5</v>
      </c>
    </row>
    <row r="329" spans="1:5">
      <c r="A329">
        <v>2015</v>
      </c>
      <c r="B329" s="3" t="s">
        <v>604</v>
      </c>
      <c r="C329" t="s">
        <v>549</v>
      </c>
      <c r="D329" s="9">
        <v>248538</v>
      </c>
      <c r="E329">
        <v>2.4780000000000001E-4</v>
      </c>
    </row>
    <row r="330" spans="1:5">
      <c r="A330">
        <v>2015</v>
      </c>
      <c r="B330" s="3" t="s">
        <v>660</v>
      </c>
      <c r="C330" t="s">
        <v>605</v>
      </c>
      <c r="D330" s="9">
        <v>1747197</v>
      </c>
      <c r="E330">
        <v>1.7419E-3</v>
      </c>
    </row>
    <row r="331" spans="1:5">
      <c r="A331">
        <v>2015</v>
      </c>
      <c r="B331" s="3" t="s">
        <v>661</v>
      </c>
      <c r="C331" t="s">
        <v>606</v>
      </c>
      <c r="D331" s="9">
        <v>32962</v>
      </c>
      <c r="E331">
        <v>3.29E-5</v>
      </c>
    </row>
    <row r="332" spans="1:5">
      <c r="A332">
        <v>2015</v>
      </c>
      <c r="B332" s="3" t="s">
        <v>662</v>
      </c>
      <c r="C332" t="s">
        <v>607</v>
      </c>
      <c r="D332" s="9">
        <v>52020</v>
      </c>
      <c r="E332">
        <v>5.1900000000000001E-5</v>
      </c>
    </row>
    <row r="333" spans="1:5">
      <c r="A333">
        <v>2015</v>
      </c>
      <c r="B333" s="3" t="s">
        <v>663</v>
      </c>
      <c r="C333" t="s">
        <v>608</v>
      </c>
      <c r="D333" s="9">
        <v>24394</v>
      </c>
      <c r="E333">
        <v>2.4300000000000001E-5</v>
      </c>
    </row>
    <row r="334" spans="1:5">
      <c r="A334">
        <v>2015</v>
      </c>
      <c r="B334" s="3" t="s">
        <v>664</v>
      </c>
      <c r="C334" t="s">
        <v>609</v>
      </c>
      <c r="D334" s="9">
        <v>17204911</v>
      </c>
      <c r="E334">
        <v>1.7152899999999999E-2</v>
      </c>
    </row>
    <row r="335" spans="1:5">
      <c r="A335">
        <v>2015</v>
      </c>
      <c r="B335" s="3" t="s">
        <v>665</v>
      </c>
      <c r="C335" t="s">
        <v>610</v>
      </c>
      <c r="D335" s="9">
        <v>5954406</v>
      </c>
      <c r="E335">
        <v>5.9363999999999997E-3</v>
      </c>
    </row>
    <row r="336" spans="1:5">
      <c r="A336">
        <v>2015</v>
      </c>
      <c r="B336" s="3" t="s">
        <v>666</v>
      </c>
      <c r="C336" t="s">
        <v>611</v>
      </c>
      <c r="D336" s="9">
        <v>7675991</v>
      </c>
      <c r="E336">
        <v>7.6528000000000004E-3</v>
      </c>
    </row>
    <row r="337" spans="1:5">
      <c r="A337">
        <v>2015</v>
      </c>
      <c r="B337" s="3" t="s">
        <v>667</v>
      </c>
      <c r="C337" t="s">
        <v>612</v>
      </c>
      <c r="D337" s="9">
        <v>726223</v>
      </c>
      <c r="E337">
        <v>7.2400000000000003E-4</v>
      </c>
    </row>
    <row r="338" spans="1:5">
      <c r="A338">
        <v>2015</v>
      </c>
      <c r="B338" s="3" t="s">
        <v>668</v>
      </c>
      <c r="C338" t="s">
        <v>613</v>
      </c>
      <c r="D338" s="9">
        <v>169072</v>
      </c>
      <c r="E338">
        <v>1.6860000000000001E-4</v>
      </c>
    </row>
    <row r="339" spans="1:5">
      <c r="A339">
        <v>2015</v>
      </c>
      <c r="B339" s="3" t="s">
        <v>669</v>
      </c>
      <c r="C339" t="s">
        <v>614</v>
      </c>
      <c r="D339" s="9">
        <v>72508</v>
      </c>
      <c r="E339">
        <v>7.2299999999999996E-5</v>
      </c>
    </row>
    <row r="340" spans="1:5">
      <c r="A340">
        <v>2015</v>
      </c>
      <c r="B340" s="3" t="s">
        <v>670</v>
      </c>
      <c r="C340" t="s">
        <v>615</v>
      </c>
      <c r="D340" s="9">
        <v>666721</v>
      </c>
      <c r="E340">
        <v>6.6469999999999995E-4</v>
      </c>
    </row>
    <row r="341" spans="1:5">
      <c r="A341">
        <v>2015</v>
      </c>
      <c r="B341" s="3" t="s">
        <v>671</v>
      </c>
      <c r="C341" t="s">
        <v>616</v>
      </c>
      <c r="D341" s="9">
        <v>720</v>
      </c>
      <c r="E341">
        <v>6.9999999999999997E-7</v>
      </c>
    </row>
    <row r="342" spans="1:5">
      <c r="A342">
        <v>2015</v>
      </c>
      <c r="B342" s="3" t="s">
        <v>672</v>
      </c>
      <c r="C342" t="s">
        <v>617</v>
      </c>
      <c r="D342" s="9">
        <v>173732</v>
      </c>
      <c r="E342">
        <v>1.7320000000000001E-4</v>
      </c>
    </row>
    <row r="343" spans="1:5">
      <c r="A343">
        <v>2015</v>
      </c>
      <c r="B343" s="3" t="s">
        <v>673</v>
      </c>
      <c r="C343" t="s">
        <v>618</v>
      </c>
      <c r="D343" s="9">
        <v>96696</v>
      </c>
      <c r="E343">
        <v>9.6399999999999999E-5</v>
      </c>
    </row>
    <row r="344" spans="1:5">
      <c r="A344">
        <v>2015</v>
      </c>
      <c r="B344" s="3" t="s">
        <v>674</v>
      </c>
      <c r="C344" t="s">
        <v>619</v>
      </c>
      <c r="D344" s="9">
        <v>42258</v>
      </c>
      <c r="E344">
        <v>4.21E-5</v>
      </c>
    </row>
    <row r="345" spans="1:5">
      <c r="A345">
        <v>2015</v>
      </c>
      <c r="B345" s="3" t="s">
        <v>675</v>
      </c>
      <c r="C345" t="s">
        <v>620</v>
      </c>
      <c r="D345" s="9">
        <v>531579</v>
      </c>
      <c r="E345">
        <v>5.2999999999999998E-4</v>
      </c>
    </row>
    <row r="346" spans="1:5">
      <c r="A346">
        <v>2015</v>
      </c>
      <c r="B346" s="3" t="s">
        <v>676</v>
      </c>
      <c r="C346" t="s">
        <v>621</v>
      </c>
      <c r="D346" s="9">
        <v>7032</v>
      </c>
      <c r="E346">
        <v>6.9999999999999999E-6</v>
      </c>
    </row>
    <row r="347" spans="1:5">
      <c r="A347">
        <v>2015</v>
      </c>
      <c r="B347" s="3" t="s">
        <v>677</v>
      </c>
      <c r="C347" t="s">
        <v>622</v>
      </c>
      <c r="D347" s="9">
        <v>5640</v>
      </c>
      <c r="E347">
        <v>5.5999999999999997E-6</v>
      </c>
    </row>
    <row r="348" spans="1:5">
      <c r="A348">
        <v>2015</v>
      </c>
      <c r="B348" s="3" t="s">
        <v>678</v>
      </c>
      <c r="C348" t="s">
        <v>623</v>
      </c>
      <c r="D348" s="9">
        <v>4408</v>
      </c>
      <c r="E348">
        <v>4.4000000000000002E-6</v>
      </c>
    </row>
    <row r="349" spans="1:5">
      <c r="A349">
        <v>2015</v>
      </c>
      <c r="B349" s="3" t="s">
        <v>679</v>
      </c>
      <c r="C349" t="s">
        <v>624</v>
      </c>
      <c r="D349" s="9"/>
      <c r="E349">
        <v>0</v>
      </c>
    </row>
    <row r="350" spans="1:5">
      <c r="A350">
        <v>2015</v>
      </c>
      <c r="B350" s="3" t="s">
        <v>680</v>
      </c>
      <c r="C350" t="s">
        <v>625</v>
      </c>
      <c r="D350" s="9">
        <v>41324</v>
      </c>
      <c r="E350">
        <v>4.1199999999999999E-5</v>
      </c>
    </row>
    <row r="351" spans="1:5">
      <c r="A351">
        <v>2015</v>
      </c>
      <c r="B351" s="3" t="s">
        <v>681</v>
      </c>
      <c r="C351" t="s">
        <v>626</v>
      </c>
      <c r="D351" s="9">
        <v>234443</v>
      </c>
      <c r="E351">
        <v>2.3369999999999999E-4</v>
      </c>
    </row>
    <row r="352" spans="1:5">
      <c r="A352">
        <v>2015</v>
      </c>
      <c r="B352" s="3" t="s">
        <v>682</v>
      </c>
      <c r="C352" t="s">
        <v>627</v>
      </c>
      <c r="D352" s="9">
        <v>30517</v>
      </c>
      <c r="E352">
        <v>3.04E-5</v>
      </c>
    </row>
    <row r="353" spans="1:5">
      <c r="A353">
        <v>2015</v>
      </c>
      <c r="B353" s="3" t="s">
        <v>683</v>
      </c>
      <c r="C353" t="s">
        <v>628</v>
      </c>
      <c r="D353" s="9">
        <v>157602</v>
      </c>
      <c r="E353">
        <v>1.571E-4</v>
      </c>
    </row>
    <row r="354" spans="1:5">
      <c r="A354">
        <v>2015</v>
      </c>
      <c r="B354" s="3" t="s">
        <v>684</v>
      </c>
      <c r="C354" t="s">
        <v>629</v>
      </c>
      <c r="D354" s="9">
        <v>318077</v>
      </c>
      <c r="E354">
        <v>3.1710000000000001E-4</v>
      </c>
    </row>
    <row r="355" spans="1:5">
      <c r="A355">
        <v>2015</v>
      </c>
      <c r="B355" s="3" t="s">
        <v>685</v>
      </c>
      <c r="C355" t="s">
        <v>630</v>
      </c>
      <c r="D355" s="9">
        <v>25312</v>
      </c>
      <c r="E355">
        <v>2.5199999999999999E-5</v>
      </c>
    </row>
    <row r="356" spans="1:5">
      <c r="A356">
        <v>2015</v>
      </c>
      <c r="B356" s="3" t="s">
        <v>686</v>
      </c>
      <c r="C356" t="s">
        <v>631</v>
      </c>
      <c r="D356" s="9">
        <v>251588</v>
      </c>
      <c r="E356">
        <v>2.5080000000000002E-4</v>
      </c>
    </row>
    <row r="357" spans="1:5">
      <c r="A357">
        <v>2015</v>
      </c>
      <c r="B357" s="3" t="s">
        <v>687</v>
      </c>
      <c r="C357" t="s">
        <v>632</v>
      </c>
      <c r="D357" s="9">
        <v>443202</v>
      </c>
      <c r="E357">
        <v>4.4190000000000001E-4</v>
      </c>
    </row>
    <row r="358" spans="1:5">
      <c r="A358">
        <v>2015</v>
      </c>
      <c r="B358" s="3" t="s">
        <v>688</v>
      </c>
      <c r="C358" t="s">
        <v>633</v>
      </c>
      <c r="D358" s="9">
        <v>14977</v>
      </c>
      <c r="E358">
        <v>1.49E-5</v>
      </c>
    </row>
    <row r="359" spans="1:5">
      <c r="A359">
        <v>2015</v>
      </c>
      <c r="B359" s="3" t="s">
        <v>689</v>
      </c>
      <c r="C359" t="s">
        <v>634</v>
      </c>
      <c r="D359" s="9">
        <v>4437026</v>
      </c>
      <c r="E359">
        <v>4.4235999999999998E-3</v>
      </c>
    </row>
    <row r="360" spans="1:5">
      <c r="A360">
        <v>2015</v>
      </c>
      <c r="B360" s="3" t="s">
        <v>690</v>
      </c>
      <c r="C360" t="s">
        <v>635</v>
      </c>
      <c r="D360" s="9">
        <v>18569</v>
      </c>
      <c r="E360">
        <v>1.8499999999999999E-5</v>
      </c>
    </row>
    <row r="361" spans="1:5">
      <c r="A361">
        <v>2015</v>
      </c>
      <c r="B361" s="3" t="s">
        <v>691</v>
      </c>
      <c r="C361" t="s">
        <v>636</v>
      </c>
      <c r="D361" s="9">
        <v>1316170</v>
      </c>
      <c r="E361">
        <v>1.3121999999999999E-3</v>
      </c>
    </row>
    <row r="362" spans="1:5">
      <c r="A362">
        <v>2015</v>
      </c>
      <c r="B362" s="3" t="s">
        <v>692</v>
      </c>
      <c r="C362" t="s">
        <v>637</v>
      </c>
      <c r="D362" s="9">
        <v>238748</v>
      </c>
      <c r="E362">
        <v>2.3800000000000001E-4</v>
      </c>
    </row>
    <row r="363" spans="1:5">
      <c r="A363">
        <v>2015</v>
      </c>
      <c r="B363" s="3" t="s">
        <v>693</v>
      </c>
      <c r="C363" t="s">
        <v>638</v>
      </c>
      <c r="D363" s="9">
        <v>49357</v>
      </c>
      <c r="E363">
        <v>4.9200000000000003E-5</v>
      </c>
    </row>
    <row r="364" spans="1:5">
      <c r="A364">
        <v>2015</v>
      </c>
      <c r="B364" s="3" t="s">
        <v>694</v>
      </c>
      <c r="C364" t="s">
        <v>639</v>
      </c>
      <c r="D364" s="9">
        <v>2373238</v>
      </c>
      <c r="E364">
        <v>2.3660999999999999E-3</v>
      </c>
    </row>
    <row r="365" spans="1:5">
      <c r="A365">
        <v>2015</v>
      </c>
      <c r="B365" s="3" t="s">
        <v>695</v>
      </c>
      <c r="C365" t="s">
        <v>640</v>
      </c>
      <c r="D365" s="9">
        <v>96661</v>
      </c>
      <c r="E365">
        <v>9.6399999999999999E-5</v>
      </c>
    </row>
    <row r="366" spans="1:5">
      <c r="A366">
        <v>2015</v>
      </c>
      <c r="B366" s="3" t="s">
        <v>696</v>
      </c>
      <c r="C366" t="s">
        <v>641</v>
      </c>
      <c r="D366" s="9">
        <v>22396</v>
      </c>
      <c r="E366">
        <v>2.23E-5</v>
      </c>
    </row>
    <row r="367" spans="1:5">
      <c r="A367">
        <v>2015</v>
      </c>
      <c r="B367" s="3" t="s">
        <v>697</v>
      </c>
      <c r="C367" t="s">
        <v>642</v>
      </c>
      <c r="D367" s="9">
        <v>127152</v>
      </c>
      <c r="E367">
        <v>1.2679999999999999E-4</v>
      </c>
    </row>
    <row r="368" spans="1:5">
      <c r="A368">
        <v>2015</v>
      </c>
      <c r="B368" s="3" t="s">
        <v>698</v>
      </c>
      <c r="C368" t="s">
        <v>643</v>
      </c>
      <c r="D368" s="9">
        <v>3894099</v>
      </c>
      <c r="E368">
        <v>3.8823E-3</v>
      </c>
    </row>
    <row r="369" spans="1:5">
      <c r="A369">
        <v>2015</v>
      </c>
      <c r="B369" s="3" t="s">
        <v>699</v>
      </c>
      <c r="C369" t="s">
        <v>644</v>
      </c>
      <c r="D369" s="9">
        <v>1784160</v>
      </c>
      <c r="E369">
        <v>1.7788000000000001E-3</v>
      </c>
    </row>
    <row r="370" spans="1:5">
      <c r="A370">
        <v>2015</v>
      </c>
      <c r="B370" s="3" t="s">
        <v>700</v>
      </c>
      <c r="C370" t="s">
        <v>645</v>
      </c>
      <c r="D370" s="9">
        <v>14009</v>
      </c>
      <c r="E370">
        <v>1.4E-5</v>
      </c>
    </row>
    <row r="371" spans="1:5">
      <c r="A371">
        <v>2015</v>
      </c>
      <c r="B371" s="3" t="s">
        <v>701</v>
      </c>
      <c r="C371" t="s">
        <v>646</v>
      </c>
      <c r="D371" s="9">
        <v>261414</v>
      </c>
      <c r="E371">
        <v>2.6059999999999999E-4</v>
      </c>
    </row>
    <row r="372" spans="1:5">
      <c r="A372">
        <v>2015</v>
      </c>
      <c r="B372" s="3" t="s">
        <v>702</v>
      </c>
      <c r="C372" t="s">
        <v>647</v>
      </c>
      <c r="D372" s="9">
        <v>177664</v>
      </c>
      <c r="E372">
        <v>1.771E-4</v>
      </c>
    </row>
    <row r="373" spans="1:5">
      <c r="A373">
        <v>2015</v>
      </c>
      <c r="B373" s="3" t="s">
        <v>703</v>
      </c>
      <c r="C373" t="s">
        <v>648</v>
      </c>
      <c r="D373" s="9">
        <v>1374644</v>
      </c>
      <c r="E373">
        <v>1.3705E-3</v>
      </c>
    </row>
    <row r="374" spans="1:5">
      <c r="A374">
        <v>2015</v>
      </c>
      <c r="B374" s="3" t="s">
        <v>704</v>
      </c>
      <c r="C374" t="s">
        <v>649</v>
      </c>
      <c r="D374" s="9">
        <v>89820</v>
      </c>
      <c r="E374">
        <v>8.9499999999999994E-5</v>
      </c>
    </row>
    <row r="375" spans="1:5">
      <c r="A375">
        <v>2015</v>
      </c>
      <c r="B375" s="3" t="s">
        <v>705</v>
      </c>
      <c r="C375" t="s">
        <v>650</v>
      </c>
      <c r="D375" s="9">
        <v>495348</v>
      </c>
      <c r="E375">
        <v>4.9390000000000002E-4</v>
      </c>
    </row>
    <row r="376" spans="1:5">
      <c r="A376">
        <v>2015</v>
      </c>
      <c r="B376" s="3" t="s">
        <v>706</v>
      </c>
      <c r="C376" t="s">
        <v>651</v>
      </c>
      <c r="D376" s="9">
        <v>2823005</v>
      </c>
      <c r="E376">
        <v>2.8145000000000002E-3</v>
      </c>
    </row>
    <row r="377" spans="1:5">
      <c r="A377">
        <v>2015</v>
      </c>
      <c r="B377" s="3" t="s">
        <v>707</v>
      </c>
      <c r="C377" t="s">
        <v>652</v>
      </c>
      <c r="D377" s="9">
        <v>52475</v>
      </c>
      <c r="E377">
        <v>5.2299999999999997E-5</v>
      </c>
    </row>
    <row r="378" spans="1:5">
      <c r="A378">
        <v>2015</v>
      </c>
      <c r="B378" s="3" t="s">
        <v>708</v>
      </c>
      <c r="C378" t="s">
        <v>653</v>
      </c>
      <c r="D378" s="9">
        <v>8530815</v>
      </c>
      <c r="E378">
        <v>8.5050000000000004E-3</v>
      </c>
    </row>
    <row r="379" spans="1:5">
      <c r="A379">
        <v>2015</v>
      </c>
      <c r="B379" s="3" t="s">
        <v>709</v>
      </c>
      <c r="C379" t="s">
        <v>654</v>
      </c>
      <c r="D379" s="9">
        <v>946137</v>
      </c>
      <c r="E379">
        <v>9.433E-4</v>
      </c>
    </row>
    <row r="380" spans="1:5">
      <c r="A380">
        <v>2015</v>
      </c>
      <c r="B380" s="3" t="s">
        <v>710</v>
      </c>
      <c r="C380" t="s">
        <v>655</v>
      </c>
      <c r="D380" s="9">
        <v>2138031</v>
      </c>
      <c r="E380">
        <v>2.1316E-3</v>
      </c>
    </row>
    <row r="381" spans="1:5">
      <c r="A381">
        <v>2015</v>
      </c>
      <c r="B381" s="3" t="s">
        <v>711</v>
      </c>
      <c r="C381" t="s">
        <v>656</v>
      </c>
      <c r="D381" s="9">
        <v>14341</v>
      </c>
      <c r="E381">
        <v>1.43E-5</v>
      </c>
    </row>
    <row r="382" spans="1:5">
      <c r="A382">
        <v>2015</v>
      </c>
      <c r="B382" s="3" t="s">
        <v>712</v>
      </c>
      <c r="C382" t="s">
        <v>657</v>
      </c>
      <c r="D382" s="9">
        <v>2652362</v>
      </c>
      <c r="E382">
        <v>2.6443E-3</v>
      </c>
    </row>
    <row r="383" spans="1:5">
      <c r="A383">
        <v>2015</v>
      </c>
      <c r="B383" s="3" t="s">
        <v>713</v>
      </c>
      <c r="C383" t="s">
        <v>658</v>
      </c>
      <c r="D383" s="9">
        <v>127877</v>
      </c>
      <c r="E383">
        <v>1.2750000000000001E-4</v>
      </c>
    </row>
    <row r="384" spans="1:5">
      <c r="A384">
        <v>2015</v>
      </c>
      <c r="B384" s="3" t="s">
        <v>714</v>
      </c>
      <c r="C384" t="s">
        <v>659</v>
      </c>
      <c r="D384" s="9">
        <v>1438541</v>
      </c>
      <c r="E384">
        <v>1.4342000000000001E-3</v>
      </c>
    </row>
    <row r="385" spans="1:5">
      <c r="A385">
        <v>2015</v>
      </c>
      <c r="B385" s="3" t="s">
        <v>770</v>
      </c>
      <c r="C385" t="s">
        <v>715</v>
      </c>
      <c r="D385" s="9">
        <v>37550</v>
      </c>
      <c r="E385">
        <v>3.7400000000000001E-5</v>
      </c>
    </row>
    <row r="386" spans="1:5">
      <c r="A386">
        <v>2015</v>
      </c>
      <c r="B386" s="3" t="s">
        <v>771</v>
      </c>
      <c r="C386" t="s">
        <v>716</v>
      </c>
      <c r="D386" s="9">
        <v>57248</v>
      </c>
      <c r="E386">
        <v>5.7099999999999999E-5</v>
      </c>
    </row>
    <row r="387" spans="1:5">
      <c r="A387">
        <v>2015</v>
      </c>
      <c r="B387" s="3" t="s">
        <v>772</v>
      </c>
      <c r="C387" t="s">
        <v>717</v>
      </c>
      <c r="D387" s="9">
        <v>31666</v>
      </c>
      <c r="E387">
        <v>3.1600000000000002E-5</v>
      </c>
    </row>
    <row r="388" spans="1:5">
      <c r="A388">
        <v>2015</v>
      </c>
      <c r="B388" s="3" t="s">
        <v>773</v>
      </c>
      <c r="C388" t="s">
        <v>718</v>
      </c>
      <c r="D388" s="9">
        <v>4599777</v>
      </c>
      <c r="E388">
        <v>4.5859000000000004E-3</v>
      </c>
    </row>
    <row r="389" spans="1:5">
      <c r="A389">
        <v>2015</v>
      </c>
      <c r="B389" s="3" t="s">
        <v>774</v>
      </c>
      <c r="C389" t="s">
        <v>719</v>
      </c>
      <c r="D389" s="9">
        <v>240411</v>
      </c>
      <c r="E389">
        <v>2.397E-4</v>
      </c>
    </row>
    <row r="390" spans="1:5">
      <c r="A390">
        <v>2015</v>
      </c>
      <c r="B390" s="3" t="s">
        <v>775</v>
      </c>
      <c r="C390" t="s">
        <v>720</v>
      </c>
      <c r="D390" s="9">
        <v>2501706</v>
      </c>
      <c r="E390">
        <v>2.4941E-3</v>
      </c>
    </row>
    <row r="391" spans="1:5">
      <c r="A391">
        <v>2015</v>
      </c>
      <c r="B391" s="3" t="s">
        <v>776</v>
      </c>
      <c r="C391" t="s">
        <v>721</v>
      </c>
      <c r="D391" s="9"/>
      <c r="E391">
        <v>0</v>
      </c>
    </row>
    <row r="392" spans="1:5">
      <c r="A392">
        <v>2015</v>
      </c>
      <c r="B392" s="3" t="s">
        <v>777</v>
      </c>
      <c r="C392" t="s">
        <v>722</v>
      </c>
      <c r="D392" s="9">
        <v>85195</v>
      </c>
      <c r="E392">
        <v>8.4900000000000004E-5</v>
      </c>
    </row>
    <row r="393" spans="1:5">
      <c r="A393">
        <v>2015</v>
      </c>
      <c r="B393" s="3" t="s">
        <v>778</v>
      </c>
      <c r="C393" t="s">
        <v>723</v>
      </c>
      <c r="D393" s="9">
        <v>2828501</v>
      </c>
      <c r="E393">
        <v>2.82E-3</v>
      </c>
    </row>
    <row r="394" spans="1:5">
      <c r="A394">
        <v>2015</v>
      </c>
      <c r="B394" s="3" t="s">
        <v>779</v>
      </c>
      <c r="C394" t="s">
        <v>724</v>
      </c>
      <c r="D394" s="9">
        <v>123126</v>
      </c>
      <c r="E394">
        <v>1.228E-4</v>
      </c>
    </row>
    <row r="395" spans="1:5">
      <c r="A395">
        <v>2015</v>
      </c>
      <c r="B395" s="3" t="s">
        <v>780</v>
      </c>
      <c r="C395" t="s">
        <v>725</v>
      </c>
      <c r="D395" s="9">
        <v>469321</v>
      </c>
      <c r="E395">
        <v>4.6789999999999999E-4</v>
      </c>
    </row>
    <row r="396" spans="1:5">
      <c r="A396">
        <v>2015</v>
      </c>
      <c r="B396" s="3" t="s">
        <v>781</v>
      </c>
      <c r="C396" t="s">
        <v>726</v>
      </c>
      <c r="D396" s="9">
        <v>12279</v>
      </c>
      <c r="E396">
        <v>1.22E-5</v>
      </c>
    </row>
    <row r="397" spans="1:5">
      <c r="A397">
        <v>2015</v>
      </c>
      <c r="B397" s="3" t="s">
        <v>782</v>
      </c>
      <c r="C397" t="s">
        <v>727</v>
      </c>
      <c r="D397" s="9">
        <v>5871170</v>
      </c>
      <c r="E397">
        <v>5.8533999999999999E-3</v>
      </c>
    </row>
    <row r="398" spans="1:5">
      <c r="A398">
        <v>2015</v>
      </c>
      <c r="B398" s="3" t="s">
        <v>783</v>
      </c>
      <c r="C398" t="s">
        <v>728</v>
      </c>
      <c r="D398" s="9">
        <v>909726</v>
      </c>
      <c r="E398">
        <v>9.0700000000000004E-4</v>
      </c>
    </row>
    <row r="399" spans="1:5">
      <c r="A399">
        <v>2015</v>
      </c>
      <c r="B399" s="3" t="s">
        <v>784</v>
      </c>
      <c r="C399" t="s">
        <v>729</v>
      </c>
      <c r="D399" s="9">
        <v>35693179</v>
      </c>
      <c r="E399">
        <v>3.55853E-2</v>
      </c>
    </row>
    <row r="400" spans="1:5">
      <c r="A400">
        <v>2015</v>
      </c>
      <c r="B400" s="3" t="s">
        <v>785</v>
      </c>
      <c r="C400" t="s">
        <v>730</v>
      </c>
      <c r="D400" s="9">
        <v>388119</v>
      </c>
      <c r="E400">
        <v>3.8690000000000003E-4</v>
      </c>
    </row>
    <row r="401" spans="1:5">
      <c r="A401">
        <v>2015</v>
      </c>
      <c r="B401" s="3" t="s">
        <v>786</v>
      </c>
      <c r="C401" t="s">
        <v>731</v>
      </c>
      <c r="D401" s="9">
        <v>21548963</v>
      </c>
      <c r="E401">
        <v>2.1483800000000001E-2</v>
      </c>
    </row>
    <row r="402" spans="1:5">
      <c r="A402">
        <v>2015</v>
      </c>
      <c r="B402" s="3" t="s">
        <v>787</v>
      </c>
      <c r="C402" t="s">
        <v>732</v>
      </c>
      <c r="D402" s="9">
        <v>51582281</v>
      </c>
      <c r="E402">
        <v>5.1426399999999997E-2</v>
      </c>
    </row>
    <row r="403" spans="1:5">
      <c r="A403">
        <v>2015</v>
      </c>
      <c r="B403" s="3" t="s">
        <v>788</v>
      </c>
      <c r="C403" t="s">
        <v>733</v>
      </c>
      <c r="D403" s="9">
        <v>295131</v>
      </c>
      <c r="E403">
        <v>2.942E-4</v>
      </c>
    </row>
    <row r="404" spans="1:5">
      <c r="A404">
        <v>2015</v>
      </c>
      <c r="B404" s="3" t="s">
        <v>789</v>
      </c>
      <c r="C404" t="s">
        <v>734</v>
      </c>
      <c r="D404" s="9">
        <v>2641507</v>
      </c>
      <c r="E404">
        <v>2.6335E-3</v>
      </c>
    </row>
    <row r="405" spans="1:5">
      <c r="A405">
        <v>2015</v>
      </c>
      <c r="B405" s="3" t="s">
        <v>790</v>
      </c>
      <c r="C405" t="s">
        <v>735</v>
      </c>
      <c r="D405" s="9">
        <v>292695</v>
      </c>
      <c r="E405">
        <v>2.9179999999999999E-4</v>
      </c>
    </row>
    <row r="406" spans="1:5">
      <c r="A406">
        <v>2015</v>
      </c>
      <c r="B406" s="3" t="s">
        <v>791</v>
      </c>
      <c r="C406" t="s">
        <v>736</v>
      </c>
      <c r="D406" s="9">
        <v>188057</v>
      </c>
      <c r="E406">
        <v>1.875E-4</v>
      </c>
    </row>
    <row r="407" spans="1:5">
      <c r="A407">
        <v>2015</v>
      </c>
      <c r="B407" s="3" t="s">
        <v>792</v>
      </c>
      <c r="C407" t="s">
        <v>737</v>
      </c>
      <c r="D407" s="9">
        <v>324716</v>
      </c>
      <c r="E407">
        <v>3.2370000000000001E-4</v>
      </c>
    </row>
    <row r="408" spans="1:5">
      <c r="A408">
        <v>2015</v>
      </c>
      <c r="B408" s="3" t="s">
        <v>793</v>
      </c>
      <c r="C408" t="s">
        <v>738</v>
      </c>
      <c r="D408" s="9">
        <v>109551</v>
      </c>
      <c r="E408">
        <v>1.092E-4</v>
      </c>
    </row>
    <row r="409" spans="1:5">
      <c r="A409">
        <v>2015</v>
      </c>
      <c r="B409" s="3" t="s">
        <v>794</v>
      </c>
      <c r="C409" t="s">
        <v>739</v>
      </c>
      <c r="D409" s="9">
        <v>36849</v>
      </c>
      <c r="E409">
        <v>3.6699999999999998E-5</v>
      </c>
    </row>
    <row r="410" spans="1:5">
      <c r="A410">
        <v>2015</v>
      </c>
      <c r="B410" s="3" t="s">
        <v>795</v>
      </c>
      <c r="C410" t="s">
        <v>740</v>
      </c>
      <c r="D410" s="9">
        <v>33584554</v>
      </c>
      <c r="E410">
        <v>3.3483100000000002E-2</v>
      </c>
    </row>
    <row r="411" spans="1:5">
      <c r="A411">
        <v>2015</v>
      </c>
      <c r="B411" s="3" t="s">
        <v>796</v>
      </c>
      <c r="C411" t="s">
        <v>741</v>
      </c>
      <c r="D411" s="9">
        <v>101392</v>
      </c>
      <c r="E411">
        <v>1.011E-4</v>
      </c>
    </row>
    <row r="412" spans="1:5">
      <c r="A412">
        <v>2015</v>
      </c>
      <c r="B412" s="3" t="s">
        <v>797</v>
      </c>
      <c r="C412" t="s">
        <v>742</v>
      </c>
      <c r="D412" s="9">
        <v>320510</v>
      </c>
      <c r="E412">
        <v>3.1950000000000001E-4</v>
      </c>
    </row>
    <row r="413" spans="1:5">
      <c r="A413">
        <v>2015</v>
      </c>
      <c r="B413" s="3" t="s">
        <v>798</v>
      </c>
      <c r="C413" t="s">
        <v>743</v>
      </c>
      <c r="D413" s="9">
        <v>85479</v>
      </c>
      <c r="E413">
        <v>8.5199999999999997E-5</v>
      </c>
    </row>
    <row r="414" spans="1:5">
      <c r="A414">
        <v>2015</v>
      </c>
      <c r="B414" s="3" t="s">
        <v>799</v>
      </c>
      <c r="C414" t="s">
        <v>744</v>
      </c>
      <c r="D414" s="9">
        <v>472500</v>
      </c>
      <c r="E414">
        <v>4.7110000000000001E-4</v>
      </c>
    </row>
    <row r="415" spans="1:5">
      <c r="A415">
        <v>2015</v>
      </c>
      <c r="B415" s="3" t="s">
        <v>800</v>
      </c>
      <c r="C415" t="s">
        <v>745</v>
      </c>
      <c r="D415" s="9">
        <v>61553</v>
      </c>
      <c r="E415">
        <v>6.1400000000000002E-5</v>
      </c>
    </row>
    <row r="416" spans="1:5">
      <c r="A416">
        <v>2015</v>
      </c>
      <c r="B416" s="3" t="s">
        <v>801</v>
      </c>
      <c r="C416" t="s">
        <v>746</v>
      </c>
      <c r="D416" s="9">
        <v>524461</v>
      </c>
      <c r="E416">
        <v>5.2289999999999997E-4</v>
      </c>
    </row>
    <row r="417" spans="1:5">
      <c r="A417">
        <v>2015</v>
      </c>
      <c r="B417" s="3" t="s">
        <v>802</v>
      </c>
      <c r="C417" t="s">
        <v>747</v>
      </c>
      <c r="D417" s="9">
        <v>33761</v>
      </c>
      <c r="E417">
        <v>3.3699999999999999E-5</v>
      </c>
    </row>
    <row r="418" spans="1:5">
      <c r="A418">
        <v>2015</v>
      </c>
      <c r="B418" s="3" t="s">
        <v>803</v>
      </c>
      <c r="C418" t="s">
        <v>748</v>
      </c>
      <c r="D418" s="9">
        <v>149546</v>
      </c>
      <c r="E418">
        <v>1.4909999999999999E-4</v>
      </c>
    </row>
    <row r="419" spans="1:5">
      <c r="A419">
        <v>2015</v>
      </c>
      <c r="B419" s="3" t="s">
        <v>804</v>
      </c>
      <c r="C419" t="s">
        <v>749</v>
      </c>
      <c r="D419" s="9">
        <v>213042</v>
      </c>
      <c r="E419">
        <v>2.1240000000000001E-4</v>
      </c>
    </row>
    <row r="420" spans="1:5">
      <c r="A420">
        <v>2015</v>
      </c>
      <c r="B420" s="3" t="s">
        <v>805</v>
      </c>
      <c r="C420" t="s">
        <v>750</v>
      </c>
      <c r="D420" s="9">
        <v>1434997</v>
      </c>
      <c r="E420">
        <v>1.4307E-3</v>
      </c>
    </row>
    <row r="421" spans="1:5">
      <c r="A421">
        <v>2015</v>
      </c>
      <c r="B421" s="3" t="s">
        <v>806</v>
      </c>
      <c r="C421" t="s">
        <v>751</v>
      </c>
      <c r="D421" s="9">
        <v>3815753</v>
      </c>
      <c r="E421">
        <v>3.8042000000000002E-3</v>
      </c>
    </row>
    <row r="422" spans="1:5">
      <c r="A422">
        <v>2015</v>
      </c>
      <c r="B422" s="3" t="s">
        <v>807</v>
      </c>
      <c r="C422" t="s">
        <v>752</v>
      </c>
      <c r="D422" s="9">
        <v>72445</v>
      </c>
      <c r="E422">
        <v>7.2200000000000007E-5</v>
      </c>
    </row>
    <row r="423" spans="1:5">
      <c r="A423">
        <v>2015</v>
      </c>
      <c r="B423" s="3" t="s">
        <v>808</v>
      </c>
      <c r="C423" t="s">
        <v>753</v>
      </c>
      <c r="D423" s="9">
        <v>159145</v>
      </c>
      <c r="E423">
        <v>1.5870000000000001E-4</v>
      </c>
    </row>
    <row r="424" spans="1:5">
      <c r="A424">
        <v>2015</v>
      </c>
      <c r="B424" s="3" t="s">
        <v>809</v>
      </c>
      <c r="C424" t="s">
        <v>754</v>
      </c>
      <c r="D424" s="9">
        <v>634199</v>
      </c>
      <c r="E424">
        <v>6.3230000000000003E-4</v>
      </c>
    </row>
    <row r="425" spans="1:5">
      <c r="A425">
        <v>2015</v>
      </c>
      <c r="B425" s="3" t="s">
        <v>810</v>
      </c>
      <c r="C425" t="s">
        <v>755</v>
      </c>
      <c r="D425" s="9">
        <v>73087</v>
      </c>
      <c r="E425">
        <v>7.2899999999999997E-5</v>
      </c>
    </row>
    <row r="426" spans="1:5">
      <c r="A426">
        <v>2015</v>
      </c>
      <c r="B426" s="3" t="s">
        <v>811</v>
      </c>
      <c r="C426" t="s">
        <v>756</v>
      </c>
      <c r="D426" s="9">
        <v>21226</v>
      </c>
      <c r="E426">
        <v>2.12E-5</v>
      </c>
    </row>
    <row r="427" spans="1:5">
      <c r="A427">
        <v>2015</v>
      </c>
      <c r="B427" s="3" t="s">
        <v>812</v>
      </c>
      <c r="C427" t="s">
        <v>757</v>
      </c>
      <c r="D427" s="9">
        <v>744553</v>
      </c>
      <c r="E427">
        <v>7.4229999999999999E-4</v>
      </c>
    </row>
    <row r="428" spans="1:5">
      <c r="A428">
        <v>2015</v>
      </c>
      <c r="B428" s="3" t="s">
        <v>813</v>
      </c>
      <c r="C428" t="s">
        <v>758</v>
      </c>
      <c r="D428" s="9">
        <v>77266</v>
      </c>
      <c r="E428">
        <v>7.7000000000000001E-5</v>
      </c>
    </row>
    <row r="429" spans="1:5">
      <c r="A429">
        <v>2015</v>
      </c>
      <c r="B429" s="3" t="s">
        <v>814</v>
      </c>
      <c r="C429" t="s">
        <v>759</v>
      </c>
      <c r="D429" s="9">
        <v>83092</v>
      </c>
      <c r="E429">
        <v>8.2799999999999993E-5</v>
      </c>
    </row>
    <row r="430" spans="1:5">
      <c r="A430">
        <v>2015</v>
      </c>
      <c r="B430" s="3" t="s">
        <v>815</v>
      </c>
      <c r="C430" t="s">
        <v>760</v>
      </c>
      <c r="D430" s="9">
        <v>17640</v>
      </c>
      <c r="E430">
        <v>1.7600000000000001E-5</v>
      </c>
    </row>
    <row r="431" spans="1:5">
      <c r="A431">
        <v>2015</v>
      </c>
      <c r="B431" s="3" t="s">
        <v>816</v>
      </c>
      <c r="C431" t="s">
        <v>761</v>
      </c>
      <c r="D431" s="9">
        <v>56949</v>
      </c>
      <c r="E431">
        <v>5.6799999999999998E-5</v>
      </c>
    </row>
    <row r="432" spans="1:5">
      <c r="A432">
        <v>2015</v>
      </c>
      <c r="B432" s="3" t="s">
        <v>817</v>
      </c>
      <c r="C432" t="s">
        <v>762</v>
      </c>
      <c r="D432" s="9">
        <v>65964</v>
      </c>
      <c r="E432">
        <v>6.58E-5</v>
      </c>
    </row>
    <row r="433" spans="1:5">
      <c r="A433">
        <v>2015</v>
      </c>
      <c r="B433" s="3" t="s">
        <v>818</v>
      </c>
      <c r="C433" t="s">
        <v>763</v>
      </c>
      <c r="D433" s="9">
        <v>22560</v>
      </c>
      <c r="E433">
        <v>2.2500000000000001E-5</v>
      </c>
    </row>
    <row r="434" spans="1:5">
      <c r="A434">
        <v>2015</v>
      </c>
      <c r="B434" s="3" t="s">
        <v>819</v>
      </c>
      <c r="C434" t="s">
        <v>764</v>
      </c>
      <c r="D434" s="9">
        <v>17873</v>
      </c>
      <c r="E434">
        <v>1.7799999999999999E-5</v>
      </c>
    </row>
    <row r="435" spans="1:5">
      <c r="A435">
        <v>2015</v>
      </c>
      <c r="B435" s="3" t="s">
        <v>820</v>
      </c>
      <c r="C435" t="s">
        <v>765</v>
      </c>
      <c r="D435" s="9">
        <v>1080093</v>
      </c>
      <c r="E435">
        <v>1.0767999999999999E-3</v>
      </c>
    </row>
    <row r="436" spans="1:5">
      <c r="A436">
        <v>2015</v>
      </c>
      <c r="B436" s="3" t="s">
        <v>821</v>
      </c>
      <c r="C436" t="s">
        <v>766</v>
      </c>
      <c r="D436" s="9">
        <v>42948</v>
      </c>
      <c r="E436">
        <v>4.2799999999999997E-5</v>
      </c>
    </row>
    <row r="437" spans="1:5">
      <c r="A437">
        <v>2015</v>
      </c>
      <c r="B437" s="3" t="s">
        <v>822</v>
      </c>
      <c r="C437" t="s">
        <v>767</v>
      </c>
      <c r="D437" s="9">
        <v>138557</v>
      </c>
      <c r="E437">
        <v>1.381E-4</v>
      </c>
    </row>
    <row r="438" spans="1:5">
      <c r="A438">
        <v>2015</v>
      </c>
      <c r="B438" s="3" t="s">
        <v>823</v>
      </c>
      <c r="C438" t="s">
        <v>768</v>
      </c>
      <c r="D438" s="9">
        <v>775134</v>
      </c>
      <c r="E438">
        <v>7.7280000000000003E-4</v>
      </c>
    </row>
    <row r="439" spans="1:5">
      <c r="A439">
        <v>2015</v>
      </c>
      <c r="B439" s="3" t="s">
        <v>824</v>
      </c>
      <c r="C439" t="s">
        <v>769</v>
      </c>
      <c r="D439" s="9">
        <v>316817</v>
      </c>
      <c r="E439">
        <v>3.1589999999999998E-4</v>
      </c>
    </row>
    <row r="440" spans="1:5">
      <c r="A440">
        <v>2015</v>
      </c>
      <c r="B440" s="3" t="s">
        <v>880</v>
      </c>
      <c r="C440" t="s">
        <v>825</v>
      </c>
      <c r="D440" s="9">
        <v>510274</v>
      </c>
      <c r="E440">
        <v>5.0869999999999995E-4</v>
      </c>
    </row>
    <row r="441" spans="1:5">
      <c r="A441">
        <v>2015</v>
      </c>
      <c r="B441" s="3" t="s">
        <v>881</v>
      </c>
      <c r="C441" t="s">
        <v>826</v>
      </c>
      <c r="D441" s="9">
        <v>18013</v>
      </c>
      <c r="E441">
        <v>1.8E-5</v>
      </c>
    </row>
    <row r="442" spans="1:5">
      <c r="A442">
        <v>2015</v>
      </c>
      <c r="B442" s="3" t="s">
        <v>882</v>
      </c>
      <c r="C442" t="s">
        <v>827</v>
      </c>
      <c r="D442" s="9">
        <v>9337</v>
      </c>
      <c r="E442">
        <v>9.3000000000000007E-6</v>
      </c>
    </row>
    <row r="443" spans="1:5">
      <c r="A443">
        <v>2015</v>
      </c>
      <c r="B443" s="3" t="s">
        <v>883</v>
      </c>
      <c r="C443" t="s">
        <v>828</v>
      </c>
      <c r="D443" s="9">
        <v>159942</v>
      </c>
      <c r="E443">
        <v>1.595E-4</v>
      </c>
    </row>
    <row r="444" spans="1:5">
      <c r="A444">
        <v>2015</v>
      </c>
      <c r="B444" s="3" t="s">
        <v>884</v>
      </c>
      <c r="C444" t="s">
        <v>829</v>
      </c>
      <c r="D444" s="9">
        <v>1926909</v>
      </c>
      <c r="E444">
        <v>1.9211E-3</v>
      </c>
    </row>
    <row r="445" spans="1:5">
      <c r="A445">
        <v>2015</v>
      </c>
      <c r="B445" s="3" t="s">
        <v>885</v>
      </c>
      <c r="C445" t="s">
        <v>830</v>
      </c>
      <c r="D445" s="9">
        <v>1913</v>
      </c>
      <c r="E445">
        <v>1.9E-6</v>
      </c>
    </row>
    <row r="446" spans="1:5">
      <c r="A446">
        <v>2015</v>
      </c>
      <c r="B446" s="3" t="s">
        <v>886</v>
      </c>
      <c r="C446" t="s">
        <v>831</v>
      </c>
      <c r="D446" s="9">
        <v>40542</v>
      </c>
      <c r="E446">
        <v>4.0399999999999999E-5</v>
      </c>
    </row>
    <row r="447" spans="1:5">
      <c r="A447">
        <v>2015</v>
      </c>
      <c r="B447" s="3" t="s">
        <v>887</v>
      </c>
      <c r="C447" t="s">
        <v>832</v>
      </c>
      <c r="D447" s="9">
        <v>50398</v>
      </c>
      <c r="E447">
        <v>5.02E-5</v>
      </c>
    </row>
    <row r="448" spans="1:5">
      <c r="A448">
        <v>2015</v>
      </c>
      <c r="B448" s="3" t="s">
        <v>888</v>
      </c>
      <c r="C448" t="s">
        <v>833</v>
      </c>
      <c r="D448" s="9">
        <v>15918</v>
      </c>
      <c r="E448">
        <v>1.59E-5</v>
      </c>
    </row>
    <row r="449" spans="1:5">
      <c r="A449">
        <v>2015</v>
      </c>
      <c r="B449" s="3" t="s">
        <v>889</v>
      </c>
      <c r="C449" t="s">
        <v>834</v>
      </c>
      <c r="D449" s="9">
        <v>586</v>
      </c>
      <c r="E449">
        <v>5.9999999999999997E-7</v>
      </c>
    </row>
    <row r="450" spans="1:5">
      <c r="A450">
        <v>2015</v>
      </c>
      <c r="B450" s="3" t="s">
        <v>890</v>
      </c>
      <c r="C450" t="s">
        <v>835</v>
      </c>
      <c r="D450" s="9">
        <v>2364723</v>
      </c>
      <c r="E450">
        <v>2.3576000000000001E-3</v>
      </c>
    </row>
    <row r="451" spans="1:5">
      <c r="A451">
        <v>2015</v>
      </c>
      <c r="B451" s="3" t="s">
        <v>891</v>
      </c>
      <c r="C451" t="s">
        <v>836</v>
      </c>
      <c r="D451" s="9">
        <v>38835</v>
      </c>
      <c r="E451">
        <v>3.8699999999999999E-5</v>
      </c>
    </row>
    <row r="452" spans="1:5">
      <c r="A452">
        <v>2015</v>
      </c>
      <c r="B452" s="3" t="s">
        <v>892</v>
      </c>
      <c r="C452" t="s">
        <v>837</v>
      </c>
      <c r="D452" s="9">
        <v>100761</v>
      </c>
      <c r="E452">
        <v>1.005E-4</v>
      </c>
    </row>
    <row r="453" spans="1:5">
      <c r="A453">
        <v>2015</v>
      </c>
      <c r="B453" s="3" t="s">
        <v>893</v>
      </c>
      <c r="C453" t="s">
        <v>838</v>
      </c>
      <c r="D453" s="9">
        <v>1746</v>
      </c>
      <c r="E453">
        <v>1.7E-6</v>
      </c>
    </row>
    <row r="454" spans="1:5">
      <c r="A454">
        <v>2015</v>
      </c>
      <c r="B454" s="3" t="s">
        <v>894</v>
      </c>
      <c r="C454" t="s">
        <v>839</v>
      </c>
      <c r="D454" s="9">
        <v>11313178</v>
      </c>
      <c r="E454">
        <v>1.1279000000000001E-2</v>
      </c>
    </row>
    <row r="455" spans="1:5">
      <c r="A455">
        <v>2015</v>
      </c>
      <c r="B455" s="3" t="s">
        <v>895</v>
      </c>
      <c r="C455" t="s">
        <v>840</v>
      </c>
      <c r="D455" s="9">
        <v>34446</v>
      </c>
      <c r="E455">
        <v>3.43E-5</v>
      </c>
    </row>
    <row r="456" spans="1:5">
      <c r="A456">
        <v>2015</v>
      </c>
      <c r="B456" s="3" t="s">
        <v>896</v>
      </c>
      <c r="C456" t="s">
        <v>841</v>
      </c>
      <c r="D456" s="9">
        <v>66594</v>
      </c>
      <c r="E456">
        <v>6.6400000000000001E-5</v>
      </c>
    </row>
    <row r="457" spans="1:5">
      <c r="A457">
        <v>2015</v>
      </c>
      <c r="B457" s="3" t="s">
        <v>897</v>
      </c>
      <c r="C457" t="s">
        <v>842</v>
      </c>
      <c r="D457" s="9">
        <v>346235</v>
      </c>
      <c r="E457">
        <v>3.4519999999999999E-4</v>
      </c>
    </row>
    <row r="458" spans="1:5">
      <c r="A458">
        <v>2015</v>
      </c>
      <c r="B458" s="3" t="s">
        <v>898</v>
      </c>
      <c r="C458" t="s">
        <v>843</v>
      </c>
      <c r="D458" s="9">
        <v>1363982</v>
      </c>
      <c r="E458">
        <v>1.3599E-3</v>
      </c>
    </row>
    <row r="459" spans="1:5">
      <c r="A459">
        <v>2015</v>
      </c>
      <c r="B459" s="3" t="s">
        <v>899</v>
      </c>
      <c r="C459" t="s">
        <v>844</v>
      </c>
      <c r="D459" s="9">
        <v>276788</v>
      </c>
      <c r="E459">
        <v>2.7599999999999999E-4</v>
      </c>
    </row>
    <row r="460" spans="1:5">
      <c r="A460">
        <v>2015</v>
      </c>
      <c r="B460" s="3" t="s">
        <v>900</v>
      </c>
      <c r="C460" t="s">
        <v>845</v>
      </c>
      <c r="D460" s="9">
        <v>239085</v>
      </c>
      <c r="E460">
        <v>2.3839999999999999E-4</v>
      </c>
    </row>
    <row r="461" spans="1:5">
      <c r="A461">
        <v>2015</v>
      </c>
      <c r="B461" s="3" t="s">
        <v>901</v>
      </c>
      <c r="C461" t="s">
        <v>846</v>
      </c>
      <c r="D461" s="9">
        <v>67378</v>
      </c>
      <c r="E461">
        <v>6.7199999999999994E-5</v>
      </c>
    </row>
    <row r="462" spans="1:5">
      <c r="A462">
        <v>2015</v>
      </c>
      <c r="B462" s="3" t="s">
        <v>902</v>
      </c>
      <c r="C462" t="s">
        <v>847</v>
      </c>
      <c r="D462" s="9">
        <v>247465</v>
      </c>
      <c r="E462">
        <v>2.4669999999999998E-4</v>
      </c>
    </row>
    <row r="463" spans="1:5">
      <c r="A463">
        <v>2015</v>
      </c>
      <c r="B463" s="3" t="s">
        <v>903</v>
      </c>
      <c r="C463" t="s">
        <v>848</v>
      </c>
      <c r="D463" s="9">
        <v>1444633</v>
      </c>
      <c r="E463">
        <v>1.4403E-3</v>
      </c>
    </row>
    <row r="464" spans="1:5">
      <c r="A464">
        <v>2015</v>
      </c>
      <c r="B464" s="3" t="s">
        <v>904</v>
      </c>
      <c r="C464" t="s">
        <v>849</v>
      </c>
      <c r="D464" s="9">
        <v>19979</v>
      </c>
      <c r="E464">
        <v>1.9899999999999999E-5</v>
      </c>
    </row>
    <row r="465" spans="1:5">
      <c r="A465">
        <v>2015</v>
      </c>
      <c r="B465" s="3" t="s">
        <v>905</v>
      </c>
      <c r="C465" t="s">
        <v>850</v>
      </c>
      <c r="D465" s="9">
        <v>30352</v>
      </c>
      <c r="E465">
        <v>3.0300000000000001E-5</v>
      </c>
    </row>
    <row r="466" spans="1:5">
      <c r="A466">
        <v>2015</v>
      </c>
      <c r="B466" s="3" t="s">
        <v>906</v>
      </c>
      <c r="C466" t="s">
        <v>851</v>
      </c>
      <c r="D466" s="9">
        <v>1556545</v>
      </c>
      <c r="E466">
        <v>1.5518000000000001E-3</v>
      </c>
    </row>
    <row r="467" spans="1:5">
      <c r="A467">
        <v>2015</v>
      </c>
      <c r="B467" s="3" t="s">
        <v>907</v>
      </c>
      <c r="C467" t="s">
        <v>852</v>
      </c>
      <c r="D467" s="9">
        <v>40339</v>
      </c>
      <c r="E467">
        <v>4.0200000000000001E-5</v>
      </c>
    </row>
    <row r="468" spans="1:5">
      <c r="A468">
        <v>2015</v>
      </c>
      <c r="B468" s="3" t="s">
        <v>908</v>
      </c>
      <c r="C468" t="s">
        <v>853</v>
      </c>
      <c r="D468" s="9">
        <v>234968</v>
      </c>
      <c r="E468">
        <v>2.343E-4</v>
      </c>
    </row>
    <row r="469" spans="1:5">
      <c r="A469">
        <v>2015</v>
      </c>
      <c r="B469" s="3" t="s">
        <v>909</v>
      </c>
      <c r="C469" t="s">
        <v>854</v>
      </c>
      <c r="D469" s="9">
        <v>72011</v>
      </c>
      <c r="E469">
        <v>7.1799999999999997E-5</v>
      </c>
    </row>
    <row r="470" spans="1:5">
      <c r="A470">
        <v>2015</v>
      </c>
      <c r="B470" s="3" t="s">
        <v>910</v>
      </c>
      <c r="C470" t="s">
        <v>855</v>
      </c>
      <c r="D470" s="9">
        <v>541875</v>
      </c>
      <c r="E470">
        <v>5.4020000000000001E-4</v>
      </c>
    </row>
    <row r="471" spans="1:5">
      <c r="A471">
        <v>2015</v>
      </c>
      <c r="B471" s="3" t="s">
        <v>911</v>
      </c>
      <c r="C471" t="s">
        <v>856</v>
      </c>
      <c r="D471" s="9">
        <v>15235739</v>
      </c>
      <c r="E471">
        <v>1.51897E-2</v>
      </c>
    </row>
    <row r="472" spans="1:5">
      <c r="A472">
        <v>2015</v>
      </c>
      <c r="B472" s="3" t="s">
        <v>912</v>
      </c>
      <c r="C472" t="s">
        <v>857</v>
      </c>
      <c r="D472" s="9">
        <v>701848</v>
      </c>
      <c r="E472">
        <v>6.9970000000000004E-4</v>
      </c>
    </row>
    <row r="473" spans="1:5">
      <c r="A473">
        <v>2015</v>
      </c>
      <c r="B473" s="3" t="s">
        <v>913</v>
      </c>
      <c r="C473" t="s">
        <v>858</v>
      </c>
      <c r="D473" s="9">
        <v>104200</v>
      </c>
      <c r="E473">
        <v>1.039E-4</v>
      </c>
    </row>
    <row r="474" spans="1:5">
      <c r="A474">
        <v>2015</v>
      </c>
      <c r="B474" s="3" t="s">
        <v>914</v>
      </c>
      <c r="C474" t="s">
        <v>859</v>
      </c>
      <c r="D474" s="9">
        <v>31474</v>
      </c>
      <c r="E474">
        <v>3.1399999999999998E-5</v>
      </c>
    </row>
    <row r="475" spans="1:5">
      <c r="A475">
        <v>2015</v>
      </c>
      <c r="B475" s="3" t="s">
        <v>915</v>
      </c>
      <c r="C475" t="s">
        <v>860</v>
      </c>
      <c r="D475" s="9">
        <v>984416</v>
      </c>
      <c r="E475">
        <v>9.8139999999999989E-4</v>
      </c>
    </row>
    <row r="476" spans="1:5">
      <c r="A476">
        <v>2015</v>
      </c>
      <c r="B476" s="3" t="s">
        <v>916</v>
      </c>
      <c r="C476" t="s">
        <v>861</v>
      </c>
      <c r="D476" s="9">
        <v>42882</v>
      </c>
      <c r="E476">
        <v>4.2799999999999997E-5</v>
      </c>
    </row>
    <row r="477" spans="1:5">
      <c r="A477">
        <v>2015</v>
      </c>
      <c r="B477" s="3" t="s">
        <v>917</v>
      </c>
      <c r="C477" t="s">
        <v>862</v>
      </c>
      <c r="D477" s="9">
        <v>71499</v>
      </c>
      <c r="E477">
        <v>7.1299999999999998E-5</v>
      </c>
    </row>
    <row r="478" spans="1:5">
      <c r="A478">
        <v>2015</v>
      </c>
      <c r="B478" s="3" t="s">
        <v>918</v>
      </c>
      <c r="C478" t="s">
        <v>863</v>
      </c>
      <c r="D478" s="9">
        <v>15094</v>
      </c>
      <c r="E478">
        <v>1.5E-5</v>
      </c>
    </row>
    <row r="479" spans="1:5">
      <c r="A479">
        <v>2015</v>
      </c>
      <c r="B479" s="3" t="s">
        <v>919</v>
      </c>
      <c r="C479" t="s">
        <v>864</v>
      </c>
      <c r="D479" s="9">
        <v>116304</v>
      </c>
      <c r="E479">
        <v>1.16E-4</v>
      </c>
    </row>
    <row r="480" spans="1:5">
      <c r="A480">
        <v>2015</v>
      </c>
      <c r="B480" s="3" t="s">
        <v>920</v>
      </c>
      <c r="C480" t="s">
        <v>865</v>
      </c>
      <c r="D480" s="9">
        <v>15291</v>
      </c>
      <c r="E480">
        <v>1.52E-5</v>
      </c>
    </row>
    <row r="481" spans="1:5">
      <c r="A481">
        <v>2015</v>
      </c>
      <c r="B481" s="3" t="s">
        <v>921</v>
      </c>
      <c r="C481" t="s">
        <v>866</v>
      </c>
      <c r="D481" s="9">
        <v>1073508</v>
      </c>
      <c r="E481">
        <v>1.0702999999999999E-3</v>
      </c>
    </row>
    <row r="482" spans="1:5">
      <c r="A482">
        <v>2015</v>
      </c>
      <c r="B482" s="3" t="s">
        <v>922</v>
      </c>
      <c r="C482" t="s">
        <v>867</v>
      </c>
      <c r="D482" s="9">
        <v>175186</v>
      </c>
      <c r="E482">
        <v>1.7469999999999999E-4</v>
      </c>
    </row>
    <row r="483" spans="1:5">
      <c r="A483">
        <v>2015</v>
      </c>
      <c r="B483" s="3" t="s">
        <v>923</v>
      </c>
      <c r="C483" t="s">
        <v>868</v>
      </c>
      <c r="D483" s="9">
        <v>63111</v>
      </c>
      <c r="E483">
        <v>6.2899999999999997E-5</v>
      </c>
    </row>
    <row r="484" spans="1:5">
      <c r="A484">
        <v>2015</v>
      </c>
      <c r="B484" s="3" t="s">
        <v>924</v>
      </c>
      <c r="C484" t="s">
        <v>869</v>
      </c>
      <c r="D484" s="9">
        <v>82000</v>
      </c>
      <c r="E484">
        <v>8.1799999999999996E-5</v>
      </c>
    </row>
    <row r="485" spans="1:5">
      <c r="A485">
        <v>2015</v>
      </c>
      <c r="B485" s="3" t="s">
        <v>925</v>
      </c>
      <c r="C485" t="s">
        <v>870</v>
      </c>
      <c r="D485" s="9">
        <v>4124004</v>
      </c>
      <c r="E485">
        <v>4.1114999999999997E-3</v>
      </c>
    </row>
    <row r="486" spans="1:5">
      <c r="A486">
        <v>2015</v>
      </c>
      <c r="B486" s="3" t="s">
        <v>926</v>
      </c>
      <c r="C486" t="s">
        <v>871</v>
      </c>
      <c r="D486" s="9">
        <v>14927348</v>
      </c>
      <c r="E486">
        <v>1.48822E-2</v>
      </c>
    </row>
    <row r="487" spans="1:5">
      <c r="A487">
        <v>2015</v>
      </c>
      <c r="B487" s="3" t="s">
        <v>927</v>
      </c>
      <c r="C487" t="s">
        <v>872</v>
      </c>
      <c r="D487" s="9">
        <v>4460159</v>
      </c>
      <c r="E487">
        <v>4.4466999999999996E-3</v>
      </c>
    </row>
    <row r="488" spans="1:5">
      <c r="A488">
        <v>2015</v>
      </c>
      <c r="B488" s="3" t="s">
        <v>928</v>
      </c>
      <c r="C488" t="s">
        <v>873</v>
      </c>
      <c r="D488" s="9">
        <v>514438</v>
      </c>
      <c r="E488">
        <v>5.1290000000000005E-4</v>
      </c>
    </row>
    <row r="489" spans="1:5">
      <c r="A489">
        <v>2015</v>
      </c>
      <c r="B489" s="3" t="s">
        <v>929</v>
      </c>
      <c r="C489" t="s">
        <v>874</v>
      </c>
      <c r="D489" s="9">
        <v>16823489</v>
      </c>
      <c r="E489">
        <v>1.6772700000000001E-2</v>
      </c>
    </row>
    <row r="490" spans="1:5">
      <c r="A490">
        <v>2015</v>
      </c>
      <c r="B490" s="3" t="s">
        <v>930</v>
      </c>
      <c r="C490" t="s">
        <v>875</v>
      </c>
      <c r="D490" s="9">
        <v>47955</v>
      </c>
      <c r="E490">
        <v>4.7800000000000003E-5</v>
      </c>
    </row>
    <row r="491" spans="1:5">
      <c r="A491">
        <v>2015</v>
      </c>
      <c r="B491" s="3" t="s">
        <v>931</v>
      </c>
      <c r="C491" t="s">
        <v>876</v>
      </c>
      <c r="D491" s="9">
        <v>96273</v>
      </c>
      <c r="E491">
        <v>9.6000000000000002E-5</v>
      </c>
    </row>
    <row r="492" spans="1:5">
      <c r="A492">
        <v>2015</v>
      </c>
      <c r="B492" s="3" t="s">
        <v>932</v>
      </c>
      <c r="C492" t="s">
        <v>877</v>
      </c>
      <c r="D492" s="9">
        <v>3543</v>
      </c>
      <c r="E492">
        <v>3.4999999999999999E-6</v>
      </c>
    </row>
    <row r="493" spans="1:5">
      <c r="A493">
        <v>2015</v>
      </c>
      <c r="B493" s="3" t="s">
        <v>933</v>
      </c>
      <c r="C493" t="s">
        <v>878</v>
      </c>
      <c r="D493" s="9">
        <v>30675</v>
      </c>
      <c r="E493">
        <v>3.0599999999999998E-5</v>
      </c>
    </row>
    <row r="494" spans="1:5">
      <c r="A494">
        <v>2015</v>
      </c>
      <c r="B494" s="3" t="s">
        <v>934</v>
      </c>
      <c r="C494" t="s">
        <v>879</v>
      </c>
      <c r="D494" s="9">
        <v>384772</v>
      </c>
      <c r="E494">
        <v>3.836E-4</v>
      </c>
    </row>
    <row r="495" spans="1:5">
      <c r="A495">
        <v>2015</v>
      </c>
      <c r="B495" s="3" t="s">
        <v>990</v>
      </c>
      <c r="C495" t="s">
        <v>935</v>
      </c>
      <c r="D495" s="9">
        <v>8262540</v>
      </c>
      <c r="E495">
        <v>8.2375999999999994E-3</v>
      </c>
    </row>
    <row r="496" spans="1:5">
      <c r="A496">
        <v>2015</v>
      </c>
      <c r="B496" s="3" t="s">
        <v>991</v>
      </c>
      <c r="C496" t="s">
        <v>936</v>
      </c>
      <c r="D496" s="9">
        <v>25097541</v>
      </c>
      <c r="E496">
        <v>2.5021700000000001E-2</v>
      </c>
    </row>
    <row r="497" spans="1:5">
      <c r="A497">
        <v>2015</v>
      </c>
      <c r="B497" s="3" t="s">
        <v>992</v>
      </c>
      <c r="C497" t="s">
        <v>937</v>
      </c>
      <c r="D497" s="9">
        <v>60242</v>
      </c>
      <c r="E497">
        <v>6.0099999999999997E-5</v>
      </c>
    </row>
    <row r="498" spans="1:5">
      <c r="A498">
        <v>2015</v>
      </c>
      <c r="B498" s="3" t="s">
        <v>993</v>
      </c>
      <c r="C498" t="s">
        <v>938</v>
      </c>
      <c r="D498" s="9">
        <v>474936</v>
      </c>
      <c r="E498">
        <v>4.7350000000000002E-4</v>
      </c>
    </row>
    <row r="499" spans="1:5">
      <c r="A499">
        <v>2015</v>
      </c>
      <c r="B499" s="3" t="s">
        <v>994</v>
      </c>
      <c r="C499" t="s">
        <v>939</v>
      </c>
      <c r="D499" s="9">
        <v>60797</v>
      </c>
      <c r="E499">
        <v>6.0600000000000003E-5</v>
      </c>
    </row>
    <row r="500" spans="1:5">
      <c r="A500">
        <v>2015</v>
      </c>
      <c r="B500" s="3" t="s">
        <v>995</v>
      </c>
      <c r="C500" t="s">
        <v>940</v>
      </c>
      <c r="D500" s="9">
        <v>67326</v>
      </c>
      <c r="E500">
        <v>6.7100000000000005E-5</v>
      </c>
    </row>
    <row r="501" spans="1:5">
      <c r="A501">
        <v>2015</v>
      </c>
      <c r="B501" s="3" t="s">
        <v>996</v>
      </c>
      <c r="C501" t="s">
        <v>941</v>
      </c>
      <c r="D501" s="9">
        <v>34495</v>
      </c>
      <c r="E501">
        <v>3.4400000000000003E-5</v>
      </c>
    </row>
    <row r="502" spans="1:5">
      <c r="A502">
        <v>2015</v>
      </c>
      <c r="B502" s="3" t="s">
        <v>997</v>
      </c>
      <c r="C502" t="s">
        <v>942</v>
      </c>
      <c r="D502" s="9">
        <v>137845</v>
      </c>
      <c r="E502">
        <v>1.3740000000000001E-4</v>
      </c>
    </row>
    <row r="503" spans="1:5">
      <c r="A503">
        <v>2015</v>
      </c>
      <c r="B503" s="3" t="s">
        <v>998</v>
      </c>
      <c r="C503" t="s">
        <v>943</v>
      </c>
      <c r="D503" s="9">
        <v>47583</v>
      </c>
      <c r="E503">
        <v>4.74E-5</v>
      </c>
    </row>
    <row r="504" spans="1:5">
      <c r="A504">
        <v>2015</v>
      </c>
      <c r="B504" s="3" t="s">
        <v>999</v>
      </c>
      <c r="C504" t="s">
        <v>944</v>
      </c>
      <c r="D504" s="9">
        <v>279474</v>
      </c>
      <c r="E504">
        <v>2.786E-4</v>
      </c>
    </row>
    <row r="505" spans="1:5">
      <c r="A505">
        <v>2015</v>
      </c>
      <c r="B505" s="3" t="s">
        <v>1000</v>
      </c>
      <c r="C505" t="s">
        <v>945</v>
      </c>
      <c r="D505" s="9">
        <v>17449</v>
      </c>
      <c r="E505">
        <v>1.7399999999999999E-5</v>
      </c>
    </row>
    <row r="506" spans="1:5">
      <c r="A506">
        <v>2015</v>
      </c>
      <c r="B506" s="3" t="s">
        <v>1001</v>
      </c>
      <c r="C506" t="s">
        <v>946</v>
      </c>
      <c r="D506" s="9">
        <v>26684</v>
      </c>
      <c r="E506">
        <v>2.6599999999999999E-5</v>
      </c>
    </row>
    <row r="507" spans="1:5">
      <c r="A507">
        <v>2015</v>
      </c>
      <c r="B507" s="3" t="s">
        <v>1002</v>
      </c>
      <c r="C507" t="s">
        <v>947</v>
      </c>
      <c r="D507" s="9">
        <v>6924153</v>
      </c>
      <c r="E507">
        <v>6.9032E-3</v>
      </c>
    </row>
    <row r="508" spans="1:5">
      <c r="A508">
        <v>2015</v>
      </c>
      <c r="B508" s="3" t="s">
        <v>1003</v>
      </c>
      <c r="C508" t="s">
        <v>948</v>
      </c>
      <c r="D508" s="9">
        <v>51476</v>
      </c>
      <c r="E508">
        <v>5.13E-5</v>
      </c>
    </row>
    <row r="509" spans="1:5">
      <c r="A509">
        <v>2015</v>
      </c>
      <c r="B509" s="3" t="s">
        <v>1004</v>
      </c>
      <c r="C509" t="s">
        <v>949</v>
      </c>
      <c r="D509" s="9"/>
      <c r="E509">
        <v>0</v>
      </c>
    </row>
    <row r="510" spans="1:5">
      <c r="A510">
        <v>2015</v>
      </c>
      <c r="B510" s="3" t="s">
        <v>1005</v>
      </c>
      <c r="C510" t="s">
        <v>950</v>
      </c>
      <c r="D510" s="9">
        <v>126746</v>
      </c>
      <c r="E510">
        <v>1.2640000000000001E-4</v>
      </c>
    </row>
    <row r="511" spans="1:5">
      <c r="A511">
        <v>2015</v>
      </c>
      <c r="B511" s="3" t="s">
        <v>1006</v>
      </c>
      <c r="C511" t="s">
        <v>951</v>
      </c>
      <c r="D511" s="9">
        <v>172313</v>
      </c>
      <c r="E511">
        <v>1.718E-4</v>
      </c>
    </row>
    <row r="512" spans="1:5">
      <c r="A512">
        <v>2015</v>
      </c>
      <c r="B512" s="3" t="s">
        <v>1007</v>
      </c>
      <c r="C512" t="s">
        <v>952</v>
      </c>
      <c r="D512" s="9">
        <v>4353</v>
      </c>
      <c r="E512">
        <v>4.3000000000000003E-6</v>
      </c>
    </row>
    <row r="513" spans="1:5">
      <c r="A513">
        <v>2015</v>
      </c>
      <c r="B513" s="3" t="s">
        <v>1008</v>
      </c>
      <c r="C513" t="s">
        <v>953</v>
      </c>
      <c r="D513" s="9">
        <v>26636</v>
      </c>
      <c r="E513">
        <v>2.6599999999999999E-5</v>
      </c>
    </row>
    <row r="514" spans="1:5">
      <c r="A514">
        <v>2015</v>
      </c>
      <c r="B514" s="3" t="s">
        <v>1009</v>
      </c>
      <c r="C514" t="s">
        <v>954</v>
      </c>
      <c r="D514" s="9">
        <v>31811</v>
      </c>
      <c r="E514">
        <v>3.1699999999999998E-5</v>
      </c>
    </row>
    <row r="515" spans="1:5">
      <c r="A515">
        <v>2015</v>
      </c>
      <c r="B515" s="3" t="s">
        <v>1010</v>
      </c>
      <c r="C515" t="s">
        <v>955</v>
      </c>
      <c r="D515" s="9">
        <v>113024</v>
      </c>
      <c r="E515">
        <v>1.127E-4</v>
      </c>
    </row>
    <row r="516" spans="1:5">
      <c r="A516">
        <v>2015</v>
      </c>
      <c r="B516" s="3" t="s">
        <v>1011</v>
      </c>
      <c r="C516" t="s">
        <v>956</v>
      </c>
      <c r="D516" s="9">
        <v>5606</v>
      </c>
      <c r="E516">
        <v>5.5999999999999997E-6</v>
      </c>
    </row>
    <row r="517" spans="1:5">
      <c r="A517">
        <v>2015</v>
      </c>
      <c r="B517" s="3" t="s">
        <v>1012</v>
      </c>
      <c r="C517" t="s">
        <v>957</v>
      </c>
      <c r="D517" s="9">
        <v>83199</v>
      </c>
      <c r="E517">
        <v>8.2899999999999996E-5</v>
      </c>
    </row>
    <row r="518" spans="1:5">
      <c r="A518">
        <v>2015</v>
      </c>
      <c r="B518" s="3" t="s">
        <v>1013</v>
      </c>
      <c r="C518" t="s">
        <v>958</v>
      </c>
      <c r="D518" s="9">
        <v>1183463</v>
      </c>
      <c r="E518">
        <v>1.1799E-3</v>
      </c>
    </row>
    <row r="519" spans="1:5">
      <c r="A519">
        <v>2015</v>
      </c>
      <c r="B519" s="3" t="s">
        <v>1014</v>
      </c>
      <c r="C519" t="s">
        <v>959</v>
      </c>
      <c r="D519" s="9">
        <v>46359</v>
      </c>
      <c r="E519">
        <v>4.6199999999999998E-5</v>
      </c>
    </row>
    <row r="520" spans="1:5">
      <c r="A520">
        <v>2015</v>
      </c>
      <c r="B520" s="3" t="s">
        <v>1015</v>
      </c>
      <c r="C520" t="s">
        <v>960</v>
      </c>
      <c r="D520" s="9">
        <v>369123</v>
      </c>
      <c r="E520">
        <v>3.68E-4</v>
      </c>
    </row>
    <row r="521" spans="1:5">
      <c r="A521">
        <v>2015</v>
      </c>
      <c r="B521" s="3" t="s">
        <v>1016</v>
      </c>
      <c r="C521" t="s">
        <v>961</v>
      </c>
      <c r="D521" s="9">
        <v>456817</v>
      </c>
      <c r="E521">
        <v>4.5540000000000001E-4</v>
      </c>
    </row>
    <row r="522" spans="1:5">
      <c r="A522">
        <v>2015</v>
      </c>
      <c r="B522" s="3" t="s">
        <v>1017</v>
      </c>
      <c r="C522" t="s">
        <v>962</v>
      </c>
      <c r="D522" s="9">
        <v>62038</v>
      </c>
      <c r="E522">
        <v>6.1799999999999998E-5</v>
      </c>
    </row>
    <row r="523" spans="1:5">
      <c r="A523">
        <v>2015</v>
      </c>
      <c r="B523" s="3" t="s">
        <v>1018</v>
      </c>
      <c r="C523" t="s">
        <v>963</v>
      </c>
      <c r="D523" s="9">
        <v>23892</v>
      </c>
      <c r="E523">
        <v>2.3799999999999999E-5</v>
      </c>
    </row>
    <row r="524" spans="1:5">
      <c r="A524">
        <v>2015</v>
      </c>
      <c r="B524" s="3" t="s">
        <v>1019</v>
      </c>
      <c r="C524" t="s">
        <v>964</v>
      </c>
      <c r="D524" s="9">
        <v>52661</v>
      </c>
      <c r="E524">
        <v>5.2500000000000002E-5</v>
      </c>
    </row>
    <row r="525" spans="1:5">
      <c r="A525">
        <v>2015</v>
      </c>
      <c r="B525" s="3" t="s">
        <v>1020</v>
      </c>
      <c r="C525" t="s">
        <v>965</v>
      </c>
      <c r="D525" s="9">
        <v>1929485</v>
      </c>
      <c r="E525">
        <v>1.9237E-3</v>
      </c>
    </row>
    <row r="526" spans="1:5">
      <c r="A526">
        <v>2015</v>
      </c>
      <c r="B526" s="3" t="s">
        <v>1021</v>
      </c>
      <c r="C526" t="s">
        <v>966</v>
      </c>
      <c r="D526" s="9"/>
      <c r="E526">
        <v>0</v>
      </c>
    </row>
    <row r="527" spans="1:5">
      <c r="A527">
        <v>2015</v>
      </c>
      <c r="B527" s="3" t="s">
        <v>1022</v>
      </c>
      <c r="C527" t="s">
        <v>967</v>
      </c>
      <c r="D527" s="9">
        <v>135309</v>
      </c>
      <c r="E527">
        <v>1.349E-4</v>
      </c>
    </row>
    <row r="528" spans="1:5">
      <c r="A528">
        <v>2015</v>
      </c>
      <c r="B528" s="3" t="s">
        <v>1023</v>
      </c>
      <c r="C528" t="s">
        <v>968</v>
      </c>
      <c r="D528" s="9">
        <v>419503</v>
      </c>
      <c r="E528">
        <v>4.1819999999999997E-4</v>
      </c>
    </row>
    <row r="529" spans="1:5">
      <c r="A529">
        <v>2015</v>
      </c>
      <c r="B529" s="3" t="s">
        <v>1024</v>
      </c>
      <c r="C529" t="s">
        <v>969</v>
      </c>
      <c r="D529" s="9">
        <v>43221</v>
      </c>
      <c r="E529">
        <v>4.3099999999999997E-5</v>
      </c>
    </row>
    <row r="530" spans="1:5">
      <c r="A530">
        <v>2015</v>
      </c>
      <c r="B530" s="3" t="s">
        <v>1025</v>
      </c>
      <c r="C530" t="s">
        <v>970</v>
      </c>
      <c r="D530" s="9">
        <v>121509</v>
      </c>
      <c r="E530">
        <v>1.211E-4</v>
      </c>
    </row>
    <row r="531" spans="1:5">
      <c r="A531">
        <v>2015</v>
      </c>
      <c r="B531" s="3" t="s">
        <v>1026</v>
      </c>
      <c r="C531" t="s">
        <v>971</v>
      </c>
      <c r="D531" s="9">
        <v>2253191</v>
      </c>
      <c r="E531">
        <v>2.2464E-3</v>
      </c>
    </row>
    <row r="532" spans="1:5">
      <c r="A532">
        <v>2015</v>
      </c>
      <c r="B532" s="3" t="s">
        <v>1027</v>
      </c>
      <c r="C532" t="s">
        <v>972</v>
      </c>
      <c r="D532" s="9">
        <v>20016</v>
      </c>
      <c r="E532">
        <v>2.0000000000000002E-5</v>
      </c>
    </row>
    <row r="533" spans="1:5">
      <c r="A533">
        <v>2015</v>
      </c>
      <c r="B533" s="3" t="s">
        <v>1028</v>
      </c>
      <c r="C533" t="s">
        <v>973</v>
      </c>
      <c r="D533" s="9">
        <v>8199</v>
      </c>
      <c r="E533">
        <v>8.1999999999999994E-6</v>
      </c>
    </row>
    <row r="534" spans="1:5">
      <c r="A534">
        <v>2015</v>
      </c>
      <c r="B534" s="3" t="s">
        <v>1029</v>
      </c>
      <c r="C534" t="s">
        <v>974</v>
      </c>
      <c r="D534" s="9">
        <v>280661</v>
      </c>
      <c r="E534">
        <v>2.7980000000000002E-4</v>
      </c>
    </row>
    <row r="535" spans="1:5">
      <c r="A535">
        <v>2015</v>
      </c>
      <c r="B535" s="3" t="s">
        <v>1030</v>
      </c>
      <c r="C535" t="s">
        <v>975</v>
      </c>
      <c r="D535" s="9">
        <v>64754</v>
      </c>
      <c r="E535">
        <v>6.4599999999999998E-5</v>
      </c>
    </row>
    <row r="536" spans="1:5">
      <c r="A536">
        <v>2015</v>
      </c>
      <c r="B536" s="3" t="s">
        <v>1031</v>
      </c>
      <c r="C536" t="s">
        <v>976</v>
      </c>
      <c r="D536" s="9">
        <v>664511</v>
      </c>
      <c r="E536">
        <v>6.625E-4</v>
      </c>
    </row>
    <row r="537" spans="1:5">
      <c r="A537">
        <v>2015</v>
      </c>
      <c r="B537" s="3" t="s">
        <v>1032</v>
      </c>
      <c r="C537" t="s">
        <v>977</v>
      </c>
      <c r="D537" s="9">
        <v>153212</v>
      </c>
      <c r="E537">
        <v>1.527E-4</v>
      </c>
    </row>
    <row r="538" spans="1:5">
      <c r="A538">
        <v>2015</v>
      </c>
      <c r="B538" s="3" t="s">
        <v>1033</v>
      </c>
      <c r="C538" t="s">
        <v>978</v>
      </c>
      <c r="D538" s="9">
        <v>1847262</v>
      </c>
      <c r="E538">
        <v>1.8416999999999999E-3</v>
      </c>
    </row>
    <row r="539" spans="1:5">
      <c r="A539">
        <v>2015</v>
      </c>
      <c r="B539" s="3" t="s">
        <v>1034</v>
      </c>
      <c r="C539" t="s">
        <v>979</v>
      </c>
      <c r="D539" s="9">
        <v>182422</v>
      </c>
      <c r="E539">
        <v>1.819E-4</v>
      </c>
    </row>
    <row r="540" spans="1:5">
      <c r="A540">
        <v>2015</v>
      </c>
      <c r="B540" s="3" t="s">
        <v>1035</v>
      </c>
      <c r="C540" t="s">
        <v>980</v>
      </c>
      <c r="D540" s="9">
        <v>253319</v>
      </c>
      <c r="E540">
        <v>2.5260000000000001E-4</v>
      </c>
    </row>
    <row r="541" spans="1:5">
      <c r="A541">
        <v>2015</v>
      </c>
      <c r="B541" s="3" t="s">
        <v>1036</v>
      </c>
      <c r="C541" t="s">
        <v>981</v>
      </c>
      <c r="D541" s="9"/>
      <c r="E541">
        <v>0</v>
      </c>
    </row>
    <row r="542" spans="1:5">
      <c r="A542">
        <v>2015</v>
      </c>
      <c r="B542" s="3" t="s">
        <v>1037</v>
      </c>
      <c r="C542" t="s">
        <v>982</v>
      </c>
      <c r="D542" s="9">
        <v>39480</v>
      </c>
      <c r="E542">
        <v>3.9400000000000002E-5</v>
      </c>
    </row>
    <row r="543" spans="1:5">
      <c r="A543">
        <v>2015</v>
      </c>
      <c r="B543" s="3" t="s">
        <v>1038</v>
      </c>
      <c r="C543" t="s">
        <v>983</v>
      </c>
      <c r="D543" s="9">
        <v>443874</v>
      </c>
      <c r="E543">
        <v>4.4250000000000002E-4</v>
      </c>
    </row>
    <row r="544" spans="1:5">
      <c r="A544">
        <v>2015</v>
      </c>
      <c r="B544" s="3" t="s">
        <v>1039</v>
      </c>
      <c r="C544" t="s">
        <v>984</v>
      </c>
      <c r="D544" s="9">
        <v>5900647</v>
      </c>
      <c r="E544">
        <v>5.8827999999999997E-3</v>
      </c>
    </row>
    <row r="545" spans="1:5">
      <c r="A545">
        <v>2015</v>
      </c>
      <c r="B545" s="3" t="s">
        <v>1040</v>
      </c>
      <c r="C545" t="s">
        <v>985</v>
      </c>
      <c r="D545" s="9">
        <v>132579</v>
      </c>
      <c r="E545">
        <v>1.3219999999999999E-4</v>
      </c>
    </row>
    <row r="546" spans="1:5">
      <c r="A546">
        <v>2015</v>
      </c>
      <c r="B546" s="3" t="s">
        <v>1041</v>
      </c>
      <c r="C546" t="s">
        <v>986</v>
      </c>
      <c r="D546" s="9">
        <v>662603</v>
      </c>
      <c r="E546">
        <v>6.6060000000000001E-4</v>
      </c>
    </row>
    <row r="547" spans="1:5">
      <c r="A547">
        <v>2015</v>
      </c>
      <c r="B547" s="3" t="s">
        <v>1042</v>
      </c>
      <c r="C547" t="s">
        <v>987</v>
      </c>
      <c r="D547" s="9">
        <v>27867</v>
      </c>
      <c r="E547">
        <v>2.7800000000000001E-5</v>
      </c>
    </row>
    <row r="548" spans="1:5">
      <c r="A548">
        <v>2015</v>
      </c>
      <c r="B548" s="3" t="s">
        <v>1043</v>
      </c>
      <c r="C548" t="s">
        <v>988</v>
      </c>
      <c r="D548" s="9">
        <v>566278</v>
      </c>
      <c r="E548">
        <v>5.6459999999999995E-4</v>
      </c>
    </row>
    <row r="549" spans="1:5">
      <c r="A549">
        <v>2015</v>
      </c>
      <c r="B549" s="3" t="s">
        <v>1044</v>
      </c>
      <c r="C549" t="s">
        <v>989</v>
      </c>
      <c r="D549" s="9">
        <v>645970</v>
      </c>
      <c r="E549">
        <v>6.4400000000000004E-4</v>
      </c>
    </row>
    <row r="550" spans="1:5">
      <c r="A550">
        <v>2015</v>
      </c>
      <c r="B550" s="3" t="s">
        <v>1100</v>
      </c>
      <c r="C550" t="s">
        <v>1045</v>
      </c>
      <c r="D550" s="9">
        <v>1446523</v>
      </c>
      <c r="E550">
        <v>1.4422E-3</v>
      </c>
    </row>
    <row r="551" spans="1:5">
      <c r="A551">
        <v>2015</v>
      </c>
      <c r="B551" s="3" t="s">
        <v>1101</v>
      </c>
      <c r="C551" t="s">
        <v>1046</v>
      </c>
      <c r="D551" s="9">
        <v>2646873</v>
      </c>
      <c r="E551">
        <v>2.6389E-3</v>
      </c>
    </row>
    <row r="552" spans="1:5">
      <c r="A552">
        <v>2015</v>
      </c>
      <c r="B552" s="3" t="s">
        <v>1102</v>
      </c>
      <c r="C552" t="s">
        <v>1047</v>
      </c>
      <c r="D552" s="9">
        <v>70689</v>
      </c>
      <c r="E552">
        <v>7.0500000000000006E-5</v>
      </c>
    </row>
    <row r="553" spans="1:5">
      <c r="A553">
        <v>2015</v>
      </c>
      <c r="B553" s="3" t="s">
        <v>1103</v>
      </c>
      <c r="C553" t="s">
        <v>1048</v>
      </c>
      <c r="D553" s="9">
        <v>112844</v>
      </c>
      <c r="E553">
        <v>1.125E-4</v>
      </c>
    </row>
    <row r="554" spans="1:5">
      <c r="A554">
        <v>2015</v>
      </c>
      <c r="B554" s="3" t="s">
        <v>1104</v>
      </c>
      <c r="C554" t="s">
        <v>1049</v>
      </c>
      <c r="D554" s="9">
        <v>1150000</v>
      </c>
      <c r="E554">
        <v>1.1464999999999999E-3</v>
      </c>
    </row>
    <row r="555" spans="1:5">
      <c r="A555">
        <v>2015</v>
      </c>
      <c r="B555" s="3" t="s">
        <v>1105</v>
      </c>
      <c r="C555" t="s">
        <v>1050</v>
      </c>
      <c r="D555" s="9">
        <v>19099</v>
      </c>
      <c r="E555">
        <v>1.9000000000000001E-5</v>
      </c>
    </row>
    <row r="556" spans="1:5">
      <c r="A556">
        <v>2015</v>
      </c>
      <c r="B556" s="3" t="s">
        <v>1106</v>
      </c>
      <c r="C556" t="s">
        <v>1051</v>
      </c>
      <c r="D556" s="9">
        <v>126992</v>
      </c>
      <c r="E556">
        <v>1.2659999999999999E-4</v>
      </c>
    </row>
    <row r="557" spans="1:5">
      <c r="A557">
        <v>2015</v>
      </c>
      <c r="B557" s="3" t="s">
        <v>1107</v>
      </c>
      <c r="C557" t="s">
        <v>1052</v>
      </c>
      <c r="D557" s="9">
        <v>667467</v>
      </c>
      <c r="E557">
        <v>6.6540000000000002E-4</v>
      </c>
    </row>
    <row r="558" spans="1:5">
      <c r="A558">
        <v>2015</v>
      </c>
      <c r="B558" s="3" t="s">
        <v>1108</v>
      </c>
      <c r="C558" t="s">
        <v>1053</v>
      </c>
      <c r="D558" s="9">
        <v>1003205</v>
      </c>
      <c r="E558">
        <v>1.0001999999999999E-3</v>
      </c>
    </row>
    <row r="559" spans="1:5">
      <c r="A559">
        <v>2015</v>
      </c>
      <c r="B559" s="3" t="s">
        <v>1109</v>
      </c>
      <c r="C559" t="s">
        <v>1054</v>
      </c>
      <c r="D559" s="9">
        <v>214046</v>
      </c>
      <c r="E559">
        <v>2.1340000000000001E-4</v>
      </c>
    </row>
    <row r="560" spans="1:5">
      <c r="A560">
        <v>2015</v>
      </c>
      <c r="B560" s="3" t="s">
        <v>1110</v>
      </c>
      <c r="C560" t="s">
        <v>1055</v>
      </c>
      <c r="D560" s="9">
        <v>1429053</v>
      </c>
      <c r="E560">
        <v>1.4247000000000001E-3</v>
      </c>
    </row>
    <row r="561" spans="1:5">
      <c r="A561">
        <v>2015</v>
      </c>
      <c r="B561" s="3" t="s">
        <v>1111</v>
      </c>
      <c r="C561" t="s">
        <v>1056</v>
      </c>
      <c r="D561" s="9">
        <v>22479</v>
      </c>
      <c r="E561">
        <v>2.2399999999999999E-5</v>
      </c>
    </row>
    <row r="562" spans="1:5">
      <c r="A562">
        <v>2015</v>
      </c>
      <c r="B562" s="3" t="s">
        <v>1112</v>
      </c>
      <c r="C562" t="s">
        <v>1057</v>
      </c>
      <c r="D562" s="9">
        <v>11718248</v>
      </c>
      <c r="E562">
        <v>1.16828E-2</v>
      </c>
    </row>
    <row r="563" spans="1:5">
      <c r="A563">
        <v>2015</v>
      </c>
      <c r="B563" s="3" t="s">
        <v>1113</v>
      </c>
      <c r="C563" t="s">
        <v>1058</v>
      </c>
      <c r="D563" s="9">
        <v>53031</v>
      </c>
      <c r="E563">
        <v>5.2899999999999998E-5</v>
      </c>
    </row>
    <row r="564" spans="1:5">
      <c r="A564">
        <v>2015</v>
      </c>
      <c r="B564" s="3" t="s">
        <v>1114</v>
      </c>
      <c r="C564" t="s">
        <v>1059</v>
      </c>
      <c r="D564" s="9">
        <v>495584</v>
      </c>
      <c r="E564">
        <v>4.9410000000000003E-4</v>
      </c>
    </row>
    <row r="565" spans="1:5">
      <c r="A565">
        <v>2015</v>
      </c>
      <c r="B565" s="3" t="s">
        <v>1115</v>
      </c>
      <c r="C565" t="s">
        <v>1060</v>
      </c>
      <c r="D565" s="9">
        <v>34969</v>
      </c>
      <c r="E565">
        <v>3.4900000000000001E-5</v>
      </c>
    </row>
    <row r="566" spans="1:5">
      <c r="A566">
        <v>2015</v>
      </c>
      <c r="B566" s="3" t="s">
        <v>1116</v>
      </c>
      <c r="C566" t="s">
        <v>1061</v>
      </c>
      <c r="D566" s="9">
        <v>110192</v>
      </c>
      <c r="E566">
        <v>1.099E-4</v>
      </c>
    </row>
    <row r="567" spans="1:5">
      <c r="A567">
        <v>2015</v>
      </c>
      <c r="B567" s="3" t="s">
        <v>1117</v>
      </c>
      <c r="C567" t="s">
        <v>1062</v>
      </c>
      <c r="D567" s="9">
        <v>154767</v>
      </c>
      <c r="E567">
        <v>1.5430000000000001E-4</v>
      </c>
    </row>
    <row r="568" spans="1:5">
      <c r="A568">
        <v>2015</v>
      </c>
      <c r="B568" s="3" t="s">
        <v>1118</v>
      </c>
      <c r="C568" t="s">
        <v>1063</v>
      </c>
      <c r="D568" s="9">
        <v>45026</v>
      </c>
      <c r="E568">
        <v>4.49E-5</v>
      </c>
    </row>
    <row r="569" spans="1:5">
      <c r="A569">
        <v>2015</v>
      </c>
      <c r="B569" s="3" t="s">
        <v>1119</v>
      </c>
      <c r="C569" t="s">
        <v>1064</v>
      </c>
      <c r="D569" s="9">
        <v>999676</v>
      </c>
      <c r="E569">
        <v>9.967000000000001E-4</v>
      </c>
    </row>
    <row r="570" spans="1:5">
      <c r="A570">
        <v>2015</v>
      </c>
      <c r="B570" s="3" t="s">
        <v>1120</v>
      </c>
      <c r="C570" t="s">
        <v>1065</v>
      </c>
      <c r="D570" s="9"/>
      <c r="E570">
        <v>0</v>
      </c>
    </row>
    <row r="571" spans="1:5">
      <c r="A571">
        <v>2015</v>
      </c>
      <c r="B571" s="3" t="s">
        <v>1121</v>
      </c>
      <c r="C571" t="s">
        <v>1066</v>
      </c>
      <c r="D571" s="9">
        <v>2731043</v>
      </c>
      <c r="E571">
        <v>2.7228E-3</v>
      </c>
    </row>
    <row r="572" spans="1:5">
      <c r="A572">
        <v>2015</v>
      </c>
      <c r="B572" s="3" t="s">
        <v>1122</v>
      </c>
      <c r="C572" t="s">
        <v>1067</v>
      </c>
      <c r="D572" s="9">
        <v>20101</v>
      </c>
      <c r="E572">
        <v>2.0000000000000002E-5</v>
      </c>
    </row>
    <row r="573" spans="1:5">
      <c r="A573">
        <v>2015</v>
      </c>
      <c r="B573" s="3" t="s">
        <v>1123</v>
      </c>
      <c r="C573" t="s">
        <v>1068</v>
      </c>
      <c r="D573" s="9">
        <v>49822</v>
      </c>
      <c r="E573">
        <v>4.9700000000000002E-5</v>
      </c>
    </row>
    <row r="574" spans="1:5">
      <c r="A574">
        <v>2015</v>
      </c>
      <c r="B574" s="3" t="s">
        <v>1124</v>
      </c>
      <c r="C574" t="s">
        <v>1069</v>
      </c>
      <c r="D574" s="9">
        <v>86636</v>
      </c>
      <c r="E574">
        <v>8.6399999999999999E-5</v>
      </c>
    </row>
    <row r="575" spans="1:5">
      <c r="A575">
        <v>2015</v>
      </c>
      <c r="B575" s="3" t="s">
        <v>1125</v>
      </c>
      <c r="C575" t="s">
        <v>1070</v>
      </c>
      <c r="D575" s="9">
        <v>937239</v>
      </c>
      <c r="E575">
        <v>9.3440000000000005E-4</v>
      </c>
    </row>
    <row r="576" spans="1:5">
      <c r="A576">
        <v>2015</v>
      </c>
      <c r="B576" s="3" t="s">
        <v>1126</v>
      </c>
      <c r="C576" t="s">
        <v>1071</v>
      </c>
      <c r="D576" s="9">
        <v>88143</v>
      </c>
      <c r="E576">
        <v>8.7899999999999995E-5</v>
      </c>
    </row>
    <row r="577" spans="1:5">
      <c r="A577">
        <v>2015</v>
      </c>
      <c r="B577" s="3" t="s">
        <v>1127</v>
      </c>
      <c r="C577" t="s">
        <v>1072</v>
      </c>
      <c r="D577" s="9">
        <v>1224954</v>
      </c>
      <c r="E577">
        <v>1.2213E-3</v>
      </c>
    </row>
    <row r="578" spans="1:5">
      <c r="A578">
        <v>2015</v>
      </c>
      <c r="B578" s="3" t="s">
        <v>1128</v>
      </c>
      <c r="C578" t="s">
        <v>1073</v>
      </c>
      <c r="D578" s="9">
        <v>109106</v>
      </c>
      <c r="E578">
        <v>1.088E-4</v>
      </c>
    </row>
    <row r="579" spans="1:5">
      <c r="A579">
        <v>2015</v>
      </c>
      <c r="B579" s="3" t="s">
        <v>1129</v>
      </c>
      <c r="C579" t="s">
        <v>1074</v>
      </c>
      <c r="D579" s="9">
        <v>5862</v>
      </c>
      <c r="E579">
        <v>5.8000000000000004E-6</v>
      </c>
    </row>
    <row r="580" spans="1:5">
      <c r="A580">
        <v>2015</v>
      </c>
      <c r="B580" s="3" t="s">
        <v>1130</v>
      </c>
      <c r="C580" t="s">
        <v>1075</v>
      </c>
      <c r="D580" s="9">
        <v>14165</v>
      </c>
      <c r="E580">
        <v>1.4100000000000001E-5</v>
      </c>
    </row>
    <row r="581" spans="1:5">
      <c r="A581">
        <v>2015</v>
      </c>
      <c r="B581" s="3" t="s">
        <v>1131</v>
      </c>
      <c r="C581" t="s">
        <v>1076</v>
      </c>
      <c r="D581" s="9">
        <v>31360</v>
      </c>
      <c r="E581">
        <v>3.1300000000000002E-5</v>
      </c>
    </row>
    <row r="582" spans="1:5">
      <c r="A582">
        <v>2015</v>
      </c>
      <c r="B582" s="3" t="s">
        <v>1132</v>
      </c>
      <c r="C582" t="s">
        <v>1077</v>
      </c>
      <c r="D582" s="9">
        <v>57752</v>
      </c>
      <c r="E582">
        <v>5.7599999999999997E-5</v>
      </c>
    </row>
    <row r="583" spans="1:5">
      <c r="A583">
        <v>2015</v>
      </c>
      <c r="B583" s="3" t="s">
        <v>1133</v>
      </c>
      <c r="C583" t="s">
        <v>1078</v>
      </c>
      <c r="D583" s="9">
        <v>76642</v>
      </c>
      <c r="E583">
        <v>7.64E-5</v>
      </c>
    </row>
    <row r="584" spans="1:5">
      <c r="A584">
        <v>2015</v>
      </c>
      <c r="B584" s="3" t="s">
        <v>1134</v>
      </c>
      <c r="C584" t="s">
        <v>1079</v>
      </c>
      <c r="D584" s="9">
        <v>407119</v>
      </c>
      <c r="E584">
        <v>4.059E-4</v>
      </c>
    </row>
    <row r="585" spans="1:5">
      <c r="A585">
        <v>2015</v>
      </c>
      <c r="B585" s="3" t="s">
        <v>1135</v>
      </c>
      <c r="C585" t="s">
        <v>1080</v>
      </c>
      <c r="D585" s="9">
        <v>230593</v>
      </c>
      <c r="E585">
        <v>2.299E-4</v>
      </c>
    </row>
    <row r="586" spans="1:5">
      <c r="A586">
        <v>2015</v>
      </c>
      <c r="B586" s="3" t="s">
        <v>1136</v>
      </c>
      <c r="C586" t="s">
        <v>1081</v>
      </c>
      <c r="D586" s="9">
        <v>471741</v>
      </c>
      <c r="E586">
        <v>4.7029999999999999E-4</v>
      </c>
    </row>
    <row r="587" spans="1:5">
      <c r="A587">
        <v>2015</v>
      </c>
      <c r="B587" s="3" t="s">
        <v>1137</v>
      </c>
      <c r="C587" t="s">
        <v>1082</v>
      </c>
      <c r="D587" s="9">
        <v>258508</v>
      </c>
      <c r="E587">
        <v>2.5769999999999998E-4</v>
      </c>
    </row>
    <row r="588" spans="1:5">
      <c r="A588">
        <v>2015</v>
      </c>
      <c r="B588" s="3" t="s">
        <v>1138</v>
      </c>
      <c r="C588" t="s">
        <v>1083</v>
      </c>
      <c r="D588" s="9">
        <v>88343</v>
      </c>
      <c r="E588">
        <v>8.81E-5</v>
      </c>
    </row>
    <row r="589" spans="1:5">
      <c r="A589">
        <v>2015</v>
      </c>
      <c r="B589" s="3" t="s">
        <v>1139</v>
      </c>
      <c r="C589" t="s">
        <v>1084</v>
      </c>
      <c r="D589" s="9">
        <v>66460</v>
      </c>
      <c r="E589">
        <v>6.6299999999999999E-5</v>
      </c>
    </row>
    <row r="590" spans="1:5">
      <c r="A590">
        <v>2015</v>
      </c>
      <c r="B590" s="3" t="s">
        <v>1140</v>
      </c>
      <c r="C590" t="s">
        <v>1085</v>
      </c>
      <c r="D590" s="9">
        <v>269624</v>
      </c>
      <c r="E590">
        <v>2.6879999999999997E-4</v>
      </c>
    </row>
    <row r="591" spans="1:5">
      <c r="A591">
        <v>2015</v>
      </c>
      <c r="B591" s="3" t="s">
        <v>1141</v>
      </c>
      <c r="C591" t="s">
        <v>1086</v>
      </c>
      <c r="D591" s="9">
        <v>11710</v>
      </c>
      <c r="E591">
        <v>1.17E-5</v>
      </c>
    </row>
    <row r="592" spans="1:5">
      <c r="A592">
        <v>2015</v>
      </c>
      <c r="B592" s="3" t="s">
        <v>1142</v>
      </c>
      <c r="C592" t="s">
        <v>1087</v>
      </c>
      <c r="D592" s="9">
        <v>46006</v>
      </c>
      <c r="E592">
        <v>4.5899999999999998E-5</v>
      </c>
    </row>
    <row r="593" spans="1:5">
      <c r="A593">
        <v>2015</v>
      </c>
      <c r="B593" s="3" t="s">
        <v>1143</v>
      </c>
      <c r="C593" t="s">
        <v>1088</v>
      </c>
      <c r="D593" s="9">
        <v>181487</v>
      </c>
      <c r="E593">
        <v>1.8090000000000001E-4</v>
      </c>
    </row>
    <row r="594" spans="1:5">
      <c r="A594">
        <v>2015</v>
      </c>
      <c r="B594" s="3" t="s">
        <v>1144</v>
      </c>
      <c r="C594" t="s">
        <v>1089</v>
      </c>
      <c r="D594" s="9">
        <v>59631</v>
      </c>
      <c r="E594">
        <v>5.94E-5</v>
      </c>
    </row>
    <row r="595" spans="1:5">
      <c r="A595">
        <v>2015</v>
      </c>
      <c r="B595" s="3" t="s">
        <v>1145</v>
      </c>
      <c r="C595" t="s">
        <v>1090</v>
      </c>
      <c r="D595" s="9"/>
      <c r="E595">
        <v>0</v>
      </c>
    </row>
    <row r="596" spans="1:5">
      <c r="A596">
        <v>2015</v>
      </c>
      <c r="B596" s="3" t="s">
        <v>1146</v>
      </c>
      <c r="C596" t="s">
        <v>1091</v>
      </c>
      <c r="D596" s="9">
        <v>7644673</v>
      </c>
      <c r="E596">
        <v>7.6216000000000001E-3</v>
      </c>
    </row>
    <row r="597" spans="1:5">
      <c r="A597">
        <v>2015</v>
      </c>
      <c r="B597" s="3" t="s">
        <v>1147</v>
      </c>
      <c r="C597" t="s">
        <v>1092</v>
      </c>
      <c r="D597" s="9">
        <v>262</v>
      </c>
      <c r="E597">
        <v>2.9999999999999999E-7</v>
      </c>
    </row>
    <row r="598" spans="1:5">
      <c r="A598">
        <v>2015</v>
      </c>
      <c r="B598" s="3" t="s">
        <v>1148</v>
      </c>
      <c r="C598" t="s">
        <v>1093</v>
      </c>
      <c r="D598" s="9">
        <v>220043</v>
      </c>
      <c r="E598">
        <v>2.1939999999999999E-4</v>
      </c>
    </row>
    <row r="599" spans="1:5">
      <c r="A599">
        <v>2015</v>
      </c>
      <c r="B599" s="3" t="s">
        <v>1149</v>
      </c>
      <c r="C599" t="s">
        <v>1094</v>
      </c>
      <c r="D599" s="9">
        <v>86446</v>
      </c>
      <c r="E599">
        <v>8.6199999999999995E-5</v>
      </c>
    </row>
    <row r="600" spans="1:5">
      <c r="A600">
        <v>2015</v>
      </c>
      <c r="B600" s="3" t="s">
        <v>1150</v>
      </c>
      <c r="C600" t="s">
        <v>1095</v>
      </c>
      <c r="D600" s="9">
        <v>169311</v>
      </c>
      <c r="E600">
        <v>1.6880000000000001E-4</v>
      </c>
    </row>
    <row r="601" spans="1:5">
      <c r="A601">
        <v>2015</v>
      </c>
      <c r="B601" s="3" t="s">
        <v>1151</v>
      </c>
      <c r="C601" t="s">
        <v>1096</v>
      </c>
      <c r="D601" s="9"/>
      <c r="E601">
        <v>0</v>
      </c>
    </row>
    <row r="602" spans="1:5">
      <c r="A602">
        <v>2015</v>
      </c>
      <c r="B602" s="3" t="s">
        <v>1152</v>
      </c>
      <c r="C602" t="s">
        <v>1097</v>
      </c>
      <c r="D602" s="9">
        <v>910449</v>
      </c>
      <c r="E602">
        <v>9.077E-4</v>
      </c>
    </row>
    <row r="603" spans="1:5">
      <c r="A603">
        <v>2015</v>
      </c>
      <c r="B603" s="3" t="s">
        <v>1153</v>
      </c>
      <c r="C603" t="s">
        <v>1098</v>
      </c>
      <c r="D603" s="9">
        <v>200999</v>
      </c>
      <c r="E603">
        <v>2.0039999999999999E-4</v>
      </c>
    </row>
    <row r="604" spans="1:5">
      <c r="A604">
        <v>2015</v>
      </c>
      <c r="B604" s="3" t="s">
        <v>1154</v>
      </c>
      <c r="C604" t="s">
        <v>1099</v>
      </c>
      <c r="D604" s="9">
        <v>6627060</v>
      </c>
      <c r="E604">
        <v>6.607E-3</v>
      </c>
    </row>
    <row r="605" spans="1:5">
      <c r="A605">
        <v>2015</v>
      </c>
      <c r="B605" s="3" t="s">
        <v>1209</v>
      </c>
      <c r="C605" t="s">
        <v>1155</v>
      </c>
      <c r="D605" s="9">
        <v>6936286</v>
      </c>
      <c r="E605">
        <v>6.9153000000000001E-3</v>
      </c>
    </row>
    <row r="606" spans="1:5">
      <c r="A606">
        <v>2015</v>
      </c>
      <c r="B606" s="3" t="s">
        <v>1210</v>
      </c>
      <c r="C606" t="s">
        <v>1156</v>
      </c>
      <c r="D606" s="9">
        <v>584678</v>
      </c>
      <c r="E606">
        <v>5.8290000000000002E-4</v>
      </c>
    </row>
    <row r="607" spans="1:5">
      <c r="A607">
        <v>2015</v>
      </c>
      <c r="B607" s="3" t="s">
        <v>1211</v>
      </c>
      <c r="C607" t="s">
        <v>1157</v>
      </c>
      <c r="D607" s="9">
        <v>1856</v>
      </c>
      <c r="E607">
        <v>1.7999999999999999E-6</v>
      </c>
    </row>
    <row r="608" spans="1:5">
      <c r="A608">
        <v>2015</v>
      </c>
      <c r="B608" s="3" t="s">
        <v>1212</v>
      </c>
      <c r="C608" t="s">
        <v>1158</v>
      </c>
      <c r="D608" s="9">
        <v>1320690</v>
      </c>
      <c r="E608">
        <v>1.3167000000000001E-3</v>
      </c>
    </row>
    <row r="609" spans="1:5">
      <c r="A609">
        <v>2015</v>
      </c>
      <c r="B609" s="3" t="s">
        <v>1213</v>
      </c>
      <c r="C609" t="s">
        <v>1159</v>
      </c>
      <c r="D609" s="9">
        <v>4501349</v>
      </c>
      <c r="E609">
        <v>4.4876999999999998E-3</v>
      </c>
    </row>
    <row r="610" spans="1:5">
      <c r="A610">
        <v>2015</v>
      </c>
      <c r="B610" s="3" t="s">
        <v>1214</v>
      </c>
      <c r="C610" t="s">
        <v>1160</v>
      </c>
      <c r="D610" s="9">
        <v>503402</v>
      </c>
      <c r="E610">
        <v>5.019E-4</v>
      </c>
    </row>
    <row r="611" spans="1:5">
      <c r="A611">
        <v>2015</v>
      </c>
      <c r="B611" s="3" t="s">
        <v>1215</v>
      </c>
      <c r="C611" t="s">
        <v>1161</v>
      </c>
      <c r="D611" s="9">
        <v>448508</v>
      </c>
      <c r="E611">
        <v>4.4719999999999997E-4</v>
      </c>
    </row>
    <row r="612" spans="1:5">
      <c r="A612">
        <v>2015</v>
      </c>
      <c r="B612" s="3" t="s">
        <v>1216</v>
      </c>
      <c r="C612" t="s">
        <v>1162</v>
      </c>
      <c r="D612" s="9"/>
      <c r="E612">
        <v>0</v>
      </c>
    </row>
    <row r="613" spans="1:5">
      <c r="A613">
        <v>2015</v>
      </c>
      <c r="B613" s="3" t="s">
        <v>1217</v>
      </c>
      <c r="C613" t="s">
        <v>1163</v>
      </c>
      <c r="D613" s="9">
        <v>67015</v>
      </c>
      <c r="E613">
        <v>6.6799999999999997E-5</v>
      </c>
    </row>
    <row r="614" spans="1:5">
      <c r="A614">
        <v>2015</v>
      </c>
      <c r="B614" s="3" t="s">
        <v>1218</v>
      </c>
      <c r="C614" t="s">
        <v>1164</v>
      </c>
      <c r="D614" s="9">
        <v>69602</v>
      </c>
      <c r="E614">
        <v>6.9400000000000006E-5</v>
      </c>
    </row>
    <row r="615" spans="1:5">
      <c r="A615">
        <v>2015</v>
      </c>
      <c r="B615" s="3" t="s">
        <v>1219</v>
      </c>
      <c r="C615" t="s">
        <v>1165</v>
      </c>
      <c r="D615" s="9">
        <v>294159</v>
      </c>
      <c r="E615">
        <v>2.9329999999999997E-4</v>
      </c>
    </row>
    <row r="616" spans="1:5">
      <c r="A616">
        <v>2015</v>
      </c>
      <c r="B616" s="3" t="s">
        <v>1220</v>
      </c>
      <c r="C616" t="s">
        <v>1166</v>
      </c>
      <c r="D616" s="9">
        <v>105163</v>
      </c>
      <c r="E616">
        <v>1.048E-4</v>
      </c>
    </row>
    <row r="617" spans="1:5">
      <c r="A617">
        <v>2015</v>
      </c>
      <c r="B617" s="3" t="s">
        <v>1221</v>
      </c>
      <c r="C617" t="s">
        <v>1167</v>
      </c>
      <c r="D617" s="9">
        <v>246283</v>
      </c>
      <c r="E617">
        <v>2.455E-4</v>
      </c>
    </row>
    <row r="618" spans="1:5">
      <c r="A618">
        <v>2015</v>
      </c>
      <c r="B618" s="3" t="s">
        <v>1222</v>
      </c>
      <c r="C618" t="s">
        <v>1168</v>
      </c>
      <c r="D618" s="9">
        <v>321808</v>
      </c>
      <c r="E618">
        <v>3.2079999999999999E-4</v>
      </c>
    </row>
    <row r="619" spans="1:5">
      <c r="A619">
        <v>2015</v>
      </c>
      <c r="B619" s="3" t="s">
        <v>1223</v>
      </c>
      <c r="C619" t="s">
        <v>1169</v>
      </c>
      <c r="D619" s="9">
        <v>146499</v>
      </c>
      <c r="E619">
        <v>1.461E-4</v>
      </c>
    </row>
    <row r="620" spans="1:5">
      <c r="A620">
        <v>2015</v>
      </c>
      <c r="B620" s="3" t="s">
        <v>1224</v>
      </c>
      <c r="C620" t="s">
        <v>1170</v>
      </c>
      <c r="D620" s="9">
        <v>77640</v>
      </c>
      <c r="E620">
        <v>7.7399999999999998E-5</v>
      </c>
    </row>
    <row r="621" spans="1:5">
      <c r="A621">
        <v>2015</v>
      </c>
      <c r="B621" s="3" t="s">
        <v>1225</v>
      </c>
      <c r="C621" t="s">
        <v>1171</v>
      </c>
      <c r="D621" s="9">
        <v>13981</v>
      </c>
      <c r="E621">
        <v>1.3900000000000001E-5</v>
      </c>
    </row>
    <row r="622" spans="1:5">
      <c r="A622">
        <v>2015</v>
      </c>
      <c r="B622" s="3" t="s">
        <v>1226</v>
      </c>
      <c r="C622" t="s">
        <v>1172</v>
      </c>
      <c r="D622" s="9">
        <v>140427</v>
      </c>
      <c r="E622">
        <v>1.3999999999999999E-4</v>
      </c>
    </row>
    <row r="623" spans="1:5">
      <c r="A623">
        <v>2015</v>
      </c>
      <c r="B623" s="3" t="s">
        <v>1227</v>
      </c>
      <c r="C623" t="s">
        <v>1173</v>
      </c>
      <c r="D623" s="9">
        <v>589871</v>
      </c>
      <c r="E623">
        <v>5.8810000000000004E-4</v>
      </c>
    </row>
    <row r="624" spans="1:5">
      <c r="A624">
        <v>2015</v>
      </c>
      <c r="B624" s="3" t="s">
        <v>1228</v>
      </c>
      <c r="C624" t="s">
        <v>1174</v>
      </c>
      <c r="D624" s="9">
        <v>37524</v>
      </c>
      <c r="E624">
        <v>3.7400000000000001E-5</v>
      </c>
    </row>
    <row r="625" spans="1:5">
      <c r="A625">
        <v>2015</v>
      </c>
      <c r="B625" s="3" t="s">
        <v>1229</v>
      </c>
      <c r="C625" t="s">
        <v>1175</v>
      </c>
      <c r="D625" s="9">
        <v>156371</v>
      </c>
      <c r="E625">
        <v>1.5589999999999999E-4</v>
      </c>
    </row>
    <row r="626" spans="1:5">
      <c r="A626">
        <v>2015</v>
      </c>
      <c r="B626" s="3" t="s">
        <v>1230</v>
      </c>
      <c r="C626" t="s">
        <v>1176</v>
      </c>
      <c r="D626" s="9">
        <v>4874367</v>
      </c>
      <c r="E626">
        <v>4.8596000000000004E-3</v>
      </c>
    </row>
    <row r="627" spans="1:5">
      <c r="A627">
        <v>2015</v>
      </c>
      <c r="B627" s="3" t="s">
        <v>1231</v>
      </c>
      <c r="C627" t="s">
        <v>1177</v>
      </c>
      <c r="D627" s="9">
        <v>69279</v>
      </c>
      <c r="E627">
        <v>6.9099999999999999E-5</v>
      </c>
    </row>
    <row r="628" spans="1:5">
      <c r="A628">
        <v>2015</v>
      </c>
      <c r="B628" s="3" t="s">
        <v>1232</v>
      </c>
      <c r="C628" t="s">
        <v>1178</v>
      </c>
      <c r="D628" s="9">
        <v>85329</v>
      </c>
      <c r="E628">
        <v>8.5099999999999995E-5</v>
      </c>
    </row>
    <row r="629" spans="1:5">
      <c r="A629">
        <v>2015</v>
      </c>
      <c r="B629" s="3" t="s">
        <v>1233</v>
      </c>
      <c r="C629" t="s">
        <v>1179</v>
      </c>
      <c r="D629" s="9">
        <v>75532</v>
      </c>
      <c r="E629">
        <v>7.5300000000000001E-5</v>
      </c>
    </row>
    <row r="630" spans="1:5">
      <c r="A630">
        <v>2015</v>
      </c>
      <c r="B630" s="3" t="s">
        <v>1234</v>
      </c>
      <c r="C630" t="s">
        <v>1180</v>
      </c>
      <c r="D630" s="9">
        <v>1369236</v>
      </c>
      <c r="E630">
        <v>1.3651E-3</v>
      </c>
    </row>
    <row r="631" spans="1:5">
      <c r="A631">
        <v>2015</v>
      </c>
      <c r="B631" s="3" t="s">
        <v>1235</v>
      </c>
      <c r="C631" t="s">
        <v>1181</v>
      </c>
      <c r="D631" s="9">
        <v>81589</v>
      </c>
      <c r="E631">
        <v>8.1299999999999997E-5</v>
      </c>
    </row>
    <row r="632" spans="1:5">
      <c r="A632">
        <v>2015</v>
      </c>
      <c r="B632" s="3" t="s">
        <v>1236</v>
      </c>
      <c r="C632" t="s">
        <v>1182</v>
      </c>
      <c r="D632" s="9">
        <v>1196155</v>
      </c>
      <c r="E632">
        <v>1.1925E-3</v>
      </c>
    </row>
    <row r="633" spans="1:5">
      <c r="A633">
        <v>2015</v>
      </c>
      <c r="B633" s="3" t="s">
        <v>1237</v>
      </c>
      <c r="C633" t="s">
        <v>1183</v>
      </c>
      <c r="D633" s="9">
        <v>405322</v>
      </c>
      <c r="E633">
        <v>4.0410000000000001E-4</v>
      </c>
    </row>
    <row r="634" spans="1:5">
      <c r="A634">
        <v>2015</v>
      </c>
      <c r="B634" s="3" t="s">
        <v>1238</v>
      </c>
      <c r="C634" t="s">
        <v>1184</v>
      </c>
      <c r="D634" s="9">
        <v>112188</v>
      </c>
      <c r="E634">
        <v>1.1179999999999999E-4</v>
      </c>
    </row>
    <row r="635" spans="1:5">
      <c r="A635">
        <v>2015</v>
      </c>
      <c r="B635" s="3" t="s">
        <v>1239</v>
      </c>
      <c r="C635" t="s">
        <v>1185</v>
      </c>
      <c r="D635" s="9">
        <v>28359</v>
      </c>
      <c r="E635">
        <v>2.83E-5</v>
      </c>
    </row>
    <row r="636" spans="1:5">
      <c r="A636">
        <v>2015</v>
      </c>
      <c r="B636" s="3" t="s">
        <v>1240</v>
      </c>
      <c r="C636" t="s">
        <v>1186</v>
      </c>
      <c r="D636" s="9">
        <v>517556</v>
      </c>
      <c r="E636">
        <v>5.1599999999999997E-4</v>
      </c>
    </row>
    <row r="637" spans="1:5">
      <c r="A637">
        <v>2015</v>
      </c>
      <c r="B637" s="3" t="s">
        <v>1241</v>
      </c>
      <c r="C637" t="s">
        <v>1187</v>
      </c>
      <c r="D637" s="9">
        <v>20665</v>
      </c>
      <c r="E637">
        <v>2.0599999999999999E-5</v>
      </c>
    </row>
    <row r="638" spans="1:5">
      <c r="A638">
        <v>2015</v>
      </c>
      <c r="B638" s="3" t="s">
        <v>1242</v>
      </c>
      <c r="C638" t="s">
        <v>1188</v>
      </c>
      <c r="D638" s="9">
        <v>162602</v>
      </c>
      <c r="E638">
        <v>1.6210000000000001E-4</v>
      </c>
    </row>
    <row r="639" spans="1:5">
      <c r="A639">
        <v>2015</v>
      </c>
      <c r="B639" s="3" t="s">
        <v>1243</v>
      </c>
      <c r="C639" t="s">
        <v>1189</v>
      </c>
      <c r="D639" s="9">
        <v>1190497</v>
      </c>
      <c r="E639">
        <v>1.1869000000000001E-3</v>
      </c>
    </row>
    <row r="640" spans="1:5">
      <c r="A640">
        <v>2015</v>
      </c>
      <c r="B640" s="3" t="s">
        <v>1244</v>
      </c>
      <c r="C640" t="s">
        <v>1190</v>
      </c>
      <c r="D640" s="9">
        <v>537731</v>
      </c>
      <c r="E640">
        <v>5.3609999999999997E-4</v>
      </c>
    </row>
    <row r="641" spans="1:5">
      <c r="A641">
        <v>2015</v>
      </c>
      <c r="B641" s="3" t="s">
        <v>1245</v>
      </c>
      <c r="C641" t="s">
        <v>1191</v>
      </c>
      <c r="D641" s="9">
        <v>151953</v>
      </c>
      <c r="E641">
        <v>1.515E-4</v>
      </c>
    </row>
    <row r="642" spans="1:5">
      <c r="A642">
        <v>2015</v>
      </c>
      <c r="B642" s="3" t="s">
        <v>1246</v>
      </c>
      <c r="C642" t="s">
        <v>1192</v>
      </c>
      <c r="D642" s="9">
        <v>101346</v>
      </c>
      <c r="E642">
        <v>1.01E-4</v>
      </c>
    </row>
    <row r="643" spans="1:5">
      <c r="A643">
        <v>2015</v>
      </c>
      <c r="B643" s="3" t="s">
        <v>1247</v>
      </c>
      <c r="C643" t="s">
        <v>1193</v>
      </c>
      <c r="D643" s="9">
        <v>23041</v>
      </c>
      <c r="E643">
        <v>2.3E-5</v>
      </c>
    </row>
    <row r="644" spans="1:5">
      <c r="A644">
        <v>2015</v>
      </c>
      <c r="B644" s="3" t="s">
        <v>1248</v>
      </c>
      <c r="C644" t="s">
        <v>1194</v>
      </c>
      <c r="D644" s="9">
        <v>42548</v>
      </c>
      <c r="E644">
        <v>4.2400000000000001E-5</v>
      </c>
    </row>
    <row r="645" spans="1:5">
      <c r="A645">
        <v>2015</v>
      </c>
      <c r="B645" s="3" t="s">
        <v>1249</v>
      </c>
      <c r="C645" t="s">
        <v>1195</v>
      </c>
      <c r="D645" s="9">
        <v>83568</v>
      </c>
      <c r="E645">
        <v>8.3300000000000005E-5</v>
      </c>
    </row>
    <row r="646" spans="1:5">
      <c r="A646">
        <v>2015</v>
      </c>
      <c r="B646" s="3" t="s">
        <v>1250</v>
      </c>
      <c r="C646" t="s">
        <v>1196</v>
      </c>
      <c r="D646" s="9">
        <v>145066</v>
      </c>
      <c r="E646">
        <v>1.4459999999999999E-4</v>
      </c>
    </row>
    <row r="647" spans="1:5">
      <c r="A647">
        <v>2015</v>
      </c>
      <c r="B647" s="3" t="s">
        <v>1251</v>
      </c>
      <c r="C647" t="s">
        <v>1197</v>
      </c>
      <c r="D647" s="9">
        <v>20958</v>
      </c>
      <c r="E647">
        <v>2.09E-5</v>
      </c>
    </row>
    <row r="648" spans="1:5">
      <c r="A648">
        <v>2015</v>
      </c>
      <c r="B648" s="3" t="s">
        <v>1252</v>
      </c>
      <c r="C648" t="s">
        <v>1198</v>
      </c>
      <c r="D648" s="9">
        <v>81048</v>
      </c>
      <c r="E648">
        <v>8.0799999999999999E-5</v>
      </c>
    </row>
    <row r="649" spans="1:5">
      <c r="A649">
        <v>2015</v>
      </c>
      <c r="B649" s="3" t="s">
        <v>1253</v>
      </c>
      <c r="C649" t="s">
        <v>1199</v>
      </c>
      <c r="D649" s="9">
        <v>216316</v>
      </c>
      <c r="E649">
        <v>2.1570000000000001E-4</v>
      </c>
    </row>
    <row r="650" spans="1:5">
      <c r="A650">
        <v>2015</v>
      </c>
      <c r="B650" s="3" t="s">
        <v>1254</v>
      </c>
      <c r="C650" t="s">
        <v>1200</v>
      </c>
      <c r="D650" s="9">
        <v>70213</v>
      </c>
      <c r="E650">
        <v>6.9999999999999994E-5</v>
      </c>
    </row>
    <row r="651" spans="1:5">
      <c r="A651">
        <v>2015</v>
      </c>
      <c r="B651" s="3" t="s">
        <v>1255</v>
      </c>
      <c r="C651" t="s">
        <v>1201</v>
      </c>
      <c r="D651" s="9">
        <v>8292</v>
      </c>
      <c r="E651">
        <v>8.3000000000000002E-6</v>
      </c>
    </row>
    <row r="652" spans="1:5">
      <c r="A652">
        <v>2015</v>
      </c>
      <c r="B652" s="3" t="s">
        <v>1256</v>
      </c>
      <c r="C652" t="s">
        <v>1202</v>
      </c>
      <c r="D652" s="9">
        <v>35883</v>
      </c>
      <c r="E652">
        <v>3.5800000000000003E-5</v>
      </c>
    </row>
    <row r="653" spans="1:5">
      <c r="A653">
        <v>2015</v>
      </c>
      <c r="B653" s="3" t="s">
        <v>1257</v>
      </c>
      <c r="C653" t="s">
        <v>1203</v>
      </c>
      <c r="D653" s="9">
        <v>1348523</v>
      </c>
      <c r="E653">
        <v>1.3443999999999999E-3</v>
      </c>
    </row>
    <row r="654" spans="1:5">
      <c r="A654">
        <v>2015</v>
      </c>
      <c r="B654" s="3" t="s">
        <v>1258</v>
      </c>
      <c r="C654" t="s">
        <v>1204</v>
      </c>
      <c r="D654" s="9">
        <v>1166090</v>
      </c>
      <c r="E654">
        <v>1.1626E-3</v>
      </c>
    </row>
    <row r="655" spans="1:5">
      <c r="A655">
        <v>2015</v>
      </c>
      <c r="B655" s="3" t="s">
        <v>1259</v>
      </c>
      <c r="C655" t="s">
        <v>1205</v>
      </c>
      <c r="D655" s="9">
        <v>278087</v>
      </c>
      <c r="E655">
        <v>2.7720000000000002E-4</v>
      </c>
    </row>
    <row r="656" spans="1:5">
      <c r="A656">
        <v>2015</v>
      </c>
      <c r="B656" s="3" t="s">
        <v>1260</v>
      </c>
      <c r="C656" t="s">
        <v>1206</v>
      </c>
      <c r="D656" s="9">
        <v>63274</v>
      </c>
      <c r="E656">
        <v>6.3100000000000002E-5</v>
      </c>
    </row>
    <row r="657" spans="1:5">
      <c r="A657">
        <v>2015</v>
      </c>
      <c r="B657" s="3" t="s">
        <v>1261</v>
      </c>
      <c r="C657" t="s">
        <v>1207</v>
      </c>
      <c r="D657" s="9">
        <v>25821534</v>
      </c>
      <c r="E657">
        <v>2.5743499999999999E-2</v>
      </c>
    </row>
    <row r="658" spans="1:5">
      <c r="A658">
        <v>2015</v>
      </c>
      <c r="B658" s="3" t="s">
        <v>1262</v>
      </c>
      <c r="C658" t="s">
        <v>1208</v>
      </c>
      <c r="D658" s="9">
        <v>17251</v>
      </c>
      <c r="E658">
        <v>1.7200000000000001E-5</v>
      </c>
    </row>
    <row r="659" spans="1:5">
      <c r="A659">
        <v>2015</v>
      </c>
      <c r="B659" s="3" t="s">
        <v>1311</v>
      </c>
      <c r="C659" t="s">
        <v>1263</v>
      </c>
      <c r="D659" s="9">
        <v>686618</v>
      </c>
      <c r="E659">
        <v>6.845E-4</v>
      </c>
    </row>
    <row r="660" spans="1:5">
      <c r="A660">
        <v>2015</v>
      </c>
      <c r="B660" s="3" t="s">
        <v>1312</v>
      </c>
      <c r="C660" t="s">
        <v>1264</v>
      </c>
      <c r="D660" s="9">
        <v>39173347</v>
      </c>
      <c r="E660">
        <v>3.9054999999999999E-2</v>
      </c>
    </row>
    <row r="661" spans="1:5">
      <c r="A661">
        <v>2015</v>
      </c>
      <c r="B661" s="3" t="s">
        <v>1313</v>
      </c>
      <c r="C661" t="s">
        <v>1265</v>
      </c>
      <c r="D661" s="9">
        <v>5784006</v>
      </c>
      <c r="E661">
        <v>5.7664999999999999E-3</v>
      </c>
    </row>
    <row r="662" spans="1:5">
      <c r="A662">
        <v>2015</v>
      </c>
      <c r="B662" s="3" t="s">
        <v>1314</v>
      </c>
      <c r="C662" t="s">
        <v>1266</v>
      </c>
      <c r="D662" s="9">
        <v>42841</v>
      </c>
      <c r="E662">
        <v>4.2700000000000001E-5</v>
      </c>
    </row>
    <row r="663" spans="1:5">
      <c r="A663">
        <v>2015</v>
      </c>
      <c r="B663" s="3" t="s">
        <v>1315</v>
      </c>
      <c r="C663" t="s">
        <v>1267</v>
      </c>
      <c r="D663" s="9">
        <v>34380</v>
      </c>
      <c r="E663">
        <v>3.43E-5</v>
      </c>
    </row>
    <row r="664" spans="1:5">
      <c r="A664">
        <v>2015</v>
      </c>
      <c r="B664" s="3" t="s">
        <v>1316</v>
      </c>
      <c r="C664" t="s">
        <v>1268</v>
      </c>
      <c r="D664" s="9">
        <v>289817</v>
      </c>
      <c r="E664">
        <v>2.8889999999999997E-4</v>
      </c>
    </row>
    <row r="665" spans="1:5">
      <c r="A665">
        <v>2015</v>
      </c>
      <c r="B665" s="3" t="s">
        <v>1317</v>
      </c>
      <c r="C665" t="s">
        <v>1269</v>
      </c>
      <c r="D665" s="9">
        <v>106781</v>
      </c>
      <c r="E665">
        <v>1.065E-4</v>
      </c>
    </row>
    <row r="666" spans="1:5">
      <c r="A666">
        <v>2015</v>
      </c>
      <c r="B666" s="3" t="s">
        <v>1318</v>
      </c>
      <c r="C666" t="s">
        <v>1270</v>
      </c>
      <c r="D666" s="9">
        <v>37813</v>
      </c>
      <c r="E666">
        <v>3.7700000000000002E-5</v>
      </c>
    </row>
    <row r="667" spans="1:5">
      <c r="A667">
        <v>2015</v>
      </c>
      <c r="B667" s="3" t="s">
        <v>1319</v>
      </c>
      <c r="C667" t="s">
        <v>1271</v>
      </c>
      <c r="D667" s="9">
        <v>34131</v>
      </c>
      <c r="E667">
        <v>3.4E-5</v>
      </c>
    </row>
    <row r="668" spans="1:5">
      <c r="A668">
        <v>2015</v>
      </c>
      <c r="B668" s="3" t="s">
        <v>1320</v>
      </c>
      <c r="C668" t="s">
        <v>1272</v>
      </c>
      <c r="D668" s="9">
        <v>92523</v>
      </c>
      <c r="E668">
        <v>9.2200000000000005E-5</v>
      </c>
    </row>
    <row r="669" spans="1:5">
      <c r="A669">
        <v>2015</v>
      </c>
      <c r="B669" s="3" t="s">
        <v>1321</v>
      </c>
      <c r="C669" t="s">
        <v>1273</v>
      </c>
      <c r="D669" s="9">
        <v>25752</v>
      </c>
      <c r="E669">
        <v>2.5700000000000001E-5</v>
      </c>
    </row>
    <row r="670" spans="1:5">
      <c r="A670">
        <v>2015</v>
      </c>
      <c r="B670" s="3" t="s">
        <v>1322</v>
      </c>
      <c r="C670" t="s">
        <v>1274</v>
      </c>
      <c r="D670" s="9"/>
      <c r="E670">
        <v>0</v>
      </c>
    </row>
    <row r="671" spans="1:5">
      <c r="A671">
        <v>2015</v>
      </c>
      <c r="B671" s="3" t="s">
        <v>1323</v>
      </c>
      <c r="C671" t="s">
        <v>1275</v>
      </c>
      <c r="D671" s="9">
        <v>11834958</v>
      </c>
      <c r="E671">
        <v>1.1799199999999999E-2</v>
      </c>
    </row>
    <row r="672" spans="1:5">
      <c r="A672">
        <v>2015</v>
      </c>
      <c r="B672" s="3" t="s">
        <v>1324</v>
      </c>
      <c r="C672" t="s">
        <v>1276</v>
      </c>
      <c r="D672" s="9">
        <v>76879</v>
      </c>
      <c r="E672">
        <v>7.6600000000000005E-5</v>
      </c>
    </row>
    <row r="673" spans="1:5">
      <c r="A673">
        <v>2015</v>
      </c>
      <c r="B673" s="3" t="s">
        <v>1325</v>
      </c>
      <c r="C673" t="s">
        <v>1277</v>
      </c>
      <c r="D673" s="9">
        <v>122787</v>
      </c>
      <c r="E673">
        <v>1.2239999999999999E-4</v>
      </c>
    </row>
    <row r="674" spans="1:5">
      <c r="A674">
        <v>2015</v>
      </c>
      <c r="B674" s="3" t="s">
        <v>1326</v>
      </c>
      <c r="C674" t="s">
        <v>1278</v>
      </c>
      <c r="D674" s="9">
        <v>94373</v>
      </c>
      <c r="E674">
        <v>9.4099999999999997E-5</v>
      </c>
    </row>
    <row r="675" spans="1:5">
      <c r="A675">
        <v>2015</v>
      </c>
      <c r="B675" s="3" t="s">
        <v>1327</v>
      </c>
      <c r="C675" t="s">
        <v>1279</v>
      </c>
      <c r="D675" s="9">
        <v>699975</v>
      </c>
      <c r="E675">
        <v>6.979E-4</v>
      </c>
    </row>
    <row r="676" spans="1:5">
      <c r="A676">
        <v>2015</v>
      </c>
      <c r="B676" s="3" t="s">
        <v>1328</v>
      </c>
      <c r="C676" t="s">
        <v>1280</v>
      </c>
      <c r="D676" s="9">
        <v>14032</v>
      </c>
      <c r="E676">
        <v>1.4E-5</v>
      </c>
    </row>
    <row r="677" spans="1:5">
      <c r="A677">
        <v>2015</v>
      </c>
      <c r="B677" s="3" t="s">
        <v>1329</v>
      </c>
      <c r="C677" t="s">
        <v>1281</v>
      </c>
      <c r="D677" s="9">
        <v>416867</v>
      </c>
      <c r="E677">
        <v>4.1560000000000002E-4</v>
      </c>
    </row>
    <row r="678" spans="1:5">
      <c r="A678">
        <v>2015</v>
      </c>
      <c r="B678" s="3" t="s">
        <v>1330</v>
      </c>
      <c r="C678" t="s">
        <v>1282</v>
      </c>
      <c r="D678" s="9"/>
      <c r="E678">
        <v>0</v>
      </c>
    </row>
    <row r="679" spans="1:5">
      <c r="A679">
        <v>2015</v>
      </c>
      <c r="B679" s="3" t="s">
        <v>1331</v>
      </c>
      <c r="C679" t="s">
        <v>1283</v>
      </c>
      <c r="D679" s="9"/>
      <c r="E679">
        <v>0</v>
      </c>
    </row>
    <row r="680" spans="1:5">
      <c r="A680">
        <v>2015</v>
      </c>
      <c r="B680" s="3" t="s">
        <v>1332</v>
      </c>
      <c r="C680" t="s">
        <v>1284</v>
      </c>
      <c r="D680" s="9">
        <v>20869</v>
      </c>
      <c r="E680">
        <v>2.0800000000000001E-5</v>
      </c>
    </row>
    <row r="681" spans="1:5">
      <c r="A681">
        <v>2015</v>
      </c>
      <c r="B681" s="3" t="s">
        <v>1333</v>
      </c>
      <c r="C681" t="s">
        <v>1285</v>
      </c>
      <c r="D681" s="9"/>
      <c r="E681">
        <v>0</v>
      </c>
    </row>
    <row r="682" spans="1:5">
      <c r="A682">
        <v>2015</v>
      </c>
      <c r="B682" s="3" t="s">
        <v>1334</v>
      </c>
      <c r="C682" t="s">
        <v>1286</v>
      </c>
      <c r="D682" s="9">
        <v>1332805</v>
      </c>
      <c r="E682">
        <v>1.3288E-3</v>
      </c>
    </row>
    <row r="683" spans="1:5">
      <c r="A683">
        <v>2015</v>
      </c>
      <c r="B683" s="3" t="s">
        <v>1335</v>
      </c>
      <c r="C683" t="s">
        <v>1287</v>
      </c>
      <c r="D683" s="9">
        <v>687656</v>
      </c>
      <c r="E683">
        <v>6.8559999999999997E-4</v>
      </c>
    </row>
    <row r="684" spans="1:5">
      <c r="A684">
        <v>2015</v>
      </c>
      <c r="B684" s="3" t="s">
        <v>1336</v>
      </c>
      <c r="C684" t="s">
        <v>1288</v>
      </c>
      <c r="D684" s="9">
        <v>569076</v>
      </c>
      <c r="E684">
        <v>5.6740000000000002E-4</v>
      </c>
    </row>
    <row r="685" spans="1:5">
      <c r="A685">
        <v>2015</v>
      </c>
      <c r="B685" s="3" t="s">
        <v>1337</v>
      </c>
      <c r="C685" t="s">
        <v>1289</v>
      </c>
      <c r="D685" s="9">
        <v>327443</v>
      </c>
      <c r="E685">
        <v>3.2650000000000002E-4</v>
      </c>
    </row>
    <row r="686" spans="1:5">
      <c r="A686">
        <v>2015</v>
      </c>
      <c r="B686" s="3" t="s">
        <v>1338</v>
      </c>
      <c r="C686" t="s">
        <v>1290</v>
      </c>
      <c r="D686" s="9">
        <v>3602</v>
      </c>
      <c r="E686">
        <v>3.5999999999999998E-6</v>
      </c>
    </row>
    <row r="687" spans="1:5">
      <c r="A687">
        <v>2015</v>
      </c>
      <c r="B687" s="3" t="s">
        <v>1339</v>
      </c>
      <c r="C687" t="s">
        <v>1291</v>
      </c>
      <c r="D687" s="9">
        <v>782046</v>
      </c>
      <c r="E687">
        <v>7.7970000000000003E-4</v>
      </c>
    </row>
    <row r="688" spans="1:5">
      <c r="A688">
        <v>2015</v>
      </c>
      <c r="B688" s="3" t="s">
        <v>1340</v>
      </c>
      <c r="C688" t="s">
        <v>1292</v>
      </c>
      <c r="D688" s="9">
        <v>1181654</v>
      </c>
      <c r="E688">
        <v>1.1781000000000001E-3</v>
      </c>
    </row>
    <row r="689" spans="1:5">
      <c r="A689">
        <v>2015</v>
      </c>
      <c r="B689" s="3" t="s">
        <v>1341</v>
      </c>
      <c r="C689" t="s">
        <v>1293</v>
      </c>
      <c r="D689" s="9">
        <v>1040192</v>
      </c>
      <c r="E689">
        <v>1.0369999999999999E-3</v>
      </c>
    </row>
    <row r="690" spans="1:5">
      <c r="A690">
        <v>2015</v>
      </c>
      <c r="B690" s="3" t="s">
        <v>1342</v>
      </c>
      <c r="C690" t="s">
        <v>1294</v>
      </c>
      <c r="D690" s="9">
        <v>5340</v>
      </c>
      <c r="E690">
        <v>5.3000000000000001E-6</v>
      </c>
    </row>
    <row r="691" spans="1:5">
      <c r="A691">
        <v>2015</v>
      </c>
      <c r="B691" s="3" t="s">
        <v>1343</v>
      </c>
      <c r="C691" t="s">
        <v>1295</v>
      </c>
      <c r="D691" s="9">
        <v>33977</v>
      </c>
      <c r="E691">
        <v>3.3899999999999997E-5</v>
      </c>
    </row>
    <row r="692" spans="1:5">
      <c r="A692">
        <v>2015</v>
      </c>
      <c r="B692" s="3" t="s">
        <v>1344</v>
      </c>
      <c r="C692" t="s">
        <v>1296</v>
      </c>
      <c r="D692" s="9">
        <v>51883</v>
      </c>
      <c r="E692">
        <v>5.1700000000000003E-5</v>
      </c>
    </row>
    <row r="693" spans="1:5">
      <c r="A693">
        <v>2015</v>
      </c>
      <c r="B693" s="3" t="s">
        <v>1345</v>
      </c>
      <c r="C693" t="s">
        <v>1297</v>
      </c>
      <c r="D693" s="9">
        <v>60773</v>
      </c>
      <c r="E693">
        <v>6.0600000000000003E-5</v>
      </c>
    </row>
    <row r="694" spans="1:5">
      <c r="A694">
        <v>2015</v>
      </c>
      <c r="B694" s="3" t="s">
        <v>1346</v>
      </c>
      <c r="C694" t="s">
        <v>1298</v>
      </c>
      <c r="D694" s="9">
        <v>1968795</v>
      </c>
      <c r="E694">
        <v>1.9627999999999998E-3</v>
      </c>
    </row>
    <row r="695" spans="1:5">
      <c r="A695">
        <v>2015</v>
      </c>
      <c r="B695" s="3" t="s">
        <v>1347</v>
      </c>
      <c r="C695" t="s">
        <v>1299</v>
      </c>
      <c r="D695" s="9">
        <v>5134831</v>
      </c>
      <c r="E695">
        <v>5.1193000000000002E-3</v>
      </c>
    </row>
    <row r="696" spans="1:5">
      <c r="A696">
        <v>2015</v>
      </c>
      <c r="B696" s="3" t="s">
        <v>1348</v>
      </c>
      <c r="C696" t="s">
        <v>1300</v>
      </c>
      <c r="D696" s="9">
        <v>80291</v>
      </c>
      <c r="E696">
        <v>8.0000000000000007E-5</v>
      </c>
    </row>
    <row r="697" spans="1:5">
      <c r="A697">
        <v>2015</v>
      </c>
      <c r="B697" s="3" t="s">
        <v>1349</v>
      </c>
      <c r="C697" t="s">
        <v>1301</v>
      </c>
      <c r="D697" s="9">
        <v>143123</v>
      </c>
      <c r="E697">
        <v>1.427E-4</v>
      </c>
    </row>
    <row r="698" spans="1:5">
      <c r="A698">
        <v>2015</v>
      </c>
      <c r="B698" s="3" t="s">
        <v>1350</v>
      </c>
      <c r="C698" t="s">
        <v>1302</v>
      </c>
      <c r="D698" s="9">
        <v>23160</v>
      </c>
      <c r="E698">
        <v>2.3099999999999999E-5</v>
      </c>
    </row>
    <row r="699" spans="1:5">
      <c r="A699">
        <v>2015</v>
      </c>
      <c r="B699" s="3" t="s">
        <v>1351</v>
      </c>
      <c r="C699" t="s">
        <v>1303</v>
      </c>
      <c r="D699" s="9">
        <v>20990</v>
      </c>
      <c r="E699">
        <v>2.09E-5</v>
      </c>
    </row>
    <row r="700" spans="1:5">
      <c r="A700">
        <v>2015</v>
      </c>
      <c r="B700" s="3" t="s">
        <v>1352</v>
      </c>
      <c r="C700" t="s">
        <v>1304</v>
      </c>
      <c r="D700" s="9">
        <v>4272421</v>
      </c>
      <c r="E700">
        <v>4.2595000000000003E-3</v>
      </c>
    </row>
    <row r="701" spans="1:5">
      <c r="A701">
        <v>2015</v>
      </c>
      <c r="B701" s="3" t="s">
        <v>1353</v>
      </c>
      <c r="C701" t="s">
        <v>1305</v>
      </c>
      <c r="D701" s="9">
        <v>115728</v>
      </c>
      <c r="E701">
        <v>1.154E-4</v>
      </c>
    </row>
    <row r="702" spans="1:5">
      <c r="A702">
        <v>2015</v>
      </c>
      <c r="B702" s="3" t="s">
        <v>1354</v>
      </c>
      <c r="C702" t="s">
        <v>1306</v>
      </c>
      <c r="D702" s="9">
        <v>4691</v>
      </c>
      <c r="E702">
        <v>4.6999999999999999E-6</v>
      </c>
    </row>
    <row r="703" spans="1:5">
      <c r="A703">
        <v>2015</v>
      </c>
      <c r="B703" s="3" t="s">
        <v>1355</v>
      </c>
      <c r="C703" t="s">
        <v>1307</v>
      </c>
      <c r="D703" s="9">
        <v>3973309</v>
      </c>
      <c r="E703">
        <v>3.9613000000000001E-3</v>
      </c>
    </row>
    <row r="704" spans="1:5">
      <c r="A704">
        <v>2015</v>
      </c>
      <c r="B704" s="3" t="s">
        <v>1356</v>
      </c>
      <c r="C704" t="s">
        <v>1308</v>
      </c>
      <c r="D704" s="9">
        <v>151612</v>
      </c>
      <c r="E704">
        <v>1.5119999999999999E-4</v>
      </c>
    </row>
    <row r="705" spans="1:5">
      <c r="A705">
        <v>2015</v>
      </c>
      <c r="B705" s="3" t="s">
        <v>1357</v>
      </c>
      <c r="C705" t="s">
        <v>1309</v>
      </c>
      <c r="D705" s="9">
        <v>141502</v>
      </c>
      <c r="E705">
        <v>1.4109999999999999E-4</v>
      </c>
    </row>
    <row r="706" spans="1:5">
      <c r="A706">
        <v>2015</v>
      </c>
      <c r="B706" s="3" t="s">
        <v>1358</v>
      </c>
      <c r="C706" t="s">
        <v>1310</v>
      </c>
      <c r="D706" s="9">
        <v>4224532</v>
      </c>
      <c r="E706">
        <v>4.2117999999999999E-3</v>
      </c>
    </row>
    <row r="707" spans="1:5">
      <c r="A707">
        <v>2016</v>
      </c>
      <c r="B707" s="3" t="s">
        <v>57</v>
      </c>
      <c r="C707" t="s">
        <v>4</v>
      </c>
      <c r="D707" s="9">
        <v>4782678</v>
      </c>
      <c r="E707">
        <v>4.7077000000000004E-3</v>
      </c>
    </row>
    <row r="708" spans="1:5">
      <c r="A708">
        <v>2016</v>
      </c>
      <c r="B708" s="3" t="s">
        <v>58</v>
      </c>
      <c r="C708" t="s">
        <v>5</v>
      </c>
      <c r="D708" s="9">
        <v>499944</v>
      </c>
      <c r="E708">
        <v>4.9209999999999998E-4</v>
      </c>
    </row>
    <row r="709" spans="1:5">
      <c r="A709">
        <v>2016</v>
      </c>
      <c r="B709" s="3" t="s">
        <v>59</v>
      </c>
      <c r="C709" t="s">
        <v>6</v>
      </c>
      <c r="D709" s="9">
        <v>35801</v>
      </c>
      <c r="E709">
        <v>3.5200000000000002E-5</v>
      </c>
    </row>
    <row r="710" spans="1:5">
      <c r="A710">
        <v>2016</v>
      </c>
      <c r="B710" s="3" t="s">
        <v>60</v>
      </c>
      <c r="C710" t="s">
        <v>7</v>
      </c>
      <c r="D710" s="9">
        <v>280329</v>
      </c>
      <c r="E710">
        <v>2.7589999999999998E-4</v>
      </c>
    </row>
    <row r="711" spans="1:5">
      <c r="A711">
        <v>2016</v>
      </c>
      <c r="B711" s="3" t="s">
        <v>61</v>
      </c>
      <c r="C711" t="s">
        <v>8</v>
      </c>
      <c r="D711" s="9">
        <v>66646</v>
      </c>
      <c r="E711">
        <v>6.5599999999999995E-5</v>
      </c>
    </row>
    <row r="712" spans="1:5">
      <c r="A712">
        <v>2016</v>
      </c>
      <c r="B712" s="3" t="s">
        <v>62</v>
      </c>
      <c r="C712" t="s">
        <v>9</v>
      </c>
      <c r="D712" s="9">
        <v>47971</v>
      </c>
      <c r="E712">
        <v>4.7200000000000002E-5</v>
      </c>
    </row>
    <row r="713" spans="1:5">
      <c r="A713">
        <v>2016</v>
      </c>
      <c r="B713" s="3" t="s">
        <v>63</v>
      </c>
      <c r="C713" t="s">
        <v>10</v>
      </c>
      <c r="D713" s="9">
        <v>154792</v>
      </c>
      <c r="E713">
        <v>1.5239999999999999E-4</v>
      </c>
    </row>
    <row r="714" spans="1:5">
      <c r="A714">
        <v>2016</v>
      </c>
      <c r="B714" s="3" t="s">
        <v>64</v>
      </c>
      <c r="C714" t="s">
        <v>11</v>
      </c>
      <c r="D714" s="9">
        <v>3426663</v>
      </c>
      <c r="E714">
        <v>3.3730000000000001E-3</v>
      </c>
    </row>
    <row r="715" spans="1:5">
      <c r="A715">
        <v>2016</v>
      </c>
      <c r="B715" s="3" t="s">
        <v>65</v>
      </c>
      <c r="C715" t="s">
        <v>12</v>
      </c>
      <c r="D715" s="9">
        <v>101433</v>
      </c>
      <c r="E715">
        <v>9.98E-5</v>
      </c>
    </row>
    <row r="716" spans="1:5">
      <c r="A716">
        <v>2016</v>
      </c>
      <c r="B716" s="3" t="s">
        <v>66</v>
      </c>
      <c r="C716" t="s">
        <v>13</v>
      </c>
      <c r="D716" s="9">
        <v>66251</v>
      </c>
      <c r="E716">
        <v>6.5199999999999999E-5</v>
      </c>
    </row>
    <row r="717" spans="1:5">
      <c r="A717">
        <v>2016</v>
      </c>
      <c r="B717" s="3" t="s">
        <v>67</v>
      </c>
      <c r="C717" t="s">
        <v>14</v>
      </c>
      <c r="D717" s="9">
        <v>220095</v>
      </c>
      <c r="E717">
        <v>2.1660000000000001E-4</v>
      </c>
    </row>
    <row r="718" spans="1:5">
      <c r="A718">
        <v>2016</v>
      </c>
      <c r="B718" s="3" t="s">
        <v>68</v>
      </c>
      <c r="C718" t="s">
        <v>15</v>
      </c>
      <c r="D718" s="9">
        <v>17717</v>
      </c>
      <c r="E718">
        <v>1.7399999999999999E-5</v>
      </c>
    </row>
    <row r="719" spans="1:5">
      <c r="A719">
        <v>2016</v>
      </c>
      <c r="B719" s="3" t="s">
        <v>69</v>
      </c>
      <c r="C719" t="s">
        <v>16</v>
      </c>
      <c r="D719" s="9">
        <v>325064</v>
      </c>
      <c r="E719">
        <v>3.2000000000000003E-4</v>
      </c>
    </row>
    <row r="720" spans="1:5">
      <c r="A720">
        <v>2016</v>
      </c>
      <c r="B720" s="3" t="s">
        <v>70</v>
      </c>
      <c r="C720" t="s">
        <v>17</v>
      </c>
      <c r="D720" s="9">
        <v>6800523</v>
      </c>
      <c r="E720">
        <v>6.6940000000000003E-3</v>
      </c>
    </row>
    <row r="721" spans="1:5">
      <c r="A721">
        <v>2016</v>
      </c>
      <c r="B721" s="3" t="s">
        <v>71</v>
      </c>
      <c r="C721" t="s">
        <v>18</v>
      </c>
      <c r="D721" s="9">
        <v>55513</v>
      </c>
      <c r="E721">
        <v>5.4599999999999999E-5</v>
      </c>
    </row>
    <row r="722" spans="1:5">
      <c r="A722">
        <v>2016</v>
      </c>
      <c r="B722" s="3" t="s">
        <v>72</v>
      </c>
      <c r="C722" t="s">
        <v>19</v>
      </c>
      <c r="D722" s="9">
        <v>323923</v>
      </c>
      <c r="E722">
        <v>3.188E-4</v>
      </c>
    </row>
    <row r="723" spans="1:5">
      <c r="A723">
        <v>2016</v>
      </c>
      <c r="B723" s="3" t="s">
        <v>73</v>
      </c>
      <c r="C723" t="s">
        <v>20</v>
      </c>
      <c r="D723" s="9">
        <v>79745</v>
      </c>
      <c r="E723">
        <v>7.8499999999999997E-5</v>
      </c>
    </row>
    <row r="724" spans="1:5">
      <c r="A724">
        <v>2016</v>
      </c>
      <c r="B724" s="3" t="s">
        <v>74</v>
      </c>
      <c r="C724" t="s">
        <v>1364</v>
      </c>
      <c r="D724" s="9">
        <v>41599</v>
      </c>
      <c r="E724">
        <v>4.0899999999999998E-5</v>
      </c>
    </row>
    <row r="725" spans="1:5">
      <c r="A725">
        <v>2016</v>
      </c>
      <c r="B725" s="3" t="s">
        <v>75</v>
      </c>
      <c r="C725" t="s">
        <v>1365</v>
      </c>
      <c r="D725" s="9">
        <v>25799</v>
      </c>
      <c r="E725">
        <v>2.5400000000000001E-5</v>
      </c>
    </row>
    <row r="726" spans="1:5">
      <c r="A726">
        <v>2016</v>
      </c>
      <c r="B726" s="3" t="s">
        <v>76</v>
      </c>
      <c r="C726" t="s">
        <v>23</v>
      </c>
      <c r="D726" s="9">
        <v>7032454</v>
      </c>
      <c r="E726">
        <v>6.9223000000000002E-3</v>
      </c>
    </row>
    <row r="727" spans="1:5">
      <c r="A727">
        <v>2016</v>
      </c>
      <c r="B727" s="3" t="s">
        <v>77</v>
      </c>
      <c r="C727" t="s">
        <v>24</v>
      </c>
      <c r="D727" s="9">
        <v>183949</v>
      </c>
      <c r="E727">
        <v>1.8110000000000001E-4</v>
      </c>
    </row>
    <row r="728" spans="1:5">
      <c r="A728">
        <v>2016</v>
      </c>
      <c r="B728" s="3" t="s">
        <v>78</v>
      </c>
      <c r="C728" t="s">
        <v>25</v>
      </c>
      <c r="D728" s="9">
        <v>1102419</v>
      </c>
      <c r="E728">
        <v>1.0851000000000001E-3</v>
      </c>
    </row>
    <row r="729" spans="1:5">
      <c r="A729">
        <v>2016</v>
      </c>
      <c r="B729" s="3" t="s">
        <v>79</v>
      </c>
      <c r="C729" t="s">
        <v>26</v>
      </c>
      <c r="D729" s="9">
        <v>11830</v>
      </c>
      <c r="E729">
        <v>1.1600000000000001E-5</v>
      </c>
    </row>
    <row r="730" spans="1:5">
      <c r="A730">
        <v>2016</v>
      </c>
      <c r="B730" s="3" t="s">
        <v>80</v>
      </c>
      <c r="C730" t="s">
        <v>27</v>
      </c>
      <c r="D730" s="9">
        <v>1806912</v>
      </c>
      <c r="E730">
        <v>1.7786E-3</v>
      </c>
    </row>
    <row r="731" spans="1:5">
      <c r="A731">
        <v>2016</v>
      </c>
      <c r="B731" s="3" t="s">
        <v>81</v>
      </c>
      <c r="C731" t="s">
        <v>28</v>
      </c>
      <c r="D731" s="9">
        <v>116322</v>
      </c>
      <c r="E731">
        <v>1.145E-4</v>
      </c>
    </row>
    <row r="732" spans="1:5">
      <c r="A732">
        <v>2016</v>
      </c>
      <c r="B732" s="3" t="s">
        <v>82</v>
      </c>
      <c r="C732" t="s">
        <v>29</v>
      </c>
      <c r="D732" s="9">
        <v>34417</v>
      </c>
      <c r="E732">
        <v>3.3899999999999997E-5</v>
      </c>
    </row>
    <row r="733" spans="1:5">
      <c r="A733">
        <v>2016</v>
      </c>
      <c r="B733" s="3" t="s">
        <v>83</v>
      </c>
      <c r="C733" t="s">
        <v>30</v>
      </c>
      <c r="D733" s="9">
        <v>4944242</v>
      </c>
      <c r="E733">
        <v>4.8668000000000001E-3</v>
      </c>
    </row>
    <row r="734" spans="1:5">
      <c r="A734">
        <v>2016</v>
      </c>
      <c r="B734" s="3" t="s">
        <v>84</v>
      </c>
      <c r="C734" t="s">
        <v>31</v>
      </c>
      <c r="D734" s="9">
        <v>28738</v>
      </c>
      <c r="E734">
        <v>2.83E-5</v>
      </c>
    </row>
    <row r="735" spans="1:5">
      <c r="A735">
        <v>2016</v>
      </c>
      <c r="B735" s="3" t="s">
        <v>87</v>
      </c>
      <c r="C735" t="s">
        <v>1366</v>
      </c>
      <c r="D735" s="9">
        <v>83388</v>
      </c>
      <c r="E735">
        <v>8.2100000000000003E-5</v>
      </c>
    </row>
    <row r="736" spans="1:5">
      <c r="A736">
        <v>2016</v>
      </c>
      <c r="B736" s="3" t="s">
        <v>85</v>
      </c>
      <c r="C736" t="s">
        <v>32</v>
      </c>
      <c r="D736" s="9">
        <v>24403</v>
      </c>
      <c r="E736">
        <v>2.4000000000000001E-5</v>
      </c>
    </row>
    <row r="737" spans="1:5">
      <c r="A737">
        <v>2016</v>
      </c>
      <c r="B737" s="3" t="s">
        <v>86</v>
      </c>
      <c r="C737" t="s">
        <v>33</v>
      </c>
      <c r="D737" s="9">
        <v>17645</v>
      </c>
      <c r="E737">
        <v>1.7399999999999999E-5</v>
      </c>
    </row>
    <row r="738" spans="1:5">
      <c r="A738">
        <v>2016</v>
      </c>
      <c r="B738" s="3" t="s">
        <v>88</v>
      </c>
      <c r="C738" t="s">
        <v>35</v>
      </c>
      <c r="D738" s="9">
        <v>68469</v>
      </c>
      <c r="E738">
        <v>6.7399999999999998E-5</v>
      </c>
    </row>
    <row r="739" spans="1:5">
      <c r="A739">
        <v>2016</v>
      </c>
      <c r="B739" s="3" t="s">
        <v>1371</v>
      </c>
      <c r="C739" t="s">
        <v>1367</v>
      </c>
      <c r="D739" s="9">
        <v>7895</v>
      </c>
      <c r="E739">
        <v>7.7999999999999999E-6</v>
      </c>
    </row>
    <row r="740" spans="1:5">
      <c r="A740">
        <v>2016</v>
      </c>
      <c r="B740" s="3" t="s">
        <v>89</v>
      </c>
      <c r="C740" t="s">
        <v>36</v>
      </c>
      <c r="D740" s="9"/>
      <c r="E740">
        <v>0</v>
      </c>
    </row>
    <row r="741" spans="1:5">
      <c r="A741">
        <v>2016</v>
      </c>
      <c r="B741" s="3" t="s">
        <v>90</v>
      </c>
      <c r="C741" t="s">
        <v>37</v>
      </c>
      <c r="D741" s="9">
        <v>18701</v>
      </c>
      <c r="E741">
        <v>1.84E-5</v>
      </c>
    </row>
    <row r="742" spans="1:5">
      <c r="A742">
        <v>2016</v>
      </c>
      <c r="B742" s="3" t="s">
        <v>91</v>
      </c>
      <c r="C742" t="s">
        <v>1368</v>
      </c>
      <c r="D742" s="9">
        <v>13837</v>
      </c>
      <c r="E742">
        <v>1.36E-5</v>
      </c>
    </row>
    <row r="743" spans="1:5">
      <c r="A743">
        <v>2016</v>
      </c>
      <c r="B743" s="3" t="s">
        <v>92</v>
      </c>
      <c r="C743" t="s">
        <v>39</v>
      </c>
      <c r="D743" s="9">
        <v>74542</v>
      </c>
      <c r="E743">
        <v>7.3399999999999995E-5</v>
      </c>
    </row>
    <row r="744" spans="1:5">
      <c r="A744">
        <v>2016</v>
      </c>
      <c r="B744" s="3" t="s">
        <v>93</v>
      </c>
      <c r="C744" t="s">
        <v>40</v>
      </c>
      <c r="D744" s="9">
        <v>52240</v>
      </c>
      <c r="E744">
        <v>5.1400000000000003E-5</v>
      </c>
    </row>
    <row r="745" spans="1:5">
      <c r="A745">
        <v>2016</v>
      </c>
      <c r="B745" s="3" t="s">
        <v>94</v>
      </c>
      <c r="C745" t="s">
        <v>41</v>
      </c>
      <c r="D745" s="9">
        <v>7262</v>
      </c>
      <c r="E745">
        <v>7.0999999999999998E-6</v>
      </c>
    </row>
    <row r="746" spans="1:5">
      <c r="A746">
        <v>2016</v>
      </c>
      <c r="B746" s="3" t="s">
        <v>95</v>
      </c>
      <c r="C746" t="s">
        <v>1369</v>
      </c>
      <c r="D746" s="9">
        <v>50927</v>
      </c>
      <c r="E746">
        <v>5.0099999999999998E-5</v>
      </c>
    </row>
    <row r="747" spans="1:5">
      <c r="A747">
        <v>2016</v>
      </c>
      <c r="B747" s="3" t="s">
        <v>96</v>
      </c>
      <c r="C747" t="s">
        <v>43</v>
      </c>
      <c r="D747" s="9">
        <v>19019</v>
      </c>
      <c r="E747">
        <v>1.8700000000000001E-5</v>
      </c>
    </row>
    <row r="748" spans="1:5">
      <c r="A748">
        <v>2016</v>
      </c>
      <c r="B748" s="3" t="s">
        <v>97</v>
      </c>
      <c r="C748" t="s">
        <v>1370</v>
      </c>
      <c r="D748" s="9">
        <v>48498</v>
      </c>
      <c r="E748">
        <v>4.7700000000000001E-5</v>
      </c>
    </row>
    <row r="749" spans="1:5">
      <c r="A749">
        <v>2016</v>
      </c>
      <c r="B749" s="3" t="s">
        <v>98</v>
      </c>
      <c r="C749" t="s">
        <v>44</v>
      </c>
      <c r="D749" s="9">
        <v>36505</v>
      </c>
      <c r="E749">
        <v>3.5899999999999998E-5</v>
      </c>
    </row>
    <row r="750" spans="1:5">
      <c r="A750">
        <v>2016</v>
      </c>
      <c r="B750" s="3" t="s">
        <v>99</v>
      </c>
      <c r="C750" t="s">
        <v>45</v>
      </c>
      <c r="D750" s="9">
        <v>10947</v>
      </c>
      <c r="E750">
        <v>1.08E-5</v>
      </c>
    </row>
    <row r="751" spans="1:5">
      <c r="A751">
        <v>2016</v>
      </c>
      <c r="B751" s="3" t="s">
        <v>100</v>
      </c>
      <c r="C751" t="s">
        <v>46</v>
      </c>
      <c r="D751" s="9">
        <v>19005</v>
      </c>
      <c r="E751">
        <v>1.8700000000000001E-5</v>
      </c>
    </row>
    <row r="752" spans="1:5">
      <c r="A752">
        <v>2016</v>
      </c>
      <c r="B752" s="3" t="s">
        <v>101</v>
      </c>
      <c r="C752" t="s">
        <v>47</v>
      </c>
      <c r="D752" s="9">
        <v>295632</v>
      </c>
      <c r="E752">
        <v>2.9100000000000003E-4</v>
      </c>
    </row>
    <row r="753" spans="1:5">
      <c r="A753">
        <v>2016</v>
      </c>
      <c r="B753" s="3" t="s">
        <v>102</v>
      </c>
      <c r="C753" t="s">
        <v>48</v>
      </c>
      <c r="D753" s="9">
        <v>12282</v>
      </c>
      <c r="E753">
        <v>1.2099999999999999E-5</v>
      </c>
    </row>
    <row r="754" spans="1:5">
      <c r="A754">
        <v>2016</v>
      </c>
      <c r="B754" s="3" t="s">
        <v>103</v>
      </c>
      <c r="C754" t="s">
        <v>49</v>
      </c>
      <c r="D754" s="9">
        <v>9152</v>
      </c>
      <c r="E754">
        <v>9.0000000000000002E-6</v>
      </c>
    </row>
    <row r="755" spans="1:5">
      <c r="A755">
        <v>2016</v>
      </c>
      <c r="B755" s="3" t="s">
        <v>104</v>
      </c>
      <c r="C755" t="s">
        <v>50</v>
      </c>
      <c r="D755" s="9">
        <v>36874</v>
      </c>
      <c r="E755">
        <v>3.6300000000000001E-5</v>
      </c>
    </row>
    <row r="756" spans="1:5">
      <c r="A756">
        <v>2016</v>
      </c>
      <c r="B756" s="3" t="s">
        <v>105</v>
      </c>
      <c r="C756" t="s">
        <v>1372</v>
      </c>
      <c r="D756" s="9">
        <v>138448</v>
      </c>
      <c r="E756">
        <v>1.3630000000000001E-4</v>
      </c>
    </row>
    <row r="757" spans="1:5">
      <c r="A757">
        <v>2016</v>
      </c>
      <c r="B757" s="3" t="s">
        <v>166</v>
      </c>
      <c r="C757" t="s">
        <v>111</v>
      </c>
      <c r="D757" s="9">
        <v>21310</v>
      </c>
      <c r="E757">
        <v>2.0999999999999999E-5</v>
      </c>
    </row>
    <row r="758" spans="1:5">
      <c r="A758">
        <v>2016</v>
      </c>
      <c r="B758" s="3" t="s">
        <v>106</v>
      </c>
      <c r="C758" t="s">
        <v>52</v>
      </c>
      <c r="D758" s="9">
        <v>9897</v>
      </c>
      <c r="E758">
        <v>9.7000000000000003E-6</v>
      </c>
    </row>
    <row r="759" spans="1:5">
      <c r="A759">
        <v>2016</v>
      </c>
      <c r="B759" s="3" t="s">
        <v>107</v>
      </c>
      <c r="C759" t="s">
        <v>53</v>
      </c>
      <c r="D759" s="9">
        <v>23153</v>
      </c>
      <c r="E759">
        <v>2.2799999999999999E-5</v>
      </c>
    </row>
    <row r="760" spans="1:5">
      <c r="A760">
        <v>2016</v>
      </c>
      <c r="B760" s="3" t="s">
        <v>108</v>
      </c>
      <c r="C760" t="s">
        <v>54</v>
      </c>
      <c r="D760" s="9">
        <v>252833</v>
      </c>
      <c r="E760">
        <v>2.4889999999999998E-4</v>
      </c>
    </row>
    <row r="761" spans="1:5">
      <c r="A761">
        <v>2016</v>
      </c>
      <c r="B761" s="3" t="s">
        <v>109</v>
      </c>
      <c r="C761" t="s">
        <v>55</v>
      </c>
      <c r="D761" s="9">
        <v>18305</v>
      </c>
      <c r="E761">
        <v>1.8E-5</v>
      </c>
    </row>
    <row r="762" spans="1:5">
      <c r="A762">
        <v>2016</v>
      </c>
      <c r="B762" s="3" t="s">
        <v>110</v>
      </c>
      <c r="C762" t="s">
        <v>56</v>
      </c>
      <c r="D762" s="9">
        <v>96954</v>
      </c>
      <c r="E762">
        <v>9.5400000000000001E-5</v>
      </c>
    </row>
    <row r="763" spans="1:5">
      <c r="A763">
        <v>2016</v>
      </c>
      <c r="B763" s="3" t="s">
        <v>167</v>
      </c>
      <c r="C763" t="s">
        <v>1373</v>
      </c>
      <c r="D763" s="9"/>
      <c r="E763">
        <v>0</v>
      </c>
    </row>
    <row r="764" spans="1:5">
      <c r="A764">
        <v>2016</v>
      </c>
      <c r="B764" s="3" t="s">
        <v>168</v>
      </c>
      <c r="C764" t="s">
        <v>113</v>
      </c>
      <c r="D764" s="9">
        <v>62107</v>
      </c>
      <c r="E764">
        <v>6.1099999999999994E-5</v>
      </c>
    </row>
    <row r="765" spans="1:5">
      <c r="A765">
        <v>2016</v>
      </c>
      <c r="B765" s="3" t="s">
        <v>169</v>
      </c>
      <c r="C765" t="s">
        <v>114</v>
      </c>
      <c r="D765" s="9">
        <v>94939</v>
      </c>
      <c r="E765">
        <v>9.3499999999999996E-5</v>
      </c>
    </row>
    <row r="766" spans="1:5">
      <c r="A766">
        <v>2016</v>
      </c>
      <c r="B766" s="3" t="s">
        <v>170</v>
      </c>
      <c r="C766" t="s">
        <v>1374</v>
      </c>
      <c r="D766" s="9">
        <v>33988</v>
      </c>
      <c r="E766">
        <v>3.3500000000000001E-5</v>
      </c>
    </row>
    <row r="767" spans="1:5">
      <c r="A767">
        <v>2016</v>
      </c>
      <c r="B767" s="3" t="s">
        <v>1381</v>
      </c>
      <c r="C767" t="s">
        <v>1375</v>
      </c>
      <c r="D767" s="9">
        <v>7120</v>
      </c>
      <c r="E767">
        <v>6.9999999999999999E-6</v>
      </c>
    </row>
    <row r="768" spans="1:5">
      <c r="A768">
        <v>2016</v>
      </c>
      <c r="B768" s="3" t="s">
        <v>171</v>
      </c>
      <c r="C768" t="s">
        <v>116</v>
      </c>
      <c r="D768" s="9">
        <v>55560</v>
      </c>
      <c r="E768">
        <v>5.4700000000000001E-5</v>
      </c>
    </row>
    <row r="769" spans="1:5">
      <c r="A769">
        <v>2016</v>
      </c>
      <c r="B769" s="3" t="s">
        <v>172</v>
      </c>
      <c r="C769" t="s">
        <v>117</v>
      </c>
      <c r="D769" s="9">
        <v>1636270</v>
      </c>
      <c r="E769">
        <v>1.6106E-3</v>
      </c>
    </row>
    <row r="770" spans="1:5">
      <c r="A770">
        <v>2016</v>
      </c>
      <c r="B770" s="3" t="s">
        <v>173</v>
      </c>
      <c r="C770" t="s">
        <v>118</v>
      </c>
      <c r="D770" s="9">
        <v>91556</v>
      </c>
      <c r="E770">
        <v>9.0099999999999995E-5</v>
      </c>
    </row>
    <row r="771" spans="1:5">
      <c r="A771">
        <v>2016</v>
      </c>
      <c r="B771" s="3" t="s">
        <v>174</v>
      </c>
      <c r="C771" t="s">
        <v>119</v>
      </c>
      <c r="D771" s="9">
        <v>91782</v>
      </c>
      <c r="E771">
        <v>9.0299999999999999E-5</v>
      </c>
    </row>
    <row r="772" spans="1:5">
      <c r="A772">
        <v>2016</v>
      </c>
      <c r="B772" s="3" t="s">
        <v>175</v>
      </c>
      <c r="C772" t="s">
        <v>120</v>
      </c>
      <c r="D772" s="9">
        <v>340582</v>
      </c>
      <c r="E772">
        <v>3.3520000000000002E-4</v>
      </c>
    </row>
    <row r="773" spans="1:5">
      <c r="A773">
        <v>2016</v>
      </c>
      <c r="B773" s="3" t="s">
        <v>176</v>
      </c>
      <c r="C773" t="s">
        <v>121</v>
      </c>
      <c r="D773" s="9">
        <v>195483</v>
      </c>
      <c r="E773">
        <v>1.9239999999999999E-4</v>
      </c>
    </row>
    <row r="774" spans="1:5">
      <c r="A774">
        <v>2016</v>
      </c>
      <c r="B774" s="3" t="s">
        <v>177</v>
      </c>
      <c r="C774" t="s">
        <v>122</v>
      </c>
      <c r="D774" s="9">
        <v>144532</v>
      </c>
      <c r="E774">
        <v>1.4229999999999999E-4</v>
      </c>
    </row>
    <row r="775" spans="1:5">
      <c r="A775">
        <v>2016</v>
      </c>
      <c r="B775" s="3" t="s">
        <v>178</v>
      </c>
      <c r="C775" t="s">
        <v>123</v>
      </c>
      <c r="D775" s="9">
        <v>3519985</v>
      </c>
      <c r="E775">
        <v>3.4648000000000001E-3</v>
      </c>
    </row>
    <row r="776" spans="1:5">
      <c r="A776">
        <v>2016</v>
      </c>
      <c r="B776" s="3" t="s">
        <v>1382</v>
      </c>
      <c r="C776" t="s">
        <v>1376</v>
      </c>
      <c r="D776" s="9">
        <v>12156879</v>
      </c>
      <c r="E776">
        <v>1.19664E-2</v>
      </c>
    </row>
    <row r="777" spans="1:5">
      <c r="A777">
        <v>2016</v>
      </c>
      <c r="B777" s="3" t="s">
        <v>179</v>
      </c>
      <c r="C777" t="s">
        <v>124</v>
      </c>
      <c r="D777" s="9"/>
      <c r="E777">
        <v>0</v>
      </c>
    </row>
    <row r="778" spans="1:5">
      <c r="A778">
        <v>2016</v>
      </c>
      <c r="B778" s="3" t="s">
        <v>180</v>
      </c>
      <c r="C778" t="s">
        <v>125</v>
      </c>
      <c r="D778" s="9">
        <v>131485</v>
      </c>
      <c r="E778">
        <v>1.294E-4</v>
      </c>
    </row>
    <row r="779" spans="1:5">
      <c r="A779">
        <v>2016</v>
      </c>
      <c r="B779" s="3" t="s">
        <v>181</v>
      </c>
      <c r="C779" t="s">
        <v>126</v>
      </c>
      <c r="D779" s="9">
        <v>948053</v>
      </c>
      <c r="E779">
        <v>9.3320000000000002E-4</v>
      </c>
    </row>
    <row r="780" spans="1:5">
      <c r="A780">
        <v>2016</v>
      </c>
      <c r="B780" s="3" t="s">
        <v>182</v>
      </c>
      <c r="C780" t="s">
        <v>1377</v>
      </c>
      <c r="D780" s="9">
        <v>4859625</v>
      </c>
      <c r="E780">
        <v>4.7835000000000004E-3</v>
      </c>
    </row>
    <row r="781" spans="1:5">
      <c r="A781">
        <v>2016</v>
      </c>
      <c r="B781" s="3" t="s">
        <v>183</v>
      </c>
      <c r="C781" t="s">
        <v>1378</v>
      </c>
      <c r="D781" s="9">
        <v>31345873</v>
      </c>
      <c r="E781">
        <v>3.0854699999999999E-2</v>
      </c>
    </row>
    <row r="782" spans="1:5">
      <c r="A782">
        <v>2016</v>
      </c>
      <c r="B782" s="3" t="s">
        <v>184</v>
      </c>
      <c r="C782" t="s">
        <v>1379</v>
      </c>
      <c r="D782" s="9">
        <v>3401227</v>
      </c>
      <c r="E782">
        <v>3.3479E-3</v>
      </c>
    </row>
    <row r="783" spans="1:5">
      <c r="A783">
        <v>2016</v>
      </c>
      <c r="B783" s="3" t="s">
        <v>185</v>
      </c>
      <c r="C783" t="s">
        <v>1380</v>
      </c>
      <c r="D783" s="9">
        <v>1799521</v>
      </c>
      <c r="E783">
        <v>1.7713E-3</v>
      </c>
    </row>
    <row r="784" spans="1:5">
      <c r="A784">
        <v>2016</v>
      </c>
      <c r="B784" s="3" t="s">
        <v>186</v>
      </c>
      <c r="C784" t="s">
        <v>131</v>
      </c>
      <c r="D784" s="9">
        <v>2319097</v>
      </c>
      <c r="E784">
        <v>2.2828000000000002E-3</v>
      </c>
    </row>
    <row r="785" spans="1:5">
      <c r="A785">
        <v>2016</v>
      </c>
      <c r="B785" s="3" t="s">
        <v>187</v>
      </c>
      <c r="C785" t="s">
        <v>132</v>
      </c>
      <c r="D785" s="9">
        <v>291664</v>
      </c>
      <c r="E785">
        <v>2.8709999999999999E-4</v>
      </c>
    </row>
    <row r="786" spans="1:5">
      <c r="A786">
        <v>2016</v>
      </c>
      <c r="B786" s="3" t="s">
        <v>188</v>
      </c>
      <c r="C786" t="s">
        <v>133</v>
      </c>
      <c r="D786" s="9">
        <v>2674885</v>
      </c>
      <c r="E786">
        <v>2.6329999999999999E-3</v>
      </c>
    </row>
    <row r="787" spans="1:5">
      <c r="A787">
        <v>2016</v>
      </c>
      <c r="B787" s="3" t="s">
        <v>189</v>
      </c>
      <c r="C787" t="s">
        <v>134</v>
      </c>
      <c r="D787" s="9">
        <v>663325</v>
      </c>
      <c r="E787">
        <v>6.5289999999999999E-4</v>
      </c>
    </row>
    <row r="788" spans="1:5">
      <c r="A788">
        <v>2016</v>
      </c>
      <c r="B788" s="3" t="s">
        <v>190</v>
      </c>
      <c r="C788" t="s">
        <v>135</v>
      </c>
      <c r="D788" s="9">
        <v>8124303</v>
      </c>
      <c r="E788">
        <v>7.9970000000000006E-3</v>
      </c>
    </row>
    <row r="789" spans="1:5">
      <c r="A789">
        <v>2016</v>
      </c>
      <c r="B789" s="3" t="s">
        <v>191</v>
      </c>
      <c r="C789" t="s">
        <v>136</v>
      </c>
      <c r="D789" s="9">
        <v>101034</v>
      </c>
      <c r="E789">
        <v>9.9500000000000006E-5</v>
      </c>
    </row>
    <row r="790" spans="1:5">
      <c r="A790">
        <v>2016</v>
      </c>
      <c r="B790" s="3" t="s">
        <v>192</v>
      </c>
      <c r="C790" t="s">
        <v>137</v>
      </c>
      <c r="D790" s="9">
        <v>369513</v>
      </c>
      <c r="E790">
        <v>3.637E-4</v>
      </c>
    </row>
    <row r="791" spans="1:5">
      <c r="A791">
        <v>2016</v>
      </c>
      <c r="B791" s="3" t="s">
        <v>193</v>
      </c>
      <c r="C791" t="s">
        <v>138</v>
      </c>
      <c r="D791" s="9">
        <v>479425</v>
      </c>
      <c r="E791">
        <v>4.7189999999999998E-4</v>
      </c>
    </row>
    <row r="792" spans="1:5">
      <c r="A792">
        <v>2016</v>
      </c>
      <c r="B792" s="3" t="s">
        <v>194</v>
      </c>
      <c r="C792" t="s">
        <v>139</v>
      </c>
      <c r="D792" s="9">
        <v>538548</v>
      </c>
      <c r="E792">
        <v>5.3010000000000004E-4</v>
      </c>
    </row>
    <row r="793" spans="1:5">
      <c r="A793">
        <v>2016</v>
      </c>
      <c r="B793" s="3" t="s">
        <v>195</v>
      </c>
      <c r="C793" t="s">
        <v>140</v>
      </c>
      <c r="D793" s="9">
        <v>640045</v>
      </c>
      <c r="E793">
        <v>6.3000000000000003E-4</v>
      </c>
    </row>
    <row r="794" spans="1:5">
      <c r="A794">
        <v>2016</v>
      </c>
      <c r="B794" s="3" t="s">
        <v>196</v>
      </c>
      <c r="C794" t="s">
        <v>141</v>
      </c>
      <c r="D794" s="9">
        <v>109186</v>
      </c>
      <c r="E794">
        <v>1.075E-4</v>
      </c>
    </row>
    <row r="795" spans="1:5">
      <c r="A795">
        <v>2016</v>
      </c>
      <c r="B795" s="3" t="s">
        <v>197</v>
      </c>
      <c r="C795" t="s">
        <v>142</v>
      </c>
      <c r="D795" s="9">
        <v>4353115</v>
      </c>
      <c r="E795">
        <v>4.2849000000000003E-3</v>
      </c>
    </row>
    <row r="796" spans="1:5">
      <c r="A796">
        <v>2016</v>
      </c>
      <c r="B796" s="3" t="s">
        <v>198</v>
      </c>
      <c r="C796" t="s">
        <v>143</v>
      </c>
      <c r="D796" s="9">
        <v>142219</v>
      </c>
      <c r="E796">
        <v>1.3999999999999999E-4</v>
      </c>
    </row>
    <row r="797" spans="1:5">
      <c r="A797">
        <v>2016</v>
      </c>
      <c r="B797" s="3" t="s">
        <v>199</v>
      </c>
      <c r="C797" t="s">
        <v>144</v>
      </c>
      <c r="D797" s="9">
        <v>3578889</v>
      </c>
      <c r="E797">
        <v>3.5228E-3</v>
      </c>
    </row>
    <row r="798" spans="1:5">
      <c r="A798">
        <v>2016</v>
      </c>
      <c r="B798" s="3" t="s">
        <v>200</v>
      </c>
      <c r="C798" t="s">
        <v>145</v>
      </c>
      <c r="D798" s="9">
        <v>20225627</v>
      </c>
      <c r="E798">
        <v>1.9908700000000001E-2</v>
      </c>
    </row>
    <row r="799" spans="1:5">
      <c r="A799">
        <v>2016</v>
      </c>
      <c r="B799" s="3" t="s">
        <v>201</v>
      </c>
      <c r="C799" t="s">
        <v>146</v>
      </c>
      <c r="D799" s="9">
        <v>1575153</v>
      </c>
      <c r="E799">
        <v>1.5505E-3</v>
      </c>
    </row>
    <row r="800" spans="1:5">
      <c r="A800">
        <v>2016</v>
      </c>
      <c r="B800" s="3" t="s">
        <v>202</v>
      </c>
      <c r="C800" t="s">
        <v>147</v>
      </c>
      <c r="D800" s="9">
        <v>734574</v>
      </c>
      <c r="E800">
        <v>7.2309999999999996E-4</v>
      </c>
    </row>
    <row r="801" spans="1:5">
      <c r="A801">
        <v>2016</v>
      </c>
      <c r="B801" s="3" t="s">
        <v>203</v>
      </c>
      <c r="C801" t="s">
        <v>148</v>
      </c>
      <c r="D801" s="9">
        <v>128154</v>
      </c>
      <c r="E801">
        <v>1.261E-4</v>
      </c>
    </row>
    <row r="802" spans="1:5">
      <c r="A802">
        <v>2016</v>
      </c>
      <c r="B802" s="3" t="s">
        <v>204</v>
      </c>
      <c r="C802" t="s">
        <v>149</v>
      </c>
      <c r="D802" s="9">
        <v>924785</v>
      </c>
      <c r="E802">
        <v>9.1029999999999995E-4</v>
      </c>
    </row>
    <row r="803" spans="1:5">
      <c r="A803">
        <v>2016</v>
      </c>
      <c r="B803" s="3" t="s">
        <v>205</v>
      </c>
      <c r="C803" t="s">
        <v>150</v>
      </c>
      <c r="D803" s="9">
        <v>209910</v>
      </c>
      <c r="E803">
        <v>2.0660000000000001E-4</v>
      </c>
    </row>
    <row r="804" spans="1:5">
      <c r="A804">
        <v>2016</v>
      </c>
      <c r="B804" s="3" t="s">
        <v>206</v>
      </c>
      <c r="C804" t="s">
        <v>151</v>
      </c>
      <c r="D804" s="9">
        <v>174625</v>
      </c>
      <c r="E804">
        <v>1.719E-4</v>
      </c>
    </row>
    <row r="805" spans="1:5">
      <c r="A805">
        <v>2016</v>
      </c>
      <c r="B805" s="3" t="s">
        <v>207</v>
      </c>
      <c r="C805" t="s">
        <v>152</v>
      </c>
      <c r="D805" s="9">
        <v>685628</v>
      </c>
      <c r="E805">
        <v>6.7489999999999998E-4</v>
      </c>
    </row>
    <row r="806" spans="1:5">
      <c r="A806">
        <v>2016</v>
      </c>
      <c r="B806" s="3" t="s">
        <v>208</v>
      </c>
      <c r="C806" t="s">
        <v>153</v>
      </c>
      <c r="D806" s="9">
        <v>41969</v>
      </c>
      <c r="E806">
        <v>4.1300000000000001E-5</v>
      </c>
    </row>
    <row r="807" spans="1:5">
      <c r="A807">
        <v>2016</v>
      </c>
      <c r="B807" s="3" t="s">
        <v>209</v>
      </c>
      <c r="C807" t="s">
        <v>154</v>
      </c>
      <c r="D807" s="9">
        <v>174107</v>
      </c>
      <c r="E807">
        <v>1.7139999999999999E-4</v>
      </c>
    </row>
    <row r="808" spans="1:5">
      <c r="A808">
        <v>2016</v>
      </c>
      <c r="B808" s="3" t="s">
        <v>210</v>
      </c>
      <c r="C808" t="s">
        <v>155</v>
      </c>
      <c r="D808" s="9">
        <v>3450</v>
      </c>
      <c r="E808">
        <v>3.4000000000000001E-6</v>
      </c>
    </row>
    <row r="809" spans="1:5">
      <c r="A809">
        <v>2016</v>
      </c>
      <c r="B809" s="3" t="s">
        <v>211</v>
      </c>
      <c r="C809" t="s">
        <v>156</v>
      </c>
      <c r="D809" s="9">
        <v>672156</v>
      </c>
      <c r="E809">
        <v>6.6160000000000004E-4</v>
      </c>
    </row>
    <row r="810" spans="1:5">
      <c r="A810">
        <v>2016</v>
      </c>
      <c r="B810" s="3" t="s">
        <v>212</v>
      </c>
      <c r="C810" t="s">
        <v>157</v>
      </c>
      <c r="D810" s="9">
        <v>25819</v>
      </c>
      <c r="E810">
        <v>2.5400000000000001E-5</v>
      </c>
    </row>
    <row r="811" spans="1:5">
      <c r="A811">
        <v>2016</v>
      </c>
      <c r="B811" s="3" t="s">
        <v>213</v>
      </c>
      <c r="C811" t="s">
        <v>158</v>
      </c>
      <c r="D811" s="9">
        <v>1098946</v>
      </c>
      <c r="E811">
        <v>1.0816999999999999E-3</v>
      </c>
    </row>
    <row r="812" spans="1:5">
      <c r="A812">
        <v>2016</v>
      </c>
      <c r="B812" s="3" t="s">
        <v>214</v>
      </c>
      <c r="C812" t="s">
        <v>159</v>
      </c>
      <c r="D812" s="9">
        <v>146529</v>
      </c>
      <c r="E812">
        <v>1.4420000000000001E-4</v>
      </c>
    </row>
    <row r="813" spans="1:5">
      <c r="A813">
        <v>2016</v>
      </c>
      <c r="B813" s="3" t="s">
        <v>215</v>
      </c>
      <c r="C813" t="s">
        <v>160</v>
      </c>
      <c r="D813" s="9">
        <v>189164</v>
      </c>
      <c r="E813">
        <v>1.862E-4</v>
      </c>
    </row>
    <row r="814" spans="1:5">
      <c r="A814">
        <v>2016</v>
      </c>
      <c r="B814" s="3" t="s">
        <v>216</v>
      </c>
      <c r="C814" t="s">
        <v>1383</v>
      </c>
      <c r="D814" s="9"/>
      <c r="E814">
        <v>0</v>
      </c>
    </row>
    <row r="815" spans="1:5">
      <c r="A815">
        <v>2016</v>
      </c>
      <c r="B815" s="3" t="s">
        <v>217</v>
      </c>
      <c r="C815" t="s">
        <v>162</v>
      </c>
      <c r="D815" s="9">
        <v>345666</v>
      </c>
      <c r="E815">
        <v>3.4019999999999998E-4</v>
      </c>
    </row>
    <row r="816" spans="1:5">
      <c r="A816">
        <v>2016</v>
      </c>
      <c r="B816" s="3" t="s">
        <v>218</v>
      </c>
      <c r="C816" t="s">
        <v>163</v>
      </c>
      <c r="D816" s="9">
        <v>362004</v>
      </c>
      <c r="E816">
        <v>3.5629999999999999E-4</v>
      </c>
    </row>
    <row r="817" spans="1:5">
      <c r="A817">
        <v>2016</v>
      </c>
      <c r="B817" s="3" t="s">
        <v>219</v>
      </c>
      <c r="C817" t="s">
        <v>164</v>
      </c>
      <c r="D817" s="9">
        <v>268669</v>
      </c>
      <c r="E817">
        <v>2.6449999999999998E-4</v>
      </c>
    </row>
    <row r="818" spans="1:5">
      <c r="A818">
        <v>2016</v>
      </c>
      <c r="B818" s="3" t="s">
        <v>220</v>
      </c>
      <c r="C818" t="s">
        <v>165</v>
      </c>
      <c r="D818" s="9">
        <v>54943</v>
      </c>
      <c r="E818">
        <v>5.41E-5</v>
      </c>
    </row>
    <row r="819" spans="1:5">
      <c r="A819">
        <v>2016</v>
      </c>
      <c r="B819" s="3" t="s">
        <v>1387</v>
      </c>
      <c r="C819" t="s">
        <v>222</v>
      </c>
      <c r="D819" s="9">
        <v>9003</v>
      </c>
      <c r="E819">
        <v>8.8999999999999995E-6</v>
      </c>
    </row>
    <row r="820" spans="1:5">
      <c r="A820">
        <v>2016</v>
      </c>
      <c r="B820" s="3" t="s">
        <v>1388</v>
      </c>
      <c r="C820" t="s">
        <v>223</v>
      </c>
      <c r="D820" s="9">
        <v>7680</v>
      </c>
      <c r="E820">
        <v>7.6000000000000001E-6</v>
      </c>
    </row>
    <row r="821" spans="1:5">
      <c r="A821">
        <v>2016</v>
      </c>
      <c r="B821" s="3" t="s">
        <v>1389</v>
      </c>
      <c r="C821" t="s">
        <v>228</v>
      </c>
      <c r="D821" s="9">
        <v>93153</v>
      </c>
      <c r="E821">
        <v>9.1700000000000006E-5</v>
      </c>
    </row>
    <row r="822" spans="1:5">
      <c r="A822">
        <v>2016</v>
      </c>
      <c r="B822" s="3" t="s">
        <v>1390</v>
      </c>
      <c r="C822" t="s">
        <v>224</v>
      </c>
      <c r="D822" s="9">
        <v>1395448</v>
      </c>
      <c r="E822">
        <v>1.3736E-3</v>
      </c>
    </row>
    <row r="823" spans="1:5">
      <c r="A823">
        <v>2016</v>
      </c>
      <c r="B823" s="3" t="s">
        <v>1391</v>
      </c>
      <c r="C823" t="s">
        <v>225</v>
      </c>
      <c r="D823" s="9"/>
      <c r="E823">
        <v>0</v>
      </c>
    </row>
    <row r="824" spans="1:5">
      <c r="A824">
        <v>2016</v>
      </c>
      <c r="B824" s="3" t="s">
        <v>1392</v>
      </c>
      <c r="C824" t="s">
        <v>226</v>
      </c>
      <c r="D824" s="9">
        <v>76731</v>
      </c>
      <c r="E824">
        <v>7.5500000000000006E-5</v>
      </c>
    </row>
    <row r="825" spans="1:5">
      <c r="A825">
        <v>2016</v>
      </c>
      <c r="B825" s="3" t="s">
        <v>1393</v>
      </c>
      <c r="C825" t="s">
        <v>227</v>
      </c>
      <c r="D825" s="9">
        <v>138403</v>
      </c>
      <c r="E825">
        <v>1.362E-4</v>
      </c>
    </row>
    <row r="826" spans="1:5">
      <c r="A826">
        <v>2016</v>
      </c>
      <c r="B826" s="3" t="s">
        <v>1394</v>
      </c>
      <c r="C826" t="s">
        <v>229</v>
      </c>
      <c r="D826" s="9">
        <v>11889</v>
      </c>
      <c r="E826">
        <v>1.17E-5</v>
      </c>
    </row>
    <row r="827" spans="1:5">
      <c r="A827">
        <v>2016</v>
      </c>
      <c r="B827" s="3" t="s">
        <v>1395</v>
      </c>
      <c r="C827" t="s">
        <v>230</v>
      </c>
      <c r="D827" s="9">
        <v>314763</v>
      </c>
      <c r="E827">
        <v>3.098E-4</v>
      </c>
    </row>
    <row r="828" spans="1:5">
      <c r="A828">
        <v>2016</v>
      </c>
      <c r="B828" s="3" t="s">
        <v>1396</v>
      </c>
      <c r="C828" t="s">
        <v>231</v>
      </c>
      <c r="D828" s="9">
        <v>46649</v>
      </c>
      <c r="E828">
        <v>4.5899999999999998E-5</v>
      </c>
    </row>
    <row r="829" spans="1:5">
      <c r="A829">
        <v>2016</v>
      </c>
      <c r="B829" s="3" t="s">
        <v>1397</v>
      </c>
      <c r="C829" t="s">
        <v>232</v>
      </c>
      <c r="D829" s="9">
        <v>28770</v>
      </c>
      <c r="E829">
        <v>2.83E-5</v>
      </c>
    </row>
    <row r="830" spans="1:5">
      <c r="A830">
        <v>2016</v>
      </c>
      <c r="B830" s="3" t="s">
        <v>1398</v>
      </c>
      <c r="C830" t="s">
        <v>233</v>
      </c>
      <c r="D830" s="9">
        <v>42164</v>
      </c>
      <c r="E830">
        <v>4.1499999999999999E-5</v>
      </c>
    </row>
    <row r="831" spans="1:5">
      <c r="A831">
        <v>2016</v>
      </c>
      <c r="B831" s="3" t="s">
        <v>1399</v>
      </c>
      <c r="C831" t="s">
        <v>234</v>
      </c>
      <c r="D831" s="9">
        <v>139402</v>
      </c>
      <c r="E831">
        <v>1.372E-4</v>
      </c>
    </row>
    <row r="832" spans="1:5">
      <c r="A832">
        <v>2016</v>
      </c>
      <c r="B832" s="3" t="s">
        <v>1400</v>
      </c>
      <c r="C832" t="s">
        <v>1384</v>
      </c>
      <c r="D832" s="9">
        <v>444044</v>
      </c>
      <c r="E832">
        <v>4.371E-4</v>
      </c>
    </row>
    <row r="833" spans="1:5">
      <c r="A833">
        <v>2016</v>
      </c>
      <c r="B833" s="3" t="s">
        <v>1401</v>
      </c>
      <c r="C833" t="s">
        <v>1385</v>
      </c>
      <c r="D833" s="9">
        <v>64989</v>
      </c>
      <c r="E833">
        <v>6.3999999999999997E-5</v>
      </c>
    </row>
    <row r="834" spans="1:5">
      <c r="A834">
        <v>2016</v>
      </c>
      <c r="B834" s="3" t="s">
        <v>1402</v>
      </c>
      <c r="C834" t="s">
        <v>237</v>
      </c>
      <c r="D834" s="9">
        <v>83757</v>
      </c>
      <c r="E834">
        <v>8.2399999999999997E-5</v>
      </c>
    </row>
    <row r="835" spans="1:5">
      <c r="A835">
        <v>2016</v>
      </c>
      <c r="B835" s="3" t="s">
        <v>1403</v>
      </c>
      <c r="C835" t="s">
        <v>238</v>
      </c>
      <c r="D835" s="9">
        <v>348309</v>
      </c>
      <c r="E835">
        <v>3.4289999999999999E-4</v>
      </c>
    </row>
    <row r="836" spans="1:5">
      <c r="A836">
        <v>2016</v>
      </c>
      <c r="B836" s="3" t="s">
        <v>1404</v>
      </c>
      <c r="C836" t="s">
        <v>1386</v>
      </c>
      <c r="D836" s="9">
        <v>625445</v>
      </c>
      <c r="E836">
        <v>6.156E-4</v>
      </c>
    </row>
    <row r="837" spans="1:5">
      <c r="A837">
        <v>2016</v>
      </c>
      <c r="B837" s="3" t="s">
        <v>1405</v>
      </c>
      <c r="C837" t="s">
        <v>240</v>
      </c>
      <c r="D837" s="9">
        <v>51768</v>
      </c>
      <c r="E837">
        <v>5.1E-5</v>
      </c>
    </row>
    <row r="838" spans="1:5">
      <c r="A838">
        <v>2016</v>
      </c>
      <c r="B838" s="3" t="s">
        <v>1406</v>
      </c>
      <c r="C838" t="s">
        <v>241</v>
      </c>
      <c r="D838" s="9">
        <v>56209</v>
      </c>
      <c r="E838">
        <v>5.5300000000000002E-5</v>
      </c>
    </row>
    <row r="839" spans="1:5">
      <c r="A839">
        <v>2016</v>
      </c>
      <c r="B839" s="3" t="s">
        <v>1409</v>
      </c>
      <c r="C839" t="s">
        <v>242</v>
      </c>
      <c r="D839" s="9">
        <v>399474</v>
      </c>
      <c r="E839">
        <v>3.9320000000000002E-4</v>
      </c>
    </row>
    <row r="840" spans="1:5">
      <c r="A840">
        <v>2016</v>
      </c>
      <c r="B840" s="3" t="s">
        <v>1410</v>
      </c>
      <c r="C840" t="s">
        <v>243</v>
      </c>
      <c r="D840" s="9">
        <v>77423</v>
      </c>
      <c r="E840">
        <v>7.6199999999999995E-5</v>
      </c>
    </row>
    <row r="841" spans="1:5">
      <c r="A841">
        <v>2016</v>
      </c>
      <c r="B841" s="3" t="s">
        <v>1411</v>
      </c>
      <c r="C841" t="s">
        <v>244</v>
      </c>
      <c r="D841" s="9">
        <v>732746</v>
      </c>
      <c r="E841">
        <v>7.2130000000000002E-4</v>
      </c>
    </row>
    <row r="842" spans="1:5">
      <c r="A842">
        <v>2016</v>
      </c>
      <c r="B842" s="3" t="s">
        <v>1412</v>
      </c>
      <c r="C842" t="s">
        <v>245</v>
      </c>
      <c r="D842" s="9">
        <v>2887588</v>
      </c>
      <c r="E842">
        <v>2.8422999999999999E-3</v>
      </c>
    </row>
    <row r="843" spans="1:5">
      <c r="A843">
        <v>2016</v>
      </c>
      <c r="B843" s="3" t="s">
        <v>1413</v>
      </c>
      <c r="C843" t="s">
        <v>246</v>
      </c>
      <c r="D843" s="9">
        <v>451532</v>
      </c>
      <c r="E843">
        <v>4.4450000000000002E-4</v>
      </c>
    </row>
    <row r="844" spans="1:5">
      <c r="A844">
        <v>2016</v>
      </c>
      <c r="B844" s="3" t="s">
        <v>1414</v>
      </c>
      <c r="C844" t="s">
        <v>247</v>
      </c>
      <c r="D844" s="9">
        <v>153116</v>
      </c>
      <c r="E844">
        <v>1.507E-4</v>
      </c>
    </row>
    <row r="845" spans="1:5">
      <c r="A845">
        <v>2016</v>
      </c>
      <c r="B845" s="3" t="s">
        <v>1415</v>
      </c>
      <c r="C845" t="s">
        <v>248</v>
      </c>
      <c r="D845" s="9">
        <v>34407717</v>
      </c>
      <c r="E845">
        <v>3.3868500000000003E-2</v>
      </c>
    </row>
    <row r="846" spans="1:5">
      <c r="A846">
        <v>2016</v>
      </c>
      <c r="B846" s="3" t="s">
        <v>1416</v>
      </c>
      <c r="C846" t="s">
        <v>249</v>
      </c>
      <c r="D846" s="9">
        <v>2676023</v>
      </c>
      <c r="E846">
        <v>2.6340999999999999E-3</v>
      </c>
    </row>
    <row r="847" spans="1:5">
      <c r="A847">
        <v>2016</v>
      </c>
      <c r="B847" s="3" t="s">
        <v>1417</v>
      </c>
      <c r="C847" t="s">
        <v>250</v>
      </c>
      <c r="D847" s="9">
        <v>26244</v>
      </c>
      <c r="E847">
        <v>2.58E-5</v>
      </c>
    </row>
    <row r="848" spans="1:5">
      <c r="A848">
        <v>2016</v>
      </c>
      <c r="B848" s="3" t="s">
        <v>1418</v>
      </c>
      <c r="C848" t="s">
        <v>251</v>
      </c>
      <c r="D848" s="9">
        <v>117812</v>
      </c>
      <c r="E848">
        <v>1.16E-4</v>
      </c>
    </row>
    <row r="849" spans="1:5">
      <c r="A849">
        <v>2016</v>
      </c>
      <c r="B849" s="3" t="s">
        <v>1419</v>
      </c>
      <c r="C849" t="s">
        <v>252</v>
      </c>
      <c r="D849" s="9">
        <v>2577345</v>
      </c>
      <c r="E849">
        <v>2.5370000000000002E-3</v>
      </c>
    </row>
    <row r="850" spans="1:5">
      <c r="A850">
        <v>2016</v>
      </c>
      <c r="B850" s="3" t="s">
        <v>1420</v>
      </c>
      <c r="C850" t="s">
        <v>253</v>
      </c>
      <c r="D850" s="9">
        <v>165318</v>
      </c>
      <c r="E850">
        <v>1.627E-4</v>
      </c>
    </row>
    <row r="851" spans="1:5">
      <c r="A851">
        <v>2016</v>
      </c>
      <c r="B851" s="3" t="s">
        <v>1421</v>
      </c>
      <c r="C851" t="s">
        <v>254</v>
      </c>
      <c r="D851" s="9">
        <v>26982</v>
      </c>
      <c r="E851">
        <v>2.6599999999999999E-5</v>
      </c>
    </row>
    <row r="852" spans="1:5">
      <c r="A852">
        <v>2016</v>
      </c>
      <c r="B852" s="3" t="s">
        <v>1422</v>
      </c>
      <c r="C852" t="s">
        <v>255</v>
      </c>
      <c r="D852" s="9">
        <v>152650</v>
      </c>
      <c r="E852">
        <v>1.5029999999999999E-4</v>
      </c>
    </row>
    <row r="853" spans="1:5">
      <c r="A853">
        <v>2016</v>
      </c>
      <c r="B853" s="3" t="s">
        <v>1423</v>
      </c>
      <c r="C853" t="s">
        <v>256</v>
      </c>
      <c r="D853" s="9">
        <v>1030715</v>
      </c>
      <c r="E853">
        <v>1.0146000000000001E-3</v>
      </c>
    </row>
    <row r="854" spans="1:5">
      <c r="A854">
        <v>2016</v>
      </c>
      <c r="B854" s="3" t="s">
        <v>1424</v>
      </c>
      <c r="C854" t="s">
        <v>257</v>
      </c>
      <c r="D854" s="9">
        <v>2640164</v>
      </c>
      <c r="E854">
        <v>2.5988000000000001E-3</v>
      </c>
    </row>
    <row r="855" spans="1:5">
      <c r="A855">
        <v>2016</v>
      </c>
      <c r="B855" s="3" t="s">
        <v>1425</v>
      </c>
      <c r="C855" t="s">
        <v>258</v>
      </c>
      <c r="D855" s="9">
        <v>33935</v>
      </c>
      <c r="E855">
        <v>3.3399999999999999E-5</v>
      </c>
    </row>
    <row r="856" spans="1:5">
      <c r="A856">
        <v>2016</v>
      </c>
      <c r="B856" s="3" t="s">
        <v>1426</v>
      </c>
      <c r="C856" t="s">
        <v>259</v>
      </c>
      <c r="D856" s="9">
        <v>2491</v>
      </c>
      <c r="E856">
        <v>2.5000000000000002E-6</v>
      </c>
    </row>
    <row r="857" spans="1:5">
      <c r="A857">
        <v>2016</v>
      </c>
      <c r="B857" s="3" t="s">
        <v>1427</v>
      </c>
      <c r="C857" t="s">
        <v>260</v>
      </c>
      <c r="D857" s="9">
        <v>593637</v>
      </c>
      <c r="E857">
        <v>5.8430000000000005E-4</v>
      </c>
    </row>
    <row r="858" spans="1:5">
      <c r="A858">
        <v>2016</v>
      </c>
      <c r="B858" s="3" t="s">
        <v>1428</v>
      </c>
      <c r="C858" t="s">
        <v>1407</v>
      </c>
      <c r="D858" s="9"/>
      <c r="E858">
        <v>0</v>
      </c>
    </row>
    <row r="859" spans="1:5">
      <c r="A859">
        <v>2016</v>
      </c>
      <c r="B859" s="3" t="s">
        <v>1429</v>
      </c>
      <c r="C859" t="s">
        <v>262</v>
      </c>
      <c r="D859" s="9">
        <v>1059845</v>
      </c>
      <c r="E859">
        <v>1.0432E-3</v>
      </c>
    </row>
    <row r="860" spans="1:5">
      <c r="A860">
        <v>2016</v>
      </c>
      <c r="B860" s="3" t="s">
        <v>1430</v>
      </c>
      <c r="C860" t="s">
        <v>263</v>
      </c>
      <c r="D860" s="9">
        <v>316523</v>
      </c>
      <c r="E860">
        <v>3.1159999999999998E-4</v>
      </c>
    </row>
    <row r="861" spans="1:5">
      <c r="A861">
        <v>2016</v>
      </c>
      <c r="B861" s="3" t="s">
        <v>1431</v>
      </c>
      <c r="C861" t="s">
        <v>264</v>
      </c>
      <c r="D861" s="9">
        <v>247074</v>
      </c>
      <c r="E861">
        <v>2.432E-4</v>
      </c>
    </row>
    <row r="862" spans="1:5">
      <c r="A862">
        <v>2016</v>
      </c>
      <c r="B862" s="3" t="s">
        <v>1432</v>
      </c>
      <c r="C862" t="s">
        <v>265</v>
      </c>
      <c r="D862" s="9">
        <v>249840</v>
      </c>
      <c r="E862">
        <v>2.4590000000000001E-4</v>
      </c>
    </row>
    <row r="863" spans="1:5">
      <c r="A863">
        <v>2016</v>
      </c>
      <c r="B863" s="3" t="s">
        <v>1433</v>
      </c>
      <c r="C863" t="s">
        <v>266</v>
      </c>
      <c r="D863" s="9">
        <v>152385</v>
      </c>
      <c r="E863">
        <v>1.4999999999999999E-4</v>
      </c>
    </row>
    <row r="864" spans="1:5">
      <c r="A864">
        <v>2016</v>
      </c>
      <c r="B864" s="3" t="s">
        <v>1434</v>
      </c>
      <c r="C864" t="s">
        <v>267</v>
      </c>
      <c r="D864" s="9">
        <v>1287815</v>
      </c>
      <c r="E864">
        <v>1.2676E-3</v>
      </c>
    </row>
    <row r="865" spans="1:5">
      <c r="A865">
        <v>2016</v>
      </c>
      <c r="B865" s="3" t="s">
        <v>1435</v>
      </c>
      <c r="C865" t="s">
        <v>268</v>
      </c>
      <c r="D865" s="9">
        <v>169783</v>
      </c>
      <c r="E865">
        <v>1.671E-4</v>
      </c>
    </row>
    <row r="866" spans="1:5">
      <c r="A866">
        <v>2016</v>
      </c>
      <c r="B866" s="3" t="s">
        <v>1436</v>
      </c>
      <c r="C866" t="s">
        <v>269</v>
      </c>
      <c r="D866" s="9">
        <v>150801</v>
      </c>
      <c r="E866">
        <v>1.484E-4</v>
      </c>
    </row>
    <row r="867" spans="1:5">
      <c r="A867">
        <v>2016</v>
      </c>
      <c r="B867" s="3" t="s">
        <v>1437</v>
      </c>
      <c r="C867" t="s">
        <v>270</v>
      </c>
      <c r="D867" s="9">
        <v>854204</v>
      </c>
      <c r="E867">
        <v>8.4079999999999995E-4</v>
      </c>
    </row>
    <row r="868" spans="1:5">
      <c r="A868">
        <v>2016</v>
      </c>
      <c r="B868" s="3" t="s">
        <v>1438</v>
      </c>
      <c r="C868" t="s">
        <v>271</v>
      </c>
      <c r="D868" s="9">
        <v>596126</v>
      </c>
      <c r="E868">
        <v>5.8679999999999995E-4</v>
      </c>
    </row>
    <row r="869" spans="1:5">
      <c r="A869">
        <v>2016</v>
      </c>
      <c r="B869" s="3" t="s">
        <v>1439</v>
      </c>
      <c r="C869" t="s">
        <v>272</v>
      </c>
      <c r="D869" s="9">
        <v>105464</v>
      </c>
      <c r="E869">
        <v>1.038E-4</v>
      </c>
    </row>
    <row r="870" spans="1:5">
      <c r="A870">
        <v>2016</v>
      </c>
      <c r="B870" s="3" t="s">
        <v>1440</v>
      </c>
      <c r="C870" t="s">
        <v>273</v>
      </c>
      <c r="D870" s="9">
        <v>397709</v>
      </c>
      <c r="E870">
        <v>3.9149999999999998E-4</v>
      </c>
    </row>
    <row r="871" spans="1:5">
      <c r="A871">
        <v>2016</v>
      </c>
      <c r="B871" s="3" t="s">
        <v>1441</v>
      </c>
      <c r="C871" t="s">
        <v>274</v>
      </c>
      <c r="D871" s="9">
        <v>12392</v>
      </c>
      <c r="E871">
        <v>1.22E-5</v>
      </c>
    </row>
    <row r="872" spans="1:5">
      <c r="A872">
        <v>2016</v>
      </c>
      <c r="B872" s="3" t="s">
        <v>1442</v>
      </c>
      <c r="C872" t="s">
        <v>275</v>
      </c>
      <c r="D872" s="9">
        <v>7338</v>
      </c>
      <c r="E872">
        <v>7.1999999999999997E-6</v>
      </c>
    </row>
    <row r="873" spans="1:5">
      <c r="A873">
        <v>2016</v>
      </c>
      <c r="B873" s="3" t="s">
        <v>1443</v>
      </c>
      <c r="C873" t="s">
        <v>276</v>
      </c>
      <c r="D873" s="9">
        <v>920345</v>
      </c>
      <c r="E873">
        <v>9.0589999999999996E-4</v>
      </c>
    </row>
    <row r="874" spans="1:5">
      <c r="A874">
        <v>2016</v>
      </c>
      <c r="B874" s="3" t="s">
        <v>331</v>
      </c>
      <c r="C874" t="s">
        <v>1408</v>
      </c>
      <c r="D874" s="9"/>
      <c r="E874">
        <v>0</v>
      </c>
    </row>
    <row r="875" spans="1:5">
      <c r="A875">
        <v>2016</v>
      </c>
      <c r="B875" s="3" t="s">
        <v>332</v>
      </c>
      <c r="C875" t="s">
        <v>278</v>
      </c>
      <c r="D875" s="9">
        <v>92730</v>
      </c>
      <c r="E875">
        <v>9.1299999999999997E-5</v>
      </c>
    </row>
    <row r="876" spans="1:5">
      <c r="A876">
        <v>2016</v>
      </c>
      <c r="B876" s="3" t="s">
        <v>333</v>
      </c>
      <c r="C876" t="s">
        <v>279</v>
      </c>
      <c r="D876" s="9">
        <v>41199</v>
      </c>
      <c r="E876">
        <v>4.0599999999999998E-5</v>
      </c>
    </row>
    <row r="877" spans="1:5">
      <c r="A877">
        <v>2016</v>
      </c>
      <c r="B877" s="3" t="s">
        <v>334</v>
      </c>
      <c r="C877" t="s">
        <v>280</v>
      </c>
      <c r="D877" s="9">
        <v>57439</v>
      </c>
      <c r="E877">
        <v>5.6499999999999998E-5</v>
      </c>
    </row>
    <row r="878" spans="1:5">
      <c r="A878">
        <v>2016</v>
      </c>
      <c r="B878" s="3" t="s">
        <v>335</v>
      </c>
      <c r="C878" t="s">
        <v>281</v>
      </c>
      <c r="D878" s="9">
        <v>2124783</v>
      </c>
      <c r="E878">
        <v>2.0915E-3</v>
      </c>
    </row>
    <row r="879" spans="1:5">
      <c r="A879">
        <v>2016</v>
      </c>
      <c r="B879" s="3" t="s">
        <v>336</v>
      </c>
      <c r="C879" t="s">
        <v>282</v>
      </c>
      <c r="D879" s="9">
        <v>1859567</v>
      </c>
      <c r="E879">
        <v>1.8304E-3</v>
      </c>
    </row>
    <row r="880" spans="1:5">
      <c r="A880">
        <v>2016</v>
      </c>
      <c r="B880" s="3" t="s">
        <v>337</v>
      </c>
      <c r="C880" t="s">
        <v>283</v>
      </c>
      <c r="D880" s="9">
        <v>83117</v>
      </c>
      <c r="E880">
        <v>8.1799999999999996E-5</v>
      </c>
    </row>
    <row r="881" spans="1:5">
      <c r="A881">
        <v>2016</v>
      </c>
      <c r="B881" s="3" t="s">
        <v>338</v>
      </c>
      <c r="C881" t="s">
        <v>284</v>
      </c>
      <c r="D881" s="9">
        <v>64352</v>
      </c>
      <c r="E881">
        <v>6.3299999999999994E-5</v>
      </c>
    </row>
    <row r="882" spans="1:5">
      <c r="A882">
        <v>2016</v>
      </c>
      <c r="B882" s="3" t="s">
        <v>339</v>
      </c>
      <c r="C882" t="s">
        <v>285</v>
      </c>
      <c r="D882" s="9">
        <v>1139984</v>
      </c>
      <c r="E882">
        <v>1.1221E-3</v>
      </c>
    </row>
    <row r="883" spans="1:5">
      <c r="A883">
        <v>2016</v>
      </c>
      <c r="B883" s="3" t="s">
        <v>340</v>
      </c>
      <c r="C883" t="s">
        <v>286</v>
      </c>
      <c r="D883" s="9">
        <v>119964</v>
      </c>
      <c r="E883">
        <v>1.181E-4</v>
      </c>
    </row>
    <row r="884" spans="1:5">
      <c r="A884">
        <v>2016</v>
      </c>
      <c r="B884" s="3" t="s">
        <v>341</v>
      </c>
      <c r="C884" t="s">
        <v>287</v>
      </c>
      <c r="D884" s="9">
        <v>27916</v>
      </c>
      <c r="E884">
        <v>2.7500000000000001E-5</v>
      </c>
    </row>
    <row r="885" spans="1:5">
      <c r="A885">
        <v>2016</v>
      </c>
      <c r="B885" s="3" t="s">
        <v>342</v>
      </c>
      <c r="C885" t="s">
        <v>288</v>
      </c>
      <c r="D885" s="9">
        <v>753967</v>
      </c>
      <c r="E885">
        <v>7.4220000000000004E-4</v>
      </c>
    </row>
    <row r="886" spans="1:5">
      <c r="A886">
        <v>2016</v>
      </c>
      <c r="B886" s="3" t="s">
        <v>343</v>
      </c>
      <c r="C886" t="s">
        <v>289</v>
      </c>
      <c r="D886" s="9">
        <v>79533</v>
      </c>
      <c r="E886">
        <v>7.8300000000000006E-5</v>
      </c>
    </row>
    <row r="887" spans="1:5">
      <c r="A887">
        <v>2016</v>
      </c>
      <c r="B887" s="3" t="s">
        <v>344</v>
      </c>
      <c r="C887" t="s">
        <v>290</v>
      </c>
      <c r="D887" s="9">
        <v>44812</v>
      </c>
      <c r="E887">
        <v>4.4100000000000001E-5</v>
      </c>
    </row>
    <row r="888" spans="1:5">
      <c r="A888">
        <v>2016</v>
      </c>
      <c r="B888" s="3" t="s">
        <v>345</v>
      </c>
      <c r="C888" t="s">
        <v>291</v>
      </c>
      <c r="D888" s="9">
        <v>97036</v>
      </c>
      <c r="E888">
        <v>9.5500000000000004E-5</v>
      </c>
    </row>
    <row r="889" spans="1:5">
      <c r="A889">
        <v>2016</v>
      </c>
      <c r="B889" s="3" t="s">
        <v>346</v>
      </c>
      <c r="C889" t="s">
        <v>292</v>
      </c>
      <c r="D889" s="9">
        <v>8072049</v>
      </c>
      <c r="E889">
        <v>7.9456000000000006E-3</v>
      </c>
    </row>
    <row r="890" spans="1:5">
      <c r="A890">
        <v>2016</v>
      </c>
      <c r="B890" s="3" t="s">
        <v>347</v>
      </c>
      <c r="C890" t="s">
        <v>293</v>
      </c>
      <c r="D890" s="9">
        <v>3299077</v>
      </c>
      <c r="E890">
        <v>3.2474000000000001E-3</v>
      </c>
    </row>
    <row r="891" spans="1:5">
      <c r="A891">
        <v>2016</v>
      </c>
      <c r="B891" s="3" t="s">
        <v>348</v>
      </c>
      <c r="C891" t="s">
        <v>294</v>
      </c>
      <c r="D891" s="9">
        <v>1369622</v>
      </c>
      <c r="E891">
        <v>1.3481999999999999E-3</v>
      </c>
    </row>
    <row r="892" spans="1:5">
      <c r="A892">
        <v>2016</v>
      </c>
      <c r="B892" s="3" t="s">
        <v>349</v>
      </c>
      <c r="C892" t="s">
        <v>295</v>
      </c>
      <c r="D892" s="9">
        <v>2341361</v>
      </c>
      <c r="E892">
        <v>2.3046999999999998E-3</v>
      </c>
    </row>
    <row r="893" spans="1:5">
      <c r="A893">
        <v>2016</v>
      </c>
      <c r="B893" s="3" t="s">
        <v>350</v>
      </c>
      <c r="C893" t="s">
        <v>296</v>
      </c>
      <c r="D893" s="9">
        <v>2496621</v>
      </c>
      <c r="E893">
        <v>2.4575E-3</v>
      </c>
    </row>
    <row r="894" spans="1:5">
      <c r="A894">
        <v>2016</v>
      </c>
      <c r="B894" s="3" t="s">
        <v>351</v>
      </c>
      <c r="C894" t="s">
        <v>297</v>
      </c>
      <c r="D894" s="9">
        <v>22896</v>
      </c>
      <c r="E894">
        <v>2.2500000000000001E-5</v>
      </c>
    </row>
    <row r="895" spans="1:5">
      <c r="A895">
        <v>2016</v>
      </c>
      <c r="B895" s="3" t="s">
        <v>352</v>
      </c>
      <c r="C895" t="s">
        <v>298</v>
      </c>
      <c r="D895" s="9">
        <v>167879</v>
      </c>
      <c r="E895">
        <v>1.652E-4</v>
      </c>
    </row>
    <row r="896" spans="1:5">
      <c r="A896">
        <v>2016</v>
      </c>
      <c r="B896" s="3" t="s">
        <v>353</v>
      </c>
      <c r="C896" t="s">
        <v>299</v>
      </c>
      <c r="D896" s="9">
        <v>89601</v>
      </c>
      <c r="E896">
        <v>8.8200000000000003E-5</v>
      </c>
    </row>
    <row r="897" spans="1:5">
      <c r="A897">
        <v>2016</v>
      </c>
      <c r="B897" s="3" t="s">
        <v>354</v>
      </c>
      <c r="C897" t="s">
        <v>300</v>
      </c>
      <c r="D897" s="9">
        <v>2264939</v>
      </c>
      <c r="E897">
        <v>2.2293999999999999E-3</v>
      </c>
    </row>
    <row r="898" spans="1:5">
      <c r="A898">
        <v>2016</v>
      </c>
      <c r="B898" s="3" t="s">
        <v>355</v>
      </c>
      <c r="C898" t="s">
        <v>301</v>
      </c>
      <c r="D898" s="9">
        <v>299307</v>
      </c>
      <c r="E898">
        <v>2.9460000000000001E-4</v>
      </c>
    </row>
    <row r="899" spans="1:5">
      <c r="A899">
        <v>2016</v>
      </c>
      <c r="B899" s="3" t="s">
        <v>356</v>
      </c>
      <c r="C899" t="s">
        <v>1444</v>
      </c>
      <c r="D899" s="9">
        <v>5028256</v>
      </c>
      <c r="E899">
        <v>4.9494999999999999E-3</v>
      </c>
    </row>
    <row r="900" spans="1:5">
      <c r="A900">
        <v>2016</v>
      </c>
      <c r="B900" s="3" t="s">
        <v>357</v>
      </c>
      <c r="C900" t="s">
        <v>303</v>
      </c>
      <c r="D900" s="9">
        <v>138404</v>
      </c>
      <c r="E900">
        <v>1.362E-4</v>
      </c>
    </row>
    <row r="901" spans="1:5">
      <c r="A901">
        <v>2016</v>
      </c>
      <c r="B901" s="3" t="s">
        <v>358</v>
      </c>
      <c r="C901" t="s">
        <v>304</v>
      </c>
      <c r="D901" s="9">
        <v>138739</v>
      </c>
      <c r="E901">
        <v>1.3660000000000001E-4</v>
      </c>
    </row>
    <row r="902" spans="1:5">
      <c r="A902">
        <v>2016</v>
      </c>
      <c r="B902" s="3" t="s">
        <v>359</v>
      </c>
      <c r="C902" t="s">
        <v>305</v>
      </c>
      <c r="D902" s="9">
        <v>216884</v>
      </c>
      <c r="E902">
        <v>2.1350000000000001E-4</v>
      </c>
    </row>
    <row r="903" spans="1:5">
      <c r="A903">
        <v>2016</v>
      </c>
      <c r="B903" s="3" t="s">
        <v>360</v>
      </c>
      <c r="C903" t="s">
        <v>306</v>
      </c>
      <c r="D903" s="9">
        <v>21055705</v>
      </c>
      <c r="E903">
        <v>2.07257E-2</v>
      </c>
    </row>
    <row r="904" spans="1:5">
      <c r="A904">
        <v>2016</v>
      </c>
      <c r="B904" s="3" t="s">
        <v>361</v>
      </c>
      <c r="C904" t="s">
        <v>1445</v>
      </c>
      <c r="D904" s="9">
        <v>126654</v>
      </c>
      <c r="E904">
        <v>1.247E-4</v>
      </c>
    </row>
    <row r="905" spans="1:5">
      <c r="A905">
        <v>2016</v>
      </c>
      <c r="B905" s="3" t="s">
        <v>362</v>
      </c>
      <c r="C905" t="s">
        <v>308</v>
      </c>
      <c r="D905" s="9">
        <v>6749</v>
      </c>
      <c r="E905">
        <v>6.6000000000000003E-6</v>
      </c>
    </row>
    <row r="906" spans="1:5">
      <c r="A906">
        <v>2016</v>
      </c>
      <c r="B906" s="3" t="s">
        <v>363</v>
      </c>
      <c r="C906" t="s">
        <v>309</v>
      </c>
      <c r="D906" s="9">
        <v>2833249</v>
      </c>
      <c r="E906">
        <v>2.7888000000000001E-3</v>
      </c>
    </row>
    <row r="907" spans="1:5">
      <c r="A907">
        <v>2016</v>
      </c>
      <c r="B907" s="3" t="s">
        <v>364</v>
      </c>
      <c r="C907" t="s">
        <v>310</v>
      </c>
      <c r="D907" s="9">
        <v>6815</v>
      </c>
      <c r="E907">
        <v>6.7000000000000002E-6</v>
      </c>
    </row>
    <row r="908" spans="1:5">
      <c r="A908">
        <v>2016</v>
      </c>
      <c r="B908" s="3" t="s">
        <v>365</v>
      </c>
      <c r="C908" t="s">
        <v>311</v>
      </c>
      <c r="D908" s="9">
        <v>868593</v>
      </c>
      <c r="E908">
        <v>8.5499999999999997E-4</v>
      </c>
    </row>
    <row r="909" spans="1:5">
      <c r="A909">
        <v>2016</v>
      </c>
      <c r="B909" s="3" t="s">
        <v>366</v>
      </c>
      <c r="C909" t="s">
        <v>312</v>
      </c>
      <c r="D909" s="9">
        <v>2083</v>
      </c>
      <c r="E909">
        <v>2.0999999999999998E-6</v>
      </c>
    </row>
    <row r="910" spans="1:5">
      <c r="A910">
        <v>2016</v>
      </c>
      <c r="B910" s="3" t="s">
        <v>367</v>
      </c>
      <c r="C910" t="s">
        <v>313</v>
      </c>
      <c r="D910" s="9">
        <v>52313</v>
      </c>
      <c r="E910">
        <v>5.1499999999999998E-5</v>
      </c>
    </row>
    <row r="911" spans="1:5">
      <c r="A911">
        <v>2016</v>
      </c>
      <c r="B911" s="3" t="s">
        <v>368</v>
      </c>
      <c r="C911" t="s">
        <v>314</v>
      </c>
      <c r="D911" s="9">
        <v>101040</v>
      </c>
      <c r="E911">
        <v>9.9500000000000006E-5</v>
      </c>
    </row>
    <row r="912" spans="1:5">
      <c r="A912">
        <v>2016</v>
      </c>
      <c r="B912" s="3" t="s">
        <v>369</v>
      </c>
      <c r="C912" t="s">
        <v>315</v>
      </c>
      <c r="D912" s="9">
        <v>1036608</v>
      </c>
      <c r="E912">
        <v>1.0204000000000001E-3</v>
      </c>
    </row>
    <row r="913" spans="1:5">
      <c r="A913">
        <v>2016</v>
      </c>
      <c r="B913" s="3" t="s">
        <v>370</v>
      </c>
      <c r="C913" t="s">
        <v>316</v>
      </c>
      <c r="D913" s="9">
        <v>2132186</v>
      </c>
      <c r="E913">
        <v>2.0988000000000001E-3</v>
      </c>
    </row>
    <row r="914" spans="1:5">
      <c r="A914">
        <v>2016</v>
      </c>
      <c r="B914" s="3" t="s">
        <v>371</v>
      </c>
      <c r="C914" t="s">
        <v>317</v>
      </c>
      <c r="D914" s="9">
        <v>252829</v>
      </c>
      <c r="E914">
        <v>2.4889999999999998E-4</v>
      </c>
    </row>
    <row r="915" spans="1:5">
      <c r="A915">
        <v>2016</v>
      </c>
      <c r="B915" s="3" t="s">
        <v>372</v>
      </c>
      <c r="C915" t="s">
        <v>318</v>
      </c>
      <c r="D915" s="9">
        <v>183252</v>
      </c>
      <c r="E915">
        <v>1.8039999999999999E-4</v>
      </c>
    </row>
    <row r="916" spans="1:5">
      <c r="A916">
        <v>2016</v>
      </c>
      <c r="B916" s="3" t="s">
        <v>373</v>
      </c>
      <c r="C916" t="s">
        <v>319</v>
      </c>
      <c r="D916" s="9">
        <v>1899119</v>
      </c>
      <c r="E916">
        <v>1.8694E-3</v>
      </c>
    </row>
    <row r="917" spans="1:5">
      <c r="A917">
        <v>2016</v>
      </c>
      <c r="B917" s="3" t="s">
        <v>374</v>
      </c>
      <c r="C917" t="s">
        <v>320</v>
      </c>
      <c r="D917" s="9">
        <v>1501375</v>
      </c>
      <c r="E917">
        <v>1.4778E-3</v>
      </c>
    </row>
    <row r="918" spans="1:5">
      <c r="A918">
        <v>2016</v>
      </c>
      <c r="B918" s="3" t="s">
        <v>375</v>
      </c>
      <c r="C918" t="s">
        <v>321</v>
      </c>
      <c r="D918" s="9">
        <v>7650360</v>
      </c>
      <c r="E918">
        <v>7.5304999999999999E-3</v>
      </c>
    </row>
    <row r="919" spans="1:5">
      <c r="A919">
        <v>2016</v>
      </c>
      <c r="B919" s="3" t="s">
        <v>376</v>
      </c>
      <c r="C919" t="s">
        <v>322</v>
      </c>
      <c r="D919" s="9">
        <v>480229</v>
      </c>
      <c r="E919">
        <v>4.727E-4</v>
      </c>
    </row>
    <row r="920" spans="1:5">
      <c r="A920">
        <v>2016</v>
      </c>
      <c r="B920" s="3" t="s">
        <v>377</v>
      </c>
      <c r="C920" t="s">
        <v>323</v>
      </c>
      <c r="D920" s="9">
        <v>799009</v>
      </c>
      <c r="E920">
        <v>7.8649999999999998E-4</v>
      </c>
    </row>
    <row r="921" spans="1:5">
      <c r="A921">
        <v>2016</v>
      </c>
      <c r="B921" s="3" t="s">
        <v>378</v>
      </c>
      <c r="C921" t="s">
        <v>324</v>
      </c>
      <c r="D921" s="9">
        <v>446614</v>
      </c>
      <c r="E921">
        <v>4.3960000000000001E-4</v>
      </c>
    </row>
    <row r="922" spans="1:5">
      <c r="A922">
        <v>2016</v>
      </c>
      <c r="B922" s="3" t="s">
        <v>379</v>
      </c>
      <c r="C922" t="s">
        <v>325</v>
      </c>
      <c r="D922" s="9">
        <v>625044</v>
      </c>
      <c r="E922">
        <v>6.1519999999999999E-4</v>
      </c>
    </row>
    <row r="923" spans="1:5">
      <c r="A923">
        <v>2016</v>
      </c>
      <c r="B923" s="3" t="s">
        <v>380</v>
      </c>
      <c r="C923" t="s">
        <v>326</v>
      </c>
      <c r="D923" s="9">
        <v>414748</v>
      </c>
      <c r="E923">
        <v>4.082E-4</v>
      </c>
    </row>
    <row r="924" spans="1:5">
      <c r="A924">
        <v>2016</v>
      </c>
      <c r="B924" s="3" t="s">
        <v>381</v>
      </c>
      <c r="C924" t="s">
        <v>327</v>
      </c>
      <c r="D924" s="9">
        <v>3164929</v>
      </c>
      <c r="E924">
        <v>3.1153000000000001E-3</v>
      </c>
    </row>
    <row r="925" spans="1:5">
      <c r="A925">
        <v>2016</v>
      </c>
      <c r="B925" s="3" t="s">
        <v>382</v>
      </c>
      <c r="C925" t="s">
        <v>328</v>
      </c>
      <c r="D925" s="9">
        <v>6472067</v>
      </c>
      <c r="E925">
        <v>6.3705999999999997E-3</v>
      </c>
    </row>
    <row r="926" spans="1:5">
      <c r="A926">
        <v>2016</v>
      </c>
      <c r="B926" s="3" t="s">
        <v>383</v>
      </c>
      <c r="C926" t="s">
        <v>329</v>
      </c>
      <c r="D926" s="9">
        <v>214912</v>
      </c>
      <c r="E926">
        <v>2.1149999999999999E-4</v>
      </c>
    </row>
    <row r="927" spans="1:5">
      <c r="A927">
        <v>2016</v>
      </c>
      <c r="B927" s="3" t="s">
        <v>384</v>
      </c>
      <c r="C927" t="s">
        <v>330</v>
      </c>
      <c r="D927" s="9">
        <v>2460016</v>
      </c>
      <c r="E927">
        <v>2.4215E-3</v>
      </c>
    </row>
    <row r="928" spans="1:5">
      <c r="A928">
        <v>2016</v>
      </c>
      <c r="B928" s="3" t="s">
        <v>440</v>
      </c>
      <c r="C928" t="s">
        <v>385</v>
      </c>
      <c r="D928" s="9">
        <v>188928</v>
      </c>
      <c r="E928">
        <v>1.8599999999999999E-4</v>
      </c>
    </row>
    <row r="929" spans="1:5">
      <c r="A929">
        <v>2016</v>
      </c>
      <c r="B929" s="3" t="s">
        <v>441</v>
      </c>
      <c r="C929" t="s">
        <v>386</v>
      </c>
      <c r="D929" s="9">
        <v>1072838</v>
      </c>
      <c r="E929">
        <v>1.0560000000000001E-3</v>
      </c>
    </row>
    <row r="930" spans="1:5">
      <c r="A930">
        <v>2016</v>
      </c>
      <c r="B930" s="3" t="s">
        <v>442</v>
      </c>
      <c r="C930" t="s">
        <v>387</v>
      </c>
      <c r="D930" s="9">
        <v>1693447</v>
      </c>
      <c r="E930">
        <v>1.6669E-3</v>
      </c>
    </row>
    <row r="931" spans="1:5">
      <c r="A931">
        <v>2016</v>
      </c>
      <c r="B931" s="3" t="s">
        <v>443</v>
      </c>
      <c r="C931" t="s">
        <v>388</v>
      </c>
      <c r="D931" s="9">
        <v>217742</v>
      </c>
      <c r="E931">
        <v>2.143E-4</v>
      </c>
    </row>
    <row r="932" spans="1:5">
      <c r="A932">
        <v>2016</v>
      </c>
      <c r="B932" s="3" t="s">
        <v>444</v>
      </c>
      <c r="C932" t="s">
        <v>389</v>
      </c>
      <c r="D932" s="9">
        <v>837549</v>
      </c>
      <c r="E932">
        <v>8.2439999999999998E-4</v>
      </c>
    </row>
    <row r="933" spans="1:5">
      <c r="A933">
        <v>2016</v>
      </c>
      <c r="B933" s="3" t="s">
        <v>445</v>
      </c>
      <c r="C933" t="s">
        <v>390</v>
      </c>
      <c r="D933" s="9">
        <v>16868883</v>
      </c>
      <c r="E933">
        <v>1.6604500000000001E-2</v>
      </c>
    </row>
    <row r="934" spans="1:5">
      <c r="A934">
        <v>2016</v>
      </c>
      <c r="B934" s="3" t="s">
        <v>446</v>
      </c>
      <c r="C934" t="s">
        <v>391</v>
      </c>
      <c r="D934" s="9">
        <v>689292</v>
      </c>
      <c r="E934">
        <v>6.7849999999999996E-4</v>
      </c>
    </row>
    <row r="935" spans="1:5">
      <c r="A935">
        <v>2016</v>
      </c>
      <c r="B935" s="3" t="s">
        <v>447</v>
      </c>
      <c r="C935" t="s">
        <v>392</v>
      </c>
      <c r="D935" s="9">
        <v>499192</v>
      </c>
      <c r="E935">
        <v>4.9140000000000002E-4</v>
      </c>
    </row>
    <row r="936" spans="1:5">
      <c r="A936">
        <v>2016</v>
      </c>
      <c r="B936" s="3" t="s">
        <v>448</v>
      </c>
      <c r="C936" t="s">
        <v>393</v>
      </c>
      <c r="D936" s="9">
        <v>5510965</v>
      </c>
      <c r="E936">
        <v>5.4245999999999999E-3</v>
      </c>
    </row>
    <row r="937" spans="1:5">
      <c r="A937">
        <v>2016</v>
      </c>
      <c r="B937" s="3" t="s">
        <v>449</v>
      </c>
      <c r="C937" t="s">
        <v>394</v>
      </c>
      <c r="D937" s="9">
        <v>1998759</v>
      </c>
      <c r="E937">
        <v>1.9673999999999998E-3</v>
      </c>
    </row>
    <row r="938" spans="1:5">
      <c r="A938">
        <v>2016</v>
      </c>
      <c r="B938" s="3" t="s">
        <v>450</v>
      </c>
      <c r="C938" t="s">
        <v>395</v>
      </c>
      <c r="D938" s="9">
        <v>668142</v>
      </c>
      <c r="E938">
        <v>6.5769999999999999E-4</v>
      </c>
    </row>
    <row r="939" spans="1:5">
      <c r="A939">
        <v>2016</v>
      </c>
      <c r="B939" s="3" t="s">
        <v>451</v>
      </c>
      <c r="C939" t="s">
        <v>396</v>
      </c>
      <c r="D939" s="9">
        <v>659312</v>
      </c>
      <c r="E939">
        <v>6.4899999999999995E-4</v>
      </c>
    </row>
    <row r="940" spans="1:5">
      <c r="A940">
        <v>2016</v>
      </c>
      <c r="B940" s="3" t="s">
        <v>452</v>
      </c>
      <c r="C940" t="s">
        <v>397</v>
      </c>
      <c r="D940" s="9">
        <v>11042982</v>
      </c>
      <c r="E940">
        <v>1.08699E-2</v>
      </c>
    </row>
    <row r="941" spans="1:5">
      <c r="A941">
        <v>2016</v>
      </c>
      <c r="B941" s="3" t="s">
        <v>453</v>
      </c>
      <c r="C941" t="s">
        <v>398</v>
      </c>
      <c r="D941" s="9">
        <v>555751</v>
      </c>
      <c r="E941">
        <v>5.4699999999999996E-4</v>
      </c>
    </row>
    <row r="942" spans="1:5">
      <c r="A942">
        <v>2016</v>
      </c>
      <c r="B942" s="3" t="s">
        <v>454</v>
      </c>
      <c r="C942" t="s">
        <v>399</v>
      </c>
      <c r="D942" s="9">
        <v>544955</v>
      </c>
      <c r="E942">
        <v>5.3640000000000003E-4</v>
      </c>
    </row>
    <row r="943" spans="1:5">
      <c r="A943">
        <v>2016</v>
      </c>
      <c r="B943" s="3" t="s">
        <v>455</v>
      </c>
      <c r="C943" t="s">
        <v>400</v>
      </c>
      <c r="D943" s="9">
        <v>1149527</v>
      </c>
      <c r="E943">
        <v>1.1314999999999999E-3</v>
      </c>
    </row>
    <row r="944" spans="1:5">
      <c r="A944">
        <v>2016</v>
      </c>
      <c r="B944" s="3" t="s">
        <v>456</v>
      </c>
      <c r="C944" t="s">
        <v>401</v>
      </c>
      <c r="D944" s="9">
        <v>279095</v>
      </c>
      <c r="E944">
        <v>2.7470000000000001E-4</v>
      </c>
    </row>
    <row r="945" spans="1:5">
      <c r="A945">
        <v>2016</v>
      </c>
      <c r="B945" s="3" t="s">
        <v>457</v>
      </c>
      <c r="C945" t="s">
        <v>402</v>
      </c>
      <c r="D945" s="9">
        <v>157176</v>
      </c>
      <c r="E945">
        <v>1.5469999999999999E-4</v>
      </c>
    </row>
    <row r="946" spans="1:5">
      <c r="A946">
        <v>2016</v>
      </c>
      <c r="B946" s="3" t="s">
        <v>458</v>
      </c>
      <c r="C946" t="s">
        <v>403</v>
      </c>
      <c r="D946" s="9">
        <v>119011</v>
      </c>
      <c r="E946">
        <v>1.171E-4</v>
      </c>
    </row>
    <row r="947" spans="1:5">
      <c r="A947">
        <v>2016</v>
      </c>
      <c r="B947" s="3" t="s">
        <v>459</v>
      </c>
      <c r="C947" t="s">
        <v>404</v>
      </c>
      <c r="D947" s="9">
        <v>3574795</v>
      </c>
      <c r="E947">
        <v>3.5187999999999999E-3</v>
      </c>
    </row>
    <row r="948" spans="1:5">
      <c r="A948">
        <v>2016</v>
      </c>
      <c r="B948" s="3" t="s">
        <v>460</v>
      </c>
      <c r="C948" t="s">
        <v>405</v>
      </c>
      <c r="D948" s="9">
        <v>7933275</v>
      </c>
      <c r="E948">
        <v>7.809E-3</v>
      </c>
    </row>
    <row r="949" spans="1:5">
      <c r="A949">
        <v>2016</v>
      </c>
      <c r="B949" s="3" t="s">
        <v>461</v>
      </c>
      <c r="C949" t="s">
        <v>406</v>
      </c>
      <c r="D949" s="9">
        <v>796632</v>
      </c>
      <c r="E949">
        <v>7.8410000000000003E-4</v>
      </c>
    </row>
    <row r="950" spans="1:5">
      <c r="A950">
        <v>2016</v>
      </c>
      <c r="B950" s="3" t="s">
        <v>462</v>
      </c>
      <c r="C950" t="s">
        <v>407</v>
      </c>
      <c r="D950" s="9">
        <v>65502</v>
      </c>
      <c r="E950">
        <v>6.4499999999999996E-5</v>
      </c>
    </row>
    <row r="951" spans="1:5">
      <c r="A951">
        <v>2016</v>
      </c>
      <c r="B951" s="3" t="s">
        <v>463</v>
      </c>
      <c r="C951" t="s">
        <v>408</v>
      </c>
      <c r="D951" s="9">
        <v>174730</v>
      </c>
      <c r="E951">
        <v>1.7200000000000001E-4</v>
      </c>
    </row>
    <row r="952" spans="1:5">
      <c r="A952">
        <v>2016</v>
      </c>
      <c r="B952" s="3" t="s">
        <v>464</v>
      </c>
      <c r="C952" t="s">
        <v>409</v>
      </c>
      <c r="D952" s="9">
        <v>287115</v>
      </c>
      <c r="E952">
        <v>2.8259999999999998E-4</v>
      </c>
    </row>
    <row r="953" spans="1:5">
      <c r="A953">
        <v>2016</v>
      </c>
      <c r="B953" s="3" t="s">
        <v>465</v>
      </c>
      <c r="C953" t="s">
        <v>410</v>
      </c>
      <c r="D953" s="9">
        <v>276733</v>
      </c>
      <c r="E953">
        <v>2.7240000000000001E-4</v>
      </c>
    </row>
    <row r="954" spans="1:5">
      <c r="A954">
        <v>2016</v>
      </c>
      <c r="B954" s="3" t="s">
        <v>466</v>
      </c>
      <c r="C954" t="s">
        <v>411</v>
      </c>
      <c r="D954" s="9">
        <v>3127334</v>
      </c>
      <c r="E954">
        <v>3.0783E-3</v>
      </c>
    </row>
    <row r="955" spans="1:5">
      <c r="A955">
        <v>2016</v>
      </c>
      <c r="B955" s="3" t="s">
        <v>467</v>
      </c>
      <c r="C955" t="s">
        <v>412</v>
      </c>
      <c r="D955" s="9">
        <v>11232</v>
      </c>
      <c r="E955">
        <v>1.11E-5</v>
      </c>
    </row>
    <row r="956" spans="1:5">
      <c r="A956">
        <v>2016</v>
      </c>
      <c r="B956" s="3" t="s">
        <v>468</v>
      </c>
      <c r="C956" t="s">
        <v>413</v>
      </c>
      <c r="D956" s="9">
        <v>221668</v>
      </c>
      <c r="E956">
        <v>2.1819999999999999E-4</v>
      </c>
    </row>
    <row r="957" spans="1:5">
      <c r="A957">
        <v>2016</v>
      </c>
      <c r="B957" s="3" t="s">
        <v>469</v>
      </c>
      <c r="C957" t="s">
        <v>414</v>
      </c>
      <c r="D957" s="9"/>
      <c r="E957">
        <v>0</v>
      </c>
    </row>
    <row r="958" spans="1:5">
      <c r="A958">
        <v>2016</v>
      </c>
      <c r="B958" s="3" t="s">
        <v>470</v>
      </c>
      <c r="C958" t="s">
        <v>415</v>
      </c>
      <c r="D958" s="9">
        <v>24496</v>
      </c>
      <c r="E958">
        <v>2.41E-5</v>
      </c>
    </row>
    <row r="959" spans="1:5">
      <c r="A959">
        <v>2016</v>
      </c>
      <c r="B959" s="3" t="s">
        <v>471</v>
      </c>
      <c r="C959" t="s">
        <v>416</v>
      </c>
      <c r="D959" s="9">
        <v>2147806</v>
      </c>
      <c r="E959">
        <v>2.1140999999999998E-3</v>
      </c>
    </row>
    <row r="960" spans="1:5">
      <c r="A960">
        <v>2016</v>
      </c>
      <c r="B960" s="3" t="s">
        <v>472</v>
      </c>
      <c r="C960" t="s">
        <v>417</v>
      </c>
      <c r="D960" s="9">
        <v>2690387</v>
      </c>
      <c r="E960">
        <v>2.6481999999999999E-3</v>
      </c>
    </row>
    <row r="961" spans="1:5">
      <c r="A961">
        <v>2016</v>
      </c>
      <c r="B961" s="3" t="s">
        <v>473</v>
      </c>
      <c r="C961" t="s">
        <v>418</v>
      </c>
      <c r="D961" s="9"/>
      <c r="E961">
        <v>0</v>
      </c>
    </row>
    <row r="962" spans="1:5">
      <c r="A962">
        <v>2016</v>
      </c>
      <c r="B962" s="3" t="s">
        <v>474</v>
      </c>
      <c r="C962" t="s">
        <v>419</v>
      </c>
      <c r="D962" s="9">
        <v>75965</v>
      </c>
      <c r="E962">
        <v>7.4800000000000002E-5</v>
      </c>
    </row>
    <row r="963" spans="1:5">
      <c r="A963">
        <v>2016</v>
      </c>
      <c r="B963" s="3" t="s">
        <v>475</v>
      </c>
      <c r="C963" t="s">
        <v>420</v>
      </c>
      <c r="D963" s="9">
        <v>16918</v>
      </c>
      <c r="E963">
        <v>1.6699999999999999E-5</v>
      </c>
    </row>
    <row r="964" spans="1:5">
      <c r="A964">
        <v>2016</v>
      </c>
      <c r="B964" s="3" t="s">
        <v>476</v>
      </c>
      <c r="C964" t="s">
        <v>421</v>
      </c>
      <c r="D964" s="9">
        <v>3943391</v>
      </c>
      <c r="E964">
        <v>3.8815999999999998E-3</v>
      </c>
    </row>
    <row r="965" spans="1:5">
      <c r="A965">
        <v>2016</v>
      </c>
      <c r="B965" s="3" t="s">
        <v>477</v>
      </c>
      <c r="C965" t="s">
        <v>422</v>
      </c>
      <c r="D965" s="9">
        <v>737204</v>
      </c>
      <c r="E965">
        <v>7.2570000000000002E-4</v>
      </c>
    </row>
    <row r="966" spans="1:5">
      <c r="A966">
        <v>2016</v>
      </c>
      <c r="B966" s="3" t="s">
        <v>478</v>
      </c>
      <c r="C966" t="s">
        <v>423</v>
      </c>
      <c r="D966" s="9">
        <v>109220</v>
      </c>
      <c r="E966">
        <v>1.075E-4</v>
      </c>
    </row>
    <row r="967" spans="1:5">
      <c r="A967">
        <v>2016</v>
      </c>
      <c r="B967" s="3" t="s">
        <v>479</v>
      </c>
      <c r="C967" t="s">
        <v>424</v>
      </c>
      <c r="D967" s="9">
        <v>148489</v>
      </c>
      <c r="E967">
        <v>1.462E-4</v>
      </c>
    </row>
    <row r="968" spans="1:5">
      <c r="A968">
        <v>2016</v>
      </c>
      <c r="B968" s="3" t="s">
        <v>480</v>
      </c>
      <c r="C968" t="s">
        <v>425</v>
      </c>
      <c r="D968" s="9">
        <v>42376</v>
      </c>
      <c r="E968">
        <v>4.1699999999999997E-5</v>
      </c>
    </row>
    <row r="969" spans="1:5">
      <c r="A969">
        <v>2016</v>
      </c>
      <c r="B969" s="3" t="s">
        <v>481</v>
      </c>
      <c r="C969" t="s">
        <v>426</v>
      </c>
      <c r="D969" s="9">
        <v>776376</v>
      </c>
      <c r="E969">
        <v>7.6420000000000004E-4</v>
      </c>
    </row>
    <row r="970" spans="1:5">
      <c r="A970">
        <v>2016</v>
      </c>
      <c r="B970" s="3" t="s">
        <v>482</v>
      </c>
      <c r="C970" t="s">
        <v>427</v>
      </c>
      <c r="D970" s="9">
        <v>147347</v>
      </c>
      <c r="E970">
        <v>1.45E-4</v>
      </c>
    </row>
    <row r="971" spans="1:5">
      <c r="A971">
        <v>2016</v>
      </c>
      <c r="B971" s="3" t="s">
        <v>483</v>
      </c>
      <c r="C971" t="s">
        <v>428</v>
      </c>
      <c r="D971" s="9">
        <v>94560</v>
      </c>
      <c r="E971">
        <v>9.31E-5</v>
      </c>
    </row>
    <row r="972" spans="1:5">
      <c r="A972">
        <v>2016</v>
      </c>
      <c r="B972" s="3" t="s">
        <v>484</v>
      </c>
      <c r="C972" t="s">
        <v>429</v>
      </c>
      <c r="D972" s="9">
        <v>284116</v>
      </c>
      <c r="E972">
        <v>2.7970000000000002E-4</v>
      </c>
    </row>
    <row r="973" spans="1:5">
      <c r="A973">
        <v>2016</v>
      </c>
      <c r="B973" s="3" t="s">
        <v>485</v>
      </c>
      <c r="C973" t="s">
        <v>430</v>
      </c>
      <c r="D973" s="9">
        <v>1569571</v>
      </c>
      <c r="E973">
        <v>1.5449999999999999E-3</v>
      </c>
    </row>
    <row r="974" spans="1:5">
      <c r="A974">
        <v>2016</v>
      </c>
      <c r="B974" s="3" t="s">
        <v>486</v>
      </c>
      <c r="C974" t="s">
        <v>431</v>
      </c>
      <c r="D974" s="9">
        <v>880161</v>
      </c>
      <c r="E974">
        <v>8.6640000000000003E-4</v>
      </c>
    </row>
    <row r="975" spans="1:5">
      <c r="A975">
        <v>2016</v>
      </c>
      <c r="B975" s="3" t="s">
        <v>487</v>
      </c>
      <c r="C975" t="s">
        <v>432</v>
      </c>
      <c r="D975" s="9">
        <v>6441</v>
      </c>
      <c r="E975">
        <v>6.2999999999999998E-6</v>
      </c>
    </row>
    <row r="976" spans="1:5">
      <c r="A976">
        <v>2016</v>
      </c>
      <c r="B976" s="3" t="s">
        <v>488</v>
      </c>
      <c r="C976" t="s">
        <v>433</v>
      </c>
      <c r="D976" s="9">
        <v>122294</v>
      </c>
      <c r="E976">
        <v>1.204E-4</v>
      </c>
    </row>
    <row r="977" spans="1:5">
      <c r="A977">
        <v>2016</v>
      </c>
      <c r="B977" s="3" t="s">
        <v>489</v>
      </c>
      <c r="C977" t="s">
        <v>434</v>
      </c>
      <c r="D977" s="9">
        <v>53584</v>
      </c>
      <c r="E977">
        <v>5.27E-5</v>
      </c>
    </row>
    <row r="978" spans="1:5">
      <c r="A978">
        <v>2016</v>
      </c>
      <c r="B978" s="3" t="s">
        <v>490</v>
      </c>
      <c r="C978" t="s">
        <v>435</v>
      </c>
      <c r="D978" s="9">
        <v>2573076</v>
      </c>
      <c r="E978">
        <v>2.5328E-3</v>
      </c>
    </row>
    <row r="979" spans="1:5">
      <c r="A979">
        <v>2016</v>
      </c>
      <c r="B979" s="3" t="s">
        <v>491</v>
      </c>
      <c r="C979" t="s">
        <v>436</v>
      </c>
      <c r="D979" s="9">
        <v>3368665</v>
      </c>
      <c r="E979">
        <v>3.3159000000000001E-3</v>
      </c>
    </row>
    <row r="980" spans="1:5">
      <c r="A980">
        <v>2016</v>
      </c>
      <c r="B980" s="3" t="s">
        <v>492</v>
      </c>
      <c r="C980" t="s">
        <v>437</v>
      </c>
      <c r="D980" s="9">
        <v>3631</v>
      </c>
      <c r="E980">
        <v>3.5999999999999998E-6</v>
      </c>
    </row>
    <row r="981" spans="1:5">
      <c r="A981">
        <v>2016</v>
      </c>
      <c r="B981" s="3" t="s">
        <v>493</v>
      </c>
      <c r="C981" t="s">
        <v>438</v>
      </c>
      <c r="D981" s="9">
        <v>10359</v>
      </c>
      <c r="E981">
        <v>1.0200000000000001E-5</v>
      </c>
    </row>
    <row r="982" spans="1:5">
      <c r="A982">
        <v>2016</v>
      </c>
      <c r="B982" s="3" t="s">
        <v>494</v>
      </c>
      <c r="C982" t="s">
        <v>439</v>
      </c>
      <c r="D982" s="9">
        <v>17422</v>
      </c>
      <c r="E982">
        <v>1.7099999999999999E-5</v>
      </c>
    </row>
    <row r="983" spans="1:5">
      <c r="A983">
        <v>2016</v>
      </c>
      <c r="B983" s="3" t="s">
        <v>550</v>
      </c>
      <c r="C983" t="s">
        <v>495</v>
      </c>
      <c r="D983" s="9">
        <v>72738</v>
      </c>
      <c r="E983">
        <v>7.1600000000000006E-5</v>
      </c>
    </row>
    <row r="984" spans="1:5">
      <c r="A984">
        <v>2016</v>
      </c>
      <c r="B984" s="3" t="s">
        <v>551</v>
      </c>
      <c r="C984" t="s">
        <v>496</v>
      </c>
      <c r="D984" s="9">
        <v>74950</v>
      </c>
      <c r="E984">
        <v>7.3800000000000005E-5</v>
      </c>
    </row>
    <row r="985" spans="1:5">
      <c r="A985">
        <v>2016</v>
      </c>
      <c r="B985" s="3" t="s">
        <v>552</v>
      </c>
      <c r="C985" t="s">
        <v>497</v>
      </c>
      <c r="D985" s="9">
        <v>15172471</v>
      </c>
      <c r="E985">
        <v>1.49347E-2</v>
      </c>
    </row>
    <row r="986" spans="1:5">
      <c r="A986">
        <v>2016</v>
      </c>
      <c r="B986" s="3" t="s">
        <v>553</v>
      </c>
      <c r="C986" t="s">
        <v>498</v>
      </c>
      <c r="D986" s="9">
        <v>43327</v>
      </c>
      <c r="E986">
        <v>4.2599999999999999E-5</v>
      </c>
    </row>
    <row r="987" spans="1:5">
      <c r="A987">
        <v>2016</v>
      </c>
      <c r="B987" s="3" t="s">
        <v>554</v>
      </c>
      <c r="C987" t="s">
        <v>499</v>
      </c>
      <c r="D987" s="9">
        <v>30737</v>
      </c>
      <c r="E987">
        <v>3.0300000000000001E-5</v>
      </c>
    </row>
    <row r="988" spans="1:5">
      <c r="A988">
        <v>2016</v>
      </c>
      <c r="B988" s="3" t="s">
        <v>555</v>
      </c>
      <c r="C988" t="s">
        <v>500</v>
      </c>
      <c r="D988" s="9">
        <v>159174</v>
      </c>
      <c r="E988">
        <v>1.5669999999999999E-4</v>
      </c>
    </row>
    <row r="989" spans="1:5">
      <c r="A989">
        <v>2016</v>
      </c>
      <c r="B989" s="3" t="s">
        <v>556</v>
      </c>
      <c r="C989" t="s">
        <v>501</v>
      </c>
      <c r="D989" s="9">
        <v>7202</v>
      </c>
      <c r="E989">
        <v>7.0999999999999998E-6</v>
      </c>
    </row>
    <row r="990" spans="1:5">
      <c r="A990">
        <v>2016</v>
      </c>
      <c r="B990" s="3" t="s">
        <v>557</v>
      </c>
      <c r="C990" t="s">
        <v>502</v>
      </c>
      <c r="D990" s="9">
        <v>43974</v>
      </c>
      <c r="E990">
        <v>4.3300000000000002E-5</v>
      </c>
    </row>
    <row r="991" spans="1:5">
      <c r="A991">
        <v>2016</v>
      </c>
      <c r="B991" s="3" t="s">
        <v>558</v>
      </c>
      <c r="C991" t="s">
        <v>503</v>
      </c>
      <c r="D991" s="9">
        <v>28768</v>
      </c>
      <c r="E991">
        <v>2.83E-5</v>
      </c>
    </row>
    <row r="992" spans="1:5">
      <c r="A992">
        <v>2016</v>
      </c>
      <c r="B992" s="3" t="s">
        <v>559</v>
      </c>
      <c r="C992" t="s">
        <v>504</v>
      </c>
      <c r="D992" s="9">
        <v>1626811</v>
      </c>
      <c r="E992">
        <v>1.6012999999999999E-3</v>
      </c>
    </row>
    <row r="993" spans="1:5">
      <c r="A993">
        <v>2016</v>
      </c>
      <c r="B993" s="3" t="s">
        <v>560</v>
      </c>
      <c r="C993" t="s">
        <v>505</v>
      </c>
      <c r="D993" s="9">
        <v>88872</v>
      </c>
      <c r="E993">
        <v>8.7499999999999999E-5</v>
      </c>
    </row>
    <row r="994" spans="1:5">
      <c r="A994">
        <v>2016</v>
      </c>
      <c r="B994" s="3" t="s">
        <v>561</v>
      </c>
      <c r="C994" t="s">
        <v>506</v>
      </c>
      <c r="D994" s="9">
        <v>206365</v>
      </c>
      <c r="E994">
        <v>2.031E-4</v>
      </c>
    </row>
    <row r="995" spans="1:5">
      <c r="A995">
        <v>2016</v>
      </c>
      <c r="B995" s="3" t="s">
        <v>562</v>
      </c>
      <c r="C995" t="s">
        <v>507</v>
      </c>
      <c r="D995" s="9">
        <v>9621378</v>
      </c>
      <c r="E995">
        <v>9.4705999999999992E-3</v>
      </c>
    </row>
    <row r="996" spans="1:5">
      <c r="A996">
        <v>2016</v>
      </c>
      <c r="B996" s="3" t="s">
        <v>563</v>
      </c>
      <c r="C996" t="s">
        <v>508</v>
      </c>
      <c r="D996" s="9">
        <v>4200</v>
      </c>
      <c r="E996">
        <v>4.0999999999999997E-6</v>
      </c>
    </row>
    <row r="997" spans="1:5">
      <c r="A997">
        <v>2016</v>
      </c>
      <c r="B997" s="3" t="s">
        <v>564</v>
      </c>
      <c r="C997" t="s">
        <v>509</v>
      </c>
      <c r="D997" s="9">
        <v>877756</v>
      </c>
      <c r="E997">
        <v>8.6399999999999997E-4</v>
      </c>
    </row>
    <row r="998" spans="1:5">
      <c r="A998">
        <v>2016</v>
      </c>
      <c r="B998" s="3" t="s">
        <v>565</v>
      </c>
      <c r="C998" t="s">
        <v>510</v>
      </c>
      <c r="D998" s="9">
        <v>2091235</v>
      </c>
      <c r="E998">
        <v>2.0585E-3</v>
      </c>
    </row>
    <row r="999" spans="1:5">
      <c r="A999">
        <v>2016</v>
      </c>
      <c r="B999" s="3" t="s">
        <v>566</v>
      </c>
      <c r="C999" t="s">
        <v>511</v>
      </c>
      <c r="D999" s="9">
        <v>111051</v>
      </c>
      <c r="E999">
        <v>1.093E-4</v>
      </c>
    </row>
    <row r="1000" spans="1:5">
      <c r="A1000">
        <v>2016</v>
      </c>
      <c r="B1000" s="3" t="s">
        <v>567</v>
      </c>
      <c r="C1000" t="s">
        <v>512</v>
      </c>
      <c r="D1000" s="9">
        <v>74639</v>
      </c>
      <c r="E1000">
        <v>7.3499999999999998E-5</v>
      </c>
    </row>
    <row r="1001" spans="1:5">
      <c r="A1001">
        <v>2016</v>
      </c>
      <c r="B1001" s="3" t="s">
        <v>568</v>
      </c>
      <c r="C1001" t="s">
        <v>513</v>
      </c>
      <c r="D1001" s="9">
        <v>180392</v>
      </c>
      <c r="E1001">
        <v>1.7760000000000001E-4</v>
      </c>
    </row>
    <row r="1002" spans="1:5">
      <c r="A1002">
        <v>2016</v>
      </c>
      <c r="B1002" s="3" t="s">
        <v>569</v>
      </c>
      <c r="C1002" t="s">
        <v>1446</v>
      </c>
      <c r="D1002" s="9">
        <v>166854</v>
      </c>
      <c r="E1002">
        <v>1.6420000000000001E-4</v>
      </c>
    </row>
    <row r="1003" spans="1:5">
      <c r="A1003">
        <v>2016</v>
      </c>
      <c r="B1003" s="3" t="s">
        <v>570</v>
      </c>
      <c r="C1003" t="s">
        <v>515</v>
      </c>
      <c r="D1003" s="9">
        <v>248314</v>
      </c>
      <c r="E1003">
        <v>2.4439999999999998E-4</v>
      </c>
    </row>
    <row r="1004" spans="1:5">
      <c r="A1004">
        <v>2016</v>
      </c>
      <c r="B1004" s="3" t="s">
        <v>571</v>
      </c>
      <c r="C1004" t="s">
        <v>516</v>
      </c>
      <c r="D1004" s="9">
        <v>647817</v>
      </c>
      <c r="E1004">
        <v>6.3770000000000005E-4</v>
      </c>
    </row>
    <row r="1005" spans="1:5">
      <c r="A1005">
        <v>2016</v>
      </c>
      <c r="B1005" s="3" t="s">
        <v>572</v>
      </c>
      <c r="C1005" t="s">
        <v>517</v>
      </c>
      <c r="D1005" s="9">
        <v>287329</v>
      </c>
      <c r="E1005">
        <v>2.8279999999999999E-4</v>
      </c>
    </row>
    <row r="1006" spans="1:5">
      <c r="A1006">
        <v>2016</v>
      </c>
      <c r="B1006" s="3" t="s">
        <v>573</v>
      </c>
      <c r="C1006" t="s">
        <v>518</v>
      </c>
      <c r="D1006" s="9">
        <v>291083</v>
      </c>
      <c r="E1006">
        <v>2.8650000000000003E-4</v>
      </c>
    </row>
    <row r="1007" spans="1:5">
      <c r="A1007">
        <v>2016</v>
      </c>
      <c r="B1007" s="3" t="s">
        <v>574</v>
      </c>
      <c r="C1007" t="s">
        <v>519</v>
      </c>
      <c r="D1007" s="9">
        <v>261731</v>
      </c>
      <c r="E1007">
        <v>2.5759999999999997E-4</v>
      </c>
    </row>
    <row r="1008" spans="1:5">
      <c r="A1008">
        <v>2016</v>
      </c>
      <c r="B1008" s="3" t="s">
        <v>575</v>
      </c>
      <c r="C1008" t="s">
        <v>520</v>
      </c>
      <c r="D1008" s="9">
        <v>59402</v>
      </c>
      <c r="E1008">
        <v>5.8499999999999999E-5</v>
      </c>
    </row>
    <row r="1009" spans="1:5">
      <c r="A1009">
        <v>2016</v>
      </c>
      <c r="B1009" s="3" t="s">
        <v>576</v>
      </c>
      <c r="C1009" t="s">
        <v>521</v>
      </c>
      <c r="D1009" s="9">
        <v>100995</v>
      </c>
      <c r="E1009">
        <v>9.9400000000000004E-5</v>
      </c>
    </row>
    <row r="1010" spans="1:5">
      <c r="A1010">
        <v>2016</v>
      </c>
      <c r="B1010" s="3" t="s">
        <v>577</v>
      </c>
      <c r="C1010" t="s">
        <v>522</v>
      </c>
      <c r="D1010" s="9">
        <v>33013</v>
      </c>
      <c r="E1010">
        <v>3.2499999999999997E-5</v>
      </c>
    </row>
    <row r="1011" spans="1:5">
      <c r="A1011">
        <v>2016</v>
      </c>
      <c r="B1011" s="3" t="s">
        <v>578</v>
      </c>
      <c r="C1011" t="s">
        <v>523</v>
      </c>
      <c r="D1011" s="9">
        <v>1284975</v>
      </c>
      <c r="E1011">
        <v>1.2648E-3</v>
      </c>
    </row>
    <row r="1012" spans="1:5">
      <c r="A1012">
        <v>2016</v>
      </c>
      <c r="B1012" s="3" t="s">
        <v>579</v>
      </c>
      <c r="C1012" t="s">
        <v>1447</v>
      </c>
      <c r="D1012" s="9">
        <v>2243</v>
      </c>
      <c r="E1012">
        <v>2.2000000000000001E-6</v>
      </c>
    </row>
    <row r="1013" spans="1:5">
      <c r="A1013">
        <v>2016</v>
      </c>
      <c r="B1013" s="3" t="s">
        <v>1450</v>
      </c>
      <c r="C1013" t="s">
        <v>1448</v>
      </c>
      <c r="D1013" s="9">
        <v>40090</v>
      </c>
      <c r="E1013">
        <v>3.9499999999999998E-5</v>
      </c>
    </row>
    <row r="1014" spans="1:5">
      <c r="A1014">
        <v>2016</v>
      </c>
      <c r="B1014" s="3" t="s">
        <v>1451</v>
      </c>
      <c r="C1014" t="s">
        <v>1449</v>
      </c>
      <c r="D1014" s="9">
        <v>36373</v>
      </c>
      <c r="E1014">
        <v>3.5800000000000003E-5</v>
      </c>
    </row>
    <row r="1015" spans="1:5">
      <c r="A1015">
        <v>2016</v>
      </c>
      <c r="B1015" s="3" t="s">
        <v>580</v>
      </c>
      <c r="C1015" t="s">
        <v>525</v>
      </c>
      <c r="D1015" s="9">
        <v>71816</v>
      </c>
      <c r="E1015">
        <v>7.0699999999999997E-5</v>
      </c>
    </row>
    <row r="1016" spans="1:5">
      <c r="A1016">
        <v>2016</v>
      </c>
      <c r="B1016" s="3" t="s">
        <v>581</v>
      </c>
      <c r="C1016" t="s">
        <v>526</v>
      </c>
      <c r="D1016" s="9">
        <v>14876</v>
      </c>
      <c r="E1016">
        <v>1.4600000000000001E-5</v>
      </c>
    </row>
    <row r="1017" spans="1:5">
      <c r="A1017">
        <v>2016</v>
      </c>
      <c r="B1017" s="3" t="s">
        <v>582</v>
      </c>
      <c r="C1017" t="s">
        <v>527</v>
      </c>
      <c r="D1017" s="9">
        <v>468933</v>
      </c>
      <c r="E1017">
        <v>4.616E-4</v>
      </c>
    </row>
    <row r="1018" spans="1:5">
      <c r="A1018">
        <v>2016</v>
      </c>
      <c r="B1018" s="3" t="s">
        <v>583</v>
      </c>
      <c r="C1018" t="s">
        <v>528</v>
      </c>
      <c r="D1018" s="9">
        <v>11061</v>
      </c>
      <c r="E1018">
        <v>1.0900000000000001E-5</v>
      </c>
    </row>
    <row r="1019" spans="1:5">
      <c r="A1019">
        <v>2016</v>
      </c>
      <c r="B1019" s="3" t="s">
        <v>584</v>
      </c>
      <c r="C1019" t="s">
        <v>529</v>
      </c>
      <c r="D1019" s="9">
        <v>968</v>
      </c>
      <c r="E1019">
        <v>9.9999999999999995E-7</v>
      </c>
    </row>
    <row r="1020" spans="1:5">
      <c r="A1020">
        <v>2016</v>
      </c>
      <c r="B1020" s="3" t="s">
        <v>585</v>
      </c>
      <c r="C1020" t="s">
        <v>530</v>
      </c>
      <c r="D1020" s="9">
        <v>216655</v>
      </c>
      <c r="E1020">
        <v>2.1330000000000001E-4</v>
      </c>
    </row>
    <row r="1021" spans="1:5">
      <c r="A1021">
        <v>2016</v>
      </c>
      <c r="B1021" s="3" t="s">
        <v>586</v>
      </c>
      <c r="C1021" t="s">
        <v>1452</v>
      </c>
      <c r="D1021" s="9">
        <v>111511</v>
      </c>
      <c r="E1021">
        <v>1.098E-4</v>
      </c>
    </row>
    <row r="1022" spans="1:5">
      <c r="A1022">
        <v>2016</v>
      </c>
      <c r="B1022" s="3" t="s">
        <v>587</v>
      </c>
      <c r="C1022" t="s">
        <v>532</v>
      </c>
      <c r="D1022" s="9">
        <v>138330</v>
      </c>
      <c r="E1022">
        <v>1.362E-4</v>
      </c>
    </row>
    <row r="1023" spans="1:5">
      <c r="A1023">
        <v>2016</v>
      </c>
      <c r="B1023" s="3" t="s">
        <v>588</v>
      </c>
      <c r="C1023" t="s">
        <v>533</v>
      </c>
      <c r="D1023" s="9">
        <v>130743</v>
      </c>
      <c r="E1023">
        <v>1.2870000000000001E-4</v>
      </c>
    </row>
    <row r="1024" spans="1:5">
      <c r="A1024">
        <v>2016</v>
      </c>
      <c r="B1024" s="3" t="s">
        <v>589</v>
      </c>
      <c r="C1024" t="s">
        <v>534</v>
      </c>
      <c r="D1024" s="9">
        <v>5178202</v>
      </c>
      <c r="E1024">
        <v>5.0971000000000002E-3</v>
      </c>
    </row>
    <row r="1025" spans="1:5">
      <c r="A1025">
        <v>2016</v>
      </c>
      <c r="B1025" s="3" t="s">
        <v>590</v>
      </c>
      <c r="C1025" t="s">
        <v>535</v>
      </c>
      <c r="D1025" s="9">
        <v>3664250</v>
      </c>
      <c r="E1025">
        <v>3.6067999999999998E-3</v>
      </c>
    </row>
    <row r="1026" spans="1:5">
      <c r="A1026">
        <v>2016</v>
      </c>
      <c r="B1026" s="3" t="s">
        <v>591</v>
      </c>
      <c r="C1026" t="s">
        <v>536</v>
      </c>
      <c r="D1026" s="9">
        <v>52908</v>
      </c>
      <c r="E1026">
        <v>5.2099999999999999E-5</v>
      </c>
    </row>
    <row r="1027" spans="1:5">
      <c r="A1027">
        <v>2016</v>
      </c>
      <c r="B1027" s="3" t="s">
        <v>592</v>
      </c>
      <c r="C1027" t="s">
        <v>537</v>
      </c>
      <c r="D1027" s="9">
        <v>2566413</v>
      </c>
      <c r="E1027">
        <v>2.5262000000000001E-3</v>
      </c>
    </row>
    <row r="1028" spans="1:5">
      <c r="A1028">
        <v>2016</v>
      </c>
      <c r="B1028" s="3" t="s">
        <v>1456</v>
      </c>
      <c r="C1028" t="s">
        <v>1453</v>
      </c>
      <c r="D1028" s="9">
        <v>13314</v>
      </c>
      <c r="E1028" s="4">
        <v>1.31E-3</v>
      </c>
    </row>
    <row r="1029" spans="1:5">
      <c r="A1029">
        <v>2016</v>
      </c>
      <c r="B1029" s="3" t="s">
        <v>593</v>
      </c>
      <c r="C1029" t="s">
        <v>1454</v>
      </c>
      <c r="D1029" s="9">
        <v>636520</v>
      </c>
      <c r="E1029">
        <v>6.265E-4</v>
      </c>
    </row>
    <row r="1030" spans="1:5">
      <c r="A1030">
        <v>2016</v>
      </c>
      <c r="B1030" s="3" t="s">
        <v>594</v>
      </c>
      <c r="C1030" t="s">
        <v>539</v>
      </c>
      <c r="D1030" s="9">
        <v>16738</v>
      </c>
      <c r="E1030">
        <v>1.6500000000000001E-5</v>
      </c>
    </row>
    <row r="1031" spans="1:5">
      <c r="A1031">
        <v>2016</v>
      </c>
      <c r="B1031" s="3" t="s">
        <v>595</v>
      </c>
      <c r="C1031" t="s">
        <v>540</v>
      </c>
      <c r="D1031" s="9">
        <v>474790</v>
      </c>
      <c r="E1031">
        <v>4.6729999999999997E-4</v>
      </c>
    </row>
    <row r="1032" spans="1:5">
      <c r="A1032">
        <v>2016</v>
      </c>
      <c r="B1032" s="3" t="s">
        <v>596</v>
      </c>
      <c r="C1032" t="s">
        <v>541</v>
      </c>
      <c r="D1032" s="9">
        <v>704587</v>
      </c>
      <c r="E1032">
        <v>6.935E-4</v>
      </c>
    </row>
    <row r="1033" spans="1:5">
      <c r="A1033">
        <v>2016</v>
      </c>
      <c r="B1033" s="3" t="s">
        <v>597</v>
      </c>
      <c r="C1033" t="s">
        <v>542</v>
      </c>
      <c r="D1033" s="9">
        <v>2115835</v>
      </c>
      <c r="E1033">
        <v>2.0826999999999998E-3</v>
      </c>
    </row>
    <row r="1034" spans="1:5">
      <c r="A1034">
        <v>2016</v>
      </c>
      <c r="B1034" s="3" t="s">
        <v>598</v>
      </c>
      <c r="C1034" t="s">
        <v>543</v>
      </c>
      <c r="D1034" s="9">
        <v>170545</v>
      </c>
      <c r="E1034">
        <v>1.6789999999999999E-4</v>
      </c>
    </row>
    <row r="1035" spans="1:5">
      <c r="A1035">
        <v>2016</v>
      </c>
      <c r="B1035" s="3" t="s">
        <v>599</v>
      </c>
      <c r="C1035" t="s">
        <v>544</v>
      </c>
      <c r="D1035" s="9">
        <v>150860</v>
      </c>
      <c r="E1035">
        <v>1.485E-4</v>
      </c>
    </row>
    <row r="1036" spans="1:5">
      <c r="A1036">
        <v>2016</v>
      </c>
      <c r="B1036" s="3" t="s">
        <v>600</v>
      </c>
      <c r="C1036" t="s">
        <v>545</v>
      </c>
      <c r="D1036" s="9">
        <v>1985442</v>
      </c>
      <c r="E1036">
        <v>1.9543E-3</v>
      </c>
    </row>
    <row r="1037" spans="1:5">
      <c r="A1037">
        <v>2016</v>
      </c>
      <c r="B1037" s="3" t="s">
        <v>601</v>
      </c>
      <c r="C1037" t="s">
        <v>546</v>
      </c>
      <c r="D1037" s="9">
        <v>1057558</v>
      </c>
      <c r="E1037">
        <v>1.041E-3</v>
      </c>
    </row>
    <row r="1038" spans="1:5">
      <c r="A1038">
        <v>2016</v>
      </c>
      <c r="B1038" s="3" t="s">
        <v>602</v>
      </c>
      <c r="C1038" t="s">
        <v>547</v>
      </c>
      <c r="D1038" s="9">
        <v>67245</v>
      </c>
      <c r="E1038">
        <v>6.6199999999999996E-5</v>
      </c>
    </row>
    <row r="1039" spans="1:5">
      <c r="A1039">
        <v>2016</v>
      </c>
      <c r="B1039" s="3" t="s">
        <v>603</v>
      </c>
      <c r="C1039" t="s">
        <v>548</v>
      </c>
      <c r="D1039" s="9">
        <v>92518</v>
      </c>
      <c r="E1039">
        <v>9.1100000000000005E-5</v>
      </c>
    </row>
    <row r="1040" spans="1:5">
      <c r="A1040">
        <v>2016</v>
      </c>
      <c r="B1040" s="3" t="s">
        <v>604</v>
      </c>
      <c r="C1040" t="s">
        <v>549</v>
      </c>
      <c r="D1040" s="9">
        <v>231557</v>
      </c>
      <c r="E1040">
        <v>2.2790000000000001E-4</v>
      </c>
    </row>
    <row r="1041" spans="1:5">
      <c r="A1041">
        <v>2016</v>
      </c>
      <c r="B1041" s="3" t="s">
        <v>660</v>
      </c>
      <c r="C1041" t="s">
        <v>605</v>
      </c>
      <c r="D1041" s="9">
        <v>1723501</v>
      </c>
      <c r="E1041">
        <v>1.6965000000000001E-3</v>
      </c>
    </row>
    <row r="1042" spans="1:5">
      <c r="A1042">
        <v>2016</v>
      </c>
      <c r="B1042" s="3" t="s">
        <v>661</v>
      </c>
      <c r="C1042" t="s">
        <v>1455</v>
      </c>
      <c r="D1042" s="9">
        <v>28412</v>
      </c>
      <c r="E1042">
        <v>2.8E-5</v>
      </c>
    </row>
    <row r="1043" spans="1:5">
      <c r="A1043">
        <v>2016</v>
      </c>
      <c r="B1043" s="3" t="s">
        <v>662</v>
      </c>
      <c r="C1043" t="s">
        <v>607</v>
      </c>
      <c r="D1043" s="9">
        <v>16425</v>
      </c>
      <c r="E1043">
        <v>1.6200000000000001E-5</v>
      </c>
    </row>
    <row r="1044" spans="1:5">
      <c r="A1044">
        <v>2016</v>
      </c>
      <c r="B1044" s="3" t="s">
        <v>663</v>
      </c>
      <c r="C1044" t="s">
        <v>608</v>
      </c>
      <c r="D1044" s="9">
        <v>25970</v>
      </c>
      <c r="E1044">
        <v>2.5599999999999999E-5</v>
      </c>
    </row>
    <row r="1045" spans="1:5">
      <c r="A1045">
        <v>2016</v>
      </c>
      <c r="B1045" s="3" t="s">
        <v>664</v>
      </c>
      <c r="C1045" t="s">
        <v>609</v>
      </c>
      <c r="D1045" s="9">
        <v>16484556</v>
      </c>
      <c r="E1045">
        <v>1.62262E-2</v>
      </c>
    </row>
    <row r="1046" spans="1:5">
      <c r="A1046">
        <v>2016</v>
      </c>
      <c r="B1046" s="3" t="s">
        <v>665</v>
      </c>
      <c r="C1046" t="s">
        <v>610</v>
      </c>
      <c r="D1046" s="9">
        <v>6087848</v>
      </c>
      <c r="E1046">
        <v>5.9924000000000002E-3</v>
      </c>
    </row>
    <row r="1047" spans="1:5">
      <c r="A1047">
        <v>2016</v>
      </c>
      <c r="B1047" s="3" t="s">
        <v>666</v>
      </c>
      <c r="C1047" t="s">
        <v>611</v>
      </c>
      <c r="D1047" s="9">
        <v>7913690</v>
      </c>
      <c r="E1047">
        <v>7.7897000000000001E-3</v>
      </c>
    </row>
    <row r="1048" spans="1:5">
      <c r="A1048">
        <v>2016</v>
      </c>
      <c r="B1048" s="3" t="s">
        <v>667</v>
      </c>
      <c r="C1048" t="s">
        <v>612</v>
      </c>
      <c r="D1048" s="9">
        <v>731415</v>
      </c>
      <c r="E1048">
        <v>7.2000000000000005E-4</v>
      </c>
    </row>
    <row r="1049" spans="1:5">
      <c r="A1049">
        <v>2016</v>
      </c>
      <c r="B1049" s="3" t="s">
        <v>668</v>
      </c>
      <c r="C1049" t="s">
        <v>613</v>
      </c>
      <c r="D1049" s="9">
        <v>180773</v>
      </c>
      <c r="E1049">
        <v>1.7789999999999999E-4</v>
      </c>
    </row>
    <row r="1050" spans="1:5">
      <c r="A1050">
        <v>2016</v>
      </c>
      <c r="B1050" s="3" t="s">
        <v>669</v>
      </c>
      <c r="C1050" t="s">
        <v>614</v>
      </c>
      <c r="D1050" s="9">
        <v>65072</v>
      </c>
      <c r="E1050">
        <v>6.41E-5</v>
      </c>
    </row>
    <row r="1051" spans="1:5">
      <c r="A1051">
        <v>2016</v>
      </c>
      <c r="B1051" s="3" t="s">
        <v>670</v>
      </c>
      <c r="C1051" t="s">
        <v>615</v>
      </c>
      <c r="D1051" s="9">
        <v>668909</v>
      </c>
      <c r="E1051">
        <v>6.5839999999999996E-4</v>
      </c>
    </row>
    <row r="1052" spans="1:5">
      <c r="A1052">
        <v>2016</v>
      </c>
      <c r="B1052" s="3" t="s">
        <v>671</v>
      </c>
      <c r="C1052" t="s">
        <v>616</v>
      </c>
      <c r="D1052" s="9"/>
      <c r="E1052">
        <v>0</v>
      </c>
    </row>
    <row r="1053" spans="1:5">
      <c r="A1053">
        <v>2016</v>
      </c>
      <c r="B1053" s="3" t="s">
        <v>672</v>
      </c>
      <c r="C1053" t="s">
        <v>617</v>
      </c>
      <c r="D1053" s="9">
        <v>246837</v>
      </c>
      <c r="E1053">
        <v>2.43E-4</v>
      </c>
    </row>
    <row r="1054" spans="1:5">
      <c r="A1054">
        <v>2016</v>
      </c>
      <c r="B1054" s="3" t="s">
        <v>673</v>
      </c>
      <c r="C1054" t="s">
        <v>618</v>
      </c>
      <c r="D1054" s="9">
        <v>83483</v>
      </c>
      <c r="E1054">
        <v>8.2200000000000006E-5</v>
      </c>
    </row>
    <row r="1055" spans="1:5">
      <c r="A1055">
        <v>2016</v>
      </c>
      <c r="B1055" s="3" t="s">
        <v>674</v>
      </c>
      <c r="C1055" t="s">
        <v>619</v>
      </c>
      <c r="D1055" s="9">
        <v>42740</v>
      </c>
      <c r="E1055">
        <v>4.21E-5</v>
      </c>
    </row>
    <row r="1056" spans="1:5">
      <c r="A1056">
        <v>2016</v>
      </c>
      <c r="B1056" s="3" t="s">
        <v>675</v>
      </c>
      <c r="C1056" t="s">
        <v>620</v>
      </c>
      <c r="D1056" s="9">
        <v>561701</v>
      </c>
      <c r="E1056">
        <v>5.5290000000000005E-4</v>
      </c>
    </row>
    <row r="1057" spans="1:5">
      <c r="A1057">
        <v>2016</v>
      </c>
      <c r="B1057" s="3" t="s">
        <v>676</v>
      </c>
      <c r="C1057" t="s">
        <v>621</v>
      </c>
      <c r="D1057" s="9">
        <v>7237</v>
      </c>
      <c r="E1057">
        <v>7.0999999999999998E-6</v>
      </c>
    </row>
    <row r="1058" spans="1:5">
      <c r="A1058">
        <v>2016</v>
      </c>
      <c r="B1058" s="3" t="s">
        <v>677</v>
      </c>
      <c r="C1058" t="s">
        <v>622</v>
      </c>
      <c r="D1058" s="9">
        <v>5583</v>
      </c>
      <c r="E1058">
        <v>5.4999999999999999E-6</v>
      </c>
    </row>
    <row r="1059" spans="1:5">
      <c r="A1059">
        <v>2016</v>
      </c>
      <c r="B1059" s="3" t="s">
        <v>1463</v>
      </c>
      <c r="C1059" t="s">
        <v>1457</v>
      </c>
      <c r="D1059" s="9">
        <v>99287</v>
      </c>
      <c r="E1059">
        <v>9.7700000000000003E-5</v>
      </c>
    </row>
    <row r="1060" spans="1:5">
      <c r="A1060">
        <v>2016</v>
      </c>
      <c r="B1060" s="3" t="s">
        <v>678</v>
      </c>
      <c r="C1060" t="s">
        <v>1458</v>
      </c>
      <c r="D1060" s="9">
        <v>5860</v>
      </c>
      <c r="E1060">
        <v>5.8000000000000004E-6</v>
      </c>
    </row>
    <row r="1061" spans="1:5">
      <c r="A1061">
        <v>2016</v>
      </c>
      <c r="B1061" s="3" t="s">
        <v>679</v>
      </c>
      <c r="C1061" t="s">
        <v>1459</v>
      </c>
      <c r="D1061" s="9"/>
      <c r="E1061">
        <v>0</v>
      </c>
    </row>
    <row r="1062" spans="1:5">
      <c r="A1062">
        <v>2016</v>
      </c>
      <c r="B1062" s="3" t="s">
        <v>680</v>
      </c>
      <c r="C1062" t="s">
        <v>625</v>
      </c>
      <c r="D1062" s="9">
        <v>43527</v>
      </c>
      <c r="E1062">
        <v>4.2799999999999997E-5</v>
      </c>
    </row>
    <row r="1063" spans="1:5">
      <c r="A1063">
        <v>2016</v>
      </c>
      <c r="B1063" s="3" t="s">
        <v>681</v>
      </c>
      <c r="C1063" t="s">
        <v>626</v>
      </c>
      <c r="D1063" s="9">
        <v>223783</v>
      </c>
      <c r="E1063">
        <v>2.2029999999999999E-4</v>
      </c>
    </row>
    <row r="1064" spans="1:5">
      <c r="A1064">
        <v>2016</v>
      </c>
      <c r="B1064" s="3" t="s">
        <v>682</v>
      </c>
      <c r="C1064" t="s">
        <v>627</v>
      </c>
      <c r="D1064" s="9">
        <v>29020</v>
      </c>
      <c r="E1064">
        <v>2.8600000000000001E-5</v>
      </c>
    </row>
    <row r="1065" spans="1:5">
      <c r="A1065">
        <v>2016</v>
      </c>
      <c r="B1065" s="3" t="s">
        <v>683</v>
      </c>
      <c r="C1065" t="s">
        <v>628</v>
      </c>
      <c r="D1065" s="9">
        <v>173492</v>
      </c>
      <c r="E1065">
        <v>1.708E-4</v>
      </c>
    </row>
    <row r="1066" spans="1:5">
      <c r="A1066">
        <v>2016</v>
      </c>
      <c r="B1066" s="3" t="s">
        <v>1464</v>
      </c>
      <c r="C1066" t="s">
        <v>1460</v>
      </c>
      <c r="D1066" s="9">
        <v>324783</v>
      </c>
      <c r="E1066">
        <v>3.1970000000000002E-4</v>
      </c>
    </row>
    <row r="1067" spans="1:5">
      <c r="A1067">
        <v>2016</v>
      </c>
      <c r="B1067" s="3" t="s">
        <v>684</v>
      </c>
      <c r="C1067" t="s">
        <v>629</v>
      </c>
      <c r="D1067" s="9">
        <v>327528</v>
      </c>
      <c r="E1067">
        <v>3.2239999999999998E-4</v>
      </c>
    </row>
    <row r="1068" spans="1:5">
      <c r="A1068">
        <v>2016</v>
      </c>
      <c r="B1068" s="3" t="s">
        <v>685</v>
      </c>
      <c r="C1068" t="s">
        <v>1461</v>
      </c>
      <c r="D1068" s="9">
        <v>24739</v>
      </c>
      <c r="E1068">
        <v>2.44E-5</v>
      </c>
    </row>
    <row r="1069" spans="1:5">
      <c r="A1069">
        <v>2016</v>
      </c>
      <c r="B1069" s="3" t="s">
        <v>686</v>
      </c>
      <c r="C1069" t="s">
        <v>631</v>
      </c>
      <c r="D1069" s="9">
        <v>247973</v>
      </c>
      <c r="E1069">
        <v>2.441E-4</v>
      </c>
    </row>
    <row r="1070" spans="1:5">
      <c r="A1070">
        <v>2016</v>
      </c>
      <c r="B1070" s="3" t="s">
        <v>687</v>
      </c>
      <c r="C1070" t="s">
        <v>632</v>
      </c>
      <c r="D1070" s="9">
        <v>565232</v>
      </c>
      <c r="E1070">
        <v>5.5639999999999997E-4</v>
      </c>
    </row>
    <row r="1071" spans="1:5">
      <c r="A1071">
        <v>2016</v>
      </c>
      <c r="B1071" s="3" t="s">
        <v>688</v>
      </c>
      <c r="C1071" t="s">
        <v>633</v>
      </c>
      <c r="D1071" s="9">
        <v>13178</v>
      </c>
      <c r="E1071">
        <v>1.2999999999999999E-5</v>
      </c>
    </row>
    <row r="1072" spans="1:5">
      <c r="A1072">
        <v>2016</v>
      </c>
      <c r="B1072" s="3" t="s">
        <v>689</v>
      </c>
      <c r="C1072" t="s">
        <v>634</v>
      </c>
      <c r="D1072" s="9">
        <v>4223129</v>
      </c>
      <c r="E1072">
        <v>4.1568999999999998E-3</v>
      </c>
    </row>
    <row r="1073" spans="1:5">
      <c r="A1073">
        <v>2016</v>
      </c>
      <c r="B1073" s="3" t="s">
        <v>690</v>
      </c>
      <c r="C1073" t="s">
        <v>635</v>
      </c>
      <c r="D1073" s="9">
        <v>18078</v>
      </c>
      <c r="E1073">
        <v>1.7799999999999999E-5</v>
      </c>
    </row>
    <row r="1074" spans="1:5">
      <c r="A1074">
        <v>2016</v>
      </c>
      <c r="B1074" s="3" t="s">
        <v>691</v>
      </c>
      <c r="C1074" t="s">
        <v>636</v>
      </c>
      <c r="D1074" s="9">
        <v>1346749</v>
      </c>
      <c r="E1074">
        <v>1.3255999999999999E-3</v>
      </c>
    </row>
    <row r="1075" spans="1:5">
      <c r="A1075">
        <v>2016</v>
      </c>
      <c r="B1075" s="3" t="s">
        <v>692</v>
      </c>
      <c r="C1075" t="s">
        <v>637</v>
      </c>
      <c r="D1075" s="9">
        <v>238975</v>
      </c>
      <c r="E1075">
        <v>2.352E-4</v>
      </c>
    </row>
    <row r="1076" spans="1:5">
      <c r="A1076">
        <v>2016</v>
      </c>
      <c r="B1076" s="3" t="s">
        <v>693</v>
      </c>
      <c r="C1076" t="s">
        <v>638</v>
      </c>
      <c r="D1076" s="9">
        <v>64755</v>
      </c>
      <c r="E1076">
        <v>6.3700000000000003E-5</v>
      </c>
    </row>
    <row r="1077" spans="1:5">
      <c r="A1077">
        <v>2016</v>
      </c>
      <c r="B1077" s="3" t="s">
        <v>694</v>
      </c>
      <c r="C1077" t="s">
        <v>639</v>
      </c>
      <c r="D1077" s="9">
        <v>2417876</v>
      </c>
      <c r="E1077">
        <v>2.3800000000000002E-3</v>
      </c>
    </row>
    <row r="1078" spans="1:5">
      <c r="A1078">
        <v>2016</v>
      </c>
      <c r="B1078" s="3" t="s">
        <v>695</v>
      </c>
      <c r="C1078" t="s">
        <v>640</v>
      </c>
      <c r="D1078" s="9">
        <v>92956</v>
      </c>
      <c r="E1078">
        <v>9.1500000000000001E-5</v>
      </c>
    </row>
    <row r="1079" spans="1:5">
      <c r="A1079">
        <v>2016</v>
      </c>
      <c r="B1079" s="3" t="s">
        <v>696</v>
      </c>
      <c r="C1079" t="s">
        <v>641</v>
      </c>
      <c r="D1079" s="9">
        <v>22577</v>
      </c>
      <c r="E1079">
        <v>2.2200000000000001E-5</v>
      </c>
    </row>
    <row r="1080" spans="1:5">
      <c r="A1080">
        <v>2016</v>
      </c>
      <c r="B1080" s="3" t="s">
        <v>697</v>
      </c>
      <c r="C1080" t="s">
        <v>1462</v>
      </c>
      <c r="D1080" s="9">
        <v>141122</v>
      </c>
      <c r="E1080">
        <v>1.3889999999999999E-4</v>
      </c>
    </row>
    <row r="1081" spans="1:5">
      <c r="A1081">
        <v>2016</v>
      </c>
      <c r="B1081" s="3" t="s">
        <v>698</v>
      </c>
      <c r="C1081" t="s">
        <v>643</v>
      </c>
      <c r="D1081" s="9">
        <v>3789021</v>
      </c>
      <c r="E1081">
        <v>3.7296E-3</v>
      </c>
    </row>
    <row r="1082" spans="1:5">
      <c r="A1082">
        <v>2016</v>
      </c>
      <c r="B1082" s="3" t="s">
        <v>699</v>
      </c>
      <c r="C1082" t="s">
        <v>644</v>
      </c>
      <c r="D1082" s="9">
        <v>1867203</v>
      </c>
      <c r="E1082">
        <v>1.8379E-3</v>
      </c>
    </row>
    <row r="1083" spans="1:5">
      <c r="A1083">
        <v>2016</v>
      </c>
      <c r="B1083" s="3" t="s">
        <v>700</v>
      </c>
      <c r="C1083" t="s">
        <v>645</v>
      </c>
      <c r="D1083" s="9">
        <v>7359</v>
      </c>
      <c r="E1083">
        <v>7.1999999999999997E-6</v>
      </c>
    </row>
    <row r="1084" spans="1:5">
      <c r="A1084">
        <v>2016</v>
      </c>
      <c r="B1084" s="3" t="s">
        <v>701</v>
      </c>
      <c r="C1084" t="s">
        <v>646</v>
      </c>
      <c r="D1084" s="9">
        <v>268690</v>
      </c>
      <c r="E1084">
        <v>2.6449999999999998E-4</v>
      </c>
    </row>
    <row r="1085" spans="1:5">
      <c r="A1085">
        <v>2016</v>
      </c>
      <c r="B1085" s="3" t="s">
        <v>702</v>
      </c>
      <c r="C1085" t="s">
        <v>647</v>
      </c>
      <c r="D1085" s="9">
        <v>251269</v>
      </c>
      <c r="E1085">
        <v>2.4729999999999999E-4</v>
      </c>
    </row>
    <row r="1086" spans="1:5">
      <c r="A1086">
        <v>2016</v>
      </c>
      <c r="B1086" s="3" t="s">
        <v>703</v>
      </c>
      <c r="C1086" t="s">
        <v>648</v>
      </c>
      <c r="D1086" s="9">
        <v>1392441</v>
      </c>
      <c r="E1086">
        <v>1.3706E-3</v>
      </c>
    </row>
    <row r="1087" spans="1:5">
      <c r="A1087">
        <v>2016</v>
      </c>
      <c r="B1087" s="3" t="s">
        <v>704</v>
      </c>
      <c r="C1087" t="s">
        <v>649</v>
      </c>
      <c r="D1087" s="9">
        <v>95836</v>
      </c>
      <c r="E1087">
        <v>9.4300000000000002E-5</v>
      </c>
    </row>
    <row r="1088" spans="1:5">
      <c r="A1088">
        <v>2016</v>
      </c>
      <c r="B1088" s="3" t="s">
        <v>705</v>
      </c>
      <c r="C1088" t="s">
        <v>650</v>
      </c>
      <c r="D1088" s="9">
        <v>499760</v>
      </c>
      <c r="E1088">
        <v>4.9189999999999998E-4</v>
      </c>
    </row>
    <row r="1089" spans="1:5">
      <c r="A1089">
        <v>2016</v>
      </c>
      <c r="B1089" s="3" t="s">
        <v>706</v>
      </c>
      <c r="C1089" t="s">
        <v>651</v>
      </c>
      <c r="D1089" s="9">
        <v>2672975</v>
      </c>
      <c r="E1089">
        <v>2.6310999999999999E-3</v>
      </c>
    </row>
    <row r="1090" spans="1:5">
      <c r="A1090">
        <v>2016</v>
      </c>
      <c r="B1090" s="3" t="s">
        <v>707</v>
      </c>
      <c r="C1090" t="s">
        <v>652</v>
      </c>
      <c r="D1090" s="9">
        <v>57227</v>
      </c>
      <c r="E1090">
        <v>5.63E-5</v>
      </c>
    </row>
    <row r="1091" spans="1:5">
      <c r="A1091">
        <v>2016</v>
      </c>
      <c r="B1091" s="3" t="s">
        <v>708</v>
      </c>
      <c r="C1091" t="s">
        <v>653</v>
      </c>
      <c r="D1091" s="9">
        <v>8192217</v>
      </c>
      <c r="E1091">
        <v>8.0637999999999994E-3</v>
      </c>
    </row>
    <row r="1092" spans="1:5">
      <c r="A1092">
        <v>2016</v>
      </c>
      <c r="B1092" s="3" t="s">
        <v>709</v>
      </c>
      <c r="C1092" t="s">
        <v>654</v>
      </c>
      <c r="D1092" s="9">
        <v>975874</v>
      </c>
      <c r="E1092">
        <v>9.6060000000000004E-4</v>
      </c>
    </row>
    <row r="1093" spans="1:5">
      <c r="A1093">
        <v>2016</v>
      </c>
      <c r="B1093" s="3" t="s">
        <v>710</v>
      </c>
      <c r="C1093" t="s">
        <v>655</v>
      </c>
      <c r="D1093" s="9">
        <v>2095227</v>
      </c>
      <c r="E1093">
        <v>2.0623999999999998E-3</v>
      </c>
    </row>
    <row r="1094" spans="1:5">
      <c r="A1094">
        <v>2016</v>
      </c>
      <c r="B1094" s="3" t="s">
        <v>711</v>
      </c>
      <c r="C1094" t="s">
        <v>656</v>
      </c>
      <c r="D1094" s="9"/>
      <c r="E1094">
        <v>0</v>
      </c>
    </row>
    <row r="1095" spans="1:5">
      <c r="A1095">
        <v>2016</v>
      </c>
      <c r="B1095" s="3" t="s">
        <v>712</v>
      </c>
      <c r="C1095" t="s">
        <v>657</v>
      </c>
      <c r="D1095" s="9">
        <v>2833868</v>
      </c>
      <c r="E1095">
        <v>2.7894999999999999E-3</v>
      </c>
    </row>
    <row r="1096" spans="1:5">
      <c r="A1096">
        <v>2016</v>
      </c>
      <c r="B1096" s="3" t="s">
        <v>713</v>
      </c>
      <c r="C1096" t="s">
        <v>658</v>
      </c>
      <c r="D1096" s="9">
        <v>135805</v>
      </c>
      <c r="E1096">
        <v>1.337E-4</v>
      </c>
    </row>
    <row r="1097" spans="1:5">
      <c r="A1097">
        <v>2016</v>
      </c>
      <c r="B1097" s="3" t="s">
        <v>714</v>
      </c>
      <c r="C1097" t="s">
        <v>659</v>
      </c>
      <c r="D1097" s="9">
        <v>1370397</v>
      </c>
      <c r="E1097">
        <v>1.3489000000000001E-3</v>
      </c>
    </row>
    <row r="1098" spans="1:5">
      <c r="A1098">
        <v>2016</v>
      </c>
      <c r="B1098" s="3" t="s">
        <v>770</v>
      </c>
      <c r="C1098" t="s">
        <v>715</v>
      </c>
      <c r="D1098" s="9">
        <v>40401</v>
      </c>
      <c r="E1098">
        <v>3.9799999999999998E-5</v>
      </c>
    </row>
    <row r="1099" spans="1:5">
      <c r="A1099">
        <v>2016</v>
      </c>
      <c r="B1099" s="3" t="s">
        <v>771</v>
      </c>
      <c r="C1099" t="s">
        <v>716</v>
      </c>
      <c r="D1099" s="9">
        <v>58815</v>
      </c>
      <c r="E1099">
        <v>5.7899999999999998E-5</v>
      </c>
    </row>
    <row r="1100" spans="1:5">
      <c r="A1100">
        <v>2016</v>
      </c>
      <c r="B1100" s="3" t="s">
        <v>772</v>
      </c>
      <c r="C1100" t="s">
        <v>717</v>
      </c>
      <c r="D1100" s="9"/>
      <c r="E1100">
        <v>0</v>
      </c>
    </row>
    <row r="1101" spans="1:5">
      <c r="A1101">
        <v>2016</v>
      </c>
      <c r="B1101" s="3" t="s">
        <v>773</v>
      </c>
      <c r="C1101" t="s">
        <v>718</v>
      </c>
      <c r="D1101" s="9">
        <v>4799916</v>
      </c>
      <c r="E1101">
        <v>4.7247000000000001E-3</v>
      </c>
    </row>
    <row r="1102" spans="1:5">
      <c r="A1102">
        <v>2016</v>
      </c>
      <c r="B1102" s="3" t="s">
        <v>774</v>
      </c>
      <c r="C1102" t="s">
        <v>719</v>
      </c>
      <c r="D1102" s="9">
        <v>247231</v>
      </c>
      <c r="E1102">
        <v>2.4340000000000001E-4</v>
      </c>
    </row>
    <row r="1103" spans="1:5">
      <c r="A1103">
        <v>2016</v>
      </c>
      <c r="B1103" s="3" t="s">
        <v>775</v>
      </c>
      <c r="C1103" t="s">
        <v>720</v>
      </c>
      <c r="D1103" s="9">
        <v>2412163</v>
      </c>
      <c r="E1103">
        <v>2.3744E-3</v>
      </c>
    </row>
    <row r="1104" spans="1:5">
      <c r="A1104">
        <v>2016</v>
      </c>
      <c r="B1104" s="3" t="s">
        <v>776</v>
      </c>
      <c r="C1104" t="s">
        <v>721</v>
      </c>
      <c r="D1104" s="9">
        <v>32894</v>
      </c>
      <c r="E1104">
        <v>3.2400000000000001E-5</v>
      </c>
    </row>
    <row r="1105" spans="1:5">
      <c r="A1105">
        <v>2016</v>
      </c>
      <c r="B1105" s="3" t="s">
        <v>777</v>
      </c>
      <c r="C1105" t="s">
        <v>722</v>
      </c>
      <c r="D1105" s="9">
        <v>92039</v>
      </c>
      <c r="E1105">
        <v>9.0600000000000007E-5</v>
      </c>
    </row>
    <row r="1106" spans="1:5">
      <c r="A1106">
        <v>2016</v>
      </c>
      <c r="B1106" s="3" t="s">
        <v>778</v>
      </c>
      <c r="C1106" t="s">
        <v>723</v>
      </c>
      <c r="D1106" s="9">
        <v>2832402</v>
      </c>
      <c r="E1106">
        <v>2.7880000000000001E-3</v>
      </c>
    </row>
    <row r="1107" spans="1:5">
      <c r="A1107">
        <v>2016</v>
      </c>
      <c r="B1107" s="3" t="s">
        <v>779</v>
      </c>
      <c r="C1107" t="s">
        <v>724</v>
      </c>
      <c r="D1107" s="9">
        <v>123464</v>
      </c>
      <c r="E1107">
        <v>1.215E-4</v>
      </c>
    </row>
    <row r="1108" spans="1:5">
      <c r="A1108">
        <v>2016</v>
      </c>
      <c r="B1108" s="3" t="s">
        <v>780</v>
      </c>
      <c r="C1108" t="s">
        <v>725</v>
      </c>
      <c r="D1108" s="9">
        <v>464258</v>
      </c>
      <c r="E1108">
        <v>4.57E-4</v>
      </c>
    </row>
    <row r="1109" spans="1:5">
      <c r="A1109">
        <v>2016</v>
      </c>
      <c r="B1109" s="3" t="s">
        <v>781</v>
      </c>
      <c r="C1109" t="s">
        <v>726</v>
      </c>
      <c r="D1109" s="9">
        <v>13320</v>
      </c>
      <c r="E1109">
        <v>1.31E-5</v>
      </c>
    </row>
    <row r="1110" spans="1:5">
      <c r="A1110">
        <v>2016</v>
      </c>
      <c r="B1110" s="3" t="s">
        <v>782</v>
      </c>
      <c r="C1110" t="s">
        <v>727</v>
      </c>
      <c r="D1110" s="9">
        <v>6160363</v>
      </c>
      <c r="E1110">
        <v>6.0638000000000003E-3</v>
      </c>
    </row>
    <row r="1111" spans="1:5">
      <c r="A1111">
        <v>2016</v>
      </c>
      <c r="B1111" s="3" t="s">
        <v>783</v>
      </c>
      <c r="C1111" t="s">
        <v>728</v>
      </c>
      <c r="D1111" s="9">
        <v>941670</v>
      </c>
      <c r="E1111">
        <v>9.2690000000000003E-4</v>
      </c>
    </row>
    <row r="1112" spans="1:5">
      <c r="A1112">
        <v>2016</v>
      </c>
      <c r="B1112" s="3" t="s">
        <v>784</v>
      </c>
      <c r="C1112" t="s">
        <v>729</v>
      </c>
      <c r="D1112" s="9">
        <v>37204006</v>
      </c>
      <c r="E1112">
        <v>3.6621000000000001E-2</v>
      </c>
    </row>
    <row r="1113" spans="1:5">
      <c r="A1113">
        <v>2016</v>
      </c>
      <c r="B1113" s="3" t="s">
        <v>785</v>
      </c>
      <c r="C1113" t="s">
        <v>730</v>
      </c>
      <c r="D1113" s="9">
        <v>391168</v>
      </c>
      <c r="E1113">
        <v>3.8499999999999998E-4</v>
      </c>
    </row>
    <row r="1114" spans="1:5">
      <c r="A1114">
        <v>2016</v>
      </c>
      <c r="B1114" s="3" t="s">
        <v>786</v>
      </c>
      <c r="C1114" t="s">
        <v>731</v>
      </c>
      <c r="D1114" s="9">
        <v>21395807</v>
      </c>
      <c r="E1114">
        <v>2.1060499999999999E-2</v>
      </c>
    </row>
    <row r="1115" spans="1:5">
      <c r="A1115">
        <v>2016</v>
      </c>
      <c r="B1115" s="3" t="s">
        <v>787</v>
      </c>
      <c r="C1115" t="s">
        <v>732</v>
      </c>
      <c r="D1115" s="9">
        <v>51488515</v>
      </c>
      <c r="E1115">
        <v>5.0681799999999999E-2</v>
      </c>
    </row>
    <row r="1116" spans="1:5">
      <c r="A1116">
        <v>2016</v>
      </c>
      <c r="B1116" s="3" t="s">
        <v>788</v>
      </c>
      <c r="C1116" t="s">
        <v>733</v>
      </c>
      <c r="D1116" s="9">
        <v>239665</v>
      </c>
      <c r="E1116">
        <v>2.3589999999999999E-4</v>
      </c>
    </row>
    <row r="1117" spans="1:5">
      <c r="A1117">
        <v>2016</v>
      </c>
      <c r="B1117" s="3" t="s">
        <v>789</v>
      </c>
      <c r="C1117" t="s">
        <v>734</v>
      </c>
      <c r="D1117" s="9">
        <v>2626516</v>
      </c>
      <c r="E1117">
        <v>2.5853999999999999E-3</v>
      </c>
    </row>
    <row r="1118" spans="1:5">
      <c r="A1118">
        <v>2016</v>
      </c>
      <c r="B1118" s="3" t="s">
        <v>790</v>
      </c>
      <c r="C1118" t="s">
        <v>735</v>
      </c>
      <c r="D1118" s="9">
        <v>272585</v>
      </c>
      <c r="E1118">
        <v>2.6830000000000002E-4</v>
      </c>
    </row>
    <row r="1119" spans="1:5">
      <c r="A1119">
        <v>2016</v>
      </c>
      <c r="B1119" s="3" t="s">
        <v>791</v>
      </c>
      <c r="C1119" t="s">
        <v>736</v>
      </c>
      <c r="D1119" s="9">
        <v>222050</v>
      </c>
      <c r="E1119">
        <v>2.186E-4</v>
      </c>
    </row>
    <row r="1120" spans="1:5">
      <c r="A1120">
        <v>2016</v>
      </c>
      <c r="B1120" s="3" t="s">
        <v>792</v>
      </c>
      <c r="C1120" t="s">
        <v>737</v>
      </c>
      <c r="D1120" s="9">
        <v>323552</v>
      </c>
      <c r="E1120">
        <v>3.1849999999999999E-4</v>
      </c>
    </row>
    <row r="1121" spans="1:5">
      <c r="A1121">
        <v>2016</v>
      </c>
      <c r="B1121" s="3" t="s">
        <v>793</v>
      </c>
      <c r="C1121" t="s">
        <v>1465</v>
      </c>
      <c r="D1121" s="9">
        <v>114049</v>
      </c>
      <c r="E1121">
        <v>1.1230000000000001E-4</v>
      </c>
    </row>
    <row r="1122" spans="1:5">
      <c r="A1122">
        <v>2016</v>
      </c>
      <c r="B1122" s="3" t="s">
        <v>794</v>
      </c>
      <c r="C1122" t="s">
        <v>1466</v>
      </c>
      <c r="D1122" s="9">
        <v>37273</v>
      </c>
      <c r="E1122">
        <v>3.6699999999999998E-5</v>
      </c>
    </row>
    <row r="1123" spans="1:5">
      <c r="A1123">
        <v>2016</v>
      </c>
      <c r="B1123" s="3" t="s">
        <v>795</v>
      </c>
      <c r="C1123" t="s">
        <v>740</v>
      </c>
      <c r="D1123" s="9">
        <v>34511064</v>
      </c>
      <c r="E1123">
        <v>3.3970199999999999E-2</v>
      </c>
    </row>
    <row r="1124" spans="1:5">
      <c r="A1124">
        <v>2016</v>
      </c>
      <c r="B1124" s="3" t="s">
        <v>796</v>
      </c>
      <c r="C1124" t="s">
        <v>741</v>
      </c>
      <c r="D1124" s="9">
        <v>108400</v>
      </c>
      <c r="E1124">
        <v>1.0670000000000001E-4</v>
      </c>
    </row>
    <row r="1125" spans="1:5">
      <c r="A1125">
        <v>2016</v>
      </c>
      <c r="B1125" s="3" t="s">
        <v>797</v>
      </c>
      <c r="C1125" t="s">
        <v>742</v>
      </c>
      <c r="D1125" s="9">
        <v>339008</v>
      </c>
      <c r="E1125">
        <v>3.3369999999999998E-4</v>
      </c>
    </row>
    <row r="1126" spans="1:5">
      <c r="A1126">
        <v>2016</v>
      </c>
      <c r="B1126" s="3" t="s">
        <v>798</v>
      </c>
      <c r="C1126" t="s">
        <v>743</v>
      </c>
      <c r="D1126" s="9">
        <v>85759</v>
      </c>
      <c r="E1126">
        <v>8.4400000000000005E-5</v>
      </c>
    </row>
    <row r="1127" spans="1:5">
      <c r="A1127">
        <v>2016</v>
      </c>
      <c r="B1127" s="3" t="s">
        <v>799</v>
      </c>
      <c r="C1127" t="s">
        <v>744</v>
      </c>
      <c r="D1127" s="9">
        <v>483464</v>
      </c>
      <c r="E1127">
        <v>4.7590000000000002E-4</v>
      </c>
    </row>
    <row r="1128" spans="1:5">
      <c r="A1128">
        <v>2016</v>
      </c>
      <c r="B1128" s="3" t="s">
        <v>800</v>
      </c>
      <c r="C1128" t="s">
        <v>745</v>
      </c>
      <c r="D1128" s="9">
        <v>64222</v>
      </c>
      <c r="E1128">
        <v>6.3200000000000005E-5</v>
      </c>
    </row>
    <row r="1129" spans="1:5">
      <c r="A1129">
        <v>2016</v>
      </c>
      <c r="B1129" s="3" t="s">
        <v>801</v>
      </c>
      <c r="C1129" t="s">
        <v>746</v>
      </c>
      <c r="D1129" s="9">
        <v>528364</v>
      </c>
      <c r="E1129">
        <v>5.2010000000000001E-4</v>
      </c>
    </row>
    <row r="1130" spans="1:5">
      <c r="A1130">
        <v>2016</v>
      </c>
      <c r="B1130" s="3" t="s">
        <v>802</v>
      </c>
      <c r="C1130" t="s">
        <v>747</v>
      </c>
      <c r="D1130" s="9">
        <v>31366</v>
      </c>
      <c r="E1130">
        <v>3.0899999999999999E-5</v>
      </c>
    </row>
    <row r="1131" spans="1:5">
      <c r="A1131">
        <v>2016</v>
      </c>
      <c r="B1131" s="3" t="s">
        <v>803</v>
      </c>
      <c r="C1131" t="s">
        <v>748</v>
      </c>
      <c r="D1131" s="9">
        <v>160128</v>
      </c>
      <c r="E1131">
        <v>1.5760000000000001E-4</v>
      </c>
    </row>
    <row r="1132" spans="1:5">
      <c r="A1132">
        <v>2016</v>
      </c>
      <c r="B1132" s="3" t="s">
        <v>804</v>
      </c>
      <c r="C1132" t="s">
        <v>749</v>
      </c>
      <c r="D1132" s="9">
        <v>221906</v>
      </c>
      <c r="E1132">
        <v>2.184E-4</v>
      </c>
    </row>
    <row r="1133" spans="1:5">
      <c r="A1133">
        <v>2016</v>
      </c>
      <c r="B1133" s="3" t="s">
        <v>805</v>
      </c>
      <c r="C1133" t="s">
        <v>750</v>
      </c>
      <c r="D1133" s="9">
        <v>1406917</v>
      </c>
      <c r="E1133">
        <v>1.3849000000000001E-3</v>
      </c>
    </row>
    <row r="1134" spans="1:5">
      <c r="A1134">
        <v>2016</v>
      </c>
      <c r="B1134" s="3" t="s">
        <v>806</v>
      </c>
      <c r="C1134" t="s">
        <v>751</v>
      </c>
      <c r="D1134" s="9">
        <v>3743545</v>
      </c>
      <c r="E1134">
        <v>3.6849000000000001E-3</v>
      </c>
    </row>
    <row r="1135" spans="1:5">
      <c r="A1135">
        <v>2016</v>
      </c>
      <c r="B1135" s="3" t="s">
        <v>807</v>
      </c>
      <c r="C1135" t="s">
        <v>752</v>
      </c>
      <c r="D1135" s="9">
        <v>70728</v>
      </c>
      <c r="E1135">
        <v>6.9599999999999998E-5</v>
      </c>
    </row>
    <row r="1136" spans="1:5">
      <c r="A1136">
        <v>2016</v>
      </c>
      <c r="B1136" s="3" t="s">
        <v>808</v>
      </c>
      <c r="C1136" t="s">
        <v>1467</v>
      </c>
      <c r="D1136" s="9">
        <v>158949</v>
      </c>
      <c r="E1136">
        <v>1.5650000000000001E-4</v>
      </c>
    </row>
    <row r="1137" spans="1:5">
      <c r="A1137">
        <v>2016</v>
      </c>
      <c r="B1137" s="3" t="s">
        <v>809</v>
      </c>
      <c r="C1137" t="s">
        <v>754</v>
      </c>
      <c r="D1137" s="9">
        <v>608002</v>
      </c>
      <c r="E1137">
        <v>5.9849999999999997E-4</v>
      </c>
    </row>
    <row r="1138" spans="1:5">
      <c r="A1138">
        <v>2016</v>
      </c>
      <c r="B1138" s="3" t="s">
        <v>1470</v>
      </c>
      <c r="C1138" t="s">
        <v>1468</v>
      </c>
      <c r="D1138" s="9">
        <v>11628</v>
      </c>
      <c r="E1138" s="4">
        <v>1.14E-3</v>
      </c>
    </row>
    <row r="1139" spans="1:5">
      <c r="A1139">
        <v>2016</v>
      </c>
      <c r="B1139" s="3" t="s">
        <v>810</v>
      </c>
      <c r="C1139" t="s">
        <v>755</v>
      </c>
      <c r="D1139" s="9">
        <v>88746</v>
      </c>
      <c r="E1139">
        <v>8.7399999999999997E-5</v>
      </c>
    </row>
    <row r="1140" spans="1:5">
      <c r="A1140">
        <v>2016</v>
      </c>
      <c r="B1140" s="3" t="s">
        <v>811</v>
      </c>
      <c r="C1140" t="s">
        <v>1469</v>
      </c>
      <c r="D1140" s="9">
        <v>19121</v>
      </c>
      <c r="E1140">
        <v>1.88E-5</v>
      </c>
    </row>
    <row r="1141" spans="1:5">
      <c r="A1141">
        <v>2016</v>
      </c>
      <c r="B1141" s="3" t="s">
        <v>812</v>
      </c>
      <c r="C1141" t="s">
        <v>757</v>
      </c>
      <c r="D1141" s="9">
        <v>753418</v>
      </c>
      <c r="E1141">
        <v>7.4160000000000003E-4</v>
      </c>
    </row>
    <row r="1142" spans="1:5">
      <c r="A1142">
        <v>2016</v>
      </c>
      <c r="B1142" s="3" t="s">
        <v>813</v>
      </c>
      <c r="C1142" t="s">
        <v>758</v>
      </c>
      <c r="D1142" s="9">
        <v>82961</v>
      </c>
      <c r="E1142">
        <v>8.1699999999999994E-5</v>
      </c>
    </row>
    <row r="1143" spans="1:5">
      <c r="A1143">
        <v>2016</v>
      </c>
      <c r="B1143" s="3" t="s">
        <v>814</v>
      </c>
      <c r="C1143" t="s">
        <v>759</v>
      </c>
      <c r="D1143" s="9">
        <v>61381</v>
      </c>
      <c r="E1143">
        <v>6.0399999999999998E-5</v>
      </c>
    </row>
    <row r="1144" spans="1:5">
      <c r="A1144">
        <v>2016</v>
      </c>
      <c r="B1144" s="3" t="s">
        <v>815</v>
      </c>
      <c r="C1144" t="s">
        <v>760</v>
      </c>
      <c r="D1144" s="9">
        <v>20269</v>
      </c>
      <c r="E1144">
        <v>2.0000000000000002E-5</v>
      </c>
    </row>
    <row r="1145" spans="1:5">
      <c r="A1145">
        <v>2016</v>
      </c>
      <c r="B1145" s="3" t="s">
        <v>816</v>
      </c>
      <c r="C1145" t="s">
        <v>761</v>
      </c>
      <c r="D1145" s="9">
        <v>48930</v>
      </c>
      <c r="E1145">
        <v>4.8199999999999999E-5</v>
      </c>
    </row>
    <row r="1146" spans="1:5">
      <c r="A1146">
        <v>2016</v>
      </c>
      <c r="B1146" s="3" t="s">
        <v>817</v>
      </c>
      <c r="C1146" t="s">
        <v>762</v>
      </c>
      <c r="D1146" s="9">
        <v>73756</v>
      </c>
      <c r="E1146">
        <v>7.2600000000000003E-5</v>
      </c>
    </row>
    <row r="1147" spans="1:5">
      <c r="A1147">
        <v>2016</v>
      </c>
      <c r="B1147" s="3" t="s">
        <v>818</v>
      </c>
      <c r="C1147" t="s">
        <v>763</v>
      </c>
      <c r="D1147" s="9">
        <v>23207</v>
      </c>
      <c r="E1147">
        <v>2.2799999999999999E-5</v>
      </c>
    </row>
    <row r="1148" spans="1:5">
      <c r="A1148">
        <v>2016</v>
      </c>
      <c r="B1148" s="3" t="s">
        <v>819</v>
      </c>
      <c r="C1148" t="s">
        <v>764</v>
      </c>
      <c r="D1148" s="9"/>
      <c r="E1148">
        <v>0</v>
      </c>
    </row>
    <row r="1149" spans="1:5">
      <c r="A1149">
        <v>2016</v>
      </c>
      <c r="B1149" s="3" t="s">
        <v>820</v>
      </c>
      <c r="C1149" t="s">
        <v>765</v>
      </c>
      <c r="D1149" s="9">
        <v>1021264</v>
      </c>
      <c r="E1149">
        <v>1.0053E-3</v>
      </c>
    </row>
    <row r="1150" spans="1:5">
      <c r="A1150">
        <v>2016</v>
      </c>
      <c r="B1150" s="3" t="s">
        <v>821</v>
      </c>
      <c r="C1150" t="s">
        <v>766</v>
      </c>
      <c r="D1150" s="9">
        <v>51796</v>
      </c>
      <c r="E1150">
        <v>5.1E-5</v>
      </c>
    </row>
    <row r="1151" spans="1:5">
      <c r="A1151">
        <v>2016</v>
      </c>
      <c r="B1151" s="3" t="s">
        <v>822</v>
      </c>
      <c r="C1151" t="s">
        <v>767</v>
      </c>
      <c r="D1151" s="9">
        <v>134054</v>
      </c>
      <c r="E1151">
        <v>1.3200000000000001E-4</v>
      </c>
    </row>
    <row r="1152" spans="1:5">
      <c r="A1152">
        <v>2016</v>
      </c>
      <c r="B1152" s="3" t="s">
        <v>823</v>
      </c>
      <c r="C1152" t="s">
        <v>768</v>
      </c>
      <c r="D1152" s="9">
        <v>790527</v>
      </c>
      <c r="E1152">
        <v>7.7809999999999999E-4</v>
      </c>
    </row>
    <row r="1153" spans="1:5">
      <c r="A1153">
        <v>2016</v>
      </c>
      <c r="B1153" s="3" t="s">
        <v>824</v>
      </c>
      <c r="C1153" t="s">
        <v>769</v>
      </c>
      <c r="D1153" s="9">
        <v>339795</v>
      </c>
      <c r="E1153">
        <v>3.345E-4</v>
      </c>
    </row>
    <row r="1154" spans="1:5">
      <c r="A1154">
        <v>2016</v>
      </c>
      <c r="B1154" s="3" t="s">
        <v>880</v>
      </c>
      <c r="C1154" t="s">
        <v>825</v>
      </c>
      <c r="D1154" s="9">
        <v>487542</v>
      </c>
      <c r="E1154">
        <v>4.7990000000000001E-4</v>
      </c>
    </row>
    <row r="1155" spans="1:5">
      <c r="A1155">
        <v>2016</v>
      </c>
      <c r="B1155" s="3" t="s">
        <v>881</v>
      </c>
      <c r="C1155" t="s">
        <v>826</v>
      </c>
      <c r="D1155" s="9">
        <v>33238</v>
      </c>
      <c r="E1155">
        <v>3.2700000000000002E-5</v>
      </c>
    </row>
    <row r="1156" spans="1:5">
      <c r="A1156">
        <v>2016</v>
      </c>
      <c r="B1156" s="3" t="s">
        <v>882</v>
      </c>
      <c r="C1156" t="s">
        <v>827</v>
      </c>
      <c r="D1156" s="9">
        <v>19</v>
      </c>
      <c r="E1156">
        <v>0</v>
      </c>
    </row>
    <row r="1157" spans="1:5">
      <c r="A1157">
        <v>2016</v>
      </c>
      <c r="B1157" s="3" t="s">
        <v>883</v>
      </c>
      <c r="C1157" t="s">
        <v>828</v>
      </c>
      <c r="D1157" s="9">
        <v>152203</v>
      </c>
      <c r="E1157">
        <v>1.4980000000000001E-4</v>
      </c>
    </row>
    <row r="1158" spans="1:5">
      <c r="A1158">
        <v>2016</v>
      </c>
      <c r="B1158" s="3" t="s">
        <v>884</v>
      </c>
      <c r="C1158" t="s">
        <v>829</v>
      </c>
      <c r="D1158" s="9">
        <v>1936144</v>
      </c>
      <c r="E1158">
        <v>1.9058E-3</v>
      </c>
    </row>
    <row r="1159" spans="1:5">
      <c r="A1159">
        <v>2016</v>
      </c>
      <c r="B1159" s="3" t="s">
        <v>885</v>
      </c>
      <c r="C1159" t="s">
        <v>830</v>
      </c>
      <c r="D1159" s="9"/>
      <c r="E1159">
        <v>0</v>
      </c>
    </row>
    <row r="1160" spans="1:5">
      <c r="A1160">
        <v>2016</v>
      </c>
      <c r="B1160" s="3" t="s">
        <v>886</v>
      </c>
      <c r="C1160" t="s">
        <v>831</v>
      </c>
      <c r="D1160" s="9">
        <v>43382</v>
      </c>
      <c r="E1160">
        <v>4.2700000000000001E-5</v>
      </c>
    </row>
    <row r="1161" spans="1:5">
      <c r="A1161">
        <v>2016</v>
      </c>
      <c r="B1161" s="3" t="s">
        <v>887</v>
      </c>
      <c r="C1161" t="s">
        <v>1471</v>
      </c>
      <c r="D1161" s="9">
        <v>56479</v>
      </c>
      <c r="E1161">
        <v>5.5600000000000003E-5</v>
      </c>
    </row>
    <row r="1162" spans="1:5">
      <c r="A1162">
        <v>2016</v>
      </c>
      <c r="B1162" s="3" t="s">
        <v>888</v>
      </c>
      <c r="C1162" t="s">
        <v>1472</v>
      </c>
      <c r="D1162" s="9">
        <v>14795</v>
      </c>
      <c r="E1162">
        <v>1.4600000000000001E-5</v>
      </c>
    </row>
    <row r="1163" spans="1:5">
      <c r="A1163">
        <v>2016</v>
      </c>
      <c r="B1163" s="3" t="s">
        <v>889</v>
      </c>
      <c r="C1163" t="s">
        <v>834</v>
      </c>
      <c r="D1163" s="9"/>
      <c r="E1163">
        <v>0</v>
      </c>
    </row>
    <row r="1164" spans="1:5">
      <c r="A1164">
        <v>2016</v>
      </c>
      <c r="B1164" s="3" t="s">
        <v>890</v>
      </c>
      <c r="C1164" t="s">
        <v>835</v>
      </c>
      <c r="D1164" s="9">
        <v>2398712</v>
      </c>
      <c r="E1164">
        <v>2.3611000000000001E-3</v>
      </c>
    </row>
    <row r="1165" spans="1:5">
      <c r="A1165">
        <v>2016</v>
      </c>
      <c r="B1165" s="3" t="s">
        <v>891</v>
      </c>
      <c r="C1165" t="s">
        <v>836</v>
      </c>
      <c r="D1165" s="9">
        <v>36544</v>
      </c>
      <c r="E1165">
        <v>3.6000000000000001E-5</v>
      </c>
    </row>
    <row r="1166" spans="1:5">
      <c r="A1166">
        <v>2016</v>
      </c>
      <c r="B1166" s="3" t="s">
        <v>892</v>
      </c>
      <c r="C1166" t="s">
        <v>837</v>
      </c>
      <c r="D1166" s="9">
        <v>91583</v>
      </c>
      <c r="E1166">
        <v>9.0099999999999995E-5</v>
      </c>
    </row>
    <row r="1167" spans="1:5">
      <c r="A1167">
        <v>2016</v>
      </c>
      <c r="B1167" s="3" t="s">
        <v>893</v>
      </c>
      <c r="C1167" t="s">
        <v>838</v>
      </c>
      <c r="D1167" s="9">
        <v>3541</v>
      </c>
      <c r="E1167">
        <v>3.4999999999999999E-6</v>
      </c>
    </row>
    <row r="1168" spans="1:5">
      <c r="A1168">
        <v>2016</v>
      </c>
      <c r="B1168" s="3" t="s">
        <v>894</v>
      </c>
      <c r="C1168" t="s">
        <v>839</v>
      </c>
      <c r="D1168" s="9">
        <v>11569921</v>
      </c>
      <c r="E1168">
        <v>1.13886E-2</v>
      </c>
    </row>
    <row r="1169" spans="1:5">
      <c r="A1169">
        <v>2016</v>
      </c>
      <c r="B1169" s="3" t="s">
        <v>895</v>
      </c>
      <c r="C1169" t="s">
        <v>840</v>
      </c>
      <c r="D1169" s="9">
        <v>33920</v>
      </c>
      <c r="E1169">
        <v>3.3399999999999999E-5</v>
      </c>
    </row>
    <row r="1170" spans="1:5">
      <c r="A1170">
        <v>2016</v>
      </c>
      <c r="B1170" s="3" t="s">
        <v>896</v>
      </c>
      <c r="C1170" t="s">
        <v>841</v>
      </c>
      <c r="D1170" s="9">
        <v>73277</v>
      </c>
      <c r="E1170">
        <v>7.2100000000000004E-5</v>
      </c>
    </row>
    <row r="1171" spans="1:5">
      <c r="A1171">
        <v>2016</v>
      </c>
      <c r="B1171" s="3" t="s">
        <v>897</v>
      </c>
      <c r="C1171" t="s">
        <v>842</v>
      </c>
      <c r="D1171" s="9">
        <v>392494</v>
      </c>
      <c r="E1171">
        <v>3.8630000000000001E-4</v>
      </c>
    </row>
    <row r="1172" spans="1:5">
      <c r="A1172">
        <v>2016</v>
      </c>
      <c r="B1172" s="3" t="s">
        <v>898</v>
      </c>
      <c r="C1172" t="s">
        <v>843</v>
      </c>
      <c r="D1172" s="9">
        <v>1317608</v>
      </c>
      <c r="E1172">
        <v>1.297E-3</v>
      </c>
    </row>
    <row r="1173" spans="1:5">
      <c r="A1173">
        <v>2016</v>
      </c>
      <c r="B1173" s="3" t="s">
        <v>899</v>
      </c>
      <c r="C1173" t="s">
        <v>844</v>
      </c>
      <c r="D1173" s="9">
        <v>311099</v>
      </c>
      <c r="E1173">
        <v>3.0620000000000002E-4</v>
      </c>
    </row>
    <row r="1174" spans="1:5">
      <c r="A1174">
        <v>2016</v>
      </c>
      <c r="B1174" s="3" t="s">
        <v>900</v>
      </c>
      <c r="C1174" t="s">
        <v>845</v>
      </c>
      <c r="D1174" s="9">
        <v>241584</v>
      </c>
      <c r="E1174">
        <v>2.3780000000000001E-4</v>
      </c>
    </row>
    <row r="1175" spans="1:5">
      <c r="A1175">
        <v>2016</v>
      </c>
      <c r="B1175" s="3" t="s">
        <v>901</v>
      </c>
      <c r="C1175" t="s">
        <v>846</v>
      </c>
      <c r="D1175" s="9">
        <v>68251</v>
      </c>
      <c r="E1175">
        <v>6.7199999999999994E-5</v>
      </c>
    </row>
    <row r="1176" spans="1:5">
      <c r="A1176">
        <v>2016</v>
      </c>
      <c r="B1176" s="3" t="s">
        <v>902</v>
      </c>
      <c r="C1176" t="s">
        <v>847</v>
      </c>
      <c r="D1176" s="9">
        <v>266786</v>
      </c>
      <c r="E1176">
        <v>2.6259999999999999E-4</v>
      </c>
    </row>
    <row r="1177" spans="1:5">
      <c r="A1177">
        <v>2016</v>
      </c>
      <c r="B1177" s="3" t="s">
        <v>903</v>
      </c>
      <c r="C1177" t="s">
        <v>848</v>
      </c>
      <c r="D1177" s="9">
        <v>1514241</v>
      </c>
      <c r="E1177">
        <v>1.4905000000000001E-3</v>
      </c>
    </row>
    <row r="1178" spans="1:5">
      <c r="A1178">
        <v>2016</v>
      </c>
      <c r="B1178" s="3" t="s">
        <v>904</v>
      </c>
      <c r="C1178" t="s">
        <v>849</v>
      </c>
      <c r="D1178" s="9">
        <v>16104</v>
      </c>
      <c r="E1178">
        <v>1.59E-5</v>
      </c>
    </row>
    <row r="1179" spans="1:5">
      <c r="A1179">
        <v>2016</v>
      </c>
      <c r="B1179" s="3" t="s">
        <v>905</v>
      </c>
      <c r="C1179" t="s">
        <v>850</v>
      </c>
      <c r="D1179" s="9">
        <v>29980</v>
      </c>
      <c r="E1179">
        <v>2.9499999999999999E-5</v>
      </c>
    </row>
    <row r="1180" spans="1:5">
      <c r="A1180">
        <v>2016</v>
      </c>
      <c r="B1180" s="3" t="s">
        <v>906</v>
      </c>
      <c r="C1180" t="s">
        <v>851</v>
      </c>
      <c r="D1180" s="9">
        <v>1564840</v>
      </c>
      <c r="E1180">
        <v>1.5403000000000001E-3</v>
      </c>
    </row>
    <row r="1181" spans="1:5">
      <c r="A1181">
        <v>2016</v>
      </c>
      <c r="B1181" s="3" t="s">
        <v>907</v>
      </c>
      <c r="C1181" t="s">
        <v>852</v>
      </c>
      <c r="D1181" s="9">
        <v>43168</v>
      </c>
      <c r="E1181">
        <v>4.2500000000000003E-5</v>
      </c>
    </row>
    <row r="1182" spans="1:5">
      <c r="A1182">
        <v>2016</v>
      </c>
      <c r="B1182" s="3" t="s">
        <v>908</v>
      </c>
      <c r="C1182" t="s">
        <v>853</v>
      </c>
      <c r="D1182" s="9">
        <v>233704</v>
      </c>
      <c r="E1182">
        <v>2.3000000000000001E-4</v>
      </c>
    </row>
    <row r="1183" spans="1:5">
      <c r="A1183">
        <v>2016</v>
      </c>
      <c r="B1183" s="3" t="s">
        <v>909</v>
      </c>
      <c r="C1183" t="s">
        <v>854</v>
      </c>
      <c r="D1183" s="9">
        <v>77438</v>
      </c>
      <c r="E1183">
        <v>7.6199999999999995E-5</v>
      </c>
    </row>
    <row r="1184" spans="1:5">
      <c r="A1184">
        <v>2016</v>
      </c>
      <c r="B1184" s="3" t="s">
        <v>910</v>
      </c>
      <c r="C1184" t="s">
        <v>855</v>
      </c>
      <c r="D1184" s="9">
        <v>522823</v>
      </c>
      <c r="E1184">
        <v>5.1460000000000004E-4</v>
      </c>
    </row>
    <row r="1185" spans="1:5">
      <c r="A1185">
        <v>2016</v>
      </c>
      <c r="B1185" s="3" t="s">
        <v>911</v>
      </c>
      <c r="C1185" t="s">
        <v>856</v>
      </c>
      <c r="D1185" s="9">
        <v>15272294</v>
      </c>
      <c r="E1185">
        <v>1.5032999999999999E-2</v>
      </c>
    </row>
    <row r="1186" spans="1:5">
      <c r="A1186">
        <v>2016</v>
      </c>
      <c r="B1186" s="3" t="s">
        <v>912</v>
      </c>
      <c r="C1186" t="s">
        <v>857</v>
      </c>
      <c r="D1186" s="9">
        <v>733297</v>
      </c>
      <c r="E1186">
        <v>7.2179999999999998E-4</v>
      </c>
    </row>
    <row r="1187" spans="1:5">
      <c r="A1187">
        <v>2016</v>
      </c>
      <c r="B1187" s="3" t="s">
        <v>1474</v>
      </c>
      <c r="C1187" t="s">
        <v>1473</v>
      </c>
      <c r="D1187" s="9">
        <v>6510</v>
      </c>
      <c r="E1187" s="4">
        <v>6.4000000000000005E-4</v>
      </c>
    </row>
    <row r="1188" spans="1:5">
      <c r="A1188">
        <v>2016</v>
      </c>
      <c r="B1188" s="3" t="s">
        <v>913</v>
      </c>
      <c r="C1188" t="s">
        <v>858</v>
      </c>
      <c r="D1188" s="9">
        <v>94175</v>
      </c>
      <c r="E1188">
        <v>9.2700000000000004E-5</v>
      </c>
    </row>
    <row r="1189" spans="1:5">
      <c r="A1189">
        <v>2016</v>
      </c>
      <c r="B1189" s="3" t="s">
        <v>914</v>
      </c>
      <c r="C1189" t="s">
        <v>859</v>
      </c>
      <c r="D1189" s="9">
        <v>31542</v>
      </c>
      <c r="E1189">
        <v>3.1000000000000001E-5</v>
      </c>
    </row>
    <row r="1190" spans="1:5">
      <c r="A1190">
        <v>2016</v>
      </c>
      <c r="B1190" s="3" t="s">
        <v>915</v>
      </c>
      <c r="C1190" t="s">
        <v>860</v>
      </c>
      <c r="D1190" s="9">
        <v>1008552</v>
      </c>
      <c r="E1190">
        <v>9.9270000000000001E-4</v>
      </c>
    </row>
    <row r="1191" spans="1:5">
      <c r="A1191">
        <v>2016</v>
      </c>
      <c r="B1191" s="3" t="s">
        <v>916</v>
      </c>
      <c r="C1191" t="s">
        <v>861</v>
      </c>
      <c r="D1191" s="9">
        <v>46962</v>
      </c>
      <c r="E1191">
        <v>4.6199999999999998E-5</v>
      </c>
    </row>
    <row r="1192" spans="1:5">
      <c r="A1192">
        <v>2016</v>
      </c>
      <c r="B1192" s="3" t="s">
        <v>917</v>
      </c>
      <c r="C1192" t="s">
        <v>862</v>
      </c>
      <c r="D1192" s="9">
        <v>66180</v>
      </c>
      <c r="E1192">
        <v>6.5099999999999997E-5</v>
      </c>
    </row>
    <row r="1193" spans="1:5">
      <c r="A1193">
        <v>2016</v>
      </c>
      <c r="B1193" s="3" t="s">
        <v>918</v>
      </c>
      <c r="C1193" t="s">
        <v>863</v>
      </c>
      <c r="D1193" s="9">
        <v>13726</v>
      </c>
      <c r="E1193">
        <v>1.3499999999999999E-5</v>
      </c>
    </row>
    <row r="1194" spans="1:5">
      <c r="A1194">
        <v>2016</v>
      </c>
      <c r="B1194" s="3" t="s">
        <v>919</v>
      </c>
      <c r="C1194" t="s">
        <v>864</v>
      </c>
      <c r="D1194" s="9">
        <v>119487</v>
      </c>
      <c r="E1194">
        <v>1.176E-4</v>
      </c>
    </row>
    <row r="1195" spans="1:5">
      <c r="A1195">
        <v>2016</v>
      </c>
      <c r="B1195" s="3" t="s">
        <v>920</v>
      </c>
      <c r="C1195" t="s">
        <v>1475</v>
      </c>
      <c r="D1195" s="9">
        <v>7575</v>
      </c>
      <c r="E1195">
        <v>7.5000000000000002E-6</v>
      </c>
    </row>
    <row r="1196" spans="1:5">
      <c r="A1196">
        <v>2016</v>
      </c>
      <c r="B1196" s="3" t="s">
        <v>921</v>
      </c>
      <c r="C1196" t="s">
        <v>866</v>
      </c>
      <c r="D1196" s="9">
        <v>1041424</v>
      </c>
      <c r="E1196">
        <v>1.0250999999999999E-3</v>
      </c>
    </row>
    <row r="1197" spans="1:5">
      <c r="A1197">
        <v>2016</v>
      </c>
      <c r="B1197" s="3" t="s">
        <v>922</v>
      </c>
      <c r="C1197" t="s">
        <v>867</v>
      </c>
      <c r="D1197" s="9">
        <v>108919</v>
      </c>
      <c r="E1197">
        <v>1.072E-4</v>
      </c>
    </row>
    <row r="1198" spans="1:5">
      <c r="A1198">
        <v>2016</v>
      </c>
      <c r="B1198" s="3" t="s">
        <v>923</v>
      </c>
      <c r="C1198" t="s">
        <v>868</v>
      </c>
      <c r="D1198" s="9">
        <v>67401</v>
      </c>
      <c r="E1198">
        <v>6.6299999999999999E-5</v>
      </c>
    </row>
    <row r="1199" spans="1:5">
      <c r="A1199">
        <v>2016</v>
      </c>
      <c r="B1199" s="3" t="s">
        <v>924</v>
      </c>
      <c r="C1199" t="s">
        <v>869</v>
      </c>
      <c r="D1199" s="9">
        <v>85062</v>
      </c>
      <c r="E1199">
        <v>8.3700000000000002E-5</v>
      </c>
    </row>
    <row r="1200" spans="1:5">
      <c r="A1200">
        <v>2016</v>
      </c>
      <c r="B1200" s="3" t="s">
        <v>925</v>
      </c>
      <c r="C1200" t="s">
        <v>870</v>
      </c>
      <c r="D1200" s="9">
        <v>4011511</v>
      </c>
      <c r="E1200">
        <v>3.9486E-3</v>
      </c>
    </row>
    <row r="1201" spans="1:5">
      <c r="A1201">
        <v>2016</v>
      </c>
      <c r="B1201" s="3" t="s">
        <v>926</v>
      </c>
      <c r="C1201" t="s">
        <v>871</v>
      </c>
      <c r="D1201" s="9">
        <v>15705723</v>
      </c>
      <c r="E1201">
        <v>1.54596E-2</v>
      </c>
    </row>
    <row r="1202" spans="1:5">
      <c r="A1202">
        <v>2016</v>
      </c>
      <c r="B1202" s="3" t="s">
        <v>927</v>
      </c>
      <c r="C1202" t="s">
        <v>872</v>
      </c>
      <c r="D1202" s="9">
        <v>4432682</v>
      </c>
      <c r="E1202">
        <v>4.3632000000000002E-3</v>
      </c>
    </row>
    <row r="1203" spans="1:5">
      <c r="A1203">
        <v>2016</v>
      </c>
      <c r="B1203" s="3" t="s">
        <v>928</v>
      </c>
      <c r="C1203" t="s">
        <v>873</v>
      </c>
      <c r="D1203" s="9">
        <v>561168</v>
      </c>
      <c r="E1203">
        <v>5.5239999999999998E-4</v>
      </c>
    </row>
    <row r="1204" spans="1:5">
      <c r="A1204">
        <v>2016</v>
      </c>
      <c r="B1204" s="3" t="s">
        <v>929</v>
      </c>
      <c r="C1204" t="s">
        <v>874</v>
      </c>
      <c r="D1204" s="9">
        <v>17378537</v>
      </c>
      <c r="E1204">
        <v>1.7106199999999998E-2</v>
      </c>
    </row>
    <row r="1205" spans="1:5">
      <c r="A1205">
        <v>2016</v>
      </c>
      <c r="B1205" s="3" t="s">
        <v>930</v>
      </c>
      <c r="C1205" t="s">
        <v>1476</v>
      </c>
      <c r="D1205" s="9">
        <v>48618</v>
      </c>
      <c r="E1205">
        <v>4.7899999999999999E-5</v>
      </c>
    </row>
    <row r="1206" spans="1:5">
      <c r="A1206">
        <v>2016</v>
      </c>
      <c r="B1206" s="3" t="s">
        <v>931</v>
      </c>
      <c r="C1206" t="s">
        <v>876</v>
      </c>
      <c r="D1206" s="9">
        <v>100840</v>
      </c>
      <c r="E1206">
        <v>9.9300000000000001E-5</v>
      </c>
    </row>
    <row r="1207" spans="1:5">
      <c r="A1207">
        <v>2016</v>
      </c>
      <c r="B1207" s="3" t="s">
        <v>932</v>
      </c>
      <c r="C1207" t="s">
        <v>877</v>
      </c>
      <c r="D1207" s="9">
        <v>4263</v>
      </c>
      <c r="E1207">
        <v>4.1999999999999996E-6</v>
      </c>
    </row>
    <row r="1208" spans="1:5">
      <c r="A1208">
        <v>2016</v>
      </c>
      <c r="B1208" s="3" t="s">
        <v>933</v>
      </c>
      <c r="C1208" t="s">
        <v>878</v>
      </c>
      <c r="D1208" s="9">
        <v>28330</v>
      </c>
      <c r="E1208">
        <v>2.7900000000000001E-5</v>
      </c>
    </row>
    <row r="1209" spans="1:5">
      <c r="A1209">
        <v>2016</v>
      </c>
      <c r="B1209" s="3" t="s">
        <v>934</v>
      </c>
      <c r="C1209" t="s">
        <v>879</v>
      </c>
      <c r="D1209" s="9">
        <v>403276</v>
      </c>
      <c r="E1209">
        <v>3.97E-4</v>
      </c>
    </row>
    <row r="1210" spans="1:5">
      <c r="A1210">
        <v>2016</v>
      </c>
      <c r="B1210" s="3" t="s">
        <v>990</v>
      </c>
      <c r="C1210" t="s">
        <v>935</v>
      </c>
      <c r="D1210" s="9">
        <v>8281527</v>
      </c>
      <c r="E1210">
        <v>8.1516999999999996E-3</v>
      </c>
    </row>
    <row r="1211" spans="1:5">
      <c r="A1211">
        <v>2016</v>
      </c>
      <c r="B1211" s="3" t="s">
        <v>991</v>
      </c>
      <c r="C1211" t="s">
        <v>936</v>
      </c>
      <c r="D1211" s="9">
        <v>24633689</v>
      </c>
      <c r="E1211">
        <v>2.4247700000000001E-2</v>
      </c>
    </row>
    <row r="1212" spans="1:5">
      <c r="A1212">
        <v>2016</v>
      </c>
      <c r="B1212" s="3" t="s">
        <v>992</v>
      </c>
      <c r="C1212" t="s">
        <v>937</v>
      </c>
      <c r="D1212" s="9">
        <v>62855</v>
      </c>
      <c r="E1212">
        <v>6.19E-5</v>
      </c>
    </row>
    <row r="1213" spans="1:5">
      <c r="A1213">
        <v>2016</v>
      </c>
      <c r="B1213" s="3" t="s">
        <v>993</v>
      </c>
      <c r="C1213" t="s">
        <v>1477</v>
      </c>
      <c r="D1213" s="9">
        <v>495339</v>
      </c>
      <c r="E1213">
        <v>4.8759999999999998E-4</v>
      </c>
    </row>
    <row r="1214" spans="1:5">
      <c r="A1214">
        <v>2016</v>
      </c>
      <c r="B1214" s="3" t="s">
        <v>994</v>
      </c>
      <c r="C1214" t="s">
        <v>939</v>
      </c>
      <c r="D1214" s="9">
        <v>49866</v>
      </c>
      <c r="E1214">
        <v>4.9100000000000001E-5</v>
      </c>
    </row>
    <row r="1215" spans="1:5">
      <c r="A1215">
        <v>2016</v>
      </c>
      <c r="B1215" s="3" t="s">
        <v>995</v>
      </c>
      <c r="C1215" t="s">
        <v>940</v>
      </c>
      <c r="D1215" s="9">
        <v>70406</v>
      </c>
      <c r="E1215">
        <v>6.9300000000000004E-5</v>
      </c>
    </row>
    <row r="1216" spans="1:5">
      <c r="A1216">
        <v>2016</v>
      </c>
      <c r="B1216" s="3" t="s">
        <v>996</v>
      </c>
      <c r="C1216" t="s">
        <v>941</v>
      </c>
      <c r="D1216" s="9">
        <v>32131</v>
      </c>
      <c r="E1216">
        <v>3.1600000000000002E-5</v>
      </c>
    </row>
    <row r="1217" spans="1:5">
      <c r="A1217">
        <v>2016</v>
      </c>
      <c r="B1217" s="3" t="s">
        <v>997</v>
      </c>
      <c r="C1217" t="s">
        <v>942</v>
      </c>
      <c r="D1217" s="9">
        <v>132960</v>
      </c>
      <c r="E1217">
        <v>1.3090000000000001E-4</v>
      </c>
    </row>
    <row r="1218" spans="1:5">
      <c r="A1218">
        <v>2016</v>
      </c>
      <c r="B1218" s="3" t="s">
        <v>998</v>
      </c>
      <c r="C1218" t="s">
        <v>943</v>
      </c>
      <c r="D1218" s="9">
        <v>60451</v>
      </c>
      <c r="E1218">
        <v>5.9500000000000003E-5</v>
      </c>
    </row>
    <row r="1219" spans="1:5">
      <c r="A1219">
        <v>2016</v>
      </c>
      <c r="B1219" s="3" t="s">
        <v>999</v>
      </c>
      <c r="C1219" t="s">
        <v>944</v>
      </c>
      <c r="D1219" s="9">
        <v>314722</v>
      </c>
      <c r="E1219">
        <v>3.098E-4</v>
      </c>
    </row>
    <row r="1220" spans="1:5">
      <c r="A1220">
        <v>2016</v>
      </c>
      <c r="B1220" s="3" t="s">
        <v>1000</v>
      </c>
      <c r="C1220" t="s">
        <v>945</v>
      </c>
      <c r="D1220" s="9">
        <v>17954</v>
      </c>
      <c r="E1220">
        <v>1.77E-5</v>
      </c>
    </row>
    <row r="1221" spans="1:5">
      <c r="A1221">
        <v>2016</v>
      </c>
      <c r="B1221" s="3" t="s">
        <v>1001</v>
      </c>
      <c r="C1221" t="s">
        <v>946</v>
      </c>
      <c r="D1221" s="9">
        <v>25425</v>
      </c>
      <c r="E1221">
        <v>2.5000000000000001E-5</v>
      </c>
    </row>
    <row r="1222" spans="1:5">
      <c r="A1222">
        <v>2016</v>
      </c>
      <c r="B1222" s="3" t="s">
        <v>1002</v>
      </c>
      <c r="C1222" t="s">
        <v>947</v>
      </c>
      <c r="D1222" s="9">
        <v>6872500</v>
      </c>
      <c r="E1222">
        <v>6.7647999999999996E-3</v>
      </c>
    </row>
    <row r="1223" spans="1:5">
      <c r="A1223">
        <v>2016</v>
      </c>
      <c r="B1223" s="3" t="s">
        <v>1003</v>
      </c>
      <c r="C1223" t="s">
        <v>1478</v>
      </c>
      <c r="D1223" s="9">
        <v>38385</v>
      </c>
      <c r="E1223">
        <v>3.7799999999999997E-5</v>
      </c>
    </row>
    <row r="1224" spans="1:5">
      <c r="A1224">
        <v>2016</v>
      </c>
      <c r="B1224" s="3" t="s">
        <v>1004</v>
      </c>
      <c r="C1224" t="s">
        <v>949</v>
      </c>
      <c r="D1224" s="9"/>
      <c r="E1224">
        <v>0</v>
      </c>
    </row>
    <row r="1225" spans="1:5">
      <c r="A1225">
        <v>2016</v>
      </c>
      <c r="B1225" s="3" t="s">
        <v>1005</v>
      </c>
      <c r="C1225" t="s">
        <v>950</v>
      </c>
      <c r="D1225" s="9">
        <v>124419</v>
      </c>
      <c r="E1225">
        <v>1.225E-4</v>
      </c>
    </row>
    <row r="1226" spans="1:5">
      <c r="A1226">
        <v>2016</v>
      </c>
      <c r="B1226" s="3" t="s">
        <v>1006</v>
      </c>
      <c r="C1226" t="s">
        <v>951</v>
      </c>
      <c r="D1226" s="9">
        <v>173589</v>
      </c>
      <c r="E1226">
        <v>1.7090000000000001E-4</v>
      </c>
    </row>
    <row r="1227" spans="1:5">
      <c r="A1227">
        <v>2016</v>
      </c>
      <c r="B1227" s="3" t="s">
        <v>1007</v>
      </c>
      <c r="C1227" t="s">
        <v>952</v>
      </c>
      <c r="D1227" s="9">
        <v>11698</v>
      </c>
      <c r="E1227">
        <v>1.15E-5</v>
      </c>
    </row>
    <row r="1228" spans="1:5">
      <c r="A1228">
        <v>2016</v>
      </c>
      <c r="B1228" s="3" t="s">
        <v>1008</v>
      </c>
      <c r="C1228" t="s">
        <v>953</v>
      </c>
      <c r="D1228" s="9">
        <v>31930</v>
      </c>
      <c r="E1228">
        <v>3.1399999999999998E-5</v>
      </c>
    </row>
    <row r="1229" spans="1:5">
      <c r="A1229">
        <v>2016</v>
      </c>
      <c r="B1229" s="3" t="s">
        <v>1009</v>
      </c>
      <c r="C1229" t="s">
        <v>954</v>
      </c>
      <c r="D1229" s="9">
        <v>32543</v>
      </c>
      <c r="E1229">
        <v>3.1999999999999999E-5</v>
      </c>
    </row>
    <row r="1230" spans="1:5">
      <c r="A1230">
        <v>2016</v>
      </c>
      <c r="B1230" s="3" t="s">
        <v>1010</v>
      </c>
      <c r="C1230" t="s">
        <v>955</v>
      </c>
      <c r="D1230" s="9">
        <v>110415</v>
      </c>
      <c r="E1230">
        <v>1.087E-4</v>
      </c>
    </row>
    <row r="1231" spans="1:5">
      <c r="A1231">
        <v>2016</v>
      </c>
      <c r="B1231" s="3" t="s">
        <v>1011</v>
      </c>
      <c r="C1231" t="s">
        <v>956</v>
      </c>
      <c r="D1231" s="9">
        <v>5750</v>
      </c>
      <c r="E1231">
        <v>5.6999999999999996E-6</v>
      </c>
    </row>
    <row r="1232" spans="1:5">
      <c r="A1232">
        <v>2016</v>
      </c>
      <c r="B1232" s="3" t="s">
        <v>1012</v>
      </c>
      <c r="C1232" t="s">
        <v>957</v>
      </c>
      <c r="D1232" s="9">
        <v>91868</v>
      </c>
      <c r="E1232">
        <v>9.0400000000000002E-5</v>
      </c>
    </row>
    <row r="1233" spans="1:5">
      <c r="A1233">
        <v>2016</v>
      </c>
      <c r="B1233" s="3" t="s">
        <v>1013</v>
      </c>
      <c r="C1233" t="s">
        <v>958</v>
      </c>
      <c r="D1233" s="9">
        <v>1108597</v>
      </c>
      <c r="E1233">
        <v>1.0912000000000001E-3</v>
      </c>
    </row>
    <row r="1234" spans="1:5">
      <c r="A1234">
        <v>2016</v>
      </c>
      <c r="B1234" s="3" t="s">
        <v>1014</v>
      </c>
      <c r="C1234" t="s">
        <v>959</v>
      </c>
      <c r="D1234" s="9">
        <v>53249</v>
      </c>
      <c r="E1234">
        <v>5.24E-5</v>
      </c>
    </row>
    <row r="1235" spans="1:5">
      <c r="A1235">
        <v>2016</v>
      </c>
      <c r="B1235" s="3" t="s">
        <v>1015</v>
      </c>
      <c r="C1235" t="s">
        <v>960</v>
      </c>
      <c r="D1235" s="9">
        <v>360364</v>
      </c>
      <c r="E1235">
        <v>3.547E-4</v>
      </c>
    </row>
    <row r="1236" spans="1:5">
      <c r="A1236">
        <v>2016</v>
      </c>
      <c r="B1236" s="3" t="s">
        <v>1016</v>
      </c>
      <c r="C1236" t="s">
        <v>961</v>
      </c>
      <c r="D1236" s="9">
        <v>429386</v>
      </c>
      <c r="E1236">
        <v>4.2269999999999997E-4</v>
      </c>
    </row>
    <row r="1237" spans="1:5">
      <c r="A1237">
        <v>2016</v>
      </c>
      <c r="B1237" s="3" t="s">
        <v>1017</v>
      </c>
      <c r="C1237" t="s">
        <v>962</v>
      </c>
      <c r="D1237" s="9">
        <v>52180</v>
      </c>
      <c r="E1237">
        <v>5.1400000000000003E-5</v>
      </c>
    </row>
    <row r="1238" spans="1:5">
      <c r="A1238">
        <v>2016</v>
      </c>
      <c r="B1238" s="3" t="s">
        <v>1018</v>
      </c>
      <c r="C1238" t="s">
        <v>963</v>
      </c>
      <c r="D1238" s="9">
        <v>25246</v>
      </c>
      <c r="E1238">
        <v>2.4899999999999999E-5</v>
      </c>
    </row>
    <row r="1239" spans="1:5">
      <c r="A1239">
        <v>2016</v>
      </c>
      <c r="B1239" s="3" t="s">
        <v>1019</v>
      </c>
      <c r="C1239" t="s">
        <v>964</v>
      </c>
      <c r="D1239" s="9">
        <v>52584</v>
      </c>
      <c r="E1239">
        <v>5.1799999999999999E-5</v>
      </c>
    </row>
    <row r="1240" spans="1:5">
      <c r="A1240">
        <v>2016</v>
      </c>
      <c r="B1240" s="3" t="s">
        <v>1020</v>
      </c>
      <c r="C1240" t="s">
        <v>965</v>
      </c>
      <c r="D1240" s="9">
        <v>1772390</v>
      </c>
      <c r="E1240">
        <v>1.7446E-3</v>
      </c>
    </row>
    <row r="1241" spans="1:5">
      <c r="A1241">
        <v>2016</v>
      </c>
      <c r="B1241" s="3" t="s">
        <v>1021</v>
      </c>
      <c r="C1241" t="s">
        <v>966</v>
      </c>
      <c r="D1241" s="9">
        <v>11957</v>
      </c>
      <c r="E1241">
        <v>1.1800000000000001E-5</v>
      </c>
    </row>
    <row r="1242" spans="1:5">
      <c r="A1242">
        <v>2016</v>
      </c>
      <c r="B1242" s="3" t="s">
        <v>1022</v>
      </c>
      <c r="C1242" t="s">
        <v>967</v>
      </c>
      <c r="D1242" s="9">
        <v>135540</v>
      </c>
      <c r="E1242">
        <v>1.3339999999999999E-4</v>
      </c>
    </row>
    <row r="1243" spans="1:5">
      <c r="A1243">
        <v>2016</v>
      </c>
      <c r="B1243" s="3" t="s">
        <v>1023</v>
      </c>
      <c r="C1243" t="s">
        <v>968</v>
      </c>
      <c r="D1243" s="9">
        <v>445791</v>
      </c>
      <c r="E1243">
        <v>4.3879999999999999E-4</v>
      </c>
    </row>
    <row r="1244" spans="1:5">
      <c r="A1244">
        <v>2016</v>
      </c>
      <c r="B1244" s="3" t="s">
        <v>1024</v>
      </c>
      <c r="C1244" t="s">
        <v>969</v>
      </c>
      <c r="D1244" s="9">
        <v>51675</v>
      </c>
      <c r="E1244">
        <v>5.0899999999999997E-5</v>
      </c>
    </row>
    <row r="1245" spans="1:5">
      <c r="A1245">
        <v>2016</v>
      </c>
      <c r="B1245" s="3" t="s">
        <v>1025</v>
      </c>
      <c r="C1245" t="s">
        <v>970</v>
      </c>
      <c r="D1245" s="9">
        <v>115480</v>
      </c>
      <c r="E1245">
        <v>1.137E-4</v>
      </c>
    </row>
    <row r="1246" spans="1:5">
      <c r="A1246">
        <v>2016</v>
      </c>
      <c r="B1246" s="3" t="s">
        <v>1026</v>
      </c>
      <c r="C1246" t="s">
        <v>971</v>
      </c>
      <c r="D1246" s="9">
        <v>2484302</v>
      </c>
      <c r="E1246">
        <v>2.4453999999999999E-3</v>
      </c>
    </row>
    <row r="1247" spans="1:5">
      <c r="A1247">
        <v>2016</v>
      </c>
      <c r="B1247" s="3" t="s">
        <v>1027</v>
      </c>
      <c r="C1247" t="s">
        <v>972</v>
      </c>
      <c r="D1247" s="9">
        <v>19735</v>
      </c>
      <c r="E1247">
        <v>1.9400000000000001E-5</v>
      </c>
    </row>
    <row r="1248" spans="1:5">
      <c r="A1248">
        <v>2016</v>
      </c>
      <c r="B1248" s="3" t="s">
        <v>1028</v>
      </c>
      <c r="C1248" t="s">
        <v>973</v>
      </c>
      <c r="D1248" s="9">
        <v>6819</v>
      </c>
      <c r="E1248">
        <v>6.7000000000000002E-6</v>
      </c>
    </row>
    <row r="1249" spans="1:5">
      <c r="A1249">
        <v>2016</v>
      </c>
      <c r="B1249" s="3" t="s">
        <v>1029</v>
      </c>
      <c r="C1249" t="s">
        <v>974</v>
      </c>
      <c r="D1249" s="9">
        <v>268216</v>
      </c>
      <c r="E1249">
        <v>2.6400000000000002E-4</v>
      </c>
    </row>
    <row r="1250" spans="1:5">
      <c r="A1250">
        <v>2016</v>
      </c>
      <c r="B1250" s="3" t="s">
        <v>1030</v>
      </c>
      <c r="C1250" t="s">
        <v>975</v>
      </c>
      <c r="D1250" s="9">
        <v>54217</v>
      </c>
      <c r="E1250">
        <v>5.3399999999999997E-5</v>
      </c>
    </row>
    <row r="1251" spans="1:5">
      <c r="A1251">
        <v>2016</v>
      </c>
      <c r="B1251" s="3" t="s">
        <v>1031</v>
      </c>
      <c r="C1251" t="s">
        <v>976</v>
      </c>
      <c r="D1251" s="9">
        <v>578168</v>
      </c>
      <c r="E1251">
        <v>5.6910000000000001E-4</v>
      </c>
    </row>
    <row r="1252" spans="1:5">
      <c r="A1252">
        <v>2016</v>
      </c>
      <c r="B1252" s="3" t="s">
        <v>1032</v>
      </c>
      <c r="C1252" t="s">
        <v>977</v>
      </c>
      <c r="D1252" s="9">
        <v>157571</v>
      </c>
      <c r="E1252">
        <v>1.551E-4</v>
      </c>
    </row>
    <row r="1253" spans="1:5">
      <c r="A1253">
        <v>2016</v>
      </c>
      <c r="B1253" s="3" t="s">
        <v>1033</v>
      </c>
      <c r="C1253" t="s">
        <v>978</v>
      </c>
      <c r="D1253" s="9">
        <v>1916042</v>
      </c>
      <c r="E1253">
        <v>1.8860000000000001E-3</v>
      </c>
    </row>
    <row r="1254" spans="1:5">
      <c r="A1254">
        <v>2016</v>
      </c>
      <c r="B1254" s="3" t="s">
        <v>1034</v>
      </c>
      <c r="C1254" t="s">
        <v>979</v>
      </c>
      <c r="D1254" s="9">
        <v>184127</v>
      </c>
      <c r="E1254">
        <v>1.8120000000000001E-4</v>
      </c>
    </row>
    <row r="1255" spans="1:5">
      <c r="A1255">
        <v>2016</v>
      </c>
      <c r="B1255" s="3" t="s">
        <v>1035</v>
      </c>
      <c r="C1255" t="s">
        <v>980</v>
      </c>
      <c r="D1255" s="9">
        <v>257466</v>
      </c>
      <c r="E1255">
        <v>2.5339999999999998E-4</v>
      </c>
    </row>
    <row r="1256" spans="1:5">
      <c r="A1256">
        <v>2016</v>
      </c>
      <c r="B1256" s="3" t="s">
        <v>1036</v>
      </c>
      <c r="C1256" t="s">
        <v>981</v>
      </c>
      <c r="D1256" s="9"/>
      <c r="E1256">
        <v>0</v>
      </c>
    </row>
    <row r="1257" spans="1:5">
      <c r="A1257">
        <v>2016</v>
      </c>
      <c r="B1257" s="3" t="s">
        <v>1037</v>
      </c>
      <c r="C1257" t="s">
        <v>982</v>
      </c>
      <c r="D1257" s="9">
        <v>50090</v>
      </c>
      <c r="E1257">
        <v>4.9299999999999999E-5</v>
      </c>
    </row>
    <row r="1258" spans="1:5">
      <c r="A1258">
        <v>2016</v>
      </c>
      <c r="B1258" s="3" t="s">
        <v>1038</v>
      </c>
      <c r="C1258" t="s">
        <v>983</v>
      </c>
      <c r="D1258" s="9">
        <v>480895</v>
      </c>
      <c r="E1258">
        <v>4.7340000000000001E-4</v>
      </c>
    </row>
    <row r="1259" spans="1:5">
      <c r="A1259">
        <v>2016</v>
      </c>
      <c r="B1259" s="3" t="s">
        <v>1039</v>
      </c>
      <c r="C1259" t="s">
        <v>984</v>
      </c>
      <c r="D1259" s="9">
        <v>5748195</v>
      </c>
      <c r="E1259">
        <v>5.6581000000000001E-3</v>
      </c>
    </row>
    <row r="1260" spans="1:5">
      <c r="A1260">
        <v>2016</v>
      </c>
      <c r="B1260" s="3" t="s">
        <v>1040</v>
      </c>
      <c r="C1260" t="s">
        <v>985</v>
      </c>
      <c r="D1260" s="9">
        <v>142462</v>
      </c>
      <c r="E1260">
        <v>1.4019999999999999E-4</v>
      </c>
    </row>
    <row r="1261" spans="1:5">
      <c r="A1261">
        <v>2016</v>
      </c>
      <c r="B1261" s="3" t="s">
        <v>1041</v>
      </c>
      <c r="C1261" t="s">
        <v>986</v>
      </c>
      <c r="D1261" s="9">
        <v>622452</v>
      </c>
      <c r="E1261">
        <v>6.1269999999999999E-4</v>
      </c>
    </row>
    <row r="1262" spans="1:5">
      <c r="A1262">
        <v>2016</v>
      </c>
      <c r="B1262" s="3" t="s">
        <v>1042</v>
      </c>
      <c r="C1262" t="s">
        <v>987</v>
      </c>
      <c r="D1262" s="9">
        <v>28550</v>
      </c>
      <c r="E1262">
        <v>2.8099999999999999E-5</v>
      </c>
    </row>
    <row r="1263" spans="1:5">
      <c r="A1263">
        <v>2016</v>
      </c>
      <c r="B1263" s="3" t="s">
        <v>1043</v>
      </c>
      <c r="C1263" t="s">
        <v>988</v>
      </c>
      <c r="D1263" s="9">
        <v>536624</v>
      </c>
      <c r="E1263">
        <v>5.2820000000000005E-4</v>
      </c>
    </row>
    <row r="1264" spans="1:5">
      <c r="A1264">
        <v>2016</v>
      </c>
      <c r="B1264" s="3" t="s">
        <v>1044</v>
      </c>
      <c r="C1264" t="s">
        <v>989</v>
      </c>
      <c r="D1264" s="9">
        <v>640590</v>
      </c>
      <c r="E1264">
        <v>6.3060000000000004E-4</v>
      </c>
    </row>
    <row r="1265" spans="1:5">
      <c r="A1265">
        <v>2016</v>
      </c>
      <c r="B1265" s="3" t="s">
        <v>1100</v>
      </c>
      <c r="C1265" t="s">
        <v>1045</v>
      </c>
      <c r="D1265" s="9">
        <v>1417155</v>
      </c>
      <c r="E1265">
        <v>1.3948999999999999E-3</v>
      </c>
    </row>
    <row r="1266" spans="1:5">
      <c r="A1266">
        <v>2016</v>
      </c>
      <c r="B1266" s="3" t="s">
        <v>1101</v>
      </c>
      <c r="C1266" t="s">
        <v>1046</v>
      </c>
      <c r="D1266" s="9">
        <v>2750191</v>
      </c>
      <c r="E1266">
        <v>2.7071E-3</v>
      </c>
    </row>
    <row r="1267" spans="1:5">
      <c r="A1267">
        <v>2016</v>
      </c>
      <c r="B1267" s="3" t="s">
        <v>1102</v>
      </c>
      <c r="C1267" t="s">
        <v>1047</v>
      </c>
      <c r="D1267" s="9">
        <v>73707</v>
      </c>
      <c r="E1267">
        <v>7.2600000000000003E-5</v>
      </c>
    </row>
    <row r="1268" spans="1:5">
      <c r="A1268">
        <v>2016</v>
      </c>
      <c r="B1268" s="3" t="s">
        <v>1103</v>
      </c>
      <c r="C1268" t="s">
        <v>1048</v>
      </c>
      <c r="D1268" s="9">
        <v>123378</v>
      </c>
      <c r="E1268">
        <v>1.214E-4</v>
      </c>
    </row>
    <row r="1269" spans="1:5">
      <c r="A1269">
        <v>2016</v>
      </c>
      <c r="B1269" s="3" t="s">
        <v>1104</v>
      </c>
      <c r="C1269" t="s">
        <v>1049</v>
      </c>
      <c r="D1269" s="9">
        <v>1218679</v>
      </c>
      <c r="E1269">
        <v>1.1996000000000001E-3</v>
      </c>
    </row>
    <row r="1270" spans="1:5">
      <c r="A1270">
        <v>2016</v>
      </c>
      <c r="B1270" s="3" t="s">
        <v>1105</v>
      </c>
      <c r="C1270" t="s">
        <v>1050</v>
      </c>
      <c r="D1270" s="9">
        <v>13111</v>
      </c>
      <c r="E1270">
        <v>1.29E-5</v>
      </c>
    </row>
    <row r="1271" spans="1:5">
      <c r="A1271">
        <v>2016</v>
      </c>
      <c r="B1271" s="3" t="s">
        <v>1106</v>
      </c>
      <c r="C1271" t="s">
        <v>1051</v>
      </c>
      <c r="D1271" s="9">
        <v>101255</v>
      </c>
      <c r="E1271">
        <v>9.9699999999999998E-5</v>
      </c>
    </row>
    <row r="1272" spans="1:5">
      <c r="A1272">
        <v>2016</v>
      </c>
      <c r="B1272" s="3" t="s">
        <v>1107</v>
      </c>
      <c r="C1272" t="s">
        <v>1052</v>
      </c>
      <c r="D1272" s="9">
        <v>635587</v>
      </c>
      <c r="E1272">
        <v>6.2560000000000003E-4</v>
      </c>
    </row>
    <row r="1273" spans="1:5">
      <c r="A1273">
        <v>2016</v>
      </c>
      <c r="B1273" s="3" t="s">
        <v>1108</v>
      </c>
      <c r="C1273" t="s">
        <v>1053</v>
      </c>
      <c r="D1273" s="9">
        <v>1016197</v>
      </c>
      <c r="E1273">
        <v>1.0003E-3</v>
      </c>
    </row>
    <row r="1274" spans="1:5">
      <c r="A1274">
        <v>2016</v>
      </c>
      <c r="B1274" s="3" t="s">
        <v>1109</v>
      </c>
      <c r="C1274" t="s">
        <v>1054</v>
      </c>
      <c r="D1274" s="9">
        <v>223142</v>
      </c>
      <c r="E1274">
        <v>2.196E-4</v>
      </c>
    </row>
    <row r="1275" spans="1:5">
      <c r="A1275">
        <v>2016</v>
      </c>
      <c r="B1275" s="3" t="s">
        <v>1110</v>
      </c>
      <c r="C1275" t="s">
        <v>1055</v>
      </c>
      <c r="D1275" s="9">
        <v>1483024</v>
      </c>
      <c r="E1275">
        <v>1.4598E-3</v>
      </c>
    </row>
    <row r="1276" spans="1:5">
      <c r="A1276">
        <v>2016</v>
      </c>
      <c r="B1276" s="3" t="s">
        <v>1111</v>
      </c>
      <c r="C1276" t="s">
        <v>1056</v>
      </c>
      <c r="D1276" s="9">
        <v>24583</v>
      </c>
      <c r="E1276">
        <v>2.4199999999999999E-5</v>
      </c>
    </row>
    <row r="1277" spans="1:5">
      <c r="A1277">
        <v>2016</v>
      </c>
      <c r="B1277" s="3" t="s">
        <v>1112</v>
      </c>
      <c r="C1277" t="s">
        <v>1057</v>
      </c>
      <c r="D1277" s="9">
        <v>12358425</v>
      </c>
      <c r="E1277">
        <v>1.21648E-2</v>
      </c>
    </row>
    <row r="1278" spans="1:5">
      <c r="A1278">
        <v>2016</v>
      </c>
      <c r="B1278" s="3" t="s">
        <v>1113</v>
      </c>
      <c r="C1278" t="s">
        <v>1058</v>
      </c>
      <c r="D1278" s="9">
        <v>54692</v>
      </c>
      <c r="E1278">
        <v>5.38E-5</v>
      </c>
    </row>
    <row r="1279" spans="1:5">
      <c r="A1279">
        <v>2016</v>
      </c>
      <c r="B1279" s="3" t="s">
        <v>1481</v>
      </c>
      <c r="C1279" t="s">
        <v>1479</v>
      </c>
      <c r="D1279" s="9">
        <v>76396</v>
      </c>
      <c r="E1279" s="4">
        <v>7.5199999999999998E-3</v>
      </c>
    </row>
    <row r="1280" spans="1:5">
      <c r="A1280">
        <v>2016</v>
      </c>
      <c r="B1280" s="3" t="s">
        <v>1115</v>
      </c>
      <c r="C1280" t="s">
        <v>1480</v>
      </c>
      <c r="D1280" s="9">
        <v>27713</v>
      </c>
      <c r="E1280">
        <v>2.73E-5</v>
      </c>
    </row>
    <row r="1281" spans="1:5">
      <c r="A1281">
        <v>2016</v>
      </c>
      <c r="B1281" s="3" t="s">
        <v>1114</v>
      </c>
      <c r="C1281" t="s">
        <v>1059</v>
      </c>
      <c r="D1281" s="9">
        <v>474962</v>
      </c>
      <c r="E1281">
        <v>4.6749999999999998E-4</v>
      </c>
    </row>
    <row r="1282" spans="1:5">
      <c r="A1282">
        <v>2016</v>
      </c>
      <c r="B1282" s="3" t="s">
        <v>1116</v>
      </c>
      <c r="C1282" t="s">
        <v>1061</v>
      </c>
      <c r="D1282" s="9">
        <v>98905</v>
      </c>
      <c r="E1282">
        <v>9.7399999999999996E-5</v>
      </c>
    </row>
    <row r="1283" spans="1:5">
      <c r="A1283">
        <v>2016</v>
      </c>
      <c r="B1283" s="3" t="s">
        <v>1117</v>
      </c>
      <c r="C1283" t="s">
        <v>1062</v>
      </c>
      <c r="D1283" s="9">
        <v>147789</v>
      </c>
      <c r="E1283">
        <v>1.4550000000000001E-4</v>
      </c>
    </row>
    <row r="1284" spans="1:5">
      <c r="A1284">
        <v>2016</v>
      </c>
      <c r="B1284" s="3" t="s">
        <v>1118</v>
      </c>
      <c r="C1284" t="s">
        <v>1063</v>
      </c>
      <c r="D1284" s="9">
        <v>40777</v>
      </c>
      <c r="E1284">
        <v>4.0099999999999999E-5</v>
      </c>
    </row>
    <row r="1285" spans="1:5">
      <c r="A1285">
        <v>2016</v>
      </c>
      <c r="B1285" s="3" t="s">
        <v>1119</v>
      </c>
      <c r="C1285" t="s">
        <v>1064</v>
      </c>
      <c r="D1285" s="9">
        <v>993330</v>
      </c>
      <c r="E1285">
        <v>9.7780000000000002E-4</v>
      </c>
    </row>
    <row r="1286" spans="1:5">
      <c r="A1286">
        <v>2016</v>
      </c>
      <c r="B1286" s="3" t="s">
        <v>1120</v>
      </c>
      <c r="C1286" t="s">
        <v>1065</v>
      </c>
      <c r="D1286" s="9"/>
      <c r="E1286">
        <v>0</v>
      </c>
    </row>
    <row r="1287" spans="1:5">
      <c r="A1287">
        <v>2016</v>
      </c>
      <c r="B1287" s="3" t="s">
        <v>1121</v>
      </c>
      <c r="C1287" t="s">
        <v>1066</v>
      </c>
      <c r="D1287" s="9">
        <v>2796001</v>
      </c>
      <c r="E1287">
        <v>2.7521999999999998E-3</v>
      </c>
    </row>
    <row r="1288" spans="1:5">
      <c r="A1288">
        <v>2016</v>
      </c>
      <c r="B1288" s="3" t="s">
        <v>1122</v>
      </c>
      <c r="C1288" t="s">
        <v>1067</v>
      </c>
      <c r="D1288" s="9">
        <v>20479</v>
      </c>
      <c r="E1288">
        <v>2.02E-5</v>
      </c>
    </row>
    <row r="1289" spans="1:5">
      <c r="A1289">
        <v>2016</v>
      </c>
      <c r="B1289" s="3" t="s">
        <v>1123</v>
      </c>
      <c r="C1289" t="s">
        <v>1068</v>
      </c>
      <c r="D1289" s="9">
        <v>48199</v>
      </c>
      <c r="E1289">
        <v>4.74E-5</v>
      </c>
    </row>
    <row r="1290" spans="1:5">
      <c r="A1290">
        <v>2016</v>
      </c>
      <c r="B1290" s="3" t="s">
        <v>1124</v>
      </c>
      <c r="C1290" t="s">
        <v>1069</v>
      </c>
      <c r="D1290" s="9">
        <v>100520</v>
      </c>
      <c r="E1290">
        <v>9.8900000000000005E-5</v>
      </c>
    </row>
    <row r="1291" spans="1:5">
      <c r="A1291">
        <v>2016</v>
      </c>
      <c r="B1291" s="3" t="s">
        <v>1125</v>
      </c>
      <c r="C1291" t="s">
        <v>1070</v>
      </c>
      <c r="D1291" s="9">
        <v>876683</v>
      </c>
      <c r="E1291">
        <v>8.629E-4</v>
      </c>
    </row>
    <row r="1292" spans="1:5">
      <c r="A1292">
        <v>2016</v>
      </c>
      <c r="B1292" s="3" t="s">
        <v>1126</v>
      </c>
      <c r="C1292" t="s">
        <v>1071</v>
      </c>
      <c r="D1292" s="9">
        <v>104027</v>
      </c>
      <c r="E1292">
        <v>1.024E-4</v>
      </c>
    </row>
    <row r="1293" spans="1:5">
      <c r="A1293">
        <v>2016</v>
      </c>
      <c r="B1293" s="3" t="s">
        <v>1127</v>
      </c>
      <c r="C1293" t="s">
        <v>1072</v>
      </c>
      <c r="D1293" s="9">
        <v>1243326</v>
      </c>
      <c r="E1293">
        <v>1.2237999999999999E-3</v>
      </c>
    </row>
    <row r="1294" spans="1:5">
      <c r="A1294">
        <v>2016</v>
      </c>
      <c r="B1294" s="3" t="s">
        <v>1128</v>
      </c>
      <c r="C1294" t="s">
        <v>1073</v>
      </c>
      <c r="D1294" s="9">
        <v>126090</v>
      </c>
      <c r="E1294">
        <v>1.2410000000000001E-4</v>
      </c>
    </row>
    <row r="1295" spans="1:5">
      <c r="A1295">
        <v>2016</v>
      </c>
      <c r="B1295" s="3" t="s">
        <v>1129</v>
      </c>
      <c r="C1295" t="s">
        <v>1074</v>
      </c>
      <c r="D1295" s="9">
        <v>5543</v>
      </c>
      <c r="E1295">
        <v>5.4999999999999999E-6</v>
      </c>
    </row>
    <row r="1296" spans="1:5">
      <c r="A1296">
        <v>2016</v>
      </c>
      <c r="B1296" s="3" t="s">
        <v>1130</v>
      </c>
      <c r="C1296" t="s">
        <v>1075</v>
      </c>
      <c r="D1296" s="9">
        <v>11100</v>
      </c>
      <c r="E1296">
        <v>1.0900000000000001E-5</v>
      </c>
    </row>
    <row r="1297" spans="1:5">
      <c r="A1297">
        <v>2016</v>
      </c>
      <c r="B1297" s="3" t="s">
        <v>1131</v>
      </c>
      <c r="C1297" t="s">
        <v>1076</v>
      </c>
      <c r="D1297" s="9">
        <v>27191</v>
      </c>
      <c r="E1297">
        <v>2.6800000000000001E-5</v>
      </c>
    </row>
    <row r="1298" spans="1:5">
      <c r="A1298">
        <v>2016</v>
      </c>
      <c r="B1298" s="3" t="s">
        <v>1132</v>
      </c>
      <c r="C1298" t="s">
        <v>1077</v>
      </c>
      <c r="D1298" s="9">
        <v>60647</v>
      </c>
      <c r="E1298">
        <v>5.9700000000000001E-5</v>
      </c>
    </row>
    <row r="1299" spans="1:5">
      <c r="A1299">
        <v>2016</v>
      </c>
      <c r="B1299" s="3" t="s">
        <v>1133</v>
      </c>
      <c r="C1299" t="s">
        <v>1078</v>
      </c>
      <c r="D1299" s="9">
        <v>73675</v>
      </c>
      <c r="E1299">
        <v>7.25E-5</v>
      </c>
    </row>
    <row r="1300" spans="1:5">
      <c r="A1300">
        <v>2016</v>
      </c>
      <c r="B1300" s="3" t="s">
        <v>1134</v>
      </c>
      <c r="C1300" t="s">
        <v>1079</v>
      </c>
      <c r="D1300" s="9">
        <v>413495</v>
      </c>
      <c r="E1300">
        <v>4.0700000000000003E-4</v>
      </c>
    </row>
    <row r="1301" spans="1:5">
      <c r="A1301">
        <v>2016</v>
      </c>
      <c r="B1301" s="3" t="s">
        <v>1135</v>
      </c>
      <c r="C1301" t="s">
        <v>1080</v>
      </c>
      <c r="D1301" s="9">
        <v>225935</v>
      </c>
      <c r="E1301">
        <v>2.2240000000000001E-4</v>
      </c>
    </row>
    <row r="1302" spans="1:5">
      <c r="A1302">
        <v>2016</v>
      </c>
      <c r="B1302" s="3" t="s">
        <v>1136</v>
      </c>
      <c r="C1302" t="s">
        <v>1081</v>
      </c>
      <c r="D1302" s="9">
        <v>429568</v>
      </c>
      <c r="E1302">
        <v>4.2279999999999998E-4</v>
      </c>
    </row>
    <row r="1303" spans="1:5">
      <c r="A1303">
        <v>2016</v>
      </c>
      <c r="B1303" s="3" t="s">
        <v>1137</v>
      </c>
      <c r="C1303" t="s">
        <v>1082</v>
      </c>
      <c r="D1303" s="9">
        <v>276500</v>
      </c>
      <c r="E1303">
        <v>2.722E-4</v>
      </c>
    </row>
    <row r="1304" spans="1:5">
      <c r="A1304">
        <v>2016</v>
      </c>
      <c r="B1304" s="3" t="s">
        <v>1138</v>
      </c>
      <c r="C1304" t="s">
        <v>1083</v>
      </c>
      <c r="D1304" s="9">
        <v>39206</v>
      </c>
      <c r="E1304">
        <v>3.8600000000000003E-5</v>
      </c>
    </row>
    <row r="1305" spans="1:5">
      <c r="A1305">
        <v>2016</v>
      </c>
      <c r="B1305" s="3" t="s">
        <v>1139</v>
      </c>
      <c r="C1305" t="s">
        <v>1084</v>
      </c>
      <c r="D1305" s="9">
        <v>65394</v>
      </c>
      <c r="E1305">
        <v>6.4399999999999993E-5</v>
      </c>
    </row>
    <row r="1306" spans="1:5">
      <c r="A1306">
        <v>2016</v>
      </c>
      <c r="B1306" s="3" t="s">
        <v>1140</v>
      </c>
      <c r="C1306" t="s">
        <v>1085</v>
      </c>
      <c r="D1306" s="9">
        <v>303387</v>
      </c>
      <c r="E1306">
        <v>2.9859999999999999E-4</v>
      </c>
    </row>
    <row r="1307" spans="1:5">
      <c r="A1307">
        <v>2016</v>
      </c>
      <c r="B1307" s="3" t="s">
        <v>1141</v>
      </c>
      <c r="C1307" t="s">
        <v>1086</v>
      </c>
      <c r="D1307" s="9">
        <v>18033</v>
      </c>
      <c r="E1307">
        <v>1.7799999999999999E-5</v>
      </c>
    </row>
    <row r="1308" spans="1:5">
      <c r="A1308">
        <v>2016</v>
      </c>
      <c r="B1308" s="3" t="s">
        <v>1142</v>
      </c>
      <c r="C1308" t="s">
        <v>1087</v>
      </c>
      <c r="D1308" s="9">
        <v>41482</v>
      </c>
      <c r="E1308">
        <v>4.0800000000000002E-5</v>
      </c>
    </row>
    <row r="1309" spans="1:5">
      <c r="A1309">
        <v>2016</v>
      </c>
      <c r="B1309" s="3" t="s">
        <v>1143</v>
      </c>
      <c r="C1309" t="s">
        <v>1088</v>
      </c>
      <c r="D1309" s="9">
        <v>175657</v>
      </c>
      <c r="E1309">
        <v>1.729E-4</v>
      </c>
    </row>
    <row r="1310" spans="1:5">
      <c r="A1310">
        <v>2016</v>
      </c>
      <c r="B1310" s="3" t="s">
        <v>1144</v>
      </c>
      <c r="C1310" t="s">
        <v>1089</v>
      </c>
      <c r="D1310" s="9">
        <v>63254</v>
      </c>
      <c r="E1310">
        <v>6.2299999999999996E-5</v>
      </c>
    </row>
    <row r="1311" spans="1:5">
      <c r="A1311">
        <v>2016</v>
      </c>
      <c r="B1311" s="3" t="s">
        <v>1145</v>
      </c>
      <c r="C1311" t="s">
        <v>1090</v>
      </c>
      <c r="D1311" s="9"/>
      <c r="E1311">
        <v>0</v>
      </c>
    </row>
    <row r="1312" spans="1:5">
      <c r="A1312">
        <v>2016</v>
      </c>
      <c r="B1312" s="3" t="s">
        <v>1146</v>
      </c>
      <c r="C1312" t="s">
        <v>1091</v>
      </c>
      <c r="D1312" s="9">
        <v>7702250</v>
      </c>
      <c r="E1312">
        <v>7.5814999999999997E-3</v>
      </c>
    </row>
    <row r="1313" spans="1:5">
      <c r="A1313">
        <v>2016</v>
      </c>
      <c r="B1313" s="3" t="s">
        <v>1147</v>
      </c>
      <c r="C1313" t="s">
        <v>1092</v>
      </c>
      <c r="D1313" s="9"/>
      <c r="E1313">
        <v>0</v>
      </c>
    </row>
    <row r="1314" spans="1:5">
      <c r="A1314">
        <v>2016</v>
      </c>
      <c r="B1314" s="3" t="s">
        <v>1148</v>
      </c>
      <c r="C1314" t="s">
        <v>1093</v>
      </c>
      <c r="D1314" s="9">
        <v>220790</v>
      </c>
      <c r="E1314">
        <v>2.173E-4</v>
      </c>
    </row>
    <row r="1315" spans="1:5">
      <c r="A1315">
        <v>2016</v>
      </c>
      <c r="B1315" s="3" t="s">
        <v>1149</v>
      </c>
      <c r="C1315" t="s">
        <v>1094</v>
      </c>
      <c r="D1315" s="9">
        <v>144705</v>
      </c>
      <c r="E1315">
        <v>1.4239999999999999E-4</v>
      </c>
    </row>
    <row r="1316" spans="1:5">
      <c r="A1316">
        <v>2016</v>
      </c>
      <c r="B1316" s="3" t="s">
        <v>1150</v>
      </c>
      <c r="C1316" t="s">
        <v>1095</v>
      </c>
      <c r="D1316" s="9">
        <v>165498</v>
      </c>
      <c r="E1316">
        <v>1.629E-4</v>
      </c>
    </row>
    <row r="1317" spans="1:5">
      <c r="A1317">
        <v>2016</v>
      </c>
      <c r="B1317" s="3" t="s">
        <v>1151</v>
      </c>
      <c r="C1317" t="s">
        <v>1096</v>
      </c>
      <c r="D1317" s="9"/>
      <c r="E1317">
        <v>0</v>
      </c>
    </row>
    <row r="1318" spans="1:5">
      <c r="A1318">
        <v>2016</v>
      </c>
      <c r="B1318" s="3" t="s">
        <v>1152</v>
      </c>
      <c r="C1318" t="s">
        <v>1097</v>
      </c>
      <c r="D1318" s="9">
        <v>925156</v>
      </c>
      <c r="E1318">
        <v>9.1069999999999996E-4</v>
      </c>
    </row>
    <row r="1319" spans="1:5">
      <c r="A1319">
        <v>2016</v>
      </c>
      <c r="B1319" s="3" t="s">
        <v>1153</v>
      </c>
      <c r="C1319" t="s">
        <v>1098</v>
      </c>
      <c r="D1319" s="9">
        <v>199451</v>
      </c>
      <c r="E1319">
        <v>1.963E-4</v>
      </c>
    </row>
    <row r="1320" spans="1:5">
      <c r="A1320">
        <v>2016</v>
      </c>
      <c r="B1320" s="3" t="s">
        <v>1154</v>
      </c>
      <c r="C1320" t="s">
        <v>1099</v>
      </c>
      <c r="D1320" s="9">
        <v>6660014</v>
      </c>
      <c r="E1320">
        <v>6.5556E-3</v>
      </c>
    </row>
    <row r="1321" spans="1:5">
      <c r="A1321">
        <v>2016</v>
      </c>
      <c r="B1321" s="3" t="s">
        <v>1209</v>
      </c>
      <c r="C1321" t="s">
        <v>1155</v>
      </c>
      <c r="D1321" s="9">
        <v>7009654</v>
      </c>
      <c r="E1321">
        <v>6.8998000000000002E-3</v>
      </c>
    </row>
    <row r="1322" spans="1:5">
      <c r="A1322">
        <v>2016</v>
      </c>
      <c r="B1322" s="3" t="s">
        <v>1210</v>
      </c>
      <c r="C1322" t="s">
        <v>1156</v>
      </c>
      <c r="D1322" s="9">
        <v>600988</v>
      </c>
      <c r="E1322">
        <v>5.9159999999999996E-4</v>
      </c>
    </row>
    <row r="1323" spans="1:5">
      <c r="A1323">
        <v>2016</v>
      </c>
      <c r="B1323" s="3" t="s">
        <v>1211</v>
      </c>
      <c r="C1323" t="s">
        <v>1157</v>
      </c>
      <c r="D1323" s="9">
        <v>2114</v>
      </c>
      <c r="E1323">
        <v>2.0999999999999998E-6</v>
      </c>
    </row>
    <row r="1324" spans="1:5">
      <c r="A1324">
        <v>2016</v>
      </c>
      <c r="B1324" s="3" t="s">
        <v>1483</v>
      </c>
      <c r="C1324" t="s">
        <v>1482</v>
      </c>
      <c r="D1324" s="9">
        <v>48705</v>
      </c>
      <c r="E1324">
        <v>4.7899999999999999E-5</v>
      </c>
    </row>
    <row r="1325" spans="1:5">
      <c r="A1325">
        <v>2016</v>
      </c>
      <c r="B1325" s="3" t="s">
        <v>1212</v>
      </c>
      <c r="C1325" t="s">
        <v>1158</v>
      </c>
      <c r="D1325" s="9">
        <v>1371346</v>
      </c>
      <c r="E1325">
        <v>1.3499E-3</v>
      </c>
    </row>
    <row r="1326" spans="1:5">
      <c r="A1326">
        <v>2016</v>
      </c>
      <c r="B1326" s="3" t="s">
        <v>1213</v>
      </c>
      <c r="C1326" t="s">
        <v>1159</v>
      </c>
      <c r="D1326" s="9">
        <v>4254766</v>
      </c>
      <c r="E1326">
        <v>4.1881000000000002E-3</v>
      </c>
    </row>
    <row r="1327" spans="1:5">
      <c r="A1327">
        <v>2016</v>
      </c>
      <c r="B1327" s="3" t="s">
        <v>1214</v>
      </c>
      <c r="C1327" t="s">
        <v>1160</v>
      </c>
      <c r="D1327" s="9">
        <v>471042</v>
      </c>
      <c r="E1327">
        <v>4.637E-4</v>
      </c>
    </row>
    <row r="1328" spans="1:5">
      <c r="A1328">
        <v>2016</v>
      </c>
      <c r="B1328" s="3" t="s">
        <v>1215</v>
      </c>
      <c r="C1328" t="s">
        <v>1161</v>
      </c>
      <c r="D1328" s="9">
        <v>417961</v>
      </c>
      <c r="E1328">
        <v>4.1140000000000003E-4</v>
      </c>
    </row>
    <row r="1329" spans="1:5">
      <c r="A1329">
        <v>2016</v>
      </c>
      <c r="B1329" s="3" t="s">
        <v>1216</v>
      </c>
      <c r="C1329" t="s">
        <v>1162</v>
      </c>
      <c r="D1329" s="9"/>
      <c r="E1329">
        <v>0</v>
      </c>
    </row>
    <row r="1330" spans="1:5">
      <c r="A1330">
        <v>2016</v>
      </c>
      <c r="B1330" s="3" t="s">
        <v>1217</v>
      </c>
      <c r="C1330" t="s">
        <v>1163</v>
      </c>
      <c r="D1330" s="9">
        <v>64307</v>
      </c>
      <c r="E1330">
        <v>6.3299999999999994E-5</v>
      </c>
    </row>
    <row r="1331" spans="1:5">
      <c r="A1331">
        <v>2016</v>
      </c>
      <c r="B1331" s="3" t="s">
        <v>1218</v>
      </c>
      <c r="C1331" t="s">
        <v>1164</v>
      </c>
      <c r="D1331" s="9">
        <v>71640</v>
      </c>
      <c r="E1331">
        <v>7.0500000000000006E-5</v>
      </c>
    </row>
    <row r="1332" spans="1:5">
      <c r="A1332">
        <v>2016</v>
      </c>
      <c r="B1332" s="3" t="s">
        <v>1219</v>
      </c>
      <c r="C1332" t="s">
        <v>1165</v>
      </c>
      <c r="D1332" s="9">
        <v>298957</v>
      </c>
      <c r="E1332">
        <v>2.943E-4</v>
      </c>
    </row>
    <row r="1333" spans="1:5">
      <c r="A1333">
        <v>2016</v>
      </c>
      <c r="B1333" s="3" t="s">
        <v>1220</v>
      </c>
      <c r="C1333" t="s">
        <v>1166</v>
      </c>
      <c r="D1333" s="9">
        <v>107070</v>
      </c>
      <c r="E1333">
        <v>1.054E-4</v>
      </c>
    </row>
    <row r="1334" spans="1:5">
      <c r="A1334">
        <v>2016</v>
      </c>
      <c r="B1334" s="3" t="s">
        <v>1221</v>
      </c>
      <c r="C1334" t="s">
        <v>1167</v>
      </c>
      <c r="D1334" s="9">
        <v>252163</v>
      </c>
      <c r="E1334">
        <v>2.4820000000000002E-4</v>
      </c>
    </row>
    <row r="1335" spans="1:5">
      <c r="A1335">
        <v>2016</v>
      </c>
      <c r="B1335" s="3" t="s">
        <v>1222</v>
      </c>
      <c r="C1335" t="s">
        <v>1168</v>
      </c>
      <c r="D1335" s="9">
        <v>334794</v>
      </c>
      <c r="E1335">
        <v>3.2949999999999999E-4</v>
      </c>
    </row>
    <row r="1336" spans="1:5">
      <c r="A1336">
        <v>2016</v>
      </c>
      <c r="B1336" s="3" t="s">
        <v>1223</v>
      </c>
      <c r="C1336" t="s">
        <v>1169</v>
      </c>
      <c r="D1336" s="9">
        <v>147027</v>
      </c>
      <c r="E1336">
        <v>1.4469999999999999E-4</v>
      </c>
    </row>
    <row r="1337" spans="1:5">
      <c r="A1337">
        <v>2016</v>
      </c>
      <c r="B1337" s="3" t="s">
        <v>1224</v>
      </c>
      <c r="C1337" t="s">
        <v>1170</v>
      </c>
      <c r="D1337" s="9">
        <v>84550</v>
      </c>
      <c r="E1337">
        <v>8.3200000000000003E-5</v>
      </c>
    </row>
    <row r="1338" spans="1:5">
      <c r="A1338">
        <v>2016</v>
      </c>
      <c r="B1338" s="3" t="s">
        <v>1225</v>
      </c>
      <c r="C1338" t="s">
        <v>1171</v>
      </c>
      <c r="D1338" s="9">
        <v>15795</v>
      </c>
      <c r="E1338">
        <v>1.5500000000000001E-5</v>
      </c>
    </row>
    <row r="1339" spans="1:5">
      <c r="A1339">
        <v>2016</v>
      </c>
      <c r="B1339" s="3" t="s">
        <v>1226</v>
      </c>
      <c r="C1339" t="s">
        <v>1172</v>
      </c>
      <c r="D1339" s="9">
        <v>147137</v>
      </c>
      <c r="E1339">
        <v>1.448E-4</v>
      </c>
    </row>
    <row r="1340" spans="1:5">
      <c r="A1340">
        <v>2016</v>
      </c>
      <c r="B1340" s="3" t="s">
        <v>1227</v>
      </c>
      <c r="C1340" t="s">
        <v>1173</v>
      </c>
      <c r="D1340" s="9">
        <v>569176</v>
      </c>
      <c r="E1340">
        <v>5.6030000000000001E-4</v>
      </c>
    </row>
    <row r="1341" spans="1:5">
      <c r="A1341">
        <v>2016</v>
      </c>
      <c r="B1341" s="3" t="s">
        <v>1228</v>
      </c>
      <c r="C1341" t="s">
        <v>1174</v>
      </c>
      <c r="D1341" s="9">
        <v>37789</v>
      </c>
      <c r="E1341">
        <v>3.7200000000000003E-5</v>
      </c>
    </row>
    <row r="1342" spans="1:5">
      <c r="A1342">
        <v>2016</v>
      </c>
      <c r="B1342" s="3" t="s">
        <v>1229</v>
      </c>
      <c r="C1342" t="s">
        <v>1175</v>
      </c>
      <c r="D1342" s="9">
        <v>157339</v>
      </c>
      <c r="E1342">
        <v>1.549E-4</v>
      </c>
    </row>
    <row r="1343" spans="1:5">
      <c r="A1343">
        <v>2016</v>
      </c>
      <c r="B1343" s="3" t="s">
        <v>1230</v>
      </c>
      <c r="C1343" t="s">
        <v>1176</v>
      </c>
      <c r="D1343" s="9">
        <v>4960561</v>
      </c>
      <c r="E1343">
        <v>4.8827999999999996E-3</v>
      </c>
    </row>
    <row r="1344" spans="1:5">
      <c r="A1344">
        <v>2016</v>
      </c>
      <c r="B1344" s="3" t="s">
        <v>1231</v>
      </c>
      <c r="C1344" t="s">
        <v>1177</v>
      </c>
      <c r="D1344" s="9">
        <v>80925</v>
      </c>
      <c r="E1344">
        <v>7.9699999999999999E-5</v>
      </c>
    </row>
    <row r="1345" spans="1:5">
      <c r="A1345">
        <v>2016</v>
      </c>
      <c r="B1345" s="3" t="s">
        <v>1232</v>
      </c>
      <c r="C1345" t="s">
        <v>1178</v>
      </c>
      <c r="D1345" s="9">
        <v>70107</v>
      </c>
      <c r="E1345">
        <v>6.8999999999999997E-5</v>
      </c>
    </row>
    <row r="1346" spans="1:5">
      <c r="A1346">
        <v>2016</v>
      </c>
      <c r="B1346" s="3" t="s">
        <v>1233</v>
      </c>
      <c r="C1346" t="s">
        <v>1179</v>
      </c>
      <c r="D1346" s="9">
        <v>80068</v>
      </c>
      <c r="E1346">
        <v>7.8800000000000004E-5</v>
      </c>
    </row>
    <row r="1347" spans="1:5">
      <c r="A1347">
        <v>2016</v>
      </c>
      <c r="B1347" s="3" t="s">
        <v>1234</v>
      </c>
      <c r="C1347" t="s">
        <v>1180</v>
      </c>
      <c r="D1347" s="9">
        <v>1428226</v>
      </c>
      <c r="E1347">
        <v>1.4058E-3</v>
      </c>
    </row>
    <row r="1348" spans="1:5">
      <c r="A1348">
        <v>2016</v>
      </c>
      <c r="B1348" s="3" t="s">
        <v>1235</v>
      </c>
      <c r="C1348" t="s">
        <v>1181</v>
      </c>
      <c r="D1348" s="9">
        <v>83847</v>
      </c>
      <c r="E1348">
        <v>8.25E-5</v>
      </c>
    </row>
    <row r="1349" spans="1:5">
      <c r="A1349">
        <v>2016</v>
      </c>
      <c r="B1349" s="3" t="s">
        <v>1236</v>
      </c>
      <c r="C1349" t="s">
        <v>1182</v>
      </c>
      <c r="D1349" s="9">
        <v>1261987</v>
      </c>
      <c r="E1349">
        <v>1.2421999999999999E-3</v>
      </c>
    </row>
    <row r="1350" spans="1:5">
      <c r="A1350">
        <v>2016</v>
      </c>
      <c r="B1350" s="3" t="s">
        <v>1237</v>
      </c>
      <c r="C1350" t="s">
        <v>1183</v>
      </c>
      <c r="D1350" s="9">
        <v>426367</v>
      </c>
      <c r="E1350">
        <v>4.1970000000000001E-4</v>
      </c>
    </row>
    <row r="1351" spans="1:5">
      <c r="A1351">
        <v>2016</v>
      </c>
      <c r="B1351" s="3" t="s">
        <v>1238</v>
      </c>
      <c r="C1351" t="s">
        <v>1184</v>
      </c>
      <c r="D1351" s="9">
        <v>114504</v>
      </c>
      <c r="E1351">
        <v>1.127E-4</v>
      </c>
    </row>
    <row r="1352" spans="1:5">
      <c r="A1352">
        <v>2016</v>
      </c>
      <c r="B1352" s="3" t="s">
        <v>1239</v>
      </c>
      <c r="C1352" t="s">
        <v>1185</v>
      </c>
      <c r="D1352" s="9">
        <v>32814</v>
      </c>
      <c r="E1352">
        <v>3.2299999999999999E-5</v>
      </c>
    </row>
    <row r="1353" spans="1:5">
      <c r="A1353">
        <v>2016</v>
      </c>
      <c r="B1353" s="3" t="s">
        <v>1240</v>
      </c>
      <c r="C1353" t="s">
        <v>1186</v>
      </c>
      <c r="D1353" s="9">
        <v>530866</v>
      </c>
      <c r="E1353">
        <v>5.2249999999999996E-4</v>
      </c>
    </row>
    <row r="1354" spans="1:5">
      <c r="A1354">
        <v>2016</v>
      </c>
      <c r="B1354" s="3" t="s">
        <v>1241</v>
      </c>
      <c r="C1354" t="s">
        <v>1187</v>
      </c>
      <c r="D1354" s="9">
        <v>27137</v>
      </c>
      <c r="E1354">
        <v>2.6699999999999998E-5</v>
      </c>
    </row>
    <row r="1355" spans="1:5">
      <c r="A1355">
        <v>2016</v>
      </c>
      <c r="B1355" s="3" t="s">
        <v>1242</v>
      </c>
      <c r="C1355" t="s">
        <v>1188</v>
      </c>
      <c r="D1355" s="9">
        <v>157461</v>
      </c>
      <c r="E1355">
        <v>1.55E-4</v>
      </c>
    </row>
    <row r="1356" spans="1:5">
      <c r="A1356">
        <v>2016</v>
      </c>
      <c r="B1356" s="3" t="s">
        <v>1243</v>
      </c>
      <c r="C1356" t="s">
        <v>1189</v>
      </c>
      <c r="D1356" s="9">
        <v>1281699</v>
      </c>
      <c r="E1356">
        <v>1.2616000000000001E-3</v>
      </c>
    </row>
    <row r="1357" spans="1:5">
      <c r="A1357">
        <v>2016</v>
      </c>
      <c r="B1357" s="3" t="s">
        <v>1244</v>
      </c>
      <c r="C1357" t="s">
        <v>1190</v>
      </c>
      <c r="D1357" s="9">
        <v>579849</v>
      </c>
      <c r="E1357">
        <v>5.708E-4</v>
      </c>
    </row>
    <row r="1358" spans="1:5">
      <c r="A1358">
        <v>2016</v>
      </c>
      <c r="B1358" s="3" t="s">
        <v>1245</v>
      </c>
      <c r="C1358" t="s">
        <v>1191</v>
      </c>
      <c r="D1358" s="9">
        <v>142647</v>
      </c>
      <c r="E1358">
        <v>1.404E-4</v>
      </c>
    </row>
    <row r="1359" spans="1:5">
      <c r="A1359">
        <v>2016</v>
      </c>
      <c r="B1359" s="3" t="s">
        <v>1246</v>
      </c>
      <c r="C1359" t="s">
        <v>1192</v>
      </c>
      <c r="D1359" s="9">
        <v>106165</v>
      </c>
      <c r="E1359">
        <v>1.0450000000000001E-4</v>
      </c>
    </row>
    <row r="1360" spans="1:5">
      <c r="A1360">
        <v>2016</v>
      </c>
      <c r="B1360" s="3" t="s">
        <v>1247</v>
      </c>
      <c r="C1360" t="s">
        <v>1193</v>
      </c>
      <c r="D1360" s="9">
        <v>23797</v>
      </c>
      <c r="E1360">
        <v>2.34E-5</v>
      </c>
    </row>
    <row r="1361" spans="1:5">
      <c r="A1361">
        <v>2016</v>
      </c>
      <c r="B1361" s="3" t="s">
        <v>1248</v>
      </c>
      <c r="C1361" t="s">
        <v>1194</v>
      </c>
      <c r="D1361" s="9">
        <v>44949</v>
      </c>
      <c r="E1361">
        <v>4.4199999999999997E-5</v>
      </c>
    </row>
    <row r="1362" spans="1:5">
      <c r="A1362">
        <v>2016</v>
      </c>
      <c r="B1362" s="3" t="s">
        <v>1249</v>
      </c>
      <c r="C1362" t="s">
        <v>1195</v>
      </c>
      <c r="D1362" s="9">
        <v>96518</v>
      </c>
      <c r="E1362">
        <v>9.5000000000000005E-5</v>
      </c>
    </row>
    <row r="1363" spans="1:5">
      <c r="A1363">
        <v>2016</v>
      </c>
      <c r="B1363" s="3" t="s">
        <v>1250</v>
      </c>
      <c r="C1363" t="s">
        <v>1196</v>
      </c>
      <c r="D1363" s="9">
        <v>152801</v>
      </c>
      <c r="E1363">
        <v>1.504E-4</v>
      </c>
    </row>
    <row r="1364" spans="1:5">
      <c r="A1364">
        <v>2016</v>
      </c>
      <c r="B1364" s="3" t="s">
        <v>1251</v>
      </c>
      <c r="C1364" t="s">
        <v>1197</v>
      </c>
      <c r="D1364" s="9">
        <v>19279</v>
      </c>
      <c r="E1364">
        <v>1.9000000000000001E-5</v>
      </c>
    </row>
    <row r="1365" spans="1:5">
      <c r="A1365">
        <v>2016</v>
      </c>
      <c r="B1365" s="3" t="s">
        <v>1252</v>
      </c>
      <c r="C1365" t="s">
        <v>1198</v>
      </c>
      <c r="D1365" s="9">
        <v>83372</v>
      </c>
      <c r="E1365">
        <v>8.2100000000000003E-5</v>
      </c>
    </row>
    <row r="1366" spans="1:5">
      <c r="A1366">
        <v>2016</v>
      </c>
      <c r="B1366" s="3" t="s">
        <v>1253</v>
      </c>
      <c r="C1366" t="s">
        <v>1199</v>
      </c>
      <c r="D1366" s="9">
        <v>243809</v>
      </c>
      <c r="E1366">
        <v>2.4000000000000001E-4</v>
      </c>
    </row>
    <row r="1367" spans="1:5">
      <c r="A1367">
        <v>2016</v>
      </c>
      <c r="B1367" s="3" t="s">
        <v>1254</v>
      </c>
      <c r="C1367" t="s">
        <v>1200</v>
      </c>
      <c r="D1367" s="9">
        <v>77986</v>
      </c>
      <c r="E1367">
        <v>7.6799999999999997E-5</v>
      </c>
    </row>
    <row r="1368" spans="1:5">
      <c r="A1368">
        <v>2016</v>
      </c>
      <c r="B1368" s="3" t="s">
        <v>1255</v>
      </c>
      <c r="C1368" t="s">
        <v>1201</v>
      </c>
      <c r="D1368" s="9">
        <v>17170</v>
      </c>
      <c r="E1368">
        <v>1.6900000000000001E-5</v>
      </c>
    </row>
    <row r="1369" spans="1:5">
      <c r="A1369">
        <v>2016</v>
      </c>
      <c r="B1369" s="3" t="s">
        <v>1256</v>
      </c>
      <c r="C1369" t="s">
        <v>1202</v>
      </c>
      <c r="D1369" s="9">
        <v>36634</v>
      </c>
      <c r="E1369">
        <v>3.6100000000000003E-5</v>
      </c>
    </row>
    <row r="1370" spans="1:5">
      <c r="A1370">
        <v>2016</v>
      </c>
      <c r="B1370" s="3" t="s">
        <v>1257</v>
      </c>
      <c r="C1370" t="s">
        <v>1203</v>
      </c>
      <c r="D1370" s="9">
        <v>1258168</v>
      </c>
      <c r="E1370">
        <v>1.2385E-3</v>
      </c>
    </row>
    <row r="1371" spans="1:5">
      <c r="A1371">
        <v>2016</v>
      </c>
      <c r="B1371" s="3" t="s">
        <v>1258</v>
      </c>
      <c r="C1371" t="s">
        <v>1204</v>
      </c>
      <c r="D1371" s="9">
        <v>1123979</v>
      </c>
      <c r="E1371">
        <v>1.1064E-3</v>
      </c>
    </row>
    <row r="1372" spans="1:5">
      <c r="A1372">
        <v>2016</v>
      </c>
      <c r="B1372" s="3" t="s">
        <v>1259</v>
      </c>
      <c r="C1372" t="s">
        <v>1205</v>
      </c>
      <c r="D1372" s="9">
        <v>270159</v>
      </c>
      <c r="E1372">
        <v>2.6590000000000001E-4</v>
      </c>
    </row>
    <row r="1373" spans="1:5">
      <c r="A1373">
        <v>2016</v>
      </c>
      <c r="B1373" s="3" t="s">
        <v>1260</v>
      </c>
      <c r="C1373" t="s">
        <v>1206</v>
      </c>
      <c r="D1373" s="9">
        <v>47644</v>
      </c>
      <c r="E1373">
        <v>4.6900000000000002E-5</v>
      </c>
    </row>
    <row r="1374" spans="1:5">
      <c r="A1374">
        <v>2016</v>
      </c>
      <c r="B1374" s="3" t="s">
        <v>1261</v>
      </c>
      <c r="C1374" t="s">
        <v>1207</v>
      </c>
      <c r="D1374" s="9">
        <v>25963519</v>
      </c>
      <c r="E1374">
        <v>2.5556700000000002E-2</v>
      </c>
    </row>
    <row r="1375" spans="1:5">
      <c r="A1375">
        <v>2016</v>
      </c>
      <c r="B1375" s="3" t="s">
        <v>1262</v>
      </c>
      <c r="C1375" t="s">
        <v>1208</v>
      </c>
      <c r="D1375" s="9">
        <v>23288</v>
      </c>
      <c r="E1375">
        <v>2.2900000000000001E-5</v>
      </c>
    </row>
    <row r="1376" spans="1:5">
      <c r="A1376">
        <v>2016</v>
      </c>
      <c r="B1376" s="3" t="s">
        <v>1311</v>
      </c>
      <c r="C1376" t="s">
        <v>1263</v>
      </c>
      <c r="D1376" s="9">
        <v>726772</v>
      </c>
      <c r="E1376">
        <v>7.1540000000000004E-4</v>
      </c>
    </row>
    <row r="1377" spans="1:5">
      <c r="A1377">
        <v>2016</v>
      </c>
      <c r="B1377" s="3" t="s">
        <v>1312</v>
      </c>
      <c r="C1377" t="s">
        <v>1264</v>
      </c>
      <c r="D1377" s="9">
        <v>39129819</v>
      </c>
      <c r="E1377">
        <v>3.8516599999999998E-2</v>
      </c>
    </row>
    <row r="1378" spans="1:5">
      <c r="A1378">
        <v>2016</v>
      </c>
      <c r="B1378" s="3" t="s">
        <v>1313</v>
      </c>
      <c r="C1378" t="s">
        <v>1265</v>
      </c>
      <c r="D1378" s="9">
        <v>5997035</v>
      </c>
      <c r="E1378">
        <v>5.9030999999999997E-3</v>
      </c>
    </row>
    <row r="1379" spans="1:5">
      <c r="A1379">
        <v>2016</v>
      </c>
      <c r="B1379" s="3" t="s">
        <v>1314</v>
      </c>
      <c r="C1379" t="s">
        <v>1266</v>
      </c>
      <c r="D1379" s="9">
        <v>39522</v>
      </c>
      <c r="E1379">
        <v>3.8899999999999997E-5</v>
      </c>
    </row>
    <row r="1380" spans="1:5">
      <c r="A1380">
        <v>2016</v>
      </c>
      <c r="B1380" s="3" t="s">
        <v>1315</v>
      </c>
      <c r="C1380" t="s">
        <v>1267</v>
      </c>
      <c r="D1380" s="9">
        <v>34036</v>
      </c>
      <c r="E1380">
        <v>3.3500000000000001E-5</v>
      </c>
    </row>
    <row r="1381" spans="1:5">
      <c r="A1381">
        <v>2016</v>
      </c>
      <c r="B1381" s="3" t="s">
        <v>1316</v>
      </c>
      <c r="C1381" t="s">
        <v>1268</v>
      </c>
      <c r="D1381" s="9">
        <v>277401</v>
      </c>
      <c r="E1381">
        <v>2.7310000000000002E-4</v>
      </c>
    </row>
    <row r="1382" spans="1:5">
      <c r="A1382">
        <v>2016</v>
      </c>
      <c r="B1382" s="3" t="s">
        <v>1317</v>
      </c>
      <c r="C1382" t="s">
        <v>1269</v>
      </c>
      <c r="D1382" s="9">
        <v>93861</v>
      </c>
      <c r="E1382">
        <v>9.2399999999999996E-5</v>
      </c>
    </row>
    <row r="1383" spans="1:5">
      <c r="A1383">
        <v>2016</v>
      </c>
      <c r="B1383" s="3" t="s">
        <v>1318</v>
      </c>
      <c r="C1383" t="s">
        <v>1270</v>
      </c>
      <c r="D1383" s="9"/>
      <c r="E1383">
        <v>0</v>
      </c>
    </row>
    <row r="1384" spans="1:5">
      <c r="A1384">
        <v>2016</v>
      </c>
      <c r="B1384" s="3" t="s">
        <v>1319</v>
      </c>
      <c r="C1384" t="s">
        <v>1271</v>
      </c>
      <c r="D1384" s="9">
        <v>27556</v>
      </c>
      <c r="E1384">
        <v>2.7100000000000001E-5</v>
      </c>
    </row>
    <row r="1385" spans="1:5">
      <c r="A1385">
        <v>2016</v>
      </c>
      <c r="B1385" s="3" t="s">
        <v>1320</v>
      </c>
      <c r="C1385" t="s">
        <v>1272</v>
      </c>
      <c r="D1385" s="9">
        <v>91247</v>
      </c>
      <c r="E1385">
        <v>8.9800000000000001E-5</v>
      </c>
    </row>
    <row r="1386" spans="1:5">
      <c r="A1386">
        <v>2016</v>
      </c>
      <c r="B1386" s="3" t="s">
        <v>1321</v>
      </c>
      <c r="C1386" t="s">
        <v>1273</v>
      </c>
      <c r="D1386" s="9">
        <v>28185</v>
      </c>
      <c r="E1386">
        <v>2.7699999999999999E-5</v>
      </c>
    </row>
    <row r="1387" spans="1:5">
      <c r="A1387">
        <v>2016</v>
      </c>
      <c r="B1387" s="3" t="s">
        <v>1322</v>
      </c>
      <c r="C1387" t="s">
        <v>1274</v>
      </c>
      <c r="D1387" s="9"/>
      <c r="E1387">
        <v>0</v>
      </c>
    </row>
    <row r="1388" spans="1:5">
      <c r="A1388">
        <v>2016</v>
      </c>
      <c r="B1388" s="3" t="s">
        <v>1323</v>
      </c>
      <c r="C1388" t="s">
        <v>1275</v>
      </c>
      <c r="D1388" s="9">
        <v>11787803</v>
      </c>
      <c r="E1388">
        <v>1.16031E-2</v>
      </c>
    </row>
    <row r="1389" spans="1:5">
      <c r="A1389">
        <v>2016</v>
      </c>
      <c r="B1389" s="3" t="s">
        <v>1324</v>
      </c>
      <c r="C1389" t="s">
        <v>1276</v>
      </c>
      <c r="D1389" s="9">
        <v>79668</v>
      </c>
      <c r="E1389">
        <v>7.8399999999999995E-5</v>
      </c>
    </row>
    <row r="1390" spans="1:5">
      <c r="A1390">
        <v>2016</v>
      </c>
      <c r="B1390" s="3" t="s">
        <v>1325</v>
      </c>
      <c r="C1390" t="s">
        <v>1277</v>
      </c>
      <c r="D1390" s="9">
        <v>129038</v>
      </c>
      <c r="E1390">
        <v>1.27E-4</v>
      </c>
    </row>
    <row r="1391" spans="1:5">
      <c r="A1391">
        <v>2016</v>
      </c>
      <c r="B1391" s="3" t="s">
        <v>1326</v>
      </c>
      <c r="C1391" t="s">
        <v>1278</v>
      </c>
      <c r="D1391" s="9">
        <v>84159</v>
      </c>
      <c r="E1391">
        <v>8.2799999999999993E-5</v>
      </c>
    </row>
    <row r="1392" spans="1:5">
      <c r="A1392">
        <v>2016</v>
      </c>
      <c r="B1392" s="3" t="s">
        <v>1327</v>
      </c>
      <c r="C1392" t="s">
        <v>1279</v>
      </c>
      <c r="D1392" s="9">
        <v>756816</v>
      </c>
      <c r="E1392">
        <v>7.45E-4</v>
      </c>
    </row>
    <row r="1393" spans="1:5">
      <c r="A1393">
        <v>2016</v>
      </c>
      <c r="B1393" s="3" t="s">
        <v>1328</v>
      </c>
      <c r="C1393" t="s">
        <v>1484</v>
      </c>
      <c r="D1393" s="9">
        <v>26150</v>
      </c>
      <c r="E1393">
        <v>2.5700000000000001E-5</v>
      </c>
    </row>
    <row r="1394" spans="1:5">
      <c r="A1394">
        <v>2016</v>
      </c>
      <c r="B1394" s="3" t="s">
        <v>1329</v>
      </c>
      <c r="C1394" t="s">
        <v>1485</v>
      </c>
      <c r="D1394" s="9">
        <v>548881</v>
      </c>
      <c r="E1394">
        <v>5.4029999999999996E-4</v>
      </c>
    </row>
    <row r="1395" spans="1:5">
      <c r="A1395">
        <v>2016</v>
      </c>
      <c r="B1395" s="3" t="s">
        <v>1330</v>
      </c>
      <c r="C1395" t="s">
        <v>1282</v>
      </c>
      <c r="D1395" s="9"/>
      <c r="E1395">
        <v>0</v>
      </c>
    </row>
    <row r="1396" spans="1:5">
      <c r="A1396">
        <v>2016</v>
      </c>
      <c r="B1396" s="3" t="s">
        <v>1331</v>
      </c>
      <c r="C1396" t="s">
        <v>1283</v>
      </c>
      <c r="D1396" s="9"/>
      <c r="E1396">
        <v>0</v>
      </c>
    </row>
    <row r="1397" spans="1:5">
      <c r="A1397">
        <v>2016</v>
      </c>
      <c r="B1397" s="3" t="s">
        <v>1332</v>
      </c>
      <c r="C1397" t="s">
        <v>1284</v>
      </c>
      <c r="D1397" s="9">
        <v>22767</v>
      </c>
      <c r="E1397">
        <v>2.2399999999999999E-5</v>
      </c>
    </row>
    <row r="1398" spans="1:5">
      <c r="A1398">
        <v>2016</v>
      </c>
      <c r="B1398" s="3" t="s">
        <v>1333</v>
      </c>
      <c r="C1398" t="s">
        <v>1285</v>
      </c>
      <c r="D1398" s="9">
        <v>1660</v>
      </c>
      <c r="E1398">
        <v>1.5999999999999999E-6</v>
      </c>
    </row>
    <row r="1399" spans="1:5">
      <c r="A1399">
        <v>2016</v>
      </c>
      <c r="B1399" s="3" t="s">
        <v>1334</v>
      </c>
      <c r="C1399" t="s">
        <v>1286</v>
      </c>
      <c r="D1399" s="9">
        <v>1378916</v>
      </c>
      <c r="E1399">
        <v>1.3573000000000001E-3</v>
      </c>
    </row>
    <row r="1400" spans="1:5">
      <c r="A1400">
        <v>2016</v>
      </c>
      <c r="B1400" s="3" t="s">
        <v>1335</v>
      </c>
      <c r="C1400" t="s">
        <v>1287</v>
      </c>
      <c r="D1400" s="9">
        <v>693270</v>
      </c>
      <c r="E1400">
        <v>6.824E-4</v>
      </c>
    </row>
    <row r="1401" spans="1:5">
      <c r="A1401">
        <v>2016</v>
      </c>
      <c r="B1401" s="3" t="s">
        <v>1336</v>
      </c>
      <c r="C1401" t="s">
        <v>1288</v>
      </c>
      <c r="D1401" s="9">
        <v>535144</v>
      </c>
      <c r="E1401">
        <v>5.2680000000000001E-4</v>
      </c>
    </row>
    <row r="1402" spans="1:5">
      <c r="A1402">
        <v>2016</v>
      </c>
      <c r="B1402" s="3" t="s">
        <v>1337</v>
      </c>
      <c r="C1402" t="s">
        <v>1289</v>
      </c>
      <c r="D1402" s="9">
        <v>338670</v>
      </c>
      <c r="E1402">
        <v>3.3340000000000003E-4</v>
      </c>
    </row>
    <row r="1403" spans="1:5">
      <c r="A1403">
        <v>2016</v>
      </c>
      <c r="B1403" s="3" t="s">
        <v>1338</v>
      </c>
      <c r="C1403" t="s">
        <v>1290</v>
      </c>
      <c r="D1403" s="9">
        <v>2373</v>
      </c>
      <c r="E1403">
        <v>2.3E-6</v>
      </c>
    </row>
    <row r="1404" spans="1:5">
      <c r="A1404">
        <v>2016</v>
      </c>
      <c r="B1404" s="3" t="s">
        <v>1339</v>
      </c>
      <c r="C1404" t="s">
        <v>1291</v>
      </c>
      <c r="D1404" s="9">
        <v>771192</v>
      </c>
      <c r="E1404">
        <v>7.5909999999999997E-4</v>
      </c>
    </row>
    <row r="1405" spans="1:5">
      <c r="A1405">
        <v>2016</v>
      </c>
      <c r="B1405" s="3" t="s">
        <v>1340</v>
      </c>
      <c r="C1405" t="s">
        <v>1292</v>
      </c>
      <c r="D1405" s="9">
        <v>1137047</v>
      </c>
      <c r="E1405">
        <v>1.1192000000000001E-3</v>
      </c>
    </row>
    <row r="1406" spans="1:5">
      <c r="A1406">
        <v>2016</v>
      </c>
      <c r="B1406" s="3" t="s">
        <v>1341</v>
      </c>
      <c r="C1406" t="s">
        <v>1293</v>
      </c>
      <c r="D1406" s="9">
        <v>1021777</v>
      </c>
      <c r="E1406">
        <v>1.0058000000000001E-3</v>
      </c>
    </row>
    <row r="1407" spans="1:5">
      <c r="A1407">
        <v>2016</v>
      </c>
      <c r="B1407" s="3" t="s">
        <v>1342</v>
      </c>
      <c r="C1407" t="s">
        <v>1294</v>
      </c>
      <c r="D1407" s="9">
        <v>2702</v>
      </c>
      <c r="E1407">
        <v>2.7E-6</v>
      </c>
    </row>
    <row r="1408" spans="1:5">
      <c r="A1408">
        <v>2016</v>
      </c>
      <c r="B1408" s="3" t="s">
        <v>1343</v>
      </c>
      <c r="C1408" t="s">
        <v>1295</v>
      </c>
      <c r="D1408" s="9">
        <v>37400</v>
      </c>
      <c r="E1408">
        <v>3.68E-5</v>
      </c>
    </row>
    <row r="1409" spans="1:5">
      <c r="A1409">
        <v>2016</v>
      </c>
      <c r="B1409" s="3" t="s">
        <v>1344</v>
      </c>
      <c r="C1409" t="s">
        <v>1296</v>
      </c>
      <c r="D1409" s="9">
        <v>44529</v>
      </c>
      <c r="E1409">
        <v>4.3800000000000001E-5</v>
      </c>
    </row>
    <row r="1410" spans="1:5">
      <c r="A1410">
        <v>2016</v>
      </c>
      <c r="B1410" s="3" t="s">
        <v>1345</v>
      </c>
      <c r="C1410" t="s">
        <v>1486</v>
      </c>
      <c r="D1410" s="9"/>
      <c r="E1410">
        <v>0</v>
      </c>
    </row>
    <row r="1411" spans="1:5">
      <c r="A1411">
        <v>2016</v>
      </c>
      <c r="B1411" s="3" t="s">
        <v>1346</v>
      </c>
      <c r="C1411" t="s">
        <v>1298</v>
      </c>
      <c r="D1411" s="9">
        <v>1992547</v>
      </c>
      <c r="E1411">
        <v>1.9613E-3</v>
      </c>
    </row>
    <row r="1412" spans="1:5">
      <c r="A1412">
        <v>2016</v>
      </c>
      <c r="B1412" s="3" t="s">
        <v>1347</v>
      </c>
      <c r="C1412" t="s">
        <v>1299</v>
      </c>
      <c r="D1412" s="9">
        <v>5260456</v>
      </c>
      <c r="E1412">
        <v>5.1780000000000003E-3</v>
      </c>
    </row>
    <row r="1413" spans="1:5">
      <c r="A1413">
        <v>2016</v>
      </c>
      <c r="B1413" s="3" t="s">
        <v>1348</v>
      </c>
      <c r="C1413" t="s">
        <v>1300</v>
      </c>
      <c r="D1413" s="9">
        <v>80833</v>
      </c>
      <c r="E1413">
        <v>7.9599999999999997E-5</v>
      </c>
    </row>
    <row r="1414" spans="1:5">
      <c r="A1414">
        <v>2016</v>
      </c>
      <c r="B1414" s="3" t="s">
        <v>1349</v>
      </c>
      <c r="C1414" t="s">
        <v>1301</v>
      </c>
      <c r="D1414" s="9">
        <v>151642</v>
      </c>
      <c r="E1414">
        <v>1.493E-4</v>
      </c>
    </row>
    <row r="1415" spans="1:5">
      <c r="A1415">
        <v>2016</v>
      </c>
      <c r="B1415" s="3" t="s">
        <v>1350</v>
      </c>
      <c r="C1415" t="s">
        <v>1302</v>
      </c>
      <c r="D1415" s="9">
        <v>23928</v>
      </c>
      <c r="E1415">
        <v>2.3600000000000001E-5</v>
      </c>
    </row>
    <row r="1416" spans="1:5">
      <c r="A1416">
        <v>2016</v>
      </c>
      <c r="B1416" s="3" t="s">
        <v>1351</v>
      </c>
      <c r="C1416" t="s">
        <v>1303</v>
      </c>
      <c r="D1416" s="9">
        <v>25290</v>
      </c>
      <c r="E1416">
        <v>2.4899999999999999E-5</v>
      </c>
    </row>
    <row r="1417" spans="1:5">
      <c r="A1417">
        <v>2016</v>
      </c>
      <c r="B1417" s="3" t="s">
        <v>1352</v>
      </c>
      <c r="C1417" t="s">
        <v>1304</v>
      </c>
      <c r="D1417" s="9">
        <v>4202363</v>
      </c>
      <c r="E1417">
        <v>4.1365000000000004E-3</v>
      </c>
    </row>
    <row r="1418" spans="1:5">
      <c r="A1418">
        <v>2016</v>
      </c>
      <c r="B1418" s="3" t="s">
        <v>1353</v>
      </c>
      <c r="C1418" t="s">
        <v>1305</v>
      </c>
      <c r="D1418" s="9">
        <v>121103</v>
      </c>
      <c r="E1418">
        <v>1.192E-4</v>
      </c>
    </row>
    <row r="1419" spans="1:5">
      <c r="A1419">
        <v>2016</v>
      </c>
      <c r="B1419" s="3" t="s">
        <v>1354</v>
      </c>
      <c r="C1419" t="s">
        <v>1306</v>
      </c>
      <c r="D1419" s="9">
        <v>4731</v>
      </c>
      <c r="E1419">
        <v>4.6999999999999999E-6</v>
      </c>
    </row>
    <row r="1420" spans="1:5">
      <c r="A1420">
        <v>2016</v>
      </c>
      <c r="B1420" s="3" t="s">
        <v>1355</v>
      </c>
      <c r="C1420" t="s">
        <v>1307</v>
      </c>
      <c r="D1420" s="9">
        <v>3769265</v>
      </c>
      <c r="E1420">
        <v>3.7101999999999999E-3</v>
      </c>
    </row>
    <row r="1421" spans="1:5">
      <c r="A1421">
        <v>2016</v>
      </c>
      <c r="B1421" s="3" t="s">
        <v>1356</v>
      </c>
      <c r="C1421" t="s">
        <v>1308</v>
      </c>
      <c r="D1421" s="9">
        <v>158044</v>
      </c>
      <c r="E1421">
        <v>1.5559999999999999E-4</v>
      </c>
    </row>
    <row r="1422" spans="1:5">
      <c r="A1422">
        <v>2016</v>
      </c>
      <c r="B1422" s="3" t="s">
        <v>1357</v>
      </c>
      <c r="C1422" t="s">
        <v>1309</v>
      </c>
      <c r="D1422" s="9">
        <v>138326</v>
      </c>
      <c r="E1422">
        <v>1.362E-4</v>
      </c>
    </row>
    <row r="1423" spans="1:5">
      <c r="A1423">
        <v>2016</v>
      </c>
      <c r="B1423" s="3" t="s">
        <v>1358</v>
      </c>
      <c r="C1423" t="s">
        <v>1310</v>
      </c>
      <c r="D1423" s="9">
        <v>4155754</v>
      </c>
      <c r="E1423">
        <v>4.0905999999999998E-3</v>
      </c>
    </row>
    <row r="1424" spans="1:5">
      <c r="A1424">
        <v>2017</v>
      </c>
      <c r="B1424" s="3" t="s">
        <v>59</v>
      </c>
      <c r="C1424" t="s">
        <v>6</v>
      </c>
      <c r="D1424" s="9">
        <v>35344</v>
      </c>
      <c r="E1424">
        <v>3.3599999999999997E-5</v>
      </c>
    </row>
    <row r="1425" spans="1:5">
      <c r="A1425">
        <v>2017</v>
      </c>
      <c r="B1425" s="3" t="s">
        <v>60</v>
      </c>
      <c r="C1425" t="s">
        <v>7</v>
      </c>
      <c r="D1425" s="9">
        <v>297080</v>
      </c>
      <c r="E1425">
        <v>2.8249999999999998E-4</v>
      </c>
    </row>
    <row r="1426" spans="1:5">
      <c r="A1426">
        <v>2017</v>
      </c>
      <c r="B1426" s="3" t="s">
        <v>61</v>
      </c>
      <c r="C1426" t="s">
        <v>1487</v>
      </c>
      <c r="D1426" s="9">
        <v>68676</v>
      </c>
      <c r="E1426">
        <v>6.5300000000000002E-5</v>
      </c>
    </row>
    <row r="1427" spans="1:5">
      <c r="A1427">
        <v>2017</v>
      </c>
      <c r="B1427" s="3" t="s">
        <v>62</v>
      </c>
      <c r="C1427" t="s">
        <v>9</v>
      </c>
      <c r="D1427" s="9">
        <v>69678</v>
      </c>
      <c r="E1427">
        <v>6.6299999999999999E-5</v>
      </c>
    </row>
    <row r="1428" spans="1:5">
      <c r="A1428">
        <v>2017</v>
      </c>
      <c r="B1428" s="3" t="s">
        <v>63</v>
      </c>
      <c r="C1428" t="s">
        <v>1488</v>
      </c>
      <c r="D1428" s="9">
        <v>167898</v>
      </c>
      <c r="E1428">
        <v>1.5970000000000001E-4</v>
      </c>
    </row>
    <row r="1429" spans="1:5">
      <c r="A1429">
        <v>2017</v>
      </c>
      <c r="B1429" s="3" t="s">
        <v>64</v>
      </c>
      <c r="C1429" t="s">
        <v>1489</v>
      </c>
      <c r="D1429" s="9">
        <v>3527673</v>
      </c>
      <c r="E1429">
        <v>3.3549999999999999E-3</v>
      </c>
    </row>
    <row r="1430" spans="1:5">
      <c r="A1430">
        <v>2017</v>
      </c>
      <c r="B1430" s="3" t="s">
        <v>65</v>
      </c>
      <c r="C1430" t="s">
        <v>1490</v>
      </c>
      <c r="D1430" s="9">
        <v>84595</v>
      </c>
      <c r="E1430">
        <v>8.0500000000000005E-5</v>
      </c>
    </row>
    <row r="1431" spans="1:5">
      <c r="A1431">
        <v>2017</v>
      </c>
      <c r="B1431" s="3" t="s">
        <v>66</v>
      </c>
      <c r="C1431" t="s">
        <v>1491</v>
      </c>
      <c r="D1431" s="9">
        <v>50441</v>
      </c>
      <c r="E1431">
        <v>4.8000000000000001E-5</v>
      </c>
    </row>
    <row r="1432" spans="1:5">
      <c r="A1432">
        <v>2017</v>
      </c>
      <c r="B1432" s="3" t="s">
        <v>67</v>
      </c>
      <c r="C1432" t="s">
        <v>1492</v>
      </c>
      <c r="D1432" s="9">
        <v>187914</v>
      </c>
      <c r="E1432">
        <v>1.7870000000000001E-4</v>
      </c>
    </row>
    <row r="1433" spans="1:5">
      <c r="A1433">
        <v>2017</v>
      </c>
      <c r="B1433" s="3" t="s">
        <v>68</v>
      </c>
      <c r="C1433" t="s">
        <v>1493</v>
      </c>
      <c r="D1433" s="9">
        <v>13323</v>
      </c>
      <c r="E1433">
        <v>1.27E-5</v>
      </c>
    </row>
    <row r="1434" spans="1:5">
      <c r="A1434">
        <v>2017</v>
      </c>
      <c r="B1434" s="3" t="s">
        <v>69</v>
      </c>
      <c r="C1434" t="s">
        <v>1494</v>
      </c>
      <c r="D1434" s="9">
        <v>329250</v>
      </c>
      <c r="E1434">
        <v>3.1310000000000002E-4</v>
      </c>
    </row>
    <row r="1435" spans="1:5">
      <c r="A1435">
        <v>2017</v>
      </c>
      <c r="B1435" s="3" t="s">
        <v>70</v>
      </c>
      <c r="C1435" t="s">
        <v>1495</v>
      </c>
      <c r="D1435" s="9">
        <v>7055809</v>
      </c>
      <c r="E1435">
        <v>6.7104E-3</v>
      </c>
    </row>
    <row r="1436" spans="1:5">
      <c r="A1436">
        <v>2017</v>
      </c>
      <c r="B1436" s="3" t="s">
        <v>71</v>
      </c>
      <c r="C1436" t="s">
        <v>1496</v>
      </c>
      <c r="D1436" s="9">
        <v>53324</v>
      </c>
      <c r="E1436">
        <v>5.0699999999999999E-5</v>
      </c>
    </row>
    <row r="1437" spans="1:5">
      <c r="A1437">
        <v>2017</v>
      </c>
      <c r="B1437" s="3" t="s">
        <v>72</v>
      </c>
      <c r="C1437" t="s">
        <v>1497</v>
      </c>
      <c r="D1437" s="9">
        <v>372329</v>
      </c>
      <c r="E1437">
        <v>3.5409999999999999E-4</v>
      </c>
    </row>
    <row r="1438" spans="1:5">
      <c r="A1438">
        <v>2017</v>
      </c>
      <c r="B1438" s="3" t="s">
        <v>74</v>
      </c>
      <c r="C1438" t="s">
        <v>1498</v>
      </c>
      <c r="D1438" s="9">
        <v>32923</v>
      </c>
      <c r="E1438">
        <v>3.1300000000000002E-5</v>
      </c>
    </row>
    <row r="1439" spans="1:5">
      <c r="A1439">
        <v>2017</v>
      </c>
      <c r="B1439" s="3" t="s">
        <v>75</v>
      </c>
      <c r="C1439" t="s">
        <v>1365</v>
      </c>
      <c r="D1439" s="9">
        <v>25365</v>
      </c>
      <c r="E1439">
        <v>2.41E-5</v>
      </c>
    </row>
    <row r="1440" spans="1:5">
      <c r="A1440">
        <v>2017</v>
      </c>
      <c r="B1440" s="3" t="s">
        <v>76</v>
      </c>
      <c r="C1440" t="s">
        <v>1499</v>
      </c>
      <c r="D1440" s="9">
        <v>7248286</v>
      </c>
      <c r="E1440">
        <v>6.8935000000000003E-3</v>
      </c>
    </row>
    <row r="1441" spans="1:5">
      <c r="A1441">
        <v>2017</v>
      </c>
      <c r="B1441" s="3" t="s">
        <v>77</v>
      </c>
      <c r="C1441" t="s">
        <v>1500</v>
      </c>
      <c r="D1441" s="9">
        <v>170941</v>
      </c>
      <c r="E1441">
        <v>1.6259999999999999E-4</v>
      </c>
    </row>
    <row r="1442" spans="1:5">
      <c r="A1442">
        <v>2017</v>
      </c>
      <c r="B1442" s="3" t="s">
        <v>78</v>
      </c>
      <c r="C1442" t="s">
        <v>25</v>
      </c>
      <c r="D1442" s="9">
        <v>1118468</v>
      </c>
      <c r="E1442">
        <v>1.0637000000000001E-3</v>
      </c>
    </row>
    <row r="1443" spans="1:5">
      <c r="A1443">
        <v>2017</v>
      </c>
      <c r="B1443" s="3" t="s">
        <v>1524</v>
      </c>
      <c r="C1443" t="s">
        <v>1501</v>
      </c>
      <c r="D1443" s="9"/>
      <c r="E1443">
        <v>0</v>
      </c>
    </row>
    <row r="1444" spans="1:5">
      <c r="A1444">
        <v>2017</v>
      </c>
      <c r="B1444" s="3" t="s">
        <v>79</v>
      </c>
      <c r="C1444" t="s">
        <v>1502</v>
      </c>
      <c r="D1444" s="9">
        <v>12179</v>
      </c>
      <c r="E1444">
        <v>1.1600000000000001E-5</v>
      </c>
    </row>
    <row r="1445" spans="1:5">
      <c r="A1445">
        <v>2017</v>
      </c>
      <c r="B1445" s="3" t="s">
        <v>80</v>
      </c>
      <c r="C1445" t="s">
        <v>1503</v>
      </c>
      <c r="D1445" s="9">
        <v>1674478</v>
      </c>
      <c r="E1445">
        <v>1.5924999999999999E-3</v>
      </c>
    </row>
    <row r="1446" spans="1:5">
      <c r="A1446">
        <v>2017</v>
      </c>
      <c r="B1446" s="3" t="s">
        <v>1324</v>
      </c>
      <c r="C1446" t="s">
        <v>1504</v>
      </c>
      <c r="D1446" s="9">
        <v>78931</v>
      </c>
      <c r="E1446">
        <v>7.5099999999999996E-5</v>
      </c>
    </row>
    <row r="1447" spans="1:5">
      <c r="A1447">
        <v>2017</v>
      </c>
      <c r="B1447" s="3" t="s">
        <v>369</v>
      </c>
      <c r="C1447" t="s">
        <v>1505</v>
      </c>
      <c r="D1447" s="9">
        <v>1042707</v>
      </c>
      <c r="E1447">
        <v>9.9170000000000009E-4</v>
      </c>
    </row>
    <row r="1448" spans="1:5">
      <c r="A1448">
        <v>2017</v>
      </c>
      <c r="B1448" s="3" t="s">
        <v>81</v>
      </c>
      <c r="C1448" t="s">
        <v>1506</v>
      </c>
      <c r="D1448" s="9">
        <v>126269</v>
      </c>
      <c r="E1448">
        <v>1.2010000000000001E-4</v>
      </c>
    </row>
    <row r="1449" spans="1:5">
      <c r="A1449">
        <v>2017</v>
      </c>
      <c r="B1449" s="3" t="s">
        <v>1371</v>
      </c>
      <c r="C1449" t="s">
        <v>1507</v>
      </c>
      <c r="D1449" s="9">
        <v>7592</v>
      </c>
      <c r="E1449">
        <v>7.1999999999999997E-6</v>
      </c>
    </row>
    <row r="1450" spans="1:5">
      <c r="A1450">
        <v>2017</v>
      </c>
      <c r="B1450" s="3" t="s">
        <v>58</v>
      </c>
      <c r="C1450" t="s">
        <v>1508</v>
      </c>
      <c r="D1450" s="9">
        <v>563311</v>
      </c>
      <c r="E1450">
        <v>5.3569999999999996E-4</v>
      </c>
    </row>
    <row r="1451" spans="1:5">
      <c r="A1451">
        <v>2017</v>
      </c>
      <c r="B1451" s="3" t="s">
        <v>82</v>
      </c>
      <c r="C1451" t="s">
        <v>1509</v>
      </c>
      <c r="D1451" s="9">
        <v>36339</v>
      </c>
      <c r="E1451">
        <v>3.4600000000000001E-5</v>
      </c>
    </row>
    <row r="1452" spans="1:5">
      <c r="A1452">
        <v>2017</v>
      </c>
      <c r="B1452" s="3" t="s">
        <v>83</v>
      </c>
      <c r="C1452" t="s">
        <v>30</v>
      </c>
      <c r="D1452" s="9">
        <v>7090628</v>
      </c>
      <c r="E1452">
        <v>6.7435000000000004E-3</v>
      </c>
    </row>
    <row r="1453" spans="1:5">
      <c r="A1453">
        <v>2017</v>
      </c>
      <c r="B1453" s="3" t="s">
        <v>84</v>
      </c>
      <c r="C1453" t="s">
        <v>31</v>
      </c>
      <c r="D1453" s="9">
        <v>34359</v>
      </c>
      <c r="E1453">
        <v>3.2700000000000002E-5</v>
      </c>
    </row>
    <row r="1454" spans="1:5">
      <c r="A1454">
        <v>2017</v>
      </c>
      <c r="B1454" s="3" t="s">
        <v>1426</v>
      </c>
      <c r="C1454" t="s">
        <v>1510</v>
      </c>
      <c r="D1454" s="9">
        <v>2898</v>
      </c>
      <c r="E1454">
        <v>2.7999999999999999E-6</v>
      </c>
    </row>
    <row r="1455" spans="1:5">
      <c r="A1455">
        <v>2017</v>
      </c>
      <c r="B1455" s="3" t="s">
        <v>91</v>
      </c>
      <c r="C1455" t="s">
        <v>1511</v>
      </c>
      <c r="D1455" s="9">
        <v>19694</v>
      </c>
      <c r="E1455">
        <v>1.8700000000000001E-5</v>
      </c>
    </row>
    <row r="1456" spans="1:5">
      <c r="A1456">
        <v>2017</v>
      </c>
      <c r="B1456" s="3" t="s">
        <v>97</v>
      </c>
      <c r="C1456" t="s">
        <v>1512</v>
      </c>
      <c r="D1456" s="9">
        <v>43528</v>
      </c>
      <c r="E1456">
        <v>4.1399999999999997E-5</v>
      </c>
    </row>
    <row r="1457" spans="1:5">
      <c r="A1457">
        <v>2017</v>
      </c>
      <c r="B1457" s="3" t="s">
        <v>98</v>
      </c>
      <c r="C1457" t="s">
        <v>1513</v>
      </c>
      <c r="D1457" s="9">
        <v>37679</v>
      </c>
      <c r="E1457">
        <v>3.5800000000000003E-5</v>
      </c>
    </row>
    <row r="1458" spans="1:5">
      <c r="A1458">
        <v>2017</v>
      </c>
      <c r="B1458" s="3" t="s">
        <v>99</v>
      </c>
      <c r="C1458" t="s">
        <v>1514</v>
      </c>
      <c r="D1458" s="9">
        <v>11274</v>
      </c>
      <c r="E1458">
        <v>1.0699999999999999E-5</v>
      </c>
    </row>
    <row r="1459" spans="1:5">
      <c r="A1459">
        <v>2017</v>
      </c>
      <c r="B1459" s="3" t="s">
        <v>210</v>
      </c>
      <c r="C1459" t="s">
        <v>1515</v>
      </c>
      <c r="D1459" s="9">
        <v>3268</v>
      </c>
      <c r="E1459">
        <v>3.1E-6</v>
      </c>
    </row>
    <row r="1460" spans="1:5">
      <c r="A1460">
        <v>2017</v>
      </c>
      <c r="B1460" s="3" t="s">
        <v>85</v>
      </c>
      <c r="C1460" t="s">
        <v>1516</v>
      </c>
      <c r="D1460" s="9">
        <v>25913</v>
      </c>
      <c r="E1460">
        <v>2.4600000000000002E-5</v>
      </c>
    </row>
    <row r="1461" spans="1:5">
      <c r="A1461">
        <v>2017</v>
      </c>
      <c r="B1461" s="3" t="s">
        <v>102</v>
      </c>
      <c r="C1461" t="s">
        <v>1517</v>
      </c>
      <c r="D1461" s="9">
        <v>13753</v>
      </c>
      <c r="E1461">
        <v>1.31E-5</v>
      </c>
    </row>
    <row r="1462" spans="1:5">
      <c r="A1462">
        <v>2017</v>
      </c>
      <c r="B1462" s="3" t="s">
        <v>104</v>
      </c>
      <c r="C1462" t="s">
        <v>1518</v>
      </c>
      <c r="D1462" s="9">
        <v>42419</v>
      </c>
      <c r="E1462">
        <v>4.0299999999999997E-5</v>
      </c>
    </row>
    <row r="1463" spans="1:5">
      <c r="A1463">
        <v>2017</v>
      </c>
      <c r="B1463" s="3" t="s">
        <v>106</v>
      </c>
      <c r="C1463" t="s">
        <v>1519</v>
      </c>
      <c r="D1463" s="9">
        <v>7492</v>
      </c>
      <c r="E1463">
        <v>7.0999999999999998E-6</v>
      </c>
    </row>
    <row r="1464" spans="1:5">
      <c r="A1464">
        <v>2017</v>
      </c>
      <c r="B1464" s="3" t="s">
        <v>107</v>
      </c>
      <c r="C1464" t="s">
        <v>1520</v>
      </c>
      <c r="D1464" s="9">
        <v>24671</v>
      </c>
      <c r="E1464">
        <v>2.3499999999999999E-5</v>
      </c>
    </row>
    <row r="1465" spans="1:5">
      <c r="A1465">
        <v>2017</v>
      </c>
      <c r="B1465" s="3" t="s">
        <v>108</v>
      </c>
      <c r="C1465" t="s">
        <v>1521</v>
      </c>
      <c r="D1465" s="9">
        <v>275417</v>
      </c>
      <c r="E1465">
        <v>2.6190000000000002E-4</v>
      </c>
    </row>
    <row r="1466" spans="1:5">
      <c r="A1466">
        <v>2017</v>
      </c>
      <c r="B1466" s="3" t="s">
        <v>109</v>
      </c>
      <c r="C1466" t="s">
        <v>1522</v>
      </c>
      <c r="D1466" s="9">
        <v>17791</v>
      </c>
      <c r="E1466">
        <v>1.6900000000000001E-5</v>
      </c>
    </row>
    <row r="1467" spans="1:5">
      <c r="A1467">
        <v>2017</v>
      </c>
      <c r="B1467" s="3" t="s">
        <v>167</v>
      </c>
      <c r="C1467" t="s">
        <v>1523</v>
      </c>
      <c r="D1467" s="9"/>
      <c r="E1467">
        <v>0</v>
      </c>
    </row>
    <row r="1468" spans="1:5">
      <c r="A1468">
        <v>2017</v>
      </c>
      <c r="B1468" s="3" t="s">
        <v>1140</v>
      </c>
      <c r="C1468" t="s">
        <v>1525</v>
      </c>
      <c r="D1468" s="9">
        <v>339962</v>
      </c>
      <c r="E1468">
        <v>3.233E-4</v>
      </c>
    </row>
    <row r="1469" spans="1:5">
      <c r="A1469">
        <v>2017</v>
      </c>
      <c r="B1469" s="3" t="s">
        <v>168</v>
      </c>
      <c r="C1469" t="s">
        <v>113</v>
      </c>
      <c r="D1469" s="9">
        <v>44811</v>
      </c>
      <c r="E1469">
        <v>4.2599999999999999E-5</v>
      </c>
    </row>
    <row r="1470" spans="1:5">
      <c r="A1470">
        <v>2017</v>
      </c>
      <c r="B1470" s="3" t="s">
        <v>170</v>
      </c>
      <c r="C1470" t="s">
        <v>1526</v>
      </c>
      <c r="D1470" s="9">
        <v>34388</v>
      </c>
      <c r="E1470">
        <v>3.2700000000000002E-5</v>
      </c>
    </row>
    <row r="1471" spans="1:5">
      <c r="A1471">
        <v>2017</v>
      </c>
      <c r="B1471" s="3" t="s">
        <v>169</v>
      </c>
      <c r="C1471" t="s">
        <v>1527</v>
      </c>
      <c r="D1471" s="9">
        <v>105505</v>
      </c>
      <c r="E1471">
        <v>1.003E-4</v>
      </c>
    </row>
    <row r="1472" spans="1:5">
      <c r="A1472">
        <v>2017</v>
      </c>
      <c r="B1472" s="3" t="s">
        <v>1381</v>
      </c>
      <c r="C1472" t="s">
        <v>1528</v>
      </c>
      <c r="D1472" s="9">
        <v>7640</v>
      </c>
      <c r="E1472">
        <v>7.3000000000000004E-6</v>
      </c>
    </row>
    <row r="1473" spans="1:5">
      <c r="A1473">
        <v>2017</v>
      </c>
      <c r="B1473" s="3" t="s">
        <v>171</v>
      </c>
      <c r="C1473" t="s">
        <v>1529</v>
      </c>
      <c r="D1473" s="9">
        <v>56704</v>
      </c>
      <c r="E1473">
        <v>5.3900000000000002E-5</v>
      </c>
    </row>
    <row r="1474" spans="1:5">
      <c r="A1474">
        <v>2017</v>
      </c>
      <c r="B1474" s="3" t="s">
        <v>1427</v>
      </c>
      <c r="C1474" t="s">
        <v>1530</v>
      </c>
      <c r="D1474" s="9">
        <v>590695</v>
      </c>
      <c r="E1474">
        <v>5.6179999999999999E-4</v>
      </c>
    </row>
    <row r="1475" spans="1:5">
      <c r="A1475">
        <v>2017</v>
      </c>
      <c r="B1475" s="3" t="s">
        <v>172</v>
      </c>
      <c r="C1475" t="s">
        <v>117</v>
      </c>
      <c r="D1475" s="9">
        <v>1688737</v>
      </c>
      <c r="E1475">
        <v>1.6061000000000001E-3</v>
      </c>
    </row>
    <row r="1476" spans="1:5">
      <c r="A1476">
        <v>2017</v>
      </c>
      <c r="B1476" s="3" t="s">
        <v>173</v>
      </c>
      <c r="C1476" t="s">
        <v>1531</v>
      </c>
      <c r="D1476" s="9">
        <v>101483</v>
      </c>
      <c r="E1476">
        <v>9.6500000000000001E-5</v>
      </c>
    </row>
    <row r="1477" spans="1:5">
      <c r="A1477">
        <v>2017</v>
      </c>
      <c r="B1477" s="3" t="s">
        <v>174</v>
      </c>
      <c r="C1477" t="s">
        <v>119</v>
      </c>
      <c r="D1477" s="9">
        <v>88828</v>
      </c>
      <c r="E1477">
        <v>8.4499999999999994E-5</v>
      </c>
    </row>
    <row r="1478" spans="1:5">
      <c r="A1478">
        <v>2017</v>
      </c>
      <c r="B1478" s="3" t="s">
        <v>175</v>
      </c>
      <c r="C1478" t="s">
        <v>1532</v>
      </c>
      <c r="D1478" s="9">
        <v>342303</v>
      </c>
      <c r="E1478">
        <v>3.255E-4</v>
      </c>
    </row>
    <row r="1479" spans="1:5">
      <c r="A1479">
        <v>2017</v>
      </c>
      <c r="B1479" s="3" t="s">
        <v>176</v>
      </c>
      <c r="C1479" t="s">
        <v>1533</v>
      </c>
      <c r="D1479" s="9">
        <v>180780</v>
      </c>
      <c r="E1479">
        <v>1.719E-4</v>
      </c>
    </row>
    <row r="1480" spans="1:5">
      <c r="A1480">
        <v>2017</v>
      </c>
      <c r="B1480" s="3" t="s">
        <v>177</v>
      </c>
      <c r="C1480" t="s">
        <v>122</v>
      </c>
      <c r="D1480" s="9">
        <v>141505</v>
      </c>
      <c r="E1480">
        <v>1.3459999999999999E-4</v>
      </c>
    </row>
    <row r="1481" spans="1:5">
      <c r="A1481">
        <v>2017</v>
      </c>
      <c r="B1481" s="3" t="s">
        <v>178</v>
      </c>
      <c r="C1481" t="s">
        <v>1534</v>
      </c>
      <c r="D1481" s="9">
        <v>3638820</v>
      </c>
      <c r="E1481">
        <v>3.4607000000000001E-3</v>
      </c>
    </row>
    <row r="1482" spans="1:5">
      <c r="A1482">
        <v>2017</v>
      </c>
      <c r="B1482" s="3" t="s">
        <v>181</v>
      </c>
      <c r="C1482" t="s">
        <v>1535</v>
      </c>
      <c r="D1482" s="9">
        <v>1182486</v>
      </c>
      <c r="E1482">
        <v>1.1245999999999999E-3</v>
      </c>
    </row>
    <row r="1483" spans="1:5">
      <c r="A1483">
        <v>2017</v>
      </c>
      <c r="B1483" s="3" t="s">
        <v>1382</v>
      </c>
      <c r="C1483" t="s">
        <v>1536</v>
      </c>
      <c r="D1483" s="9">
        <v>12020209</v>
      </c>
      <c r="E1483">
        <v>1.1431800000000001E-2</v>
      </c>
    </row>
    <row r="1484" spans="1:5">
      <c r="A1484">
        <v>2017</v>
      </c>
      <c r="B1484" s="3" t="s">
        <v>182</v>
      </c>
      <c r="C1484" t="s">
        <v>1537</v>
      </c>
      <c r="D1484" s="9">
        <v>5196516</v>
      </c>
      <c r="E1484">
        <v>4.9420999999999996E-3</v>
      </c>
    </row>
    <row r="1485" spans="1:5">
      <c r="A1485">
        <v>2017</v>
      </c>
      <c r="B1485" s="3" t="s">
        <v>183</v>
      </c>
      <c r="C1485" t="s">
        <v>1538</v>
      </c>
      <c r="D1485" s="9">
        <v>32715896</v>
      </c>
      <c r="E1485">
        <v>3.11145E-2</v>
      </c>
    </row>
    <row r="1486" spans="1:5">
      <c r="A1486">
        <v>2017</v>
      </c>
      <c r="B1486" s="3" t="s">
        <v>184</v>
      </c>
      <c r="C1486" t="s">
        <v>1539</v>
      </c>
      <c r="D1486" s="9">
        <v>3295133</v>
      </c>
      <c r="E1486">
        <v>3.1338E-3</v>
      </c>
    </row>
    <row r="1487" spans="1:5">
      <c r="A1487">
        <v>2017</v>
      </c>
      <c r="B1487" s="3" t="s">
        <v>185</v>
      </c>
      <c r="C1487" t="s">
        <v>1540</v>
      </c>
      <c r="D1487" s="9">
        <v>1817065</v>
      </c>
      <c r="E1487">
        <v>1.7281E-3</v>
      </c>
    </row>
    <row r="1488" spans="1:5">
      <c r="A1488">
        <v>2017</v>
      </c>
      <c r="B1488" s="3" t="s">
        <v>186</v>
      </c>
      <c r="C1488" t="s">
        <v>1541</v>
      </c>
      <c r="D1488" s="9">
        <v>2472911</v>
      </c>
      <c r="E1488">
        <v>2.3519000000000001E-3</v>
      </c>
    </row>
    <row r="1489" spans="1:5">
      <c r="A1489">
        <v>2017</v>
      </c>
      <c r="B1489" s="3" t="s">
        <v>89</v>
      </c>
      <c r="C1489" t="s">
        <v>1542</v>
      </c>
      <c r="D1489" s="9"/>
      <c r="E1489">
        <v>0</v>
      </c>
    </row>
    <row r="1490" spans="1:5">
      <c r="A1490">
        <v>2017</v>
      </c>
      <c r="B1490" s="3" t="s">
        <v>187</v>
      </c>
      <c r="C1490" t="s">
        <v>1542</v>
      </c>
      <c r="D1490" s="9">
        <v>291341</v>
      </c>
      <c r="E1490">
        <v>2.7710000000000001E-4</v>
      </c>
    </row>
    <row r="1491" spans="1:5">
      <c r="A1491">
        <v>2017</v>
      </c>
      <c r="B1491" s="3" t="s">
        <v>180</v>
      </c>
      <c r="C1491" t="s">
        <v>1543</v>
      </c>
      <c r="D1491" s="9"/>
      <c r="E1491">
        <v>0</v>
      </c>
    </row>
    <row r="1492" spans="1:5">
      <c r="A1492">
        <v>2017</v>
      </c>
      <c r="B1492" s="3" t="s">
        <v>189</v>
      </c>
      <c r="C1492" t="s">
        <v>1544</v>
      </c>
      <c r="D1492" s="9">
        <v>666219</v>
      </c>
      <c r="E1492">
        <v>6.3360000000000001E-4</v>
      </c>
    </row>
    <row r="1493" spans="1:5">
      <c r="A1493">
        <v>2017</v>
      </c>
      <c r="B1493" s="3" t="s">
        <v>179</v>
      </c>
      <c r="C1493" t="s">
        <v>1545</v>
      </c>
      <c r="D1493" s="9"/>
      <c r="E1493">
        <v>0</v>
      </c>
    </row>
    <row r="1494" spans="1:5">
      <c r="A1494">
        <v>2017</v>
      </c>
      <c r="B1494" s="3" t="s">
        <v>190</v>
      </c>
      <c r="C1494" t="s">
        <v>1546</v>
      </c>
      <c r="D1494" s="9">
        <v>7732558</v>
      </c>
      <c r="E1494">
        <v>7.3540000000000003E-3</v>
      </c>
    </row>
    <row r="1495" spans="1:5">
      <c r="A1495">
        <v>2017</v>
      </c>
      <c r="B1495" s="3" t="s">
        <v>191</v>
      </c>
      <c r="C1495" t="s">
        <v>1547</v>
      </c>
      <c r="D1495" s="9">
        <v>97590</v>
      </c>
      <c r="E1495">
        <v>9.2800000000000006E-5</v>
      </c>
    </row>
    <row r="1496" spans="1:5">
      <c r="A1496">
        <v>2017</v>
      </c>
      <c r="B1496" s="3" t="s">
        <v>192</v>
      </c>
      <c r="C1496" t="s">
        <v>1548</v>
      </c>
      <c r="D1496" s="9">
        <v>461811</v>
      </c>
      <c r="E1496">
        <v>4.392E-4</v>
      </c>
    </row>
    <row r="1497" spans="1:5">
      <c r="A1497">
        <v>2017</v>
      </c>
      <c r="B1497" s="3" t="s">
        <v>193</v>
      </c>
      <c r="C1497" t="s">
        <v>1549</v>
      </c>
      <c r="D1497" s="9">
        <v>472097</v>
      </c>
      <c r="E1497">
        <v>4.4900000000000002E-4</v>
      </c>
    </row>
    <row r="1498" spans="1:5">
      <c r="A1498">
        <v>2017</v>
      </c>
      <c r="B1498" s="3" t="s">
        <v>194</v>
      </c>
      <c r="C1498" t="s">
        <v>1550</v>
      </c>
      <c r="D1498" s="9">
        <v>518568</v>
      </c>
      <c r="E1498">
        <v>4.9319999999999995E-4</v>
      </c>
    </row>
    <row r="1499" spans="1:5">
      <c r="A1499">
        <v>2017</v>
      </c>
      <c r="B1499" s="3" t="s">
        <v>196</v>
      </c>
      <c r="C1499" t="s">
        <v>1551</v>
      </c>
      <c r="D1499" s="9">
        <v>124147</v>
      </c>
      <c r="E1499">
        <v>1.181E-4</v>
      </c>
    </row>
    <row r="1500" spans="1:5">
      <c r="A1500">
        <v>2017</v>
      </c>
      <c r="B1500" s="3" t="s">
        <v>197</v>
      </c>
      <c r="C1500" t="s">
        <v>1552</v>
      </c>
      <c r="D1500" s="9">
        <v>4684849</v>
      </c>
      <c r="E1500">
        <v>4.4555000000000003E-3</v>
      </c>
    </row>
    <row r="1501" spans="1:5">
      <c r="A1501">
        <v>2017</v>
      </c>
      <c r="B1501" s="3" t="s">
        <v>198</v>
      </c>
      <c r="C1501" t="s">
        <v>1553</v>
      </c>
      <c r="D1501" s="9">
        <v>141885</v>
      </c>
      <c r="E1501">
        <v>1.349E-4</v>
      </c>
    </row>
    <row r="1502" spans="1:5">
      <c r="A1502">
        <v>2017</v>
      </c>
      <c r="B1502" s="3" t="s">
        <v>199</v>
      </c>
      <c r="C1502" t="s">
        <v>1554</v>
      </c>
      <c r="D1502" s="9">
        <v>3109189</v>
      </c>
      <c r="E1502">
        <v>2.957E-3</v>
      </c>
    </row>
    <row r="1503" spans="1:5">
      <c r="A1503">
        <v>2017</v>
      </c>
      <c r="B1503" s="3" t="s">
        <v>200</v>
      </c>
      <c r="C1503" t="s">
        <v>1555</v>
      </c>
      <c r="D1503" s="9">
        <v>20039878</v>
      </c>
      <c r="E1503">
        <v>1.90589E-2</v>
      </c>
    </row>
    <row r="1504" spans="1:5">
      <c r="A1504">
        <v>2017</v>
      </c>
      <c r="B1504" s="3" t="s">
        <v>201</v>
      </c>
      <c r="C1504" t="s">
        <v>1556</v>
      </c>
      <c r="D1504" s="9">
        <v>1588179</v>
      </c>
      <c r="E1504">
        <v>1.5104000000000001E-3</v>
      </c>
    </row>
    <row r="1505" spans="1:5">
      <c r="A1505">
        <v>2017</v>
      </c>
      <c r="B1505" s="3" t="s">
        <v>202</v>
      </c>
      <c r="C1505" t="s">
        <v>1557</v>
      </c>
      <c r="D1505" s="9">
        <v>817617</v>
      </c>
      <c r="E1505">
        <v>7.7760000000000004E-4</v>
      </c>
    </row>
    <row r="1506" spans="1:5">
      <c r="A1506">
        <v>2017</v>
      </c>
      <c r="B1506" s="3" t="s">
        <v>203</v>
      </c>
      <c r="C1506" t="s">
        <v>1558</v>
      </c>
      <c r="D1506" s="9"/>
      <c r="E1506">
        <v>0</v>
      </c>
    </row>
    <row r="1507" spans="1:5">
      <c r="A1507">
        <v>2017</v>
      </c>
      <c r="B1507" s="3" t="s">
        <v>204</v>
      </c>
      <c r="C1507" t="s">
        <v>1559</v>
      </c>
      <c r="D1507" s="9">
        <v>1007772</v>
      </c>
      <c r="E1507">
        <v>9.5839999999999999E-4</v>
      </c>
    </row>
    <row r="1508" spans="1:5">
      <c r="A1508">
        <v>2017</v>
      </c>
      <c r="B1508" s="3" t="s">
        <v>205</v>
      </c>
      <c r="C1508" t="s">
        <v>150</v>
      </c>
      <c r="D1508" s="9">
        <v>203832</v>
      </c>
      <c r="E1508">
        <v>1.939E-4</v>
      </c>
    </row>
    <row r="1509" spans="1:5">
      <c r="A1509">
        <v>2017</v>
      </c>
      <c r="B1509" s="3" t="s">
        <v>1563</v>
      </c>
      <c r="C1509" t="s">
        <v>1560</v>
      </c>
      <c r="D1509" s="9">
        <v>94127</v>
      </c>
      <c r="E1509">
        <v>8.9499999999999994E-5</v>
      </c>
    </row>
    <row r="1510" spans="1:5">
      <c r="A1510">
        <v>2017</v>
      </c>
      <c r="B1510" s="3" t="s">
        <v>188</v>
      </c>
      <c r="C1510" t="s">
        <v>1561</v>
      </c>
      <c r="D1510" s="9">
        <v>2660524</v>
      </c>
      <c r="E1510">
        <v>2.5303000000000001E-3</v>
      </c>
    </row>
    <row r="1511" spans="1:5">
      <c r="A1511">
        <v>2017</v>
      </c>
      <c r="B1511" s="3" t="s">
        <v>206</v>
      </c>
      <c r="C1511" t="s">
        <v>1562</v>
      </c>
      <c r="D1511" s="9"/>
      <c r="E1511">
        <v>0</v>
      </c>
    </row>
    <row r="1512" spans="1:5">
      <c r="A1512">
        <v>2017</v>
      </c>
      <c r="B1512" s="3" t="s">
        <v>207</v>
      </c>
      <c r="C1512" t="s">
        <v>152</v>
      </c>
      <c r="D1512" s="9">
        <v>751445</v>
      </c>
      <c r="E1512">
        <v>7.1469999999999997E-4</v>
      </c>
    </row>
    <row r="1513" spans="1:5">
      <c r="A1513">
        <v>2017</v>
      </c>
      <c r="B1513" s="3" t="s">
        <v>57</v>
      </c>
      <c r="C1513" t="s">
        <v>1564</v>
      </c>
      <c r="D1513" s="9">
        <v>5571885</v>
      </c>
      <c r="E1513">
        <v>5.2991000000000002E-3</v>
      </c>
    </row>
    <row r="1514" spans="1:5">
      <c r="A1514">
        <v>2017</v>
      </c>
      <c r="B1514" s="3" t="s">
        <v>208</v>
      </c>
      <c r="C1514" t="s">
        <v>153</v>
      </c>
      <c r="D1514" s="9">
        <v>6650</v>
      </c>
      <c r="E1514">
        <v>6.2999999999999998E-6</v>
      </c>
    </row>
    <row r="1515" spans="1:5">
      <c r="A1515">
        <v>2017</v>
      </c>
      <c r="B1515" s="3" t="s">
        <v>209</v>
      </c>
      <c r="C1515" t="s">
        <v>154</v>
      </c>
      <c r="D1515" s="9">
        <v>180772</v>
      </c>
      <c r="E1515">
        <v>1.719E-4</v>
      </c>
    </row>
    <row r="1516" spans="1:5">
      <c r="A1516">
        <v>2017</v>
      </c>
      <c r="B1516" s="3" t="s">
        <v>211</v>
      </c>
      <c r="C1516" t="s">
        <v>1565</v>
      </c>
      <c r="D1516" s="9">
        <v>687308</v>
      </c>
      <c r="E1516">
        <v>6.5370000000000001E-4</v>
      </c>
    </row>
    <row r="1517" spans="1:5">
      <c r="A1517">
        <v>2017</v>
      </c>
      <c r="B1517" s="3" t="s">
        <v>212</v>
      </c>
      <c r="C1517" t="s">
        <v>1566</v>
      </c>
      <c r="D1517" s="9">
        <v>10068</v>
      </c>
      <c r="E1517">
        <v>9.5999999999999996E-6</v>
      </c>
    </row>
    <row r="1518" spans="1:5">
      <c r="A1518">
        <v>2017</v>
      </c>
      <c r="B1518" s="3" t="s">
        <v>213</v>
      </c>
      <c r="C1518" t="s">
        <v>158</v>
      </c>
      <c r="D1518" s="9">
        <v>1139533</v>
      </c>
      <c r="E1518">
        <v>1.0838E-3</v>
      </c>
    </row>
    <row r="1519" spans="1:5">
      <c r="A1519">
        <v>2017</v>
      </c>
      <c r="B1519" s="3" t="s">
        <v>1597</v>
      </c>
      <c r="C1519" t="s">
        <v>1567</v>
      </c>
      <c r="D1519" s="9">
        <v>9391</v>
      </c>
      <c r="E1519">
        <v>8.8999999999999995E-6</v>
      </c>
    </row>
    <row r="1520" spans="1:5">
      <c r="A1520">
        <v>2017</v>
      </c>
      <c r="B1520" s="3" t="s">
        <v>214</v>
      </c>
      <c r="C1520" t="s">
        <v>159</v>
      </c>
      <c r="D1520" s="9">
        <v>148891</v>
      </c>
      <c r="E1520">
        <v>1.416E-4</v>
      </c>
    </row>
    <row r="1521" spans="1:5">
      <c r="A1521">
        <v>2017</v>
      </c>
      <c r="B1521" s="3" t="s">
        <v>215</v>
      </c>
      <c r="C1521" t="s">
        <v>1568</v>
      </c>
      <c r="D1521" s="9">
        <v>169195</v>
      </c>
      <c r="E1521">
        <v>1.6090000000000001E-4</v>
      </c>
    </row>
    <row r="1522" spans="1:5">
      <c r="A1522">
        <v>2017</v>
      </c>
      <c r="B1522" s="3" t="s">
        <v>216</v>
      </c>
      <c r="C1522" t="s">
        <v>1569</v>
      </c>
      <c r="D1522" s="9"/>
      <c r="E1522">
        <v>0</v>
      </c>
    </row>
    <row r="1523" spans="1:5">
      <c r="A1523">
        <v>2017</v>
      </c>
      <c r="B1523" s="3" t="s">
        <v>217</v>
      </c>
      <c r="C1523" t="s">
        <v>162</v>
      </c>
      <c r="D1523" s="9">
        <v>350080</v>
      </c>
      <c r="E1523">
        <v>3.3290000000000001E-4</v>
      </c>
    </row>
    <row r="1524" spans="1:5">
      <c r="A1524">
        <v>2017</v>
      </c>
      <c r="B1524" s="3" t="s">
        <v>219</v>
      </c>
      <c r="C1524" t="s">
        <v>164</v>
      </c>
      <c r="D1524" s="9">
        <v>316923</v>
      </c>
      <c r="E1524">
        <v>3.0140000000000001E-4</v>
      </c>
    </row>
    <row r="1525" spans="1:5">
      <c r="A1525">
        <v>2017</v>
      </c>
      <c r="B1525" s="3" t="s">
        <v>73</v>
      </c>
      <c r="C1525" t="s">
        <v>1570</v>
      </c>
      <c r="D1525" s="9">
        <v>108402</v>
      </c>
      <c r="E1525">
        <v>1.031E-4</v>
      </c>
    </row>
    <row r="1526" spans="1:5">
      <c r="A1526">
        <v>2017</v>
      </c>
      <c r="B1526" s="3" t="s">
        <v>220</v>
      </c>
      <c r="C1526" t="s">
        <v>1571</v>
      </c>
      <c r="D1526" s="9">
        <v>63275</v>
      </c>
      <c r="E1526">
        <v>6.02E-5</v>
      </c>
    </row>
    <row r="1527" spans="1:5">
      <c r="A1527">
        <v>2017</v>
      </c>
      <c r="B1527" s="3" t="s">
        <v>1387</v>
      </c>
      <c r="C1527" t="s">
        <v>1572</v>
      </c>
      <c r="D1527" s="9">
        <v>10264</v>
      </c>
      <c r="E1527">
        <v>9.7999999999999993E-6</v>
      </c>
    </row>
    <row r="1528" spans="1:5">
      <c r="A1528">
        <v>2017</v>
      </c>
      <c r="B1528" s="3" t="s">
        <v>1388</v>
      </c>
      <c r="C1528" t="s">
        <v>1573</v>
      </c>
      <c r="D1528" s="9">
        <v>7924</v>
      </c>
      <c r="E1528">
        <v>7.5000000000000002E-6</v>
      </c>
    </row>
    <row r="1529" spans="1:5">
      <c r="A1529">
        <v>2017</v>
      </c>
      <c r="B1529" s="3" t="s">
        <v>1389</v>
      </c>
      <c r="C1529" t="s">
        <v>1574</v>
      </c>
      <c r="D1529" s="9">
        <v>103608</v>
      </c>
      <c r="E1529">
        <v>9.8499999999999995E-5</v>
      </c>
    </row>
    <row r="1530" spans="1:5">
      <c r="A1530">
        <v>2017</v>
      </c>
      <c r="B1530" s="3" t="s">
        <v>1598</v>
      </c>
      <c r="C1530" t="s">
        <v>1575</v>
      </c>
      <c r="D1530" s="9">
        <v>169840</v>
      </c>
      <c r="E1530">
        <v>1.615E-4</v>
      </c>
    </row>
    <row r="1531" spans="1:5">
      <c r="A1531">
        <v>2017</v>
      </c>
      <c r="B1531" s="3" t="s">
        <v>1391</v>
      </c>
      <c r="C1531" t="s">
        <v>1576</v>
      </c>
      <c r="D1531" s="9"/>
      <c r="E1531">
        <v>0</v>
      </c>
    </row>
    <row r="1532" spans="1:5">
      <c r="A1532">
        <v>2017</v>
      </c>
      <c r="B1532" s="3" t="s">
        <v>1392</v>
      </c>
      <c r="C1532" t="s">
        <v>1577</v>
      </c>
      <c r="D1532" s="9"/>
      <c r="E1532">
        <v>0</v>
      </c>
    </row>
    <row r="1533" spans="1:5">
      <c r="A1533">
        <v>2017</v>
      </c>
      <c r="B1533" s="3" t="s">
        <v>1390</v>
      </c>
      <c r="C1533" t="s">
        <v>1578</v>
      </c>
      <c r="D1533" s="9">
        <v>1449337</v>
      </c>
      <c r="E1533">
        <v>1.3783999999999999E-3</v>
      </c>
    </row>
    <row r="1534" spans="1:5">
      <c r="A1534">
        <v>2017</v>
      </c>
      <c r="B1534" s="3" t="s">
        <v>1393</v>
      </c>
      <c r="C1534" t="s">
        <v>1579</v>
      </c>
      <c r="D1534" s="9">
        <v>162896</v>
      </c>
      <c r="E1534">
        <v>1.549E-4</v>
      </c>
    </row>
    <row r="1535" spans="1:5">
      <c r="A1535">
        <v>2017</v>
      </c>
      <c r="B1535" s="3" t="s">
        <v>1395</v>
      </c>
      <c r="C1535" t="s">
        <v>230</v>
      </c>
      <c r="D1535" s="9">
        <v>357802</v>
      </c>
      <c r="E1535">
        <v>3.4029999999999998E-4</v>
      </c>
    </row>
    <row r="1536" spans="1:5">
      <c r="A1536">
        <v>2017</v>
      </c>
      <c r="B1536" s="3" t="s">
        <v>1396</v>
      </c>
      <c r="C1536" t="s">
        <v>231</v>
      </c>
      <c r="D1536" s="9">
        <v>49638</v>
      </c>
      <c r="E1536">
        <v>4.7200000000000002E-5</v>
      </c>
    </row>
    <row r="1537" spans="1:5">
      <c r="A1537">
        <v>2017</v>
      </c>
      <c r="B1537" s="3" t="s">
        <v>1398</v>
      </c>
      <c r="C1537" t="s">
        <v>1580</v>
      </c>
      <c r="D1537" s="9">
        <v>35188</v>
      </c>
      <c r="E1537">
        <v>3.3500000000000001E-5</v>
      </c>
    </row>
    <row r="1538" spans="1:5">
      <c r="A1538">
        <v>2017</v>
      </c>
      <c r="B1538" s="3" t="s">
        <v>1399</v>
      </c>
      <c r="C1538" t="s">
        <v>234</v>
      </c>
      <c r="D1538" s="9">
        <v>139823</v>
      </c>
      <c r="E1538">
        <v>1.3300000000000001E-4</v>
      </c>
    </row>
    <row r="1539" spans="1:5">
      <c r="A1539">
        <v>2017</v>
      </c>
      <c r="B1539" s="3" t="s">
        <v>1400</v>
      </c>
      <c r="C1539" t="s">
        <v>1581</v>
      </c>
      <c r="D1539" s="9">
        <v>490131</v>
      </c>
      <c r="E1539">
        <v>4.661E-4</v>
      </c>
    </row>
    <row r="1540" spans="1:5">
      <c r="A1540">
        <v>2017</v>
      </c>
      <c r="B1540" s="3" t="s">
        <v>1401</v>
      </c>
      <c r="C1540" t="s">
        <v>1582</v>
      </c>
      <c r="D1540" s="9">
        <v>72694</v>
      </c>
      <c r="E1540">
        <v>6.9099999999999999E-5</v>
      </c>
    </row>
    <row r="1541" spans="1:5">
      <c r="A1541">
        <v>2017</v>
      </c>
      <c r="B1541" s="3" t="s">
        <v>1402</v>
      </c>
      <c r="C1541" t="s">
        <v>237</v>
      </c>
      <c r="D1541" s="9">
        <v>81695</v>
      </c>
      <c r="E1541">
        <v>7.7700000000000005E-5</v>
      </c>
    </row>
    <row r="1542" spans="1:5">
      <c r="A1542">
        <v>2017</v>
      </c>
      <c r="B1542" s="3" t="s">
        <v>1428</v>
      </c>
      <c r="C1542" t="s">
        <v>1583</v>
      </c>
      <c r="D1542" s="9"/>
      <c r="E1542">
        <v>0</v>
      </c>
    </row>
    <row r="1543" spans="1:5">
      <c r="A1543">
        <v>2017</v>
      </c>
      <c r="B1543" s="3" t="s">
        <v>1403</v>
      </c>
      <c r="C1543" t="s">
        <v>1584</v>
      </c>
      <c r="D1543" s="9">
        <v>379421</v>
      </c>
      <c r="E1543">
        <v>3.6079999999999999E-4</v>
      </c>
    </row>
    <row r="1544" spans="1:5">
      <c r="A1544">
        <v>2017</v>
      </c>
      <c r="B1544" s="3" t="s">
        <v>1404</v>
      </c>
      <c r="C1544" t="s">
        <v>1585</v>
      </c>
      <c r="D1544" s="9">
        <v>655178</v>
      </c>
      <c r="E1544">
        <v>6.2310000000000002E-4</v>
      </c>
    </row>
    <row r="1545" spans="1:5">
      <c r="A1545">
        <v>2017</v>
      </c>
      <c r="B1545" s="3" t="s">
        <v>1405</v>
      </c>
      <c r="C1545" t="s">
        <v>1586</v>
      </c>
      <c r="D1545" s="9">
        <v>52553</v>
      </c>
      <c r="E1545">
        <v>5.0000000000000002E-5</v>
      </c>
    </row>
    <row r="1546" spans="1:5">
      <c r="A1546">
        <v>2017</v>
      </c>
      <c r="B1546" s="3" t="s">
        <v>1406</v>
      </c>
      <c r="C1546" t="s">
        <v>1587</v>
      </c>
      <c r="D1546" s="9">
        <v>63260</v>
      </c>
      <c r="E1546">
        <v>6.02E-5</v>
      </c>
    </row>
    <row r="1547" spans="1:5">
      <c r="A1547">
        <v>2017</v>
      </c>
      <c r="B1547" s="3" t="s">
        <v>1397</v>
      </c>
      <c r="C1547" t="s">
        <v>1588</v>
      </c>
      <c r="D1547" s="9">
        <v>36045</v>
      </c>
      <c r="E1547">
        <v>3.43E-5</v>
      </c>
    </row>
    <row r="1548" spans="1:5">
      <c r="A1548">
        <v>2017</v>
      </c>
      <c r="B1548" s="3" t="s">
        <v>88</v>
      </c>
      <c r="C1548" t="s">
        <v>1589</v>
      </c>
      <c r="D1548" s="9">
        <v>83895</v>
      </c>
      <c r="E1548">
        <v>7.9800000000000002E-5</v>
      </c>
    </row>
    <row r="1549" spans="1:5">
      <c r="A1549">
        <v>2017</v>
      </c>
      <c r="B1549" s="3" t="s">
        <v>90</v>
      </c>
      <c r="C1549" t="s">
        <v>1590</v>
      </c>
      <c r="D1549" s="9">
        <v>17251</v>
      </c>
      <c r="E1549">
        <v>1.6399999999999999E-5</v>
      </c>
    </row>
    <row r="1550" spans="1:5">
      <c r="A1550">
        <v>2017</v>
      </c>
      <c r="B1550" s="3" t="s">
        <v>87</v>
      </c>
      <c r="C1550" t="s">
        <v>1591</v>
      </c>
      <c r="D1550" s="9">
        <v>86783</v>
      </c>
      <c r="E1550">
        <v>8.25E-5</v>
      </c>
    </row>
    <row r="1551" spans="1:5">
      <c r="A1551">
        <v>2017</v>
      </c>
      <c r="B1551" s="3" t="s">
        <v>92</v>
      </c>
      <c r="C1551" t="s">
        <v>1592</v>
      </c>
      <c r="D1551" s="9">
        <v>89491</v>
      </c>
      <c r="E1551">
        <v>8.5099999999999995E-5</v>
      </c>
    </row>
    <row r="1552" spans="1:5">
      <c r="A1552">
        <v>2017</v>
      </c>
      <c r="B1552" s="3" t="s">
        <v>93</v>
      </c>
      <c r="C1552" t="s">
        <v>1593</v>
      </c>
      <c r="D1552" s="9">
        <v>55619</v>
      </c>
      <c r="E1552">
        <v>5.2899999999999998E-5</v>
      </c>
    </row>
    <row r="1553" spans="1:5">
      <c r="A1553">
        <v>2017</v>
      </c>
      <c r="B1553" s="3" t="s">
        <v>94</v>
      </c>
      <c r="C1553" t="s">
        <v>1594</v>
      </c>
      <c r="D1553" s="9">
        <v>7502</v>
      </c>
      <c r="E1553">
        <v>7.0999999999999998E-6</v>
      </c>
    </row>
    <row r="1554" spans="1:5">
      <c r="A1554">
        <v>2017</v>
      </c>
      <c r="B1554" s="3" t="s">
        <v>95</v>
      </c>
      <c r="C1554" t="s">
        <v>1595</v>
      </c>
      <c r="D1554" s="9">
        <v>35860</v>
      </c>
      <c r="E1554">
        <v>3.4100000000000002E-5</v>
      </c>
    </row>
    <row r="1555" spans="1:5">
      <c r="A1555">
        <v>2017</v>
      </c>
      <c r="B1555" s="3" t="s">
        <v>100</v>
      </c>
      <c r="C1555" t="s">
        <v>1596</v>
      </c>
      <c r="D1555" s="9">
        <v>19140</v>
      </c>
      <c r="E1555">
        <v>1.8199999999999999E-5</v>
      </c>
    </row>
    <row r="1556" spans="1:5">
      <c r="A1556">
        <v>2017</v>
      </c>
      <c r="B1556" s="3" t="s">
        <v>101</v>
      </c>
      <c r="C1556" t="s">
        <v>1599</v>
      </c>
      <c r="D1556" s="9">
        <v>310859</v>
      </c>
      <c r="E1556">
        <v>2.9559999999999998E-4</v>
      </c>
    </row>
    <row r="1557" spans="1:5">
      <c r="A1557">
        <v>2017</v>
      </c>
      <c r="B1557" s="3" t="s">
        <v>103</v>
      </c>
      <c r="C1557" t="s">
        <v>1600</v>
      </c>
      <c r="D1557" s="9">
        <v>13111</v>
      </c>
      <c r="E1557">
        <v>1.2500000000000001E-5</v>
      </c>
    </row>
    <row r="1558" spans="1:5">
      <c r="A1558">
        <v>2017</v>
      </c>
      <c r="B1558" s="3" t="s">
        <v>105</v>
      </c>
      <c r="C1558" t="s">
        <v>1601</v>
      </c>
      <c r="D1558" s="9">
        <v>157774</v>
      </c>
      <c r="E1558">
        <v>1.5009999999999999E-4</v>
      </c>
    </row>
    <row r="1559" spans="1:5">
      <c r="A1559">
        <v>2017</v>
      </c>
      <c r="B1559" s="3" t="s">
        <v>166</v>
      </c>
      <c r="C1559" t="s">
        <v>1602</v>
      </c>
      <c r="D1559" s="9">
        <v>22915</v>
      </c>
      <c r="E1559">
        <v>2.1800000000000001E-5</v>
      </c>
    </row>
    <row r="1560" spans="1:5">
      <c r="A1560">
        <v>2017</v>
      </c>
      <c r="B1560" s="3" t="s">
        <v>86</v>
      </c>
      <c r="C1560" t="s">
        <v>1603</v>
      </c>
      <c r="D1560" s="9">
        <v>19009</v>
      </c>
      <c r="E1560">
        <v>1.8099999999999999E-5</v>
      </c>
    </row>
    <row r="1561" spans="1:5">
      <c r="A1561">
        <v>2017</v>
      </c>
      <c r="B1561" s="3" t="s">
        <v>110</v>
      </c>
      <c r="C1561" t="s">
        <v>1604</v>
      </c>
      <c r="D1561" s="9">
        <v>105251</v>
      </c>
      <c r="E1561">
        <v>1.0009999999999999E-4</v>
      </c>
    </row>
    <row r="1562" spans="1:5">
      <c r="A1562">
        <v>2017</v>
      </c>
      <c r="B1562" s="3" t="s">
        <v>1409</v>
      </c>
      <c r="C1562" t="s">
        <v>1605</v>
      </c>
      <c r="D1562" s="9">
        <v>561420</v>
      </c>
      <c r="E1562">
        <v>5.3390000000000002E-4</v>
      </c>
    </row>
    <row r="1563" spans="1:5">
      <c r="A1563">
        <v>2017</v>
      </c>
      <c r="B1563" s="3" t="s">
        <v>195</v>
      </c>
      <c r="C1563" t="s">
        <v>1606</v>
      </c>
      <c r="D1563" s="9">
        <v>633116</v>
      </c>
      <c r="E1563">
        <v>6.0210000000000005E-4</v>
      </c>
    </row>
    <row r="1564" spans="1:5">
      <c r="A1564">
        <v>2017</v>
      </c>
      <c r="B1564" s="3" t="s">
        <v>218</v>
      </c>
      <c r="C1564" t="s">
        <v>1607</v>
      </c>
      <c r="D1564" s="9">
        <v>377587</v>
      </c>
      <c r="E1564">
        <v>3.591E-4</v>
      </c>
    </row>
    <row r="1565" spans="1:5">
      <c r="A1565">
        <v>2017</v>
      </c>
      <c r="B1565" s="3" t="s">
        <v>1410</v>
      </c>
      <c r="C1565" t="s">
        <v>243</v>
      </c>
      <c r="D1565" s="9">
        <v>81483</v>
      </c>
      <c r="E1565">
        <v>7.75E-5</v>
      </c>
    </row>
    <row r="1566" spans="1:5">
      <c r="A1566">
        <v>2017</v>
      </c>
      <c r="B1566" s="3" t="s">
        <v>1411</v>
      </c>
      <c r="C1566" t="s">
        <v>244</v>
      </c>
      <c r="D1566" s="9">
        <v>833323</v>
      </c>
      <c r="E1566">
        <v>7.9250000000000002E-4</v>
      </c>
    </row>
    <row r="1567" spans="1:5">
      <c r="A1567">
        <v>2017</v>
      </c>
      <c r="B1567" s="3" t="s">
        <v>1394</v>
      </c>
      <c r="C1567" t="s">
        <v>1608</v>
      </c>
      <c r="D1567" s="9">
        <v>12065</v>
      </c>
      <c r="E1567">
        <v>1.15E-5</v>
      </c>
    </row>
    <row r="1568" spans="1:5">
      <c r="A1568">
        <v>2017</v>
      </c>
      <c r="B1568" s="3" t="s">
        <v>1412</v>
      </c>
      <c r="C1568" t="s">
        <v>1609</v>
      </c>
      <c r="D1568" s="9">
        <v>3081113</v>
      </c>
      <c r="E1568">
        <v>2.9302999999999998E-3</v>
      </c>
    </row>
    <row r="1569" spans="1:5">
      <c r="A1569">
        <v>2017</v>
      </c>
      <c r="B1569" s="3" t="s">
        <v>1413</v>
      </c>
      <c r="C1569" t="s">
        <v>246</v>
      </c>
      <c r="D1569" s="9">
        <v>499596</v>
      </c>
      <c r="E1569">
        <v>4.751E-4</v>
      </c>
    </row>
    <row r="1570" spans="1:5">
      <c r="A1570">
        <v>2017</v>
      </c>
      <c r="B1570" s="3" t="s">
        <v>1414</v>
      </c>
      <c r="C1570" t="s">
        <v>247</v>
      </c>
      <c r="D1570" s="9">
        <v>167641</v>
      </c>
      <c r="E1570">
        <v>1.594E-4</v>
      </c>
    </row>
    <row r="1571" spans="1:5">
      <c r="A1571">
        <v>2017</v>
      </c>
      <c r="B1571" s="3" t="s">
        <v>1415</v>
      </c>
      <c r="C1571" t="s">
        <v>248</v>
      </c>
      <c r="D1571" s="9">
        <v>36607245</v>
      </c>
      <c r="E1571">
        <v>3.48153E-2</v>
      </c>
    </row>
    <row r="1572" spans="1:5">
      <c r="A1572">
        <v>2017</v>
      </c>
      <c r="B1572" s="3" t="s">
        <v>1417</v>
      </c>
      <c r="C1572" t="s">
        <v>1610</v>
      </c>
      <c r="D1572" s="9">
        <v>23706</v>
      </c>
      <c r="E1572">
        <v>2.2500000000000001E-5</v>
      </c>
    </row>
    <row r="1573" spans="1:5">
      <c r="A1573">
        <v>2017</v>
      </c>
      <c r="B1573" s="3" t="s">
        <v>1416</v>
      </c>
      <c r="C1573" t="s">
        <v>249</v>
      </c>
      <c r="D1573" s="9">
        <v>2829783</v>
      </c>
      <c r="E1573">
        <v>2.6913000000000002E-3</v>
      </c>
    </row>
    <row r="1574" spans="1:5">
      <c r="A1574">
        <v>2017</v>
      </c>
      <c r="B1574" s="3" t="s">
        <v>1418</v>
      </c>
      <c r="C1574" t="s">
        <v>1611</v>
      </c>
      <c r="D1574" s="9">
        <v>15257</v>
      </c>
      <c r="E1574">
        <v>1.45E-5</v>
      </c>
    </row>
    <row r="1575" spans="1:5">
      <c r="A1575">
        <v>2017</v>
      </c>
      <c r="B1575" s="3" t="s">
        <v>1419</v>
      </c>
      <c r="C1575" t="s">
        <v>252</v>
      </c>
      <c r="D1575" s="9">
        <v>2464705</v>
      </c>
      <c r="E1575">
        <v>2.3441E-3</v>
      </c>
    </row>
    <row r="1576" spans="1:5">
      <c r="A1576">
        <v>2017</v>
      </c>
      <c r="B1576" s="3" t="s">
        <v>1420</v>
      </c>
      <c r="C1576" t="s">
        <v>1612</v>
      </c>
      <c r="D1576" s="9">
        <v>159293</v>
      </c>
      <c r="E1576">
        <v>1.515E-4</v>
      </c>
    </row>
    <row r="1577" spans="1:5">
      <c r="A1577">
        <v>2017</v>
      </c>
      <c r="B1577" s="3" t="s">
        <v>1015</v>
      </c>
      <c r="C1577" t="s">
        <v>1613</v>
      </c>
      <c r="D1577" s="9">
        <v>390507</v>
      </c>
      <c r="E1577">
        <v>3.7139999999999997E-4</v>
      </c>
    </row>
    <row r="1578" spans="1:5">
      <c r="A1578">
        <v>2017</v>
      </c>
      <c r="B1578" s="3" t="s">
        <v>1014</v>
      </c>
      <c r="C1578" t="s">
        <v>1614</v>
      </c>
      <c r="D1578" s="9">
        <v>51893</v>
      </c>
      <c r="E1578">
        <v>4.9400000000000001E-5</v>
      </c>
    </row>
    <row r="1579" spans="1:5">
      <c r="A1579">
        <v>2017</v>
      </c>
      <c r="B1579" s="3" t="s">
        <v>1421</v>
      </c>
      <c r="C1579" t="s">
        <v>1615</v>
      </c>
      <c r="D1579" s="9">
        <v>27158</v>
      </c>
      <c r="E1579">
        <v>2.58E-5</v>
      </c>
    </row>
    <row r="1580" spans="1:5">
      <c r="A1580">
        <v>2017</v>
      </c>
      <c r="B1580" s="3" t="s">
        <v>1422</v>
      </c>
      <c r="C1580" t="s">
        <v>1616</v>
      </c>
      <c r="D1580" s="9">
        <v>144180</v>
      </c>
      <c r="E1580">
        <v>1.371E-4</v>
      </c>
    </row>
    <row r="1581" spans="1:5">
      <c r="A1581">
        <v>2017</v>
      </c>
      <c r="B1581" s="3" t="s">
        <v>1423</v>
      </c>
      <c r="C1581" t="s">
        <v>256</v>
      </c>
      <c r="D1581" s="9">
        <v>1260763</v>
      </c>
      <c r="E1581">
        <v>1.199E-3</v>
      </c>
    </row>
    <row r="1582" spans="1:5">
      <c r="A1582">
        <v>2017</v>
      </c>
      <c r="B1582" s="3" t="s">
        <v>1424</v>
      </c>
      <c r="C1582" t="s">
        <v>257</v>
      </c>
      <c r="D1582" s="9">
        <v>2613906</v>
      </c>
      <c r="E1582">
        <v>2.4859999999999999E-3</v>
      </c>
    </row>
    <row r="1583" spans="1:5">
      <c r="A1583">
        <v>2017</v>
      </c>
      <c r="B1583" s="3" t="s">
        <v>370</v>
      </c>
      <c r="C1583" t="s">
        <v>1617</v>
      </c>
      <c r="D1583" s="9">
        <v>2216692</v>
      </c>
      <c r="E1583">
        <v>2.1082000000000002E-3</v>
      </c>
    </row>
    <row r="1584" spans="1:5">
      <c r="A1584">
        <v>2017</v>
      </c>
      <c r="B1584" s="3" t="s">
        <v>1425</v>
      </c>
      <c r="C1584" t="s">
        <v>258</v>
      </c>
      <c r="D1584" s="9">
        <v>33620</v>
      </c>
      <c r="E1584">
        <v>3.1999999999999999E-5</v>
      </c>
    </row>
    <row r="1585" spans="1:5">
      <c r="A1585">
        <v>2017</v>
      </c>
      <c r="B1585" s="3" t="s">
        <v>1429</v>
      </c>
      <c r="C1585" t="s">
        <v>1618</v>
      </c>
      <c r="D1585" s="9">
        <v>999412</v>
      </c>
      <c r="E1585">
        <v>9.5049999999999996E-4</v>
      </c>
    </row>
    <row r="1586" spans="1:5">
      <c r="A1586">
        <v>2017</v>
      </c>
      <c r="B1586" s="3" t="s">
        <v>1430</v>
      </c>
      <c r="C1586" t="s">
        <v>1619</v>
      </c>
      <c r="D1586" s="9">
        <v>312635</v>
      </c>
      <c r="E1586">
        <v>2.9730000000000002E-4</v>
      </c>
    </row>
    <row r="1587" spans="1:5">
      <c r="A1587">
        <v>2017</v>
      </c>
      <c r="B1587" s="3" t="s">
        <v>1431</v>
      </c>
      <c r="C1587" t="s">
        <v>264</v>
      </c>
      <c r="D1587" s="9">
        <v>229231</v>
      </c>
      <c r="E1587">
        <v>2.1800000000000001E-4</v>
      </c>
    </row>
    <row r="1588" spans="1:5">
      <c r="A1588">
        <v>2017</v>
      </c>
      <c r="B1588" s="3" t="s">
        <v>1432</v>
      </c>
      <c r="C1588" t="s">
        <v>265</v>
      </c>
      <c r="D1588" s="9">
        <v>262781</v>
      </c>
      <c r="E1588">
        <v>2.499E-4</v>
      </c>
    </row>
    <row r="1589" spans="1:5">
      <c r="A1589">
        <v>2017</v>
      </c>
      <c r="B1589" s="3" t="s">
        <v>1433</v>
      </c>
      <c r="C1589" t="s">
        <v>266</v>
      </c>
      <c r="D1589" s="9">
        <v>139937</v>
      </c>
      <c r="E1589">
        <v>1.3310000000000001E-4</v>
      </c>
    </row>
    <row r="1590" spans="1:5">
      <c r="A1590">
        <v>2017</v>
      </c>
      <c r="B1590" s="3" t="s">
        <v>1434</v>
      </c>
      <c r="C1590" t="s">
        <v>1620</v>
      </c>
      <c r="D1590" s="9">
        <v>1256012</v>
      </c>
      <c r="E1590">
        <v>1.1945E-3</v>
      </c>
    </row>
    <row r="1591" spans="1:5">
      <c r="A1591">
        <v>2017</v>
      </c>
      <c r="B1591" s="3" t="s">
        <v>1435</v>
      </c>
      <c r="C1591" t="s">
        <v>1621</v>
      </c>
      <c r="D1591" s="9">
        <v>160113</v>
      </c>
      <c r="E1591">
        <v>1.5229999999999999E-4</v>
      </c>
    </row>
    <row r="1592" spans="1:5">
      <c r="A1592">
        <v>2017</v>
      </c>
      <c r="B1592" s="3" t="s">
        <v>1436</v>
      </c>
      <c r="C1592" t="s">
        <v>269</v>
      </c>
      <c r="D1592" s="9">
        <v>159250</v>
      </c>
      <c r="E1592">
        <v>1.515E-4</v>
      </c>
    </row>
    <row r="1593" spans="1:5">
      <c r="A1593">
        <v>2017</v>
      </c>
      <c r="B1593" s="3" t="s">
        <v>1437</v>
      </c>
      <c r="C1593" t="s">
        <v>270</v>
      </c>
      <c r="D1593" s="9">
        <v>894972</v>
      </c>
      <c r="E1593">
        <v>8.5119999999999998E-4</v>
      </c>
    </row>
    <row r="1594" spans="1:5">
      <c r="A1594">
        <v>2017</v>
      </c>
      <c r="B1594" s="3" t="s">
        <v>1438</v>
      </c>
      <c r="C1594" t="s">
        <v>1622</v>
      </c>
      <c r="D1594" s="9">
        <v>625047</v>
      </c>
      <c r="E1594">
        <v>5.9449999999999998E-4</v>
      </c>
    </row>
    <row r="1595" spans="1:5">
      <c r="A1595">
        <v>2017</v>
      </c>
      <c r="B1595" s="3" t="s">
        <v>371</v>
      </c>
      <c r="C1595" t="s">
        <v>1623</v>
      </c>
      <c r="D1595" s="9">
        <v>264488</v>
      </c>
      <c r="E1595">
        <v>2.5149999999999999E-4</v>
      </c>
    </row>
    <row r="1596" spans="1:5">
      <c r="A1596">
        <v>2017</v>
      </c>
      <c r="B1596" s="3" t="s">
        <v>1439</v>
      </c>
      <c r="C1596" t="s">
        <v>1624</v>
      </c>
      <c r="D1596" s="9">
        <v>100710</v>
      </c>
      <c r="E1596">
        <v>9.5799999999999998E-5</v>
      </c>
    </row>
    <row r="1597" spans="1:5">
      <c r="A1597">
        <v>2017</v>
      </c>
      <c r="B1597" s="3" t="s">
        <v>1440</v>
      </c>
      <c r="C1597" t="s">
        <v>1625</v>
      </c>
      <c r="D1597" s="9">
        <v>425314</v>
      </c>
      <c r="E1597">
        <v>4.0450000000000002E-4</v>
      </c>
    </row>
    <row r="1598" spans="1:5">
      <c r="A1598">
        <v>2017</v>
      </c>
      <c r="B1598" s="3" t="s">
        <v>372</v>
      </c>
      <c r="C1598" t="s">
        <v>1626</v>
      </c>
      <c r="D1598" s="9">
        <v>207125</v>
      </c>
      <c r="E1598">
        <v>1.9699999999999999E-4</v>
      </c>
    </row>
    <row r="1599" spans="1:5">
      <c r="A1599">
        <v>2017</v>
      </c>
      <c r="B1599" s="3" t="s">
        <v>1441</v>
      </c>
      <c r="C1599" t="s">
        <v>274</v>
      </c>
      <c r="D1599" s="9">
        <v>4335</v>
      </c>
      <c r="E1599">
        <v>4.0999999999999997E-6</v>
      </c>
    </row>
    <row r="1600" spans="1:5">
      <c r="A1600">
        <v>2017</v>
      </c>
      <c r="B1600" s="3" t="s">
        <v>1442</v>
      </c>
      <c r="C1600" t="s">
        <v>1627</v>
      </c>
      <c r="D1600" s="9">
        <v>7410</v>
      </c>
      <c r="E1600">
        <v>6.9999999999999999E-6</v>
      </c>
    </row>
    <row r="1601" spans="1:5">
      <c r="A1601">
        <v>2017</v>
      </c>
      <c r="B1601" s="3" t="s">
        <v>1443</v>
      </c>
      <c r="C1601" t="s">
        <v>1628</v>
      </c>
      <c r="D1601" s="9">
        <v>1014916</v>
      </c>
      <c r="E1601">
        <v>9.6520000000000004E-4</v>
      </c>
    </row>
    <row r="1602" spans="1:5">
      <c r="A1602">
        <v>2017</v>
      </c>
      <c r="B1602" s="3" t="s">
        <v>331</v>
      </c>
      <c r="C1602" t="s">
        <v>1629</v>
      </c>
      <c r="D1602" s="9"/>
      <c r="E1602">
        <v>0</v>
      </c>
    </row>
    <row r="1603" spans="1:5">
      <c r="A1603">
        <v>2017</v>
      </c>
      <c r="B1603" s="3" t="s">
        <v>332</v>
      </c>
      <c r="C1603" t="s">
        <v>1630</v>
      </c>
      <c r="D1603" s="9">
        <v>91468</v>
      </c>
      <c r="E1603">
        <v>8.7000000000000001E-5</v>
      </c>
    </row>
    <row r="1604" spans="1:5">
      <c r="A1604">
        <v>2017</v>
      </c>
      <c r="B1604" s="3" t="s">
        <v>333</v>
      </c>
      <c r="C1604" t="s">
        <v>1631</v>
      </c>
      <c r="D1604" s="9">
        <v>36048</v>
      </c>
      <c r="E1604">
        <v>3.43E-5</v>
      </c>
    </row>
    <row r="1605" spans="1:5">
      <c r="A1605">
        <v>2017</v>
      </c>
      <c r="B1605" s="3" t="s">
        <v>334</v>
      </c>
      <c r="C1605" t="s">
        <v>1632</v>
      </c>
      <c r="D1605" s="9">
        <v>58930</v>
      </c>
      <c r="E1605">
        <v>5.5999999999999999E-5</v>
      </c>
    </row>
    <row r="1606" spans="1:5">
      <c r="A1606">
        <v>2017</v>
      </c>
      <c r="B1606" s="3" t="s">
        <v>335</v>
      </c>
      <c r="C1606" t="s">
        <v>1633</v>
      </c>
      <c r="D1606" s="9">
        <v>2171060</v>
      </c>
      <c r="E1606">
        <v>2.0647999999999999E-3</v>
      </c>
    </row>
    <row r="1607" spans="1:5">
      <c r="A1607">
        <v>2017</v>
      </c>
      <c r="B1607" s="3" t="s">
        <v>336</v>
      </c>
      <c r="C1607" t="s">
        <v>1634</v>
      </c>
      <c r="D1607" s="9">
        <v>2061682</v>
      </c>
      <c r="E1607">
        <v>1.9608E-3</v>
      </c>
    </row>
    <row r="1608" spans="1:5">
      <c r="A1608">
        <v>2017</v>
      </c>
      <c r="B1608" s="3" t="s">
        <v>337</v>
      </c>
      <c r="C1608" t="s">
        <v>283</v>
      </c>
      <c r="D1608" s="9">
        <v>97572</v>
      </c>
      <c r="E1608">
        <v>9.2800000000000006E-5</v>
      </c>
    </row>
    <row r="1609" spans="1:5">
      <c r="A1609">
        <v>2017</v>
      </c>
      <c r="B1609" s="3" t="s">
        <v>338</v>
      </c>
      <c r="C1609" t="s">
        <v>1635</v>
      </c>
      <c r="D1609" s="9">
        <v>59340</v>
      </c>
      <c r="E1609">
        <v>5.6400000000000002E-5</v>
      </c>
    </row>
    <row r="1610" spans="1:5">
      <c r="A1610">
        <v>2017</v>
      </c>
      <c r="B1610" s="3" t="s">
        <v>373</v>
      </c>
      <c r="C1610" t="s">
        <v>1636</v>
      </c>
      <c r="D1610" s="9">
        <v>1984612</v>
      </c>
      <c r="E1610">
        <v>1.8875000000000001E-3</v>
      </c>
    </row>
    <row r="1611" spans="1:5">
      <c r="A1611">
        <v>2017</v>
      </c>
      <c r="B1611" s="3" t="s">
        <v>339</v>
      </c>
      <c r="C1611" t="s">
        <v>1637</v>
      </c>
      <c r="D1611" s="9">
        <v>1186339</v>
      </c>
      <c r="E1611">
        <v>1.1283E-3</v>
      </c>
    </row>
    <row r="1612" spans="1:5">
      <c r="A1612">
        <v>2017</v>
      </c>
      <c r="B1612" s="3" t="s">
        <v>340</v>
      </c>
      <c r="C1612" t="s">
        <v>286</v>
      </c>
      <c r="D1612" s="9">
        <v>121445</v>
      </c>
      <c r="E1612">
        <v>1.155E-4</v>
      </c>
    </row>
    <row r="1613" spans="1:5">
      <c r="A1613">
        <v>2017</v>
      </c>
      <c r="B1613" s="3" t="s">
        <v>341</v>
      </c>
      <c r="C1613" t="s">
        <v>287</v>
      </c>
      <c r="D1613" s="9"/>
      <c r="E1613">
        <v>0</v>
      </c>
    </row>
    <row r="1614" spans="1:5">
      <c r="A1614">
        <v>2017</v>
      </c>
      <c r="B1614" s="3" t="s">
        <v>342</v>
      </c>
      <c r="C1614" t="s">
        <v>1638</v>
      </c>
      <c r="D1614" s="9">
        <v>775491</v>
      </c>
      <c r="E1614">
        <v>7.3749999999999998E-4</v>
      </c>
    </row>
    <row r="1615" spans="1:5">
      <c r="A1615">
        <v>2017</v>
      </c>
      <c r="B1615" s="3" t="s">
        <v>1219</v>
      </c>
      <c r="C1615" t="s">
        <v>1639</v>
      </c>
      <c r="D1615" s="9">
        <v>317545</v>
      </c>
      <c r="E1615">
        <v>3.0200000000000002E-4</v>
      </c>
    </row>
    <row r="1616" spans="1:5">
      <c r="A1616">
        <v>2017</v>
      </c>
      <c r="B1616" s="3" t="s">
        <v>343</v>
      </c>
      <c r="C1616" t="s">
        <v>1640</v>
      </c>
      <c r="D1616" s="9">
        <v>88563</v>
      </c>
      <c r="E1616">
        <v>8.42E-5</v>
      </c>
    </row>
    <row r="1617" spans="1:5">
      <c r="A1617">
        <v>2017</v>
      </c>
      <c r="B1617" s="3" t="s">
        <v>344</v>
      </c>
      <c r="C1617" t="s">
        <v>290</v>
      </c>
      <c r="D1617" s="9">
        <v>55772</v>
      </c>
      <c r="E1617">
        <v>5.3000000000000001E-5</v>
      </c>
    </row>
    <row r="1618" spans="1:5">
      <c r="A1618">
        <v>2017</v>
      </c>
      <c r="B1618" s="3" t="s">
        <v>1220</v>
      </c>
      <c r="C1618" t="s">
        <v>1641</v>
      </c>
      <c r="D1618" s="9">
        <v>110106</v>
      </c>
      <c r="E1618">
        <v>1.047E-4</v>
      </c>
    </row>
    <row r="1619" spans="1:5">
      <c r="A1619">
        <v>2017</v>
      </c>
      <c r="B1619" s="3" t="s">
        <v>345</v>
      </c>
      <c r="C1619" t="s">
        <v>1642</v>
      </c>
      <c r="D1619" s="9">
        <v>43646</v>
      </c>
      <c r="E1619">
        <v>4.1499999999999999E-5</v>
      </c>
    </row>
    <row r="1620" spans="1:5">
      <c r="A1620">
        <v>2017</v>
      </c>
      <c r="B1620" s="3" t="s">
        <v>346</v>
      </c>
      <c r="C1620" t="s">
        <v>1643</v>
      </c>
      <c r="D1620" s="9">
        <v>8525528</v>
      </c>
      <c r="E1620">
        <v>8.1081999999999994E-3</v>
      </c>
    </row>
    <row r="1621" spans="1:5">
      <c r="A1621">
        <v>2017</v>
      </c>
      <c r="B1621" s="3" t="s">
        <v>347</v>
      </c>
      <c r="C1621" t="s">
        <v>1644</v>
      </c>
      <c r="D1621" s="9">
        <v>3193465</v>
      </c>
      <c r="E1621">
        <v>3.0371E-3</v>
      </c>
    </row>
    <row r="1622" spans="1:5">
      <c r="A1622">
        <v>2017</v>
      </c>
      <c r="B1622" s="3" t="s">
        <v>348</v>
      </c>
      <c r="C1622" t="s">
        <v>1645</v>
      </c>
      <c r="D1622" s="9">
        <v>1347894</v>
      </c>
      <c r="E1622">
        <v>1.2819000000000001E-3</v>
      </c>
    </row>
    <row r="1623" spans="1:5">
      <c r="A1623">
        <v>2017</v>
      </c>
      <c r="B1623" s="3" t="s">
        <v>374</v>
      </c>
      <c r="C1623" t="s">
        <v>1646</v>
      </c>
      <c r="D1623" s="9">
        <v>1508650</v>
      </c>
      <c r="E1623">
        <v>1.4348E-3</v>
      </c>
    </row>
    <row r="1624" spans="1:5">
      <c r="A1624">
        <v>2017</v>
      </c>
      <c r="B1624" s="3" t="s">
        <v>349</v>
      </c>
      <c r="C1624" t="s">
        <v>1647</v>
      </c>
      <c r="D1624" s="9">
        <v>2420209</v>
      </c>
      <c r="E1624">
        <v>2.3016999999999998E-3</v>
      </c>
    </row>
    <row r="1625" spans="1:5">
      <c r="A1625">
        <v>2017</v>
      </c>
      <c r="B1625" s="3" t="s">
        <v>350</v>
      </c>
      <c r="C1625" t="s">
        <v>1648</v>
      </c>
      <c r="D1625" s="9">
        <v>2524785</v>
      </c>
      <c r="E1625">
        <v>2.4012E-3</v>
      </c>
    </row>
    <row r="1626" spans="1:5">
      <c r="A1626">
        <v>2017</v>
      </c>
      <c r="B1626" s="3" t="s">
        <v>1221</v>
      </c>
      <c r="C1626" t="s">
        <v>1649</v>
      </c>
      <c r="D1626" s="9">
        <v>256094</v>
      </c>
      <c r="E1626">
        <v>2.4360000000000001E-4</v>
      </c>
    </row>
    <row r="1627" spans="1:5">
      <c r="A1627">
        <v>2017</v>
      </c>
      <c r="B1627" s="3" t="s">
        <v>351</v>
      </c>
      <c r="C1627" t="s">
        <v>297</v>
      </c>
      <c r="D1627" s="9">
        <v>23547</v>
      </c>
      <c r="E1627">
        <v>2.2399999999999999E-5</v>
      </c>
    </row>
    <row r="1628" spans="1:5">
      <c r="A1628">
        <v>2017</v>
      </c>
      <c r="B1628" s="3" t="s">
        <v>352</v>
      </c>
      <c r="C1628" t="s">
        <v>298</v>
      </c>
      <c r="D1628" s="9">
        <v>171695</v>
      </c>
      <c r="E1628">
        <v>1.6330000000000001E-4</v>
      </c>
    </row>
    <row r="1629" spans="1:5">
      <c r="A1629">
        <v>2017</v>
      </c>
      <c r="B1629" s="3" t="s">
        <v>353</v>
      </c>
      <c r="C1629" t="s">
        <v>1650</v>
      </c>
      <c r="D1629" s="9">
        <v>88392</v>
      </c>
      <c r="E1629">
        <v>8.4099999999999998E-5</v>
      </c>
    </row>
    <row r="1630" spans="1:5">
      <c r="A1630">
        <v>2017</v>
      </c>
      <c r="B1630" s="3" t="s">
        <v>354</v>
      </c>
      <c r="C1630" t="s">
        <v>300</v>
      </c>
      <c r="D1630" s="9">
        <v>2294015</v>
      </c>
      <c r="E1630">
        <v>2.1817E-3</v>
      </c>
    </row>
    <row r="1631" spans="1:5">
      <c r="A1631">
        <v>2017</v>
      </c>
      <c r="B1631" s="3" t="s">
        <v>1659</v>
      </c>
      <c r="C1631" t="s">
        <v>1651</v>
      </c>
      <c r="D1631" s="9">
        <v>154279</v>
      </c>
      <c r="E1631">
        <v>1.4669999999999999E-4</v>
      </c>
    </row>
    <row r="1632" spans="1:5">
      <c r="A1632">
        <v>2017</v>
      </c>
      <c r="B1632" s="3" t="s">
        <v>355</v>
      </c>
      <c r="C1632" t="s">
        <v>301</v>
      </c>
      <c r="D1632" s="9">
        <v>305446</v>
      </c>
      <c r="E1632">
        <v>2.9050000000000001E-4</v>
      </c>
    </row>
    <row r="1633" spans="1:5">
      <c r="A1633">
        <v>2017</v>
      </c>
      <c r="B1633" s="3" t="s">
        <v>356</v>
      </c>
      <c r="C1633" t="s">
        <v>1444</v>
      </c>
      <c r="D1633" s="9">
        <v>5178604</v>
      </c>
      <c r="E1633">
        <v>4.9251E-3</v>
      </c>
    </row>
    <row r="1634" spans="1:5">
      <c r="A1634">
        <v>2017</v>
      </c>
      <c r="B1634" s="3" t="s">
        <v>357</v>
      </c>
      <c r="C1634" t="s">
        <v>1652</v>
      </c>
      <c r="D1634" s="9">
        <v>113946</v>
      </c>
      <c r="E1634">
        <v>1.0840000000000001E-4</v>
      </c>
    </row>
    <row r="1635" spans="1:5">
      <c r="A1635">
        <v>2017</v>
      </c>
      <c r="B1635" s="3" t="s">
        <v>358</v>
      </c>
      <c r="C1635" t="s">
        <v>304</v>
      </c>
      <c r="D1635" s="9">
        <v>5533</v>
      </c>
      <c r="E1635">
        <v>5.3000000000000001E-6</v>
      </c>
    </row>
    <row r="1636" spans="1:5">
      <c r="A1636">
        <v>2017</v>
      </c>
      <c r="B1636" s="3" t="s">
        <v>359</v>
      </c>
      <c r="C1636" t="s">
        <v>305</v>
      </c>
      <c r="D1636" s="9">
        <v>238916</v>
      </c>
      <c r="E1636">
        <v>2.2719999999999999E-4</v>
      </c>
    </row>
    <row r="1637" spans="1:5">
      <c r="A1637">
        <v>2017</v>
      </c>
      <c r="B1637" s="3" t="s">
        <v>360</v>
      </c>
      <c r="C1637" t="s">
        <v>1653</v>
      </c>
      <c r="D1637" s="9">
        <v>22018032</v>
      </c>
      <c r="E1637">
        <v>2.0940199999999999E-2</v>
      </c>
    </row>
    <row r="1638" spans="1:5">
      <c r="A1638">
        <v>2017</v>
      </c>
      <c r="B1638" s="3" t="s">
        <v>375</v>
      </c>
      <c r="C1638" t="s">
        <v>1654</v>
      </c>
      <c r="D1638" s="9">
        <v>7808866</v>
      </c>
      <c r="E1638">
        <v>7.4266000000000002E-3</v>
      </c>
    </row>
    <row r="1639" spans="1:5">
      <c r="A1639">
        <v>2017</v>
      </c>
      <c r="B1639" s="3" t="s">
        <v>361</v>
      </c>
      <c r="C1639" t="s">
        <v>1655</v>
      </c>
      <c r="D1639" s="9">
        <v>133534</v>
      </c>
      <c r="E1639">
        <v>1.27E-4</v>
      </c>
    </row>
    <row r="1640" spans="1:5">
      <c r="A1640">
        <v>2017</v>
      </c>
      <c r="B1640" s="3" t="s">
        <v>362</v>
      </c>
      <c r="C1640" t="s">
        <v>1656</v>
      </c>
      <c r="D1640" s="9">
        <v>5479</v>
      </c>
      <c r="E1640">
        <v>5.2000000000000002E-6</v>
      </c>
    </row>
    <row r="1641" spans="1:5">
      <c r="A1641">
        <v>2017</v>
      </c>
      <c r="B1641" s="3" t="s">
        <v>363</v>
      </c>
      <c r="C1641" t="s">
        <v>1657</v>
      </c>
      <c r="D1641" s="9">
        <v>2755603</v>
      </c>
      <c r="E1641">
        <v>2.6207000000000001E-3</v>
      </c>
    </row>
    <row r="1642" spans="1:5">
      <c r="A1642">
        <v>2017</v>
      </c>
      <c r="B1642" s="3" t="s">
        <v>364</v>
      </c>
      <c r="C1642" t="s">
        <v>310</v>
      </c>
      <c r="D1642" s="9">
        <v>336</v>
      </c>
      <c r="E1642">
        <v>2.9999999999999999E-7</v>
      </c>
    </row>
    <row r="1643" spans="1:5">
      <c r="A1643">
        <v>2017</v>
      </c>
      <c r="B1643" s="3" t="s">
        <v>365</v>
      </c>
      <c r="C1643" t="s">
        <v>1658</v>
      </c>
      <c r="D1643" s="9">
        <v>912292</v>
      </c>
      <c r="E1643">
        <v>8.6759999999999995E-4</v>
      </c>
    </row>
    <row r="1644" spans="1:5">
      <c r="A1644">
        <v>2017</v>
      </c>
      <c r="B1644" s="3" t="s">
        <v>1222</v>
      </c>
      <c r="C1644" t="s">
        <v>1660</v>
      </c>
      <c r="D1644" s="9">
        <v>329008</v>
      </c>
      <c r="E1644">
        <v>3.1290000000000002E-4</v>
      </c>
    </row>
    <row r="1645" spans="1:5">
      <c r="A1645">
        <v>2017</v>
      </c>
      <c r="B1645" s="3" t="s">
        <v>366</v>
      </c>
      <c r="C1645" t="s">
        <v>312</v>
      </c>
      <c r="D1645" s="9">
        <v>3189</v>
      </c>
      <c r="E1645">
        <v>3.0000000000000001E-6</v>
      </c>
    </row>
    <row r="1646" spans="1:5">
      <c r="A1646">
        <v>2017</v>
      </c>
      <c r="B1646" s="3" t="s">
        <v>367</v>
      </c>
      <c r="C1646" t="s">
        <v>313</v>
      </c>
      <c r="D1646" s="9">
        <v>55932</v>
      </c>
      <c r="E1646">
        <v>5.3199999999999999E-5</v>
      </c>
    </row>
    <row r="1647" spans="1:5">
      <c r="A1647">
        <v>2017</v>
      </c>
      <c r="B1647" s="3" t="s">
        <v>368</v>
      </c>
      <c r="C1647" t="s">
        <v>1661</v>
      </c>
      <c r="D1647" s="9">
        <v>185656</v>
      </c>
      <c r="E1647">
        <v>1.7660000000000001E-4</v>
      </c>
    </row>
    <row r="1648" spans="1:5">
      <c r="A1648">
        <v>2017</v>
      </c>
      <c r="B1648" s="3" t="s">
        <v>467</v>
      </c>
      <c r="C1648" t="s">
        <v>412</v>
      </c>
      <c r="D1648" s="9"/>
      <c r="E1648">
        <v>0</v>
      </c>
    </row>
    <row r="1649" spans="1:5">
      <c r="A1649">
        <v>2017</v>
      </c>
      <c r="B1649" s="3" t="s">
        <v>1223</v>
      </c>
      <c r="C1649" t="s">
        <v>1662</v>
      </c>
      <c r="D1649" s="9">
        <v>155497</v>
      </c>
      <c r="E1649">
        <v>1.4789999999999999E-4</v>
      </c>
    </row>
    <row r="1650" spans="1:5">
      <c r="A1650">
        <v>2017</v>
      </c>
      <c r="B1650" s="3" t="s">
        <v>468</v>
      </c>
      <c r="C1650" t="s">
        <v>1663</v>
      </c>
      <c r="D1650" s="9">
        <v>218471</v>
      </c>
      <c r="E1650">
        <v>2.0780000000000001E-4</v>
      </c>
    </row>
    <row r="1651" spans="1:5">
      <c r="A1651">
        <v>2017</v>
      </c>
      <c r="B1651" s="3" t="s">
        <v>469</v>
      </c>
      <c r="C1651" t="s">
        <v>1664</v>
      </c>
      <c r="D1651" s="9"/>
      <c r="E1651">
        <v>0</v>
      </c>
    </row>
    <row r="1652" spans="1:5">
      <c r="A1652">
        <v>2017</v>
      </c>
      <c r="B1652" s="3" t="s">
        <v>1224</v>
      </c>
      <c r="C1652" t="s">
        <v>1665</v>
      </c>
      <c r="D1652" s="9">
        <v>86383</v>
      </c>
      <c r="E1652">
        <v>8.2200000000000006E-5</v>
      </c>
    </row>
    <row r="1653" spans="1:5">
      <c r="A1653">
        <v>2017</v>
      </c>
      <c r="B1653" s="3" t="s">
        <v>470</v>
      </c>
      <c r="C1653" t="s">
        <v>415</v>
      </c>
      <c r="D1653" s="9">
        <v>24183</v>
      </c>
      <c r="E1653">
        <v>2.3E-5</v>
      </c>
    </row>
    <row r="1654" spans="1:5">
      <c r="A1654">
        <v>2017</v>
      </c>
      <c r="B1654" s="3" t="s">
        <v>471</v>
      </c>
      <c r="C1654" t="s">
        <v>416</v>
      </c>
      <c r="D1654" s="9">
        <v>2192345</v>
      </c>
      <c r="E1654">
        <v>2.085E-3</v>
      </c>
    </row>
    <row r="1655" spans="1:5">
      <c r="A1655">
        <v>2017</v>
      </c>
      <c r="B1655" s="3" t="s">
        <v>472</v>
      </c>
      <c r="C1655" t="s">
        <v>417</v>
      </c>
      <c r="D1655" s="9">
        <v>2703540</v>
      </c>
      <c r="E1655">
        <v>2.5712E-3</v>
      </c>
    </row>
    <row r="1656" spans="1:5">
      <c r="A1656">
        <v>2017</v>
      </c>
      <c r="B1656" s="3" t="s">
        <v>473</v>
      </c>
      <c r="C1656" t="s">
        <v>418</v>
      </c>
      <c r="D1656" s="9"/>
      <c r="E1656">
        <v>0</v>
      </c>
    </row>
    <row r="1657" spans="1:5">
      <c r="A1657">
        <v>2017</v>
      </c>
      <c r="B1657" s="3" t="s">
        <v>474</v>
      </c>
      <c r="C1657" t="s">
        <v>1666</v>
      </c>
      <c r="D1657" s="9">
        <v>80093</v>
      </c>
      <c r="E1657">
        <v>7.6199999999999995E-5</v>
      </c>
    </row>
    <row r="1658" spans="1:5">
      <c r="A1658">
        <v>2017</v>
      </c>
      <c r="B1658" s="3" t="s">
        <v>475</v>
      </c>
      <c r="C1658" t="s">
        <v>1667</v>
      </c>
      <c r="D1658" s="9">
        <v>17210</v>
      </c>
      <c r="E1658">
        <v>1.6399999999999999E-5</v>
      </c>
    </row>
    <row r="1659" spans="1:5">
      <c r="A1659">
        <v>2017</v>
      </c>
      <c r="B1659" s="3" t="s">
        <v>476</v>
      </c>
      <c r="C1659" t="s">
        <v>421</v>
      </c>
      <c r="D1659" s="9">
        <v>4266431</v>
      </c>
      <c r="E1659">
        <v>4.0575999999999997E-3</v>
      </c>
    </row>
    <row r="1660" spans="1:5">
      <c r="A1660">
        <v>2017</v>
      </c>
      <c r="B1660" s="3" t="s">
        <v>477</v>
      </c>
      <c r="C1660" t="s">
        <v>422</v>
      </c>
      <c r="D1660" s="9">
        <v>827983</v>
      </c>
      <c r="E1660">
        <v>7.8750000000000001E-4</v>
      </c>
    </row>
    <row r="1661" spans="1:5">
      <c r="A1661">
        <v>2017</v>
      </c>
      <c r="B1661" s="3" t="s">
        <v>478</v>
      </c>
      <c r="C1661" t="s">
        <v>1668</v>
      </c>
      <c r="D1661" s="9">
        <v>110447</v>
      </c>
      <c r="E1661">
        <v>1.05E-4</v>
      </c>
    </row>
    <row r="1662" spans="1:5">
      <c r="A1662">
        <v>2017</v>
      </c>
      <c r="B1662" s="3" t="s">
        <v>479</v>
      </c>
      <c r="C1662" t="s">
        <v>1669</v>
      </c>
      <c r="D1662" s="9">
        <v>294422</v>
      </c>
      <c r="E1662">
        <v>2.7999999999999998E-4</v>
      </c>
    </row>
    <row r="1663" spans="1:5">
      <c r="A1663">
        <v>2017</v>
      </c>
      <c r="B1663" s="3" t="s">
        <v>480</v>
      </c>
      <c r="C1663" t="s">
        <v>1670</v>
      </c>
      <c r="D1663" s="9">
        <v>43373</v>
      </c>
      <c r="E1663">
        <v>4.1199999999999999E-5</v>
      </c>
    </row>
    <row r="1664" spans="1:5">
      <c r="A1664">
        <v>2017</v>
      </c>
      <c r="B1664" s="3" t="s">
        <v>481</v>
      </c>
      <c r="C1664" t="s">
        <v>1671</v>
      </c>
      <c r="D1664" s="9">
        <v>788849</v>
      </c>
      <c r="E1664">
        <v>7.5020000000000002E-4</v>
      </c>
    </row>
    <row r="1665" spans="1:5">
      <c r="A1665">
        <v>2017</v>
      </c>
      <c r="B1665" s="3" t="s">
        <v>482</v>
      </c>
      <c r="C1665" t="s">
        <v>1672</v>
      </c>
      <c r="D1665" s="9">
        <v>143582</v>
      </c>
      <c r="E1665">
        <v>1.3660000000000001E-4</v>
      </c>
    </row>
    <row r="1666" spans="1:5">
      <c r="A1666">
        <v>2017</v>
      </c>
      <c r="B1666" s="3" t="s">
        <v>483</v>
      </c>
      <c r="C1666" t="s">
        <v>1673</v>
      </c>
      <c r="D1666" s="9">
        <v>95227</v>
      </c>
      <c r="E1666">
        <v>9.0600000000000007E-5</v>
      </c>
    </row>
    <row r="1667" spans="1:5">
      <c r="A1667">
        <v>2017</v>
      </c>
      <c r="B1667" s="3" t="s">
        <v>484</v>
      </c>
      <c r="C1667" t="s">
        <v>1674</v>
      </c>
      <c r="D1667" s="9">
        <v>299196</v>
      </c>
      <c r="E1667">
        <v>2.8459999999999998E-4</v>
      </c>
    </row>
    <row r="1668" spans="1:5">
      <c r="A1668">
        <v>2017</v>
      </c>
      <c r="B1668" s="3" t="s">
        <v>485</v>
      </c>
      <c r="C1668" t="s">
        <v>1675</v>
      </c>
      <c r="D1668" s="9">
        <v>1084085</v>
      </c>
      <c r="E1668">
        <v>1.031E-3</v>
      </c>
    </row>
    <row r="1669" spans="1:5">
      <c r="A1669">
        <v>2017</v>
      </c>
      <c r="B1669" s="3" t="s">
        <v>376</v>
      </c>
      <c r="C1669" t="s">
        <v>1676</v>
      </c>
      <c r="D1669" s="9">
        <v>477230</v>
      </c>
      <c r="E1669">
        <v>4.5389999999999997E-4</v>
      </c>
    </row>
    <row r="1670" spans="1:5">
      <c r="A1670">
        <v>2017</v>
      </c>
      <c r="B1670" s="3" t="s">
        <v>1690</v>
      </c>
      <c r="C1670" t="s">
        <v>1677</v>
      </c>
      <c r="D1670" s="9">
        <v>42131</v>
      </c>
      <c r="E1670">
        <v>4.0099999999999999E-5</v>
      </c>
    </row>
    <row r="1671" spans="1:5">
      <c r="A1671">
        <v>2017</v>
      </c>
      <c r="B1671" s="3" t="s">
        <v>377</v>
      </c>
      <c r="C1671" t="s">
        <v>1678</v>
      </c>
      <c r="D1671" s="9">
        <v>839096</v>
      </c>
      <c r="E1671">
        <v>7.9799999999999999E-4</v>
      </c>
    </row>
    <row r="1672" spans="1:5">
      <c r="A1672">
        <v>2017</v>
      </c>
      <c r="B1672" s="3" t="s">
        <v>486</v>
      </c>
      <c r="C1672" t="s">
        <v>1679</v>
      </c>
      <c r="D1672" s="9">
        <v>897667</v>
      </c>
      <c r="E1672">
        <v>8.5369999999999999E-4</v>
      </c>
    </row>
    <row r="1673" spans="1:5">
      <c r="A1673">
        <v>2017</v>
      </c>
      <c r="B1673" s="3" t="s">
        <v>487</v>
      </c>
      <c r="C1673" t="s">
        <v>432</v>
      </c>
      <c r="D1673" s="9">
        <v>6501</v>
      </c>
      <c r="E1673">
        <v>6.1999999999999999E-6</v>
      </c>
    </row>
    <row r="1674" spans="1:5">
      <c r="A1674">
        <v>2017</v>
      </c>
      <c r="B1674" s="3" t="s">
        <v>488</v>
      </c>
      <c r="C1674" t="s">
        <v>1680</v>
      </c>
      <c r="D1674" s="9">
        <v>133177</v>
      </c>
      <c r="E1674">
        <v>1.2669999999999999E-4</v>
      </c>
    </row>
    <row r="1675" spans="1:5">
      <c r="A1675">
        <v>2017</v>
      </c>
      <c r="B1675" s="3" t="s">
        <v>489</v>
      </c>
      <c r="C1675" t="s">
        <v>434</v>
      </c>
      <c r="D1675" s="9">
        <v>50694</v>
      </c>
      <c r="E1675">
        <v>4.8199999999999999E-5</v>
      </c>
    </row>
    <row r="1676" spans="1:5">
      <c r="A1676">
        <v>2017</v>
      </c>
      <c r="B1676" s="3" t="s">
        <v>490</v>
      </c>
      <c r="C1676" t="s">
        <v>1681</v>
      </c>
      <c r="D1676" s="9">
        <v>2591465</v>
      </c>
      <c r="E1676">
        <v>2.4646E-3</v>
      </c>
    </row>
    <row r="1677" spans="1:5">
      <c r="A1677">
        <v>2017</v>
      </c>
      <c r="B1677" s="3" t="s">
        <v>491</v>
      </c>
      <c r="C1677" t="s">
        <v>1682</v>
      </c>
      <c r="D1677" s="9">
        <v>3375279</v>
      </c>
      <c r="E1677">
        <v>3.2101E-3</v>
      </c>
    </row>
    <row r="1678" spans="1:5">
      <c r="A1678">
        <v>2017</v>
      </c>
      <c r="B1678" s="3" t="s">
        <v>492</v>
      </c>
      <c r="C1678" t="s">
        <v>1683</v>
      </c>
      <c r="D1678" s="9">
        <v>5796</v>
      </c>
      <c r="E1678">
        <v>5.4999999999999999E-6</v>
      </c>
    </row>
    <row r="1679" spans="1:5">
      <c r="A1679">
        <v>2017</v>
      </c>
      <c r="B1679" s="3" t="s">
        <v>493</v>
      </c>
      <c r="C1679" t="s">
        <v>1684</v>
      </c>
      <c r="D1679" s="9">
        <v>12177</v>
      </c>
      <c r="E1679">
        <v>1.1600000000000001E-5</v>
      </c>
    </row>
    <row r="1680" spans="1:5">
      <c r="A1680">
        <v>2017</v>
      </c>
      <c r="B1680" s="3" t="s">
        <v>494</v>
      </c>
      <c r="C1680" t="s">
        <v>1685</v>
      </c>
      <c r="D1680" s="9">
        <v>10421</v>
      </c>
      <c r="E1680">
        <v>9.9000000000000001E-6</v>
      </c>
    </row>
    <row r="1681" spans="1:5">
      <c r="A1681">
        <v>2017</v>
      </c>
      <c r="B1681" s="3" t="s">
        <v>550</v>
      </c>
      <c r="C1681" t="s">
        <v>1686</v>
      </c>
      <c r="D1681" s="9">
        <v>60354</v>
      </c>
      <c r="E1681">
        <v>5.7399999999999999E-5</v>
      </c>
    </row>
    <row r="1682" spans="1:5">
      <c r="A1682">
        <v>2017</v>
      </c>
      <c r="B1682" s="3" t="s">
        <v>551</v>
      </c>
      <c r="C1682" t="s">
        <v>1687</v>
      </c>
      <c r="D1682" s="9">
        <v>76057</v>
      </c>
      <c r="E1682">
        <v>7.2299999999999996E-5</v>
      </c>
    </row>
    <row r="1683" spans="1:5">
      <c r="A1683">
        <v>2017</v>
      </c>
      <c r="B1683" s="3" t="s">
        <v>552</v>
      </c>
      <c r="C1683" t="s">
        <v>1688</v>
      </c>
      <c r="D1683" s="9">
        <v>16263471</v>
      </c>
      <c r="E1683">
        <v>1.5467399999999999E-2</v>
      </c>
    </row>
    <row r="1684" spans="1:5">
      <c r="A1684">
        <v>2017</v>
      </c>
      <c r="B1684" s="3" t="s">
        <v>819</v>
      </c>
      <c r="C1684" t="s">
        <v>1689</v>
      </c>
      <c r="D1684" s="9"/>
      <c r="E1684">
        <v>0</v>
      </c>
    </row>
    <row r="1685" spans="1:5">
      <c r="A1685">
        <v>2017</v>
      </c>
      <c r="B1685" s="3" t="s">
        <v>553</v>
      </c>
      <c r="C1685" t="s">
        <v>498</v>
      </c>
      <c r="D1685" s="9">
        <v>29864</v>
      </c>
      <c r="E1685">
        <v>2.8399999999999999E-5</v>
      </c>
    </row>
    <row r="1686" spans="1:5">
      <c r="A1686">
        <v>2017</v>
      </c>
      <c r="B1686" s="3" t="s">
        <v>554</v>
      </c>
      <c r="C1686" t="s">
        <v>499</v>
      </c>
      <c r="D1686" s="9">
        <v>25421</v>
      </c>
      <c r="E1686">
        <v>2.4199999999999999E-5</v>
      </c>
    </row>
    <row r="1687" spans="1:5">
      <c r="A1687">
        <v>2017</v>
      </c>
      <c r="B1687" s="3" t="s">
        <v>555</v>
      </c>
      <c r="C1687" t="s">
        <v>500</v>
      </c>
      <c r="D1687" s="9">
        <v>156207</v>
      </c>
      <c r="E1687">
        <v>1.4860000000000001E-4</v>
      </c>
    </row>
    <row r="1688" spans="1:5">
      <c r="A1688">
        <v>2017</v>
      </c>
      <c r="B1688" s="3" t="s">
        <v>556</v>
      </c>
      <c r="C1688" t="s">
        <v>501</v>
      </c>
      <c r="D1688" s="9">
        <v>7344</v>
      </c>
      <c r="E1688">
        <v>6.9999999999999999E-6</v>
      </c>
    </row>
    <row r="1689" spans="1:5">
      <c r="A1689">
        <v>2017</v>
      </c>
      <c r="B1689" s="3" t="s">
        <v>557</v>
      </c>
      <c r="C1689" t="s">
        <v>502</v>
      </c>
      <c r="D1689" s="9">
        <v>45754</v>
      </c>
      <c r="E1689">
        <v>4.35E-5</v>
      </c>
    </row>
    <row r="1690" spans="1:5">
      <c r="A1690">
        <v>2017</v>
      </c>
      <c r="B1690" s="3" t="s">
        <v>558</v>
      </c>
      <c r="C1690" t="s">
        <v>1691</v>
      </c>
      <c r="D1690" s="9">
        <v>29356</v>
      </c>
      <c r="E1690">
        <v>2.7900000000000001E-5</v>
      </c>
    </row>
    <row r="1691" spans="1:5">
      <c r="A1691">
        <v>2017</v>
      </c>
      <c r="B1691" s="3" t="s">
        <v>559</v>
      </c>
      <c r="C1691" t="s">
        <v>1692</v>
      </c>
      <c r="D1691" s="9">
        <v>1575964</v>
      </c>
      <c r="E1691">
        <v>1.4988E-3</v>
      </c>
    </row>
    <row r="1692" spans="1:5">
      <c r="A1692">
        <v>2017</v>
      </c>
      <c r="B1692" s="3" t="s">
        <v>378</v>
      </c>
      <c r="C1692" t="s">
        <v>1693</v>
      </c>
      <c r="D1692" s="9">
        <v>468993</v>
      </c>
      <c r="E1692">
        <v>4.46E-4</v>
      </c>
    </row>
    <row r="1693" spans="1:5">
      <c r="A1693">
        <v>2017</v>
      </c>
      <c r="B1693" s="3" t="s">
        <v>560</v>
      </c>
      <c r="C1693" t="s">
        <v>505</v>
      </c>
      <c r="D1693" s="9">
        <v>91801</v>
      </c>
      <c r="E1693">
        <v>8.7299999999999994E-5</v>
      </c>
    </row>
    <row r="1694" spans="1:5">
      <c r="A1694">
        <v>2017</v>
      </c>
      <c r="B1694" s="3" t="s">
        <v>561</v>
      </c>
      <c r="C1694" t="s">
        <v>1694</v>
      </c>
      <c r="D1694" s="9">
        <v>210007</v>
      </c>
      <c r="E1694">
        <v>1.997E-4</v>
      </c>
    </row>
    <row r="1695" spans="1:5">
      <c r="A1695">
        <v>2017</v>
      </c>
      <c r="B1695" s="3" t="s">
        <v>1225</v>
      </c>
      <c r="C1695" t="s">
        <v>1695</v>
      </c>
      <c r="D1695" s="9">
        <v>17095</v>
      </c>
      <c r="E1695">
        <v>1.63E-5</v>
      </c>
    </row>
    <row r="1696" spans="1:5">
      <c r="A1696">
        <v>2017</v>
      </c>
      <c r="B1696" s="3" t="s">
        <v>562</v>
      </c>
      <c r="C1696" t="s">
        <v>1696</v>
      </c>
      <c r="D1696" s="9">
        <v>10875864</v>
      </c>
      <c r="E1696">
        <v>1.03435E-2</v>
      </c>
    </row>
    <row r="1697" spans="1:5">
      <c r="A1697">
        <v>2017</v>
      </c>
      <c r="B1697" s="3" t="s">
        <v>1226</v>
      </c>
      <c r="C1697" t="s">
        <v>1697</v>
      </c>
      <c r="D1697" s="9">
        <v>148561</v>
      </c>
      <c r="E1697">
        <v>1.4129999999999999E-4</v>
      </c>
    </row>
    <row r="1698" spans="1:5">
      <c r="A1698">
        <v>2017</v>
      </c>
      <c r="B1698" s="3" t="s">
        <v>563</v>
      </c>
      <c r="C1698" t="s">
        <v>1698</v>
      </c>
      <c r="D1698" s="9">
        <v>3961</v>
      </c>
      <c r="E1698">
        <v>3.8E-6</v>
      </c>
    </row>
    <row r="1699" spans="1:5">
      <c r="A1699">
        <v>2017</v>
      </c>
      <c r="B1699" s="3" t="s">
        <v>564</v>
      </c>
      <c r="C1699" t="s">
        <v>509</v>
      </c>
      <c r="D1699" s="9">
        <v>940156</v>
      </c>
      <c r="E1699">
        <v>8.9409999999999999E-4</v>
      </c>
    </row>
    <row r="1700" spans="1:5">
      <c r="A1700">
        <v>2017</v>
      </c>
      <c r="B1700" s="3" t="s">
        <v>565</v>
      </c>
      <c r="C1700" t="s">
        <v>510</v>
      </c>
      <c r="D1700" s="9">
        <v>2065841</v>
      </c>
      <c r="E1700">
        <v>1.9647000000000002E-3</v>
      </c>
    </row>
    <row r="1701" spans="1:5">
      <c r="A1701">
        <v>2017</v>
      </c>
      <c r="B1701" s="3" t="s">
        <v>566</v>
      </c>
      <c r="C1701" t="s">
        <v>1699</v>
      </c>
      <c r="D1701" s="9">
        <v>120485</v>
      </c>
      <c r="E1701">
        <v>1.1459999999999999E-4</v>
      </c>
    </row>
    <row r="1702" spans="1:5">
      <c r="A1702">
        <v>2017</v>
      </c>
      <c r="B1702" s="3" t="s">
        <v>569</v>
      </c>
      <c r="C1702" t="s">
        <v>1446</v>
      </c>
      <c r="D1702" s="9">
        <v>167893</v>
      </c>
      <c r="E1702">
        <v>1.5970000000000001E-4</v>
      </c>
    </row>
    <row r="1703" spans="1:5">
      <c r="A1703">
        <v>2017</v>
      </c>
      <c r="B1703" s="3" t="s">
        <v>567</v>
      </c>
      <c r="C1703" t="s">
        <v>1700</v>
      </c>
      <c r="D1703" s="9">
        <v>97452</v>
      </c>
      <c r="E1703">
        <v>9.2700000000000004E-5</v>
      </c>
    </row>
    <row r="1704" spans="1:5">
      <c r="A1704">
        <v>2017</v>
      </c>
      <c r="B1704" s="3" t="s">
        <v>568</v>
      </c>
      <c r="C1704" t="s">
        <v>1701</v>
      </c>
      <c r="D1704" s="9">
        <v>155956</v>
      </c>
      <c r="E1704">
        <v>1.483E-4</v>
      </c>
    </row>
    <row r="1705" spans="1:5">
      <c r="A1705">
        <v>2017</v>
      </c>
      <c r="B1705" s="3" t="s">
        <v>570</v>
      </c>
      <c r="C1705" t="s">
        <v>515</v>
      </c>
      <c r="D1705" s="9">
        <v>252195</v>
      </c>
      <c r="E1705">
        <v>2.399E-4</v>
      </c>
    </row>
    <row r="1706" spans="1:5">
      <c r="A1706">
        <v>2017</v>
      </c>
      <c r="B1706" s="3" t="s">
        <v>571</v>
      </c>
      <c r="C1706" t="s">
        <v>516</v>
      </c>
      <c r="D1706" s="9">
        <v>733260</v>
      </c>
      <c r="E1706">
        <v>6.9740000000000004E-4</v>
      </c>
    </row>
    <row r="1707" spans="1:5">
      <c r="A1707">
        <v>2017</v>
      </c>
      <c r="B1707" s="3" t="s">
        <v>572</v>
      </c>
      <c r="C1707" t="s">
        <v>517</v>
      </c>
      <c r="D1707" s="9">
        <v>234378</v>
      </c>
      <c r="E1707">
        <v>2.229E-4</v>
      </c>
    </row>
    <row r="1708" spans="1:5">
      <c r="A1708">
        <v>2017</v>
      </c>
      <c r="B1708" s="3" t="s">
        <v>573</v>
      </c>
      <c r="C1708" t="s">
        <v>518</v>
      </c>
      <c r="D1708" s="9">
        <v>328113</v>
      </c>
      <c r="E1708">
        <v>3.121E-4</v>
      </c>
    </row>
    <row r="1709" spans="1:5">
      <c r="A1709">
        <v>2017</v>
      </c>
      <c r="B1709" s="3" t="s">
        <v>574</v>
      </c>
      <c r="C1709" t="s">
        <v>1702</v>
      </c>
      <c r="D1709" s="9">
        <v>125705</v>
      </c>
      <c r="E1709">
        <v>1.1959999999999999E-4</v>
      </c>
    </row>
    <row r="1710" spans="1:5">
      <c r="A1710">
        <v>2017</v>
      </c>
      <c r="B1710" s="3" t="s">
        <v>575</v>
      </c>
      <c r="C1710" t="s">
        <v>1703</v>
      </c>
      <c r="D1710" s="9">
        <v>56547</v>
      </c>
      <c r="E1710">
        <v>5.38E-5</v>
      </c>
    </row>
    <row r="1711" spans="1:5">
      <c r="A1711">
        <v>2017</v>
      </c>
      <c r="B1711" s="3" t="s">
        <v>576</v>
      </c>
      <c r="C1711" t="s">
        <v>521</v>
      </c>
      <c r="D1711" s="9">
        <v>146102</v>
      </c>
      <c r="E1711">
        <v>1.3899999999999999E-4</v>
      </c>
    </row>
    <row r="1712" spans="1:5">
      <c r="A1712">
        <v>2017</v>
      </c>
      <c r="B1712" s="3" t="s">
        <v>577</v>
      </c>
      <c r="C1712" t="s">
        <v>1704</v>
      </c>
      <c r="D1712" s="9">
        <v>33731</v>
      </c>
      <c r="E1712">
        <v>3.2100000000000001E-5</v>
      </c>
    </row>
    <row r="1713" spans="1:5">
      <c r="A1713">
        <v>2017</v>
      </c>
      <c r="B1713" s="3" t="s">
        <v>578</v>
      </c>
      <c r="C1713" t="s">
        <v>1705</v>
      </c>
      <c r="D1713" s="9">
        <v>1324010</v>
      </c>
      <c r="E1713">
        <v>1.2592E-3</v>
      </c>
    </row>
    <row r="1714" spans="1:5">
      <c r="A1714">
        <v>2017</v>
      </c>
      <c r="B1714" s="3" t="s">
        <v>579</v>
      </c>
      <c r="C1714" t="s">
        <v>1447</v>
      </c>
      <c r="D1714" s="9"/>
      <c r="E1714">
        <v>0</v>
      </c>
    </row>
    <row r="1715" spans="1:5">
      <c r="A1715">
        <v>2017</v>
      </c>
      <c r="B1715" s="3" t="s">
        <v>379</v>
      </c>
      <c r="C1715" t="s">
        <v>1706</v>
      </c>
      <c r="D1715" s="9">
        <v>624521</v>
      </c>
      <c r="E1715">
        <v>5.9400000000000002E-4</v>
      </c>
    </row>
    <row r="1716" spans="1:5">
      <c r="A1716">
        <v>2017</v>
      </c>
      <c r="B1716" s="3" t="s">
        <v>1451</v>
      </c>
      <c r="C1716" t="s">
        <v>1707</v>
      </c>
      <c r="D1716" s="9"/>
      <c r="E1716">
        <v>0</v>
      </c>
    </row>
    <row r="1717" spans="1:5">
      <c r="A1717">
        <v>2017</v>
      </c>
      <c r="B1717" s="3" t="s">
        <v>1450</v>
      </c>
      <c r="C1717" t="s">
        <v>1708</v>
      </c>
      <c r="D1717" s="9"/>
      <c r="E1717">
        <v>0</v>
      </c>
    </row>
    <row r="1718" spans="1:5">
      <c r="A1718">
        <v>2017</v>
      </c>
      <c r="B1718" s="3" t="s">
        <v>580</v>
      </c>
      <c r="C1718" t="s">
        <v>1709</v>
      </c>
      <c r="D1718" s="9">
        <v>63240</v>
      </c>
      <c r="E1718">
        <v>6.0099999999999997E-5</v>
      </c>
    </row>
    <row r="1719" spans="1:5">
      <c r="A1719">
        <v>2017</v>
      </c>
      <c r="B1719" s="3" t="s">
        <v>581</v>
      </c>
      <c r="C1719" t="s">
        <v>526</v>
      </c>
      <c r="D1719" s="9">
        <v>12617</v>
      </c>
      <c r="E1719">
        <v>1.2E-5</v>
      </c>
    </row>
    <row r="1720" spans="1:5">
      <c r="A1720">
        <v>2017</v>
      </c>
      <c r="B1720" s="3" t="s">
        <v>582</v>
      </c>
      <c r="C1720" t="s">
        <v>1710</v>
      </c>
      <c r="D1720" s="9">
        <v>445975</v>
      </c>
      <c r="E1720">
        <v>4.2410000000000001E-4</v>
      </c>
    </row>
    <row r="1721" spans="1:5">
      <c r="A1721">
        <v>2017</v>
      </c>
      <c r="B1721" s="3" t="s">
        <v>583</v>
      </c>
      <c r="C1721" t="s">
        <v>1711</v>
      </c>
      <c r="D1721" s="9">
        <v>13448</v>
      </c>
      <c r="E1721">
        <v>1.2799999999999999E-5</v>
      </c>
    </row>
    <row r="1722" spans="1:5">
      <c r="A1722">
        <v>2017</v>
      </c>
      <c r="B1722" s="3" t="s">
        <v>380</v>
      </c>
      <c r="C1722" t="s">
        <v>1712</v>
      </c>
      <c r="D1722" s="9">
        <v>414288</v>
      </c>
      <c r="E1722">
        <v>3.9399999999999998E-4</v>
      </c>
    </row>
    <row r="1723" spans="1:5">
      <c r="A1723">
        <v>2017</v>
      </c>
      <c r="B1723" s="3" t="s">
        <v>584</v>
      </c>
      <c r="C1723" t="s">
        <v>529</v>
      </c>
      <c r="D1723" s="9"/>
      <c r="E1723">
        <v>0</v>
      </c>
    </row>
    <row r="1724" spans="1:5">
      <c r="A1724">
        <v>2017</v>
      </c>
      <c r="B1724" s="3" t="s">
        <v>585</v>
      </c>
      <c r="C1724" t="s">
        <v>1713</v>
      </c>
      <c r="D1724" s="9">
        <v>263146</v>
      </c>
      <c r="E1724">
        <v>2.5030000000000001E-4</v>
      </c>
    </row>
    <row r="1725" spans="1:5">
      <c r="A1725">
        <v>2017</v>
      </c>
      <c r="B1725" s="3" t="s">
        <v>586</v>
      </c>
      <c r="C1725" t="s">
        <v>1714</v>
      </c>
      <c r="D1725" s="9">
        <v>105730</v>
      </c>
      <c r="E1725">
        <v>1.0060000000000001E-4</v>
      </c>
    </row>
    <row r="1726" spans="1:5">
      <c r="A1726">
        <v>2017</v>
      </c>
      <c r="B1726" s="3" t="s">
        <v>587</v>
      </c>
      <c r="C1726" t="s">
        <v>532</v>
      </c>
      <c r="D1726" s="9">
        <v>149173</v>
      </c>
      <c r="E1726">
        <v>1.4190000000000001E-4</v>
      </c>
    </row>
    <row r="1727" spans="1:5">
      <c r="A1727">
        <v>2017</v>
      </c>
      <c r="B1727" s="3" t="s">
        <v>588</v>
      </c>
      <c r="C1727" t="s">
        <v>533</v>
      </c>
      <c r="D1727" s="9">
        <v>136348</v>
      </c>
      <c r="E1727">
        <v>1.2970000000000001E-4</v>
      </c>
    </row>
    <row r="1728" spans="1:5">
      <c r="A1728">
        <v>2017</v>
      </c>
      <c r="B1728" s="3" t="s">
        <v>589</v>
      </c>
      <c r="C1728" t="s">
        <v>1715</v>
      </c>
      <c r="D1728" s="9">
        <v>5196465</v>
      </c>
      <c r="E1728">
        <v>4.9420999999999996E-3</v>
      </c>
    </row>
    <row r="1729" spans="1:5">
      <c r="A1729">
        <v>2017</v>
      </c>
      <c r="B1729" s="3" t="s">
        <v>381</v>
      </c>
      <c r="C1729" t="s">
        <v>1716</v>
      </c>
      <c r="D1729" s="9">
        <v>3287507</v>
      </c>
      <c r="E1729">
        <v>3.1266000000000002E-3</v>
      </c>
    </row>
    <row r="1730" spans="1:5">
      <c r="A1730">
        <v>2017</v>
      </c>
      <c r="B1730" s="3" t="s">
        <v>590</v>
      </c>
      <c r="C1730" t="s">
        <v>1717</v>
      </c>
      <c r="D1730" s="9">
        <v>4301567</v>
      </c>
      <c r="E1730">
        <v>4.091E-3</v>
      </c>
    </row>
    <row r="1731" spans="1:5">
      <c r="A1731">
        <v>2017</v>
      </c>
      <c r="B1731" s="3" t="s">
        <v>1227</v>
      </c>
      <c r="C1731" t="s">
        <v>1718</v>
      </c>
      <c r="D1731" s="9">
        <v>554877</v>
      </c>
      <c r="E1731">
        <v>5.2769999999999998E-4</v>
      </c>
    </row>
    <row r="1732" spans="1:5">
      <c r="A1732">
        <v>2017</v>
      </c>
      <c r="B1732" s="3" t="s">
        <v>591</v>
      </c>
      <c r="C1732" t="s">
        <v>536</v>
      </c>
      <c r="D1732" s="9">
        <v>52637</v>
      </c>
      <c r="E1732">
        <v>5.0099999999999998E-5</v>
      </c>
    </row>
    <row r="1733" spans="1:5">
      <c r="A1733">
        <v>2017</v>
      </c>
      <c r="B1733" s="3" t="s">
        <v>592</v>
      </c>
      <c r="C1733" t="s">
        <v>1719</v>
      </c>
      <c r="D1733" s="9">
        <v>2649409</v>
      </c>
      <c r="E1733">
        <v>2.5197000000000002E-3</v>
      </c>
    </row>
    <row r="1734" spans="1:5">
      <c r="A1734">
        <v>2017</v>
      </c>
      <c r="B1734" s="3" t="s">
        <v>1456</v>
      </c>
      <c r="C1734" t="s">
        <v>1720</v>
      </c>
      <c r="D1734" s="9">
        <v>15190</v>
      </c>
      <c r="E1734">
        <v>1.4399999999999999E-5</v>
      </c>
    </row>
    <row r="1735" spans="1:5">
      <c r="A1735">
        <v>2017</v>
      </c>
      <c r="B1735" s="3" t="s">
        <v>593</v>
      </c>
      <c r="C1735" t="s">
        <v>1721</v>
      </c>
      <c r="D1735" s="9">
        <v>652972</v>
      </c>
      <c r="E1735">
        <v>6.2100000000000002E-4</v>
      </c>
    </row>
    <row r="1736" spans="1:5">
      <c r="A1736">
        <v>2017</v>
      </c>
      <c r="B1736" s="3" t="s">
        <v>594</v>
      </c>
      <c r="C1736" t="s">
        <v>539</v>
      </c>
      <c r="D1736" s="9">
        <v>13980</v>
      </c>
      <c r="E1736">
        <v>1.33E-5</v>
      </c>
    </row>
    <row r="1737" spans="1:5">
      <c r="A1737">
        <v>2017</v>
      </c>
      <c r="B1737" s="3" t="s">
        <v>595</v>
      </c>
      <c r="C1737" t="s">
        <v>1722</v>
      </c>
      <c r="D1737" s="9">
        <v>490110</v>
      </c>
      <c r="E1737">
        <v>4.661E-4</v>
      </c>
    </row>
    <row r="1738" spans="1:5">
      <c r="A1738">
        <v>2017</v>
      </c>
      <c r="B1738" s="3" t="s">
        <v>596</v>
      </c>
      <c r="C1738" t="s">
        <v>1723</v>
      </c>
      <c r="D1738" s="9">
        <v>709444</v>
      </c>
      <c r="E1738">
        <v>6.7469999999999997E-4</v>
      </c>
    </row>
    <row r="1739" spans="1:5">
      <c r="A1739">
        <v>2017</v>
      </c>
      <c r="B1739" s="3" t="s">
        <v>597</v>
      </c>
      <c r="C1739" t="s">
        <v>1724</v>
      </c>
      <c r="D1739" s="9">
        <v>2155905</v>
      </c>
      <c r="E1739">
        <v>2.0504E-3</v>
      </c>
    </row>
    <row r="1740" spans="1:5">
      <c r="A1740">
        <v>2017</v>
      </c>
      <c r="B1740" s="3" t="s">
        <v>598</v>
      </c>
      <c r="C1740" t="s">
        <v>543</v>
      </c>
      <c r="D1740" s="9">
        <v>191031</v>
      </c>
      <c r="E1740">
        <v>1.817E-4</v>
      </c>
    </row>
    <row r="1741" spans="1:5">
      <c r="A1741">
        <v>2017</v>
      </c>
      <c r="B1741" s="3" t="s">
        <v>1228</v>
      </c>
      <c r="C1741" t="s">
        <v>1725</v>
      </c>
      <c r="D1741" s="9">
        <v>32018</v>
      </c>
      <c r="E1741">
        <v>3.0499999999999999E-5</v>
      </c>
    </row>
    <row r="1742" spans="1:5">
      <c r="A1742">
        <v>2017</v>
      </c>
      <c r="B1742" s="3" t="s">
        <v>599</v>
      </c>
      <c r="C1742" t="s">
        <v>1726</v>
      </c>
      <c r="D1742" s="9">
        <v>134547</v>
      </c>
      <c r="E1742">
        <v>1.2799999999999999E-4</v>
      </c>
    </row>
    <row r="1743" spans="1:5">
      <c r="A1743">
        <v>2017</v>
      </c>
      <c r="B1743" s="3" t="s">
        <v>600</v>
      </c>
      <c r="C1743" t="s">
        <v>1727</v>
      </c>
      <c r="D1743" s="9">
        <v>2043275</v>
      </c>
      <c r="E1743">
        <v>1.9433E-3</v>
      </c>
    </row>
    <row r="1744" spans="1:5">
      <c r="A1744">
        <v>2017</v>
      </c>
      <c r="B1744" s="3" t="s">
        <v>601</v>
      </c>
      <c r="C1744" t="s">
        <v>1728</v>
      </c>
      <c r="D1744" s="9">
        <v>1133551</v>
      </c>
      <c r="E1744">
        <v>1.0781E-3</v>
      </c>
    </row>
    <row r="1745" spans="1:5">
      <c r="A1745">
        <v>2017</v>
      </c>
      <c r="B1745" s="3" t="s">
        <v>602</v>
      </c>
      <c r="C1745" t="s">
        <v>547</v>
      </c>
      <c r="D1745" s="9">
        <v>72683</v>
      </c>
      <c r="E1745">
        <v>6.9099999999999999E-5</v>
      </c>
    </row>
    <row r="1746" spans="1:5">
      <c r="A1746">
        <v>2017</v>
      </c>
      <c r="B1746" s="3" t="s">
        <v>603</v>
      </c>
      <c r="C1746" t="s">
        <v>548</v>
      </c>
      <c r="D1746" s="9">
        <v>103046</v>
      </c>
      <c r="E1746">
        <v>9.7999999999999997E-5</v>
      </c>
    </row>
    <row r="1747" spans="1:5">
      <c r="A1747">
        <v>2017</v>
      </c>
      <c r="B1747" s="3" t="s">
        <v>604</v>
      </c>
      <c r="C1747" t="s">
        <v>1729</v>
      </c>
      <c r="D1747" s="9">
        <v>229621</v>
      </c>
      <c r="E1747">
        <v>2.184E-4</v>
      </c>
    </row>
    <row r="1748" spans="1:5">
      <c r="A1748">
        <v>2017</v>
      </c>
      <c r="B1748" s="3" t="s">
        <v>1229</v>
      </c>
      <c r="C1748" t="s">
        <v>1730</v>
      </c>
      <c r="D1748" s="9">
        <v>135138</v>
      </c>
      <c r="E1748">
        <v>1.2850000000000001E-4</v>
      </c>
    </row>
    <row r="1749" spans="1:5">
      <c r="A1749">
        <v>2017</v>
      </c>
      <c r="B1749" s="3" t="s">
        <v>660</v>
      </c>
      <c r="C1749" t="s">
        <v>605</v>
      </c>
      <c r="D1749" s="9">
        <v>1716124</v>
      </c>
      <c r="E1749">
        <v>1.6321E-3</v>
      </c>
    </row>
    <row r="1750" spans="1:5">
      <c r="A1750">
        <v>2017</v>
      </c>
      <c r="B1750" s="3" t="s">
        <v>661</v>
      </c>
      <c r="C1750" t="s">
        <v>1455</v>
      </c>
      <c r="D1750" s="9">
        <v>17913</v>
      </c>
      <c r="E1750">
        <v>1.7E-5</v>
      </c>
    </row>
    <row r="1751" spans="1:5">
      <c r="A1751">
        <v>2017</v>
      </c>
      <c r="B1751" s="3" t="s">
        <v>662</v>
      </c>
      <c r="C1751" t="s">
        <v>607</v>
      </c>
      <c r="D1751" s="9">
        <v>12208</v>
      </c>
      <c r="E1751">
        <v>1.1600000000000001E-5</v>
      </c>
    </row>
    <row r="1752" spans="1:5">
      <c r="A1752">
        <v>2017</v>
      </c>
      <c r="B1752" s="3" t="s">
        <v>663</v>
      </c>
      <c r="C1752" t="s">
        <v>608</v>
      </c>
      <c r="D1752" s="9">
        <v>26483</v>
      </c>
      <c r="E1752">
        <v>2.5199999999999999E-5</v>
      </c>
    </row>
    <row r="1753" spans="1:5">
      <c r="A1753">
        <v>2017</v>
      </c>
      <c r="B1753" s="3" t="s">
        <v>664</v>
      </c>
      <c r="C1753" t="s">
        <v>609</v>
      </c>
      <c r="D1753" s="9">
        <v>17879453</v>
      </c>
      <c r="E1753">
        <v>1.70043E-2</v>
      </c>
    </row>
    <row r="1754" spans="1:5">
      <c r="A1754">
        <v>2017</v>
      </c>
      <c r="B1754" s="3" t="s">
        <v>1230</v>
      </c>
      <c r="C1754" t="s">
        <v>1731</v>
      </c>
      <c r="D1754" s="9">
        <v>5185910</v>
      </c>
      <c r="E1754">
        <v>4.9321E-3</v>
      </c>
    </row>
    <row r="1755" spans="1:5">
      <c r="A1755">
        <v>2017</v>
      </c>
      <c r="B1755" s="3" t="s">
        <v>665</v>
      </c>
      <c r="C1755" t="s">
        <v>1732</v>
      </c>
      <c r="D1755" s="9">
        <v>5831853</v>
      </c>
      <c r="E1755">
        <v>5.5463999999999999E-3</v>
      </c>
    </row>
    <row r="1756" spans="1:5">
      <c r="A1756">
        <v>2017</v>
      </c>
      <c r="B1756" s="3" t="s">
        <v>666</v>
      </c>
      <c r="C1756" t="s">
        <v>1733</v>
      </c>
      <c r="D1756" s="9">
        <v>8580447</v>
      </c>
      <c r="E1756">
        <v>8.1603999999999999E-3</v>
      </c>
    </row>
    <row r="1757" spans="1:5">
      <c r="A1757">
        <v>2017</v>
      </c>
      <c r="B1757" s="3" t="s">
        <v>382</v>
      </c>
      <c r="C1757" t="s">
        <v>1734</v>
      </c>
      <c r="D1757" s="9">
        <v>7007003</v>
      </c>
      <c r="E1757">
        <v>6.6639999999999998E-3</v>
      </c>
    </row>
    <row r="1758" spans="1:5">
      <c r="A1758">
        <v>2017</v>
      </c>
      <c r="B1758" s="3" t="s">
        <v>667</v>
      </c>
      <c r="C1758" t="s">
        <v>1735</v>
      </c>
      <c r="D1758" s="9">
        <v>726048</v>
      </c>
      <c r="E1758">
        <v>6.9050000000000003E-4</v>
      </c>
    </row>
    <row r="1759" spans="1:5">
      <c r="A1759">
        <v>2017</v>
      </c>
      <c r="B1759" s="3" t="s">
        <v>383</v>
      </c>
      <c r="C1759" t="s">
        <v>1736</v>
      </c>
      <c r="D1759" s="9">
        <v>237341</v>
      </c>
      <c r="E1759">
        <v>2.2570000000000001E-4</v>
      </c>
    </row>
    <row r="1760" spans="1:5">
      <c r="A1760">
        <v>2017</v>
      </c>
      <c r="B1760" s="3" t="s">
        <v>668</v>
      </c>
      <c r="C1760" t="s">
        <v>613</v>
      </c>
      <c r="D1760" s="9">
        <v>207060</v>
      </c>
      <c r="E1760">
        <v>1.9689999999999999E-4</v>
      </c>
    </row>
    <row r="1761" spans="1:5">
      <c r="A1761">
        <v>2017</v>
      </c>
      <c r="B1761" s="3" t="s">
        <v>384</v>
      </c>
      <c r="C1761" t="s">
        <v>1737</v>
      </c>
      <c r="D1761" s="9">
        <v>2529219</v>
      </c>
      <c r="E1761">
        <v>2.4053999999999998E-3</v>
      </c>
    </row>
    <row r="1762" spans="1:5">
      <c r="A1762">
        <v>2017</v>
      </c>
      <c r="B1762" s="3" t="s">
        <v>669</v>
      </c>
      <c r="C1762" t="s">
        <v>614</v>
      </c>
      <c r="D1762" s="9">
        <v>76267</v>
      </c>
      <c r="E1762">
        <v>7.25E-5</v>
      </c>
    </row>
    <row r="1763" spans="1:5">
      <c r="A1763">
        <v>2017</v>
      </c>
      <c r="B1763" s="3" t="s">
        <v>670</v>
      </c>
      <c r="C1763" t="s">
        <v>615</v>
      </c>
      <c r="D1763" s="9">
        <v>657941</v>
      </c>
      <c r="E1763">
        <v>6.2569999999999998E-4</v>
      </c>
    </row>
    <row r="1764" spans="1:5">
      <c r="A1764">
        <v>2017</v>
      </c>
      <c r="B1764" s="3" t="s">
        <v>671</v>
      </c>
      <c r="C1764" t="s">
        <v>1738</v>
      </c>
      <c r="D1764" s="9"/>
      <c r="E1764">
        <v>0</v>
      </c>
    </row>
    <row r="1765" spans="1:5">
      <c r="A1765">
        <v>2017</v>
      </c>
      <c r="B1765" s="3" t="s">
        <v>672</v>
      </c>
      <c r="C1765" t="s">
        <v>1739</v>
      </c>
      <c r="D1765" s="9">
        <v>273949</v>
      </c>
      <c r="E1765">
        <v>2.6049999999999999E-4</v>
      </c>
    </row>
    <row r="1766" spans="1:5">
      <c r="A1766">
        <v>2017</v>
      </c>
      <c r="B1766" s="3" t="s">
        <v>673</v>
      </c>
      <c r="C1766" t="s">
        <v>618</v>
      </c>
      <c r="D1766" s="9">
        <v>79722</v>
      </c>
      <c r="E1766">
        <v>7.5799999999999999E-5</v>
      </c>
    </row>
    <row r="1767" spans="1:5">
      <c r="A1767">
        <v>2017</v>
      </c>
      <c r="B1767" s="3" t="s">
        <v>674</v>
      </c>
      <c r="C1767" t="s">
        <v>619</v>
      </c>
      <c r="D1767" s="9">
        <v>43705</v>
      </c>
      <c r="E1767">
        <v>4.1600000000000002E-5</v>
      </c>
    </row>
    <row r="1768" spans="1:5">
      <c r="A1768">
        <v>2017</v>
      </c>
      <c r="B1768" s="3" t="s">
        <v>675</v>
      </c>
      <c r="C1768" t="s">
        <v>620</v>
      </c>
      <c r="D1768" s="9">
        <v>594439</v>
      </c>
      <c r="E1768">
        <v>5.6530000000000003E-4</v>
      </c>
    </row>
    <row r="1769" spans="1:5">
      <c r="A1769">
        <v>2017</v>
      </c>
      <c r="B1769" s="3" t="s">
        <v>676</v>
      </c>
      <c r="C1769" t="s">
        <v>1740</v>
      </c>
      <c r="D1769" s="9">
        <v>7022</v>
      </c>
      <c r="E1769">
        <v>6.7000000000000002E-6</v>
      </c>
    </row>
    <row r="1770" spans="1:5">
      <c r="A1770">
        <v>2017</v>
      </c>
      <c r="B1770" s="3" t="s">
        <v>677</v>
      </c>
      <c r="C1770" t="s">
        <v>622</v>
      </c>
      <c r="D1770" s="9">
        <v>5713</v>
      </c>
      <c r="E1770">
        <v>5.4E-6</v>
      </c>
    </row>
    <row r="1771" spans="1:5">
      <c r="A1771">
        <v>2017</v>
      </c>
      <c r="B1771" s="3" t="s">
        <v>1463</v>
      </c>
      <c r="C1771" t="s">
        <v>1741</v>
      </c>
      <c r="D1771" s="9">
        <v>76149</v>
      </c>
      <c r="E1771">
        <v>7.2399999999999998E-5</v>
      </c>
    </row>
    <row r="1772" spans="1:5">
      <c r="A1772">
        <v>2017</v>
      </c>
      <c r="B1772" s="3" t="s">
        <v>678</v>
      </c>
      <c r="C1772" t="s">
        <v>1458</v>
      </c>
      <c r="D1772" s="9">
        <v>155</v>
      </c>
      <c r="E1772">
        <v>9.9999999999999995E-8</v>
      </c>
    </row>
    <row r="1773" spans="1:5">
      <c r="A1773">
        <v>2017</v>
      </c>
      <c r="B1773" s="3" t="s">
        <v>1231</v>
      </c>
      <c r="C1773" t="s">
        <v>1742</v>
      </c>
      <c r="D1773" s="9">
        <v>79603</v>
      </c>
      <c r="E1773">
        <v>7.5699999999999997E-5</v>
      </c>
    </row>
    <row r="1774" spans="1:5">
      <c r="A1774">
        <v>2017</v>
      </c>
      <c r="B1774" s="3" t="s">
        <v>679</v>
      </c>
      <c r="C1774" t="s">
        <v>1459</v>
      </c>
      <c r="D1774" s="9"/>
      <c r="E1774">
        <v>0</v>
      </c>
    </row>
    <row r="1775" spans="1:5">
      <c r="A1775">
        <v>2017</v>
      </c>
      <c r="B1775" s="3" t="s">
        <v>680</v>
      </c>
      <c r="C1775" t="s">
        <v>1743</v>
      </c>
      <c r="D1775" s="9">
        <v>42695</v>
      </c>
      <c r="E1775">
        <v>4.0599999999999998E-5</v>
      </c>
    </row>
    <row r="1776" spans="1:5">
      <c r="A1776">
        <v>2017</v>
      </c>
      <c r="B1776" s="3" t="s">
        <v>681</v>
      </c>
      <c r="C1776" t="s">
        <v>626</v>
      </c>
      <c r="D1776" s="9">
        <v>254762</v>
      </c>
      <c r="E1776">
        <v>2.4230000000000001E-4</v>
      </c>
    </row>
    <row r="1777" spans="1:5">
      <c r="A1777">
        <v>2017</v>
      </c>
      <c r="B1777" s="3" t="s">
        <v>682</v>
      </c>
      <c r="C1777" t="s">
        <v>1744</v>
      </c>
      <c r="D1777" s="9">
        <v>29898</v>
      </c>
      <c r="E1777">
        <v>2.8399999999999999E-5</v>
      </c>
    </row>
    <row r="1778" spans="1:5">
      <c r="A1778">
        <v>2017</v>
      </c>
      <c r="B1778" s="3" t="s">
        <v>1232</v>
      </c>
      <c r="C1778" t="s">
        <v>1745</v>
      </c>
      <c r="D1778" s="9">
        <v>67287</v>
      </c>
      <c r="E1778">
        <v>6.3999999999999997E-5</v>
      </c>
    </row>
    <row r="1779" spans="1:5">
      <c r="A1779">
        <v>2017</v>
      </c>
      <c r="B1779" s="3" t="s">
        <v>683</v>
      </c>
      <c r="C1779" t="s">
        <v>1746</v>
      </c>
      <c r="D1779" s="9">
        <v>205908</v>
      </c>
      <c r="E1779">
        <v>1.9579999999999999E-4</v>
      </c>
    </row>
    <row r="1780" spans="1:5">
      <c r="A1780">
        <v>2017</v>
      </c>
      <c r="B1780" s="3" t="s">
        <v>685</v>
      </c>
      <c r="C1780" t="s">
        <v>1461</v>
      </c>
      <c r="D1780" s="9">
        <v>20683</v>
      </c>
      <c r="E1780">
        <v>1.9700000000000001E-5</v>
      </c>
    </row>
    <row r="1781" spans="1:5">
      <c r="A1781">
        <v>2017</v>
      </c>
      <c r="B1781" s="3" t="s">
        <v>686</v>
      </c>
      <c r="C1781" t="s">
        <v>1747</v>
      </c>
      <c r="D1781" s="9">
        <v>261091</v>
      </c>
      <c r="E1781">
        <v>2.4830000000000002E-4</v>
      </c>
    </row>
    <row r="1782" spans="1:5">
      <c r="A1782">
        <v>2017</v>
      </c>
      <c r="B1782" s="3" t="s">
        <v>687</v>
      </c>
      <c r="C1782" t="s">
        <v>632</v>
      </c>
      <c r="D1782" s="9">
        <v>669495</v>
      </c>
      <c r="E1782">
        <v>6.3670000000000003E-4</v>
      </c>
    </row>
    <row r="1783" spans="1:5">
      <c r="A1783">
        <v>2017</v>
      </c>
      <c r="B1783" s="3" t="s">
        <v>688</v>
      </c>
      <c r="C1783" t="s">
        <v>1748</v>
      </c>
      <c r="D1783" s="9">
        <v>13990</v>
      </c>
      <c r="E1783">
        <v>1.33E-5</v>
      </c>
    </row>
    <row r="1784" spans="1:5">
      <c r="A1784">
        <v>2017</v>
      </c>
      <c r="B1784" s="3" t="s">
        <v>689</v>
      </c>
      <c r="C1784" t="s">
        <v>1749</v>
      </c>
      <c r="D1784" s="9">
        <v>5141043</v>
      </c>
      <c r="E1784">
        <v>4.8894000000000003E-3</v>
      </c>
    </row>
    <row r="1785" spans="1:5">
      <c r="A1785">
        <v>2017</v>
      </c>
      <c r="B1785" s="3" t="s">
        <v>690</v>
      </c>
      <c r="C1785" t="s">
        <v>1750</v>
      </c>
      <c r="D1785" s="9">
        <v>17489</v>
      </c>
      <c r="E1785">
        <v>1.66E-5</v>
      </c>
    </row>
    <row r="1786" spans="1:5">
      <c r="A1786">
        <v>2017</v>
      </c>
      <c r="B1786" s="3" t="s">
        <v>691</v>
      </c>
      <c r="C1786" t="s">
        <v>1751</v>
      </c>
      <c r="D1786" s="9">
        <v>1353097</v>
      </c>
      <c r="E1786">
        <v>1.2868999999999999E-3</v>
      </c>
    </row>
    <row r="1787" spans="1:5">
      <c r="A1787">
        <v>2017</v>
      </c>
      <c r="B1787" s="3" t="s">
        <v>440</v>
      </c>
      <c r="C1787" t="s">
        <v>1752</v>
      </c>
      <c r="D1787" s="9">
        <v>167986</v>
      </c>
      <c r="E1787">
        <v>1.5980000000000001E-4</v>
      </c>
    </row>
    <row r="1788" spans="1:5">
      <c r="A1788">
        <v>2017</v>
      </c>
      <c r="B1788" s="3" t="s">
        <v>1464</v>
      </c>
      <c r="C1788" t="s">
        <v>1753</v>
      </c>
      <c r="D1788" s="9">
        <v>286632</v>
      </c>
      <c r="E1788">
        <v>2.7260000000000001E-4</v>
      </c>
    </row>
    <row r="1789" spans="1:5">
      <c r="A1789">
        <v>2017</v>
      </c>
      <c r="B1789" s="3" t="s">
        <v>684</v>
      </c>
      <c r="C1789" t="s">
        <v>1754</v>
      </c>
      <c r="D1789" s="9">
        <v>332436</v>
      </c>
      <c r="E1789">
        <v>3.1619999999999999E-4</v>
      </c>
    </row>
    <row r="1790" spans="1:5">
      <c r="A1790">
        <v>2017</v>
      </c>
      <c r="B1790" s="3" t="s">
        <v>692</v>
      </c>
      <c r="C1790" t="s">
        <v>637</v>
      </c>
      <c r="D1790" s="9">
        <v>222544</v>
      </c>
      <c r="E1790">
        <v>2.117E-4</v>
      </c>
    </row>
    <row r="1791" spans="1:5">
      <c r="A1791">
        <v>2017</v>
      </c>
      <c r="B1791" s="3" t="s">
        <v>1356</v>
      </c>
      <c r="C1791" t="s">
        <v>1755</v>
      </c>
      <c r="D1791" s="9">
        <v>157065</v>
      </c>
      <c r="E1791">
        <v>1.494E-4</v>
      </c>
    </row>
    <row r="1792" spans="1:5">
      <c r="A1792">
        <v>2017</v>
      </c>
      <c r="B1792" s="3" t="s">
        <v>693</v>
      </c>
      <c r="C1792" t="s">
        <v>1756</v>
      </c>
      <c r="D1792" s="9">
        <v>69596</v>
      </c>
      <c r="E1792">
        <v>6.6199999999999996E-5</v>
      </c>
    </row>
    <row r="1793" spans="1:5">
      <c r="A1793">
        <v>2017</v>
      </c>
      <c r="B1793" s="3" t="s">
        <v>694</v>
      </c>
      <c r="C1793" t="s">
        <v>1757</v>
      </c>
      <c r="D1793" s="9">
        <v>2541303</v>
      </c>
      <c r="E1793">
        <v>2.4169E-3</v>
      </c>
    </row>
    <row r="1794" spans="1:5">
      <c r="A1794">
        <v>2017</v>
      </c>
      <c r="B1794" s="3" t="s">
        <v>695</v>
      </c>
      <c r="C1794" t="s">
        <v>1758</v>
      </c>
      <c r="D1794" s="9">
        <v>96049</v>
      </c>
      <c r="E1794">
        <v>9.1299999999999997E-5</v>
      </c>
    </row>
    <row r="1795" spans="1:5">
      <c r="A1795">
        <v>2017</v>
      </c>
      <c r="B1795" s="3" t="s">
        <v>1781</v>
      </c>
      <c r="C1795" t="s">
        <v>1759</v>
      </c>
      <c r="D1795" s="9">
        <v>118785</v>
      </c>
      <c r="E1795" s="4">
        <v>1.1299999999999999E-2</v>
      </c>
    </row>
    <row r="1796" spans="1:5">
      <c r="A1796">
        <v>2017</v>
      </c>
      <c r="B1796" s="3" t="s">
        <v>916</v>
      </c>
      <c r="C1796" t="s">
        <v>1760</v>
      </c>
      <c r="D1796" s="9">
        <v>49380</v>
      </c>
      <c r="E1796">
        <v>4.6999999999999997E-5</v>
      </c>
    </row>
    <row r="1797" spans="1:5">
      <c r="A1797">
        <v>2017</v>
      </c>
      <c r="B1797" s="3" t="s">
        <v>696</v>
      </c>
      <c r="C1797" t="s">
        <v>641</v>
      </c>
      <c r="D1797" s="9">
        <v>21668</v>
      </c>
      <c r="E1797">
        <v>2.0599999999999999E-5</v>
      </c>
    </row>
    <row r="1798" spans="1:5">
      <c r="A1798">
        <v>2017</v>
      </c>
      <c r="B1798" s="3" t="s">
        <v>697</v>
      </c>
      <c r="C1798" t="s">
        <v>1761</v>
      </c>
      <c r="D1798" s="9">
        <v>139519</v>
      </c>
      <c r="E1798">
        <v>1.327E-4</v>
      </c>
    </row>
    <row r="1799" spans="1:5">
      <c r="A1799">
        <v>2017</v>
      </c>
      <c r="B1799" s="3" t="s">
        <v>698</v>
      </c>
      <c r="C1799" t="s">
        <v>1762</v>
      </c>
      <c r="D1799" s="9">
        <v>4027814</v>
      </c>
      <c r="E1799">
        <v>3.8306999999999998E-3</v>
      </c>
    </row>
    <row r="1800" spans="1:5">
      <c r="A1800">
        <v>2017</v>
      </c>
      <c r="B1800" s="3" t="s">
        <v>699</v>
      </c>
      <c r="C1800" t="s">
        <v>1763</v>
      </c>
      <c r="D1800" s="9">
        <v>1975257</v>
      </c>
      <c r="E1800">
        <v>1.8786E-3</v>
      </c>
    </row>
    <row r="1801" spans="1:5">
      <c r="A1801">
        <v>2017</v>
      </c>
      <c r="B1801" s="3" t="s">
        <v>700</v>
      </c>
      <c r="C1801" t="s">
        <v>1764</v>
      </c>
      <c r="D1801" s="9">
        <v>18695</v>
      </c>
      <c r="E1801">
        <v>1.7799999999999999E-5</v>
      </c>
    </row>
    <row r="1802" spans="1:5">
      <c r="A1802">
        <v>2017</v>
      </c>
      <c r="B1802" s="3" t="s">
        <v>701</v>
      </c>
      <c r="C1802" t="s">
        <v>1765</v>
      </c>
      <c r="D1802" s="9">
        <v>277787</v>
      </c>
      <c r="E1802">
        <v>2.6420000000000003E-4</v>
      </c>
    </row>
    <row r="1803" spans="1:5">
      <c r="A1803">
        <v>2017</v>
      </c>
      <c r="B1803" s="3" t="s">
        <v>702</v>
      </c>
      <c r="C1803" t="s">
        <v>1766</v>
      </c>
      <c r="D1803" s="9">
        <v>322210</v>
      </c>
      <c r="E1803">
        <v>3.0640000000000002E-4</v>
      </c>
    </row>
    <row r="1804" spans="1:5">
      <c r="A1804">
        <v>2017</v>
      </c>
      <c r="B1804" s="3" t="s">
        <v>703</v>
      </c>
      <c r="C1804" t="s">
        <v>1767</v>
      </c>
      <c r="D1804" s="9">
        <v>1504054</v>
      </c>
      <c r="E1804">
        <v>1.4304000000000001E-3</v>
      </c>
    </row>
    <row r="1805" spans="1:5">
      <c r="A1805">
        <v>2017</v>
      </c>
      <c r="B1805" s="3" t="s">
        <v>1233</v>
      </c>
      <c r="C1805" t="s">
        <v>1768</v>
      </c>
      <c r="D1805" s="9">
        <v>78440</v>
      </c>
      <c r="E1805">
        <v>7.4599999999999997E-5</v>
      </c>
    </row>
    <row r="1806" spans="1:5">
      <c r="A1806">
        <v>2017</v>
      </c>
      <c r="B1806" s="3" t="s">
        <v>704</v>
      </c>
      <c r="C1806" t="s">
        <v>1769</v>
      </c>
      <c r="D1806" s="9">
        <v>106204</v>
      </c>
      <c r="E1806">
        <v>1.01E-4</v>
      </c>
    </row>
    <row r="1807" spans="1:5">
      <c r="A1807">
        <v>2017</v>
      </c>
      <c r="B1807" s="3" t="s">
        <v>705</v>
      </c>
      <c r="C1807" t="s">
        <v>1770</v>
      </c>
      <c r="D1807" s="9">
        <v>508206</v>
      </c>
      <c r="E1807">
        <v>4.8329999999999998E-4</v>
      </c>
    </row>
    <row r="1808" spans="1:5">
      <c r="A1808">
        <v>2017</v>
      </c>
      <c r="B1808" s="3" t="s">
        <v>706</v>
      </c>
      <c r="C1808" t="s">
        <v>1771</v>
      </c>
      <c r="D1808" s="9">
        <v>2747848</v>
      </c>
      <c r="E1808">
        <v>2.6132999999999998E-3</v>
      </c>
    </row>
    <row r="1809" spans="1:5">
      <c r="A1809">
        <v>2017</v>
      </c>
      <c r="B1809" s="3" t="s">
        <v>441</v>
      </c>
      <c r="C1809" t="s">
        <v>1772</v>
      </c>
      <c r="D1809" s="9">
        <v>1152039</v>
      </c>
      <c r="E1809">
        <v>1.0956E-3</v>
      </c>
    </row>
    <row r="1810" spans="1:5">
      <c r="A1810">
        <v>2017</v>
      </c>
      <c r="B1810" s="3" t="s">
        <v>707</v>
      </c>
      <c r="C1810" t="s">
        <v>1773</v>
      </c>
      <c r="D1810" s="9">
        <v>55489</v>
      </c>
      <c r="E1810">
        <v>5.2800000000000003E-5</v>
      </c>
    </row>
    <row r="1811" spans="1:5">
      <c r="A1811">
        <v>2017</v>
      </c>
      <c r="B1811" s="3" t="s">
        <v>708</v>
      </c>
      <c r="C1811" t="s">
        <v>1774</v>
      </c>
      <c r="D1811" s="9">
        <v>8634031</v>
      </c>
      <c r="E1811">
        <v>8.2114000000000006E-3</v>
      </c>
    </row>
    <row r="1812" spans="1:5">
      <c r="A1812">
        <v>2017</v>
      </c>
      <c r="B1812" s="3" t="s">
        <v>709</v>
      </c>
      <c r="C1812" t="s">
        <v>654</v>
      </c>
      <c r="D1812" s="9">
        <v>856295</v>
      </c>
      <c r="E1812">
        <v>8.1439999999999995E-4</v>
      </c>
    </row>
    <row r="1813" spans="1:5">
      <c r="A1813">
        <v>2017</v>
      </c>
      <c r="B1813" s="3" t="s">
        <v>710</v>
      </c>
      <c r="C1813" t="s">
        <v>1775</v>
      </c>
      <c r="D1813" s="9">
        <v>2000696</v>
      </c>
      <c r="E1813">
        <v>1.9028000000000001E-3</v>
      </c>
    </row>
    <row r="1814" spans="1:5">
      <c r="A1814">
        <v>2017</v>
      </c>
      <c r="B1814" s="3" t="s">
        <v>442</v>
      </c>
      <c r="C1814" t="s">
        <v>1776</v>
      </c>
      <c r="D1814" s="9">
        <v>1824643</v>
      </c>
      <c r="E1814">
        <v>1.7353E-3</v>
      </c>
    </row>
    <row r="1815" spans="1:5">
      <c r="A1815">
        <v>2017</v>
      </c>
      <c r="B1815" s="3" t="s">
        <v>711</v>
      </c>
      <c r="C1815" t="s">
        <v>1777</v>
      </c>
      <c r="D1815" s="9"/>
      <c r="E1815">
        <v>0</v>
      </c>
    </row>
    <row r="1816" spans="1:5">
      <c r="A1816">
        <v>2017</v>
      </c>
      <c r="B1816" s="3" t="s">
        <v>712</v>
      </c>
      <c r="C1816" t="s">
        <v>1778</v>
      </c>
      <c r="D1816" s="9">
        <v>3272522</v>
      </c>
      <c r="E1816">
        <v>3.1123000000000001E-3</v>
      </c>
    </row>
    <row r="1817" spans="1:5">
      <c r="A1817">
        <v>2017</v>
      </c>
      <c r="B1817" s="3" t="s">
        <v>713</v>
      </c>
      <c r="C1817" t="s">
        <v>1779</v>
      </c>
      <c r="D1817" s="9">
        <v>139060</v>
      </c>
      <c r="E1817">
        <v>1.3229999999999999E-4</v>
      </c>
    </row>
    <row r="1818" spans="1:5">
      <c r="A1818">
        <v>2017</v>
      </c>
      <c r="B1818" s="3" t="s">
        <v>714</v>
      </c>
      <c r="C1818" t="s">
        <v>1780</v>
      </c>
      <c r="D1818" s="9">
        <v>1368483</v>
      </c>
      <c r="E1818">
        <v>1.3014999999999999E-3</v>
      </c>
    </row>
    <row r="1819" spans="1:5">
      <c r="A1819">
        <v>2017</v>
      </c>
      <c r="B1819" s="3" t="s">
        <v>770</v>
      </c>
      <c r="C1819" t="s">
        <v>715</v>
      </c>
      <c r="D1819" s="9">
        <v>43545</v>
      </c>
      <c r="E1819">
        <v>4.1399999999999997E-5</v>
      </c>
    </row>
    <row r="1820" spans="1:5">
      <c r="A1820">
        <v>2017</v>
      </c>
      <c r="B1820" s="3" t="s">
        <v>771</v>
      </c>
      <c r="C1820" t="s">
        <v>1782</v>
      </c>
      <c r="D1820" s="9">
        <v>45059</v>
      </c>
      <c r="E1820">
        <v>4.2899999999999999E-5</v>
      </c>
    </row>
    <row r="1821" spans="1:5">
      <c r="A1821">
        <v>2017</v>
      </c>
      <c r="B1821" s="3" t="s">
        <v>772</v>
      </c>
      <c r="C1821" t="s">
        <v>1783</v>
      </c>
      <c r="D1821" s="9"/>
      <c r="E1821">
        <v>0</v>
      </c>
    </row>
    <row r="1822" spans="1:5">
      <c r="A1822">
        <v>2017</v>
      </c>
      <c r="B1822" s="3" t="s">
        <v>773</v>
      </c>
      <c r="C1822" t="s">
        <v>1784</v>
      </c>
      <c r="D1822" s="9">
        <v>5106671</v>
      </c>
      <c r="E1822">
        <v>4.8567000000000003E-3</v>
      </c>
    </row>
    <row r="1823" spans="1:5">
      <c r="A1823">
        <v>2017</v>
      </c>
      <c r="B1823" s="3" t="s">
        <v>443</v>
      </c>
      <c r="C1823" t="s">
        <v>1785</v>
      </c>
      <c r="D1823" s="9">
        <v>216960</v>
      </c>
      <c r="E1823">
        <v>2.063E-4</v>
      </c>
    </row>
    <row r="1824" spans="1:5">
      <c r="A1824">
        <v>2017</v>
      </c>
      <c r="B1824" s="3" t="s">
        <v>774</v>
      </c>
      <c r="C1824" t="s">
        <v>1786</v>
      </c>
      <c r="D1824" s="9">
        <v>226820</v>
      </c>
      <c r="E1824">
        <v>2.1570000000000001E-4</v>
      </c>
    </row>
    <row r="1825" spans="1:5">
      <c r="A1825">
        <v>2017</v>
      </c>
      <c r="B1825" s="3" t="s">
        <v>775</v>
      </c>
      <c r="C1825" t="s">
        <v>1787</v>
      </c>
      <c r="D1825" s="9">
        <v>2532596</v>
      </c>
      <c r="E1825">
        <v>2.4085999999999999E-3</v>
      </c>
    </row>
    <row r="1826" spans="1:5">
      <c r="A1826">
        <v>2017</v>
      </c>
      <c r="B1826" s="3" t="s">
        <v>776</v>
      </c>
      <c r="C1826" t="s">
        <v>721</v>
      </c>
      <c r="D1826" s="9">
        <v>10336</v>
      </c>
      <c r="E1826">
        <v>9.7999999999999993E-6</v>
      </c>
    </row>
    <row r="1827" spans="1:5">
      <c r="A1827">
        <v>2017</v>
      </c>
      <c r="B1827" s="3" t="s">
        <v>778</v>
      </c>
      <c r="C1827" t="s">
        <v>1788</v>
      </c>
      <c r="D1827" s="9">
        <v>2819238</v>
      </c>
      <c r="E1827">
        <v>2.6811999999999999E-3</v>
      </c>
    </row>
    <row r="1828" spans="1:5">
      <c r="A1828">
        <v>2017</v>
      </c>
      <c r="B1828" s="3" t="s">
        <v>779</v>
      </c>
      <c r="C1828" t="s">
        <v>1789</v>
      </c>
      <c r="D1828" s="9">
        <v>131341</v>
      </c>
      <c r="E1828">
        <v>1.249E-4</v>
      </c>
    </row>
    <row r="1829" spans="1:5">
      <c r="A1829">
        <v>2017</v>
      </c>
      <c r="B1829" s="3" t="s">
        <v>780</v>
      </c>
      <c r="C1829" t="s">
        <v>1790</v>
      </c>
      <c r="D1829" s="9">
        <v>424428</v>
      </c>
      <c r="E1829">
        <v>4.037E-4</v>
      </c>
    </row>
    <row r="1830" spans="1:5">
      <c r="A1830">
        <v>2017</v>
      </c>
      <c r="B1830" s="3" t="s">
        <v>781</v>
      </c>
      <c r="C1830" t="s">
        <v>1791</v>
      </c>
      <c r="D1830" s="9">
        <v>15306</v>
      </c>
      <c r="E1830">
        <v>1.4600000000000001E-5</v>
      </c>
    </row>
    <row r="1831" spans="1:5">
      <c r="A1831">
        <v>2017</v>
      </c>
      <c r="B1831" s="3" t="s">
        <v>782</v>
      </c>
      <c r="C1831" t="s">
        <v>1792</v>
      </c>
      <c r="D1831" s="9">
        <v>6160224</v>
      </c>
      <c r="E1831">
        <v>5.8586999999999997E-3</v>
      </c>
    </row>
    <row r="1832" spans="1:5">
      <c r="A1832">
        <v>2017</v>
      </c>
      <c r="B1832" s="3" t="s">
        <v>1234</v>
      </c>
      <c r="C1832" t="s">
        <v>1793</v>
      </c>
      <c r="D1832" s="9">
        <v>1502091</v>
      </c>
      <c r="E1832">
        <v>1.4285999999999999E-3</v>
      </c>
    </row>
    <row r="1833" spans="1:5">
      <c r="A1833">
        <v>2017</v>
      </c>
      <c r="B1833" s="3" t="s">
        <v>783</v>
      </c>
      <c r="C1833" t="s">
        <v>1794</v>
      </c>
      <c r="D1833" s="9">
        <v>973461</v>
      </c>
      <c r="E1833">
        <v>9.2579999999999995E-4</v>
      </c>
    </row>
    <row r="1834" spans="1:5">
      <c r="A1834">
        <v>2017</v>
      </c>
      <c r="B1834" s="3" t="s">
        <v>787</v>
      </c>
      <c r="C1834" t="s">
        <v>732</v>
      </c>
      <c r="D1834" s="9">
        <v>51581009</v>
      </c>
      <c r="E1834">
        <v>4.9055500000000002E-2</v>
      </c>
    </row>
    <row r="1835" spans="1:5">
      <c r="A1835">
        <v>2017</v>
      </c>
      <c r="B1835" s="3" t="s">
        <v>784</v>
      </c>
      <c r="C1835" t="s">
        <v>1795</v>
      </c>
      <c r="D1835" s="9">
        <v>38591304</v>
      </c>
      <c r="E1835">
        <v>3.67023E-2</v>
      </c>
    </row>
    <row r="1836" spans="1:5">
      <c r="A1836">
        <v>2017</v>
      </c>
      <c r="B1836" s="3" t="s">
        <v>785</v>
      </c>
      <c r="C1836" t="s">
        <v>1796</v>
      </c>
      <c r="D1836" s="9">
        <v>385214</v>
      </c>
      <c r="E1836">
        <v>3.6640000000000002E-4</v>
      </c>
    </row>
    <row r="1837" spans="1:5">
      <c r="A1837">
        <v>2017</v>
      </c>
      <c r="B1837" s="3" t="s">
        <v>788</v>
      </c>
      <c r="C1837" t="s">
        <v>1797</v>
      </c>
      <c r="D1837" s="9">
        <v>325522</v>
      </c>
      <c r="E1837">
        <v>3.0959999999999999E-4</v>
      </c>
    </row>
    <row r="1838" spans="1:5">
      <c r="A1838">
        <v>2017</v>
      </c>
      <c r="B1838" s="3" t="s">
        <v>786</v>
      </c>
      <c r="C1838" t="s">
        <v>1798</v>
      </c>
      <c r="D1838" s="9">
        <v>20560829</v>
      </c>
      <c r="E1838">
        <v>1.95544E-2</v>
      </c>
    </row>
    <row r="1839" spans="1:5">
      <c r="A1839">
        <v>2017</v>
      </c>
      <c r="B1839" s="3" t="s">
        <v>789</v>
      </c>
      <c r="C1839" t="s">
        <v>1799</v>
      </c>
      <c r="D1839" s="9">
        <v>2848522</v>
      </c>
      <c r="E1839">
        <v>2.7090999999999999E-3</v>
      </c>
    </row>
    <row r="1840" spans="1:5">
      <c r="A1840">
        <v>2017</v>
      </c>
      <c r="B1840" s="3" t="s">
        <v>444</v>
      </c>
      <c r="C1840" t="s">
        <v>1800</v>
      </c>
      <c r="D1840" s="9">
        <v>892672</v>
      </c>
      <c r="E1840">
        <v>8.4900000000000004E-4</v>
      </c>
    </row>
    <row r="1841" spans="1:5">
      <c r="A1841">
        <v>2017</v>
      </c>
      <c r="B1841" s="3" t="s">
        <v>790</v>
      </c>
      <c r="C1841" t="s">
        <v>1801</v>
      </c>
      <c r="D1841" s="9">
        <v>288820</v>
      </c>
      <c r="E1841">
        <v>2.7470000000000001E-4</v>
      </c>
    </row>
    <row r="1842" spans="1:5">
      <c r="A1842">
        <v>2017</v>
      </c>
      <c r="B1842" s="3" t="s">
        <v>777</v>
      </c>
      <c r="C1842" t="s">
        <v>1802</v>
      </c>
      <c r="D1842" s="9">
        <v>103023</v>
      </c>
      <c r="E1842">
        <v>9.7999999999999997E-5</v>
      </c>
    </row>
    <row r="1843" spans="1:5">
      <c r="A1843">
        <v>2017</v>
      </c>
      <c r="B1843" s="3" t="s">
        <v>791</v>
      </c>
      <c r="C1843" t="s">
        <v>736</v>
      </c>
      <c r="D1843" s="9">
        <v>232597</v>
      </c>
      <c r="E1843">
        <v>2.2120000000000001E-4</v>
      </c>
    </row>
    <row r="1844" spans="1:5">
      <c r="A1844">
        <v>2017</v>
      </c>
      <c r="B1844" s="3" t="s">
        <v>792</v>
      </c>
      <c r="C1844" t="s">
        <v>1803</v>
      </c>
      <c r="D1844" s="9">
        <v>334279</v>
      </c>
      <c r="E1844">
        <v>3.1789999999999998E-4</v>
      </c>
    </row>
    <row r="1845" spans="1:5">
      <c r="A1845">
        <v>2017</v>
      </c>
      <c r="B1845" s="3" t="s">
        <v>793</v>
      </c>
      <c r="C1845" t="s">
        <v>1804</v>
      </c>
      <c r="D1845" s="9">
        <v>113504</v>
      </c>
      <c r="E1845">
        <v>1.0789999999999999E-4</v>
      </c>
    </row>
    <row r="1846" spans="1:5">
      <c r="A1846">
        <v>2017</v>
      </c>
      <c r="B1846" s="3" t="s">
        <v>794</v>
      </c>
      <c r="C1846" t="s">
        <v>1805</v>
      </c>
      <c r="D1846" s="9">
        <v>43393</v>
      </c>
      <c r="E1846">
        <v>4.1300000000000001E-5</v>
      </c>
    </row>
    <row r="1847" spans="1:5">
      <c r="A1847">
        <v>2017</v>
      </c>
      <c r="B1847" s="3" t="s">
        <v>795</v>
      </c>
      <c r="C1847" t="s">
        <v>1806</v>
      </c>
      <c r="D1847" s="9">
        <v>33897298</v>
      </c>
      <c r="E1847">
        <v>3.2238000000000003E-2</v>
      </c>
    </row>
    <row r="1848" spans="1:5">
      <c r="A1848">
        <v>2017</v>
      </c>
      <c r="B1848" s="3" t="s">
        <v>445</v>
      </c>
      <c r="C1848" t="s">
        <v>1807</v>
      </c>
      <c r="D1848" s="9">
        <v>17260909</v>
      </c>
      <c r="E1848">
        <v>1.6416E-2</v>
      </c>
    </row>
    <row r="1849" spans="1:5">
      <c r="A1849">
        <v>2017</v>
      </c>
      <c r="B1849" s="3" t="s">
        <v>796</v>
      </c>
      <c r="C1849" t="s">
        <v>741</v>
      </c>
      <c r="D1849" s="9">
        <v>109113</v>
      </c>
      <c r="E1849">
        <v>1.038E-4</v>
      </c>
    </row>
    <row r="1850" spans="1:5">
      <c r="A1850">
        <v>2017</v>
      </c>
      <c r="B1850" s="3" t="s">
        <v>797</v>
      </c>
      <c r="C1850" t="s">
        <v>1808</v>
      </c>
      <c r="D1850" s="9">
        <v>343199</v>
      </c>
      <c r="E1850">
        <v>3.2640000000000002E-4</v>
      </c>
    </row>
    <row r="1851" spans="1:5">
      <c r="A1851">
        <v>2017</v>
      </c>
      <c r="B1851" s="3" t="s">
        <v>798</v>
      </c>
      <c r="C1851" t="s">
        <v>743</v>
      </c>
      <c r="D1851" s="9">
        <v>107963</v>
      </c>
      <c r="E1851">
        <v>1.027E-4</v>
      </c>
    </row>
    <row r="1852" spans="1:5">
      <c r="A1852">
        <v>2017</v>
      </c>
      <c r="B1852" s="3" t="s">
        <v>799</v>
      </c>
      <c r="C1852" t="s">
        <v>1809</v>
      </c>
      <c r="D1852" s="9">
        <v>508558</v>
      </c>
      <c r="E1852">
        <v>4.8369999999999999E-4</v>
      </c>
    </row>
    <row r="1853" spans="1:5">
      <c r="A1853">
        <v>2017</v>
      </c>
      <c r="B1853" s="3" t="s">
        <v>1235</v>
      </c>
      <c r="C1853" t="s">
        <v>1810</v>
      </c>
      <c r="D1853" s="9">
        <v>89457</v>
      </c>
      <c r="E1853">
        <v>8.5099999999999995E-5</v>
      </c>
    </row>
    <row r="1854" spans="1:5">
      <c r="A1854">
        <v>2017</v>
      </c>
      <c r="B1854" s="3" t="s">
        <v>800</v>
      </c>
      <c r="C1854" t="s">
        <v>745</v>
      </c>
      <c r="D1854" s="9">
        <v>67937</v>
      </c>
      <c r="E1854">
        <v>6.4599999999999998E-5</v>
      </c>
    </row>
    <row r="1855" spans="1:5">
      <c r="A1855">
        <v>2017</v>
      </c>
      <c r="B1855" s="3" t="s">
        <v>801</v>
      </c>
      <c r="C1855" t="s">
        <v>1811</v>
      </c>
      <c r="D1855" s="9">
        <v>563871</v>
      </c>
      <c r="E1855">
        <v>5.3629999999999997E-4</v>
      </c>
    </row>
    <row r="1856" spans="1:5">
      <c r="A1856">
        <v>2017</v>
      </c>
      <c r="B1856" s="3" t="s">
        <v>802</v>
      </c>
      <c r="C1856" t="s">
        <v>1812</v>
      </c>
      <c r="D1856" s="9">
        <v>35441</v>
      </c>
      <c r="E1856">
        <v>3.3699999999999999E-5</v>
      </c>
    </row>
    <row r="1857" spans="1:5">
      <c r="A1857">
        <v>2017</v>
      </c>
      <c r="B1857" s="3" t="s">
        <v>803</v>
      </c>
      <c r="C1857" t="s">
        <v>748</v>
      </c>
      <c r="D1857" s="9">
        <v>172312</v>
      </c>
      <c r="E1857">
        <v>1.639E-4</v>
      </c>
    </row>
    <row r="1858" spans="1:5">
      <c r="A1858">
        <v>2017</v>
      </c>
      <c r="B1858" s="3" t="s">
        <v>804</v>
      </c>
      <c r="C1858" t="s">
        <v>749</v>
      </c>
      <c r="D1858" s="9">
        <v>262428</v>
      </c>
      <c r="E1858">
        <v>2.496E-4</v>
      </c>
    </row>
    <row r="1859" spans="1:5">
      <c r="A1859">
        <v>2017</v>
      </c>
      <c r="B1859" s="3" t="s">
        <v>805</v>
      </c>
      <c r="C1859" t="s">
        <v>750</v>
      </c>
      <c r="D1859" s="9">
        <v>1394173</v>
      </c>
      <c r="E1859">
        <v>1.3259000000000001E-3</v>
      </c>
    </row>
    <row r="1860" spans="1:5">
      <c r="A1860">
        <v>2017</v>
      </c>
      <c r="B1860" s="3" t="s">
        <v>806</v>
      </c>
      <c r="C1860" t="s">
        <v>751</v>
      </c>
      <c r="D1860" s="9">
        <v>3727283</v>
      </c>
      <c r="E1860">
        <v>3.5447999999999999E-3</v>
      </c>
    </row>
    <row r="1861" spans="1:5">
      <c r="A1861">
        <v>2017</v>
      </c>
      <c r="B1861" s="3" t="s">
        <v>807</v>
      </c>
      <c r="C1861" t="s">
        <v>752</v>
      </c>
      <c r="D1861" s="9">
        <v>73983</v>
      </c>
      <c r="E1861">
        <v>7.0400000000000004E-5</v>
      </c>
    </row>
    <row r="1862" spans="1:5">
      <c r="A1862">
        <v>2017</v>
      </c>
      <c r="B1862" s="3" t="s">
        <v>808</v>
      </c>
      <c r="C1862" t="s">
        <v>1813</v>
      </c>
      <c r="D1862" s="9">
        <v>150326</v>
      </c>
      <c r="E1862">
        <v>1.4300000000000001E-4</v>
      </c>
    </row>
    <row r="1863" spans="1:5">
      <c r="A1863">
        <v>2017</v>
      </c>
      <c r="B1863" s="3" t="s">
        <v>809</v>
      </c>
      <c r="C1863" t="s">
        <v>1814</v>
      </c>
      <c r="D1863" s="9">
        <v>579189</v>
      </c>
      <c r="E1863">
        <v>5.5080000000000005E-4</v>
      </c>
    </row>
    <row r="1864" spans="1:5">
      <c r="A1864">
        <v>2017</v>
      </c>
      <c r="B1864" s="3" t="s">
        <v>1470</v>
      </c>
      <c r="C1864" t="s">
        <v>1815</v>
      </c>
      <c r="D1864" s="9">
        <v>12672</v>
      </c>
      <c r="E1864">
        <v>1.2099999999999999E-5</v>
      </c>
    </row>
    <row r="1865" spans="1:5">
      <c r="A1865">
        <v>2017</v>
      </c>
      <c r="B1865" s="3" t="s">
        <v>810</v>
      </c>
      <c r="C1865" t="s">
        <v>1816</v>
      </c>
      <c r="D1865" s="9">
        <v>89535</v>
      </c>
      <c r="E1865">
        <v>8.5199999999999997E-5</v>
      </c>
    </row>
    <row r="1866" spans="1:5">
      <c r="A1866">
        <v>2017</v>
      </c>
      <c r="B1866" s="3" t="s">
        <v>811</v>
      </c>
      <c r="C1866" t="s">
        <v>1817</v>
      </c>
      <c r="D1866" s="9"/>
      <c r="E1866">
        <v>0</v>
      </c>
    </row>
    <row r="1867" spans="1:5">
      <c r="A1867">
        <v>2017</v>
      </c>
      <c r="B1867" s="3" t="s">
        <v>812</v>
      </c>
      <c r="C1867" t="s">
        <v>1818</v>
      </c>
      <c r="D1867" s="9">
        <v>805119</v>
      </c>
      <c r="E1867">
        <v>7.6570000000000002E-4</v>
      </c>
    </row>
    <row r="1868" spans="1:5">
      <c r="A1868">
        <v>2017</v>
      </c>
      <c r="B1868" s="3" t="s">
        <v>813</v>
      </c>
      <c r="C1868" t="s">
        <v>1819</v>
      </c>
      <c r="D1868" s="9">
        <v>87527</v>
      </c>
      <c r="E1868">
        <v>8.3200000000000003E-5</v>
      </c>
    </row>
    <row r="1869" spans="1:5">
      <c r="A1869">
        <v>2017</v>
      </c>
      <c r="B1869" s="3" t="s">
        <v>814</v>
      </c>
      <c r="C1869" t="s">
        <v>1820</v>
      </c>
      <c r="D1869" s="9">
        <v>60635</v>
      </c>
      <c r="E1869">
        <v>5.77E-5</v>
      </c>
    </row>
    <row r="1870" spans="1:5">
      <c r="A1870">
        <v>2017</v>
      </c>
      <c r="B1870" s="3" t="s">
        <v>815</v>
      </c>
      <c r="C1870" t="s">
        <v>760</v>
      </c>
      <c r="D1870" s="9">
        <v>20250</v>
      </c>
      <c r="E1870">
        <v>1.9300000000000002E-5</v>
      </c>
    </row>
    <row r="1871" spans="1:5">
      <c r="A1871">
        <v>2017</v>
      </c>
      <c r="B1871" s="3" t="s">
        <v>816</v>
      </c>
      <c r="C1871" t="s">
        <v>761</v>
      </c>
      <c r="D1871" s="9">
        <v>54055</v>
      </c>
      <c r="E1871">
        <v>5.1400000000000003E-5</v>
      </c>
    </row>
    <row r="1872" spans="1:5">
      <c r="A1872">
        <v>2017</v>
      </c>
      <c r="B1872" s="3" t="s">
        <v>817</v>
      </c>
      <c r="C1872" t="s">
        <v>762</v>
      </c>
      <c r="D1872" s="9">
        <v>72041</v>
      </c>
      <c r="E1872">
        <v>6.8499999999999998E-5</v>
      </c>
    </row>
    <row r="1873" spans="1:5">
      <c r="A1873">
        <v>2017</v>
      </c>
      <c r="B1873" s="3" t="s">
        <v>818</v>
      </c>
      <c r="C1873" t="s">
        <v>1821</v>
      </c>
      <c r="D1873" s="9">
        <v>23030</v>
      </c>
      <c r="E1873">
        <v>2.19E-5</v>
      </c>
    </row>
    <row r="1874" spans="1:5">
      <c r="A1874">
        <v>2017</v>
      </c>
      <c r="B1874" s="3" t="s">
        <v>820</v>
      </c>
      <c r="C1874" t="s">
        <v>1822</v>
      </c>
      <c r="D1874" s="9">
        <v>975428</v>
      </c>
      <c r="E1874">
        <v>9.2770000000000005E-4</v>
      </c>
    </row>
    <row r="1875" spans="1:5">
      <c r="A1875">
        <v>2017</v>
      </c>
      <c r="B1875" s="3" t="s">
        <v>822</v>
      </c>
      <c r="C1875" t="s">
        <v>1823</v>
      </c>
      <c r="D1875" s="9">
        <v>128356</v>
      </c>
      <c r="E1875">
        <v>1.2210000000000001E-4</v>
      </c>
    </row>
    <row r="1876" spans="1:5">
      <c r="A1876">
        <v>2017</v>
      </c>
      <c r="B1876" s="3" t="s">
        <v>880</v>
      </c>
      <c r="C1876" t="s">
        <v>1824</v>
      </c>
      <c r="D1876" s="9">
        <v>551979</v>
      </c>
      <c r="E1876">
        <v>5.2499999999999997E-4</v>
      </c>
    </row>
    <row r="1877" spans="1:5">
      <c r="A1877">
        <v>2017</v>
      </c>
      <c r="B1877" s="3" t="s">
        <v>884</v>
      </c>
      <c r="C1877" t="s">
        <v>829</v>
      </c>
      <c r="D1877" s="9">
        <v>1969320</v>
      </c>
      <c r="E1877">
        <v>1.8729E-3</v>
      </c>
    </row>
    <row r="1878" spans="1:5">
      <c r="A1878">
        <v>2017</v>
      </c>
      <c r="B1878" s="3" t="s">
        <v>881</v>
      </c>
      <c r="C1878" t="s">
        <v>1825</v>
      </c>
      <c r="D1878" s="9">
        <v>33085</v>
      </c>
      <c r="E1878">
        <v>3.15E-5</v>
      </c>
    </row>
    <row r="1879" spans="1:5">
      <c r="A1879">
        <v>2017</v>
      </c>
      <c r="B1879" s="3" t="s">
        <v>883</v>
      </c>
      <c r="C1879" t="s">
        <v>1826</v>
      </c>
      <c r="D1879" s="9"/>
      <c r="E1879">
        <v>0</v>
      </c>
    </row>
    <row r="1880" spans="1:5">
      <c r="A1880">
        <v>2017</v>
      </c>
      <c r="B1880" s="3" t="s">
        <v>882</v>
      </c>
      <c r="C1880" t="s">
        <v>1827</v>
      </c>
      <c r="D1880" s="9"/>
      <c r="E1880">
        <v>0</v>
      </c>
    </row>
    <row r="1881" spans="1:5">
      <c r="A1881">
        <v>2017</v>
      </c>
      <c r="B1881" s="3" t="s">
        <v>885</v>
      </c>
      <c r="C1881" t="s">
        <v>1828</v>
      </c>
      <c r="D1881" s="9">
        <v>128795</v>
      </c>
      <c r="E1881">
        <v>1.225E-4</v>
      </c>
    </row>
    <row r="1882" spans="1:5">
      <c r="A1882">
        <v>2017</v>
      </c>
      <c r="B1882" s="3" t="s">
        <v>886</v>
      </c>
      <c r="C1882" t="s">
        <v>1829</v>
      </c>
      <c r="D1882" s="9">
        <v>48216</v>
      </c>
      <c r="E1882">
        <v>4.5899999999999998E-5</v>
      </c>
    </row>
    <row r="1883" spans="1:5">
      <c r="A1883">
        <v>2017</v>
      </c>
      <c r="B1883" s="3" t="s">
        <v>887</v>
      </c>
      <c r="C1883" t="s">
        <v>1830</v>
      </c>
      <c r="D1883" s="9">
        <v>55850</v>
      </c>
      <c r="E1883">
        <v>5.3100000000000003E-5</v>
      </c>
    </row>
    <row r="1884" spans="1:5">
      <c r="A1884">
        <v>2017</v>
      </c>
      <c r="B1884" s="3" t="s">
        <v>888</v>
      </c>
      <c r="C1884" t="s">
        <v>1831</v>
      </c>
      <c r="D1884" s="9">
        <v>20078</v>
      </c>
      <c r="E1884">
        <v>1.91E-5</v>
      </c>
    </row>
    <row r="1885" spans="1:5">
      <c r="A1885">
        <v>2017</v>
      </c>
      <c r="B1885" s="3" t="s">
        <v>889</v>
      </c>
      <c r="C1885" t="s">
        <v>834</v>
      </c>
      <c r="D1885" s="9"/>
      <c r="E1885">
        <v>0</v>
      </c>
    </row>
    <row r="1886" spans="1:5">
      <c r="A1886">
        <v>2017</v>
      </c>
      <c r="B1886" s="3" t="s">
        <v>890</v>
      </c>
      <c r="C1886" t="s">
        <v>1832</v>
      </c>
      <c r="D1886" s="9">
        <v>2420507</v>
      </c>
      <c r="E1886">
        <v>2.3019999999999998E-3</v>
      </c>
    </row>
    <row r="1887" spans="1:5">
      <c r="A1887">
        <v>2017</v>
      </c>
      <c r="B1887" s="3" t="s">
        <v>446</v>
      </c>
      <c r="C1887" t="s">
        <v>1833</v>
      </c>
      <c r="D1887" s="9">
        <v>702430</v>
      </c>
      <c r="E1887">
        <v>6.6799999999999997E-4</v>
      </c>
    </row>
    <row r="1888" spans="1:5">
      <c r="A1888">
        <v>2017</v>
      </c>
      <c r="B1888" s="3" t="s">
        <v>821</v>
      </c>
      <c r="C1888" t="s">
        <v>1834</v>
      </c>
      <c r="D1888" s="9">
        <v>50878</v>
      </c>
      <c r="E1888">
        <v>4.8399999999999997E-5</v>
      </c>
    </row>
    <row r="1889" spans="1:5">
      <c r="A1889">
        <v>2017</v>
      </c>
      <c r="B1889" s="3" t="s">
        <v>891</v>
      </c>
      <c r="C1889" t="s">
        <v>1835</v>
      </c>
      <c r="D1889" s="9">
        <v>38044</v>
      </c>
      <c r="E1889">
        <v>3.6199999999999999E-5</v>
      </c>
    </row>
    <row r="1890" spans="1:5">
      <c r="A1890">
        <v>2017</v>
      </c>
      <c r="B1890" s="3" t="s">
        <v>892</v>
      </c>
      <c r="C1890" t="s">
        <v>1836</v>
      </c>
      <c r="D1890" s="9">
        <v>102491</v>
      </c>
      <c r="E1890">
        <v>9.7499999999999998E-5</v>
      </c>
    </row>
    <row r="1891" spans="1:5">
      <c r="A1891">
        <v>2017</v>
      </c>
      <c r="B1891" s="3" t="s">
        <v>896</v>
      </c>
      <c r="C1891" t="s">
        <v>1837</v>
      </c>
      <c r="D1891" s="9">
        <v>47339</v>
      </c>
      <c r="E1891">
        <v>4.5000000000000003E-5</v>
      </c>
    </row>
    <row r="1892" spans="1:5">
      <c r="A1892">
        <v>2017</v>
      </c>
      <c r="B1892" s="3" t="s">
        <v>893</v>
      </c>
      <c r="C1892" t="s">
        <v>1838</v>
      </c>
      <c r="D1892" s="9">
        <v>3631</v>
      </c>
      <c r="E1892">
        <v>3.4999999999999999E-6</v>
      </c>
    </row>
    <row r="1893" spans="1:5">
      <c r="A1893">
        <v>2017</v>
      </c>
      <c r="B1893" s="3" t="s">
        <v>824</v>
      </c>
      <c r="C1893" t="s">
        <v>1839</v>
      </c>
      <c r="D1893" s="9">
        <v>344364</v>
      </c>
      <c r="E1893">
        <v>3.2749999999999999E-4</v>
      </c>
    </row>
    <row r="1894" spans="1:5">
      <c r="A1894">
        <v>2017</v>
      </c>
      <c r="B1894" s="3" t="s">
        <v>823</v>
      </c>
      <c r="C1894" t="s">
        <v>1840</v>
      </c>
      <c r="D1894" s="9">
        <v>818648</v>
      </c>
      <c r="E1894">
        <v>7.7859999999999995E-4</v>
      </c>
    </row>
    <row r="1895" spans="1:5">
      <c r="A1895">
        <v>2017</v>
      </c>
      <c r="B1895" s="3" t="s">
        <v>897</v>
      </c>
      <c r="C1895" t="s">
        <v>1841</v>
      </c>
      <c r="D1895" s="9">
        <v>434795</v>
      </c>
      <c r="E1895">
        <v>4.1350000000000002E-4</v>
      </c>
    </row>
    <row r="1896" spans="1:5">
      <c r="A1896">
        <v>2017</v>
      </c>
      <c r="B1896" s="3" t="s">
        <v>894</v>
      </c>
      <c r="C1896" t="s">
        <v>839</v>
      </c>
      <c r="D1896" s="9">
        <v>11987682</v>
      </c>
      <c r="E1896">
        <v>1.14009E-2</v>
      </c>
    </row>
    <row r="1897" spans="1:5">
      <c r="A1897">
        <v>2017</v>
      </c>
      <c r="B1897" s="3" t="s">
        <v>895</v>
      </c>
      <c r="C1897" t="s">
        <v>1842</v>
      </c>
      <c r="D1897" s="9">
        <v>33266</v>
      </c>
      <c r="E1897">
        <v>3.1600000000000002E-5</v>
      </c>
    </row>
    <row r="1898" spans="1:5">
      <c r="A1898">
        <v>2017</v>
      </c>
      <c r="B1898" s="3" t="s">
        <v>898</v>
      </c>
      <c r="C1898" t="s">
        <v>843</v>
      </c>
      <c r="D1898" s="9">
        <v>1291580</v>
      </c>
      <c r="E1898">
        <v>1.2283999999999999E-3</v>
      </c>
    </row>
    <row r="1899" spans="1:5">
      <c r="A1899">
        <v>2017</v>
      </c>
      <c r="B1899" s="3" t="s">
        <v>899</v>
      </c>
      <c r="C1899" t="s">
        <v>844</v>
      </c>
      <c r="D1899" s="9">
        <v>311493</v>
      </c>
      <c r="E1899">
        <v>2.9619999999999999E-4</v>
      </c>
    </row>
    <row r="1900" spans="1:5">
      <c r="A1900">
        <v>2017</v>
      </c>
      <c r="B1900" s="3" t="s">
        <v>900</v>
      </c>
      <c r="C1900" t="s">
        <v>845</v>
      </c>
      <c r="D1900" s="9">
        <v>247527</v>
      </c>
      <c r="E1900">
        <v>2.354E-4</v>
      </c>
    </row>
    <row r="1901" spans="1:5">
      <c r="A1901">
        <v>2017</v>
      </c>
      <c r="B1901" s="3" t="s">
        <v>901</v>
      </c>
      <c r="C1901" t="s">
        <v>846</v>
      </c>
      <c r="D1901" s="9">
        <v>81969</v>
      </c>
      <c r="E1901">
        <v>7.7999999999999999E-5</v>
      </c>
    </row>
    <row r="1902" spans="1:5">
      <c r="A1902">
        <v>2017</v>
      </c>
      <c r="B1902" s="3" t="s">
        <v>902</v>
      </c>
      <c r="C1902" t="s">
        <v>1843</v>
      </c>
      <c r="D1902" s="9">
        <v>288421</v>
      </c>
      <c r="E1902">
        <v>2.743E-4</v>
      </c>
    </row>
    <row r="1903" spans="1:5">
      <c r="A1903">
        <v>2017</v>
      </c>
      <c r="B1903" s="3" t="s">
        <v>1236</v>
      </c>
      <c r="C1903" t="s">
        <v>1844</v>
      </c>
      <c r="D1903" s="9">
        <v>1313050</v>
      </c>
      <c r="E1903">
        <v>1.2488E-3</v>
      </c>
    </row>
    <row r="1904" spans="1:5">
      <c r="A1904">
        <v>2017</v>
      </c>
      <c r="B1904" s="3" t="s">
        <v>903</v>
      </c>
      <c r="C1904" t="s">
        <v>1845</v>
      </c>
      <c r="D1904" s="9">
        <v>1610516</v>
      </c>
      <c r="E1904">
        <v>1.5317E-3</v>
      </c>
    </row>
    <row r="1905" spans="1:5">
      <c r="A1905">
        <v>2017</v>
      </c>
      <c r="B1905" s="3" t="s">
        <v>904</v>
      </c>
      <c r="C1905" t="s">
        <v>1846</v>
      </c>
      <c r="D1905" s="9">
        <v>17884</v>
      </c>
      <c r="E1905">
        <v>1.7E-5</v>
      </c>
    </row>
    <row r="1906" spans="1:5">
      <c r="A1906">
        <v>2017</v>
      </c>
      <c r="B1906" s="3" t="s">
        <v>905</v>
      </c>
      <c r="C1906" t="s">
        <v>1847</v>
      </c>
      <c r="D1906" s="9">
        <v>35375</v>
      </c>
      <c r="E1906">
        <v>3.3599999999999997E-5</v>
      </c>
    </row>
    <row r="1907" spans="1:5">
      <c r="A1907">
        <v>2017</v>
      </c>
      <c r="B1907" s="3" t="s">
        <v>906</v>
      </c>
      <c r="C1907" t="s">
        <v>1848</v>
      </c>
      <c r="D1907" s="9">
        <v>1608628</v>
      </c>
      <c r="E1907">
        <v>1.5299000000000001E-3</v>
      </c>
    </row>
    <row r="1908" spans="1:5">
      <c r="A1908">
        <v>2017</v>
      </c>
      <c r="B1908" s="3" t="s">
        <v>447</v>
      </c>
      <c r="C1908" t="s">
        <v>1849</v>
      </c>
      <c r="D1908" s="9">
        <v>519238</v>
      </c>
      <c r="E1908">
        <v>4.9379999999999997E-4</v>
      </c>
    </row>
    <row r="1909" spans="1:5">
      <c r="A1909">
        <v>2017</v>
      </c>
      <c r="B1909" s="3" t="s">
        <v>1034</v>
      </c>
      <c r="C1909" t="s">
        <v>1850</v>
      </c>
      <c r="D1909" s="9">
        <v>197546</v>
      </c>
      <c r="E1909">
        <v>1.8789999999999999E-4</v>
      </c>
    </row>
    <row r="1910" spans="1:5">
      <c r="A1910">
        <v>2017</v>
      </c>
      <c r="B1910" s="3" t="s">
        <v>908</v>
      </c>
      <c r="C1910" t="s">
        <v>1851</v>
      </c>
      <c r="D1910" s="9">
        <v>249485</v>
      </c>
      <c r="E1910">
        <v>2.3729999999999999E-4</v>
      </c>
    </row>
    <row r="1911" spans="1:5">
      <c r="A1911">
        <v>2017</v>
      </c>
      <c r="B1911" s="3" t="s">
        <v>909</v>
      </c>
      <c r="C1911" t="s">
        <v>1852</v>
      </c>
      <c r="D1911" s="9">
        <v>86234</v>
      </c>
      <c r="E1911">
        <v>8.2000000000000001E-5</v>
      </c>
    </row>
    <row r="1912" spans="1:5">
      <c r="A1912">
        <v>2017</v>
      </c>
      <c r="B1912" s="3" t="s">
        <v>910</v>
      </c>
      <c r="C1912" t="s">
        <v>1853</v>
      </c>
      <c r="D1912" s="9">
        <v>499403</v>
      </c>
      <c r="E1912">
        <v>4.75E-4</v>
      </c>
    </row>
    <row r="1913" spans="1:5">
      <c r="A1913">
        <v>2017</v>
      </c>
      <c r="B1913" s="3" t="s">
        <v>912</v>
      </c>
      <c r="C1913" t="s">
        <v>1854</v>
      </c>
      <c r="D1913" s="9">
        <v>788149</v>
      </c>
      <c r="E1913">
        <v>7.4960000000000001E-4</v>
      </c>
    </row>
    <row r="1914" spans="1:5">
      <c r="A1914">
        <v>2017</v>
      </c>
      <c r="B1914" s="3" t="s">
        <v>911</v>
      </c>
      <c r="C1914" t="s">
        <v>1855</v>
      </c>
      <c r="D1914" s="9">
        <v>16220132</v>
      </c>
      <c r="E1914">
        <v>1.5426199999999999E-2</v>
      </c>
    </row>
    <row r="1915" spans="1:5">
      <c r="A1915">
        <v>2017</v>
      </c>
      <c r="B1915" s="3" t="s">
        <v>1237</v>
      </c>
      <c r="C1915" t="s">
        <v>1856</v>
      </c>
      <c r="D1915" s="9">
        <v>436345</v>
      </c>
      <c r="E1915">
        <v>4.15E-4</v>
      </c>
    </row>
    <row r="1916" spans="1:5">
      <c r="A1916">
        <v>2017</v>
      </c>
      <c r="B1916" s="3" t="s">
        <v>1474</v>
      </c>
      <c r="C1916" t="s">
        <v>1473</v>
      </c>
      <c r="D1916" s="9">
        <v>10870</v>
      </c>
      <c r="E1916">
        <v>1.03E-5</v>
      </c>
    </row>
    <row r="1917" spans="1:5">
      <c r="A1917">
        <v>2017</v>
      </c>
      <c r="B1917" s="3" t="s">
        <v>913</v>
      </c>
      <c r="C1917" t="s">
        <v>1857</v>
      </c>
      <c r="D1917" s="9">
        <v>108673</v>
      </c>
      <c r="E1917">
        <v>1.0340000000000001E-4</v>
      </c>
    </row>
    <row r="1918" spans="1:5">
      <c r="A1918">
        <v>2017</v>
      </c>
      <c r="B1918" s="3" t="s">
        <v>914</v>
      </c>
      <c r="C1918" t="s">
        <v>1858</v>
      </c>
      <c r="D1918" s="9">
        <v>31114</v>
      </c>
      <c r="E1918">
        <v>2.9600000000000001E-5</v>
      </c>
    </row>
    <row r="1919" spans="1:5">
      <c r="A1919">
        <v>2017</v>
      </c>
      <c r="B1919" s="3" t="s">
        <v>915</v>
      </c>
      <c r="C1919" t="s">
        <v>1859</v>
      </c>
      <c r="D1919" s="9">
        <v>1061631</v>
      </c>
      <c r="E1919">
        <v>1.0097000000000001E-3</v>
      </c>
    </row>
    <row r="1920" spans="1:5">
      <c r="A1920">
        <v>2017</v>
      </c>
      <c r="B1920" s="3" t="s">
        <v>1238</v>
      </c>
      <c r="C1920" t="s">
        <v>1860</v>
      </c>
      <c r="D1920" s="9">
        <v>125869</v>
      </c>
      <c r="E1920">
        <v>1.197E-4</v>
      </c>
    </row>
    <row r="1921" spans="1:5">
      <c r="A1921">
        <v>2017</v>
      </c>
      <c r="B1921" s="3" t="s">
        <v>917</v>
      </c>
      <c r="C1921" t="s">
        <v>1861</v>
      </c>
      <c r="D1921" s="9">
        <v>70139</v>
      </c>
      <c r="E1921">
        <v>6.6699999999999995E-5</v>
      </c>
    </row>
    <row r="1922" spans="1:5">
      <c r="A1922">
        <v>2017</v>
      </c>
      <c r="B1922" s="3" t="s">
        <v>918</v>
      </c>
      <c r="C1922" t="s">
        <v>863</v>
      </c>
      <c r="D1922" s="9">
        <v>15106</v>
      </c>
      <c r="E1922">
        <v>1.4399999999999999E-5</v>
      </c>
    </row>
    <row r="1923" spans="1:5">
      <c r="A1923">
        <v>2017</v>
      </c>
      <c r="B1923" s="3" t="s">
        <v>919</v>
      </c>
      <c r="C1923" t="s">
        <v>1862</v>
      </c>
      <c r="D1923" s="9">
        <v>102452</v>
      </c>
      <c r="E1923">
        <v>9.7399999999999996E-5</v>
      </c>
    </row>
    <row r="1924" spans="1:5">
      <c r="A1924">
        <v>2017</v>
      </c>
      <c r="B1924" s="3" t="s">
        <v>1239</v>
      </c>
      <c r="C1924" t="s">
        <v>1863</v>
      </c>
      <c r="D1924" s="9">
        <v>33896</v>
      </c>
      <c r="E1924">
        <v>3.2199999999999997E-5</v>
      </c>
    </row>
    <row r="1925" spans="1:5">
      <c r="A1925">
        <v>2017</v>
      </c>
      <c r="B1925" s="3" t="s">
        <v>1030</v>
      </c>
      <c r="C1925" t="s">
        <v>1864</v>
      </c>
      <c r="D1925" s="9">
        <v>53846</v>
      </c>
      <c r="E1925">
        <v>5.1199999999999998E-5</v>
      </c>
    </row>
    <row r="1926" spans="1:5">
      <c r="A1926">
        <v>2017</v>
      </c>
      <c r="B1926" s="3" t="s">
        <v>921</v>
      </c>
      <c r="C1926" t="s">
        <v>1865</v>
      </c>
      <c r="D1926" s="9">
        <v>1083160</v>
      </c>
      <c r="E1926">
        <v>1.0300999999999999E-3</v>
      </c>
    </row>
    <row r="1927" spans="1:5">
      <c r="A1927">
        <v>2017</v>
      </c>
      <c r="B1927" s="3" t="s">
        <v>1240</v>
      </c>
      <c r="C1927" t="s">
        <v>1866</v>
      </c>
      <c r="D1927" s="9">
        <v>578065</v>
      </c>
      <c r="E1927">
        <v>5.4980000000000003E-4</v>
      </c>
    </row>
    <row r="1928" spans="1:5">
      <c r="A1928">
        <v>2017</v>
      </c>
      <c r="B1928" s="3" t="s">
        <v>922</v>
      </c>
      <c r="C1928" t="s">
        <v>1867</v>
      </c>
      <c r="D1928" s="9">
        <v>98861</v>
      </c>
      <c r="E1928">
        <v>9.3999999999999994E-5</v>
      </c>
    </row>
    <row r="1929" spans="1:5">
      <c r="A1929">
        <v>2017</v>
      </c>
      <c r="B1929" s="3" t="s">
        <v>923</v>
      </c>
      <c r="C1929" t="s">
        <v>868</v>
      </c>
      <c r="D1929" s="9">
        <v>69067</v>
      </c>
      <c r="E1929">
        <v>6.5699999999999998E-5</v>
      </c>
    </row>
    <row r="1930" spans="1:5">
      <c r="A1930">
        <v>2017</v>
      </c>
      <c r="B1930" s="3" t="s">
        <v>924</v>
      </c>
      <c r="C1930" t="s">
        <v>1868</v>
      </c>
      <c r="D1930" s="9">
        <v>84179</v>
      </c>
      <c r="E1930">
        <v>8.0099999999999995E-5</v>
      </c>
    </row>
    <row r="1931" spans="1:5">
      <c r="A1931">
        <v>2017</v>
      </c>
      <c r="B1931" s="3" t="s">
        <v>925</v>
      </c>
      <c r="C1931" t="s">
        <v>1869</v>
      </c>
      <c r="D1931" s="9">
        <v>4319812</v>
      </c>
      <c r="E1931">
        <v>4.1083999999999999E-3</v>
      </c>
    </row>
    <row r="1932" spans="1:5">
      <c r="A1932">
        <v>2017</v>
      </c>
      <c r="B1932" s="3" t="s">
        <v>926</v>
      </c>
      <c r="C1932" t="s">
        <v>1870</v>
      </c>
      <c r="D1932" s="9">
        <v>17148629</v>
      </c>
      <c r="E1932">
        <v>1.6309199999999999E-2</v>
      </c>
    </row>
    <row r="1933" spans="1:5">
      <c r="A1933">
        <v>2017</v>
      </c>
      <c r="B1933" s="3" t="s">
        <v>448</v>
      </c>
      <c r="C1933" t="s">
        <v>1871</v>
      </c>
      <c r="D1933" s="9">
        <v>6008703</v>
      </c>
      <c r="E1933">
        <v>5.7146000000000002E-3</v>
      </c>
    </row>
    <row r="1934" spans="1:5">
      <c r="A1934">
        <v>2017</v>
      </c>
      <c r="B1934" s="3" t="s">
        <v>927</v>
      </c>
      <c r="C1934" t="s">
        <v>1872</v>
      </c>
      <c r="D1934" s="9">
        <v>4477256</v>
      </c>
      <c r="E1934">
        <v>4.2580999999999999E-3</v>
      </c>
    </row>
    <row r="1935" spans="1:5">
      <c r="A1935">
        <v>2017</v>
      </c>
      <c r="B1935" s="3" t="s">
        <v>930</v>
      </c>
      <c r="C1935" t="s">
        <v>1873</v>
      </c>
      <c r="D1935" s="9">
        <v>59124</v>
      </c>
      <c r="E1935">
        <v>5.6199999999999997E-5</v>
      </c>
    </row>
    <row r="1936" spans="1:5">
      <c r="A1936">
        <v>2017</v>
      </c>
      <c r="B1936" s="3" t="s">
        <v>929</v>
      </c>
      <c r="C1936" t="s">
        <v>1874</v>
      </c>
      <c r="D1936" s="9">
        <v>18318765</v>
      </c>
      <c r="E1936">
        <v>1.7422099999999999E-2</v>
      </c>
    </row>
    <row r="1937" spans="1:5">
      <c r="A1937">
        <v>2017</v>
      </c>
      <c r="B1937" s="3" t="s">
        <v>928</v>
      </c>
      <c r="C1937" t="s">
        <v>1875</v>
      </c>
      <c r="D1937" s="9">
        <v>607856</v>
      </c>
      <c r="E1937">
        <v>5.7810000000000001E-4</v>
      </c>
    </row>
    <row r="1938" spans="1:5">
      <c r="A1938">
        <v>2017</v>
      </c>
      <c r="B1938" s="3" t="s">
        <v>931</v>
      </c>
      <c r="C1938" t="s">
        <v>1876</v>
      </c>
      <c r="D1938" s="9">
        <v>97332</v>
      </c>
      <c r="E1938">
        <v>9.2600000000000001E-5</v>
      </c>
    </row>
    <row r="1939" spans="1:5">
      <c r="A1939">
        <v>2017</v>
      </c>
      <c r="B1939" s="3" t="s">
        <v>932</v>
      </c>
      <c r="C1939" t="s">
        <v>1877</v>
      </c>
      <c r="D1939" s="9">
        <v>4413</v>
      </c>
      <c r="E1939">
        <v>4.1999999999999996E-6</v>
      </c>
    </row>
    <row r="1940" spans="1:5">
      <c r="A1940">
        <v>2017</v>
      </c>
      <c r="B1940" s="3" t="s">
        <v>933</v>
      </c>
      <c r="C1940" t="s">
        <v>1878</v>
      </c>
      <c r="D1940" s="9">
        <v>16288</v>
      </c>
      <c r="E1940">
        <v>1.5500000000000001E-5</v>
      </c>
    </row>
    <row r="1941" spans="1:5">
      <c r="A1941">
        <v>2017</v>
      </c>
      <c r="B1941" s="3" t="s">
        <v>992</v>
      </c>
      <c r="C1941" t="s">
        <v>1879</v>
      </c>
      <c r="D1941" s="9">
        <v>65514</v>
      </c>
      <c r="E1941">
        <v>6.2299999999999996E-5</v>
      </c>
    </row>
    <row r="1942" spans="1:5">
      <c r="A1942">
        <v>2017</v>
      </c>
      <c r="B1942" s="3" t="s">
        <v>934</v>
      </c>
      <c r="C1942" t="s">
        <v>1880</v>
      </c>
      <c r="D1942" s="9">
        <v>431589</v>
      </c>
      <c r="E1942">
        <v>4.105E-4</v>
      </c>
    </row>
    <row r="1943" spans="1:5">
      <c r="A1943">
        <v>2017</v>
      </c>
      <c r="B1943" s="3" t="s">
        <v>990</v>
      </c>
      <c r="C1943" t="s">
        <v>935</v>
      </c>
      <c r="D1943" s="9">
        <v>7964124</v>
      </c>
      <c r="E1943">
        <v>7.5743E-3</v>
      </c>
    </row>
    <row r="1944" spans="1:5">
      <c r="A1944">
        <v>2017</v>
      </c>
      <c r="B1944" s="3" t="s">
        <v>991</v>
      </c>
      <c r="C1944" t="s">
        <v>936</v>
      </c>
      <c r="D1944" s="9">
        <v>25209381</v>
      </c>
      <c r="E1944">
        <v>2.3975400000000001E-2</v>
      </c>
    </row>
    <row r="1945" spans="1:5">
      <c r="A1945">
        <v>2017</v>
      </c>
      <c r="B1945" s="3" t="s">
        <v>993</v>
      </c>
      <c r="C1945" t="s">
        <v>1881</v>
      </c>
      <c r="D1945" s="9">
        <v>490162</v>
      </c>
      <c r="E1945">
        <v>4.662E-4</v>
      </c>
    </row>
    <row r="1946" spans="1:5">
      <c r="A1946">
        <v>2017</v>
      </c>
      <c r="B1946" s="3" t="s">
        <v>1885</v>
      </c>
      <c r="C1946" t="s">
        <v>1882</v>
      </c>
      <c r="D1946" s="9"/>
      <c r="E1946">
        <v>0</v>
      </c>
    </row>
    <row r="1947" spans="1:5">
      <c r="A1947">
        <v>2017</v>
      </c>
      <c r="B1947" s="3" t="s">
        <v>994</v>
      </c>
      <c r="C1947" t="s">
        <v>939</v>
      </c>
      <c r="D1947" s="9">
        <v>49743</v>
      </c>
      <c r="E1947">
        <v>4.7299999999999998E-5</v>
      </c>
    </row>
    <row r="1948" spans="1:5">
      <c r="A1948">
        <v>2017</v>
      </c>
      <c r="B1948" s="3" t="s">
        <v>995</v>
      </c>
      <c r="C1948" t="s">
        <v>940</v>
      </c>
      <c r="D1948" s="9">
        <v>69724</v>
      </c>
      <c r="E1948">
        <v>6.6299999999999999E-5</v>
      </c>
    </row>
    <row r="1949" spans="1:5">
      <c r="A1949">
        <v>2017</v>
      </c>
      <c r="B1949" s="3" t="s">
        <v>996</v>
      </c>
      <c r="C1949" t="s">
        <v>941</v>
      </c>
      <c r="D1949" s="9">
        <v>39741</v>
      </c>
      <c r="E1949">
        <v>3.7799999999999997E-5</v>
      </c>
    </row>
    <row r="1950" spans="1:5">
      <c r="A1950">
        <v>2017</v>
      </c>
      <c r="B1950" s="3" t="s">
        <v>997</v>
      </c>
      <c r="C1950" t="s">
        <v>1883</v>
      </c>
      <c r="D1950" s="9">
        <v>171418</v>
      </c>
      <c r="E1950">
        <v>1.63E-4</v>
      </c>
    </row>
    <row r="1951" spans="1:5">
      <c r="A1951">
        <v>2017</v>
      </c>
      <c r="B1951" s="3" t="s">
        <v>999</v>
      </c>
      <c r="C1951" t="s">
        <v>1884</v>
      </c>
      <c r="D1951" s="9">
        <v>315867</v>
      </c>
      <c r="E1951">
        <v>3.0039999999999998E-4</v>
      </c>
    </row>
    <row r="1952" spans="1:5">
      <c r="A1952">
        <v>2017</v>
      </c>
      <c r="B1952" s="3" t="s">
        <v>1241</v>
      </c>
      <c r="C1952" t="s">
        <v>1886</v>
      </c>
      <c r="D1952" s="9">
        <v>32600</v>
      </c>
      <c r="E1952">
        <v>3.1000000000000001E-5</v>
      </c>
    </row>
    <row r="1953" spans="1:5">
      <c r="A1953">
        <v>2017</v>
      </c>
      <c r="B1953" s="3" t="s">
        <v>1001</v>
      </c>
      <c r="C1953" t="s">
        <v>946</v>
      </c>
      <c r="D1953" s="9">
        <v>19898</v>
      </c>
      <c r="E1953">
        <v>1.8899999999999999E-5</v>
      </c>
    </row>
    <row r="1954" spans="1:5">
      <c r="A1954">
        <v>2017</v>
      </c>
      <c r="B1954" s="3" t="s">
        <v>1000</v>
      </c>
      <c r="C1954" t="s">
        <v>1887</v>
      </c>
      <c r="D1954" s="9">
        <v>19192</v>
      </c>
      <c r="E1954">
        <v>1.8300000000000001E-5</v>
      </c>
    </row>
    <row r="1955" spans="1:5">
      <c r="A1955">
        <v>2017</v>
      </c>
      <c r="B1955" s="3" t="s">
        <v>1002</v>
      </c>
      <c r="C1955" t="s">
        <v>947</v>
      </c>
      <c r="D1955" s="9">
        <v>6962419</v>
      </c>
      <c r="E1955">
        <v>6.6216000000000001E-3</v>
      </c>
    </row>
    <row r="1956" spans="1:5">
      <c r="A1956">
        <v>2017</v>
      </c>
      <c r="B1956" s="3" t="s">
        <v>1003</v>
      </c>
      <c r="C1956" t="s">
        <v>1478</v>
      </c>
      <c r="D1956" s="9">
        <v>24952</v>
      </c>
      <c r="E1956">
        <v>2.37E-5</v>
      </c>
    </row>
    <row r="1957" spans="1:5">
      <c r="A1957">
        <v>2017</v>
      </c>
      <c r="B1957" s="3" t="s">
        <v>1004</v>
      </c>
      <c r="C1957" t="s">
        <v>949</v>
      </c>
      <c r="D1957" s="9"/>
      <c r="E1957">
        <v>0</v>
      </c>
    </row>
    <row r="1958" spans="1:5">
      <c r="A1958">
        <v>2017</v>
      </c>
      <c r="B1958" s="3" t="s">
        <v>1005</v>
      </c>
      <c r="C1958" t="s">
        <v>1888</v>
      </c>
      <c r="D1958" s="9">
        <v>136301</v>
      </c>
      <c r="E1958">
        <v>1.2960000000000001E-4</v>
      </c>
    </row>
    <row r="1959" spans="1:5">
      <c r="A1959">
        <v>2017</v>
      </c>
      <c r="B1959" s="3" t="s">
        <v>1006</v>
      </c>
      <c r="C1959" t="s">
        <v>1889</v>
      </c>
      <c r="D1959" s="9">
        <v>172413</v>
      </c>
      <c r="E1959">
        <v>1.64E-4</v>
      </c>
    </row>
    <row r="1960" spans="1:5">
      <c r="A1960">
        <v>2017</v>
      </c>
      <c r="B1960" s="3" t="s">
        <v>1007</v>
      </c>
      <c r="C1960" t="s">
        <v>1890</v>
      </c>
      <c r="D1960" s="9">
        <v>8746</v>
      </c>
      <c r="E1960">
        <v>8.3000000000000002E-6</v>
      </c>
    </row>
    <row r="1961" spans="1:5">
      <c r="A1961">
        <v>2017</v>
      </c>
      <c r="B1961" s="3" t="s">
        <v>1008</v>
      </c>
      <c r="C1961" t="s">
        <v>1891</v>
      </c>
      <c r="D1961" s="9">
        <v>30333</v>
      </c>
      <c r="E1961">
        <v>2.8799999999999999E-5</v>
      </c>
    </row>
    <row r="1962" spans="1:5">
      <c r="A1962">
        <v>2017</v>
      </c>
      <c r="B1962" s="3" t="s">
        <v>1009</v>
      </c>
      <c r="C1962" t="s">
        <v>1892</v>
      </c>
      <c r="D1962" s="9">
        <v>33405</v>
      </c>
      <c r="E1962">
        <v>3.18E-5</v>
      </c>
    </row>
    <row r="1963" spans="1:5">
      <c r="A1963">
        <v>2017</v>
      </c>
      <c r="B1963" s="3" t="s">
        <v>1010</v>
      </c>
      <c r="C1963" t="s">
        <v>1893</v>
      </c>
      <c r="D1963" s="9">
        <v>112293</v>
      </c>
      <c r="E1963">
        <v>1.0679999999999999E-4</v>
      </c>
    </row>
    <row r="1964" spans="1:5">
      <c r="A1964">
        <v>2017</v>
      </c>
      <c r="B1964" s="3" t="s">
        <v>1242</v>
      </c>
      <c r="C1964" t="s">
        <v>1894</v>
      </c>
      <c r="D1964" s="9">
        <v>160163</v>
      </c>
      <c r="E1964">
        <v>1.5229999999999999E-4</v>
      </c>
    </row>
    <row r="1965" spans="1:5">
      <c r="A1965">
        <v>2017</v>
      </c>
      <c r="B1965" s="3" t="s">
        <v>1011</v>
      </c>
      <c r="C1965" t="s">
        <v>1895</v>
      </c>
      <c r="D1965" s="9">
        <v>7891</v>
      </c>
      <c r="E1965">
        <v>7.5000000000000002E-6</v>
      </c>
    </row>
    <row r="1966" spans="1:5">
      <c r="A1966">
        <v>2017</v>
      </c>
      <c r="B1966" s="3" t="s">
        <v>1012</v>
      </c>
      <c r="C1966" t="s">
        <v>957</v>
      </c>
      <c r="D1966" s="9">
        <v>97241</v>
      </c>
      <c r="E1966">
        <v>9.2499999999999999E-5</v>
      </c>
    </row>
    <row r="1967" spans="1:5">
      <c r="A1967">
        <v>2017</v>
      </c>
      <c r="B1967" s="3" t="s">
        <v>1013</v>
      </c>
      <c r="C1967" t="s">
        <v>1896</v>
      </c>
      <c r="D1967" s="9">
        <v>984810</v>
      </c>
      <c r="E1967">
        <v>9.366E-4</v>
      </c>
    </row>
    <row r="1968" spans="1:5">
      <c r="A1968">
        <v>2017</v>
      </c>
      <c r="B1968" s="3" t="s">
        <v>1016</v>
      </c>
      <c r="C1968" t="s">
        <v>1897</v>
      </c>
      <c r="D1968" s="9">
        <v>396757</v>
      </c>
      <c r="E1968">
        <v>3.7730000000000001E-4</v>
      </c>
    </row>
    <row r="1969" spans="1:5">
      <c r="A1969">
        <v>2017</v>
      </c>
      <c r="B1969" s="3" t="s">
        <v>1017</v>
      </c>
      <c r="C1969" t="s">
        <v>1898</v>
      </c>
      <c r="D1969" s="9">
        <v>53748</v>
      </c>
      <c r="E1969">
        <v>5.1100000000000002E-5</v>
      </c>
    </row>
    <row r="1970" spans="1:5">
      <c r="A1970">
        <v>2017</v>
      </c>
      <c r="B1970" s="3" t="s">
        <v>1018</v>
      </c>
      <c r="C1970" t="s">
        <v>1899</v>
      </c>
      <c r="D1970" s="9">
        <v>25200</v>
      </c>
      <c r="E1970">
        <v>2.4000000000000001E-5</v>
      </c>
    </row>
    <row r="1971" spans="1:5">
      <c r="A1971">
        <v>2017</v>
      </c>
      <c r="B1971" s="3" t="s">
        <v>1020</v>
      </c>
      <c r="C1971" t="s">
        <v>1900</v>
      </c>
      <c r="D1971" s="9">
        <v>1709248</v>
      </c>
      <c r="E1971">
        <v>1.6256E-3</v>
      </c>
    </row>
    <row r="1972" spans="1:5">
      <c r="A1972">
        <v>2017</v>
      </c>
      <c r="B1972" s="3" t="s">
        <v>1019</v>
      </c>
      <c r="C1972" t="s">
        <v>1901</v>
      </c>
      <c r="D1972" s="9">
        <v>57118</v>
      </c>
      <c r="E1972">
        <v>5.4299999999999998E-5</v>
      </c>
    </row>
    <row r="1973" spans="1:5">
      <c r="A1973">
        <v>2017</v>
      </c>
      <c r="B1973" s="3" t="s">
        <v>1021</v>
      </c>
      <c r="C1973" t="s">
        <v>1902</v>
      </c>
      <c r="D1973" s="9">
        <v>11879</v>
      </c>
      <c r="E1973">
        <v>1.13E-5</v>
      </c>
    </row>
    <row r="1974" spans="1:5">
      <c r="A1974">
        <v>2017</v>
      </c>
      <c r="B1974" s="3" t="s">
        <v>449</v>
      </c>
      <c r="C1974" t="s">
        <v>1903</v>
      </c>
      <c r="D1974" s="9">
        <v>2124955</v>
      </c>
      <c r="E1974">
        <v>2.0209E-3</v>
      </c>
    </row>
    <row r="1975" spans="1:5">
      <c r="A1975">
        <v>2017</v>
      </c>
      <c r="B1975" s="3" t="s">
        <v>1022</v>
      </c>
      <c r="C1975" t="s">
        <v>1904</v>
      </c>
      <c r="D1975" s="9">
        <v>152610</v>
      </c>
      <c r="E1975">
        <v>1.451E-4</v>
      </c>
    </row>
    <row r="1976" spans="1:5">
      <c r="A1976">
        <v>2017</v>
      </c>
      <c r="B1976" s="3" t="s">
        <v>1023</v>
      </c>
      <c r="C1976" t="s">
        <v>1905</v>
      </c>
      <c r="D1976" s="9">
        <v>475195</v>
      </c>
      <c r="E1976">
        <v>4.5189999999999998E-4</v>
      </c>
    </row>
    <row r="1977" spans="1:5">
      <c r="A1977">
        <v>2017</v>
      </c>
      <c r="B1977" s="3" t="s">
        <v>1024</v>
      </c>
      <c r="C1977" t="s">
        <v>969</v>
      </c>
      <c r="D1977" s="9">
        <v>43935</v>
      </c>
      <c r="E1977">
        <v>4.18E-5</v>
      </c>
    </row>
    <row r="1978" spans="1:5">
      <c r="A1978">
        <v>2017</v>
      </c>
      <c r="B1978" s="3" t="s">
        <v>1025</v>
      </c>
      <c r="C1978" t="s">
        <v>1906</v>
      </c>
      <c r="D1978" s="9">
        <v>117189</v>
      </c>
      <c r="E1978">
        <v>1.115E-4</v>
      </c>
    </row>
    <row r="1979" spans="1:5">
      <c r="A1979">
        <v>2017</v>
      </c>
      <c r="B1979" s="3" t="s">
        <v>1026</v>
      </c>
      <c r="C1979" t="s">
        <v>1907</v>
      </c>
      <c r="D1979" s="9">
        <v>3035263</v>
      </c>
      <c r="E1979">
        <v>2.8866999999999999E-3</v>
      </c>
    </row>
    <row r="1980" spans="1:5">
      <c r="A1980">
        <v>2017</v>
      </c>
      <c r="B1980" s="3" t="s">
        <v>1243</v>
      </c>
      <c r="C1980" t="s">
        <v>1908</v>
      </c>
      <c r="D1980" s="9">
        <v>1422375</v>
      </c>
      <c r="E1980">
        <v>1.3527000000000001E-3</v>
      </c>
    </row>
    <row r="1981" spans="1:5">
      <c r="A1981">
        <v>2017</v>
      </c>
      <c r="B1981" s="3" t="s">
        <v>1027</v>
      </c>
      <c r="C1981" t="s">
        <v>1909</v>
      </c>
      <c r="D1981" s="9">
        <v>20201</v>
      </c>
      <c r="E1981">
        <v>1.9199999999999999E-5</v>
      </c>
    </row>
    <row r="1982" spans="1:5">
      <c r="A1982">
        <v>2017</v>
      </c>
      <c r="B1982" s="3" t="s">
        <v>1028</v>
      </c>
      <c r="C1982" t="s">
        <v>973</v>
      </c>
      <c r="D1982" s="9">
        <v>8958</v>
      </c>
      <c r="E1982">
        <v>8.4999999999999999E-6</v>
      </c>
    </row>
    <row r="1983" spans="1:5">
      <c r="A1983">
        <v>2017</v>
      </c>
      <c r="B1983" s="3" t="s">
        <v>1029</v>
      </c>
      <c r="C1983" t="s">
        <v>1910</v>
      </c>
      <c r="D1983" s="9">
        <v>265037</v>
      </c>
      <c r="E1983">
        <v>2.521E-4</v>
      </c>
    </row>
    <row r="1984" spans="1:5">
      <c r="A1984">
        <v>2017</v>
      </c>
      <c r="B1984" s="3" t="s">
        <v>1031</v>
      </c>
      <c r="C1984" t="s">
        <v>1911</v>
      </c>
      <c r="D1984" s="9">
        <v>552004</v>
      </c>
      <c r="E1984">
        <v>5.2499999999999997E-4</v>
      </c>
    </row>
    <row r="1985" spans="1:5">
      <c r="A1985">
        <v>2017</v>
      </c>
      <c r="B1985" s="3" t="s">
        <v>1032</v>
      </c>
      <c r="C1985" t="s">
        <v>1912</v>
      </c>
      <c r="D1985" s="9">
        <v>151046</v>
      </c>
      <c r="E1985">
        <v>1.437E-4</v>
      </c>
    </row>
    <row r="1986" spans="1:5">
      <c r="A1986">
        <v>2017</v>
      </c>
      <c r="B1986" s="3" t="s">
        <v>1036</v>
      </c>
      <c r="C1986" t="s">
        <v>1913</v>
      </c>
      <c r="D1986" s="9"/>
      <c r="E1986">
        <v>0</v>
      </c>
    </row>
    <row r="1987" spans="1:5">
      <c r="A1987">
        <v>2017</v>
      </c>
      <c r="B1987" s="3" t="s">
        <v>920</v>
      </c>
      <c r="C1987" t="s">
        <v>1914</v>
      </c>
      <c r="D1987" s="9">
        <v>1509</v>
      </c>
      <c r="E1987">
        <v>1.3999999999999999E-6</v>
      </c>
    </row>
    <row r="1988" spans="1:5">
      <c r="A1988">
        <v>2017</v>
      </c>
      <c r="B1988" s="3" t="s">
        <v>1037</v>
      </c>
      <c r="C1988" t="s">
        <v>1915</v>
      </c>
      <c r="D1988" s="9">
        <v>47220</v>
      </c>
      <c r="E1988">
        <v>4.49E-5</v>
      </c>
    </row>
    <row r="1989" spans="1:5">
      <c r="A1989">
        <v>2017</v>
      </c>
      <c r="B1989" s="3" t="s">
        <v>1038</v>
      </c>
      <c r="C1989" t="s">
        <v>1916</v>
      </c>
      <c r="D1989" s="9">
        <v>488674</v>
      </c>
      <c r="E1989">
        <v>4.6480000000000002E-4</v>
      </c>
    </row>
    <row r="1990" spans="1:5">
      <c r="A1990">
        <v>2017</v>
      </c>
      <c r="B1990" s="3" t="s">
        <v>1039</v>
      </c>
      <c r="C1990" t="s">
        <v>1917</v>
      </c>
      <c r="D1990" s="9">
        <v>5244836</v>
      </c>
      <c r="E1990">
        <v>4.9880999999999997E-3</v>
      </c>
    </row>
    <row r="1991" spans="1:5">
      <c r="A1991">
        <v>2017</v>
      </c>
      <c r="B1991" s="3" t="s">
        <v>1040</v>
      </c>
      <c r="C1991" t="s">
        <v>985</v>
      </c>
      <c r="D1991" s="9">
        <v>148310</v>
      </c>
      <c r="E1991">
        <v>1.4109999999999999E-4</v>
      </c>
    </row>
    <row r="1992" spans="1:5">
      <c r="A1992">
        <v>2017</v>
      </c>
      <c r="B1992" s="3" t="s">
        <v>998</v>
      </c>
      <c r="C1992" t="s">
        <v>1918</v>
      </c>
      <c r="D1992" s="9">
        <v>67668</v>
      </c>
      <c r="E1992">
        <v>6.4399999999999993E-5</v>
      </c>
    </row>
    <row r="1993" spans="1:5">
      <c r="A1993">
        <v>2017</v>
      </c>
      <c r="B1993" s="3" t="s">
        <v>1041</v>
      </c>
      <c r="C1993" t="s">
        <v>1919</v>
      </c>
      <c r="D1993" s="9">
        <v>566894</v>
      </c>
      <c r="E1993">
        <v>5.3910000000000004E-4</v>
      </c>
    </row>
    <row r="1994" spans="1:5">
      <c r="A1994">
        <v>2017</v>
      </c>
      <c r="B1994" s="3" t="s">
        <v>1042</v>
      </c>
      <c r="C1994" t="s">
        <v>1920</v>
      </c>
      <c r="D1994" s="9">
        <v>18096</v>
      </c>
      <c r="E1994">
        <v>1.7200000000000001E-5</v>
      </c>
    </row>
    <row r="1995" spans="1:5">
      <c r="A1995">
        <v>2017</v>
      </c>
      <c r="B1995" s="3" t="s">
        <v>1043</v>
      </c>
      <c r="C1995" t="s">
        <v>1921</v>
      </c>
      <c r="D1995" s="9">
        <v>611698</v>
      </c>
      <c r="E1995">
        <v>5.8180000000000005E-4</v>
      </c>
    </row>
    <row r="1996" spans="1:5">
      <c r="A1996">
        <v>2017</v>
      </c>
      <c r="B1996" s="3" t="s">
        <v>1044</v>
      </c>
      <c r="C1996" t="s">
        <v>1922</v>
      </c>
      <c r="D1996" s="9">
        <v>673769</v>
      </c>
      <c r="E1996">
        <v>6.4079999999999996E-4</v>
      </c>
    </row>
    <row r="1997" spans="1:5">
      <c r="A1997">
        <v>2017</v>
      </c>
      <c r="B1997" s="3" t="s">
        <v>1100</v>
      </c>
      <c r="C1997" t="s">
        <v>1923</v>
      </c>
      <c r="D1997" s="9">
        <v>1428974</v>
      </c>
      <c r="E1997">
        <v>1.359E-3</v>
      </c>
    </row>
    <row r="1998" spans="1:5">
      <c r="A1998">
        <v>2017</v>
      </c>
      <c r="B1998" s="3" t="s">
        <v>450</v>
      </c>
      <c r="C1998" t="s">
        <v>1924</v>
      </c>
      <c r="D1998" s="9">
        <v>669528</v>
      </c>
      <c r="E1998">
        <v>6.3679999999999997E-4</v>
      </c>
    </row>
    <row r="1999" spans="1:5">
      <c r="A1999">
        <v>2017</v>
      </c>
      <c r="B1999" s="3" t="s">
        <v>1101</v>
      </c>
      <c r="C1999" t="s">
        <v>1925</v>
      </c>
      <c r="D1999" s="9">
        <v>2896010</v>
      </c>
      <c r="E1999">
        <v>2.7542999999999999E-3</v>
      </c>
    </row>
    <row r="2000" spans="1:5">
      <c r="A2000">
        <v>2017</v>
      </c>
      <c r="B2000" s="3" t="s">
        <v>1244</v>
      </c>
      <c r="C2000" t="s">
        <v>1926</v>
      </c>
      <c r="D2000" s="9">
        <v>602259</v>
      </c>
      <c r="E2000">
        <v>5.7280000000000005E-4</v>
      </c>
    </row>
    <row r="2001" spans="1:5">
      <c r="A2001">
        <v>2017</v>
      </c>
      <c r="B2001" s="3" t="s">
        <v>1102</v>
      </c>
      <c r="C2001" t="s">
        <v>1927</v>
      </c>
      <c r="D2001" s="9">
        <v>79419</v>
      </c>
      <c r="E2001">
        <v>7.5500000000000006E-5</v>
      </c>
    </row>
    <row r="2002" spans="1:5">
      <c r="A2002">
        <v>2017</v>
      </c>
      <c r="B2002" s="3" t="s">
        <v>1134</v>
      </c>
      <c r="C2002" t="s">
        <v>1928</v>
      </c>
      <c r="D2002" s="9">
        <v>445848</v>
      </c>
      <c r="E2002">
        <v>4.2400000000000001E-4</v>
      </c>
    </row>
    <row r="2003" spans="1:5">
      <c r="A2003">
        <v>2017</v>
      </c>
      <c r="B2003" s="3" t="s">
        <v>1103</v>
      </c>
      <c r="C2003" t="s">
        <v>1929</v>
      </c>
      <c r="D2003" s="9">
        <v>131906</v>
      </c>
      <c r="E2003">
        <v>1.2540000000000001E-4</v>
      </c>
    </row>
    <row r="2004" spans="1:5">
      <c r="A2004">
        <v>2017</v>
      </c>
      <c r="B2004" s="3" t="s">
        <v>1104</v>
      </c>
      <c r="C2004" t="s">
        <v>1930</v>
      </c>
      <c r="D2004" s="9">
        <v>1216966</v>
      </c>
      <c r="E2004">
        <v>1.1574000000000001E-3</v>
      </c>
    </row>
    <row r="2005" spans="1:5">
      <c r="A2005">
        <v>2017</v>
      </c>
      <c r="B2005" s="3" t="s">
        <v>1105</v>
      </c>
      <c r="C2005" t="s">
        <v>1931</v>
      </c>
      <c r="D2005" s="9">
        <v>15269</v>
      </c>
      <c r="E2005">
        <v>1.45E-5</v>
      </c>
    </row>
    <row r="2006" spans="1:5">
      <c r="A2006">
        <v>2017</v>
      </c>
      <c r="B2006" s="3" t="s">
        <v>451</v>
      </c>
      <c r="C2006" t="s">
        <v>1932</v>
      </c>
      <c r="D2006" s="9">
        <v>666419</v>
      </c>
      <c r="E2006">
        <v>6.3380000000000001E-4</v>
      </c>
    </row>
    <row r="2007" spans="1:5">
      <c r="A2007">
        <v>2017</v>
      </c>
      <c r="B2007" s="3" t="s">
        <v>1106</v>
      </c>
      <c r="C2007" t="s">
        <v>1933</v>
      </c>
      <c r="D2007" s="9">
        <v>91670</v>
      </c>
      <c r="E2007">
        <v>8.7200000000000005E-5</v>
      </c>
    </row>
    <row r="2008" spans="1:5">
      <c r="A2008">
        <v>2017</v>
      </c>
      <c r="B2008" s="3" t="s">
        <v>1107</v>
      </c>
      <c r="C2008" t="s">
        <v>1934</v>
      </c>
      <c r="D2008" s="9">
        <v>618420</v>
      </c>
      <c r="E2008">
        <v>5.8810000000000004E-4</v>
      </c>
    </row>
    <row r="2009" spans="1:5">
      <c r="A2009">
        <v>2017</v>
      </c>
      <c r="B2009" s="3" t="s">
        <v>1108</v>
      </c>
      <c r="C2009" t="s">
        <v>1053</v>
      </c>
      <c r="D2009" s="9">
        <v>1082862</v>
      </c>
      <c r="E2009">
        <v>1.0299E-3</v>
      </c>
    </row>
    <row r="2010" spans="1:5">
      <c r="A2010">
        <v>2017</v>
      </c>
      <c r="B2010" s="3" t="s">
        <v>1110</v>
      </c>
      <c r="C2010" t="s">
        <v>1935</v>
      </c>
      <c r="D2010" s="9">
        <v>1504863</v>
      </c>
      <c r="E2010">
        <v>1.4312000000000001E-3</v>
      </c>
    </row>
    <row r="2011" spans="1:5">
      <c r="A2011">
        <v>2017</v>
      </c>
      <c r="B2011" s="3" t="s">
        <v>1109</v>
      </c>
      <c r="C2011" t="s">
        <v>1936</v>
      </c>
      <c r="D2011" s="9">
        <v>234110</v>
      </c>
      <c r="E2011">
        <v>2.2269999999999999E-4</v>
      </c>
    </row>
    <row r="2012" spans="1:5">
      <c r="A2012">
        <v>2017</v>
      </c>
      <c r="B2012" s="3" t="s">
        <v>1111</v>
      </c>
      <c r="C2012" t="s">
        <v>1937</v>
      </c>
      <c r="D2012" s="9">
        <v>25652</v>
      </c>
      <c r="E2012">
        <v>2.44E-5</v>
      </c>
    </row>
    <row r="2013" spans="1:5">
      <c r="A2013">
        <v>2017</v>
      </c>
      <c r="B2013" s="3" t="s">
        <v>1112</v>
      </c>
      <c r="C2013" t="s">
        <v>1938</v>
      </c>
      <c r="D2013" s="9">
        <v>12273248</v>
      </c>
      <c r="E2013">
        <v>1.1672500000000001E-2</v>
      </c>
    </row>
    <row r="2014" spans="1:5">
      <c r="A2014">
        <v>2017</v>
      </c>
      <c r="B2014" s="3" t="s">
        <v>452</v>
      </c>
      <c r="C2014" t="s">
        <v>1939</v>
      </c>
      <c r="D2014" s="9">
        <v>11112186</v>
      </c>
      <c r="E2014">
        <v>1.05682E-2</v>
      </c>
    </row>
    <row r="2015" spans="1:5">
      <c r="A2015">
        <v>2017</v>
      </c>
      <c r="B2015" s="3" t="s">
        <v>1113</v>
      </c>
      <c r="C2015" t="s">
        <v>1058</v>
      </c>
      <c r="D2015" s="9">
        <v>65731</v>
      </c>
      <c r="E2015">
        <v>6.2500000000000001E-5</v>
      </c>
    </row>
    <row r="2016" spans="1:5">
      <c r="A2016">
        <v>2017</v>
      </c>
      <c r="B2016" s="3" t="s">
        <v>1481</v>
      </c>
      <c r="C2016" t="s">
        <v>1479</v>
      </c>
      <c r="D2016" s="9">
        <v>125003</v>
      </c>
      <c r="E2016">
        <v>1.189E-4</v>
      </c>
    </row>
    <row r="2017" spans="1:5">
      <c r="A2017">
        <v>2017</v>
      </c>
      <c r="B2017" s="3" t="s">
        <v>453</v>
      </c>
      <c r="C2017" t="s">
        <v>1940</v>
      </c>
      <c r="D2017" s="9">
        <v>614831</v>
      </c>
      <c r="E2017">
        <v>5.8469999999999996E-4</v>
      </c>
    </row>
    <row r="2018" spans="1:5">
      <c r="A2018">
        <v>2017</v>
      </c>
      <c r="B2018" s="3" t="s">
        <v>1115</v>
      </c>
      <c r="C2018" t="s">
        <v>1941</v>
      </c>
      <c r="D2018" s="9">
        <v>36893</v>
      </c>
      <c r="E2018">
        <v>3.5099999999999999E-5</v>
      </c>
    </row>
    <row r="2019" spans="1:5">
      <c r="A2019">
        <v>2017</v>
      </c>
      <c r="B2019" s="3" t="s">
        <v>1114</v>
      </c>
      <c r="C2019" t="s">
        <v>1942</v>
      </c>
      <c r="D2019" s="9">
        <v>503059</v>
      </c>
      <c r="E2019">
        <v>4.7839999999999997E-4</v>
      </c>
    </row>
    <row r="2020" spans="1:5">
      <c r="A2020">
        <v>2017</v>
      </c>
      <c r="B2020" s="3" t="s">
        <v>1116</v>
      </c>
      <c r="C2020" t="s">
        <v>1943</v>
      </c>
      <c r="D2020" s="9">
        <v>122986</v>
      </c>
      <c r="E2020">
        <v>1.17E-4</v>
      </c>
    </row>
    <row r="2021" spans="1:5">
      <c r="A2021">
        <v>2017</v>
      </c>
      <c r="B2021" s="3" t="s">
        <v>1117</v>
      </c>
      <c r="C2021" t="s">
        <v>1944</v>
      </c>
      <c r="D2021" s="9">
        <v>156393</v>
      </c>
      <c r="E2021">
        <v>1.4870000000000001E-4</v>
      </c>
    </row>
    <row r="2022" spans="1:5">
      <c r="A2022">
        <v>2017</v>
      </c>
      <c r="B2022" s="3" t="s">
        <v>1118</v>
      </c>
      <c r="C2022" t="s">
        <v>1945</v>
      </c>
      <c r="D2022" s="9">
        <v>46942</v>
      </c>
      <c r="E2022">
        <v>4.46E-5</v>
      </c>
    </row>
    <row r="2023" spans="1:5">
      <c r="A2023">
        <v>2017</v>
      </c>
      <c r="B2023" s="3" t="s">
        <v>1119</v>
      </c>
      <c r="C2023" t="s">
        <v>1946</v>
      </c>
      <c r="D2023" s="9">
        <v>1075876</v>
      </c>
      <c r="E2023">
        <v>1.0231999999999999E-3</v>
      </c>
    </row>
    <row r="2024" spans="1:5">
      <c r="A2024">
        <v>2017</v>
      </c>
      <c r="B2024" s="3" t="s">
        <v>454</v>
      </c>
      <c r="C2024" t="s">
        <v>1947</v>
      </c>
      <c r="D2024" s="9">
        <v>555090</v>
      </c>
      <c r="E2024">
        <v>5.2789999999999998E-4</v>
      </c>
    </row>
    <row r="2025" spans="1:5">
      <c r="A2025">
        <v>2017</v>
      </c>
      <c r="B2025" s="3" t="s">
        <v>1120</v>
      </c>
      <c r="C2025" t="s">
        <v>1948</v>
      </c>
      <c r="D2025" s="9"/>
      <c r="E2025">
        <v>0</v>
      </c>
    </row>
    <row r="2026" spans="1:5">
      <c r="A2026">
        <v>2017</v>
      </c>
      <c r="B2026" s="3" t="s">
        <v>1121</v>
      </c>
      <c r="C2026" t="s">
        <v>1949</v>
      </c>
      <c r="D2026" s="9">
        <v>2961416</v>
      </c>
      <c r="E2026">
        <v>2.8165E-3</v>
      </c>
    </row>
    <row r="2027" spans="1:5">
      <c r="A2027">
        <v>2017</v>
      </c>
      <c r="B2027" s="3" t="s">
        <v>455</v>
      </c>
      <c r="C2027" t="s">
        <v>1950</v>
      </c>
      <c r="D2027" s="9">
        <v>1159722</v>
      </c>
      <c r="E2027">
        <v>1.103E-3</v>
      </c>
    </row>
    <row r="2028" spans="1:5">
      <c r="A2028">
        <v>2017</v>
      </c>
      <c r="B2028" s="3" t="s">
        <v>1122</v>
      </c>
      <c r="C2028" t="s">
        <v>1951</v>
      </c>
      <c r="D2028" s="9">
        <v>20360</v>
      </c>
      <c r="E2028">
        <v>1.9400000000000001E-5</v>
      </c>
    </row>
    <row r="2029" spans="1:5">
      <c r="A2029">
        <v>2017</v>
      </c>
      <c r="B2029" s="3" t="s">
        <v>1123</v>
      </c>
      <c r="C2029" t="s">
        <v>1952</v>
      </c>
      <c r="D2029" s="9">
        <v>54127</v>
      </c>
      <c r="E2029">
        <v>5.1499999999999998E-5</v>
      </c>
    </row>
    <row r="2030" spans="1:5">
      <c r="A2030">
        <v>2017</v>
      </c>
      <c r="B2030" s="3" t="s">
        <v>1124</v>
      </c>
      <c r="C2030" t="s">
        <v>1953</v>
      </c>
      <c r="D2030" s="9">
        <v>102978</v>
      </c>
      <c r="E2030">
        <v>9.7899999999999994E-5</v>
      </c>
    </row>
    <row r="2031" spans="1:5">
      <c r="A2031">
        <v>2017</v>
      </c>
      <c r="B2031" s="3" t="s">
        <v>1125</v>
      </c>
      <c r="C2031" t="s">
        <v>1954</v>
      </c>
      <c r="D2031" s="9">
        <v>915068</v>
      </c>
      <c r="E2031">
        <v>8.7029999999999996E-4</v>
      </c>
    </row>
    <row r="2032" spans="1:5">
      <c r="A2032">
        <v>2017</v>
      </c>
      <c r="B2032" s="3" t="s">
        <v>1245</v>
      </c>
      <c r="C2032" t="s">
        <v>1955</v>
      </c>
      <c r="D2032" s="9">
        <v>140986</v>
      </c>
      <c r="E2032">
        <v>1.3410000000000001E-4</v>
      </c>
    </row>
    <row r="2033" spans="1:5">
      <c r="A2033">
        <v>2017</v>
      </c>
      <c r="B2033" s="3" t="s">
        <v>1126</v>
      </c>
      <c r="C2033" t="s">
        <v>1956</v>
      </c>
      <c r="D2033" s="9">
        <v>84660</v>
      </c>
      <c r="E2033">
        <v>8.0500000000000005E-5</v>
      </c>
    </row>
    <row r="2034" spans="1:5">
      <c r="A2034">
        <v>2017</v>
      </c>
      <c r="B2034" s="3" t="s">
        <v>1127</v>
      </c>
      <c r="C2034" t="s">
        <v>1957</v>
      </c>
      <c r="D2034" s="9">
        <v>1331025</v>
      </c>
      <c r="E2034">
        <v>1.2658999999999999E-3</v>
      </c>
    </row>
    <row r="2035" spans="1:5">
      <c r="A2035">
        <v>2017</v>
      </c>
      <c r="B2035" s="3" t="s">
        <v>456</v>
      </c>
      <c r="C2035" t="s">
        <v>1958</v>
      </c>
      <c r="D2035" s="9">
        <v>294169</v>
      </c>
      <c r="E2035">
        <v>2.7980000000000002E-4</v>
      </c>
    </row>
    <row r="2036" spans="1:5">
      <c r="A2036">
        <v>2017</v>
      </c>
      <c r="B2036" s="3" t="s">
        <v>1128</v>
      </c>
      <c r="C2036" t="s">
        <v>1959</v>
      </c>
      <c r="D2036" s="9">
        <v>126849</v>
      </c>
      <c r="E2036">
        <v>1.206E-4</v>
      </c>
    </row>
    <row r="2037" spans="1:5">
      <c r="A2037">
        <v>2017</v>
      </c>
      <c r="B2037" s="3" t="s">
        <v>1129</v>
      </c>
      <c r="C2037" t="s">
        <v>1074</v>
      </c>
      <c r="D2037" s="9">
        <v>5514</v>
      </c>
      <c r="E2037">
        <v>5.2000000000000002E-6</v>
      </c>
    </row>
    <row r="2038" spans="1:5">
      <c r="A2038">
        <v>2017</v>
      </c>
      <c r="B2038" s="3" t="s">
        <v>1130</v>
      </c>
      <c r="C2038" t="s">
        <v>1075</v>
      </c>
      <c r="D2038" s="9">
        <v>10392</v>
      </c>
      <c r="E2038">
        <v>9.9000000000000001E-6</v>
      </c>
    </row>
    <row r="2039" spans="1:5">
      <c r="A2039">
        <v>2017</v>
      </c>
      <c r="B2039" s="3" t="s">
        <v>1131</v>
      </c>
      <c r="C2039" t="s">
        <v>1960</v>
      </c>
      <c r="D2039" s="9">
        <v>18608</v>
      </c>
      <c r="E2039">
        <v>1.77E-5</v>
      </c>
    </row>
    <row r="2040" spans="1:5">
      <c r="A2040">
        <v>2017</v>
      </c>
      <c r="B2040" s="3" t="s">
        <v>457</v>
      </c>
      <c r="C2040" t="s">
        <v>1961</v>
      </c>
      <c r="D2040" s="9">
        <v>123749</v>
      </c>
      <c r="E2040">
        <v>1.177E-4</v>
      </c>
    </row>
    <row r="2041" spans="1:5">
      <c r="A2041">
        <v>2017</v>
      </c>
      <c r="B2041" s="3" t="s">
        <v>1132</v>
      </c>
      <c r="C2041" t="s">
        <v>1077</v>
      </c>
      <c r="D2041" s="9">
        <v>61036</v>
      </c>
      <c r="E2041">
        <v>5.8E-5</v>
      </c>
    </row>
    <row r="2042" spans="1:5">
      <c r="A2042">
        <v>2017</v>
      </c>
      <c r="B2042" s="3" t="s">
        <v>1133</v>
      </c>
      <c r="C2042" t="s">
        <v>1962</v>
      </c>
      <c r="D2042" s="9">
        <v>81991</v>
      </c>
      <c r="E2042">
        <v>7.7999999999999999E-5</v>
      </c>
    </row>
    <row r="2043" spans="1:5">
      <c r="A2043">
        <v>2017</v>
      </c>
      <c r="B2043" s="3" t="s">
        <v>1994</v>
      </c>
      <c r="C2043" t="s">
        <v>1963</v>
      </c>
      <c r="D2043" s="9">
        <v>22312</v>
      </c>
      <c r="E2043" s="4">
        <v>2.1199999999999999E-3</v>
      </c>
    </row>
    <row r="2044" spans="1:5">
      <c r="A2044">
        <v>2017</v>
      </c>
      <c r="B2044" s="3" t="s">
        <v>1246</v>
      </c>
      <c r="C2044" t="s">
        <v>1964</v>
      </c>
      <c r="D2044" s="9">
        <v>109261</v>
      </c>
      <c r="E2044">
        <v>1.039E-4</v>
      </c>
    </row>
    <row r="2045" spans="1:5">
      <c r="A2045">
        <v>2017</v>
      </c>
      <c r="B2045" s="3" t="s">
        <v>1135</v>
      </c>
      <c r="C2045" t="s">
        <v>1965</v>
      </c>
      <c r="D2045" s="9">
        <v>240094</v>
      </c>
      <c r="E2045">
        <v>2.2829999999999999E-4</v>
      </c>
    </row>
    <row r="2046" spans="1:5">
      <c r="A2046">
        <v>2017</v>
      </c>
      <c r="B2046" s="3" t="s">
        <v>1136</v>
      </c>
      <c r="C2046" t="s">
        <v>1966</v>
      </c>
      <c r="D2046" s="9">
        <v>435773</v>
      </c>
      <c r="E2046">
        <v>4.1439999999999999E-4</v>
      </c>
    </row>
    <row r="2047" spans="1:5">
      <c r="A2047">
        <v>2017</v>
      </c>
      <c r="B2047" s="3" t="s">
        <v>458</v>
      </c>
      <c r="C2047" t="s">
        <v>1967</v>
      </c>
      <c r="D2047" s="9">
        <v>123602</v>
      </c>
      <c r="E2047">
        <v>1.176E-4</v>
      </c>
    </row>
    <row r="2048" spans="1:5">
      <c r="A2048">
        <v>2017</v>
      </c>
      <c r="B2048" s="3" t="s">
        <v>1137</v>
      </c>
      <c r="C2048" t="s">
        <v>1968</v>
      </c>
      <c r="D2048" s="9">
        <v>273809</v>
      </c>
      <c r="E2048">
        <v>2.6039999999999999E-4</v>
      </c>
    </row>
    <row r="2049" spans="1:5">
      <c r="A2049">
        <v>2017</v>
      </c>
      <c r="B2049" s="3" t="s">
        <v>1247</v>
      </c>
      <c r="C2049" t="s">
        <v>1969</v>
      </c>
      <c r="D2049" s="9">
        <v>27969</v>
      </c>
      <c r="E2049">
        <v>2.6599999999999999E-5</v>
      </c>
    </row>
    <row r="2050" spans="1:5">
      <c r="A2050">
        <v>2017</v>
      </c>
      <c r="B2050" s="3" t="s">
        <v>1138</v>
      </c>
      <c r="C2050" t="s">
        <v>1083</v>
      </c>
      <c r="D2050" s="9">
        <v>9179</v>
      </c>
      <c r="E2050">
        <v>8.6999999999999997E-6</v>
      </c>
    </row>
    <row r="2051" spans="1:5">
      <c r="A2051">
        <v>2017</v>
      </c>
      <c r="B2051" s="3" t="s">
        <v>96</v>
      </c>
      <c r="C2051" t="s">
        <v>1970</v>
      </c>
      <c r="D2051" s="9">
        <v>19873</v>
      </c>
      <c r="E2051">
        <v>1.8899999999999999E-5</v>
      </c>
    </row>
    <row r="2052" spans="1:5">
      <c r="A2052">
        <v>2017</v>
      </c>
      <c r="B2052" s="3" t="s">
        <v>1139</v>
      </c>
      <c r="C2052" t="s">
        <v>1084</v>
      </c>
      <c r="D2052" s="9">
        <v>48707</v>
      </c>
      <c r="E2052">
        <v>4.6300000000000001E-5</v>
      </c>
    </row>
    <row r="2053" spans="1:5">
      <c r="A2053">
        <v>2017</v>
      </c>
      <c r="B2053" s="3" t="s">
        <v>1141</v>
      </c>
      <c r="C2053" t="s">
        <v>1971</v>
      </c>
      <c r="D2053" s="9">
        <v>18479</v>
      </c>
      <c r="E2053">
        <v>1.7600000000000001E-5</v>
      </c>
    </row>
    <row r="2054" spans="1:5">
      <c r="A2054">
        <v>2017</v>
      </c>
      <c r="B2054" s="3" t="s">
        <v>1142</v>
      </c>
      <c r="C2054" t="s">
        <v>1087</v>
      </c>
      <c r="D2054" s="9">
        <v>75608</v>
      </c>
      <c r="E2054">
        <v>7.1899999999999999E-5</v>
      </c>
    </row>
    <row r="2055" spans="1:5">
      <c r="A2055">
        <v>2017</v>
      </c>
      <c r="B2055" s="3" t="s">
        <v>1143</v>
      </c>
      <c r="C2055" t="s">
        <v>1088</v>
      </c>
      <c r="D2055" s="9">
        <v>206356</v>
      </c>
      <c r="E2055">
        <v>1.963E-4</v>
      </c>
    </row>
    <row r="2056" spans="1:5">
      <c r="A2056">
        <v>2017</v>
      </c>
      <c r="B2056" s="3" t="s">
        <v>1144</v>
      </c>
      <c r="C2056" t="s">
        <v>1089</v>
      </c>
      <c r="D2056" s="9">
        <v>62027</v>
      </c>
      <c r="E2056">
        <v>5.8999999999999998E-5</v>
      </c>
    </row>
    <row r="2057" spans="1:5">
      <c r="A2057">
        <v>2017</v>
      </c>
      <c r="B2057" s="3" t="s">
        <v>1145</v>
      </c>
      <c r="C2057" t="s">
        <v>1972</v>
      </c>
      <c r="D2057" s="9"/>
      <c r="E2057">
        <v>0</v>
      </c>
    </row>
    <row r="2058" spans="1:5">
      <c r="A2058">
        <v>2017</v>
      </c>
      <c r="B2058" s="3" t="s">
        <v>1146</v>
      </c>
      <c r="C2058" t="s">
        <v>1973</v>
      </c>
      <c r="D2058" s="9">
        <v>7626005</v>
      </c>
      <c r="E2058">
        <v>7.2526999999999999E-3</v>
      </c>
    </row>
    <row r="2059" spans="1:5">
      <c r="A2059">
        <v>2017</v>
      </c>
      <c r="B2059" s="3" t="s">
        <v>1147</v>
      </c>
      <c r="C2059" t="s">
        <v>1092</v>
      </c>
      <c r="D2059" s="9">
        <v>3857</v>
      </c>
      <c r="E2059">
        <v>3.7000000000000002E-6</v>
      </c>
    </row>
    <row r="2060" spans="1:5">
      <c r="A2060">
        <v>2017</v>
      </c>
      <c r="B2060" s="3" t="s">
        <v>1148</v>
      </c>
      <c r="C2060" t="s">
        <v>1974</v>
      </c>
      <c r="D2060" s="9">
        <v>215073</v>
      </c>
      <c r="E2060">
        <v>2.0450000000000001E-4</v>
      </c>
    </row>
    <row r="2061" spans="1:5">
      <c r="A2061">
        <v>2017</v>
      </c>
      <c r="B2061" s="3" t="s">
        <v>1248</v>
      </c>
      <c r="C2061" t="s">
        <v>1975</v>
      </c>
      <c r="D2061" s="9">
        <v>51321</v>
      </c>
      <c r="E2061">
        <v>4.88E-5</v>
      </c>
    </row>
    <row r="2062" spans="1:5">
      <c r="A2062">
        <v>2017</v>
      </c>
      <c r="B2062" s="3" t="s">
        <v>1149</v>
      </c>
      <c r="C2062" t="s">
        <v>1094</v>
      </c>
      <c r="D2062" s="9">
        <v>185816</v>
      </c>
      <c r="E2062">
        <v>1.7670000000000001E-4</v>
      </c>
    </row>
    <row r="2063" spans="1:5">
      <c r="A2063">
        <v>2017</v>
      </c>
      <c r="B2063" s="3" t="s">
        <v>1150</v>
      </c>
      <c r="C2063" t="s">
        <v>1976</v>
      </c>
      <c r="D2063" s="9">
        <v>181640</v>
      </c>
      <c r="E2063">
        <v>1.727E-4</v>
      </c>
    </row>
    <row r="2064" spans="1:5">
      <c r="A2064">
        <v>2017</v>
      </c>
      <c r="B2064" s="3" t="s">
        <v>459</v>
      </c>
      <c r="C2064" t="s">
        <v>1977</v>
      </c>
      <c r="D2064" s="9">
        <v>3797149</v>
      </c>
      <c r="E2064">
        <v>3.6113E-3</v>
      </c>
    </row>
    <row r="2065" spans="1:5">
      <c r="A2065">
        <v>2017</v>
      </c>
      <c r="B2065" s="3" t="s">
        <v>1151</v>
      </c>
      <c r="C2065" t="s">
        <v>1978</v>
      </c>
      <c r="D2065" s="9"/>
      <c r="E2065">
        <v>0</v>
      </c>
    </row>
    <row r="2066" spans="1:5">
      <c r="A2066">
        <v>2017</v>
      </c>
      <c r="B2066" s="3" t="s">
        <v>1152</v>
      </c>
      <c r="C2066" t="s">
        <v>1979</v>
      </c>
      <c r="D2066" s="9">
        <v>983058</v>
      </c>
      <c r="E2066">
        <v>9.3490000000000001E-4</v>
      </c>
    </row>
    <row r="2067" spans="1:5">
      <c r="A2067">
        <v>2017</v>
      </c>
      <c r="B2067" s="3" t="s">
        <v>1249</v>
      </c>
      <c r="C2067" t="s">
        <v>1980</v>
      </c>
      <c r="D2067" s="9">
        <v>119631</v>
      </c>
      <c r="E2067">
        <v>1.138E-4</v>
      </c>
    </row>
    <row r="2068" spans="1:5">
      <c r="A2068">
        <v>2017</v>
      </c>
      <c r="B2068" s="3" t="s">
        <v>1153</v>
      </c>
      <c r="C2068" t="s">
        <v>1981</v>
      </c>
      <c r="D2068" s="9">
        <v>148615</v>
      </c>
      <c r="E2068">
        <v>1.4129999999999999E-4</v>
      </c>
    </row>
    <row r="2069" spans="1:5">
      <c r="A2069">
        <v>2017</v>
      </c>
      <c r="B2069" s="3" t="s">
        <v>1154</v>
      </c>
      <c r="C2069" t="s">
        <v>1982</v>
      </c>
      <c r="D2069" s="9">
        <v>6872338</v>
      </c>
      <c r="E2069">
        <v>6.5358999999999999E-3</v>
      </c>
    </row>
    <row r="2070" spans="1:5">
      <c r="A2070">
        <v>2017</v>
      </c>
      <c r="B2070" s="3" t="s">
        <v>1209</v>
      </c>
      <c r="C2070" t="s">
        <v>1983</v>
      </c>
      <c r="D2070" s="9">
        <v>7286241</v>
      </c>
      <c r="E2070">
        <v>6.9296000000000002E-3</v>
      </c>
    </row>
    <row r="2071" spans="1:5">
      <c r="A2071">
        <v>2017</v>
      </c>
      <c r="B2071" s="3" t="s">
        <v>460</v>
      </c>
      <c r="C2071" t="s">
        <v>1984</v>
      </c>
      <c r="D2071" s="9">
        <v>7998436</v>
      </c>
      <c r="E2071">
        <v>7.6068999999999998E-3</v>
      </c>
    </row>
    <row r="2072" spans="1:5">
      <c r="A2072">
        <v>2017</v>
      </c>
      <c r="B2072" s="3" t="s">
        <v>1210</v>
      </c>
      <c r="C2072" t="s">
        <v>1985</v>
      </c>
      <c r="D2072" s="9">
        <v>618644</v>
      </c>
      <c r="E2072">
        <v>5.8839999999999999E-4</v>
      </c>
    </row>
    <row r="2073" spans="1:5">
      <c r="A2073">
        <v>2017</v>
      </c>
      <c r="B2073" s="3" t="s">
        <v>1250</v>
      </c>
      <c r="C2073" t="s">
        <v>1986</v>
      </c>
      <c r="D2073" s="9">
        <v>153432</v>
      </c>
      <c r="E2073">
        <v>1.459E-4</v>
      </c>
    </row>
    <row r="2074" spans="1:5">
      <c r="A2074">
        <v>2017</v>
      </c>
      <c r="B2074" s="3" t="s">
        <v>1211</v>
      </c>
      <c r="C2074" t="s">
        <v>1157</v>
      </c>
      <c r="D2074" s="9">
        <v>2210</v>
      </c>
      <c r="E2074">
        <v>2.0999999999999998E-6</v>
      </c>
    </row>
    <row r="2075" spans="1:5">
      <c r="A2075">
        <v>2017</v>
      </c>
      <c r="B2075" s="3" t="s">
        <v>1483</v>
      </c>
      <c r="C2075" t="s">
        <v>1482</v>
      </c>
      <c r="D2075" s="9">
        <v>66651</v>
      </c>
      <c r="E2075">
        <v>6.3399999999999996E-5</v>
      </c>
    </row>
    <row r="2076" spans="1:5">
      <c r="A2076">
        <v>2017</v>
      </c>
      <c r="B2076" s="3" t="s">
        <v>1212</v>
      </c>
      <c r="C2076" t="s">
        <v>1987</v>
      </c>
      <c r="D2076" s="9">
        <v>1548330</v>
      </c>
      <c r="E2076">
        <v>1.4725000000000001E-3</v>
      </c>
    </row>
    <row r="2077" spans="1:5">
      <c r="A2077">
        <v>2017</v>
      </c>
      <c r="B2077" s="3" t="s">
        <v>1213</v>
      </c>
      <c r="C2077" t="s">
        <v>1988</v>
      </c>
      <c r="D2077" s="9">
        <v>4788335</v>
      </c>
      <c r="E2077">
        <v>4.5538999999999996E-3</v>
      </c>
    </row>
    <row r="2078" spans="1:5">
      <c r="A2078">
        <v>2017</v>
      </c>
      <c r="B2078" s="3" t="s">
        <v>461</v>
      </c>
      <c r="C2078" t="s">
        <v>1989</v>
      </c>
      <c r="D2078" s="9">
        <v>858312</v>
      </c>
      <c r="E2078">
        <v>8.1629999999999995E-4</v>
      </c>
    </row>
    <row r="2079" spans="1:5">
      <c r="A2079">
        <v>2017</v>
      </c>
      <c r="B2079" s="3" t="s">
        <v>1214</v>
      </c>
      <c r="C2079" t="s">
        <v>1990</v>
      </c>
      <c r="D2079" s="9">
        <v>435094</v>
      </c>
      <c r="E2079">
        <v>4.1379999999999998E-4</v>
      </c>
    </row>
    <row r="2080" spans="1:5">
      <c r="A2080">
        <v>2017</v>
      </c>
      <c r="B2080" s="3" t="s">
        <v>1215</v>
      </c>
      <c r="C2080" t="s">
        <v>1991</v>
      </c>
      <c r="D2080" s="9">
        <v>390382</v>
      </c>
      <c r="E2080">
        <v>3.7130000000000003E-4</v>
      </c>
    </row>
    <row r="2081" spans="1:5">
      <c r="A2081">
        <v>2017</v>
      </c>
      <c r="B2081" s="3" t="s">
        <v>462</v>
      </c>
      <c r="C2081" t="s">
        <v>1992</v>
      </c>
      <c r="D2081" s="9">
        <v>64646</v>
      </c>
      <c r="E2081">
        <v>6.1500000000000004E-5</v>
      </c>
    </row>
    <row r="2082" spans="1:5">
      <c r="A2082">
        <v>2017</v>
      </c>
      <c r="B2082" s="3" t="s">
        <v>1216</v>
      </c>
      <c r="C2082" t="s">
        <v>1162</v>
      </c>
      <c r="D2082" s="9"/>
      <c r="E2082">
        <v>0</v>
      </c>
    </row>
    <row r="2083" spans="1:5">
      <c r="A2083">
        <v>2017</v>
      </c>
      <c r="B2083" s="3" t="s">
        <v>1217</v>
      </c>
      <c r="C2083" t="s">
        <v>1993</v>
      </c>
      <c r="D2083" s="9">
        <v>89697</v>
      </c>
      <c r="E2083">
        <v>8.53E-5</v>
      </c>
    </row>
    <row r="2084" spans="1:5">
      <c r="A2084">
        <v>2017</v>
      </c>
      <c r="B2084" s="3" t="s">
        <v>1218</v>
      </c>
      <c r="C2084" t="s">
        <v>1995</v>
      </c>
      <c r="D2084" s="9">
        <v>65721</v>
      </c>
      <c r="E2084">
        <v>6.2500000000000001E-5</v>
      </c>
    </row>
    <row r="2085" spans="1:5">
      <c r="A2085">
        <v>2017</v>
      </c>
      <c r="B2085" s="3" t="s">
        <v>1255</v>
      </c>
      <c r="C2085" t="s">
        <v>1201</v>
      </c>
      <c r="D2085" s="9">
        <v>13286</v>
      </c>
      <c r="E2085">
        <v>1.26E-5</v>
      </c>
    </row>
    <row r="2086" spans="1:5">
      <c r="A2086">
        <v>2017</v>
      </c>
      <c r="B2086" s="3" t="s">
        <v>1256</v>
      </c>
      <c r="C2086" t="s">
        <v>1202</v>
      </c>
      <c r="D2086" s="9">
        <v>40515</v>
      </c>
      <c r="E2086">
        <v>3.8500000000000001E-5</v>
      </c>
    </row>
    <row r="2087" spans="1:5">
      <c r="A2087">
        <v>2017</v>
      </c>
      <c r="B2087" s="3" t="s">
        <v>1257</v>
      </c>
      <c r="C2087" t="s">
        <v>1996</v>
      </c>
      <c r="D2087" s="9">
        <v>1184683</v>
      </c>
      <c r="E2087">
        <v>1.1267E-3</v>
      </c>
    </row>
    <row r="2088" spans="1:5">
      <c r="A2088">
        <v>2017</v>
      </c>
      <c r="B2088" s="3" t="s">
        <v>1258</v>
      </c>
      <c r="C2088" t="s">
        <v>1204</v>
      </c>
      <c r="D2088" s="9">
        <v>1104722</v>
      </c>
      <c r="E2088">
        <v>1.0506000000000001E-3</v>
      </c>
    </row>
    <row r="2089" spans="1:5">
      <c r="A2089">
        <v>2017</v>
      </c>
      <c r="B2089" s="3" t="s">
        <v>1259</v>
      </c>
      <c r="C2089" t="s">
        <v>1205</v>
      </c>
      <c r="D2089" s="9">
        <v>279694</v>
      </c>
      <c r="E2089">
        <v>2.6600000000000001E-4</v>
      </c>
    </row>
    <row r="2090" spans="1:5">
      <c r="A2090">
        <v>2017</v>
      </c>
      <c r="B2090" s="3" t="s">
        <v>1260</v>
      </c>
      <c r="C2090" t="s">
        <v>1206</v>
      </c>
      <c r="D2090" s="9">
        <v>56322</v>
      </c>
      <c r="E2090">
        <v>5.3600000000000002E-5</v>
      </c>
    </row>
    <row r="2091" spans="1:5">
      <c r="A2091">
        <v>2017</v>
      </c>
      <c r="B2091" s="3" t="s">
        <v>1261</v>
      </c>
      <c r="C2091" t="s">
        <v>1997</v>
      </c>
      <c r="D2091" s="9">
        <v>27661624</v>
      </c>
      <c r="E2091">
        <v>2.63076E-2</v>
      </c>
    </row>
    <row r="2092" spans="1:5">
      <c r="A2092">
        <v>2017</v>
      </c>
      <c r="B2092" s="3" t="s">
        <v>1262</v>
      </c>
      <c r="C2092" t="s">
        <v>1208</v>
      </c>
      <c r="D2092" s="9">
        <v>32651</v>
      </c>
      <c r="E2092">
        <v>3.1099999999999997E-5</v>
      </c>
    </row>
    <row r="2093" spans="1:5">
      <c r="A2093">
        <v>2017</v>
      </c>
      <c r="B2093" s="3" t="s">
        <v>1251</v>
      </c>
      <c r="C2093" t="s">
        <v>1998</v>
      </c>
      <c r="D2093" s="9">
        <v>23618</v>
      </c>
      <c r="E2093">
        <v>2.2500000000000001E-5</v>
      </c>
    </row>
    <row r="2094" spans="1:5">
      <c r="A2094">
        <v>2017</v>
      </c>
      <c r="B2094" s="3" t="s">
        <v>1311</v>
      </c>
      <c r="C2094" t="s">
        <v>1999</v>
      </c>
      <c r="D2094" s="9">
        <v>799364</v>
      </c>
      <c r="E2094">
        <v>7.6020000000000005E-4</v>
      </c>
    </row>
    <row r="2095" spans="1:5">
      <c r="A2095">
        <v>2017</v>
      </c>
      <c r="B2095" s="3" t="s">
        <v>1312</v>
      </c>
      <c r="C2095" t="s">
        <v>2000</v>
      </c>
      <c r="D2095" s="9">
        <v>40396427</v>
      </c>
      <c r="E2095">
        <v>3.8419000000000002E-2</v>
      </c>
    </row>
    <row r="2096" spans="1:5">
      <c r="A2096">
        <v>2017</v>
      </c>
      <c r="B2096" s="3" t="s">
        <v>1313</v>
      </c>
      <c r="C2096" t="s">
        <v>2001</v>
      </c>
      <c r="D2096" s="9">
        <v>6761334</v>
      </c>
      <c r="E2096">
        <v>6.4304000000000002E-3</v>
      </c>
    </row>
    <row r="2097" spans="1:5">
      <c r="A2097">
        <v>2017</v>
      </c>
      <c r="B2097" s="3" t="s">
        <v>1314</v>
      </c>
      <c r="C2097" t="s">
        <v>2002</v>
      </c>
      <c r="D2097" s="9">
        <v>41705</v>
      </c>
      <c r="E2097">
        <v>3.9700000000000003E-5</v>
      </c>
    </row>
    <row r="2098" spans="1:5">
      <c r="A2098">
        <v>2017</v>
      </c>
      <c r="B2098" s="3" t="s">
        <v>1035</v>
      </c>
      <c r="C2098" t="s">
        <v>2003</v>
      </c>
      <c r="D2098" s="9">
        <v>260347</v>
      </c>
      <c r="E2098">
        <v>2.476E-4</v>
      </c>
    </row>
    <row r="2099" spans="1:5">
      <c r="A2099">
        <v>2017</v>
      </c>
      <c r="B2099" s="3" t="s">
        <v>1315</v>
      </c>
      <c r="C2099" t="s">
        <v>2004</v>
      </c>
      <c r="D2099" s="9">
        <v>29952</v>
      </c>
      <c r="E2099">
        <v>2.8500000000000002E-5</v>
      </c>
    </row>
    <row r="2100" spans="1:5">
      <c r="A2100">
        <v>2017</v>
      </c>
      <c r="B2100" s="3" t="s">
        <v>1033</v>
      </c>
      <c r="C2100" t="s">
        <v>2005</v>
      </c>
      <c r="D2100" s="9">
        <v>1948727</v>
      </c>
      <c r="E2100">
        <v>1.8533E-3</v>
      </c>
    </row>
    <row r="2101" spans="1:5">
      <c r="A2101">
        <v>2017</v>
      </c>
      <c r="B2101" s="3" t="s">
        <v>1316</v>
      </c>
      <c r="C2101" t="s">
        <v>2006</v>
      </c>
      <c r="D2101" s="9">
        <v>259659</v>
      </c>
      <c r="E2101">
        <v>2.4689999999999998E-4</v>
      </c>
    </row>
    <row r="2102" spans="1:5">
      <c r="A2102">
        <v>2017</v>
      </c>
      <c r="B2102" s="3" t="s">
        <v>1317</v>
      </c>
      <c r="C2102" t="s">
        <v>2007</v>
      </c>
      <c r="D2102" s="9">
        <v>94353</v>
      </c>
      <c r="E2102">
        <v>8.9699999999999998E-5</v>
      </c>
    </row>
    <row r="2103" spans="1:5">
      <c r="A2103">
        <v>2017</v>
      </c>
      <c r="B2103" s="3" t="s">
        <v>1318</v>
      </c>
      <c r="C2103" t="s">
        <v>2008</v>
      </c>
      <c r="D2103" s="9"/>
      <c r="E2103">
        <v>0</v>
      </c>
    </row>
    <row r="2104" spans="1:5">
      <c r="A2104">
        <v>2017</v>
      </c>
      <c r="B2104" s="3" t="s">
        <v>1319</v>
      </c>
      <c r="C2104" t="s">
        <v>1271</v>
      </c>
      <c r="D2104" s="9">
        <v>25905</v>
      </c>
      <c r="E2104">
        <v>2.4600000000000002E-5</v>
      </c>
    </row>
    <row r="2105" spans="1:5">
      <c r="A2105">
        <v>2017</v>
      </c>
      <c r="B2105" s="3" t="s">
        <v>1320</v>
      </c>
      <c r="C2105" t="s">
        <v>2009</v>
      </c>
      <c r="D2105" s="9">
        <v>77521</v>
      </c>
      <c r="E2105">
        <v>7.3700000000000002E-5</v>
      </c>
    </row>
    <row r="2106" spans="1:5">
      <c r="A2106">
        <v>2017</v>
      </c>
      <c r="B2106" s="3" t="s">
        <v>1321</v>
      </c>
      <c r="C2106" t="s">
        <v>1273</v>
      </c>
      <c r="D2106" s="9"/>
      <c r="E2106">
        <v>0</v>
      </c>
    </row>
    <row r="2107" spans="1:5">
      <c r="A2107">
        <v>2017</v>
      </c>
      <c r="B2107" s="3" t="s">
        <v>1322</v>
      </c>
      <c r="C2107" t="s">
        <v>2010</v>
      </c>
      <c r="D2107" s="9"/>
      <c r="E2107">
        <v>0</v>
      </c>
    </row>
    <row r="2108" spans="1:5">
      <c r="A2108">
        <v>2017</v>
      </c>
      <c r="B2108" s="3" t="s">
        <v>1323</v>
      </c>
      <c r="C2108" t="s">
        <v>2011</v>
      </c>
      <c r="D2108" s="9">
        <v>12395346</v>
      </c>
      <c r="E2108">
        <v>1.17886E-2</v>
      </c>
    </row>
    <row r="2109" spans="1:5">
      <c r="A2109">
        <v>2017</v>
      </c>
      <c r="B2109" s="3" t="s">
        <v>1325</v>
      </c>
      <c r="C2109" t="s">
        <v>2012</v>
      </c>
      <c r="D2109" s="9">
        <v>114582</v>
      </c>
      <c r="E2109">
        <v>1.0900000000000001E-4</v>
      </c>
    </row>
    <row r="2110" spans="1:5">
      <c r="A2110">
        <v>2017</v>
      </c>
      <c r="B2110" s="3" t="s">
        <v>1252</v>
      </c>
      <c r="C2110" t="s">
        <v>2013</v>
      </c>
      <c r="D2110" s="9">
        <v>84404</v>
      </c>
      <c r="E2110">
        <v>8.03E-5</v>
      </c>
    </row>
    <row r="2111" spans="1:5">
      <c r="A2111">
        <v>2017</v>
      </c>
      <c r="B2111" s="3" t="s">
        <v>1326</v>
      </c>
      <c r="C2111" t="s">
        <v>2014</v>
      </c>
      <c r="D2111" s="9">
        <v>68749</v>
      </c>
      <c r="E2111">
        <v>6.5400000000000004E-5</v>
      </c>
    </row>
    <row r="2112" spans="1:5">
      <c r="A2112">
        <v>2017</v>
      </c>
      <c r="B2112" s="3" t="s">
        <v>1327</v>
      </c>
      <c r="C2112" t="s">
        <v>1279</v>
      </c>
      <c r="D2112" s="9">
        <v>802004</v>
      </c>
      <c r="E2112">
        <v>7.6270000000000005E-4</v>
      </c>
    </row>
    <row r="2113" spans="1:5">
      <c r="A2113">
        <v>2017</v>
      </c>
      <c r="B2113" s="3" t="s">
        <v>1328</v>
      </c>
      <c r="C2113" t="s">
        <v>1484</v>
      </c>
      <c r="D2113" s="9">
        <v>25704</v>
      </c>
      <c r="E2113">
        <v>2.44E-5</v>
      </c>
    </row>
    <row r="2114" spans="1:5">
      <c r="A2114">
        <v>2017</v>
      </c>
      <c r="B2114" s="3" t="s">
        <v>1329</v>
      </c>
      <c r="C2114" t="s">
        <v>1485</v>
      </c>
      <c r="D2114" s="9">
        <v>700959</v>
      </c>
      <c r="E2114">
        <v>6.6660000000000005E-4</v>
      </c>
    </row>
    <row r="2115" spans="1:5">
      <c r="A2115">
        <v>2017</v>
      </c>
      <c r="B2115" s="3" t="s">
        <v>1330</v>
      </c>
      <c r="C2115" t="s">
        <v>1282</v>
      </c>
      <c r="D2115" s="9"/>
      <c r="E2115">
        <v>0</v>
      </c>
    </row>
    <row r="2116" spans="1:5">
      <c r="A2116">
        <v>2017</v>
      </c>
      <c r="B2116" s="3" t="s">
        <v>1331</v>
      </c>
      <c r="C2116" t="s">
        <v>1283</v>
      </c>
      <c r="D2116" s="9"/>
      <c r="E2116">
        <v>0</v>
      </c>
    </row>
    <row r="2117" spans="1:5">
      <c r="A2117">
        <v>2017</v>
      </c>
      <c r="B2117" s="3" t="s">
        <v>1332</v>
      </c>
      <c r="C2117" t="s">
        <v>1284</v>
      </c>
      <c r="D2117" s="9">
        <v>25606</v>
      </c>
      <c r="E2117">
        <v>2.44E-5</v>
      </c>
    </row>
    <row r="2118" spans="1:5">
      <c r="A2118">
        <v>2017</v>
      </c>
      <c r="B2118" s="3" t="s">
        <v>1333</v>
      </c>
      <c r="C2118" t="s">
        <v>2015</v>
      </c>
      <c r="D2118" s="9">
        <v>5529</v>
      </c>
      <c r="E2118">
        <v>5.3000000000000001E-6</v>
      </c>
    </row>
    <row r="2119" spans="1:5">
      <c r="A2119">
        <v>2017</v>
      </c>
      <c r="B2119" s="3" t="s">
        <v>1334</v>
      </c>
      <c r="C2119" t="s">
        <v>2016</v>
      </c>
      <c r="D2119" s="9">
        <v>1340702</v>
      </c>
      <c r="E2119">
        <v>1.2750999999999999E-3</v>
      </c>
    </row>
    <row r="2120" spans="1:5">
      <c r="A2120">
        <v>2017</v>
      </c>
      <c r="B2120" s="3" t="s">
        <v>1335</v>
      </c>
      <c r="C2120" t="s">
        <v>2017</v>
      </c>
      <c r="D2120" s="9">
        <v>713080</v>
      </c>
      <c r="E2120">
        <v>6.7820000000000001E-4</v>
      </c>
    </row>
    <row r="2121" spans="1:5">
      <c r="A2121">
        <v>2017</v>
      </c>
      <c r="B2121" s="3" t="s">
        <v>1253</v>
      </c>
      <c r="C2121" t="s">
        <v>2018</v>
      </c>
      <c r="D2121" s="9">
        <v>254182</v>
      </c>
      <c r="E2121">
        <v>2.4169999999999999E-4</v>
      </c>
    </row>
    <row r="2122" spans="1:5">
      <c r="A2122">
        <v>2017</v>
      </c>
      <c r="B2122" s="3" t="s">
        <v>1336</v>
      </c>
      <c r="C2122" t="s">
        <v>2019</v>
      </c>
      <c r="D2122" s="9">
        <v>564776</v>
      </c>
      <c r="E2122">
        <v>5.3709999999999999E-4</v>
      </c>
    </row>
    <row r="2123" spans="1:5">
      <c r="A2123">
        <v>2017</v>
      </c>
      <c r="B2123" s="3" t="s">
        <v>463</v>
      </c>
      <c r="C2123" t="s">
        <v>2020</v>
      </c>
      <c r="D2123" s="9">
        <v>177906</v>
      </c>
      <c r="E2123">
        <v>1.6919999999999999E-4</v>
      </c>
    </row>
    <row r="2124" spans="1:5">
      <c r="A2124">
        <v>2017</v>
      </c>
      <c r="B2124" s="3" t="s">
        <v>1337</v>
      </c>
      <c r="C2124" t="s">
        <v>2021</v>
      </c>
      <c r="D2124" s="9">
        <v>332801</v>
      </c>
      <c r="E2124">
        <v>3.165E-4</v>
      </c>
    </row>
    <row r="2125" spans="1:5">
      <c r="A2125">
        <v>2017</v>
      </c>
      <c r="B2125" s="3" t="s">
        <v>464</v>
      </c>
      <c r="C2125" t="s">
        <v>2022</v>
      </c>
      <c r="D2125" s="9">
        <v>295646</v>
      </c>
      <c r="E2125">
        <v>2.812E-4</v>
      </c>
    </row>
    <row r="2126" spans="1:5">
      <c r="A2126">
        <v>2017</v>
      </c>
      <c r="B2126" s="3" t="s">
        <v>1338</v>
      </c>
      <c r="C2126" t="s">
        <v>2023</v>
      </c>
      <c r="D2126" s="9">
        <v>2394</v>
      </c>
      <c r="E2126">
        <v>2.3E-6</v>
      </c>
    </row>
    <row r="2127" spans="1:5">
      <c r="A2127">
        <v>2017</v>
      </c>
      <c r="B2127" s="3" t="s">
        <v>907</v>
      </c>
      <c r="C2127" t="s">
        <v>2024</v>
      </c>
      <c r="D2127" s="9">
        <v>36775</v>
      </c>
      <c r="E2127">
        <v>3.4999999999999997E-5</v>
      </c>
    </row>
    <row r="2128" spans="1:5">
      <c r="A2128">
        <v>2017</v>
      </c>
      <c r="B2128" s="3" t="s">
        <v>1339</v>
      </c>
      <c r="C2128" t="s">
        <v>2025</v>
      </c>
      <c r="D2128" s="9">
        <v>844375</v>
      </c>
      <c r="E2128">
        <v>8.03E-4</v>
      </c>
    </row>
    <row r="2129" spans="1:5">
      <c r="A2129">
        <v>2017</v>
      </c>
      <c r="B2129" s="3" t="s">
        <v>1340</v>
      </c>
      <c r="C2129" t="s">
        <v>2026</v>
      </c>
      <c r="D2129" s="9">
        <v>1655934</v>
      </c>
      <c r="E2129">
        <v>1.5749E-3</v>
      </c>
    </row>
    <row r="2130" spans="1:5">
      <c r="A2130">
        <v>2017</v>
      </c>
      <c r="B2130" s="3" t="s">
        <v>1341</v>
      </c>
      <c r="C2130" t="s">
        <v>2027</v>
      </c>
      <c r="D2130" s="9">
        <v>1086268</v>
      </c>
      <c r="E2130">
        <v>1.0330999999999999E-3</v>
      </c>
    </row>
    <row r="2131" spans="1:5">
      <c r="A2131">
        <v>2017</v>
      </c>
      <c r="B2131" s="3" t="s">
        <v>465</v>
      </c>
      <c r="C2131" t="s">
        <v>2028</v>
      </c>
      <c r="D2131" s="9">
        <v>280507</v>
      </c>
      <c r="E2131">
        <v>2.6679999999999998E-4</v>
      </c>
    </row>
    <row r="2132" spans="1:5">
      <c r="A2132">
        <v>2017</v>
      </c>
      <c r="B2132" s="3" t="s">
        <v>1342</v>
      </c>
      <c r="C2132" t="s">
        <v>1294</v>
      </c>
      <c r="D2132" s="9"/>
      <c r="E2132">
        <v>0</v>
      </c>
    </row>
    <row r="2133" spans="1:5">
      <c r="A2133">
        <v>2017</v>
      </c>
      <c r="B2133" s="3" t="s">
        <v>1343</v>
      </c>
      <c r="C2133" t="s">
        <v>2029</v>
      </c>
      <c r="D2133" s="9">
        <v>36963</v>
      </c>
      <c r="E2133">
        <v>3.5200000000000002E-5</v>
      </c>
    </row>
    <row r="2134" spans="1:5">
      <c r="A2134">
        <v>2017</v>
      </c>
      <c r="B2134" s="3" t="s">
        <v>1344</v>
      </c>
      <c r="C2134" t="s">
        <v>2030</v>
      </c>
      <c r="D2134" s="9">
        <v>56734</v>
      </c>
      <c r="E2134">
        <v>5.3999999999999998E-5</v>
      </c>
    </row>
    <row r="2135" spans="1:5">
      <c r="A2135">
        <v>2017</v>
      </c>
      <c r="B2135" s="3" t="s">
        <v>1346</v>
      </c>
      <c r="C2135" t="s">
        <v>1298</v>
      </c>
      <c r="D2135" s="9">
        <v>2076402</v>
      </c>
      <c r="E2135">
        <v>1.9748000000000001E-3</v>
      </c>
    </row>
    <row r="2136" spans="1:5">
      <c r="A2136">
        <v>2017</v>
      </c>
      <c r="B2136" s="3" t="s">
        <v>1347</v>
      </c>
      <c r="C2136" t="s">
        <v>1299</v>
      </c>
      <c r="D2136" s="9">
        <v>5436322</v>
      </c>
      <c r="E2136">
        <v>5.1701999999999998E-3</v>
      </c>
    </row>
    <row r="2137" spans="1:5">
      <c r="A2137">
        <v>2017</v>
      </c>
      <c r="B2137" s="3" t="s">
        <v>1345</v>
      </c>
      <c r="C2137" t="s">
        <v>2031</v>
      </c>
      <c r="D2137" s="9"/>
      <c r="E2137">
        <v>0</v>
      </c>
    </row>
    <row r="2138" spans="1:5">
      <c r="A2138">
        <v>2017</v>
      </c>
      <c r="B2138" s="3" t="s">
        <v>1348</v>
      </c>
      <c r="C2138" t="s">
        <v>2032</v>
      </c>
      <c r="D2138" s="9">
        <v>77127</v>
      </c>
      <c r="E2138">
        <v>7.3399999999999995E-5</v>
      </c>
    </row>
    <row r="2139" spans="1:5">
      <c r="A2139">
        <v>2017</v>
      </c>
      <c r="B2139" s="3" t="s">
        <v>1349</v>
      </c>
      <c r="C2139" t="s">
        <v>2033</v>
      </c>
      <c r="D2139" s="9">
        <v>157161</v>
      </c>
      <c r="E2139">
        <v>1.495E-4</v>
      </c>
    </row>
    <row r="2140" spans="1:5">
      <c r="A2140">
        <v>2017</v>
      </c>
      <c r="B2140" s="3" t="s">
        <v>1254</v>
      </c>
      <c r="C2140" t="s">
        <v>2034</v>
      </c>
      <c r="D2140" s="9">
        <v>81379</v>
      </c>
      <c r="E2140">
        <v>7.7399999999999998E-5</v>
      </c>
    </row>
    <row r="2141" spans="1:5">
      <c r="A2141">
        <v>2017</v>
      </c>
      <c r="B2141" s="3" t="s">
        <v>1350</v>
      </c>
      <c r="C2141" t="s">
        <v>2035</v>
      </c>
      <c r="D2141" s="9">
        <v>27796</v>
      </c>
      <c r="E2141">
        <v>2.6400000000000001E-5</v>
      </c>
    </row>
    <row r="2142" spans="1:5">
      <c r="A2142">
        <v>2017</v>
      </c>
      <c r="B2142" s="3" t="s">
        <v>1352</v>
      </c>
      <c r="C2142" t="s">
        <v>1304</v>
      </c>
      <c r="D2142" s="9">
        <v>4338519</v>
      </c>
      <c r="E2142">
        <v>4.1260999999999997E-3</v>
      </c>
    </row>
    <row r="2143" spans="1:5">
      <c r="A2143">
        <v>2017</v>
      </c>
      <c r="B2143" s="3" t="s">
        <v>1353</v>
      </c>
      <c r="C2143" t="s">
        <v>1305</v>
      </c>
      <c r="D2143" s="9">
        <v>123098</v>
      </c>
      <c r="E2143">
        <v>1.171E-4</v>
      </c>
    </row>
    <row r="2144" spans="1:5">
      <c r="A2144">
        <v>2017</v>
      </c>
      <c r="B2144" s="3" t="s">
        <v>1351</v>
      </c>
      <c r="C2144" t="s">
        <v>2036</v>
      </c>
      <c r="D2144" s="9">
        <v>26473</v>
      </c>
      <c r="E2144">
        <v>2.5199999999999999E-5</v>
      </c>
    </row>
    <row r="2145" spans="1:5">
      <c r="A2145">
        <v>2017</v>
      </c>
      <c r="B2145" s="3" t="s">
        <v>1354</v>
      </c>
      <c r="C2145" t="s">
        <v>2037</v>
      </c>
      <c r="D2145" s="9">
        <v>4911</v>
      </c>
      <c r="E2145">
        <v>4.6999999999999999E-6</v>
      </c>
    </row>
    <row r="2146" spans="1:5">
      <c r="A2146">
        <v>2017</v>
      </c>
      <c r="B2146" s="3" t="s">
        <v>1355</v>
      </c>
      <c r="C2146" t="s">
        <v>2038</v>
      </c>
      <c r="D2146" s="9">
        <v>3760796</v>
      </c>
      <c r="E2146">
        <v>3.5766999999999999E-3</v>
      </c>
    </row>
    <row r="2147" spans="1:5">
      <c r="A2147">
        <v>2017</v>
      </c>
      <c r="B2147" s="3" t="s">
        <v>1357</v>
      </c>
      <c r="C2147" t="s">
        <v>2039</v>
      </c>
      <c r="D2147" s="9">
        <v>141229</v>
      </c>
      <c r="E2147">
        <v>1.3430000000000001E-4</v>
      </c>
    </row>
    <row r="2148" spans="1:5">
      <c r="A2148">
        <v>2017</v>
      </c>
      <c r="B2148" s="3" t="s">
        <v>2043</v>
      </c>
      <c r="C2148" t="s">
        <v>2040</v>
      </c>
      <c r="D2148" s="9">
        <v>23322</v>
      </c>
      <c r="E2148">
        <v>2.2200000000000001E-5</v>
      </c>
    </row>
    <row r="2149" spans="1:5">
      <c r="A2149">
        <v>2017</v>
      </c>
      <c r="B2149" s="3" t="s">
        <v>1358</v>
      </c>
      <c r="C2149" t="s">
        <v>2041</v>
      </c>
      <c r="D2149" s="9">
        <v>4509870</v>
      </c>
      <c r="E2149">
        <v>4.2890999999999997E-3</v>
      </c>
    </row>
    <row r="2150" spans="1:5">
      <c r="A2150">
        <v>2017</v>
      </c>
      <c r="B2150" s="3" t="s">
        <v>466</v>
      </c>
      <c r="C2150" t="s">
        <v>2042</v>
      </c>
      <c r="D2150" s="9">
        <v>3287812</v>
      </c>
      <c r="E2150">
        <v>3.1269000000000002E-3</v>
      </c>
    </row>
    <row r="2151" spans="1:5">
      <c r="A2151">
        <v>2018</v>
      </c>
      <c r="B2151" s="3" t="s">
        <v>59</v>
      </c>
      <c r="C2151" t="s">
        <v>6</v>
      </c>
      <c r="D2151" s="9" t="s">
        <v>2462</v>
      </c>
    </row>
    <row r="2152" spans="1:5">
      <c r="A2152">
        <v>2018</v>
      </c>
      <c r="B2152" s="3" t="s">
        <v>60</v>
      </c>
      <c r="C2152" t="s">
        <v>7</v>
      </c>
      <c r="D2152" s="9">
        <v>304511</v>
      </c>
      <c r="E2152">
        <v>2.811E-4</v>
      </c>
    </row>
    <row r="2153" spans="1:5">
      <c r="A2153">
        <v>2018</v>
      </c>
      <c r="B2153" s="3" t="s">
        <v>61</v>
      </c>
      <c r="C2153" t="s">
        <v>2044</v>
      </c>
      <c r="D2153" s="9">
        <v>72857</v>
      </c>
      <c r="E2153">
        <v>6.7199999999999994E-5</v>
      </c>
    </row>
    <row r="2154" spans="1:5">
      <c r="A2154">
        <v>2018</v>
      </c>
      <c r="B2154" s="3" t="s">
        <v>62</v>
      </c>
      <c r="C2154" t="s">
        <v>9</v>
      </c>
      <c r="D2154" s="9">
        <v>69868</v>
      </c>
      <c r="E2154">
        <v>6.4499999999999996E-5</v>
      </c>
    </row>
    <row r="2155" spans="1:5">
      <c r="A2155">
        <v>2018</v>
      </c>
      <c r="B2155" s="3" t="s">
        <v>63</v>
      </c>
      <c r="C2155" t="s">
        <v>1488</v>
      </c>
      <c r="D2155" s="9">
        <v>144687</v>
      </c>
      <c r="E2155">
        <v>1.3349999999999999E-4</v>
      </c>
    </row>
    <row r="2156" spans="1:5">
      <c r="A2156">
        <v>2018</v>
      </c>
      <c r="B2156" s="3" t="s">
        <v>64</v>
      </c>
      <c r="C2156" t="s">
        <v>2045</v>
      </c>
      <c r="D2156" s="9">
        <v>3826849</v>
      </c>
      <c r="E2156">
        <v>3.5322000000000001E-3</v>
      </c>
    </row>
    <row r="2157" spans="1:5">
      <c r="A2157">
        <v>2018</v>
      </c>
      <c r="B2157" s="3" t="s">
        <v>65</v>
      </c>
      <c r="C2157" t="s">
        <v>2046</v>
      </c>
      <c r="D2157" s="9">
        <v>81272</v>
      </c>
      <c r="E2157">
        <v>7.4999999999999993E-5</v>
      </c>
    </row>
    <row r="2158" spans="1:5">
      <c r="A2158">
        <v>2018</v>
      </c>
      <c r="B2158" s="3" t="s">
        <v>66</v>
      </c>
      <c r="C2158" t="s">
        <v>1491</v>
      </c>
      <c r="D2158" s="9">
        <v>46181</v>
      </c>
      <c r="E2158">
        <v>4.2599999999999999E-5</v>
      </c>
    </row>
    <row r="2159" spans="1:5">
      <c r="A2159">
        <v>2018</v>
      </c>
      <c r="B2159" s="3" t="s">
        <v>67</v>
      </c>
      <c r="C2159" t="s">
        <v>1492</v>
      </c>
      <c r="D2159" s="9">
        <v>195117</v>
      </c>
      <c r="E2159">
        <v>1.8009999999999999E-4</v>
      </c>
    </row>
    <row r="2160" spans="1:5">
      <c r="A2160">
        <v>2018</v>
      </c>
      <c r="B2160" s="3" t="s">
        <v>68</v>
      </c>
      <c r="C2160" t="s">
        <v>1493</v>
      </c>
      <c r="D2160" s="9">
        <v>13839</v>
      </c>
      <c r="E2160">
        <v>1.2799999999999999E-5</v>
      </c>
    </row>
    <row r="2161" spans="1:5">
      <c r="A2161">
        <v>2018</v>
      </c>
      <c r="B2161" s="3" t="s">
        <v>69</v>
      </c>
      <c r="C2161" t="s">
        <v>1494</v>
      </c>
      <c r="D2161" s="9">
        <v>343642</v>
      </c>
      <c r="E2161">
        <v>3.1720000000000001E-4</v>
      </c>
    </row>
    <row r="2162" spans="1:5">
      <c r="A2162">
        <v>2018</v>
      </c>
      <c r="B2162" s="3" t="s">
        <v>70</v>
      </c>
      <c r="C2162" t="s">
        <v>1495</v>
      </c>
      <c r="D2162" s="9">
        <v>7057014</v>
      </c>
      <c r="E2162">
        <v>6.5135999999999996E-3</v>
      </c>
    </row>
    <row r="2163" spans="1:5">
      <c r="A2163">
        <v>2018</v>
      </c>
      <c r="B2163" s="3" t="s">
        <v>71</v>
      </c>
      <c r="C2163" t="s">
        <v>2047</v>
      </c>
      <c r="D2163" s="9">
        <v>52262</v>
      </c>
      <c r="E2163">
        <v>4.8199999999999999E-5</v>
      </c>
    </row>
    <row r="2164" spans="1:5">
      <c r="A2164">
        <v>2018</v>
      </c>
      <c r="B2164" s="3" t="s">
        <v>72</v>
      </c>
      <c r="C2164" t="s">
        <v>1497</v>
      </c>
      <c r="D2164" s="9">
        <v>382373</v>
      </c>
      <c r="E2164">
        <v>3.5290000000000001E-4</v>
      </c>
    </row>
    <row r="2165" spans="1:5">
      <c r="A2165">
        <v>2018</v>
      </c>
      <c r="B2165" s="3" t="s">
        <v>74</v>
      </c>
      <c r="C2165" t="s">
        <v>1498</v>
      </c>
      <c r="D2165" s="9">
        <v>32906</v>
      </c>
      <c r="E2165">
        <v>3.04E-5</v>
      </c>
    </row>
    <row r="2166" spans="1:5">
      <c r="A2166">
        <v>2018</v>
      </c>
      <c r="B2166" s="3" t="s">
        <v>75</v>
      </c>
      <c r="C2166" t="s">
        <v>1365</v>
      </c>
      <c r="D2166" s="9">
        <v>29089</v>
      </c>
      <c r="E2166">
        <v>2.6800000000000001E-5</v>
      </c>
    </row>
    <row r="2167" spans="1:5">
      <c r="A2167">
        <v>2018</v>
      </c>
      <c r="B2167" s="3" t="s">
        <v>76</v>
      </c>
      <c r="C2167" t="s">
        <v>2048</v>
      </c>
      <c r="D2167" s="9">
        <v>7333602</v>
      </c>
      <c r="E2167">
        <v>6.7688999999999996E-3</v>
      </c>
    </row>
    <row r="2168" spans="1:5">
      <c r="A2168">
        <v>2018</v>
      </c>
      <c r="B2168" s="3" t="s">
        <v>77</v>
      </c>
      <c r="C2168" t="s">
        <v>2049</v>
      </c>
      <c r="D2168" s="9">
        <v>186373</v>
      </c>
      <c r="E2168">
        <v>1.7200000000000001E-4</v>
      </c>
    </row>
    <row r="2169" spans="1:5">
      <c r="A2169">
        <v>2018</v>
      </c>
      <c r="B2169" s="3" t="s">
        <v>78</v>
      </c>
      <c r="C2169" t="s">
        <v>25</v>
      </c>
      <c r="D2169" s="9">
        <v>1227703</v>
      </c>
      <c r="E2169">
        <v>1.1332E-3</v>
      </c>
    </row>
    <row r="2170" spans="1:5">
      <c r="A2170">
        <v>2018</v>
      </c>
      <c r="B2170" s="3" t="s">
        <v>1524</v>
      </c>
      <c r="C2170" t="s">
        <v>2050</v>
      </c>
      <c r="D2170" s="9"/>
    </row>
    <row r="2171" spans="1:5">
      <c r="A2171">
        <v>2018</v>
      </c>
      <c r="B2171" s="3" t="s">
        <v>79</v>
      </c>
      <c r="C2171" t="s">
        <v>2051</v>
      </c>
      <c r="D2171" s="9">
        <v>9777</v>
      </c>
      <c r="E2171">
        <v>9.0000000000000002E-6</v>
      </c>
    </row>
    <row r="2172" spans="1:5">
      <c r="A2172">
        <v>2018</v>
      </c>
      <c r="B2172" s="3" t="s">
        <v>80</v>
      </c>
      <c r="C2172" t="s">
        <v>2052</v>
      </c>
      <c r="D2172" s="9">
        <v>1686684</v>
      </c>
      <c r="E2172">
        <v>1.5567999999999999E-3</v>
      </c>
    </row>
    <row r="2173" spans="1:5">
      <c r="A2173">
        <v>2018</v>
      </c>
      <c r="B2173" s="3" t="s">
        <v>1324</v>
      </c>
      <c r="C2173" t="s">
        <v>1504</v>
      </c>
      <c r="D2173" s="9">
        <v>80668</v>
      </c>
      <c r="E2173">
        <v>7.4499999999999995E-5</v>
      </c>
    </row>
    <row r="2174" spans="1:5">
      <c r="A2174">
        <v>2018</v>
      </c>
      <c r="B2174" s="3" t="s">
        <v>369</v>
      </c>
      <c r="C2174" t="s">
        <v>1505</v>
      </c>
      <c r="D2174" s="9">
        <v>1112894</v>
      </c>
      <c r="E2174">
        <v>1.0272E-3</v>
      </c>
    </row>
    <row r="2175" spans="1:5">
      <c r="A2175">
        <v>2018</v>
      </c>
      <c r="B2175" s="3" t="s">
        <v>81</v>
      </c>
      <c r="C2175" t="s">
        <v>1506</v>
      </c>
      <c r="D2175" s="9">
        <v>134880</v>
      </c>
      <c r="E2175">
        <v>1.2449999999999999E-4</v>
      </c>
    </row>
    <row r="2176" spans="1:5">
      <c r="A2176">
        <v>2018</v>
      </c>
      <c r="B2176" s="3" t="s">
        <v>1371</v>
      </c>
      <c r="C2176" t="s">
        <v>2053</v>
      </c>
      <c r="D2176" s="9">
        <v>3706</v>
      </c>
      <c r="E2176">
        <v>3.4000000000000001E-6</v>
      </c>
    </row>
    <row r="2177" spans="1:5">
      <c r="A2177">
        <v>2018</v>
      </c>
      <c r="B2177" s="3" t="s">
        <v>58</v>
      </c>
      <c r="C2177" t="s">
        <v>2054</v>
      </c>
      <c r="D2177" s="9">
        <v>606855</v>
      </c>
      <c r="E2177">
        <v>5.6010000000000001E-4</v>
      </c>
    </row>
    <row r="2178" spans="1:5">
      <c r="A2178">
        <v>2018</v>
      </c>
      <c r="B2178" s="3" t="s">
        <v>82</v>
      </c>
      <c r="C2178" t="s">
        <v>1509</v>
      </c>
      <c r="D2178" s="9">
        <v>37897</v>
      </c>
      <c r="E2178">
        <v>3.4999999999999997E-5</v>
      </c>
    </row>
    <row r="2179" spans="1:5">
      <c r="A2179">
        <v>2018</v>
      </c>
      <c r="B2179" s="3" t="s">
        <v>83</v>
      </c>
      <c r="C2179" t="s">
        <v>30</v>
      </c>
      <c r="D2179" s="9">
        <v>7200248</v>
      </c>
      <c r="E2179">
        <v>6.6458000000000003E-3</v>
      </c>
    </row>
    <row r="2180" spans="1:5">
      <c r="A2180">
        <v>2018</v>
      </c>
      <c r="B2180" s="3" t="s">
        <v>84</v>
      </c>
      <c r="C2180" t="s">
        <v>31</v>
      </c>
      <c r="D2180" s="9">
        <v>34396</v>
      </c>
      <c r="E2180">
        <v>3.1699999999999998E-5</v>
      </c>
    </row>
    <row r="2181" spans="1:5">
      <c r="A2181">
        <v>2018</v>
      </c>
      <c r="B2181" s="3" t="s">
        <v>1426</v>
      </c>
      <c r="C2181" t="s">
        <v>1510</v>
      </c>
      <c r="D2181" s="9">
        <v>430</v>
      </c>
      <c r="E2181">
        <v>3.9999999999999998E-7</v>
      </c>
    </row>
    <row r="2182" spans="1:5">
      <c r="A2182">
        <v>2018</v>
      </c>
      <c r="B2182" s="3" t="s">
        <v>91</v>
      </c>
      <c r="C2182" t="s">
        <v>2055</v>
      </c>
      <c r="D2182" s="9">
        <v>20229</v>
      </c>
      <c r="E2182">
        <v>1.8700000000000001E-5</v>
      </c>
    </row>
    <row r="2183" spans="1:5">
      <c r="A2183">
        <v>2018</v>
      </c>
      <c r="B2183" s="3" t="s">
        <v>97</v>
      </c>
      <c r="C2183" t="s">
        <v>1512</v>
      </c>
      <c r="D2183" s="9">
        <v>48302</v>
      </c>
      <c r="E2183">
        <v>4.46E-5</v>
      </c>
    </row>
    <row r="2184" spans="1:5">
      <c r="A2184">
        <v>2018</v>
      </c>
      <c r="B2184" s="3" t="s">
        <v>98</v>
      </c>
      <c r="C2184" t="s">
        <v>1513</v>
      </c>
      <c r="D2184" s="9">
        <v>35633</v>
      </c>
      <c r="E2184">
        <v>3.29E-5</v>
      </c>
    </row>
    <row r="2185" spans="1:5">
      <c r="A2185">
        <v>2018</v>
      </c>
      <c r="B2185" s="3" t="s">
        <v>99</v>
      </c>
      <c r="C2185" t="s">
        <v>2056</v>
      </c>
      <c r="D2185" s="9">
        <v>15411</v>
      </c>
      <c r="E2185">
        <v>1.42E-5</v>
      </c>
    </row>
    <row r="2186" spans="1:5">
      <c r="A2186">
        <v>2018</v>
      </c>
      <c r="B2186" s="3" t="s">
        <v>210</v>
      </c>
      <c r="C2186" t="s">
        <v>2057</v>
      </c>
      <c r="D2186" s="9">
        <v>3300</v>
      </c>
      <c r="E2186">
        <v>3.0000000000000001E-6</v>
      </c>
    </row>
    <row r="2187" spans="1:5">
      <c r="A2187">
        <v>2018</v>
      </c>
      <c r="B2187" s="3" t="s">
        <v>85</v>
      </c>
      <c r="C2187" t="s">
        <v>2058</v>
      </c>
      <c r="D2187" s="9">
        <v>26035</v>
      </c>
      <c r="E2187">
        <v>2.4000000000000001E-5</v>
      </c>
    </row>
    <row r="2188" spans="1:5">
      <c r="A2188">
        <v>2018</v>
      </c>
      <c r="B2188" s="3" t="s">
        <v>102</v>
      </c>
      <c r="C2188" t="s">
        <v>2059</v>
      </c>
      <c r="D2188" s="9">
        <v>13310</v>
      </c>
      <c r="E2188">
        <v>1.2300000000000001E-5</v>
      </c>
    </row>
    <row r="2189" spans="1:5">
      <c r="A2189">
        <v>2018</v>
      </c>
      <c r="B2189" s="3" t="s">
        <v>104</v>
      </c>
      <c r="C2189" t="s">
        <v>2060</v>
      </c>
      <c r="D2189" s="9">
        <v>39694</v>
      </c>
      <c r="E2189">
        <v>3.6600000000000002E-5</v>
      </c>
    </row>
    <row r="2190" spans="1:5">
      <c r="A2190">
        <v>2018</v>
      </c>
      <c r="B2190" s="3" t="s">
        <v>106</v>
      </c>
      <c r="C2190" t="s">
        <v>1519</v>
      </c>
      <c r="D2190" s="9">
        <v>7446</v>
      </c>
      <c r="E2190">
        <v>6.9E-6</v>
      </c>
    </row>
    <row r="2191" spans="1:5">
      <c r="A2191">
        <v>2018</v>
      </c>
      <c r="B2191" s="3" t="s">
        <v>107</v>
      </c>
      <c r="C2191" t="s">
        <v>2061</v>
      </c>
      <c r="D2191" s="9">
        <v>22716</v>
      </c>
      <c r="E2191">
        <v>2.0999999999999999E-5</v>
      </c>
    </row>
    <row r="2192" spans="1:5">
      <c r="A2192">
        <v>2018</v>
      </c>
      <c r="B2192" s="3" t="s">
        <v>108</v>
      </c>
      <c r="C2192" t="s">
        <v>1521</v>
      </c>
      <c r="D2192" s="9">
        <v>309105</v>
      </c>
      <c r="E2192">
        <v>2.853E-4</v>
      </c>
    </row>
    <row r="2193" spans="1:5">
      <c r="A2193">
        <v>2018</v>
      </c>
      <c r="B2193" s="3" t="s">
        <v>109</v>
      </c>
      <c r="C2193" t="s">
        <v>1522</v>
      </c>
      <c r="D2193" s="9">
        <v>18273</v>
      </c>
      <c r="E2193">
        <v>1.6900000000000001E-5</v>
      </c>
    </row>
    <row r="2194" spans="1:5">
      <c r="A2194">
        <v>2018</v>
      </c>
      <c r="B2194" s="3" t="s">
        <v>167</v>
      </c>
      <c r="C2194" t="s">
        <v>2062</v>
      </c>
      <c r="D2194" s="9"/>
    </row>
    <row r="2195" spans="1:5">
      <c r="A2195">
        <v>2018</v>
      </c>
      <c r="B2195" s="3" t="s">
        <v>1140</v>
      </c>
      <c r="C2195" t="s">
        <v>1525</v>
      </c>
      <c r="D2195" s="9">
        <v>313442</v>
      </c>
      <c r="E2195">
        <v>2.8929999999999998E-4</v>
      </c>
    </row>
    <row r="2196" spans="1:5">
      <c r="A2196">
        <v>2018</v>
      </c>
      <c r="B2196" s="3" t="s">
        <v>168</v>
      </c>
      <c r="C2196" t="s">
        <v>113</v>
      </c>
      <c r="D2196" s="9">
        <v>49443</v>
      </c>
      <c r="E2196">
        <v>4.5599999999999997E-5</v>
      </c>
    </row>
    <row r="2197" spans="1:5">
      <c r="A2197">
        <v>2018</v>
      </c>
      <c r="B2197" s="3" t="s">
        <v>170</v>
      </c>
      <c r="C2197" t="s">
        <v>2063</v>
      </c>
      <c r="D2197" s="9">
        <v>37353</v>
      </c>
      <c r="E2197">
        <v>3.4499999999999998E-5</v>
      </c>
    </row>
    <row r="2198" spans="1:5">
      <c r="A2198">
        <v>2018</v>
      </c>
      <c r="B2198" s="3" t="s">
        <v>169</v>
      </c>
      <c r="C2198" t="s">
        <v>2064</v>
      </c>
      <c r="D2198" s="9">
        <v>100466</v>
      </c>
      <c r="E2198">
        <v>9.2700000000000004E-5</v>
      </c>
    </row>
    <row r="2199" spans="1:5">
      <c r="A2199">
        <v>2018</v>
      </c>
      <c r="B2199" s="3" t="s">
        <v>1381</v>
      </c>
      <c r="C2199" t="s">
        <v>2065</v>
      </c>
      <c r="D2199" s="9">
        <v>7439</v>
      </c>
      <c r="E2199">
        <v>6.9E-6</v>
      </c>
    </row>
    <row r="2200" spans="1:5">
      <c r="A2200">
        <v>2018</v>
      </c>
      <c r="B2200" s="3" t="s">
        <v>171</v>
      </c>
      <c r="C2200" t="s">
        <v>1529</v>
      </c>
      <c r="D2200" s="9">
        <v>54048</v>
      </c>
      <c r="E2200">
        <v>4.99E-5</v>
      </c>
    </row>
    <row r="2201" spans="1:5">
      <c r="A2201">
        <v>2018</v>
      </c>
      <c r="B2201" s="3" t="s">
        <v>1427</v>
      </c>
      <c r="C2201" t="s">
        <v>2066</v>
      </c>
      <c r="D2201" s="9">
        <v>552749</v>
      </c>
      <c r="E2201">
        <v>5.1020000000000004E-4</v>
      </c>
    </row>
    <row r="2202" spans="1:5">
      <c r="A2202">
        <v>2018</v>
      </c>
      <c r="B2202" s="3" t="s">
        <v>172</v>
      </c>
      <c r="C2202" t="s">
        <v>117</v>
      </c>
      <c r="D2202" s="9">
        <v>1625598</v>
      </c>
      <c r="E2202">
        <v>1.5004E-3</v>
      </c>
    </row>
    <row r="2203" spans="1:5">
      <c r="A2203">
        <v>2018</v>
      </c>
      <c r="B2203" s="3" t="s">
        <v>173</v>
      </c>
      <c r="C2203" t="s">
        <v>2067</v>
      </c>
      <c r="D2203" s="9">
        <v>129158</v>
      </c>
      <c r="E2203">
        <v>1.192E-4</v>
      </c>
    </row>
    <row r="2204" spans="1:5">
      <c r="A2204">
        <v>2018</v>
      </c>
      <c r="B2204" s="3" t="s">
        <v>174</v>
      </c>
      <c r="C2204" t="s">
        <v>119</v>
      </c>
      <c r="D2204" s="9">
        <v>87747</v>
      </c>
      <c r="E2204">
        <v>8.1000000000000004E-5</v>
      </c>
    </row>
    <row r="2205" spans="1:5">
      <c r="A2205">
        <v>2018</v>
      </c>
      <c r="B2205" s="3" t="s">
        <v>175</v>
      </c>
      <c r="C2205" t="s">
        <v>2068</v>
      </c>
      <c r="D2205" s="9">
        <v>400627</v>
      </c>
      <c r="E2205">
        <v>3.6979999999999999E-4</v>
      </c>
    </row>
    <row r="2206" spans="1:5">
      <c r="A2206">
        <v>2018</v>
      </c>
      <c r="B2206" s="3" t="s">
        <v>176</v>
      </c>
      <c r="C2206" t="s">
        <v>2069</v>
      </c>
      <c r="D2206" s="9">
        <v>192389</v>
      </c>
      <c r="E2206">
        <v>1.7760000000000001E-4</v>
      </c>
    </row>
    <row r="2207" spans="1:5">
      <c r="A2207">
        <v>2018</v>
      </c>
      <c r="B2207" s="3" t="s">
        <v>177</v>
      </c>
      <c r="C2207" t="s">
        <v>122</v>
      </c>
      <c r="D2207" s="9">
        <v>143946</v>
      </c>
      <c r="E2207">
        <v>1.329E-4</v>
      </c>
    </row>
    <row r="2208" spans="1:5">
      <c r="A2208">
        <v>2018</v>
      </c>
      <c r="B2208" s="3" t="s">
        <v>178</v>
      </c>
      <c r="C2208" t="s">
        <v>2070</v>
      </c>
      <c r="D2208" s="9">
        <v>3590201</v>
      </c>
      <c r="E2208">
        <v>3.3137000000000002E-3</v>
      </c>
    </row>
    <row r="2209" spans="1:5">
      <c r="A2209">
        <v>2018</v>
      </c>
      <c r="B2209" s="3" t="s">
        <v>181</v>
      </c>
      <c r="C2209" t="s">
        <v>1535</v>
      </c>
      <c r="D2209" s="9">
        <v>1166668</v>
      </c>
      <c r="E2209">
        <v>1.0767999999999999E-3</v>
      </c>
    </row>
    <row r="2210" spans="1:5">
      <c r="A2210">
        <v>2018</v>
      </c>
      <c r="B2210" s="3" t="s">
        <v>1382</v>
      </c>
      <c r="C2210" t="s">
        <v>1536</v>
      </c>
      <c r="D2210" s="9">
        <v>12107741</v>
      </c>
      <c r="E2210">
        <v>1.11754E-2</v>
      </c>
    </row>
    <row r="2211" spans="1:5">
      <c r="A2211">
        <v>2018</v>
      </c>
      <c r="B2211" s="3" t="s">
        <v>182</v>
      </c>
      <c r="C2211" t="s">
        <v>1537</v>
      </c>
      <c r="D2211" s="9">
        <v>5310000</v>
      </c>
      <c r="E2211">
        <v>4.9011000000000002E-3</v>
      </c>
    </row>
    <row r="2212" spans="1:5">
      <c r="A2212">
        <v>2018</v>
      </c>
      <c r="B2212" s="3" t="s">
        <v>183</v>
      </c>
      <c r="C2212" t="s">
        <v>2071</v>
      </c>
      <c r="D2212" s="9">
        <v>32199779</v>
      </c>
      <c r="E2212">
        <v>2.9720199999999999E-2</v>
      </c>
    </row>
    <row r="2213" spans="1:5">
      <c r="A2213">
        <v>2018</v>
      </c>
      <c r="B2213" s="3" t="s">
        <v>184</v>
      </c>
      <c r="C2213" t="s">
        <v>1539</v>
      </c>
      <c r="D2213" s="9">
        <v>3140138</v>
      </c>
      <c r="E2213">
        <v>2.8982999999999999E-3</v>
      </c>
    </row>
    <row r="2214" spans="1:5">
      <c r="A2214">
        <v>2018</v>
      </c>
      <c r="B2214" s="3" t="s">
        <v>185</v>
      </c>
      <c r="C2214" t="s">
        <v>2072</v>
      </c>
      <c r="D2214" s="9">
        <v>1764546</v>
      </c>
      <c r="E2214">
        <v>1.6287000000000001E-3</v>
      </c>
    </row>
    <row r="2215" spans="1:5">
      <c r="A2215">
        <v>2018</v>
      </c>
      <c r="B2215" s="3" t="s">
        <v>186</v>
      </c>
      <c r="C2215" t="s">
        <v>2073</v>
      </c>
      <c r="D2215" s="9">
        <v>2681386</v>
      </c>
      <c r="E2215">
        <v>2.4748999999999999E-3</v>
      </c>
    </row>
    <row r="2216" spans="1:5">
      <c r="A2216">
        <v>2018</v>
      </c>
      <c r="B2216" s="3" t="s">
        <v>89</v>
      </c>
      <c r="C2216" t="s">
        <v>2074</v>
      </c>
      <c r="D2216" s="9"/>
    </row>
    <row r="2217" spans="1:5">
      <c r="A2217">
        <v>2018</v>
      </c>
      <c r="B2217" s="3" t="s">
        <v>187</v>
      </c>
      <c r="C2217" t="s">
        <v>2074</v>
      </c>
      <c r="D2217" s="9">
        <v>319270</v>
      </c>
      <c r="E2217">
        <v>2.9470000000000001E-4</v>
      </c>
    </row>
    <row r="2218" spans="1:5">
      <c r="A2218">
        <v>2018</v>
      </c>
      <c r="B2218" s="3" t="s">
        <v>180</v>
      </c>
      <c r="C2218" t="s">
        <v>2075</v>
      </c>
      <c r="D2218" s="9"/>
    </row>
    <row r="2219" spans="1:5">
      <c r="A2219">
        <v>2018</v>
      </c>
      <c r="B2219" s="3" t="s">
        <v>189</v>
      </c>
      <c r="C2219" t="s">
        <v>1544</v>
      </c>
      <c r="D2219" s="9">
        <v>658649</v>
      </c>
      <c r="E2219">
        <v>6.0789999999999998E-4</v>
      </c>
    </row>
    <row r="2220" spans="1:5">
      <c r="A2220">
        <v>2018</v>
      </c>
      <c r="B2220" s="3" t="s">
        <v>179</v>
      </c>
      <c r="C2220" t="s">
        <v>2076</v>
      </c>
      <c r="D2220" s="9"/>
    </row>
    <row r="2221" spans="1:5">
      <c r="A2221">
        <v>2018</v>
      </c>
      <c r="B2221" s="3" t="s">
        <v>190</v>
      </c>
      <c r="C2221" t="s">
        <v>2077</v>
      </c>
      <c r="D2221" s="9">
        <v>7709118</v>
      </c>
      <c r="E2221">
        <v>7.1155000000000003E-3</v>
      </c>
    </row>
    <row r="2222" spans="1:5">
      <c r="A2222">
        <v>2018</v>
      </c>
      <c r="B2222" s="3" t="s">
        <v>191</v>
      </c>
      <c r="C2222" t="s">
        <v>2078</v>
      </c>
      <c r="D2222" s="9">
        <v>94450</v>
      </c>
      <c r="E2222">
        <v>8.7200000000000005E-5</v>
      </c>
    </row>
    <row r="2223" spans="1:5">
      <c r="A2223">
        <v>2018</v>
      </c>
      <c r="B2223" s="3" t="s">
        <v>192</v>
      </c>
      <c r="C2223" t="s">
        <v>1548</v>
      </c>
      <c r="D2223" s="9">
        <v>426149</v>
      </c>
      <c r="E2223">
        <v>3.9330000000000002E-4</v>
      </c>
    </row>
    <row r="2224" spans="1:5">
      <c r="A2224">
        <v>2018</v>
      </c>
      <c r="B2224" s="3" t="s">
        <v>193</v>
      </c>
      <c r="C2224" t="s">
        <v>1549</v>
      </c>
      <c r="D2224" s="9">
        <v>458462</v>
      </c>
      <c r="E2224">
        <v>4.2319999999999999E-4</v>
      </c>
    </row>
    <row r="2225" spans="1:5">
      <c r="A2225">
        <v>2018</v>
      </c>
      <c r="B2225" s="3" t="s">
        <v>194</v>
      </c>
      <c r="C2225" t="s">
        <v>2079</v>
      </c>
      <c r="D2225" s="9">
        <v>486171</v>
      </c>
      <c r="E2225">
        <v>4.4870000000000001E-4</v>
      </c>
    </row>
    <row r="2226" spans="1:5">
      <c r="A2226">
        <v>2018</v>
      </c>
      <c r="B2226" s="3" t="s">
        <v>196</v>
      </c>
      <c r="C2226" t="s">
        <v>2080</v>
      </c>
      <c r="D2226" s="9">
        <v>122866</v>
      </c>
      <c r="E2226">
        <v>1.1340000000000001E-4</v>
      </c>
    </row>
    <row r="2227" spans="1:5">
      <c r="A2227">
        <v>2018</v>
      </c>
      <c r="B2227" s="3" t="s">
        <v>197</v>
      </c>
      <c r="C2227" t="s">
        <v>1552</v>
      </c>
      <c r="D2227" s="9">
        <v>4776424</v>
      </c>
      <c r="E2227">
        <v>4.4086000000000004E-3</v>
      </c>
    </row>
    <row r="2228" spans="1:5">
      <c r="A2228">
        <v>2018</v>
      </c>
      <c r="B2228" s="3" t="s">
        <v>198</v>
      </c>
      <c r="C2228" t="s">
        <v>1553</v>
      </c>
      <c r="D2228" s="9">
        <v>141156</v>
      </c>
      <c r="E2228">
        <v>1.303E-4</v>
      </c>
    </row>
    <row r="2229" spans="1:5">
      <c r="A2229">
        <v>2018</v>
      </c>
      <c r="B2229" s="3" t="s">
        <v>199</v>
      </c>
      <c r="C2229" t="s">
        <v>1554</v>
      </c>
      <c r="D2229" s="9">
        <v>2967891</v>
      </c>
      <c r="E2229">
        <v>2.7393000000000001E-3</v>
      </c>
    </row>
    <row r="2230" spans="1:5">
      <c r="A2230">
        <v>2018</v>
      </c>
      <c r="B2230" s="3" t="s">
        <v>200</v>
      </c>
      <c r="C2230" t="s">
        <v>2081</v>
      </c>
      <c r="D2230" s="9">
        <v>19272894</v>
      </c>
      <c r="E2230">
        <v>1.7788700000000001E-2</v>
      </c>
    </row>
    <row r="2231" spans="1:5">
      <c r="A2231">
        <v>2018</v>
      </c>
      <c r="B2231" s="3" t="s">
        <v>201</v>
      </c>
      <c r="C2231" t="s">
        <v>2082</v>
      </c>
      <c r="D2231" s="9">
        <v>1594645</v>
      </c>
      <c r="E2231">
        <v>1.4718000000000001E-3</v>
      </c>
    </row>
    <row r="2232" spans="1:5">
      <c r="A2232">
        <v>2018</v>
      </c>
      <c r="B2232" s="3" t="s">
        <v>202</v>
      </c>
      <c r="C2232" t="s">
        <v>2083</v>
      </c>
      <c r="D2232" s="9">
        <v>892054</v>
      </c>
      <c r="E2232">
        <v>8.2339999999999996E-4</v>
      </c>
    </row>
    <row r="2233" spans="1:5">
      <c r="A2233">
        <v>2018</v>
      </c>
      <c r="B2233" s="3" t="s">
        <v>203</v>
      </c>
      <c r="C2233" t="s">
        <v>2084</v>
      </c>
      <c r="D2233" s="9"/>
    </row>
    <row r="2234" spans="1:5">
      <c r="A2234">
        <v>2018</v>
      </c>
      <c r="B2234" s="3" t="s">
        <v>204</v>
      </c>
      <c r="C2234" t="s">
        <v>2085</v>
      </c>
      <c r="D2234" s="9">
        <v>958607</v>
      </c>
      <c r="E2234">
        <v>8.8480000000000004E-4</v>
      </c>
    </row>
    <row r="2235" spans="1:5">
      <c r="A2235">
        <v>2018</v>
      </c>
      <c r="B2235" s="3" t="s">
        <v>205</v>
      </c>
      <c r="C2235" t="s">
        <v>150</v>
      </c>
      <c r="D2235" s="9">
        <v>224633</v>
      </c>
      <c r="E2235">
        <v>2.073E-4</v>
      </c>
    </row>
    <row r="2236" spans="1:5">
      <c r="A2236">
        <v>2018</v>
      </c>
      <c r="B2236" s="3" t="s">
        <v>1563</v>
      </c>
      <c r="C2236" t="s">
        <v>1560</v>
      </c>
      <c r="D2236" s="9">
        <v>100417</v>
      </c>
      <c r="E2236">
        <v>9.2700000000000004E-5</v>
      </c>
    </row>
    <row r="2237" spans="1:5">
      <c r="A2237">
        <v>2018</v>
      </c>
      <c r="B2237" s="3" t="s">
        <v>2088</v>
      </c>
      <c r="C2237" t="s">
        <v>2086</v>
      </c>
      <c r="D2237" s="9">
        <v>369666</v>
      </c>
      <c r="E2237">
        <v>3.412E-4</v>
      </c>
    </row>
    <row r="2238" spans="1:5">
      <c r="A2238">
        <v>2018</v>
      </c>
      <c r="B2238" s="3" t="s">
        <v>2089</v>
      </c>
      <c r="C2238" t="s">
        <v>2087</v>
      </c>
      <c r="D2238" s="9">
        <v>7746</v>
      </c>
      <c r="E2238">
        <v>7.0999999999999998E-6</v>
      </c>
    </row>
    <row r="2239" spans="1:5">
      <c r="A2239">
        <v>2018</v>
      </c>
      <c r="B2239" s="3" t="s">
        <v>188</v>
      </c>
      <c r="C2239" t="s">
        <v>1561</v>
      </c>
      <c r="D2239" s="9">
        <v>2642731</v>
      </c>
      <c r="E2239">
        <v>2.4391999999999999E-3</v>
      </c>
    </row>
    <row r="2240" spans="1:5">
      <c r="A2240">
        <v>2018</v>
      </c>
      <c r="B2240" s="3" t="s">
        <v>206</v>
      </c>
      <c r="C2240" t="s">
        <v>1562</v>
      </c>
      <c r="D2240" s="9"/>
    </row>
    <row r="2241" spans="1:5">
      <c r="A2241">
        <v>2018</v>
      </c>
      <c r="B2241" s="3" t="s">
        <v>207</v>
      </c>
      <c r="C2241" t="s">
        <v>152</v>
      </c>
      <c r="D2241" s="9">
        <v>756692</v>
      </c>
      <c r="E2241">
        <v>6.9839999999999995E-4</v>
      </c>
    </row>
    <row r="2242" spans="1:5">
      <c r="A2242">
        <v>2018</v>
      </c>
      <c r="B2242" s="3" t="s">
        <v>57</v>
      </c>
      <c r="C2242" t="s">
        <v>2090</v>
      </c>
      <c r="D2242" s="9">
        <v>5820522</v>
      </c>
      <c r="E2242">
        <v>5.3723E-3</v>
      </c>
    </row>
    <row r="2243" spans="1:5">
      <c r="A2243">
        <v>2018</v>
      </c>
      <c r="B2243" s="3" t="s">
        <v>208</v>
      </c>
      <c r="C2243" t="s">
        <v>153</v>
      </c>
      <c r="D2243" s="9"/>
    </row>
    <row r="2244" spans="1:5">
      <c r="A2244">
        <v>2018</v>
      </c>
      <c r="B2244" s="3" t="s">
        <v>209</v>
      </c>
      <c r="C2244" t="s">
        <v>154</v>
      </c>
      <c r="D2244" s="9">
        <v>159007</v>
      </c>
      <c r="E2244">
        <v>1.4679999999999999E-4</v>
      </c>
    </row>
    <row r="2245" spans="1:5">
      <c r="A2245">
        <v>2018</v>
      </c>
      <c r="B2245" s="3" t="s">
        <v>211</v>
      </c>
      <c r="C2245" t="s">
        <v>1565</v>
      </c>
      <c r="D2245" s="9">
        <v>733524</v>
      </c>
      <c r="E2245">
        <v>6.7699999999999998E-4</v>
      </c>
    </row>
    <row r="2246" spans="1:5">
      <c r="A2246">
        <v>2018</v>
      </c>
      <c r="B2246" s="3" t="s">
        <v>212</v>
      </c>
      <c r="C2246" t="s">
        <v>2091</v>
      </c>
      <c r="D2246" s="9"/>
    </row>
    <row r="2247" spans="1:5">
      <c r="A2247">
        <v>2018</v>
      </c>
      <c r="B2247" s="3" t="s">
        <v>213</v>
      </c>
      <c r="C2247" t="s">
        <v>158</v>
      </c>
      <c r="D2247" s="9">
        <v>1033054</v>
      </c>
      <c r="E2247">
        <v>9.5350000000000003E-4</v>
      </c>
    </row>
    <row r="2248" spans="1:5">
      <c r="A2248">
        <v>2018</v>
      </c>
      <c r="B2248" s="3" t="s">
        <v>1597</v>
      </c>
      <c r="C2248" t="s">
        <v>2092</v>
      </c>
      <c r="D2248" s="9">
        <v>9352</v>
      </c>
      <c r="E2248">
        <v>8.6000000000000007E-6</v>
      </c>
    </row>
    <row r="2249" spans="1:5">
      <c r="A2249">
        <v>2018</v>
      </c>
      <c r="B2249" s="3" t="s">
        <v>214</v>
      </c>
      <c r="C2249" t="s">
        <v>159</v>
      </c>
      <c r="D2249" s="9">
        <v>167198</v>
      </c>
      <c r="E2249">
        <v>1.5430000000000001E-4</v>
      </c>
    </row>
    <row r="2250" spans="1:5">
      <c r="A2250">
        <v>2018</v>
      </c>
      <c r="B2250" s="3" t="s">
        <v>215</v>
      </c>
      <c r="C2250" t="s">
        <v>2093</v>
      </c>
      <c r="D2250" s="9">
        <v>175470</v>
      </c>
      <c r="E2250">
        <v>1.6200000000000001E-4</v>
      </c>
    </row>
    <row r="2251" spans="1:5">
      <c r="A2251">
        <v>2018</v>
      </c>
      <c r="B2251" s="3" t="s">
        <v>216</v>
      </c>
      <c r="C2251" t="s">
        <v>2094</v>
      </c>
      <c r="D2251" s="9"/>
    </row>
    <row r="2252" spans="1:5">
      <c r="A2252">
        <v>2018</v>
      </c>
      <c r="B2252" s="3" t="s">
        <v>217</v>
      </c>
      <c r="C2252" t="s">
        <v>162</v>
      </c>
      <c r="D2252" s="9">
        <v>353504</v>
      </c>
      <c r="E2252">
        <v>3.2630000000000002E-4</v>
      </c>
    </row>
    <row r="2253" spans="1:5">
      <c r="A2253">
        <v>2018</v>
      </c>
      <c r="B2253" s="3" t="s">
        <v>219</v>
      </c>
      <c r="C2253" t="s">
        <v>164</v>
      </c>
      <c r="D2253" s="9">
        <v>309405</v>
      </c>
      <c r="E2253">
        <v>2.856E-4</v>
      </c>
    </row>
    <row r="2254" spans="1:5">
      <c r="A2254">
        <v>2018</v>
      </c>
      <c r="B2254" s="3" t="s">
        <v>73</v>
      </c>
      <c r="C2254" t="s">
        <v>2095</v>
      </c>
      <c r="D2254" s="9">
        <v>155991</v>
      </c>
      <c r="E2254">
        <v>1.44E-4</v>
      </c>
    </row>
    <row r="2255" spans="1:5">
      <c r="A2255">
        <v>2018</v>
      </c>
      <c r="B2255" s="3" t="s">
        <v>220</v>
      </c>
      <c r="C2255" t="s">
        <v>2096</v>
      </c>
      <c r="D2255" s="9">
        <v>67890</v>
      </c>
      <c r="E2255">
        <v>6.2700000000000006E-5</v>
      </c>
    </row>
    <row r="2256" spans="1:5">
      <c r="A2256">
        <v>2018</v>
      </c>
      <c r="B2256" s="3" t="s">
        <v>1387</v>
      </c>
      <c r="C2256" t="s">
        <v>2097</v>
      </c>
      <c r="D2256" s="9">
        <v>9997</v>
      </c>
      <c r="E2256">
        <v>9.2E-6</v>
      </c>
    </row>
    <row r="2257" spans="1:5">
      <c r="A2257">
        <v>2018</v>
      </c>
      <c r="B2257" s="3" t="s">
        <v>1388</v>
      </c>
      <c r="C2257" t="s">
        <v>2098</v>
      </c>
      <c r="D2257" s="9">
        <v>7715</v>
      </c>
      <c r="E2257">
        <v>7.0999999999999998E-6</v>
      </c>
    </row>
    <row r="2258" spans="1:5">
      <c r="A2258">
        <v>2018</v>
      </c>
      <c r="B2258" s="3" t="s">
        <v>1389</v>
      </c>
      <c r="C2258" t="s">
        <v>2099</v>
      </c>
      <c r="D2258" s="9">
        <v>95642</v>
      </c>
      <c r="E2258">
        <v>8.8300000000000005E-5</v>
      </c>
    </row>
    <row r="2259" spans="1:5">
      <c r="A2259">
        <v>2018</v>
      </c>
      <c r="B2259" s="3" t="s">
        <v>1598</v>
      </c>
      <c r="C2259" t="s">
        <v>2100</v>
      </c>
      <c r="D2259" s="9">
        <v>182909</v>
      </c>
      <c r="E2259">
        <v>1.6880000000000001E-4</v>
      </c>
    </row>
    <row r="2260" spans="1:5">
      <c r="A2260">
        <v>2018</v>
      </c>
      <c r="B2260" s="3" t="s">
        <v>1391</v>
      </c>
      <c r="C2260" t="s">
        <v>1576</v>
      </c>
      <c r="D2260" s="9"/>
    </row>
    <row r="2261" spans="1:5">
      <c r="A2261">
        <v>2018</v>
      </c>
      <c r="B2261" s="3" t="s">
        <v>1392</v>
      </c>
      <c r="C2261" t="s">
        <v>1577</v>
      </c>
      <c r="D2261" s="9"/>
    </row>
    <row r="2262" spans="1:5">
      <c r="A2262">
        <v>2018</v>
      </c>
      <c r="B2262" s="3" t="s">
        <v>1390</v>
      </c>
      <c r="C2262" t="s">
        <v>2101</v>
      </c>
      <c r="D2262" s="9">
        <v>1475207</v>
      </c>
      <c r="E2262">
        <v>1.3615999999999999E-3</v>
      </c>
    </row>
    <row r="2263" spans="1:5">
      <c r="A2263">
        <v>2018</v>
      </c>
      <c r="B2263" s="3" t="s">
        <v>1393</v>
      </c>
      <c r="C2263" t="s">
        <v>1579</v>
      </c>
      <c r="D2263" s="9">
        <v>174182</v>
      </c>
      <c r="E2263">
        <v>1.6080000000000001E-4</v>
      </c>
    </row>
    <row r="2264" spans="1:5">
      <c r="A2264">
        <v>2018</v>
      </c>
      <c r="B2264" s="3" t="s">
        <v>1395</v>
      </c>
      <c r="C2264" t="s">
        <v>230</v>
      </c>
      <c r="D2264" s="9">
        <v>354243</v>
      </c>
      <c r="E2264">
        <v>3.2699999999999998E-4</v>
      </c>
    </row>
    <row r="2265" spans="1:5">
      <c r="A2265">
        <v>2018</v>
      </c>
      <c r="B2265" s="3" t="s">
        <v>1396</v>
      </c>
      <c r="C2265" t="s">
        <v>231</v>
      </c>
      <c r="D2265" s="9">
        <v>70562</v>
      </c>
      <c r="E2265">
        <v>6.5099999999999997E-5</v>
      </c>
    </row>
    <row r="2266" spans="1:5">
      <c r="A2266">
        <v>2018</v>
      </c>
      <c r="B2266" s="3" t="s">
        <v>1398</v>
      </c>
      <c r="C2266" t="s">
        <v>2102</v>
      </c>
      <c r="D2266" s="9">
        <v>35081</v>
      </c>
      <c r="E2266">
        <v>3.2400000000000001E-5</v>
      </c>
    </row>
    <row r="2267" spans="1:5">
      <c r="A2267">
        <v>2018</v>
      </c>
      <c r="B2267" s="3" t="s">
        <v>1399</v>
      </c>
      <c r="C2267" t="s">
        <v>234</v>
      </c>
      <c r="D2267" s="9">
        <v>71541</v>
      </c>
      <c r="E2267">
        <v>6.6000000000000005E-5</v>
      </c>
    </row>
    <row r="2268" spans="1:5">
      <c r="A2268">
        <v>2018</v>
      </c>
      <c r="B2268" s="3" t="s">
        <v>1400</v>
      </c>
      <c r="C2268" t="s">
        <v>1581</v>
      </c>
      <c r="D2268" s="9">
        <v>509021</v>
      </c>
      <c r="E2268">
        <v>4.6979999999999998E-4</v>
      </c>
    </row>
    <row r="2269" spans="1:5">
      <c r="A2269">
        <v>2018</v>
      </c>
      <c r="B2269" s="3" t="s">
        <v>1401</v>
      </c>
      <c r="C2269" t="s">
        <v>2103</v>
      </c>
      <c r="D2269" s="9">
        <v>61175</v>
      </c>
      <c r="E2269">
        <v>5.6499999999999998E-5</v>
      </c>
    </row>
    <row r="2270" spans="1:5">
      <c r="A2270">
        <v>2018</v>
      </c>
      <c r="B2270" s="3" t="s">
        <v>1402</v>
      </c>
      <c r="C2270" t="s">
        <v>237</v>
      </c>
      <c r="D2270" s="9">
        <v>102053</v>
      </c>
      <c r="E2270">
        <v>9.4199999999999999E-5</v>
      </c>
    </row>
    <row r="2271" spans="1:5">
      <c r="A2271">
        <v>2018</v>
      </c>
      <c r="B2271" s="3" t="s">
        <v>1428</v>
      </c>
      <c r="C2271" t="s">
        <v>2104</v>
      </c>
      <c r="D2271" s="9"/>
    </row>
    <row r="2272" spans="1:5">
      <c r="A2272">
        <v>2018</v>
      </c>
      <c r="B2272" s="3" t="s">
        <v>1403</v>
      </c>
      <c r="C2272" t="s">
        <v>1584</v>
      </c>
      <c r="D2272" s="9">
        <v>407114</v>
      </c>
      <c r="E2272">
        <v>3.7579999999999997E-4</v>
      </c>
    </row>
    <row r="2273" spans="1:5">
      <c r="A2273">
        <v>2018</v>
      </c>
      <c r="B2273" s="3" t="s">
        <v>1404</v>
      </c>
      <c r="C2273" t="s">
        <v>1585</v>
      </c>
      <c r="D2273" s="9">
        <v>660070</v>
      </c>
      <c r="E2273">
        <v>6.0919999999999995E-4</v>
      </c>
    </row>
    <row r="2274" spans="1:5">
      <c r="A2274">
        <v>2018</v>
      </c>
      <c r="B2274" s="3" t="s">
        <v>1405</v>
      </c>
      <c r="C2274" t="s">
        <v>2105</v>
      </c>
      <c r="D2274" s="9">
        <v>55811</v>
      </c>
      <c r="E2274">
        <v>5.1499999999999998E-5</v>
      </c>
    </row>
    <row r="2275" spans="1:5">
      <c r="A2275">
        <v>2018</v>
      </c>
      <c r="B2275" s="3" t="s">
        <v>1406</v>
      </c>
      <c r="C2275" t="s">
        <v>2106</v>
      </c>
      <c r="D2275" s="9">
        <v>64368</v>
      </c>
      <c r="E2275">
        <v>5.94E-5</v>
      </c>
    </row>
    <row r="2276" spans="1:5">
      <c r="A2276">
        <v>2018</v>
      </c>
      <c r="B2276" s="3" t="s">
        <v>1397</v>
      </c>
      <c r="C2276" t="s">
        <v>2107</v>
      </c>
      <c r="D2276" s="9">
        <v>38390</v>
      </c>
      <c r="E2276">
        <v>3.54E-5</v>
      </c>
    </row>
    <row r="2277" spans="1:5">
      <c r="A2277">
        <v>2018</v>
      </c>
      <c r="B2277" s="3" t="s">
        <v>88</v>
      </c>
      <c r="C2277" t="s">
        <v>1589</v>
      </c>
      <c r="D2277" s="9">
        <v>78051</v>
      </c>
      <c r="E2277">
        <v>7.2000000000000002E-5</v>
      </c>
    </row>
    <row r="2278" spans="1:5">
      <c r="A2278">
        <v>2018</v>
      </c>
      <c r="B2278" s="3" t="s">
        <v>90</v>
      </c>
      <c r="C2278" t="s">
        <v>1590</v>
      </c>
      <c r="D2278" s="9">
        <v>20225</v>
      </c>
      <c r="E2278">
        <v>1.8700000000000001E-5</v>
      </c>
    </row>
    <row r="2279" spans="1:5">
      <c r="A2279">
        <v>2018</v>
      </c>
      <c r="B2279" s="3" t="s">
        <v>87</v>
      </c>
      <c r="C2279" t="s">
        <v>2108</v>
      </c>
      <c r="D2279" s="9">
        <v>75430</v>
      </c>
      <c r="E2279">
        <v>6.9599999999999998E-5</v>
      </c>
    </row>
    <row r="2280" spans="1:5">
      <c r="A2280">
        <v>2018</v>
      </c>
      <c r="B2280" s="3" t="s">
        <v>92</v>
      </c>
      <c r="C2280" t="s">
        <v>1592</v>
      </c>
      <c r="D2280" s="9">
        <v>80819</v>
      </c>
      <c r="E2280">
        <v>7.4599999999999997E-5</v>
      </c>
    </row>
    <row r="2281" spans="1:5">
      <c r="A2281">
        <v>2018</v>
      </c>
      <c r="B2281" s="3" t="s">
        <v>93</v>
      </c>
      <c r="C2281" t="s">
        <v>2109</v>
      </c>
      <c r="D2281" s="9">
        <v>54259</v>
      </c>
      <c r="E2281">
        <v>5.0099999999999998E-5</v>
      </c>
    </row>
    <row r="2282" spans="1:5">
      <c r="A2282">
        <v>2018</v>
      </c>
      <c r="B2282" s="3" t="s">
        <v>94</v>
      </c>
      <c r="C2282" t="s">
        <v>2110</v>
      </c>
      <c r="D2282" s="9">
        <v>8054</v>
      </c>
      <c r="E2282">
        <v>7.4000000000000003E-6</v>
      </c>
    </row>
    <row r="2283" spans="1:5">
      <c r="A2283">
        <v>2018</v>
      </c>
      <c r="B2283" s="3" t="s">
        <v>95</v>
      </c>
      <c r="C2283" t="s">
        <v>1595</v>
      </c>
      <c r="D2283" s="9">
        <v>37125</v>
      </c>
      <c r="E2283">
        <v>3.43E-5</v>
      </c>
    </row>
    <row r="2284" spans="1:5">
      <c r="A2284">
        <v>2018</v>
      </c>
      <c r="B2284" s="3" t="s">
        <v>100</v>
      </c>
      <c r="C2284" t="s">
        <v>2111</v>
      </c>
      <c r="D2284" s="9">
        <v>20888</v>
      </c>
      <c r="E2284">
        <v>1.9300000000000002E-5</v>
      </c>
    </row>
    <row r="2285" spans="1:5">
      <c r="A2285">
        <v>2018</v>
      </c>
      <c r="B2285" s="3" t="s">
        <v>101</v>
      </c>
      <c r="C2285" t="s">
        <v>1599</v>
      </c>
      <c r="D2285" s="9">
        <v>329368</v>
      </c>
      <c r="E2285">
        <v>3.0400000000000002E-4</v>
      </c>
    </row>
    <row r="2286" spans="1:5">
      <c r="A2286">
        <v>2018</v>
      </c>
      <c r="B2286" s="3" t="s">
        <v>103</v>
      </c>
      <c r="C2286" t="s">
        <v>1600</v>
      </c>
      <c r="D2286" s="9">
        <v>13435</v>
      </c>
      <c r="E2286">
        <v>1.24E-5</v>
      </c>
    </row>
    <row r="2287" spans="1:5">
      <c r="A2287">
        <v>2018</v>
      </c>
      <c r="B2287" s="3" t="s">
        <v>105</v>
      </c>
      <c r="C2287" t="s">
        <v>1601</v>
      </c>
      <c r="D2287" s="9">
        <v>159487</v>
      </c>
      <c r="E2287">
        <v>1.472E-4</v>
      </c>
    </row>
    <row r="2288" spans="1:5">
      <c r="A2288">
        <v>2018</v>
      </c>
      <c r="B2288" s="3" t="s">
        <v>166</v>
      </c>
      <c r="C2288" t="s">
        <v>2112</v>
      </c>
      <c r="D2288" s="9">
        <v>21811</v>
      </c>
      <c r="E2288">
        <v>2.0100000000000001E-5</v>
      </c>
    </row>
    <row r="2289" spans="1:5">
      <c r="A2289">
        <v>2018</v>
      </c>
      <c r="B2289" s="3" t="s">
        <v>86</v>
      </c>
      <c r="C2289" t="s">
        <v>2113</v>
      </c>
      <c r="D2289" s="9">
        <v>18235</v>
      </c>
      <c r="E2289">
        <v>1.6799999999999998E-5</v>
      </c>
    </row>
    <row r="2290" spans="1:5">
      <c r="A2290">
        <v>2018</v>
      </c>
      <c r="B2290" s="3" t="s">
        <v>110</v>
      </c>
      <c r="C2290" t="s">
        <v>2114</v>
      </c>
      <c r="D2290" s="9">
        <v>102385</v>
      </c>
      <c r="E2290">
        <v>9.4500000000000007E-5</v>
      </c>
    </row>
    <row r="2291" spans="1:5">
      <c r="A2291">
        <v>2018</v>
      </c>
      <c r="B2291" s="3" t="s">
        <v>1409</v>
      </c>
      <c r="C2291" t="s">
        <v>1605</v>
      </c>
      <c r="D2291" s="9">
        <v>668942</v>
      </c>
      <c r="E2291">
        <v>6.1740000000000005E-4</v>
      </c>
    </row>
    <row r="2292" spans="1:5">
      <c r="A2292">
        <v>2018</v>
      </c>
      <c r="B2292" s="3" t="s">
        <v>195</v>
      </c>
      <c r="C2292" t="s">
        <v>1606</v>
      </c>
      <c r="D2292" s="9">
        <v>617752</v>
      </c>
      <c r="E2292">
        <v>5.7019999999999998E-4</v>
      </c>
    </row>
    <row r="2293" spans="1:5">
      <c r="A2293">
        <v>2018</v>
      </c>
      <c r="B2293" s="3" t="s">
        <v>218</v>
      </c>
      <c r="C2293" t="s">
        <v>1607</v>
      </c>
      <c r="D2293" s="9">
        <v>426967</v>
      </c>
      <c r="E2293">
        <v>3.9409999999999998E-4</v>
      </c>
    </row>
    <row r="2294" spans="1:5">
      <c r="A2294">
        <v>2018</v>
      </c>
      <c r="B2294" s="3" t="s">
        <v>1410</v>
      </c>
      <c r="C2294" t="s">
        <v>243</v>
      </c>
      <c r="D2294" s="9">
        <v>74642</v>
      </c>
      <c r="E2294">
        <v>6.8899999999999994E-5</v>
      </c>
    </row>
    <row r="2295" spans="1:5">
      <c r="A2295">
        <v>2018</v>
      </c>
      <c r="B2295" s="3" t="s">
        <v>1411</v>
      </c>
      <c r="C2295" t="s">
        <v>244</v>
      </c>
      <c r="D2295" s="9">
        <v>856648</v>
      </c>
      <c r="E2295">
        <v>7.9069999999999997E-4</v>
      </c>
    </row>
    <row r="2296" spans="1:5">
      <c r="A2296">
        <v>2018</v>
      </c>
      <c r="B2296" s="3" t="s">
        <v>1394</v>
      </c>
      <c r="C2296" t="s">
        <v>1608</v>
      </c>
      <c r="D2296" s="9">
        <v>7620</v>
      </c>
      <c r="E2296">
        <v>6.9999999999999999E-6</v>
      </c>
    </row>
    <row r="2297" spans="1:5">
      <c r="A2297">
        <v>2018</v>
      </c>
      <c r="B2297" s="3" t="s">
        <v>1412</v>
      </c>
      <c r="C2297" t="s">
        <v>2115</v>
      </c>
      <c r="D2297" s="9">
        <v>3031094</v>
      </c>
      <c r="E2297">
        <v>2.7977000000000002E-3</v>
      </c>
    </row>
    <row r="2298" spans="1:5">
      <c r="A2298">
        <v>2018</v>
      </c>
      <c r="B2298" s="3" t="s">
        <v>1413</v>
      </c>
      <c r="C2298" t="s">
        <v>246</v>
      </c>
      <c r="D2298" s="9">
        <v>519832</v>
      </c>
      <c r="E2298">
        <v>4.7980000000000001E-4</v>
      </c>
    </row>
    <row r="2299" spans="1:5">
      <c r="A2299">
        <v>2018</v>
      </c>
      <c r="B2299" s="3" t="s">
        <v>1414</v>
      </c>
      <c r="C2299" t="s">
        <v>247</v>
      </c>
      <c r="D2299" s="9">
        <v>202889</v>
      </c>
      <c r="E2299">
        <v>1.873E-4</v>
      </c>
    </row>
    <row r="2300" spans="1:5">
      <c r="A2300">
        <v>2018</v>
      </c>
      <c r="B2300" s="3" t="s">
        <v>1415</v>
      </c>
      <c r="C2300" t="s">
        <v>248</v>
      </c>
      <c r="D2300" s="9">
        <v>39725777</v>
      </c>
      <c r="E2300">
        <v>3.6666600000000001E-2</v>
      </c>
    </row>
    <row r="2301" spans="1:5">
      <c r="A2301">
        <v>2018</v>
      </c>
      <c r="B2301" s="3" t="s">
        <v>1417</v>
      </c>
      <c r="C2301" t="s">
        <v>2116</v>
      </c>
      <c r="D2301" s="9">
        <v>22468</v>
      </c>
      <c r="E2301">
        <v>2.0699999999999998E-5</v>
      </c>
    </row>
    <row r="2302" spans="1:5">
      <c r="A2302">
        <v>2018</v>
      </c>
      <c r="B2302" s="3" t="s">
        <v>1416</v>
      </c>
      <c r="C2302" t="s">
        <v>249</v>
      </c>
      <c r="D2302" s="9">
        <v>2975713</v>
      </c>
      <c r="E2302">
        <v>2.7466000000000001E-3</v>
      </c>
    </row>
    <row r="2303" spans="1:5">
      <c r="A2303">
        <v>2018</v>
      </c>
      <c r="B2303" s="3" t="s">
        <v>1418</v>
      </c>
      <c r="C2303" t="s">
        <v>2117</v>
      </c>
      <c r="D2303" s="9"/>
    </row>
    <row r="2304" spans="1:5">
      <c r="A2304">
        <v>2018</v>
      </c>
      <c r="B2304" s="3" t="s">
        <v>1419</v>
      </c>
      <c r="C2304" t="s">
        <v>252</v>
      </c>
      <c r="D2304" s="9">
        <v>2568256</v>
      </c>
      <c r="E2304">
        <v>2.3705000000000002E-3</v>
      </c>
    </row>
    <row r="2305" spans="1:5">
      <c r="A2305">
        <v>2018</v>
      </c>
      <c r="B2305" s="3" t="s">
        <v>1420</v>
      </c>
      <c r="C2305" t="s">
        <v>2118</v>
      </c>
      <c r="D2305" s="9">
        <v>177367</v>
      </c>
      <c r="E2305">
        <v>1.6369999999999999E-4</v>
      </c>
    </row>
    <row r="2306" spans="1:5">
      <c r="A2306">
        <v>2018</v>
      </c>
      <c r="B2306" s="3" t="s">
        <v>1015</v>
      </c>
      <c r="C2306" t="s">
        <v>1613</v>
      </c>
      <c r="D2306" s="9">
        <v>480898</v>
      </c>
      <c r="E2306">
        <v>4.439E-4</v>
      </c>
    </row>
    <row r="2307" spans="1:5">
      <c r="A2307">
        <v>2018</v>
      </c>
      <c r="B2307" s="3" t="s">
        <v>1014</v>
      </c>
      <c r="C2307" t="s">
        <v>1614</v>
      </c>
      <c r="D2307" s="9">
        <v>63358</v>
      </c>
      <c r="E2307">
        <v>5.8499999999999999E-5</v>
      </c>
    </row>
    <row r="2308" spans="1:5">
      <c r="A2308">
        <v>2018</v>
      </c>
      <c r="B2308" s="3" t="s">
        <v>1421</v>
      </c>
      <c r="C2308" t="s">
        <v>2119</v>
      </c>
      <c r="D2308" s="9">
        <v>27445</v>
      </c>
      <c r="E2308">
        <v>2.5299999999999998E-5</v>
      </c>
    </row>
    <row r="2309" spans="1:5">
      <c r="A2309">
        <v>2018</v>
      </c>
      <c r="B2309" s="3" t="s">
        <v>1422</v>
      </c>
      <c r="C2309" t="s">
        <v>2120</v>
      </c>
      <c r="D2309" s="9">
        <v>152634</v>
      </c>
      <c r="E2309">
        <v>1.4090000000000001E-4</v>
      </c>
    </row>
    <row r="2310" spans="1:5">
      <c r="A2310">
        <v>2018</v>
      </c>
      <c r="B2310" s="3" t="s">
        <v>1423</v>
      </c>
      <c r="C2310" t="s">
        <v>256</v>
      </c>
      <c r="D2310" s="9">
        <v>1670923</v>
      </c>
      <c r="E2310">
        <v>1.5422000000000001E-3</v>
      </c>
    </row>
    <row r="2311" spans="1:5">
      <c r="A2311">
        <v>2018</v>
      </c>
      <c r="B2311" s="3" t="s">
        <v>1424</v>
      </c>
      <c r="C2311" t="s">
        <v>2121</v>
      </c>
      <c r="D2311" s="9">
        <v>2786083</v>
      </c>
      <c r="E2311">
        <v>2.5715E-3</v>
      </c>
    </row>
    <row r="2312" spans="1:5">
      <c r="A2312">
        <v>2018</v>
      </c>
      <c r="B2312" s="3" t="s">
        <v>370</v>
      </c>
      <c r="C2312" t="s">
        <v>1617</v>
      </c>
      <c r="D2312" s="9">
        <v>2396364</v>
      </c>
      <c r="E2312">
        <v>2.2117999999999999E-3</v>
      </c>
    </row>
    <row r="2313" spans="1:5">
      <c r="A2313">
        <v>2018</v>
      </c>
      <c r="B2313" s="3" t="s">
        <v>1425</v>
      </c>
      <c r="C2313" t="s">
        <v>258</v>
      </c>
      <c r="D2313" s="9">
        <v>32683</v>
      </c>
      <c r="E2313">
        <v>3.0199999999999999E-5</v>
      </c>
    </row>
    <row r="2314" spans="1:5">
      <c r="A2314">
        <v>2018</v>
      </c>
      <c r="B2314" s="3" t="s">
        <v>1429</v>
      </c>
      <c r="C2314" t="s">
        <v>2122</v>
      </c>
      <c r="D2314" s="9">
        <v>1020007</v>
      </c>
      <c r="E2314">
        <v>9.4149999999999995E-4</v>
      </c>
    </row>
    <row r="2315" spans="1:5">
      <c r="A2315">
        <v>2018</v>
      </c>
      <c r="B2315" s="3" t="s">
        <v>1430</v>
      </c>
      <c r="C2315" t="s">
        <v>1619</v>
      </c>
      <c r="D2315" s="9">
        <v>323386</v>
      </c>
      <c r="E2315">
        <v>2.9849999999999999E-4</v>
      </c>
    </row>
    <row r="2316" spans="1:5">
      <c r="A2316">
        <v>2018</v>
      </c>
      <c r="B2316" s="3" t="s">
        <v>1431</v>
      </c>
      <c r="C2316" t="s">
        <v>2123</v>
      </c>
      <c r="D2316" s="9">
        <v>235330</v>
      </c>
      <c r="E2316">
        <v>2.1719999999999999E-4</v>
      </c>
    </row>
    <row r="2317" spans="1:5">
      <c r="A2317">
        <v>2018</v>
      </c>
      <c r="B2317" s="3" t="s">
        <v>1432</v>
      </c>
      <c r="C2317" t="s">
        <v>2124</v>
      </c>
      <c r="D2317" s="9">
        <v>292517</v>
      </c>
      <c r="E2317">
        <v>2.7E-4</v>
      </c>
    </row>
    <row r="2318" spans="1:5">
      <c r="A2318">
        <v>2018</v>
      </c>
      <c r="B2318" s="3" t="s">
        <v>1433</v>
      </c>
      <c r="C2318" t="s">
        <v>2125</v>
      </c>
      <c r="D2318" s="9">
        <v>138431</v>
      </c>
      <c r="E2318">
        <v>1.2779999999999999E-4</v>
      </c>
    </row>
    <row r="2319" spans="1:5">
      <c r="A2319">
        <v>2018</v>
      </c>
      <c r="B2319" s="3" t="s">
        <v>1434</v>
      </c>
      <c r="C2319" t="s">
        <v>2126</v>
      </c>
      <c r="D2319" s="9">
        <v>1344679</v>
      </c>
      <c r="E2319">
        <v>1.2411E-3</v>
      </c>
    </row>
    <row r="2320" spans="1:5">
      <c r="A2320">
        <v>2018</v>
      </c>
      <c r="B2320" s="3" t="s">
        <v>1435</v>
      </c>
      <c r="C2320" t="s">
        <v>2127</v>
      </c>
      <c r="D2320" s="9">
        <v>157622</v>
      </c>
      <c r="E2320">
        <v>1.4550000000000001E-4</v>
      </c>
    </row>
    <row r="2321" spans="1:5">
      <c r="A2321">
        <v>2018</v>
      </c>
      <c r="B2321" s="3" t="s">
        <v>1436</v>
      </c>
      <c r="C2321" t="s">
        <v>269</v>
      </c>
      <c r="D2321" s="9">
        <v>169031</v>
      </c>
      <c r="E2321">
        <v>1.56E-4</v>
      </c>
    </row>
    <row r="2322" spans="1:5">
      <c r="A2322">
        <v>2018</v>
      </c>
      <c r="B2322" s="3" t="s">
        <v>1437</v>
      </c>
      <c r="C2322" t="s">
        <v>270</v>
      </c>
      <c r="D2322" s="9">
        <v>970602</v>
      </c>
      <c r="E2322">
        <v>8.9590000000000004E-4</v>
      </c>
    </row>
    <row r="2323" spans="1:5">
      <c r="A2323">
        <v>2018</v>
      </c>
      <c r="B2323" s="3" t="s">
        <v>1438</v>
      </c>
      <c r="C2323" t="s">
        <v>1622</v>
      </c>
      <c r="D2323" s="9">
        <v>654267</v>
      </c>
      <c r="E2323">
        <v>6.0389999999999999E-4</v>
      </c>
    </row>
    <row r="2324" spans="1:5">
      <c r="A2324">
        <v>2018</v>
      </c>
      <c r="B2324" s="3" t="s">
        <v>371</v>
      </c>
      <c r="C2324" t="s">
        <v>1623</v>
      </c>
      <c r="D2324" s="9">
        <v>278210</v>
      </c>
      <c r="E2324">
        <v>2.5680000000000001E-4</v>
      </c>
    </row>
    <row r="2325" spans="1:5">
      <c r="A2325">
        <v>2018</v>
      </c>
      <c r="B2325" s="3" t="s">
        <v>1439</v>
      </c>
      <c r="C2325" t="s">
        <v>2128</v>
      </c>
      <c r="D2325" s="9">
        <v>86554</v>
      </c>
      <c r="E2325">
        <v>7.9900000000000004E-5</v>
      </c>
    </row>
    <row r="2326" spans="1:5">
      <c r="A2326">
        <v>2018</v>
      </c>
      <c r="B2326" s="3" t="s">
        <v>1440</v>
      </c>
      <c r="C2326" t="s">
        <v>1625</v>
      </c>
      <c r="D2326" s="9">
        <v>417873</v>
      </c>
      <c r="E2326">
        <v>3.857E-4</v>
      </c>
    </row>
    <row r="2327" spans="1:5">
      <c r="A2327">
        <v>2018</v>
      </c>
      <c r="B2327" s="3" t="s">
        <v>372</v>
      </c>
      <c r="C2327" t="s">
        <v>1626</v>
      </c>
      <c r="D2327" s="9">
        <v>211806</v>
      </c>
      <c r="E2327">
        <v>1.9550000000000001E-4</v>
      </c>
    </row>
    <row r="2328" spans="1:5">
      <c r="A2328">
        <v>2018</v>
      </c>
      <c r="B2328" s="3" t="s">
        <v>1441</v>
      </c>
      <c r="C2328" t="s">
        <v>274</v>
      </c>
      <c r="D2328" s="9"/>
    </row>
    <row r="2329" spans="1:5">
      <c r="A2329">
        <v>2018</v>
      </c>
      <c r="B2329" s="3" t="s">
        <v>1442</v>
      </c>
      <c r="C2329" t="s">
        <v>1627</v>
      </c>
      <c r="D2329" s="9">
        <v>9884</v>
      </c>
      <c r="E2329">
        <v>9.0999999999999993E-6</v>
      </c>
    </row>
    <row r="2330" spans="1:5">
      <c r="A2330">
        <v>2018</v>
      </c>
      <c r="B2330" s="3" t="s">
        <v>1443</v>
      </c>
      <c r="C2330" t="s">
        <v>2129</v>
      </c>
      <c r="D2330" s="9">
        <v>1067113</v>
      </c>
      <c r="E2330">
        <v>9.8489999999999992E-4</v>
      </c>
    </row>
    <row r="2331" spans="1:5">
      <c r="A2331">
        <v>2018</v>
      </c>
      <c r="B2331" s="3" t="s">
        <v>331</v>
      </c>
      <c r="C2331" t="s">
        <v>2130</v>
      </c>
      <c r="D2331" s="9"/>
    </row>
    <row r="2332" spans="1:5">
      <c r="A2332">
        <v>2018</v>
      </c>
      <c r="B2332" s="3" t="s">
        <v>332</v>
      </c>
      <c r="C2332" t="s">
        <v>2131</v>
      </c>
      <c r="D2332" s="9">
        <v>92800</v>
      </c>
      <c r="E2332">
        <v>8.5699999999999996E-5</v>
      </c>
    </row>
    <row r="2333" spans="1:5">
      <c r="A2333">
        <v>2018</v>
      </c>
      <c r="B2333" s="3" t="s">
        <v>333</v>
      </c>
      <c r="C2333" t="s">
        <v>2132</v>
      </c>
      <c r="D2333" s="9">
        <v>36717</v>
      </c>
      <c r="E2333">
        <v>3.3899999999999997E-5</v>
      </c>
    </row>
    <row r="2334" spans="1:5">
      <c r="A2334">
        <v>2018</v>
      </c>
      <c r="B2334" s="3" t="s">
        <v>334</v>
      </c>
      <c r="C2334" t="s">
        <v>1632</v>
      </c>
      <c r="D2334" s="9">
        <v>64794</v>
      </c>
      <c r="E2334">
        <v>5.9799999999999997E-5</v>
      </c>
    </row>
    <row r="2335" spans="1:5">
      <c r="A2335">
        <v>2018</v>
      </c>
      <c r="B2335" s="3" t="s">
        <v>335</v>
      </c>
      <c r="C2335" t="s">
        <v>2133</v>
      </c>
      <c r="D2335" s="9">
        <v>2283953</v>
      </c>
      <c r="E2335">
        <v>2.1080999999999999E-3</v>
      </c>
    </row>
    <row r="2336" spans="1:5">
      <c r="A2336">
        <v>2018</v>
      </c>
      <c r="B2336" s="3" t="s">
        <v>336</v>
      </c>
      <c r="C2336" t="s">
        <v>2134</v>
      </c>
      <c r="D2336" s="9">
        <v>2081473</v>
      </c>
      <c r="E2336">
        <v>1.9212000000000001E-3</v>
      </c>
    </row>
    <row r="2337" spans="1:5">
      <c r="A2337">
        <v>2018</v>
      </c>
      <c r="B2337" s="3" t="s">
        <v>337</v>
      </c>
      <c r="C2337" t="s">
        <v>283</v>
      </c>
      <c r="D2337" s="9">
        <v>145651</v>
      </c>
      <c r="E2337">
        <v>1.3439999999999999E-4</v>
      </c>
    </row>
    <row r="2338" spans="1:5">
      <c r="A2338">
        <v>2018</v>
      </c>
      <c r="B2338" s="3" t="s">
        <v>338</v>
      </c>
      <c r="C2338" t="s">
        <v>2135</v>
      </c>
      <c r="D2338" s="9">
        <v>58610</v>
      </c>
      <c r="E2338">
        <v>5.41E-5</v>
      </c>
    </row>
    <row r="2339" spans="1:5">
      <c r="A2339">
        <v>2018</v>
      </c>
      <c r="B2339" s="3" t="s">
        <v>373</v>
      </c>
      <c r="C2339" t="s">
        <v>1636</v>
      </c>
      <c r="D2339" s="9">
        <v>2249834</v>
      </c>
      <c r="E2339">
        <v>2.0766000000000001E-3</v>
      </c>
    </row>
    <row r="2340" spans="1:5">
      <c r="A2340">
        <v>2018</v>
      </c>
      <c r="B2340" s="3" t="s">
        <v>339</v>
      </c>
      <c r="C2340" t="s">
        <v>2136</v>
      </c>
      <c r="D2340" s="9">
        <v>1166105</v>
      </c>
      <c r="E2340">
        <v>1.0763000000000001E-3</v>
      </c>
    </row>
    <row r="2341" spans="1:5">
      <c r="A2341">
        <v>2018</v>
      </c>
      <c r="B2341" s="3" t="s">
        <v>340</v>
      </c>
      <c r="C2341" t="s">
        <v>286</v>
      </c>
      <c r="D2341" s="9">
        <v>133567</v>
      </c>
      <c r="E2341">
        <v>1.2329999999999999E-4</v>
      </c>
    </row>
    <row r="2342" spans="1:5">
      <c r="A2342">
        <v>2018</v>
      </c>
      <c r="B2342" s="3" t="s">
        <v>341</v>
      </c>
      <c r="C2342" t="s">
        <v>287</v>
      </c>
      <c r="D2342" s="9"/>
    </row>
    <row r="2343" spans="1:5">
      <c r="A2343">
        <v>2018</v>
      </c>
      <c r="B2343" s="3" t="s">
        <v>342</v>
      </c>
      <c r="C2343" t="s">
        <v>2137</v>
      </c>
      <c r="D2343" s="9">
        <v>811779</v>
      </c>
      <c r="E2343">
        <v>7.4930000000000005E-4</v>
      </c>
    </row>
    <row r="2344" spans="1:5">
      <c r="A2344">
        <v>2018</v>
      </c>
      <c r="B2344" s="3" t="s">
        <v>1219</v>
      </c>
      <c r="C2344" t="s">
        <v>1639</v>
      </c>
      <c r="D2344" s="9">
        <v>345499</v>
      </c>
      <c r="E2344">
        <v>3.189E-4</v>
      </c>
    </row>
    <row r="2345" spans="1:5">
      <c r="A2345">
        <v>2018</v>
      </c>
      <c r="B2345" s="3" t="s">
        <v>343</v>
      </c>
      <c r="C2345" t="s">
        <v>2138</v>
      </c>
      <c r="D2345" s="9">
        <v>90814</v>
      </c>
      <c r="E2345">
        <v>8.3800000000000004E-5</v>
      </c>
    </row>
    <row r="2346" spans="1:5">
      <c r="A2346">
        <v>2018</v>
      </c>
      <c r="B2346" s="3" t="s">
        <v>344</v>
      </c>
      <c r="C2346" t="s">
        <v>290</v>
      </c>
      <c r="D2346" s="9">
        <v>79934</v>
      </c>
      <c r="E2346">
        <v>7.3800000000000005E-5</v>
      </c>
    </row>
    <row r="2347" spans="1:5">
      <c r="A2347">
        <v>2018</v>
      </c>
      <c r="B2347" s="3" t="s">
        <v>1220</v>
      </c>
      <c r="C2347" t="s">
        <v>1641</v>
      </c>
      <c r="D2347" s="9">
        <v>112950</v>
      </c>
      <c r="E2347">
        <v>1.043E-4</v>
      </c>
    </row>
    <row r="2348" spans="1:5">
      <c r="A2348">
        <v>2018</v>
      </c>
      <c r="B2348" s="3" t="s">
        <v>345</v>
      </c>
      <c r="C2348" t="s">
        <v>2139</v>
      </c>
      <c r="D2348" s="9">
        <v>83294</v>
      </c>
      <c r="E2348">
        <v>7.6899999999999999E-5</v>
      </c>
    </row>
    <row r="2349" spans="1:5">
      <c r="A2349">
        <v>2018</v>
      </c>
      <c r="B2349" s="3" t="s">
        <v>346</v>
      </c>
      <c r="C2349" t="s">
        <v>2140</v>
      </c>
      <c r="D2349" s="9">
        <v>9042998</v>
      </c>
      <c r="E2349">
        <v>8.3465999999999992E-3</v>
      </c>
    </row>
    <row r="2350" spans="1:5">
      <c r="A2350">
        <v>2018</v>
      </c>
      <c r="B2350" s="3" t="s">
        <v>347</v>
      </c>
      <c r="C2350" t="s">
        <v>2141</v>
      </c>
      <c r="D2350" s="9">
        <v>3377011</v>
      </c>
      <c r="E2350">
        <v>3.117E-3</v>
      </c>
    </row>
    <row r="2351" spans="1:5">
      <c r="A2351">
        <v>2018</v>
      </c>
      <c r="B2351" s="3" t="s">
        <v>348</v>
      </c>
      <c r="C2351" t="s">
        <v>2142</v>
      </c>
      <c r="D2351" s="9">
        <v>1519369</v>
      </c>
      <c r="E2351">
        <v>1.4024E-3</v>
      </c>
    </row>
    <row r="2352" spans="1:5">
      <c r="A2352">
        <v>2018</v>
      </c>
      <c r="B2352" s="3" t="s">
        <v>374</v>
      </c>
      <c r="C2352" t="s">
        <v>1646</v>
      </c>
      <c r="D2352" s="9">
        <v>1560881</v>
      </c>
      <c r="E2352">
        <v>1.4407000000000001E-3</v>
      </c>
    </row>
    <row r="2353" spans="1:5">
      <c r="A2353">
        <v>2018</v>
      </c>
      <c r="B2353" s="3" t="s">
        <v>349</v>
      </c>
      <c r="C2353" t="s">
        <v>2143</v>
      </c>
      <c r="D2353" s="9">
        <v>2606687</v>
      </c>
      <c r="E2353">
        <v>2.4060000000000002E-3</v>
      </c>
    </row>
    <row r="2354" spans="1:5">
      <c r="A2354">
        <v>2018</v>
      </c>
      <c r="B2354" s="3" t="s">
        <v>350</v>
      </c>
      <c r="C2354" t="s">
        <v>2144</v>
      </c>
      <c r="D2354" s="9">
        <v>2579570</v>
      </c>
      <c r="E2354">
        <v>2.3809E-3</v>
      </c>
    </row>
    <row r="2355" spans="1:5">
      <c r="A2355">
        <v>2018</v>
      </c>
      <c r="B2355" s="3" t="s">
        <v>1221</v>
      </c>
      <c r="C2355" t="s">
        <v>1649</v>
      </c>
      <c r="D2355" s="9">
        <v>266384</v>
      </c>
      <c r="E2355">
        <v>2.4590000000000001E-4</v>
      </c>
    </row>
    <row r="2356" spans="1:5">
      <c r="A2356">
        <v>2018</v>
      </c>
      <c r="B2356" s="3" t="s">
        <v>351</v>
      </c>
      <c r="C2356" t="s">
        <v>297</v>
      </c>
      <c r="D2356" s="9">
        <v>22891</v>
      </c>
      <c r="E2356">
        <v>2.1100000000000001E-5</v>
      </c>
    </row>
    <row r="2357" spans="1:5">
      <c r="A2357">
        <v>2018</v>
      </c>
      <c r="B2357" s="3" t="s">
        <v>352</v>
      </c>
      <c r="C2357" t="s">
        <v>298</v>
      </c>
      <c r="D2357" s="9">
        <v>168580</v>
      </c>
      <c r="E2357">
        <v>1.5559999999999999E-4</v>
      </c>
    </row>
    <row r="2358" spans="1:5">
      <c r="A2358">
        <v>2018</v>
      </c>
      <c r="B2358" s="3" t="s">
        <v>353</v>
      </c>
      <c r="C2358" t="s">
        <v>2145</v>
      </c>
      <c r="D2358" s="9">
        <v>58006</v>
      </c>
      <c r="E2358">
        <v>5.3499999999999999E-5</v>
      </c>
    </row>
    <row r="2359" spans="1:5">
      <c r="A2359">
        <v>2018</v>
      </c>
      <c r="B2359" s="3" t="s">
        <v>354</v>
      </c>
      <c r="C2359" t="s">
        <v>300</v>
      </c>
      <c r="D2359" s="9">
        <v>2462455</v>
      </c>
      <c r="E2359">
        <v>2.2728000000000002E-3</v>
      </c>
    </row>
    <row r="2360" spans="1:5">
      <c r="A2360">
        <v>2018</v>
      </c>
      <c r="B2360" s="3" t="s">
        <v>1659</v>
      </c>
      <c r="C2360" t="s">
        <v>2146</v>
      </c>
      <c r="D2360" s="9">
        <v>170567</v>
      </c>
      <c r="E2360">
        <v>1.574E-4</v>
      </c>
    </row>
    <row r="2361" spans="1:5">
      <c r="A2361">
        <v>2018</v>
      </c>
      <c r="B2361" s="3" t="s">
        <v>355</v>
      </c>
      <c r="C2361" t="s">
        <v>2147</v>
      </c>
      <c r="D2361" s="9">
        <v>332907</v>
      </c>
      <c r="E2361">
        <v>3.0729999999999999E-4</v>
      </c>
    </row>
    <row r="2362" spans="1:5">
      <c r="A2362">
        <v>2018</v>
      </c>
      <c r="B2362" s="3" t="s">
        <v>356</v>
      </c>
      <c r="C2362" t="s">
        <v>1444</v>
      </c>
      <c r="D2362" s="9">
        <v>5591715</v>
      </c>
      <c r="E2362">
        <v>5.1611000000000001E-3</v>
      </c>
    </row>
    <row r="2363" spans="1:5">
      <c r="A2363">
        <v>2018</v>
      </c>
      <c r="B2363" s="3" t="s">
        <v>357</v>
      </c>
      <c r="C2363" t="s">
        <v>2148</v>
      </c>
      <c r="D2363" s="9">
        <v>116846</v>
      </c>
      <c r="E2363">
        <v>1.078E-4</v>
      </c>
    </row>
    <row r="2364" spans="1:5">
      <c r="A2364">
        <v>2018</v>
      </c>
      <c r="B2364" s="3" t="s">
        <v>358</v>
      </c>
      <c r="C2364" t="s">
        <v>304</v>
      </c>
      <c r="D2364" s="9"/>
    </row>
    <row r="2365" spans="1:5">
      <c r="A2365">
        <v>2018</v>
      </c>
      <c r="B2365" s="3" t="s">
        <v>359</v>
      </c>
      <c r="C2365" t="s">
        <v>305</v>
      </c>
      <c r="D2365" s="9">
        <v>226611</v>
      </c>
      <c r="E2365">
        <v>2.0919999999999999E-4</v>
      </c>
    </row>
    <row r="2366" spans="1:5">
      <c r="A2366">
        <v>2018</v>
      </c>
      <c r="B2366" s="3" t="s">
        <v>360</v>
      </c>
      <c r="C2366" t="s">
        <v>2149</v>
      </c>
      <c r="D2366" s="9">
        <v>23281675</v>
      </c>
      <c r="E2366">
        <v>2.1488799999999999E-2</v>
      </c>
    </row>
    <row r="2367" spans="1:5">
      <c r="A2367">
        <v>2018</v>
      </c>
      <c r="B2367" s="3" t="s">
        <v>375</v>
      </c>
      <c r="C2367" t="s">
        <v>1654</v>
      </c>
      <c r="D2367" s="9">
        <v>8266698</v>
      </c>
      <c r="E2367">
        <v>7.6300999999999999E-3</v>
      </c>
    </row>
    <row r="2368" spans="1:5">
      <c r="A2368">
        <v>2018</v>
      </c>
      <c r="B2368" s="3" t="s">
        <v>361</v>
      </c>
      <c r="C2368" t="s">
        <v>2150</v>
      </c>
      <c r="D2368" s="9">
        <v>153220</v>
      </c>
      <c r="E2368">
        <v>1.4139999999999999E-4</v>
      </c>
    </row>
    <row r="2369" spans="1:5">
      <c r="A2369">
        <v>2018</v>
      </c>
      <c r="B2369" s="3" t="s">
        <v>362</v>
      </c>
      <c r="C2369" t="s">
        <v>2151</v>
      </c>
      <c r="D2369" s="9">
        <v>6534</v>
      </c>
      <c r="E2369">
        <v>6.0000000000000002E-6</v>
      </c>
    </row>
    <row r="2370" spans="1:5">
      <c r="A2370">
        <v>2018</v>
      </c>
      <c r="B2370" s="3" t="s">
        <v>363</v>
      </c>
      <c r="C2370" t="s">
        <v>1657</v>
      </c>
      <c r="D2370" s="9">
        <v>2811318</v>
      </c>
      <c r="E2370">
        <v>2.5948E-3</v>
      </c>
    </row>
    <row r="2371" spans="1:5">
      <c r="A2371">
        <v>2018</v>
      </c>
      <c r="B2371" s="3" t="s">
        <v>364</v>
      </c>
      <c r="C2371" t="s">
        <v>310</v>
      </c>
      <c r="D2371" s="9" t="s">
        <v>2462</v>
      </c>
    </row>
    <row r="2372" spans="1:5">
      <c r="A2372">
        <v>2018</v>
      </c>
      <c r="B2372" s="3" t="s">
        <v>365</v>
      </c>
      <c r="C2372" t="s">
        <v>2152</v>
      </c>
      <c r="D2372" s="9">
        <v>956687</v>
      </c>
      <c r="E2372">
        <v>8.83E-4</v>
      </c>
    </row>
    <row r="2373" spans="1:5">
      <c r="A2373">
        <v>2018</v>
      </c>
      <c r="B2373" s="3" t="s">
        <v>1222</v>
      </c>
      <c r="C2373" t="s">
        <v>1660</v>
      </c>
      <c r="D2373" s="9">
        <v>349314</v>
      </c>
      <c r="E2373">
        <v>3.2239999999999998E-4</v>
      </c>
    </row>
    <row r="2374" spans="1:5">
      <c r="A2374">
        <v>2018</v>
      </c>
      <c r="B2374" s="3" t="s">
        <v>366</v>
      </c>
      <c r="C2374" t="s">
        <v>312</v>
      </c>
      <c r="D2374" s="9">
        <v>3269</v>
      </c>
      <c r="E2374">
        <v>3.0000000000000001E-6</v>
      </c>
    </row>
    <row r="2375" spans="1:5">
      <c r="A2375">
        <v>2018</v>
      </c>
      <c r="B2375" s="3" t="s">
        <v>367</v>
      </c>
      <c r="C2375" t="s">
        <v>313</v>
      </c>
      <c r="D2375" s="9">
        <v>59732</v>
      </c>
      <c r="E2375">
        <v>5.5099999999999998E-5</v>
      </c>
    </row>
    <row r="2376" spans="1:5">
      <c r="A2376">
        <v>2018</v>
      </c>
      <c r="B2376" s="3" t="s">
        <v>368</v>
      </c>
      <c r="C2376" t="s">
        <v>2153</v>
      </c>
      <c r="D2376" s="9">
        <v>209544</v>
      </c>
      <c r="E2376">
        <v>1.9340000000000001E-4</v>
      </c>
    </row>
    <row r="2377" spans="1:5">
      <c r="A2377">
        <v>2018</v>
      </c>
      <c r="B2377" s="3" t="s">
        <v>467</v>
      </c>
      <c r="C2377" t="s">
        <v>412</v>
      </c>
      <c r="D2377" s="9"/>
    </row>
    <row r="2378" spans="1:5">
      <c r="A2378">
        <v>2018</v>
      </c>
      <c r="B2378" s="3" t="s">
        <v>1223</v>
      </c>
      <c r="C2378" t="s">
        <v>1662</v>
      </c>
      <c r="D2378" s="9">
        <v>166972</v>
      </c>
      <c r="E2378">
        <v>1.5410000000000001E-4</v>
      </c>
    </row>
    <row r="2379" spans="1:5">
      <c r="A2379">
        <v>2018</v>
      </c>
      <c r="B2379" s="3" t="s">
        <v>468</v>
      </c>
      <c r="C2379" t="s">
        <v>2154</v>
      </c>
      <c r="D2379" s="9">
        <v>225259</v>
      </c>
      <c r="E2379">
        <v>2.0790000000000001E-4</v>
      </c>
    </row>
    <row r="2380" spans="1:5">
      <c r="A2380">
        <v>2018</v>
      </c>
      <c r="B2380" s="3" t="s">
        <v>469</v>
      </c>
      <c r="C2380" t="s">
        <v>1664</v>
      </c>
      <c r="D2380" s="9"/>
    </row>
    <row r="2381" spans="1:5">
      <c r="A2381">
        <v>2018</v>
      </c>
      <c r="B2381" s="3" t="s">
        <v>1224</v>
      </c>
      <c r="C2381" t="s">
        <v>1665</v>
      </c>
      <c r="D2381" s="9">
        <v>90727</v>
      </c>
      <c r="E2381">
        <v>8.3700000000000002E-5</v>
      </c>
    </row>
    <row r="2382" spans="1:5">
      <c r="A2382">
        <v>2018</v>
      </c>
      <c r="B2382" s="3" t="s">
        <v>470</v>
      </c>
      <c r="C2382" t="s">
        <v>415</v>
      </c>
      <c r="D2382" s="9">
        <v>25198</v>
      </c>
      <c r="E2382">
        <v>2.3300000000000001E-5</v>
      </c>
    </row>
    <row r="2383" spans="1:5">
      <c r="A2383">
        <v>2018</v>
      </c>
      <c r="B2383" s="3" t="s">
        <v>471</v>
      </c>
      <c r="C2383" t="s">
        <v>416</v>
      </c>
      <c r="D2383" s="9">
        <v>2183290</v>
      </c>
      <c r="E2383">
        <v>2.0152E-3</v>
      </c>
    </row>
    <row r="2384" spans="1:5">
      <c r="A2384">
        <v>2018</v>
      </c>
      <c r="B2384" s="3" t="s">
        <v>472</v>
      </c>
      <c r="C2384" t="s">
        <v>417</v>
      </c>
      <c r="D2384" s="9">
        <v>2958880</v>
      </c>
      <c r="E2384">
        <v>2.7309999999999999E-3</v>
      </c>
    </row>
    <row r="2385" spans="1:5">
      <c r="A2385">
        <v>2018</v>
      </c>
      <c r="B2385" s="3" t="s">
        <v>473</v>
      </c>
      <c r="C2385" t="s">
        <v>418</v>
      </c>
      <c r="D2385" s="9"/>
    </row>
    <row r="2386" spans="1:5">
      <c r="A2386">
        <v>2018</v>
      </c>
      <c r="B2386" s="3" t="s">
        <v>474</v>
      </c>
      <c r="C2386" t="s">
        <v>2155</v>
      </c>
      <c r="D2386" s="9">
        <v>79891</v>
      </c>
      <c r="E2386">
        <v>7.3700000000000002E-5</v>
      </c>
    </row>
    <row r="2387" spans="1:5">
      <c r="A2387">
        <v>2018</v>
      </c>
      <c r="B2387" s="3" t="s">
        <v>475</v>
      </c>
      <c r="C2387" t="s">
        <v>1667</v>
      </c>
      <c r="D2387" s="9">
        <v>16845</v>
      </c>
      <c r="E2387">
        <v>1.5500000000000001E-5</v>
      </c>
    </row>
    <row r="2388" spans="1:5">
      <c r="A2388">
        <v>2018</v>
      </c>
      <c r="B2388" s="3" t="s">
        <v>476</v>
      </c>
      <c r="C2388" t="s">
        <v>421</v>
      </c>
      <c r="D2388" s="9">
        <v>4443252</v>
      </c>
      <c r="E2388">
        <v>4.1010999999999999E-3</v>
      </c>
    </row>
    <row r="2389" spans="1:5">
      <c r="A2389">
        <v>2018</v>
      </c>
      <c r="B2389" s="3" t="s">
        <v>477</v>
      </c>
      <c r="C2389" t="s">
        <v>422</v>
      </c>
      <c r="D2389" s="9">
        <v>974114</v>
      </c>
      <c r="E2389">
        <v>8.9910000000000001E-4</v>
      </c>
    </row>
    <row r="2390" spans="1:5">
      <c r="A2390">
        <v>2018</v>
      </c>
      <c r="B2390" s="3" t="s">
        <v>478</v>
      </c>
      <c r="C2390" t="s">
        <v>2156</v>
      </c>
      <c r="D2390" s="9">
        <v>110149</v>
      </c>
      <c r="E2390">
        <v>1.0170000000000001E-4</v>
      </c>
    </row>
    <row r="2391" spans="1:5">
      <c r="A2391">
        <v>2018</v>
      </c>
      <c r="B2391" s="3" t="s">
        <v>479</v>
      </c>
      <c r="C2391" t="s">
        <v>2157</v>
      </c>
      <c r="D2391" s="9">
        <v>307259</v>
      </c>
      <c r="E2391">
        <v>2.8360000000000001E-4</v>
      </c>
    </row>
    <row r="2392" spans="1:5">
      <c r="A2392">
        <v>2018</v>
      </c>
      <c r="B2392" s="3" t="s">
        <v>480</v>
      </c>
      <c r="C2392" t="s">
        <v>2158</v>
      </c>
      <c r="D2392" s="9">
        <v>38492</v>
      </c>
      <c r="E2392">
        <v>3.5500000000000002E-5</v>
      </c>
    </row>
    <row r="2393" spans="1:5">
      <c r="A2393">
        <v>2018</v>
      </c>
      <c r="B2393" s="3" t="s">
        <v>481</v>
      </c>
      <c r="C2393" t="s">
        <v>2159</v>
      </c>
      <c r="D2393" s="9">
        <v>803113</v>
      </c>
      <c r="E2393">
        <v>7.4129999999999997E-4</v>
      </c>
    </row>
    <row r="2394" spans="1:5">
      <c r="A2394">
        <v>2018</v>
      </c>
      <c r="B2394" s="3" t="s">
        <v>482</v>
      </c>
      <c r="C2394" t="s">
        <v>2160</v>
      </c>
      <c r="D2394" s="9">
        <v>154591</v>
      </c>
      <c r="E2394">
        <v>1.427E-4</v>
      </c>
    </row>
    <row r="2395" spans="1:5">
      <c r="A2395">
        <v>2018</v>
      </c>
      <c r="B2395" s="3" t="s">
        <v>483</v>
      </c>
      <c r="C2395" t="s">
        <v>2161</v>
      </c>
      <c r="D2395" s="9">
        <v>104054</v>
      </c>
      <c r="E2395">
        <v>9.6000000000000002E-5</v>
      </c>
    </row>
    <row r="2396" spans="1:5">
      <c r="A2396">
        <v>2018</v>
      </c>
      <c r="B2396" s="3" t="s">
        <v>484</v>
      </c>
      <c r="C2396" t="s">
        <v>1674</v>
      </c>
      <c r="D2396" s="9">
        <v>308542</v>
      </c>
      <c r="E2396">
        <v>2.8479999999999998E-4</v>
      </c>
    </row>
    <row r="2397" spans="1:5">
      <c r="A2397">
        <v>2018</v>
      </c>
      <c r="B2397" s="3" t="s">
        <v>485</v>
      </c>
      <c r="C2397" t="s">
        <v>1675</v>
      </c>
      <c r="D2397" s="9">
        <v>1110945</v>
      </c>
      <c r="E2397">
        <v>1.0254000000000001E-3</v>
      </c>
    </row>
    <row r="2398" spans="1:5">
      <c r="A2398">
        <v>2018</v>
      </c>
      <c r="B2398" s="3" t="s">
        <v>376</v>
      </c>
      <c r="C2398" t="s">
        <v>1676</v>
      </c>
      <c r="D2398" s="9">
        <v>471557</v>
      </c>
      <c r="E2398">
        <v>4.3520000000000001E-4</v>
      </c>
    </row>
    <row r="2399" spans="1:5">
      <c r="A2399">
        <v>2018</v>
      </c>
      <c r="B2399" s="3" t="s">
        <v>1690</v>
      </c>
      <c r="C2399" t="s">
        <v>2162</v>
      </c>
      <c r="D2399" s="9">
        <v>42079</v>
      </c>
      <c r="E2399">
        <v>3.8800000000000001E-5</v>
      </c>
    </row>
    <row r="2400" spans="1:5">
      <c r="A2400">
        <v>2018</v>
      </c>
      <c r="B2400" s="3" t="s">
        <v>377</v>
      </c>
      <c r="C2400" t="s">
        <v>1678</v>
      </c>
      <c r="D2400" s="9">
        <v>872011</v>
      </c>
      <c r="E2400">
        <v>8.0489999999999999E-4</v>
      </c>
    </row>
    <row r="2401" spans="1:5">
      <c r="A2401">
        <v>2018</v>
      </c>
      <c r="B2401" s="3" t="s">
        <v>486</v>
      </c>
      <c r="C2401" t="s">
        <v>2163</v>
      </c>
      <c r="D2401" s="9">
        <v>919764</v>
      </c>
      <c r="E2401">
        <v>8.4889999999999998E-4</v>
      </c>
    </row>
    <row r="2402" spans="1:5">
      <c r="A2402">
        <v>2018</v>
      </c>
      <c r="B2402" s="3" t="s">
        <v>487</v>
      </c>
      <c r="C2402" t="s">
        <v>432</v>
      </c>
      <c r="D2402" s="9">
        <v>6396</v>
      </c>
      <c r="E2402">
        <v>5.9000000000000003E-6</v>
      </c>
    </row>
    <row r="2403" spans="1:5">
      <c r="A2403">
        <v>2018</v>
      </c>
      <c r="B2403" s="3" t="s">
        <v>488</v>
      </c>
      <c r="C2403" t="s">
        <v>2164</v>
      </c>
      <c r="D2403" s="9">
        <v>150721</v>
      </c>
      <c r="E2403">
        <v>1.3909999999999999E-4</v>
      </c>
    </row>
    <row r="2404" spans="1:5">
      <c r="A2404">
        <v>2018</v>
      </c>
      <c r="B2404" s="3" t="s">
        <v>489</v>
      </c>
      <c r="C2404" t="s">
        <v>2165</v>
      </c>
      <c r="D2404" s="9">
        <v>54062</v>
      </c>
      <c r="E2404">
        <v>4.99E-5</v>
      </c>
    </row>
    <row r="2405" spans="1:5">
      <c r="A2405">
        <v>2018</v>
      </c>
      <c r="B2405" s="3" t="s">
        <v>490</v>
      </c>
      <c r="C2405" t="s">
        <v>2166</v>
      </c>
      <c r="D2405" s="9">
        <v>2683100</v>
      </c>
      <c r="E2405">
        <v>2.4765E-3</v>
      </c>
    </row>
    <row r="2406" spans="1:5">
      <c r="A2406">
        <v>2018</v>
      </c>
      <c r="B2406" s="3" t="s">
        <v>491</v>
      </c>
      <c r="C2406" t="s">
        <v>2167</v>
      </c>
      <c r="D2406" s="9">
        <v>3294135</v>
      </c>
      <c r="E2406">
        <v>3.0404999999999998E-3</v>
      </c>
    </row>
    <row r="2407" spans="1:5">
      <c r="A2407">
        <v>2018</v>
      </c>
      <c r="B2407" s="3" t="s">
        <v>492</v>
      </c>
      <c r="C2407" t="s">
        <v>2168</v>
      </c>
      <c r="D2407" s="9">
        <v>6228</v>
      </c>
      <c r="E2407">
        <v>5.6999999999999996E-6</v>
      </c>
    </row>
    <row r="2408" spans="1:5">
      <c r="A2408">
        <v>2018</v>
      </c>
      <c r="B2408" s="3" t="s">
        <v>493</v>
      </c>
      <c r="C2408" t="s">
        <v>1684</v>
      </c>
      <c r="D2408" s="9">
        <v>9652</v>
      </c>
      <c r="E2408">
        <v>8.8999999999999995E-6</v>
      </c>
    </row>
    <row r="2409" spans="1:5">
      <c r="A2409">
        <v>2018</v>
      </c>
      <c r="B2409" s="3" t="s">
        <v>494</v>
      </c>
      <c r="C2409" t="s">
        <v>2169</v>
      </c>
      <c r="D2409" s="9">
        <v>7578</v>
      </c>
      <c r="E2409">
        <v>6.9999999999999999E-6</v>
      </c>
    </row>
    <row r="2410" spans="1:5">
      <c r="A2410">
        <v>2018</v>
      </c>
      <c r="B2410" s="3" t="s">
        <v>550</v>
      </c>
      <c r="C2410" t="s">
        <v>2169</v>
      </c>
      <c r="D2410" s="9">
        <v>63388</v>
      </c>
      <c r="E2410">
        <v>5.8499999999999999E-5</v>
      </c>
    </row>
    <row r="2411" spans="1:5">
      <c r="A2411">
        <v>2018</v>
      </c>
      <c r="B2411" s="3" t="s">
        <v>551</v>
      </c>
      <c r="C2411" t="s">
        <v>2170</v>
      </c>
      <c r="D2411" s="9">
        <v>74829</v>
      </c>
      <c r="E2411">
        <v>6.9099999999999999E-5</v>
      </c>
    </row>
    <row r="2412" spans="1:5">
      <c r="A2412">
        <v>2018</v>
      </c>
      <c r="B2412" s="3" t="s">
        <v>552</v>
      </c>
      <c r="C2412" t="s">
        <v>2171</v>
      </c>
      <c r="D2412" s="9">
        <v>16319115</v>
      </c>
      <c r="E2412">
        <v>1.50624E-2</v>
      </c>
    </row>
    <row r="2413" spans="1:5">
      <c r="A2413">
        <v>2018</v>
      </c>
      <c r="B2413" s="3" t="s">
        <v>819</v>
      </c>
      <c r="C2413" t="s">
        <v>1689</v>
      </c>
      <c r="D2413" s="9"/>
    </row>
    <row r="2414" spans="1:5">
      <c r="A2414">
        <v>2018</v>
      </c>
      <c r="B2414" s="3" t="s">
        <v>553</v>
      </c>
      <c r="C2414" t="s">
        <v>498</v>
      </c>
      <c r="D2414" s="9">
        <v>29807</v>
      </c>
      <c r="E2414">
        <v>2.7500000000000001E-5</v>
      </c>
    </row>
    <row r="2415" spans="1:5">
      <c r="A2415">
        <v>2018</v>
      </c>
      <c r="B2415" s="3" t="s">
        <v>554</v>
      </c>
      <c r="C2415" t="s">
        <v>499</v>
      </c>
      <c r="D2415" s="9">
        <v>26568</v>
      </c>
      <c r="E2415">
        <v>2.4499999999999999E-5</v>
      </c>
    </row>
    <row r="2416" spans="1:5">
      <c r="A2416">
        <v>2018</v>
      </c>
      <c r="B2416" s="3" t="s">
        <v>555</v>
      </c>
      <c r="C2416" t="s">
        <v>500</v>
      </c>
      <c r="D2416" s="9">
        <v>169337</v>
      </c>
      <c r="E2416">
        <v>1.563E-4</v>
      </c>
    </row>
    <row r="2417" spans="1:5">
      <c r="A2417">
        <v>2018</v>
      </c>
      <c r="B2417" s="3" t="s">
        <v>556</v>
      </c>
      <c r="C2417" t="s">
        <v>501</v>
      </c>
      <c r="D2417" s="9"/>
    </row>
    <row r="2418" spans="1:5">
      <c r="A2418">
        <v>2018</v>
      </c>
      <c r="B2418" s="3" t="s">
        <v>557</v>
      </c>
      <c r="C2418" t="s">
        <v>502</v>
      </c>
      <c r="D2418" s="9">
        <v>46253</v>
      </c>
      <c r="E2418">
        <v>4.2700000000000001E-5</v>
      </c>
    </row>
    <row r="2419" spans="1:5">
      <c r="A2419">
        <v>2018</v>
      </c>
      <c r="B2419" s="3" t="s">
        <v>558</v>
      </c>
      <c r="C2419" t="s">
        <v>2172</v>
      </c>
      <c r="D2419" s="9">
        <v>29291</v>
      </c>
      <c r="E2419">
        <v>2.6999999999999999E-5</v>
      </c>
    </row>
    <row r="2420" spans="1:5">
      <c r="A2420">
        <v>2018</v>
      </c>
      <c r="B2420" s="3" t="s">
        <v>559</v>
      </c>
      <c r="C2420" t="s">
        <v>1692</v>
      </c>
      <c r="D2420" s="9">
        <v>1659970</v>
      </c>
      <c r="E2420">
        <v>1.5321E-3</v>
      </c>
    </row>
    <row r="2421" spans="1:5">
      <c r="A2421">
        <v>2018</v>
      </c>
      <c r="B2421" s="3" t="s">
        <v>378</v>
      </c>
      <c r="C2421" t="s">
        <v>1693</v>
      </c>
      <c r="D2421" s="9">
        <v>482755</v>
      </c>
      <c r="E2421">
        <v>4.4559999999999999E-4</v>
      </c>
    </row>
    <row r="2422" spans="1:5">
      <c r="A2422">
        <v>2018</v>
      </c>
      <c r="B2422" s="3" t="s">
        <v>560</v>
      </c>
      <c r="C2422" t="s">
        <v>505</v>
      </c>
      <c r="D2422" s="9">
        <v>105922</v>
      </c>
      <c r="E2422">
        <v>9.7800000000000006E-5</v>
      </c>
    </row>
    <row r="2423" spans="1:5">
      <c r="A2423">
        <v>2018</v>
      </c>
      <c r="B2423" s="3" t="s">
        <v>561</v>
      </c>
      <c r="C2423" t="s">
        <v>1694</v>
      </c>
      <c r="D2423" s="9">
        <v>202868</v>
      </c>
      <c r="E2423">
        <v>1.872E-4</v>
      </c>
    </row>
    <row r="2424" spans="1:5">
      <c r="A2424">
        <v>2018</v>
      </c>
      <c r="B2424" s="3" t="s">
        <v>1225</v>
      </c>
      <c r="C2424" t="s">
        <v>1695</v>
      </c>
      <c r="D2424" s="9">
        <v>22030</v>
      </c>
      <c r="E2424">
        <v>2.0299999999999999E-5</v>
      </c>
    </row>
    <row r="2425" spans="1:5">
      <c r="A2425">
        <v>2018</v>
      </c>
      <c r="B2425" s="3" t="s">
        <v>562</v>
      </c>
      <c r="C2425" t="s">
        <v>1696</v>
      </c>
      <c r="D2425" s="9">
        <v>10944608</v>
      </c>
      <c r="E2425">
        <v>1.0101799999999999E-2</v>
      </c>
    </row>
    <row r="2426" spans="1:5">
      <c r="A2426">
        <v>2018</v>
      </c>
      <c r="B2426" s="3" t="s">
        <v>1226</v>
      </c>
      <c r="C2426" t="s">
        <v>1697</v>
      </c>
      <c r="D2426" s="9">
        <v>132013</v>
      </c>
      <c r="E2426">
        <v>1.2180000000000001E-4</v>
      </c>
    </row>
    <row r="2427" spans="1:5">
      <c r="A2427">
        <v>2018</v>
      </c>
      <c r="B2427" s="3" t="s">
        <v>563</v>
      </c>
      <c r="C2427" t="s">
        <v>2173</v>
      </c>
      <c r="D2427" s="9">
        <v>6022</v>
      </c>
      <c r="E2427">
        <v>5.5999999999999997E-6</v>
      </c>
    </row>
    <row r="2428" spans="1:5">
      <c r="A2428">
        <v>2018</v>
      </c>
      <c r="B2428" s="3" t="s">
        <v>564</v>
      </c>
      <c r="C2428" t="s">
        <v>509</v>
      </c>
      <c r="D2428" s="9">
        <v>987242</v>
      </c>
      <c r="E2428">
        <v>9.1120000000000003E-4</v>
      </c>
    </row>
    <row r="2429" spans="1:5">
      <c r="A2429">
        <v>2018</v>
      </c>
      <c r="B2429" s="3" t="s">
        <v>565</v>
      </c>
      <c r="C2429" t="s">
        <v>510</v>
      </c>
      <c r="D2429" s="9">
        <v>2088689</v>
      </c>
      <c r="E2429">
        <v>1.9277999999999999E-3</v>
      </c>
    </row>
    <row r="2430" spans="1:5">
      <c r="A2430">
        <v>2018</v>
      </c>
      <c r="B2430" s="3" t="s">
        <v>566</v>
      </c>
      <c r="C2430" t="s">
        <v>1699</v>
      </c>
      <c r="D2430" s="9">
        <v>125116</v>
      </c>
      <c r="E2430">
        <v>1.155E-4</v>
      </c>
    </row>
    <row r="2431" spans="1:5">
      <c r="A2431">
        <v>2018</v>
      </c>
      <c r="B2431" s="3" t="s">
        <v>569</v>
      </c>
      <c r="C2431" t="s">
        <v>1446</v>
      </c>
      <c r="D2431" s="9">
        <v>172374</v>
      </c>
      <c r="E2431">
        <v>1.5909999999999999E-4</v>
      </c>
    </row>
    <row r="2432" spans="1:5">
      <c r="A2432">
        <v>2018</v>
      </c>
      <c r="B2432" s="3" t="s">
        <v>567</v>
      </c>
      <c r="C2432" t="s">
        <v>2174</v>
      </c>
      <c r="D2432" s="9">
        <v>87527</v>
      </c>
      <c r="E2432">
        <v>8.0799999999999999E-5</v>
      </c>
    </row>
    <row r="2433" spans="1:5">
      <c r="A2433">
        <v>2018</v>
      </c>
      <c r="B2433" s="3" t="s">
        <v>568</v>
      </c>
      <c r="C2433" t="s">
        <v>2175</v>
      </c>
      <c r="D2433" s="9">
        <v>157898</v>
      </c>
      <c r="E2433">
        <v>1.4569999999999999E-4</v>
      </c>
    </row>
    <row r="2434" spans="1:5">
      <c r="A2434">
        <v>2018</v>
      </c>
      <c r="B2434" s="3" t="s">
        <v>570</v>
      </c>
      <c r="C2434" t="s">
        <v>515</v>
      </c>
      <c r="D2434" s="9">
        <v>248980</v>
      </c>
      <c r="E2434">
        <v>2.298E-4</v>
      </c>
    </row>
    <row r="2435" spans="1:5">
      <c r="A2435">
        <v>2018</v>
      </c>
      <c r="B2435" s="3" t="s">
        <v>571</v>
      </c>
      <c r="C2435" t="s">
        <v>516</v>
      </c>
      <c r="D2435" s="9">
        <v>709077</v>
      </c>
      <c r="E2435">
        <v>6.5450000000000003E-4</v>
      </c>
    </row>
    <row r="2436" spans="1:5">
      <c r="A2436">
        <v>2018</v>
      </c>
      <c r="B2436" s="3" t="s">
        <v>572</v>
      </c>
      <c r="C2436" t="s">
        <v>517</v>
      </c>
      <c r="D2436" s="9">
        <v>257852</v>
      </c>
      <c r="E2436">
        <v>2.3800000000000001E-4</v>
      </c>
    </row>
    <row r="2437" spans="1:5">
      <c r="A2437">
        <v>2018</v>
      </c>
      <c r="B2437" s="3" t="s">
        <v>573</v>
      </c>
      <c r="C2437" t="s">
        <v>518</v>
      </c>
      <c r="D2437" s="9">
        <v>338872</v>
      </c>
      <c r="E2437">
        <v>3.1280000000000001E-4</v>
      </c>
    </row>
    <row r="2438" spans="1:5">
      <c r="A2438">
        <v>2018</v>
      </c>
      <c r="B2438" s="3" t="s">
        <v>574</v>
      </c>
      <c r="C2438" t="s">
        <v>2176</v>
      </c>
      <c r="D2438" s="9">
        <v>107722</v>
      </c>
      <c r="E2438">
        <v>9.9400000000000004E-5</v>
      </c>
    </row>
    <row r="2439" spans="1:5">
      <c r="A2439">
        <v>2018</v>
      </c>
      <c r="B2439" s="3" t="s">
        <v>575</v>
      </c>
      <c r="C2439" t="s">
        <v>2177</v>
      </c>
      <c r="D2439" s="9">
        <v>115491</v>
      </c>
      <c r="E2439">
        <v>1.066E-4</v>
      </c>
    </row>
    <row r="2440" spans="1:5">
      <c r="A2440">
        <v>2018</v>
      </c>
      <c r="B2440" s="3" t="s">
        <v>576</v>
      </c>
      <c r="C2440" t="s">
        <v>521</v>
      </c>
      <c r="D2440" s="9">
        <v>182995</v>
      </c>
      <c r="E2440">
        <v>1.6890000000000001E-4</v>
      </c>
    </row>
    <row r="2441" spans="1:5">
      <c r="A2441">
        <v>2018</v>
      </c>
      <c r="B2441" s="3" t="s">
        <v>577</v>
      </c>
      <c r="C2441" t="s">
        <v>2178</v>
      </c>
      <c r="D2441" s="9">
        <v>34949</v>
      </c>
      <c r="E2441">
        <v>3.2299999999999999E-5</v>
      </c>
    </row>
    <row r="2442" spans="1:5">
      <c r="A2442">
        <v>2018</v>
      </c>
      <c r="B2442" s="3" t="s">
        <v>578</v>
      </c>
      <c r="C2442" t="s">
        <v>1705</v>
      </c>
      <c r="D2442" s="9">
        <v>1379109</v>
      </c>
      <c r="E2442">
        <v>1.2729E-3</v>
      </c>
    </row>
    <row r="2443" spans="1:5">
      <c r="A2443">
        <v>2018</v>
      </c>
      <c r="B2443" s="3" t="s">
        <v>579</v>
      </c>
      <c r="C2443" t="s">
        <v>2179</v>
      </c>
      <c r="D2443" s="9"/>
    </row>
    <row r="2444" spans="1:5">
      <c r="A2444">
        <v>2018</v>
      </c>
      <c r="B2444" s="3" t="s">
        <v>379</v>
      </c>
      <c r="C2444" t="s">
        <v>1706</v>
      </c>
      <c r="D2444" s="9">
        <v>641354</v>
      </c>
      <c r="E2444">
        <v>5.9199999999999997E-4</v>
      </c>
    </row>
    <row r="2445" spans="1:5">
      <c r="A2445">
        <v>2018</v>
      </c>
      <c r="B2445" s="3" t="s">
        <v>1451</v>
      </c>
      <c r="C2445" t="s">
        <v>2180</v>
      </c>
      <c r="D2445" s="9"/>
    </row>
    <row r="2446" spans="1:5">
      <c r="A2446">
        <v>2018</v>
      </c>
      <c r="B2446" s="3" t="s">
        <v>1450</v>
      </c>
      <c r="C2446" t="s">
        <v>2180</v>
      </c>
      <c r="D2446" s="9"/>
    </row>
    <row r="2447" spans="1:5">
      <c r="A2447">
        <v>2018</v>
      </c>
      <c r="B2447" s="3" t="s">
        <v>580</v>
      </c>
      <c r="C2447" t="s">
        <v>2181</v>
      </c>
      <c r="D2447" s="9">
        <v>69864</v>
      </c>
      <c r="E2447">
        <v>6.4499999999999996E-5</v>
      </c>
    </row>
    <row r="2448" spans="1:5">
      <c r="A2448">
        <v>2018</v>
      </c>
      <c r="B2448" s="3" t="s">
        <v>581</v>
      </c>
      <c r="C2448" t="s">
        <v>526</v>
      </c>
      <c r="D2448" s="9">
        <v>16038</v>
      </c>
      <c r="E2448">
        <v>1.4800000000000001E-5</v>
      </c>
    </row>
    <row r="2449" spans="1:5">
      <c r="A2449">
        <v>2018</v>
      </c>
      <c r="B2449" s="3" t="s">
        <v>582</v>
      </c>
      <c r="C2449" t="s">
        <v>1710</v>
      </c>
      <c r="D2449" s="9">
        <v>436948</v>
      </c>
      <c r="E2449">
        <v>4.0329999999999999E-4</v>
      </c>
    </row>
    <row r="2450" spans="1:5">
      <c r="A2450">
        <v>2018</v>
      </c>
      <c r="B2450" s="3" t="s">
        <v>583</v>
      </c>
      <c r="C2450" t="s">
        <v>1711</v>
      </c>
      <c r="D2450" s="9">
        <v>15980</v>
      </c>
      <c r="E2450">
        <v>1.47E-5</v>
      </c>
    </row>
    <row r="2451" spans="1:5">
      <c r="A2451">
        <v>2018</v>
      </c>
      <c r="B2451" s="3" t="s">
        <v>380</v>
      </c>
      <c r="C2451" t="s">
        <v>1712</v>
      </c>
      <c r="D2451" s="9">
        <v>428518</v>
      </c>
      <c r="E2451">
        <v>3.9550000000000002E-4</v>
      </c>
    </row>
    <row r="2452" spans="1:5">
      <c r="A2452">
        <v>2018</v>
      </c>
      <c r="B2452" s="3" t="s">
        <v>584</v>
      </c>
      <c r="C2452" t="s">
        <v>2182</v>
      </c>
      <c r="D2452" s="9"/>
    </row>
    <row r="2453" spans="1:5">
      <c r="A2453">
        <v>2018</v>
      </c>
      <c r="B2453" s="3" t="s">
        <v>585</v>
      </c>
      <c r="C2453" t="s">
        <v>2183</v>
      </c>
      <c r="D2453" s="9">
        <v>313228</v>
      </c>
      <c r="E2453">
        <v>2.8909999999999998E-4</v>
      </c>
    </row>
    <row r="2454" spans="1:5">
      <c r="A2454">
        <v>2018</v>
      </c>
      <c r="B2454" s="3" t="s">
        <v>586</v>
      </c>
      <c r="C2454" t="s">
        <v>2184</v>
      </c>
      <c r="D2454" s="9">
        <v>103789</v>
      </c>
      <c r="E2454">
        <v>9.5799999999999998E-5</v>
      </c>
    </row>
    <row r="2455" spans="1:5">
      <c r="A2455">
        <v>2018</v>
      </c>
      <c r="B2455" s="3" t="s">
        <v>587</v>
      </c>
      <c r="C2455" t="s">
        <v>2185</v>
      </c>
      <c r="D2455" s="9">
        <v>155245</v>
      </c>
      <c r="E2455">
        <v>1.4329999999999999E-4</v>
      </c>
    </row>
    <row r="2456" spans="1:5">
      <c r="A2456">
        <v>2018</v>
      </c>
      <c r="B2456" s="3" t="s">
        <v>588</v>
      </c>
      <c r="C2456" t="s">
        <v>533</v>
      </c>
      <c r="D2456" s="9">
        <v>142995</v>
      </c>
      <c r="E2456">
        <v>1.3200000000000001E-4</v>
      </c>
    </row>
    <row r="2457" spans="1:5">
      <c r="A2457">
        <v>2018</v>
      </c>
      <c r="B2457" s="3" t="s">
        <v>589</v>
      </c>
      <c r="C2457" t="s">
        <v>2186</v>
      </c>
      <c r="D2457" s="9">
        <v>5352017</v>
      </c>
      <c r="E2457">
        <v>4.9398999999999997E-3</v>
      </c>
    </row>
    <row r="2458" spans="1:5">
      <c r="A2458">
        <v>2018</v>
      </c>
      <c r="B2458" s="3" t="s">
        <v>381</v>
      </c>
      <c r="C2458" t="s">
        <v>1716</v>
      </c>
      <c r="D2458" s="9">
        <v>3611134</v>
      </c>
      <c r="E2458">
        <v>3.3330999999999999E-3</v>
      </c>
    </row>
    <row r="2459" spans="1:5">
      <c r="A2459">
        <v>2018</v>
      </c>
      <c r="B2459" s="3" t="s">
        <v>590</v>
      </c>
      <c r="C2459" t="s">
        <v>2187</v>
      </c>
      <c r="D2459" s="9">
        <v>4394381</v>
      </c>
      <c r="E2459">
        <v>4.0559999999999997E-3</v>
      </c>
    </row>
    <row r="2460" spans="1:5">
      <c r="A2460">
        <v>2018</v>
      </c>
      <c r="B2460" s="3" t="s">
        <v>1227</v>
      </c>
      <c r="C2460" t="s">
        <v>1718</v>
      </c>
      <c r="D2460" s="9">
        <v>556343</v>
      </c>
      <c r="E2460">
        <v>5.1349999999999996E-4</v>
      </c>
    </row>
    <row r="2461" spans="1:5">
      <c r="A2461">
        <v>2018</v>
      </c>
      <c r="B2461" s="3" t="s">
        <v>591</v>
      </c>
      <c r="C2461" t="s">
        <v>536</v>
      </c>
      <c r="D2461" s="9">
        <v>52235</v>
      </c>
      <c r="E2461">
        <v>4.8199999999999999E-5</v>
      </c>
    </row>
    <row r="2462" spans="1:5">
      <c r="A2462">
        <v>2018</v>
      </c>
      <c r="B2462" s="3" t="s">
        <v>592</v>
      </c>
      <c r="C2462" t="s">
        <v>2188</v>
      </c>
      <c r="D2462" s="9">
        <v>2715429</v>
      </c>
      <c r="E2462">
        <v>2.5062999999999999E-3</v>
      </c>
    </row>
    <row r="2463" spans="1:5">
      <c r="A2463">
        <v>2018</v>
      </c>
      <c r="B2463" s="3" t="s">
        <v>1456</v>
      </c>
      <c r="C2463" t="s">
        <v>2189</v>
      </c>
      <c r="D2463" s="9">
        <v>16191</v>
      </c>
      <c r="E2463">
        <v>1.49E-5</v>
      </c>
    </row>
    <row r="2464" spans="1:5">
      <c r="A2464">
        <v>2018</v>
      </c>
      <c r="B2464" s="3" t="s">
        <v>593</v>
      </c>
      <c r="C2464" t="s">
        <v>1721</v>
      </c>
      <c r="D2464" s="9">
        <v>596683</v>
      </c>
      <c r="E2464">
        <v>5.507E-4</v>
      </c>
    </row>
    <row r="2465" spans="1:5">
      <c r="A2465">
        <v>2018</v>
      </c>
      <c r="B2465" s="3" t="s">
        <v>594</v>
      </c>
      <c r="C2465" t="s">
        <v>2190</v>
      </c>
      <c r="D2465" s="9">
        <v>16920</v>
      </c>
      <c r="E2465">
        <v>1.56E-5</v>
      </c>
    </row>
    <row r="2466" spans="1:5">
      <c r="A2466">
        <v>2018</v>
      </c>
      <c r="B2466" s="3" t="s">
        <v>595</v>
      </c>
      <c r="C2466" t="s">
        <v>2191</v>
      </c>
      <c r="D2466" s="9">
        <v>510661</v>
      </c>
      <c r="E2466">
        <v>4.7130000000000002E-4</v>
      </c>
    </row>
    <row r="2467" spans="1:5">
      <c r="A2467">
        <v>2018</v>
      </c>
      <c r="B2467" s="3" t="s">
        <v>596</v>
      </c>
      <c r="C2467" t="s">
        <v>2192</v>
      </c>
      <c r="D2467" s="9">
        <v>691030</v>
      </c>
      <c r="E2467">
        <v>6.378E-4</v>
      </c>
    </row>
    <row r="2468" spans="1:5">
      <c r="A2468">
        <v>2018</v>
      </c>
      <c r="B2468" s="3" t="s">
        <v>597</v>
      </c>
      <c r="C2468" t="s">
        <v>2193</v>
      </c>
      <c r="D2468" s="9">
        <v>2194444</v>
      </c>
      <c r="E2468">
        <v>2.0255E-3</v>
      </c>
    </row>
    <row r="2469" spans="1:5">
      <c r="A2469">
        <v>2018</v>
      </c>
      <c r="B2469" s="3" t="s">
        <v>598</v>
      </c>
      <c r="C2469" t="s">
        <v>543</v>
      </c>
      <c r="D2469" s="9">
        <v>249793</v>
      </c>
      <c r="E2469">
        <v>2.3059999999999999E-4</v>
      </c>
    </row>
    <row r="2470" spans="1:5">
      <c r="A2470">
        <v>2018</v>
      </c>
      <c r="B2470" s="3" t="s">
        <v>1228</v>
      </c>
      <c r="C2470" t="s">
        <v>1725</v>
      </c>
      <c r="D2470" s="9">
        <v>34871</v>
      </c>
      <c r="E2470">
        <v>3.2199999999999997E-5</v>
      </c>
    </row>
    <row r="2471" spans="1:5">
      <c r="A2471">
        <v>2018</v>
      </c>
      <c r="B2471" s="3" t="s">
        <v>599</v>
      </c>
      <c r="C2471" t="s">
        <v>2194</v>
      </c>
      <c r="D2471" s="9">
        <v>140699</v>
      </c>
      <c r="E2471">
        <v>1.2990000000000001E-4</v>
      </c>
    </row>
    <row r="2472" spans="1:5">
      <c r="A2472">
        <v>2018</v>
      </c>
      <c r="B2472" s="3" t="s">
        <v>600</v>
      </c>
      <c r="C2472" t="s">
        <v>2195</v>
      </c>
      <c r="D2472" s="9">
        <v>2097812</v>
      </c>
      <c r="E2472">
        <v>1.9363E-3</v>
      </c>
    </row>
    <row r="2473" spans="1:5">
      <c r="A2473">
        <v>2018</v>
      </c>
      <c r="B2473" s="3" t="s">
        <v>601</v>
      </c>
      <c r="C2473" t="s">
        <v>1728</v>
      </c>
      <c r="D2473" s="9">
        <v>1062198</v>
      </c>
      <c r="E2473">
        <v>9.8039999999999998E-4</v>
      </c>
    </row>
    <row r="2474" spans="1:5">
      <c r="A2474">
        <v>2018</v>
      </c>
      <c r="B2474" s="3" t="s">
        <v>602</v>
      </c>
      <c r="C2474" t="s">
        <v>547</v>
      </c>
      <c r="D2474" s="9">
        <v>70929</v>
      </c>
      <c r="E2474">
        <v>6.5500000000000006E-5</v>
      </c>
    </row>
    <row r="2475" spans="1:5">
      <c r="A2475">
        <v>2018</v>
      </c>
      <c r="B2475" s="3" t="s">
        <v>603</v>
      </c>
      <c r="C2475" t="s">
        <v>548</v>
      </c>
      <c r="D2475" s="9">
        <v>98087</v>
      </c>
      <c r="E2475">
        <v>9.0500000000000004E-5</v>
      </c>
    </row>
    <row r="2476" spans="1:5">
      <c r="A2476">
        <v>2018</v>
      </c>
      <c r="B2476" s="3" t="s">
        <v>604</v>
      </c>
      <c r="C2476" t="s">
        <v>2196</v>
      </c>
      <c r="D2476" s="9">
        <v>216504</v>
      </c>
      <c r="E2476">
        <v>1.998E-4</v>
      </c>
    </row>
    <row r="2477" spans="1:5">
      <c r="A2477">
        <v>2018</v>
      </c>
      <c r="B2477" s="3" t="s">
        <v>1229</v>
      </c>
      <c r="C2477" t="s">
        <v>1730</v>
      </c>
      <c r="D2477" s="9">
        <v>148399</v>
      </c>
      <c r="E2477">
        <v>1.37E-4</v>
      </c>
    </row>
    <row r="2478" spans="1:5">
      <c r="A2478">
        <v>2018</v>
      </c>
      <c r="B2478" s="3" t="s">
        <v>660</v>
      </c>
      <c r="C2478" t="s">
        <v>605</v>
      </c>
      <c r="D2478" s="9">
        <v>1815533</v>
      </c>
      <c r="E2478">
        <v>1.6757E-3</v>
      </c>
    </row>
    <row r="2479" spans="1:5">
      <c r="A2479">
        <v>2018</v>
      </c>
      <c r="B2479" s="3" t="s">
        <v>661</v>
      </c>
      <c r="C2479" t="s">
        <v>2197</v>
      </c>
      <c r="D2479" s="9">
        <v>19021</v>
      </c>
      <c r="E2479">
        <v>1.7600000000000001E-5</v>
      </c>
    </row>
    <row r="2480" spans="1:5">
      <c r="A2480">
        <v>2018</v>
      </c>
      <c r="B2480" s="3" t="s">
        <v>662</v>
      </c>
      <c r="C2480" t="s">
        <v>2198</v>
      </c>
      <c r="D2480" s="9">
        <v>15700</v>
      </c>
      <c r="E2480">
        <v>1.45E-5</v>
      </c>
    </row>
    <row r="2481" spans="1:5">
      <c r="A2481">
        <v>2018</v>
      </c>
      <c r="B2481" s="3" t="s">
        <v>663</v>
      </c>
      <c r="C2481" t="s">
        <v>608</v>
      </c>
      <c r="D2481" s="9">
        <v>28036</v>
      </c>
      <c r="E2481">
        <v>2.5899999999999999E-5</v>
      </c>
    </row>
    <row r="2482" spans="1:5">
      <c r="A2482">
        <v>2018</v>
      </c>
      <c r="B2482" s="3" t="s">
        <v>664</v>
      </c>
      <c r="C2482" t="s">
        <v>609</v>
      </c>
      <c r="D2482" s="9">
        <v>18021817</v>
      </c>
      <c r="E2482">
        <v>1.6633999999999999E-2</v>
      </c>
    </row>
    <row r="2483" spans="1:5">
      <c r="A2483">
        <v>2018</v>
      </c>
      <c r="B2483" s="3" t="s">
        <v>1230</v>
      </c>
      <c r="C2483" t="s">
        <v>1731</v>
      </c>
      <c r="D2483" s="9">
        <v>5388610</v>
      </c>
      <c r="E2483">
        <v>4.9735999999999999E-3</v>
      </c>
    </row>
    <row r="2484" spans="1:5">
      <c r="A2484">
        <v>2018</v>
      </c>
      <c r="B2484" s="3" t="s">
        <v>665</v>
      </c>
      <c r="C2484" t="s">
        <v>1732</v>
      </c>
      <c r="D2484" s="9">
        <v>5768106</v>
      </c>
      <c r="E2484">
        <v>5.3239000000000003E-3</v>
      </c>
    </row>
    <row r="2485" spans="1:5">
      <c r="A2485">
        <v>2018</v>
      </c>
      <c r="B2485" s="3" t="s">
        <v>666</v>
      </c>
      <c r="C2485" t="s">
        <v>2199</v>
      </c>
      <c r="D2485" s="9">
        <v>8850107</v>
      </c>
      <c r="E2485">
        <v>8.1685999999999998E-3</v>
      </c>
    </row>
    <row r="2486" spans="1:5">
      <c r="A2486">
        <v>2018</v>
      </c>
      <c r="B2486" s="3" t="s">
        <v>382</v>
      </c>
      <c r="C2486" t="s">
        <v>1734</v>
      </c>
      <c r="D2486" s="9">
        <v>7489055</v>
      </c>
      <c r="E2486">
        <v>6.9122999999999997E-3</v>
      </c>
    </row>
    <row r="2487" spans="1:5">
      <c r="A2487">
        <v>2018</v>
      </c>
      <c r="B2487" s="3" t="s">
        <v>667</v>
      </c>
      <c r="C2487" t="s">
        <v>1735</v>
      </c>
      <c r="D2487" s="9">
        <v>772057</v>
      </c>
      <c r="E2487">
        <v>7.1259999999999997E-4</v>
      </c>
    </row>
    <row r="2488" spans="1:5">
      <c r="A2488">
        <v>2018</v>
      </c>
      <c r="B2488" s="3" t="s">
        <v>383</v>
      </c>
      <c r="C2488" t="s">
        <v>1736</v>
      </c>
      <c r="D2488" s="9">
        <v>266529</v>
      </c>
      <c r="E2488">
        <v>2.4600000000000002E-4</v>
      </c>
    </row>
    <row r="2489" spans="1:5">
      <c r="A2489">
        <v>2018</v>
      </c>
      <c r="B2489" s="3" t="s">
        <v>668</v>
      </c>
      <c r="C2489" t="s">
        <v>613</v>
      </c>
      <c r="D2489" s="9">
        <v>243120</v>
      </c>
      <c r="E2489">
        <v>2.2440000000000001E-4</v>
      </c>
    </row>
    <row r="2490" spans="1:5">
      <c r="A2490">
        <v>2018</v>
      </c>
      <c r="B2490" s="3" t="s">
        <v>384</v>
      </c>
      <c r="C2490" t="s">
        <v>1737</v>
      </c>
      <c r="D2490" s="9">
        <v>2891615</v>
      </c>
      <c r="E2490">
        <v>2.6689000000000001E-3</v>
      </c>
    </row>
    <row r="2491" spans="1:5">
      <c r="A2491">
        <v>2018</v>
      </c>
      <c r="B2491" s="3" t="s">
        <v>669</v>
      </c>
      <c r="C2491" t="s">
        <v>614</v>
      </c>
      <c r="D2491" s="9">
        <v>70711</v>
      </c>
      <c r="E2491">
        <v>6.5300000000000002E-5</v>
      </c>
    </row>
    <row r="2492" spans="1:5">
      <c r="A2492">
        <v>2018</v>
      </c>
      <c r="B2492" s="3" t="s">
        <v>670</v>
      </c>
      <c r="C2492" t="s">
        <v>615</v>
      </c>
      <c r="D2492" s="9">
        <v>655399</v>
      </c>
      <c r="E2492">
        <v>6.0490000000000001E-4</v>
      </c>
    </row>
    <row r="2493" spans="1:5">
      <c r="A2493">
        <v>2018</v>
      </c>
      <c r="B2493" s="3" t="s">
        <v>671</v>
      </c>
      <c r="C2493" t="s">
        <v>2200</v>
      </c>
      <c r="D2493" s="9"/>
    </row>
    <row r="2494" spans="1:5">
      <c r="A2494">
        <v>2018</v>
      </c>
      <c r="B2494" s="3" t="s">
        <v>672</v>
      </c>
      <c r="C2494" t="s">
        <v>2201</v>
      </c>
      <c r="D2494" s="9">
        <v>295791</v>
      </c>
      <c r="E2494">
        <v>2.7300000000000002E-4</v>
      </c>
    </row>
    <row r="2495" spans="1:5">
      <c r="A2495">
        <v>2018</v>
      </c>
      <c r="B2495" s="3" t="s">
        <v>673</v>
      </c>
      <c r="C2495" t="s">
        <v>618</v>
      </c>
      <c r="D2495" s="9">
        <v>98060</v>
      </c>
      <c r="E2495">
        <v>9.0500000000000004E-5</v>
      </c>
    </row>
    <row r="2496" spans="1:5">
      <c r="A2496">
        <v>2018</v>
      </c>
      <c r="B2496" s="3" t="s">
        <v>674</v>
      </c>
      <c r="C2496" t="s">
        <v>2202</v>
      </c>
      <c r="D2496" s="9">
        <v>45611</v>
      </c>
      <c r="E2496">
        <v>4.21E-5</v>
      </c>
    </row>
    <row r="2497" spans="1:5">
      <c r="A2497">
        <v>2018</v>
      </c>
      <c r="B2497" s="3" t="s">
        <v>675</v>
      </c>
      <c r="C2497" t="s">
        <v>620</v>
      </c>
      <c r="D2497" s="9">
        <v>630473</v>
      </c>
      <c r="E2497">
        <v>5.819E-4</v>
      </c>
    </row>
    <row r="2498" spans="1:5">
      <c r="A2498">
        <v>2018</v>
      </c>
      <c r="B2498" s="3" t="s">
        <v>676</v>
      </c>
      <c r="C2498" t="s">
        <v>2203</v>
      </c>
      <c r="D2498" s="9">
        <v>7385</v>
      </c>
      <c r="E2498">
        <v>6.8000000000000001E-6</v>
      </c>
    </row>
    <row r="2499" spans="1:5">
      <c r="A2499">
        <v>2018</v>
      </c>
      <c r="B2499" s="3" t="s">
        <v>677</v>
      </c>
      <c r="C2499" t="s">
        <v>622</v>
      </c>
      <c r="D2499" s="9">
        <v>5848</v>
      </c>
      <c r="E2499">
        <v>5.4E-6</v>
      </c>
    </row>
    <row r="2500" spans="1:5">
      <c r="A2500">
        <v>2018</v>
      </c>
      <c r="B2500" s="3" t="s">
        <v>1463</v>
      </c>
      <c r="C2500" t="s">
        <v>2204</v>
      </c>
      <c r="D2500" s="9">
        <v>67600</v>
      </c>
      <c r="E2500">
        <v>6.2399999999999999E-5</v>
      </c>
    </row>
    <row r="2501" spans="1:5">
      <c r="A2501">
        <v>2018</v>
      </c>
      <c r="B2501" s="3" t="s">
        <v>678</v>
      </c>
      <c r="C2501" t="s">
        <v>1458</v>
      </c>
      <c r="D2501" s="9"/>
    </row>
    <row r="2502" spans="1:5">
      <c r="A2502">
        <v>2018</v>
      </c>
      <c r="B2502" s="3" t="s">
        <v>1231</v>
      </c>
      <c r="C2502" t="s">
        <v>1742</v>
      </c>
      <c r="D2502" s="9">
        <v>84599</v>
      </c>
      <c r="E2502">
        <v>7.8100000000000001E-5</v>
      </c>
    </row>
    <row r="2503" spans="1:5">
      <c r="A2503">
        <v>2018</v>
      </c>
      <c r="B2503" s="3" t="s">
        <v>679</v>
      </c>
      <c r="C2503" t="s">
        <v>1459</v>
      </c>
      <c r="D2503" s="9" t="s">
        <v>2462</v>
      </c>
    </row>
    <row r="2504" spans="1:5">
      <c r="A2504">
        <v>2018</v>
      </c>
      <c r="B2504" s="3" t="s">
        <v>680</v>
      </c>
      <c r="C2504" t="s">
        <v>2205</v>
      </c>
      <c r="D2504" s="9">
        <v>46285</v>
      </c>
      <c r="E2504">
        <v>4.2700000000000001E-5</v>
      </c>
    </row>
    <row r="2505" spans="1:5">
      <c r="A2505">
        <v>2018</v>
      </c>
      <c r="B2505" s="3" t="s">
        <v>681</v>
      </c>
      <c r="C2505" t="s">
        <v>626</v>
      </c>
      <c r="D2505" s="9">
        <v>237220</v>
      </c>
      <c r="E2505">
        <v>2.1900000000000001E-4</v>
      </c>
    </row>
    <row r="2506" spans="1:5">
      <c r="A2506">
        <v>2018</v>
      </c>
      <c r="B2506" s="3" t="s">
        <v>682</v>
      </c>
      <c r="C2506" t="s">
        <v>2206</v>
      </c>
      <c r="D2506" s="9">
        <v>31875</v>
      </c>
      <c r="E2506">
        <v>2.94E-5</v>
      </c>
    </row>
    <row r="2507" spans="1:5">
      <c r="A2507">
        <v>2018</v>
      </c>
      <c r="B2507" s="3" t="s">
        <v>1232</v>
      </c>
      <c r="C2507" t="s">
        <v>1745</v>
      </c>
      <c r="D2507" s="9">
        <v>86154</v>
      </c>
      <c r="E2507">
        <v>7.9499999999999994E-5</v>
      </c>
    </row>
    <row r="2508" spans="1:5">
      <c r="A2508">
        <v>2018</v>
      </c>
      <c r="B2508" s="3" t="s">
        <v>683</v>
      </c>
      <c r="C2508" t="s">
        <v>2207</v>
      </c>
      <c r="D2508" s="9">
        <v>192784</v>
      </c>
      <c r="E2508">
        <v>1.7789999999999999E-4</v>
      </c>
    </row>
    <row r="2509" spans="1:5">
      <c r="A2509">
        <v>2018</v>
      </c>
      <c r="B2509" s="3" t="s">
        <v>685</v>
      </c>
      <c r="C2509" t="s">
        <v>1461</v>
      </c>
      <c r="D2509" s="9">
        <v>19007</v>
      </c>
      <c r="E2509">
        <v>1.7499999999999998E-5</v>
      </c>
    </row>
    <row r="2510" spans="1:5">
      <c r="A2510">
        <v>2018</v>
      </c>
      <c r="B2510" s="3" t="s">
        <v>686</v>
      </c>
      <c r="C2510" t="s">
        <v>2208</v>
      </c>
      <c r="D2510" s="9">
        <v>274117</v>
      </c>
      <c r="E2510">
        <v>2.5300000000000002E-4</v>
      </c>
    </row>
    <row r="2511" spans="1:5">
      <c r="A2511">
        <v>2018</v>
      </c>
      <c r="B2511" s="3" t="s">
        <v>687</v>
      </c>
      <c r="C2511" t="s">
        <v>632</v>
      </c>
      <c r="D2511" s="9">
        <v>745523</v>
      </c>
      <c r="E2511">
        <v>6.8809999999999997E-4</v>
      </c>
    </row>
    <row r="2512" spans="1:5">
      <c r="A2512">
        <v>2018</v>
      </c>
      <c r="B2512" s="3" t="s">
        <v>688</v>
      </c>
      <c r="C2512" t="s">
        <v>1748</v>
      </c>
      <c r="D2512" s="9">
        <v>17192</v>
      </c>
      <c r="E2512">
        <v>1.59E-5</v>
      </c>
    </row>
    <row r="2513" spans="1:5">
      <c r="A2513">
        <v>2018</v>
      </c>
      <c r="B2513" s="3" t="s">
        <v>689</v>
      </c>
      <c r="C2513" t="s">
        <v>1749</v>
      </c>
      <c r="D2513" s="9">
        <v>5444951</v>
      </c>
      <c r="E2513">
        <v>5.0257000000000001E-3</v>
      </c>
    </row>
    <row r="2514" spans="1:5">
      <c r="A2514">
        <v>2018</v>
      </c>
      <c r="B2514" s="3" t="s">
        <v>690</v>
      </c>
      <c r="C2514" t="s">
        <v>2209</v>
      </c>
      <c r="D2514" s="9">
        <v>17266</v>
      </c>
      <c r="E2514">
        <v>1.59E-5</v>
      </c>
    </row>
    <row r="2515" spans="1:5">
      <c r="A2515">
        <v>2018</v>
      </c>
      <c r="B2515" s="3" t="s">
        <v>691</v>
      </c>
      <c r="C2515" t="s">
        <v>1751</v>
      </c>
      <c r="D2515" s="9">
        <v>1350421</v>
      </c>
      <c r="E2515">
        <v>1.2463999999999999E-3</v>
      </c>
    </row>
    <row r="2516" spans="1:5">
      <c r="A2516">
        <v>2018</v>
      </c>
      <c r="B2516" s="3" t="s">
        <v>440</v>
      </c>
      <c r="C2516" t="s">
        <v>1752</v>
      </c>
      <c r="D2516" s="9">
        <v>168768</v>
      </c>
      <c r="E2516">
        <v>1.5579999999999999E-4</v>
      </c>
    </row>
    <row r="2517" spans="1:5">
      <c r="A2517">
        <v>2018</v>
      </c>
      <c r="B2517" s="3" t="s">
        <v>1464</v>
      </c>
      <c r="C2517" t="s">
        <v>2210</v>
      </c>
      <c r="D2517" s="9">
        <v>305402</v>
      </c>
      <c r="E2517">
        <v>2.8190000000000002E-4</v>
      </c>
    </row>
    <row r="2518" spans="1:5">
      <c r="A2518">
        <v>2018</v>
      </c>
      <c r="B2518" s="3" t="s">
        <v>684</v>
      </c>
      <c r="C2518" t="s">
        <v>2210</v>
      </c>
      <c r="D2518" s="9">
        <v>349254</v>
      </c>
      <c r="E2518">
        <v>3.2239999999999998E-4</v>
      </c>
    </row>
    <row r="2519" spans="1:5">
      <c r="A2519">
        <v>2018</v>
      </c>
      <c r="B2519" s="3" t="s">
        <v>692</v>
      </c>
      <c r="C2519" t="s">
        <v>2211</v>
      </c>
      <c r="D2519" s="9">
        <v>221677</v>
      </c>
      <c r="E2519">
        <v>2.0460000000000001E-4</v>
      </c>
    </row>
    <row r="2520" spans="1:5">
      <c r="A2520">
        <v>2018</v>
      </c>
      <c r="B2520" s="3" t="s">
        <v>1356</v>
      </c>
      <c r="C2520" t="s">
        <v>2212</v>
      </c>
      <c r="D2520" s="9">
        <v>159951</v>
      </c>
      <c r="E2520">
        <v>1.4760000000000001E-4</v>
      </c>
    </row>
    <row r="2521" spans="1:5">
      <c r="A2521">
        <v>2018</v>
      </c>
      <c r="B2521" s="3" t="s">
        <v>693</v>
      </c>
      <c r="C2521" t="s">
        <v>2213</v>
      </c>
      <c r="D2521" s="9">
        <v>87927</v>
      </c>
      <c r="E2521">
        <v>8.1199999999999995E-5</v>
      </c>
    </row>
    <row r="2522" spans="1:5">
      <c r="A2522">
        <v>2018</v>
      </c>
      <c r="B2522" s="3" t="s">
        <v>694</v>
      </c>
      <c r="C2522" t="s">
        <v>2214</v>
      </c>
      <c r="D2522" s="9">
        <v>2639512</v>
      </c>
      <c r="E2522">
        <v>2.4363000000000002E-3</v>
      </c>
    </row>
    <row r="2523" spans="1:5">
      <c r="A2523">
        <v>2018</v>
      </c>
      <c r="B2523" s="3" t="s">
        <v>695</v>
      </c>
      <c r="C2523" t="s">
        <v>2215</v>
      </c>
      <c r="D2523" s="9">
        <v>97477</v>
      </c>
      <c r="E2523">
        <v>9.0000000000000006E-5</v>
      </c>
    </row>
    <row r="2524" spans="1:5">
      <c r="A2524">
        <v>2018</v>
      </c>
      <c r="B2524" s="3" t="s">
        <v>1781</v>
      </c>
      <c r="C2524" t="s">
        <v>1759</v>
      </c>
      <c r="D2524" s="9">
        <v>206424</v>
      </c>
      <c r="E2524">
        <v>1.905E-4</v>
      </c>
    </row>
    <row r="2525" spans="1:5">
      <c r="A2525">
        <v>2018</v>
      </c>
      <c r="B2525" s="3" t="s">
        <v>916</v>
      </c>
      <c r="C2525" t="s">
        <v>1760</v>
      </c>
      <c r="D2525" s="9">
        <v>55790</v>
      </c>
      <c r="E2525">
        <v>5.1499999999999998E-5</v>
      </c>
    </row>
    <row r="2526" spans="1:5">
      <c r="A2526">
        <v>2018</v>
      </c>
      <c r="B2526" s="3" t="s">
        <v>696</v>
      </c>
      <c r="C2526" t="s">
        <v>641</v>
      </c>
      <c r="D2526" s="9">
        <v>24893</v>
      </c>
      <c r="E2526">
        <v>2.3E-5</v>
      </c>
    </row>
    <row r="2527" spans="1:5">
      <c r="A2527">
        <v>2018</v>
      </c>
      <c r="B2527" s="3" t="s">
        <v>697</v>
      </c>
      <c r="C2527" t="s">
        <v>2216</v>
      </c>
      <c r="D2527" s="9">
        <v>139015</v>
      </c>
      <c r="E2527">
        <v>1.283E-4</v>
      </c>
    </row>
    <row r="2528" spans="1:5">
      <c r="A2528">
        <v>2018</v>
      </c>
      <c r="B2528" s="3" t="s">
        <v>698</v>
      </c>
      <c r="C2528" t="s">
        <v>1762</v>
      </c>
      <c r="D2528" s="9">
        <v>4086886</v>
      </c>
      <c r="E2528">
        <v>3.7721999999999999E-3</v>
      </c>
    </row>
    <row r="2529" spans="1:5">
      <c r="A2529">
        <v>2018</v>
      </c>
      <c r="B2529" s="3" t="s">
        <v>699</v>
      </c>
      <c r="C2529" t="s">
        <v>1763</v>
      </c>
      <c r="D2529" s="9">
        <v>2052525</v>
      </c>
      <c r="E2529">
        <v>1.8944999999999999E-3</v>
      </c>
    </row>
    <row r="2530" spans="1:5">
      <c r="A2530">
        <v>2018</v>
      </c>
      <c r="B2530" s="3" t="s">
        <v>700</v>
      </c>
      <c r="C2530" t="s">
        <v>2217</v>
      </c>
      <c r="D2530" s="9">
        <v>15548</v>
      </c>
      <c r="E2530">
        <v>1.4399999999999999E-5</v>
      </c>
    </row>
    <row r="2531" spans="1:5">
      <c r="A2531">
        <v>2018</v>
      </c>
      <c r="B2531" s="3" t="s">
        <v>701</v>
      </c>
      <c r="C2531" t="s">
        <v>1765</v>
      </c>
      <c r="D2531" s="9">
        <v>284217</v>
      </c>
      <c r="E2531">
        <v>2.6229999999999998E-4</v>
      </c>
    </row>
    <row r="2532" spans="1:5">
      <c r="A2532">
        <v>2018</v>
      </c>
      <c r="B2532" s="3" t="s">
        <v>702</v>
      </c>
      <c r="C2532" t="s">
        <v>2218</v>
      </c>
      <c r="D2532" s="9">
        <v>313503</v>
      </c>
      <c r="E2532">
        <v>2.8939999999999999E-4</v>
      </c>
    </row>
    <row r="2533" spans="1:5">
      <c r="A2533">
        <v>2018</v>
      </c>
      <c r="B2533" s="3" t="s">
        <v>703</v>
      </c>
      <c r="C2533" t="s">
        <v>1767</v>
      </c>
      <c r="D2533" s="9">
        <v>1688446</v>
      </c>
      <c r="E2533">
        <v>1.5583999999999999E-3</v>
      </c>
    </row>
    <row r="2534" spans="1:5">
      <c r="A2534">
        <v>2018</v>
      </c>
      <c r="B2534" s="3" t="s">
        <v>1233</v>
      </c>
      <c r="C2534" t="s">
        <v>1768</v>
      </c>
      <c r="D2534" s="9">
        <v>81196</v>
      </c>
      <c r="E2534">
        <v>7.4900000000000005E-5</v>
      </c>
    </row>
    <row r="2535" spans="1:5">
      <c r="A2535">
        <v>2018</v>
      </c>
      <c r="B2535" s="3" t="s">
        <v>704</v>
      </c>
      <c r="C2535" t="s">
        <v>1769</v>
      </c>
      <c r="D2535" s="9">
        <v>105424</v>
      </c>
      <c r="E2535">
        <v>9.7299999999999993E-5</v>
      </c>
    </row>
    <row r="2536" spans="1:5">
      <c r="A2536">
        <v>2018</v>
      </c>
      <c r="B2536" s="3" t="s">
        <v>705</v>
      </c>
      <c r="C2536" t="s">
        <v>1770</v>
      </c>
      <c r="D2536" s="9">
        <v>523712</v>
      </c>
      <c r="E2536">
        <v>4.8339999999999999E-4</v>
      </c>
    </row>
    <row r="2537" spans="1:5">
      <c r="A2537">
        <v>2018</v>
      </c>
      <c r="B2537" s="3" t="s">
        <v>706</v>
      </c>
      <c r="C2537" t="s">
        <v>1771</v>
      </c>
      <c r="D2537" s="9">
        <v>2952028</v>
      </c>
      <c r="E2537">
        <v>2.7247E-3</v>
      </c>
    </row>
    <row r="2538" spans="1:5">
      <c r="A2538">
        <v>2018</v>
      </c>
      <c r="B2538" s="3" t="s">
        <v>441</v>
      </c>
      <c r="C2538" t="s">
        <v>1772</v>
      </c>
      <c r="D2538" s="9">
        <v>1170093</v>
      </c>
      <c r="E2538">
        <v>1.08E-3</v>
      </c>
    </row>
    <row r="2539" spans="1:5">
      <c r="A2539">
        <v>2018</v>
      </c>
      <c r="B2539" s="3" t="s">
        <v>707</v>
      </c>
      <c r="C2539" t="s">
        <v>2219</v>
      </c>
      <c r="D2539" s="9">
        <v>62481</v>
      </c>
      <c r="E2539">
        <v>5.77E-5</v>
      </c>
    </row>
    <row r="2540" spans="1:5">
      <c r="A2540">
        <v>2018</v>
      </c>
      <c r="B2540" s="3" t="s">
        <v>708</v>
      </c>
      <c r="C2540" t="s">
        <v>1774</v>
      </c>
      <c r="D2540" s="9">
        <v>8980173</v>
      </c>
      <c r="E2540">
        <v>8.2886000000000001E-3</v>
      </c>
    </row>
    <row r="2541" spans="1:5">
      <c r="A2541">
        <v>2018</v>
      </c>
      <c r="B2541" s="3" t="s">
        <v>709</v>
      </c>
      <c r="C2541" t="s">
        <v>654</v>
      </c>
      <c r="D2541" s="9">
        <v>737012</v>
      </c>
      <c r="E2541">
        <v>6.803E-4</v>
      </c>
    </row>
    <row r="2542" spans="1:5">
      <c r="A2542">
        <v>2018</v>
      </c>
      <c r="B2542" s="3" t="s">
        <v>710</v>
      </c>
      <c r="C2542" t="s">
        <v>2220</v>
      </c>
      <c r="D2542" s="9">
        <v>2387099</v>
      </c>
      <c r="E2542">
        <v>2.2033000000000001E-3</v>
      </c>
    </row>
    <row r="2543" spans="1:5">
      <c r="A2543">
        <v>2018</v>
      </c>
      <c r="B2543" s="3" t="s">
        <v>442</v>
      </c>
      <c r="C2543" t="s">
        <v>1776</v>
      </c>
      <c r="D2543" s="9">
        <v>1785000</v>
      </c>
      <c r="E2543">
        <v>1.6475000000000001E-3</v>
      </c>
    </row>
    <row r="2544" spans="1:5">
      <c r="A2544">
        <v>2018</v>
      </c>
      <c r="B2544" s="3" t="s">
        <v>711</v>
      </c>
      <c r="C2544" t="s">
        <v>1777</v>
      </c>
      <c r="D2544" s="9"/>
    </row>
    <row r="2545" spans="1:5">
      <c r="A2545">
        <v>2018</v>
      </c>
      <c r="B2545" s="3" t="s">
        <v>712</v>
      </c>
      <c r="C2545" t="s">
        <v>2221</v>
      </c>
      <c r="D2545" s="9">
        <v>3360829</v>
      </c>
      <c r="E2545">
        <v>3.1020000000000002E-3</v>
      </c>
    </row>
    <row r="2546" spans="1:5">
      <c r="A2546">
        <v>2018</v>
      </c>
      <c r="B2546" s="3" t="s">
        <v>713</v>
      </c>
      <c r="C2546" t="s">
        <v>1779</v>
      </c>
      <c r="D2546" s="9">
        <v>150028</v>
      </c>
      <c r="E2546">
        <v>1.3850000000000001E-4</v>
      </c>
    </row>
    <row r="2547" spans="1:5">
      <c r="A2547">
        <v>2018</v>
      </c>
      <c r="B2547" s="3" t="s">
        <v>714</v>
      </c>
      <c r="C2547" t="s">
        <v>2222</v>
      </c>
      <c r="D2547" s="9">
        <v>1547887</v>
      </c>
      <c r="E2547">
        <v>1.4287E-3</v>
      </c>
    </row>
    <row r="2548" spans="1:5">
      <c r="A2548">
        <v>2018</v>
      </c>
      <c r="B2548" s="3" t="s">
        <v>770</v>
      </c>
      <c r="C2548" t="s">
        <v>715</v>
      </c>
      <c r="D2548" s="9">
        <v>50574</v>
      </c>
      <c r="E2548">
        <v>4.6699999999999997E-5</v>
      </c>
    </row>
    <row r="2549" spans="1:5">
      <c r="A2549">
        <v>2018</v>
      </c>
      <c r="B2549" s="3" t="s">
        <v>771</v>
      </c>
      <c r="C2549" t="s">
        <v>1782</v>
      </c>
      <c r="D2549" s="9">
        <v>32604</v>
      </c>
      <c r="E2549">
        <v>3.01E-5</v>
      </c>
    </row>
    <row r="2550" spans="1:5">
      <c r="A2550">
        <v>2018</v>
      </c>
      <c r="B2550" s="3" t="s">
        <v>772</v>
      </c>
      <c r="C2550" t="s">
        <v>1783</v>
      </c>
      <c r="D2550" s="9"/>
    </row>
    <row r="2551" spans="1:5">
      <c r="A2551">
        <v>2018</v>
      </c>
      <c r="B2551" s="3" t="s">
        <v>773</v>
      </c>
      <c r="C2551" t="s">
        <v>2223</v>
      </c>
      <c r="D2551" s="9">
        <v>5176139</v>
      </c>
      <c r="E2551">
        <v>4.7774999999999996E-3</v>
      </c>
    </row>
    <row r="2552" spans="1:5">
      <c r="A2552">
        <v>2018</v>
      </c>
      <c r="B2552" s="3" t="s">
        <v>443</v>
      </c>
      <c r="C2552" t="s">
        <v>1785</v>
      </c>
      <c r="D2552" s="9">
        <v>227991</v>
      </c>
      <c r="E2552">
        <v>2.1039999999999999E-4</v>
      </c>
    </row>
    <row r="2553" spans="1:5">
      <c r="A2553">
        <v>2018</v>
      </c>
      <c r="B2553" s="3" t="s">
        <v>774</v>
      </c>
      <c r="C2553" t="s">
        <v>2224</v>
      </c>
      <c r="D2553" s="9">
        <v>212105</v>
      </c>
      <c r="E2553">
        <v>1.9579999999999999E-4</v>
      </c>
    </row>
    <row r="2554" spans="1:5">
      <c r="A2554">
        <v>2018</v>
      </c>
      <c r="B2554" s="3" t="s">
        <v>775</v>
      </c>
      <c r="C2554" t="s">
        <v>2225</v>
      </c>
      <c r="D2554" s="9">
        <v>2609832</v>
      </c>
      <c r="E2554">
        <v>2.4088999999999998E-3</v>
      </c>
    </row>
    <row r="2555" spans="1:5">
      <c r="A2555">
        <v>2018</v>
      </c>
      <c r="B2555" s="3" t="s">
        <v>776</v>
      </c>
      <c r="C2555" t="s">
        <v>721</v>
      </c>
      <c r="D2555" s="9"/>
    </row>
    <row r="2556" spans="1:5">
      <c r="A2556">
        <v>2018</v>
      </c>
      <c r="B2556" s="3" t="s">
        <v>778</v>
      </c>
      <c r="C2556" t="s">
        <v>1788</v>
      </c>
      <c r="D2556" s="9">
        <v>2856714</v>
      </c>
      <c r="E2556">
        <v>2.6367000000000001E-3</v>
      </c>
    </row>
    <row r="2557" spans="1:5">
      <c r="A2557">
        <v>2018</v>
      </c>
      <c r="B2557" s="3" t="s">
        <v>779</v>
      </c>
      <c r="C2557" t="s">
        <v>2226</v>
      </c>
      <c r="D2557" s="9">
        <v>135034</v>
      </c>
      <c r="E2557">
        <v>1.2459999999999999E-4</v>
      </c>
    </row>
    <row r="2558" spans="1:5">
      <c r="A2558">
        <v>2018</v>
      </c>
      <c r="B2558" s="3" t="s">
        <v>780</v>
      </c>
      <c r="C2558" t="s">
        <v>2227</v>
      </c>
      <c r="D2558" s="9">
        <v>421109</v>
      </c>
      <c r="E2558">
        <v>3.8870000000000002E-4</v>
      </c>
    </row>
    <row r="2559" spans="1:5">
      <c r="A2559">
        <v>2018</v>
      </c>
      <c r="B2559" s="3" t="s">
        <v>781</v>
      </c>
      <c r="C2559" t="s">
        <v>2228</v>
      </c>
      <c r="D2559" s="9">
        <v>15178</v>
      </c>
      <c r="E2559">
        <v>1.4E-5</v>
      </c>
    </row>
    <row r="2560" spans="1:5">
      <c r="A2560">
        <v>2018</v>
      </c>
      <c r="B2560" s="3" t="s">
        <v>782</v>
      </c>
      <c r="C2560" t="s">
        <v>1792</v>
      </c>
      <c r="D2560" s="9">
        <v>6325762</v>
      </c>
      <c r="E2560">
        <v>5.8386000000000002E-3</v>
      </c>
    </row>
    <row r="2561" spans="1:5">
      <c r="A2561">
        <v>2018</v>
      </c>
      <c r="B2561" s="3" t="s">
        <v>1234</v>
      </c>
      <c r="C2561" t="s">
        <v>1793</v>
      </c>
      <c r="D2561" s="9">
        <v>1540798</v>
      </c>
      <c r="E2561">
        <v>1.4220999999999999E-3</v>
      </c>
    </row>
    <row r="2562" spans="1:5">
      <c r="A2562">
        <v>2018</v>
      </c>
      <c r="B2562" s="3" t="s">
        <v>783</v>
      </c>
      <c r="C2562" t="s">
        <v>1794</v>
      </c>
      <c r="D2562" s="9">
        <v>991409</v>
      </c>
      <c r="E2562">
        <v>9.1509999999999996E-4</v>
      </c>
    </row>
    <row r="2563" spans="1:5">
      <c r="A2563">
        <v>2018</v>
      </c>
      <c r="B2563" s="3" t="s">
        <v>787</v>
      </c>
      <c r="C2563" t="s">
        <v>732</v>
      </c>
      <c r="D2563" s="9">
        <v>52816124</v>
      </c>
      <c r="E2563">
        <v>4.8748800000000002E-2</v>
      </c>
    </row>
    <row r="2564" spans="1:5">
      <c r="A2564">
        <v>2018</v>
      </c>
      <c r="B2564" s="3" t="s">
        <v>784</v>
      </c>
      <c r="C2564" t="s">
        <v>2229</v>
      </c>
      <c r="D2564" s="9">
        <v>38352260</v>
      </c>
      <c r="E2564">
        <v>3.5398899999999997E-2</v>
      </c>
    </row>
    <row r="2565" spans="1:5">
      <c r="A2565">
        <v>2018</v>
      </c>
      <c r="B2565" s="3" t="s">
        <v>785</v>
      </c>
      <c r="C2565" t="s">
        <v>2230</v>
      </c>
      <c r="D2565" s="9">
        <v>411379</v>
      </c>
      <c r="E2565">
        <v>3.7970000000000001E-4</v>
      </c>
    </row>
    <row r="2566" spans="1:5">
      <c r="A2566">
        <v>2018</v>
      </c>
      <c r="B2566" s="3" t="s">
        <v>788</v>
      </c>
      <c r="C2566" t="s">
        <v>2231</v>
      </c>
      <c r="D2566" s="9">
        <v>405386</v>
      </c>
      <c r="E2566">
        <v>3.7419999999999999E-4</v>
      </c>
    </row>
    <row r="2567" spans="1:5">
      <c r="A2567">
        <v>2018</v>
      </c>
      <c r="B2567" s="3" t="s">
        <v>786</v>
      </c>
      <c r="C2567" t="s">
        <v>2232</v>
      </c>
      <c r="D2567" s="9">
        <v>23324022</v>
      </c>
      <c r="E2567">
        <v>2.1527899999999999E-2</v>
      </c>
    </row>
    <row r="2568" spans="1:5">
      <c r="A2568">
        <v>2018</v>
      </c>
      <c r="B2568" s="3" t="s">
        <v>789</v>
      </c>
      <c r="C2568" t="s">
        <v>2233</v>
      </c>
      <c r="D2568" s="9">
        <v>3175368</v>
      </c>
      <c r="E2568">
        <v>2.9307999999999999E-3</v>
      </c>
    </row>
    <row r="2569" spans="1:5">
      <c r="A2569">
        <v>2018</v>
      </c>
      <c r="B2569" s="3" t="s">
        <v>444</v>
      </c>
      <c r="C2569" t="s">
        <v>1800</v>
      </c>
      <c r="D2569" s="9">
        <v>939865</v>
      </c>
      <c r="E2569">
        <v>8.675E-4</v>
      </c>
    </row>
    <row r="2570" spans="1:5">
      <c r="A2570">
        <v>2018</v>
      </c>
      <c r="B2570" s="3" t="s">
        <v>790</v>
      </c>
      <c r="C2570" t="s">
        <v>2234</v>
      </c>
      <c r="D2570" s="9">
        <v>237689</v>
      </c>
      <c r="E2570">
        <v>2.1939999999999999E-4</v>
      </c>
    </row>
    <row r="2571" spans="1:5">
      <c r="A2571">
        <v>2018</v>
      </c>
      <c r="B2571" s="3" t="s">
        <v>777</v>
      </c>
      <c r="C2571" t="s">
        <v>2235</v>
      </c>
      <c r="D2571" s="9">
        <v>110942</v>
      </c>
      <c r="E2571">
        <v>1.024E-4</v>
      </c>
    </row>
    <row r="2572" spans="1:5">
      <c r="A2572">
        <v>2018</v>
      </c>
      <c r="B2572" s="3" t="s">
        <v>791</v>
      </c>
      <c r="C2572" t="s">
        <v>736</v>
      </c>
      <c r="D2572" s="9">
        <v>249697</v>
      </c>
      <c r="E2572">
        <v>2.3049999999999999E-4</v>
      </c>
    </row>
    <row r="2573" spans="1:5">
      <c r="A2573">
        <v>2018</v>
      </c>
      <c r="B2573" s="3" t="s">
        <v>792</v>
      </c>
      <c r="C2573" t="s">
        <v>1803</v>
      </c>
      <c r="D2573" s="9">
        <v>341374</v>
      </c>
      <c r="E2573">
        <v>3.1510000000000002E-4</v>
      </c>
    </row>
    <row r="2574" spans="1:5">
      <c r="A2574">
        <v>2018</v>
      </c>
      <c r="B2574" s="3" t="s">
        <v>793</v>
      </c>
      <c r="C2574" t="s">
        <v>2236</v>
      </c>
      <c r="D2574" s="9">
        <v>113787</v>
      </c>
      <c r="E2574">
        <v>1.05E-4</v>
      </c>
    </row>
    <row r="2575" spans="1:5">
      <c r="A2575">
        <v>2018</v>
      </c>
      <c r="B2575" s="3" t="s">
        <v>794</v>
      </c>
      <c r="C2575" t="s">
        <v>2237</v>
      </c>
      <c r="D2575" s="9">
        <v>42644</v>
      </c>
      <c r="E2575">
        <v>3.9400000000000002E-5</v>
      </c>
    </row>
    <row r="2576" spans="1:5">
      <c r="A2576">
        <v>2018</v>
      </c>
      <c r="B2576" s="3" t="s">
        <v>795</v>
      </c>
      <c r="C2576" t="s">
        <v>1806</v>
      </c>
      <c r="D2576" s="9">
        <v>33996825</v>
      </c>
      <c r="E2576">
        <v>3.1378799999999998E-2</v>
      </c>
    </row>
    <row r="2577" spans="1:5">
      <c r="A2577">
        <v>2018</v>
      </c>
      <c r="B2577" s="3" t="s">
        <v>445</v>
      </c>
      <c r="C2577" t="s">
        <v>1807</v>
      </c>
      <c r="D2577" s="9">
        <v>17652538</v>
      </c>
      <c r="E2577">
        <v>1.6293200000000001E-2</v>
      </c>
    </row>
    <row r="2578" spans="1:5">
      <c r="A2578">
        <v>2018</v>
      </c>
      <c r="B2578" s="3" t="s">
        <v>796</v>
      </c>
      <c r="C2578" t="s">
        <v>741</v>
      </c>
      <c r="D2578" s="9">
        <v>118958</v>
      </c>
      <c r="E2578">
        <v>1.098E-4</v>
      </c>
    </row>
    <row r="2579" spans="1:5">
      <c r="A2579">
        <v>2018</v>
      </c>
      <c r="B2579" s="3" t="s">
        <v>797</v>
      </c>
      <c r="C2579" t="s">
        <v>2238</v>
      </c>
      <c r="D2579" s="9">
        <v>360807</v>
      </c>
      <c r="E2579">
        <v>3.3300000000000002E-4</v>
      </c>
    </row>
    <row r="2580" spans="1:5">
      <c r="A2580">
        <v>2018</v>
      </c>
      <c r="B2580" s="3" t="s">
        <v>798</v>
      </c>
      <c r="C2580" t="s">
        <v>743</v>
      </c>
      <c r="D2580" s="9">
        <v>128789</v>
      </c>
      <c r="E2580">
        <v>1.189E-4</v>
      </c>
    </row>
    <row r="2581" spans="1:5">
      <c r="A2581">
        <v>2018</v>
      </c>
      <c r="B2581" s="3" t="s">
        <v>799</v>
      </c>
      <c r="C2581" t="s">
        <v>1809</v>
      </c>
      <c r="D2581" s="9">
        <v>484058</v>
      </c>
      <c r="E2581">
        <v>4.4680000000000002E-4</v>
      </c>
    </row>
    <row r="2582" spans="1:5">
      <c r="A2582">
        <v>2018</v>
      </c>
      <c r="B2582" s="3" t="s">
        <v>1235</v>
      </c>
      <c r="C2582" t="s">
        <v>1810</v>
      </c>
      <c r="D2582" s="9">
        <v>104962</v>
      </c>
      <c r="E2582">
        <v>9.6899999999999997E-5</v>
      </c>
    </row>
    <row r="2583" spans="1:5">
      <c r="A2583">
        <v>2018</v>
      </c>
      <c r="B2583" s="3" t="s">
        <v>800</v>
      </c>
      <c r="C2583" t="s">
        <v>745</v>
      </c>
      <c r="D2583" s="9">
        <v>71259</v>
      </c>
      <c r="E2583">
        <v>6.58E-5</v>
      </c>
    </row>
    <row r="2584" spans="1:5">
      <c r="A2584">
        <v>2018</v>
      </c>
      <c r="B2584" s="3" t="s">
        <v>801</v>
      </c>
      <c r="C2584" t="s">
        <v>2239</v>
      </c>
      <c r="D2584" s="9">
        <v>600503</v>
      </c>
      <c r="E2584">
        <v>5.5429999999999998E-4</v>
      </c>
    </row>
    <row r="2585" spans="1:5">
      <c r="A2585">
        <v>2018</v>
      </c>
      <c r="B2585" s="3" t="s">
        <v>802</v>
      </c>
      <c r="C2585" t="s">
        <v>2240</v>
      </c>
      <c r="D2585" s="9">
        <v>41852</v>
      </c>
      <c r="E2585">
        <v>3.8600000000000003E-5</v>
      </c>
    </row>
    <row r="2586" spans="1:5">
      <c r="A2586">
        <v>2018</v>
      </c>
      <c r="B2586" s="3" t="s">
        <v>803</v>
      </c>
      <c r="C2586" t="s">
        <v>2241</v>
      </c>
      <c r="D2586" s="9">
        <v>197307</v>
      </c>
      <c r="E2586">
        <v>1.8210000000000001E-4</v>
      </c>
    </row>
    <row r="2587" spans="1:5">
      <c r="A2587">
        <v>2018</v>
      </c>
      <c r="B2587" s="3" t="s">
        <v>804</v>
      </c>
      <c r="C2587" t="s">
        <v>749</v>
      </c>
      <c r="D2587" s="9">
        <v>278216</v>
      </c>
      <c r="E2587">
        <v>2.5680000000000001E-4</v>
      </c>
    </row>
    <row r="2588" spans="1:5">
      <c r="A2588">
        <v>2018</v>
      </c>
      <c r="B2588" s="3" t="s">
        <v>805</v>
      </c>
      <c r="C2588" t="s">
        <v>750</v>
      </c>
      <c r="D2588" s="9">
        <v>1452803</v>
      </c>
      <c r="E2588">
        <v>1.3408999999999999E-3</v>
      </c>
    </row>
    <row r="2589" spans="1:5">
      <c r="A2589">
        <v>2018</v>
      </c>
      <c r="B2589" s="3" t="s">
        <v>806</v>
      </c>
      <c r="C2589" t="s">
        <v>751</v>
      </c>
      <c r="D2589" s="9">
        <v>3877116</v>
      </c>
      <c r="E2589">
        <v>3.5785000000000001E-3</v>
      </c>
    </row>
    <row r="2590" spans="1:5">
      <c r="A2590">
        <v>2018</v>
      </c>
      <c r="B2590" s="3" t="s">
        <v>807</v>
      </c>
      <c r="C2590" t="s">
        <v>752</v>
      </c>
      <c r="D2590" s="9">
        <v>77340</v>
      </c>
      <c r="E2590">
        <v>7.1400000000000001E-5</v>
      </c>
    </row>
    <row r="2591" spans="1:5">
      <c r="A2591">
        <v>2018</v>
      </c>
      <c r="B2591" s="3" t="s">
        <v>808</v>
      </c>
      <c r="C2591" t="s">
        <v>2242</v>
      </c>
      <c r="D2591" s="9">
        <v>168192</v>
      </c>
      <c r="E2591">
        <v>1.552E-4</v>
      </c>
    </row>
    <row r="2592" spans="1:5">
      <c r="A2592">
        <v>2018</v>
      </c>
      <c r="B2592" s="3" t="s">
        <v>809</v>
      </c>
      <c r="C2592" t="s">
        <v>2243</v>
      </c>
      <c r="D2592" s="9">
        <v>625969</v>
      </c>
      <c r="E2592">
        <v>5.7779999999999995E-4</v>
      </c>
    </row>
    <row r="2593" spans="1:5">
      <c r="A2593">
        <v>2018</v>
      </c>
      <c r="B2593" s="3" t="s">
        <v>1470</v>
      </c>
      <c r="C2593" t="s">
        <v>1815</v>
      </c>
      <c r="D2593" s="9">
        <v>14224</v>
      </c>
      <c r="E2593">
        <v>1.31E-5</v>
      </c>
    </row>
    <row r="2594" spans="1:5">
      <c r="A2594">
        <v>2018</v>
      </c>
      <c r="B2594" s="3" t="s">
        <v>810</v>
      </c>
      <c r="C2594" t="s">
        <v>2244</v>
      </c>
      <c r="D2594" s="9">
        <v>93378</v>
      </c>
      <c r="E2594">
        <v>8.6199999999999995E-5</v>
      </c>
    </row>
    <row r="2595" spans="1:5">
      <c r="A2595">
        <v>2018</v>
      </c>
      <c r="B2595" s="3" t="s">
        <v>811</v>
      </c>
      <c r="C2595" t="s">
        <v>1817</v>
      </c>
      <c r="D2595" s="9"/>
    </row>
    <row r="2596" spans="1:5">
      <c r="A2596">
        <v>2018</v>
      </c>
      <c r="B2596" s="3" t="s">
        <v>812</v>
      </c>
      <c r="C2596" t="s">
        <v>1818</v>
      </c>
      <c r="D2596" s="9">
        <v>800189</v>
      </c>
      <c r="E2596">
        <v>7.3859999999999996E-4</v>
      </c>
    </row>
    <row r="2597" spans="1:5">
      <c r="A2597">
        <v>2018</v>
      </c>
      <c r="B2597" s="3" t="s">
        <v>813</v>
      </c>
      <c r="C2597" t="s">
        <v>2245</v>
      </c>
      <c r="D2597" s="9">
        <v>70655</v>
      </c>
      <c r="E2597">
        <v>6.5199999999999999E-5</v>
      </c>
    </row>
    <row r="2598" spans="1:5">
      <c r="A2598">
        <v>2018</v>
      </c>
      <c r="B2598" s="3" t="s">
        <v>814</v>
      </c>
      <c r="C2598" t="s">
        <v>1820</v>
      </c>
      <c r="D2598" s="9">
        <v>71408</v>
      </c>
      <c r="E2598">
        <v>6.5900000000000003E-5</v>
      </c>
    </row>
    <row r="2599" spans="1:5">
      <c r="A2599">
        <v>2018</v>
      </c>
      <c r="B2599" s="3" t="s">
        <v>815</v>
      </c>
      <c r="C2599" t="s">
        <v>760</v>
      </c>
      <c r="D2599" s="9">
        <v>31636</v>
      </c>
      <c r="E2599">
        <v>2.9200000000000002E-5</v>
      </c>
    </row>
    <row r="2600" spans="1:5">
      <c r="A2600">
        <v>2018</v>
      </c>
      <c r="B2600" s="3" t="s">
        <v>816</v>
      </c>
      <c r="C2600" t="s">
        <v>761</v>
      </c>
      <c r="D2600" s="9">
        <v>46130</v>
      </c>
      <c r="E2600">
        <v>4.2599999999999999E-5</v>
      </c>
    </row>
    <row r="2601" spans="1:5">
      <c r="A2601">
        <v>2018</v>
      </c>
      <c r="B2601" s="3" t="s">
        <v>817</v>
      </c>
      <c r="C2601" t="s">
        <v>762</v>
      </c>
      <c r="D2601" s="9">
        <v>84393</v>
      </c>
      <c r="E2601">
        <v>7.7899999999999996E-5</v>
      </c>
    </row>
    <row r="2602" spans="1:5">
      <c r="A2602">
        <v>2018</v>
      </c>
      <c r="B2602" s="3" t="s">
        <v>818</v>
      </c>
      <c r="C2602" t="s">
        <v>2246</v>
      </c>
      <c r="D2602" s="9">
        <v>23274</v>
      </c>
      <c r="E2602">
        <v>2.1500000000000001E-5</v>
      </c>
    </row>
    <row r="2603" spans="1:5">
      <c r="A2603">
        <v>2018</v>
      </c>
      <c r="B2603" s="3" t="s">
        <v>820</v>
      </c>
      <c r="C2603" t="s">
        <v>2247</v>
      </c>
      <c r="D2603" s="9">
        <v>937427</v>
      </c>
      <c r="E2603">
        <v>8.652E-4</v>
      </c>
    </row>
    <row r="2604" spans="1:5">
      <c r="A2604">
        <v>2018</v>
      </c>
      <c r="B2604" s="3" t="s">
        <v>822</v>
      </c>
      <c r="C2604" t="s">
        <v>2248</v>
      </c>
      <c r="D2604" s="9">
        <v>131640</v>
      </c>
      <c r="E2604">
        <v>1.215E-4</v>
      </c>
    </row>
    <row r="2605" spans="1:5">
      <c r="A2605">
        <v>2018</v>
      </c>
      <c r="B2605" s="3" t="s">
        <v>880</v>
      </c>
      <c r="C2605" t="s">
        <v>2249</v>
      </c>
      <c r="D2605" s="9">
        <v>517056</v>
      </c>
      <c r="E2605">
        <v>4.772E-4</v>
      </c>
    </row>
    <row r="2606" spans="1:5">
      <c r="A2606">
        <v>2018</v>
      </c>
      <c r="B2606" s="3" t="s">
        <v>884</v>
      </c>
      <c r="C2606" t="s">
        <v>829</v>
      </c>
      <c r="D2606" s="9">
        <v>1893735</v>
      </c>
      <c r="E2606">
        <v>1.7478999999999999E-3</v>
      </c>
    </row>
    <row r="2607" spans="1:5">
      <c r="A2607">
        <v>2018</v>
      </c>
      <c r="B2607" s="3" t="s">
        <v>881</v>
      </c>
      <c r="C2607" t="s">
        <v>2250</v>
      </c>
      <c r="D2607" s="9">
        <v>23931</v>
      </c>
      <c r="E2607">
        <v>2.2099999999999998E-5</v>
      </c>
    </row>
    <row r="2608" spans="1:5">
      <c r="A2608">
        <v>2018</v>
      </c>
      <c r="B2608" s="3" t="s">
        <v>883</v>
      </c>
      <c r="C2608" t="s">
        <v>2251</v>
      </c>
      <c r="D2608" s="9"/>
    </row>
    <row r="2609" spans="1:5">
      <c r="A2609">
        <v>2018</v>
      </c>
      <c r="B2609" s="3" t="s">
        <v>882</v>
      </c>
      <c r="C2609" t="s">
        <v>1827</v>
      </c>
      <c r="D2609" s="9"/>
    </row>
    <row r="2610" spans="1:5">
      <c r="A2610">
        <v>2018</v>
      </c>
      <c r="B2610" s="3" t="s">
        <v>885</v>
      </c>
      <c r="C2610" t="s">
        <v>2252</v>
      </c>
      <c r="D2610" s="9">
        <v>132037</v>
      </c>
      <c r="E2610">
        <v>1.219E-4</v>
      </c>
    </row>
    <row r="2611" spans="1:5">
      <c r="A2611">
        <v>2018</v>
      </c>
      <c r="B2611" s="3" t="s">
        <v>886</v>
      </c>
      <c r="C2611" t="s">
        <v>2253</v>
      </c>
      <c r="D2611" s="9">
        <v>46236</v>
      </c>
      <c r="E2611">
        <v>4.2700000000000001E-5</v>
      </c>
    </row>
    <row r="2612" spans="1:5">
      <c r="A2612">
        <v>2018</v>
      </c>
      <c r="B2612" s="3" t="s">
        <v>887</v>
      </c>
      <c r="C2612" t="s">
        <v>1830</v>
      </c>
      <c r="D2612" s="9">
        <v>62586</v>
      </c>
      <c r="E2612">
        <v>5.7800000000000002E-5</v>
      </c>
    </row>
    <row r="2613" spans="1:5">
      <c r="A2613">
        <v>2018</v>
      </c>
      <c r="B2613" s="3" t="s">
        <v>888</v>
      </c>
      <c r="C2613" t="s">
        <v>2254</v>
      </c>
      <c r="D2613" s="9">
        <v>22806</v>
      </c>
      <c r="E2613">
        <v>2.0999999999999999E-5</v>
      </c>
    </row>
    <row r="2614" spans="1:5">
      <c r="A2614">
        <v>2018</v>
      </c>
      <c r="B2614" s="3" t="s">
        <v>889</v>
      </c>
      <c r="C2614" t="s">
        <v>834</v>
      </c>
      <c r="D2614" s="9"/>
    </row>
    <row r="2615" spans="1:5">
      <c r="A2615">
        <v>2018</v>
      </c>
      <c r="B2615" s="3" t="s">
        <v>890</v>
      </c>
      <c r="C2615" t="s">
        <v>1832</v>
      </c>
      <c r="D2615" s="9">
        <v>2526999</v>
      </c>
      <c r="E2615">
        <v>2.3324000000000001E-3</v>
      </c>
    </row>
    <row r="2616" spans="1:5">
      <c r="A2616">
        <v>2018</v>
      </c>
      <c r="B2616" s="3" t="s">
        <v>446</v>
      </c>
      <c r="C2616" t="s">
        <v>1833</v>
      </c>
      <c r="D2616" s="9">
        <v>711033</v>
      </c>
      <c r="E2616">
        <v>6.5629999999999996E-4</v>
      </c>
    </row>
    <row r="2617" spans="1:5">
      <c r="A2617">
        <v>2018</v>
      </c>
      <c r="B2617" s="3" t="s">
        <v>821</v>
      </c>
      <c r="C2617" t="s">
        <v>1834</v>
      </c>
      <c r="D2617" s="9">
        <v>27634</v>
      </c>
      <c r="E2617">
        <v>2.55E-5</v>
      </c>
    </row>
    <row r="2618" spans="1:5">
      <c r="A2618">
        <v>2018</v>
      </c>
      <c r="B2618" s="3" t="s">
        <v>891</v>
      </c>
      <c r="C2618" t="s">
        <v>2255</v>
      </c>
      <c r="D2618" s="9">
        <v>43680</v>
      </c>
      <c r="E2618">
        <v>4.0299999999999997E-5</v>
      </c>
    </row>
    <row r="2619" spans="1:5">
      <c r="A2619">
        <v>2018</v>
      </c>
      <c r="B2619" s="3" t="s">
        <v>892</v>
      </c>
      <c r="C2619" t="s">
        <v>2256</v>
      </c>
      <c r="D2619" s="9">
        <v>110670</v>
      </c>
      <c r="E2619">
        <v>1.021E-4</v>
      </c>
    </row>
    <row r="2620" spans="1:5">
      <c r="A2620">
        <v>2018</v>
      </c>
      <c r="B2620" s="3" t="s">
        <v>896</v>
      </c>
      <c r="C2620" t="s">
        <v>2257</v>
      </c>
      <c r="D2620" s="9">
        <v>34566</v>
      </c>
      <c r="E2620">
        <v>3.1900000000000003E-5</v>
      </c>
    </row>
    <row r="2621" spans="1:5">
      <c r="A2621">
        <v>2018</v>
      </c>
      <c r="B2621" s="3" t="s">
        <v>893</v>
      </c>
      <c r="C2621" t="s">
        <v>2258</v>
      </c>
      <c r="D2621" s="9">
        <v>3415</v>
      </c>
      <c r="E2621">
        <v>3.1999999999999999E-6</v>
      </c>
    </row>
    <row r="2622" spans="1:5">
      <c r="A2622">
        <v>2018</v>
      </c>
      <c r="B2622" s="3" t="s">
        <v>824</v>
      </c>
      <c r="C2622" t="s">
        <v>2259</v>
      </c>
      <c r="D2622" s="9">
        <v>345266</v>
      </c>
      <c r="E2622">
        <v>3.1869999999999999E-4</v>
      </c>
    </row>
    <row r="2623" spans="1:5">
      <c r="A2623">
        <v>2018</v>
      </c>
      <c r="B2623" s="3" t="s">
        <v>823</v>
      </c>
      <c r="C2623" t="s">
        <v>2259</v>
      </c>
      <c r="D2623" s="9">
        <v>848746</v>
      </c>
      <c r="E2623">
        <v>7.8339999999999996E-4</v>
      </c>
    </row>
    <row r="2624" spans="1:5">
      <c r="A2624">
        <v>2018</v>
      </c>
      <c r="B2624" s="3" t="s">
        <v>897</v>
      </c>
      <c r="C2624" t="s">
        <v>2260</v>
      </c>
      <c r="D2624" s="9">
        <v>489472</v>
      </c>
      <c r="E2624">
        <v>4.5179999999999998E-4</v>
      </c>
    </row>
    <row r="2625" spans="1:5">
      <c r="A2625">
        <v>2018</v>
      </c>
      <c r="B2625" s="3" t="s">
        <v>894</v>
      </c>
      <c r="C2625" t="s">
        <v>839</v>
      </c>
      <c r="D2625" s="9">
        <v>12677069</v>
      </c>
      <c r="E2625">
        <v>1.1700800000000001E-2</v>
      </c>
    </row>
    <row r="2626" spans="1:5">
      <c r="A2626">
        <v>2018</v>
      </c>
      <c r="B2626" s="3" t="s">
        <v>895</v>
      </c>
      <c r="C2626" t="s">
        <v>2261</v>
      </c>
      <c r="D2626" s="9">
        <v>34773</v>
      </c>
      <c r="E2626">
        <v>3.2100000000000001E-5</v>
      </c>
    </row>
    <row r="2627" spans="1:5">
      <c r="A2627">
        <v>2018</v>
      </c>
      <c r="B2627" s="3" t="s">
        <v>898</v>
      </c>
      <c r="C2627" t="s">
        <v>843</v>
      </c>
      <c r="D2627" s="9">
        <v>1310988</v>
      </c>
      <c r="E2627">
        <v>1.2099999999999999E-3</v>
      </c>
    </row>
    <row r="2628" spans="1:5">
      <c r="A2628">
        <v>2018</v>
      </c>
      <c r="B2628" s="3" t="s">
        <v>899</v>
      </c>
      <c r="C2628" t="s">
        <v>844</v>
      </c>
      <c r="D2628" s="9">
        <v>341387</v>
      </c>
      <c r="E2628">
        <v>3.1510000000000002E-4</v>
      </c>
    </row>
    <row r="2629" spans="1:5">
      <c r="A2629">
        <v>2018</v>
      </c>
      <c r="B2629" s="3" t="s">
        <v>900</v>
      </c>
      <c r="C2629" t="s">
        <v>845</v>
      </c>
      <c r="D2629" s="9">
        <v>230010</v>
      </c>
      <c r="E2629">
        <v>2.1230000000000001E-4</v>
      </c>
    </row>
    <row r="2630" spans="1:5">
      <c r="A2630">
        <v>2018</v>
      </c>
      <c r="B2630" s="3" t="s">
        <v>901</v>
      </c>
      <c r="C2630" t="s">
        <v>846</v>
      </c>
      <c r="D2630" s="9">
        <v>98058</v>
      </c>
      <c r="E2630">
        <v>9.0500000000000004E-5</v>
      </c>
    </row>
    <row r="2631" spans="1:5">
      <c r="A2631">
        <v>2018</v>
      </c>
      <c r="B2631" s="3" t="s">
        <v>902</v>
      </c>
      <c r="C2631" t="s">
        <v>1843</v>
      </c>
      <c r="D2631" s="9">
        <v>267292</v>
      </c>
      <c r="E2631">
        <v>2.4669999999999998E-4</v>
      </c>
    </row>
    <row r="2632" spans="1:5">
      <c r="A2632">
        <v>2018</v>
      </c>
      <c r="B2632" s="3" t="s">
        <v>1236</v>
      </c>
      <c r="C2632" t="s">
        <v>1844</v>
      </c>
      <c r="D2632" s="9">
        <v>1416784</v>
      </c>
      <c r="E2632">
        <v>1.3077E-3</v>
      </c>
    </row>
    <row r="2633" spans="1:5">
      <c r="A2633">
        <v>2018</v>
      </c>
      <c r="B2633" s="3" t="s">
        <v>903</v>
      </c>
      <c r="C2633" t="s">
        <v>1845</v>
      </c>
      <c r="D2633" s="9">
        <v>1555773</v>
      </c>
      <c r="E2633">
        <v>1.436E-3</v>
      </c>
    </row>
    <row r="2634" spans="1:5">
      <c r="A2634">
        <v>2018</v>
      </c>
      <c r="B2634" s="3" t="s">
        <v>904</v>
      </c>
      <c r="C2634" t="s">
        <v>2262</v>
      </c>
      <c r="D2634" s="9">
        <v>18075</v>
      </c>
      <c r="E2634">
        <v>1.6699999999999999E-5</v>
      </c>
    </row>
    <row r="2635" spans="1:5">
      <c r="A2635">
        <v>2018</v>
      </c>
      <c r="B2635" s="3" t="s">
        <v>905</v>
      </c>
      <c r="C2635" t="s">
        <v>1847</v>
      </c>
      <c r="D2635" s="9">
        <v>32225</v>
      </c>
      <c r="E2635">
        <v>2.97E-5</v>
      </c>
    </row>
    <row r="2636" spans="1:5">
      <c r="A2636">
        <v>2018</v>
      </c>
      <c r="B2636" s="3" t="s">
        <v>906</v>
      </c>
      <c r="C2636" t="s">
        <v>1848</v>
      </c>
      <c r="D2636" s="9">
        <v>1628955</v>
      </c>
      <c r="E2636">
        <v>1.5035000000000001E-3</v>
      </c>
    </row>
    <row r="2637" spans="1:5">
      <c r="A2637">
        <v>2018</v>
      </c>
      <c r="B2637" s="3" t="s">
        <v>447</v>
      </c>
      <c r="C2637" t="s">
        <v>1849</v>
      </c>
      <c r="D2637" s="9">
        <v>549366</v>
      </c>
      <c r="E2637">
        <v>5.0710000000000002E-4</v>
      </c>
    </row>
    <row r="2638" spans="1:5">
      <c r="A2638">
        <v>2018</v>
      </c>
      <c r="B2638" s="3" t="s">
        <v>1034</v>
      </c>
      <c r="C2638" t="s">
        <v>1850</v>
      </c>
      <c r="D2638" s="9">
        <v>218883</v>
      </c>
      <c r="E2638">
        <v>2.02E-4</v>
      </c>
    </row>
    <row r="2639" spans="1:5">
      <c r="A2639">
        <v>2018</v>
      </c>
      <c r="B2639" s="3" t="s">
        <v>908</v>
      </c>
      <c r="C2639" t="s">
        <v>1851</v>
      </c>
      <c r="D2639" s="9">
        <v>254807</v>
      </c>
      <c r="E2639">
        <v>2.352E-4</v>
      </c>
    </row>
    <row r="2640" spans="1:5">
      <c r="A2640">
        <v>2018</v>
      </c>
      <c r="B2640" s="3" t="s">
        <v>909</v>
      </c>
      <c r="C2640" t="s">
        <v>2263</v>
      </c>
      <c r="D2640" s="9">
        <v>99315</v>
      </c>
      <c r="E2640">
        <v>9.1700000000000006E-5</v>
      </c>
    </row>
    <row r="2641" spans="1:5">
      <c r="A2641">
        <v>2018</v>
      </c>
      <c r="B2641" s="3" t="s">
        <v>910</v>
      </c>
      <c r="C2641" t="s">
        <v>2264</v>
      </c>
      <c r="D2641" s="9">
        <v>497427</v>
      </c>
      <c r="E2641">
        <v>4.5909999999999999E-4</v>
      </c>
    </row>
    <row r="2642" spans="1:5">
      <c r="A2642">
        <v>2018</v>
      </c>
      <c r="B2642" s="3" t="s">
        <v>912</v>
      </c>
      <c r="C2642" t="s">
        <v>2265</v>
      </c>
      <c r="D2642" s="9">
        <v>972978</v>
      </c>
      <c r="E2642">
        <v>8.9809999999999998E-4</v>
      </c>
    </row>
    <row r="2643" spans="1:5">
      <c r="A2643">
        <v>2018</v>
      </c>
      <c r="B2643" s="3" t="s">
        <v>911</v>
      </c>
      <c r="C2643" t="s">
        <v>2266</v>
      </c>
      <c r="D2643" s="9">
        <v>15394863</v>
      </c>
      <c r="E2643">
        <v>1.4209299999999999E-2</v>
      </c>
    </row>
    <row r="2644" spans="1:5">
      <c r="A2644">
        <v>2018</v>
      </c>
      <c r="B2644" s="3" t="s">
        <v>1237</v>
      </c>
      <c r="C2644" t="s">
        <v>1856</v>
      </c>
      <c r="D2644" s="9">
        <v>507658</v>
      </c>
      <c r="E2644">
        <v>4.6860000000000001E-4</v>
      </c>
    </row>
    <row r="2645" spans="1:5">
      <c r="A2645">
        <v>2018</v>
      </c>
      <c r="B2645" s="3" t="s">
        <v>1474</v>
      </c>
      <c r="C2645" t="s">
        <v>2267</v>
      </c>
      <c r="D2645" s="9">
        <v>7085</v>
      </c>
      <c r="E2645">
        <v>6.4999999999999996E-6</v>
      </c>
    </row>
    <row r="2646" spans="1:5">
      <c r="A2646">
        <v>2018</v>
      </c>
      <c r="B2646" s="3" t="s">
        <v>913</v>
      </c>
      <c r="C2646" t="s">
        <v>1857</v>
      </c>
      <c r="D2646" s="9">
        <v>96532</v>
      </c>
      <c r="E2646">
        <v>8.9099999999999997E-5</v>
      </c>
    </row>
    <row r="2647" spans="1:5">
      <c r="A2647">
        <v>2018</v>
      </c>
      <c r="B2647" s="3" t="s">
        <v>914</v>
      </c>
      <c r="C2647" t="s">
        <v>1858</v>
      </c>
      <c r="D2647" s="9">
        <v>45806</v>
      </c>
      <c r="E2647">
        <v>4.2299999999999998E-5</v>
      </c>
    </row>
    <row r="2648" spans="1:5">
      <c r="A2648">
        <v>2018</v>
      </c>
      <c r="B2648" s="3" t="s">
        <v>915</v>
      </c>
      <c r="C2648" t="s">
        <v>1859</v>
      </c>
      <c r="D2648" s="9">
        <v>1088294</v>
      </c>
      <c r="E2648">
        <v>1.0045E-3</v>
      </c>
    </row>
    <row r="2649" spans="1:5">
      <c r="A2649">
        <v>2018</v>
      </c>
      <c r="B2649" s="3" t="s">
        <v>1238</v>
      </c>
      <c r="C2649" t="s">
        <v>1860</v>
      </c>
      <c r="D2649" s="9">
        <v>144684</v>
      </c>
      <c r="E2649">
        <v>1.3349999999999999E-4</v>
      </c>
    </row>
    <row r="2650" spans="1:5">
      <c r="A2650">
        <v>2018</v>
      </c>
      <c r="B2650" s="3" t="s">
        <v>917</v>
      </c>
      <c r="C2650" t="s">
        <v>2268</v>
      </c>
      <c r="D2650" s="9">
        <v>65240</v>
      </c>
      <c r="E2650">
        <v>6.02E-5</v>
      </c>
    </row>
    <row r="2651" spans="1:5">
      <c r="A2651">
        <v>2018</v>
      </c>
      <c r="B2651" s="3" t="s">
        <v>918</v>
      </c>
      <c r="C2651" t="s">
        <v>2269</v>
      </c>
      <c r="D2651" s="9">
        <v>17503</v>
      </c>
      <c r="E2651">
        <v>1.6200000000000001E-5</v>
      </c>
    </row>
    <row r="2652" spans="1:5">
      <c r="A2652">
        <v>2018</v>
      </c>
      <c r="B2652" s="3" t="s">
        <v>919</v>
      </c>
      <c r="C2652" t="s">
        <v>2270</v>
      </c>
      <c r="D2652" s="9">
        <v>107833</v>
      </c>
      <c r="E2652">
        <v>9.9500000000000006E-5</v>
      </c>
    </row>
    <row r="2653" spans="1:5">
      <c r="A2653">
        <v>2018</v>
      </c>
      <c r="B2653" s="3" t="s">
        <v>1239</v>
      </c>
      <c r="C2653" t="s">
        <v>1863</v>
      </c>
      <c r="D2653" s="9">
        <v>35148</v>
      </c>
      <c r="E2653">
        <v>3.2400000000000001E-5</v>
      </c>
    </row>
    <row r="2654" spans="1:5">
      <c r="A2654">
        <v>2018</v>
      </c>
      <c r="B2654" s="3" t="s">
        <v>1030</v>
      </c>
      <c r="C2654" t="s">
        <v>1864</v>
      </c>
      <c r="D2654" s="9">
        <v>55577</v>
      </c>
      <c r="E2654">
        <v>5.13E-5</v>
      </c>
    </row>
    <row r="2655" spans="1:5">
      <c r="A2655">
        <v>2018</v>
      </c>
      <c r="B2655" s="3" t="s">
        <v>921</v>
      </c>
      <c r="C2655" t="s">
        <v>1865</v>
      </c>
      <c r="D2655" s="9">
        <v>1097957</v>
      </c>
      <c r="E2655">
        <v>1.0134E-3</v>
      </c>
    </row>
    <row r="2656" spans="1:5">
      <c r="A2656">
        <v>2018</v>
      </c>
      <c r="B2656" s="3" t="s">
        <v>1240</v>
      </c>
      <c r="C2656" t="s">
        <v>1866</v>
      </c>
      <c r="D2656" s="9">
        <v>579767</v>
      </c>
      <c r="E2656">
        <v>5.3510000000000005E-4</v>
      </c>
    </row>
    <row r="2657" spans="1:5">
      <c r="A2657">
        <v>2018</v>
      </c>
      <c r="B2657" s="3" t="s">
        <v>922</v>
      </c>
      <c r="C2657" t="s">
        <v>2271</v>
      </c>
      <c r="D2657" s="9">
        <v>34819</v>
      </c>
      <c r="E2657">
        <v>3.2100000000000001E-5</v>
      </c>
    </row>
    <row r="2658" spans="1:5">
      <c r="A2658">
        <v>2018</v>
      </c>
      <c r="B2658" s="3" t="s">
        <v>923</v>
      </c>
      <c r="C2658" t="s">
        <v>868</v>
      </c>
      <c r="D2658" s="9">
        <v>78545</v>
      </c>
      <c r="E2658">
        <v>7.25E-5</v>
      </c>
    </row>
    <row r="2659" spans="1:5">
      <c r="A2659">
        <v>2018</v>
      </c>
      <c r="B2659" s="3" t="s">
        <v>924</v>
      </c>
      <c r="C2659" t="s">
        <v>2272</v>
      </c>
      <c r="D2659" s="9">
        <v>93357</v>
      </c>
      <c r="E2659">
        <v>8.6199999999999995E-5</v>
      </c>
    </row>
    <row r="2660" spans="1:5">
      <c r="A2660">
        <v>2018</v>
      </c>
      <c r="B2660" s="3" t="s">
        <v>925</v>
      </c>
      <c r="C2660" t="s">
        <v>2273</v>
      </c>
      <c r="D2660" s="9">
        <v>4146240</v>
      </c>
      <c r="E2660">
        <v>3.8268999999999998E-3</v>
      </c>
    </row>
    <row r="2661" spans="1:5">
      <c r="A2661">
        <v>2018</v>
      </c>
      <c r="B2661" s="3" t="s">
        <v>926</v>
      </c>
      <c r="C2661" t="s">
        <v>1870</v>
      </c>
      <c r="D2661" s="9">
        <v>17171370</v>
      </c>
      <c r="E2661">
        <v>1.5848999999999999E-2</v>
      </c>
    </row>
    <row r="2662" spans="1:5">
      <c r="A2662">
        <v>2018</v>
      </c>
      <c r="B2662" s="3" t="s">
        <v>448</v>
      </c>
      <c r="C2662" t="s">
        <v>1871</v>
      </c>
      <c r="D2662" s="9">
        <v>5918233</v>
      </c>
      <c r="E2662">
        <v>5.4625000000000003E-3</v>
      </c>
    </row>
    <row r="2663" spans="1:5">
      <c r="A2663">
        <v>2018</v>
      </c>
      <c r="B2663" s="3" t="s">
        <v>927</v>
      </c>
      <c r="C2663" t="s">
        <v>2274</v>
      </c>
      <c r="D2663" s="9">
        <v>4765856</v>
      </c>
      <c r="E2663">
        <v>4.3988999999999999E-3</v>
      </c>
    </row>
    <row r="2664" spans="1:5">
      <c r="A2664">
        <v>2018</v>
      </c>
      <c r="B2664" s="3" t="s">
        <v>930</v>
      </c>
      <c r="C2664" t="s">
        <v>2275</v>
      </c>
      <c r="D2664" s="9">
        <v>52283</v>
      </c>
      <c r="E2664">
        <v>4.8300000000000002E-5</v>
      </c>
    </row>
    <row r="2665" spans="1:5">
      <c r="A2665">
        <v>2018</v>
      </c>
      <c r="B2665" s="3" t="s">
        <v>929</v>
      </c>
      <c r="C2665" t="s">
        <v>1874</v>
      </c>
      <c r="D2665" s="9">
        <v>18705298</v>
      </c>
      <c r="E2665">
        <v>1.72649E-2</v>
      </c>
    </row>
    <row r="2666" spans="1:5">
      <c r="A2666">
        <v>2018</v>
      </c>
      <c r="B2666" s="3" t="s">
        <v>928</v>
      </c>
      <c r="C2666" t="s">
        <v>2276</v>
      </c>
      <c r="D2666" s="9">
        <v>658962</v>
      </c>
      <c r="E2666">
        <v>6.0820000000000004E-4</v>
      </c>
    </row>
    <row r="2667" spans="1:5">
      <c r="A2667">
        <v>2018</v>
      </c>
      <c r="B2667" s="3" t="s">
        <v>931</v>
      </c>
      <c r="C2667" t="s">
        <v>2277</v>
      </c>
      <c r="D2667" s="9">
        <v>104609</v>
      </c>
      <c r="E2667">
        <v>9.6600000000000003E-5</v>
      </c>
    </row>
    <row r="2668" spans="1:5">
      <c r="A2668">
        <v>2018</v>
      </c>
      <c r="B2668" s="3" t="s">
        <v>932</v>
      </c>
      <c r="C2668" t="s">
        <v>2278</v>
      </c>
      <c r="D2668" s="9">
        <v>6120</v>
      </c>
      <c r="E2668">
        <v>5.5999999999999997E-6</v>
      </c>
    </row>
    <row r="2669" spans="1:5">
      <c r="A2669">
        <v>2018</v>
      </c>
      <c r="B2669" s="3" t="s">
        <v>933</v>
      </c>
      <c r="C2669" t="s">
        <v>2279</v>
      </c>
      <c r="D2669" s="9">
        <v>12344</v>
      </c>
      <c r="E2669">
        <v>1.1399999999999999E-5</v>
      </c>
    </row>
    <row r="2670" spans="1:5">
      <c r="A2670">
        <v>2018</v>
      </c>
      <c r="B2670" s="3" t="s">
        <v>992</v>
      </c>
      <c r="C2670" t="s">
        <v>1879</v>
      </c>
      <c r="D2670" s="9">
        <v>68712</v>
      </c>
      <c r="E2670">
        <v>6.3399999999999996E-5</v>
      </c>
    </row>
    <row r="2671" spans="1:5">
      <c r="A2671">
        <v>2018</v>
      </c>
      <c r="B2671" s="3" t="s">
        <v>934</v>
      </c>
      <c r="C2671" t="s">
        <v>1880</v>
      </c>
      <c r="D2671" s="9">
        <v>458044</v>
      </c>
      <c r="E2671">
        <v>4.2279999999999998E-4</v>
      </c>
    </row>
    <row r="2672" spans="1:5">
      <c r="A2672">
        <v>2018</v>
      </c>
      <c r="B2672" s="3" t="s">
        <v>990</v>
      </c>
      <c r="C2672" t="s">
        <v>935</v>
      </c>
      <c r="D2672" s="9">
        <v>8019129</v>
      </c>
      <c r="E2672">
        <v>7.4016000000000004E-3</v>
      </c>
    </row>
    <row r="2673" spans="1:5">
      <c r="A2673">
        <v>2018</v>
      </c>
      <c r="B2673" s="3" t="s">
        <v>991</v>
      </c>
      <c r="C2673" t="s">
        <v>936</v>
      </c>
      <c r="D2673" s="9">
        <v>25446620</v>
      </c>
      <c r="E2673">
        <v>2.3487000000000001E-2</v>
      </c>
    </row>
    <row r="2674" spans="1:5">
      <c r="A2674">
        <v>2018</v>
      </c>
      <c r="B2674" s="3" t="s">
        <v>993</v>
      </c>
      <c r="C2674" t="s">
        <v>2280</v>
      </c>
      <c r="D2674" s="9">
        <v>526140</v>
      </c>
      <c r="E2674">
        <v>4.8559999999999999E-4</v>
      </c>
    </row>
    <row r="2675" spans="1:5">
      <c r="A2675">
        <v>2018</v>
      </c>
      <c r="B2675" s="3" t="s">
        <v>1885</v>
      </c>
      <c r="C2675" t="s">
        <v>1882</v>
      </c>
      <c r="D2675" s="9"/>
    </row>
    <row r="2676" spans="1:5">
      <c r="A2676">
        <v>2018</v>
      </c>
      <c r="B2676" s="3" t="s">
        <v>994</v>
      </c>
      <c r="C2676" t="s">
        <v>939</v>
      </c>
      <c r="D2676" s="9">
        <v>39910</v>
      </c>
      <c r="E2676">
        <v>3.68E-5</v>
      </c>
    </row>
    <row r="2677" spans="1:5">
      <c r="A2677">
        <v>2018</v>
      </c>
      <c r="B2677" s="3" t="s">
        <v>995</v>
      </c>
      <c r="C2677" t="s">
        <v>2281</v>
      </c>
      <c r="D2677" s="9">
        <v>60491</v>
      </c>
      <c r="E2677">
        <v>5.5800000000000001E-5</v>
      </c>
    </row>
    <row r="2678" spans="1:5">
      <c r="A2678">
        <v>2018</v>
      </c>
      <c r="B2678" s="3" t="s">
        <v>996</v>
      </c>
      <c r="C2678" t="s">
        <v>941</v>
      </c>
      <c r="D2678" s="9">
        <v>44611</v>
      </c>
      <c r="E2678">
        <v>4.1199999999999999E-5</v>
      </c>
    </row>
    <row r="2679" spans="1:5">
      <c r="A2679">
        <v>2018</v>
      </c>
      <c r="B2679" s="3" t="s">
        <v>997</v>
      </c>
      <c r="C2679" t="s">
        <v>2282</v>
      </c>
      <c r="D2679" s="9">
        <v>135314</v>
      </c>
      <c r="E2679">
        <v>1.249E-4</v>
      </c>
    </row>
    <row r="2680" spans="1:5">
      <c r="A2680">
        <v>2018</v>
      </c>
      <c r="B2680" s="3" t="s">
        <v>999</v>
      </c>
      <c r="C2680" t="s">
        <v>1884</v>
      </c>
      <c r="D2680" s="9">
        <v>344040</v>
      </c>
      <c r="E2680">
        <v>3.1750000000000002E-4</v>
      </c>
    </row>
    <row r="2681" spans="1:5">
      <c r="A2681">
        <v>2018</v>
      </c>
      <c r="B2681" s="3" t="s">
        <v>1241</v>
      </c>
      <c r="C2681" t="s">
        <v>1886</v>
      </c>
      <c r="D2681" s="9">
        <v>33201</v>
      </c>
      <c r="E2681">
        <v>3.0599999999999998E-5</v>
      </c>
    </row>
    <row r="2682" spans="1:5">
      <c r="A2682">
        <v>2018</v>
      </c>
      <c r="B2682" s="3" t="s">
        <v>1001</v>
      </c>
      <c r="C2682" t="s">
        <v>2283</v>
      </c>
      <c r="D2682" s="9">
        <v>19510</v>
      </c>
      <c r="E2682">
        <v>1.8E-5</v>
      </c>
    </row>
    <row r="2683" spans="1:5">
      <c r="A2683">
        <v>2018</v>
      </c>
      <c r="B2683" s="3" t="s">
        <v>1000</v>
      </c>
      <c r="C2683" t="s">
        <v>2284</v>
      </c>
      <c r="D2683" s="9">
        <v>19988</v>
      </c>
      <c r="E2683">
        <v>1.84E-5</v>
      </c>
    </row>
    <row r="2684" spans="1:5">
      <c r="A2684">
        <v>2018</v>
      </c>
      <c r="B2684" s="3" t="s">
        <v>1002</v>
      </c>
      <c r="C2684" t="s">
        <v>947</v>
      </c>
      <c r="D2684" s="9">
        <v>7605677</v>
      </c>
      <c r="E2684">
        <v>7.0200000000000002E-3</v>
      </c>
    </row>
    <row r="2685" spans="1:5">
      <c r="A2685">
        <v>2018</v>
      </c>
      <c r="B2685" s="3" t="s">
        <v>1003</v>
      </c>
      <c r="C2685" t="s">
        <v>2285</v>
      </c>
      <c r="D2685" s="9">
        <v>26413</v>
      </c>
      <c r="E2685">
        <v>2.44E-5</v>
      </c>
    </row>
    <row r="2686" spans="1:5">
      <c r="A2686">
        <v>2018</v>
      </c>
      <c r="B2686" s="3" t="s">
        <v>1004</v>
      </c>
      <c r="C2686" t="s">
        <v>949</v>
      </c>
      <c r="D2686" s="9">
        <v>70303</v>
      </c>
      <c r="E2686">
        <v>6.4900000000000005E-5</v>
      </c>
    </row>
    <row r="2687" spans="1:5">
      <c r="A2687">
        <v>2018</v>
      </c>
      <c r="B2687" s="3" t="s">
        <v>1005</v>
      </c>
      <c r="C2687" t="s">
        <v>1888</v>
      </c>
      <c r="D2687" s="9">
        <v>144988</v>
      </c>
      <c r="E2687">
        <v>1.338E-4</v>
      </c>
    </row>
    <row r="2688" spans="1:5">
      <c r="A2688">
        <v>2018</v>
      </c>
      <c r="B2688" s="3" t="s">
        <v>1006</v>
      </c>
      <c r="C2688" t="s">
        <v>1889</v>
      </c>
      <c r="D2688" s="9">
        <v>186198</v>
      </c>
      <c r="E2688">
        <v>1.719E-4</v>
      </c>
    </row>
    <row r="2689" spans="1:5">
      <c r="A2689">
        <v>2018</v>
      </c>
      <c r="B2689" s="3" t="s">
        <v>1007</v>
      </c>
      <c r="C2689" t="s">
        <v>1890</v>
      </c>
      <c r="D2689" s="9">
        <v>11124</v>
      </c>
      <c r="E2689">
        <v>1.03E-5</v>
      </c>
    </row>
    <row r="2690" spans="1:5">
      <c r="A2690">
        <v>2018</v>
      </c>
      <c r="B2690" s="3" t="s">
        <v>1008</v>
      </c>
      <c r="C2690" t="s">
        <v>2286</v>
      </c>
      <c r="D2690" s="9">
        <v>54682</v>
      </c>
      <c r="E2690">
        <v>5.0500000000000001E-5</v>
      </c>
    </row>
    <row r="2691" spans="1:5">
      <c r="A2691">
        <v>2018</v>
      </c>
      <c r="B2691" s="3" t="s">
        <v>1009</v>
      </c>
      <c r="C2691" t="s">
        <v>2287</v>
      </c>
      <c r="D2691" s="9">
        <v>34441</v>
      </c>
      <c r="E2691">
        <v>3.18E-5</v>
      </c>
    </row>
    <row r="2692" spans="1:5">
      <c r="A2692">
        <v>2018</v>
      </c>
      <c r="B2692" s="3" t="s">
        <v>1010</v>
      </c>
      <c r="C2692" t="s">
        <v>1893</v>
      </c>
      <c r="D2692" s="9">
        <v>110674</v>
      </c>
      <c r="E2692">
        <v>1.022E-4</v>
      </c>
    </row>
    <row r="2693" spans="1:5">
      <c r="A2693">
        <v>2018</v>
      </c>
      <c r="B2693" s="3" t="s">
        <v>1242</v>
      </c>
      <c r="C2693" t="s">
        <v>1894</v>
      </c>
      <c r="D2693" s="9">
        <v>196898</v>
      </c>
      <c r="E2693">
        <v>1.817E-4</v>
      </c>
    </row>
    <row r="2694" spans="1:5">
      <c r="A2694">
        <v>2018</v>
      </c>
      <c r="B2694" s="3" t="s">
        <v>1011</v>
      </c>
      <c r="C2694" t="s">
        <v>2288</v>
      </c>
      <c r="D2694" s="9">
        <v>6049</v>
      </c>
      <c r="E2694">
        <v>5.5999999999999997E-6</v>
      </c>
    </row>
    <row r="2695" spans="1:5">
      <c r="A2695">
        <v>2018</v>
      </c>
      <c r="B2695" s="3" t="s">
        <v>1012</v>
      </c>
      <c r="C2695" t="s">
        <v>957</v>
      </c>
      <c r="D2695" s="9">
        <v>89411</v>
      </c>
      <c r="E2695">
        <v>8.25E-5</v>
      </c>
    </row>
    <row r="2696" spans="1:5">
      <c r="A2696">
        <v>2018</v>
      </c>
      <c r="B2696" s="3" t="s">
        <v>1013</v>
      </c>
      <c r="C2696" t="s">
        <v>1896</v>
      </c>
      <c r="D2696" s="9">
        <v>920342</v>
      </c>
      <c r="E2696">
        <v>8.4949999999999999E-4</v>
      </c>
    </row>
    <row r="2697" spans="1:5">
      <c r="A2697">
        <v>2018</v>
      </c>
      <c r="B2697" s="3" t="s">
        <v>1016</v>
      </c>
      <c r="C2697" t="s">
        <v>1897</v>
      </c>
      <c r="D2697" s="9">
        <v>339366</v>
      </c>
      <c r="E2697">
        <v>3.1320000000000002E-4</v>
      </c>
    </row>
    <row r="2698" spans="1:5">
      <c r="A2698">
        <v>2018</v>
      </c>
      <c r="B2698" s="3" t="s">
        <v>1017</v>
      </c>
      <c r="C2698" t="s">
        <v>1898</v>
      </c>
      <c r="D2698" s="9">
        <v>60344</v>
      </c>
      <c r="E2698">
        <v>5.5699999999999999E-5</v>
      </c>
    </row>
    <row r="2699" spans="1:5">
      <c r="A2699">
        <v>2018</v>
      </c>
      <c r="B2699" s="3" t="s">
        <v>1018</v>
      </c>
      <c r="C2699" t="s">
        <v>2289</v>
      </c>
      <c r="D2699" s="9">
        <v>28500</v>
      </c>
      <c r="E2699">
        <v>2.6299999999999999E-5</v>
      </c>
    </row>
    <row r="2700" spans="1:5">
      <c r="A2700">
        <v>2018</v>
      </c>
      <c r="B2700" s="3" t="s">
        <v>1020</v>
      </c>
      <c r="C2700" t="s">
        <v>1900</v>
      </c>
      <c r="D2700" s="9">
        <v>1723131</v>
      </c>
      <c r="E2700">
        <v>1.5904000000000001E-3</v>
      </c>
    </row>
    <row r="2701" spans="1:5">
      <c r="A2701">
        <v>2018</v>
      </c>
      <c r="B2701" s="3" t="s">
        <v>1019</v>
      </c>
      <c r="C2701" t="s">
        <v>1901</v>
      </c>
      <c r="D2701" s="9">
        <v>52898</v>
      </c>
      <c r="E2701">
        <v>4.88E-5</v>
      </c>
    </row>
    <row r="2702" spans="1:5">
      <c r="A2702">
        <v>2018</v>
      </c>
      <c r="B2702" s="3" t="s">
        <v>1021</v>
      </c>
      <c r="C2702" t="s">
        <v>1902</v>
      </c>
      <c r="D2702" s="9">
        <v>27492</v>
      </c>
      <c r="E2702">
        <v>2.5400000000000001E-5</v>
      </c>
    </row>
    <row r="2703" spans="1:5">
      <c r="A2703">
        <v>2018</v>
      </c>
      <c r="B2703" s="3" t="s">
        <v>449</v>
      </c>
      <c r="C2703" t="s">
        <v>1903</v>
      </c>
      <c r="D2703" s="9">
        <v>2224445</v>
      </c>
      <c r="E2703">
        <v>2.0531E-3</v>
      </c>
    </row>
    <row r="2704" spans="1:5">
      <c r="A2704">
        <v>2018</v>
      </c>
      <c r="B2704" s="3" t="s">
        <v>1022</v>
      </c>
      <c r="C2704" t="s">
        <v>1904</v>
      </c>
      <c r="D2704" s="9">
        <v>161496</v>
      </c>
      <c r="E2704">
        <v>1.4909999999999999E-4</v>
      </c>
    </row>
    <row r="2705" spans="1:5">
      <c r="A2705">
        <v>2018</v>
      </c>
      <c r="B2705" s="3" t="s">
        <v>1023</v>
      </c>
      <c r="C2705" t="s">
        <v>968</v>
      </c>
      <c r="D2705" s="9">
        <v>541968</v>
      </c>
      <c r="E2705">
        <v>5.0020000000000002E-4</v>
      </c>
    </row>
    <row r="2706" spans="1:5">
      <c r="A2706">
        <v>2018</v>
      </c>
      <c r="B2706" s="3" t="s">
        <v>1024</v>
      </c>
      <c r="C2706" t="s">
        <v>969</v>
      </c>
      <c r="D2706" s="9">
        <v>59928</v>
      </c>
      <c r="E2706">
        <v>5.5300000000000002E-5</v>
      </c>
    </row>
    <row r="2707" spans="1:5">
      <c r="A2707">
        <v>2018</v>
      </c>
      <c r="B2707" s="3" t="s">
        <v>1025</v>
      </c>
      <c r="C2707" t="s">
        <v>2290</v>
      </c>
      <c r="D2707" s="9">
        <v>106095</v>
      </c>
      <c r="E2707">
        <v>9.7899999999999994E-5</v>
      </c>
    </row>
    <row r="2708" spans="1:5">
      <c r="A2708">
        <v>2018</v>
      </c>
      <c r="B2708" s="3" t="s">
        <v>1026</v>
      </c>
      <c r="C2708" t="s">
        <v>2291</v>
      </c>
      <c r="D2708" s="9">
        <v>3510622</v>
      </c>
      <c r="E2708">
        <v>3.2403000000000002E-3</v>
      </c>
    </row>
    <row r="2709" spans="1:5">
      <c r="A2709">
        <v>2018</v>
      </c>
      <c r="B2709" s="3" t="s">
        <v>1243</v>
      </c>
      <c r="C2709" t="s">
        <v>1908</v>
      </c>
      <c r="D2709" s="9">
        <v>1542460</v>
      </c>
      <c r="E2709">
        <v>1.4237E-3</v>
      </c>
    </row>
    <row r="2710" spans="1:5">
      <c r="A2710">
        <v>2018</v>
      </c>
      <c r="B2710" s="3" t="s">
        <v>1027</v>
      </c>
      <c r="C2710" t="s">
        <v>2292</v>
      </c>
      <c r="D2710" s="9">
        <v>21001</v>
      </c>
      <c r="E2710">
        <v>1.9400000000000001E-5</v>
      </c>
    </row>
    <row r="2711" spans="1:5">
      <c r="A2711">
        <v>2018</v>
      </c>
      <c r="B2711" s="3" t="s">
        <v>1028</v>
      </c>
      <c r="C2711" t="s">
        <v>973</v>
      </c>
      <c r="D2711" s="9">
        <v>9569</v>
      </c>
      <c r="E2711">
        <v>8.8000000000000004E-6</v>
      </c>
    </row>
    <row r="2712" spans="1:5">
      <c r="A2712">
        <v>2018</v>
      </c>
      <c r="B2712" s="3" t="s">
        <v>1029</v>
      </c>
      <c r="C2712" t="s">
        <v>1910</v>
      </c>
      <c r="D2712" s="9">
        <v>269093</v>
      </c>
      <c r="E2712">
        <v>2.4840000000000002E-4</v>
      </c>
    </row>
    <row r="2713" spans="1:5">
      <c r="A2713">
        <v>2018</v>
      </c>
      <c r="B2713" s="3" t="s">
        <v>1031</v>
      </c>
      <c r="C2713" t="s">
        <v>2293</v>
      </c>
      <c r="D2713" s="9">
        <v>485120</v>
      </c>
      <c r="E2713">
        <v>4.4779999999999999E-4</v>
      </c>
    </row>
    <row r="2714" spans="1:5">
      <c r="A2714">
        <v>2018</v>
      </c>
      <c r="B2714" s="3" t="s">
        <v>1032</v>
      </c>
      <c r="C2714" t="s">
        <v>1912</v>
      </c>
      <c r="D2714" s="9">
        <v>155349</v>
      </c>
      <c r="E2714">
        <v>1.4339999999999999E-4</v>
      </c>
    </row>
    <row r="2715" spans="1:5">
      <c r="A2715">
        <v>2018</v>
      </c>
      <c r="B2715" s="3" t="s">
        <v>1036</v>
      </c>
      <c r="C2715" t="s">
        <v>1913</v>
      </c>
      <c r="D2715" s="9"/>
    </row>
    <row r="2716" spans="1:5">
      <c r="A2716">
        <v>2018</v>
      </c>
      <c r="B2716" s="3" t="s">
        <v>920</v>
      </c>
      <c r="C2716" t="s">
        <v>1914</v>
      </c>
      <c r="D2716" s="9"/>
    </row>
    <row r="2717" spans="1:5">
      <c r="A2717">
        <v>2018</v>
      </c>
      <c r="B2717" s="3" t="s">
        <v>1037</v>
      </c>
      <c r="C2717" t="s">
        <v>1915</v>
      </c>
      <c r="D2717" s="9">
        <v>38014</v>
      </c>
      <c r="E2717">
        <v>3.5099999999999999E-5</v>
      </c>
    </row>
    <row r="2718" spans="1:5">
      <c r="A2718">
        <v>2018</v>
      </c>
      <c r="B2718" s="3" t="s">
        <v>1038</v>
      </c>
      <c r="C2718" t="s">
        <v>2294</v>
      </c>
      <c r="D2718" s="9">
        <v>486720</v>
      </c>
      <c r="E2718">
        <v>4.4920000000000002E-4</v>
      </c>
    </row>
    <row r="2719" spans="1:5">
      <c r="A2719">
        <v>2018</v>
      </c>
      <c r="B2719" s="3" t="s">
        <v>1039</v>
      </c>
      <c r="C2719" t="s">
        <v>2295</v>
      </c>
      <c r="D2719" s="9">
        <v>5252693</v>
      </c>
      <c r="E2719">
        <v>4.8482000000000004E-3</v>
      </c>
    </row>
    <row r="2720" spans="1:5">
      <c r="A2720">
        <v>2018</v>
      </c>
      <c r="B2720" s="3" t="s">
        <v>1040</v>
      </c>
      <c r="C2720" t="s">
        <v>985</v>
      </c>
      <c r="D2720" s="9">
        <v>159984</v>
      </c>
      <c r="E2720">
        <v>1.4770000000000001E-4</v>
      </c>
    </row>
    <row r="2721" spans="1:5">
      <c r="A2721">
        <v>2018</v>
      </c>
      <c r="B2721" s="3" t="s">
        <v>998</v>
      </c>
      <c r="C2721" t="s">
        <v>1918</v>
      </c>
      <c r="D2721" s="9">
        <v>69847</v>
      </c>
      <c r="E2721">
        <v>6.4499999999999996E-5</v>
      </c>
    </row>
    <row r="2722" spans="1:5">
      <c r="A2722">
        <v>2018</v>
      </c>
      <c r="B2722" s="3" t="s">
        <v>1041</v>
      </c>
      <c r="C2722" t="s">
        <v>1919</v>
      </c>
      <c r="D2722" s="9">
        <v>584565</v>
      </c>
      <c r="E2722">
        <v>5.3950000000000005E-4</v>
      </c>
    </row>
    <row r="2723" spans="1:5">
      <c r="A2723">
        <v>2018</v>
      </c>
      <c r="B2723" s="3" t="s">
        <v>1042</v>
      </c>
      <c r="C2723" t="s">
        <v>2296</v>
      </c>
      <c r="D2723" s="9">
        <v>327</v>
      </c>
      <c r="E2723">
        <v>2.9999999999999999E-7</v>
      </c>
    </row>
    <row r="2724" spans="1:5">
      <c r="A2724">
        <v>2018</v>
      </c>
      <c r="B2724" s="3" t="s">
        <v>1043</v>
      </c>
      <c r="C2724" t="s">
        <v>2297</v>
      </c>
      <c r="D2724" s="9">
        <v>605759</v>
      </c>
      <c r="E2724">
        <v>5.5909999999999998E-4</v>
      </c>
    </row>
    <row r="2725" spans="1:5">
      <c r="A2725">
        <v>2018</v>
      </c>
      <c r="B2725" s="3" t="s">
        <v>1044</v>
      </c>
      <c r="C2725" t="s">
        <v>2298</v>
      </c>
      <c r="D2725" s="9">
        <v>778291</v>
      </c>
      <c r="E2725">
        <v>7.1840000000000001E-4</v>
      </c>
    </row>
    <row r="2726" spans="1:5">
      <c r="A2726">
        <v>2018</v>
      </c>
      <c r="B2726" s="3" t="s">
        <v>1100</v>
      </c>
      <c r="C2726" t="s">
        <v>1923</v>
      </c>
      <c r="D2726" s="9">
        <v>1468080</v>
      </c>
      <c r="E2726">
        <v>1.3550000000000001E-3</v>
      </c>
    </row>
    <row r="2727" spans="1:5">
      <c r="A2727">
        <v>2018</v>
      </c>
      <c r="B2727" s="3" t="s">
        <v>450</v>
      </c>
      <c r="C2727" t="s">
        <v>1924</v>
      </c>
      <c r="D2727" s="9">
        <v>655712</v>
      </c>
      <c r="E2727">
        <v>6.0519999999999997E-4</v>
      </c>
    </row>
    <row r="2728" spans="1:5">
      <c r="A2728">
        <v>2018</v>
      </c>
      <c r="B2728" s="3" t="s">
        <v>1101</v>
      </c>
      <c r="C2728" t="s">
        <v>1925</v>
      </c>
      <c r="D2728" s="9">
        <v>3137595</v>
      </c>
      <c r="E2728">
        <v>2.8960000000000001E-3</v>
      </c>
    </row>
    <row r="2729" spans="1:5">
      <c r="A2729">
        <v>2018</v>
      </c>
      <c r="B2729" s="3" t="s">
        <v>1244</v>
      </c>
      <c r="C2729" t="s">
        <v>1926</v>
      </c>
      <c r="D2729" s="9">
        <v>630888</v>
      </c>
      <c r="E2729">
        <v>5.8230000000000001E-4</v>
      </c>
    </row>
    <row r="2730" spans="1:5">
      <c r="A2730">
        <v>2018</v>
      </c>
      <c r="B2730" s="3" t="s">
        <v>1102</v>
      </c>
      <c r="C2730" t="s">
        <v>2299</v>
      </c>
      <c r="D2730" s="9">
        <v>55811</v>
      </c>
      <c r="E2730">
        <v>5.1499999999999998E-5</v>
      </c>
    </row>
    <row r="2731" spans="1:5">
      <c r="A2731">
        <v>2018</v>
      </c>
      <c r="B2731" s="3" t="s">
        <v>1134</v>
      </c>
      <c r="C2731" t="s">
        <v>1928</v>
      </c>
      <c r="D2731" s="9">
        <v>411893</v>
      </c>
      <c r="E2731">
        <v>3.8020000000000003E-4</v>
      </c>
    </row>
    <row r="2732" spans="1:5">
      <c r="A2732">
        <v>2018</v>
      </c>
      <c r="B2732" s="3" t="s">
        <v>1103</v>
      </c>
      <c r="C2732" t="s">
        <v>2300</v>
      </c>
      <c r="D2732" s="9">
        <v>127913</v>
      </c>
      <c r="E2732">
        <v>1.181E-4</v>
      </c>
    </row>
    <row r="2733" spans="1:5">
      <c r="A2733">
        <v>2018</v>
      </c>
      <c r="B2733" s="3" t="s">
        <v>1104</v>
      </c>
      <c r="C2733" t="s">
        <v>2301</v>
      </c>
      <c r="D2733" s="9">
        <v>1223452</v>
      </c>
      <c r="E2733">
        <v>1.1291999999999999E-3</v>
      </c>
    </row>
    <row r="2734" spans="1:5">
      <c r="A2734">
        <v>2018</v>
      </c>
      <c r="B2734" s="3" t="s">
        <v>1105</v>
      </c>
      <c r="C2734" t="s">
        <v>2302</v>
      </c>
      <c r="D2734" s="9">
        <v>16425</v>
      </c>
      <c r="E2734">
        <v>1.52E-5</v>
      </c>
    </row>
    <row r="2735" spans="1:5">
      <c r="A2735">
        <v>2018</v>
      </c>
      <c r="B2735" s="3" t="s">
        <v>451</v>
      </c>
      <c r="C2735" t="s">
        <v>1932</v>
      </c>
      <c r="D2735" s="9">
        <v>686569</v>
      </c>
      <c r="E2735">
        <v>6.3369999999999995E-4</v>
      </c>
    </row>
    <row r="2736" spans="1:5">
      <c r="A2736">
        <v>2018</v>
      </c>
      <c r="B2736" s="3" t="s">
        <v>1106</v>
      </c>
      <c r="C2736" t="s">
        <v>2303</v>
      </c>
      <c r="D2736" s="9">
        <v>89395</v>
      </c>
      <c r="E2736">
        <v>8.25E-5</v>
      </c>
    </row>
    <row r="2737" spans="1:5">
      <c r="A2737">
        <v>2018</v>
      </c>
      <c r="B2737" s="3" t="s">
        <v>1107</v>
      </c>
      <c r="C2737" t="s">
        <v>1934</v>
      </c>
      <c r="D2737" s="9">
        <v>638614</v>
      </c>
      <c r="E2737">
        <v>5.8940000000000002E-4</v>
      </c>
    </row>
    <row r="2738" spans="1:5">
      <c r="A2738">
        <v>2018</v>
      </c>
      <c r="B2738" s="3" t="s">
        <v>1108</v>
      </c>
      <c r="C2738" t="s">
        <v>1053</v>
      </c>
      <c r="D2738" s="9">
        <v>1073247</v>
      </c>
      <c r="E2738">
        <v>9.905999999999999E-4</v>
      </c>
    </row>
    <row r="2739" spans="1:5">
      <c r="A2739">
        <v>2018</v>
      </c>
      <c r="B2739" s="3" t="s">
        <v>1110</v>
      </c>
      <c r="C2739" t="s">
        <v>2304</v>
      </c>
      <c r="D2739" s="9">
        <v>1608802</v>
      </c>
      <c r="E2739">
        <v>1.4848999999999999E-3</v>
      </c>
    </row>
    <row r="2740" spans="1:5">
      <c r="A2740">
        <v>2018</v>
      </c>
      <c r="B2740" s="3" t="s">
        <v>1109</v>
      </c>
      <c r="C2740" t="s">
        <v>2305</v>
      </c>
      <c r="D2740" s="9">
        <v>233149</v>
      </c>
      <c r="E2740">
        <v>2.152E-4</v>
      </c>
    </row>
    <row r="2741" spans="1:5">
      <c r="A2741">
        <v>2018</v>
      </c>
      <c r="B2741" s="3" t="s">
        <v>1111</v>
      </c>
      <c r="C2741" t="s">
        <v>2306</v>
      </c>
      <c r="D2741" s="9">
        <v>21464</v>
      </c>
      <c r="E2741">
        <v>1.98E-5</v>
      </c>
    </row>
    <row r="2742" spans="1:5">
      <c r="A2742">
        <v>2018</v>
      </c>
      <c r="B2742" s="3" t="s">
        <v>1112</v>
      </c>
      <c r="C2742" t="s">
        <v>2307</v>
      </c>
      <c r="D2742" s="9">
        <v>12207895</v>
      </c>
      <c r="E2742">
        <v>1.12678E-2</v>
      </c>
    </row>
    <row r="2743" spans="1:5">
      <c r="A2743">
        <v>2018</v>
      </c>
      <c r="B2743" s="3" t="s">
        <v>452</v>
      </c>
      <c r="C2743" t="s">
        <v>1939</v>
      </c>
      <c r="D2743" s="9">
        <v>11435737</v>
      </c>
      <c r="E2743">
        <v>1.05551E-2</v>
      </c>
    </row>
    <row r="2744" spans="1:5">
      <c r="A2744">
        <v>2018</v>
      </c>
      <c r="B2744" s="3" t="s">
        <v>1113</v>
      </c>
      <c r="C2744" t="s">
        <v>1058</v>
      </c>
      <c r="D2744" s="9">
        <v>58996</v>
      </c>
      <c r="E2744">
        <v>5.4500000000000003E-5</v>
      </c>
    </row>
    <row r="2745" spans="1:5">
      <c r="A2745">
        <v>2018</v>
      </c>
      <c r="B2745" s="3" t="s">
        <v>1481</v>
      </c>
      <c r="C2745" t="s">
        <v>1479</v>
      </c>
      <c r="D2745" s="9">
        <v>123099</v>
      </c>
      <c r="E2745">
        <v>1.136E-4</v>
      </c>
    </row>
    <row r="2746" spans="1:5">
      <c r="A2746">
        <v>2018</v>
      </c>
      <c r="B2746" s="3" t="s">
        <v>453</v>
      </c>
      <c r="C2746" t="s">
        <v>1940</v>
      </c>
      <c r="D2746" s="9">
        <v>669532</v>
      </c>
      <c r="E2746">
        <v>6.1799999999999995E-4</v>
      </c>
    </row>
    <row r="2747" spans="1:5">
      <c r="A2747">
        <v>2018</v>
      </c>
      <c r="B2747" s="3" t="s">
        <v>1115</v>
      </c>
      <c r="C2747" t="s">
        <v>1941</v>
      </c>
      <c r="D2747" s="9">
        <v>46680</v>
      </c>
      <c r="E2747">
        <v>4.3099999999999997E-5</v>
      </c>
    </row>
    <row r="2748" spans="1:5">
      <c r="A2748">
        <v>2018</v>
      </c>
      <c r="B2748" s="3" t="s">
        <v>1114</v>
      </c>
      <c r="C2748" t="s">
        <v>2308</v>
      </c>
      <c r="D2748" s="9">
        <v>545463</v>
      </c>
      <c r="E2748">
        <v>5.0350000000000004E-4</v>
      </c>
    </row>
    <row r="2749" spans="1:5">
      <c r="A2749">
        <v>2018</v>
      </c>
      <c r="B2749" s="3" t="s">
        <v>1116</v>
      </c>
      <c r="C2749" t="s">
        <v>1943</v>
      </c>
      <c r="D2749" s="9">
        <v>151779</v>
      </c>
      <c r="E2749">
        <v>1.4009999999999999E-4</v>
      </c>
    </row>
    <row r="2750" spans="1:5">
      <c r="A2750">
        <v>2018</v>
      </c>
      <c r="B2750" s="3" t="s">
        <v>1117</v>
      </c>
      <c r="C2750" t="s">
        <v>2309</v>
      </c>
      <c r="D2750" s="9">
        <v>136037</v>
      </c>
      <c r="E2750">
        <v>1.2559999999999999E-4</v>
      </c>
    </row>
    <row r="2751" spans="1:5">
      <c r="A2751">
        <v>2018</v>
      </c>
      <c r="B2751" s="3" t="s">
        <v>1118</v>
      </c>
      <c r="C2751" t="s">
        <v>1945</v>
      </c>
      <c r="D2751" s="9">
        <v>45408</v>
      </c>
      <c r="E2751">
        <v>4.1900000000000002E-5</v>
      </c>
    </row>
    <row r="2752" spans="1:5">
      <c r="A2752">
        <v>2018</v>
      </c>
      <c r="B2752" s="3" t="s">
        <v>1119</v>
      </c>
      <c r="C2752" t="s">
        <v>2310</v>
      </c>
      <c r="D2752" s="9">
        <v>1116156</v>
      </c>
      <c r="E2752">
        <v>1.0302E-3</v>
      </c>
    </row>
    <row r="2753" spans="1:5">
      <c r="A2753">
        <v>2018</v>
      </c>
      <c r="B2753" s="3" t="s">
        <v>454</v>
      </c>
      <c r="C2753" t="s">
        <v>1947</v>
      </c>
      <c r="D2753" s="9">
        <v>574665</v>
      </c>
      <c r="E2753">
        <v>5.3039999999999999E-4</v>
      </c>
    </row>
    <row r="2754" spans="1:5">
      <c r="A2754">
        <v>2018</v>
      </c>
      <c r="B2754" s="3" t="s">
        <v>1120</v>
      </c>
      <c r="C2754" t="s">
        <v>1948</v>
      </c>
      <c r="D2754" s="9"/>
    </row>
    <row r="2755" spans="1:5">
      <c r="A2755">
        <v>2018</v>
      </c>
      <c r="B2755" s="3" t="s">
        <v>1121</v>
      </c>
      <c r="C2755" t="s">
        <v>2311</v>
      </c>
      <c r="D2755" s="9">
        <v>2961487</v>
      </c>
      <c r="E2755">
        <v>2.7334E-3</v>
      </c>
    </row>
    <row r="2756" spans="1:5">
      <c r="A2756">
        <v>2018</v>
      </c>
      <c r="B2756" s="3" t="s">
        <v>455</v>
      </c>
      <c r="C2756" t="s">
        <v>1950</v>
      </c>
      <c r="D2756" s="9">
        <v>1220458</v>
      </c>
      <c r="E2756">
        <v>1.1264999999999999E-3</v>
      </c>
    </row>
    <row r="2757" spans="1:5">
      <c r="A2757">
        <v>2018</v>
      </c>
      <c r="B2757" s="3" t="s">
        <v>1122</v>
      </c>
      <c r="C2757" t="s">
        <v>1951</v>
      </c>
      <c r="D2757" s="9">
        <v>18610</v>
      </c>
      <c r="E2757">
        <v>1.7200000000000001E-5</v>
      </c>
    </row>
    <row r="2758" spans="1:5">
      <c r="A2758">
        <v>2018</v>
      </c>
      <c r="B2758" s="3" t="s">
        <v>1123</v>
      </c>
      <c r="C2758" t="s">
        <v>1952</v>
      </c>
      <c r="D2758" s="9">
        <v>51533</v>
      </c>
      <c r="E2758">
        <v>4.7599999999999998E-5</v>
      </c>
    </row>
    <row r="2759" spans="1:5">
      <c r="A2759">
        <v>2018</v>
      </c>
      <c r="B2759" s="3" t="s">
        <v>1124</v>
      </c>
      <c r="C2759" t="s">
        <v>1953</v>
      </c>
      <c r="D2759" s="9">
        <v>110646</v>
      </c>
      <c r="E2759">
        <v>1.021E-4</v>
      </c>
    </row>
    <row r="2760" spans="1:5">
      <c r="A2760">
        <v>2018</v>
      </c>
      <c r="B2760" s="3" t="s">
        <v>1125</v>
      </c>
      <c r="C2760" t="s">
        <v>2312</v>
      </c>
      <c r="D2760" s="9">
        <v>970568</v>
      </c>
      <c r="E2760">
        <v>8.9579999999999998E-4</v>
      </c>
    </row>
    <row r="2761" spans="1:5">
      <c r="A2761">
        <v>2018</v>
      </c>
      <c r="B2761" s="3" t="s">
        <v>1245</v>
      </c>
      <c r="C2761" t="s">
        <v>1955</v>
      </c>
      <c r="D2761" s="9">
        <v>152274</v>
      </c>
      <c r="E2761">
        <v>1.405E-4</v>
      </c>
    </row>
    <row r="2762" spans="1:5">
      <c r="A2762">
        <v>2018</v>
      </c>
      <c r="B2762" s="3" t="s">
        <v>1126</v>
      </c>
      <c r="C2762" t="s">
        <v>1956</v>
      </c>
      <c r="D2762" s="9">
        <v>84124</v>
      </c>
      <c r="E2762">
        <v>7.7600000000000002E-5</v>
      </c>
    </row>
    <row r="2763" spans="1:5">
      <c r="A2763">
        <v>2018</v>
      </c>
      <c r="B2763" s="3" t="s">
        <v>1127</v>
      </c>
      <c r="C2763" t="s">
        <v>1957</v>
      </c>
      <c r="D2763" s="9">
        <v>1366811</v>
      </c>
      <c r="E2763">
        <v>1.2616000000000001E-3</v>
      </c>
    </row>
    <row r="2764" spans="1:5">
      <c r="A2764">
        <v>2018</v>
      </c>
      <c r="B2764" s="3" t="s">
        <v>456</v>
      </c>
      <c r="C2764" t="s">
        <v>1958</v>
      </c>
      <c r="D2764" s="9">
        <v>310599</v>
      </c>
      <c r="E2764">
        <v>2.8669999999999998E-4</v>
      </c>
    </row>
    <row r="2765" spans="1:5">
      <c r="A2765">
        <v>2018</v>
      </c>
      <c r="B2765" s="3" t="s">
        <v>1128</v>
      </c>
      <c r="C2765" t="s">
        <v>2313</v>
      </c>
      <c r="D2765" s="9">
        <v>141972</v>
      </c>
      <c r="E2765">
        <v>1.3100000000000001E-4</v>
      </c>
    </row>
    <row r="2766" spans="1:5">
      <c r="A2766">
        <v>2018</v>
      </c>
      <c r="B2766" s="3" t="s">
        <v>1129</v>
      </c>
      <c r="C2766" t="s">
        <v>1074</v>
      </c>
      <c r="D2766" s="9">
        <v>5786</v>
      </c>
      <c r="E2766">
        <v>5.3000000000000001E-6</v>
      </c>
    </row>
    <row r="2767" spans="1:5">
      <c r="A2767">
        <v>2018</v>
      </c>
      <c r="B2767" s="3" t="s">
        <v>1130</v>
      </c>
      <c r="C2767" t="s">
        <v>1075</v>
      </c>
      <c r="D2767" s="9">
        <v>12220</v>
      </c>
      <c r="E2767">
        <v>1.13E-5</v>
      </c>
    </row>
    <row r="2768" spans="1:5">
      <c r="A2768">
        <v>2018</v>
      </c>
      <c r="B2768" s="3" t="s">
        <v>1131</v>
      </c>
      <c r="C2768" t="s">
        <v>2314</v>
      </c>
      <c r="D2768" s="9">
        <v>21257</v>
      </c>
      <c r="E2768">
        <v>1.9599999999999999E-5</v>
      </c>
    </row>
    <row r="2769" spans="1:5">
      <c r="A2769">
        <v>2018</v>
      </c>
      <c r="B2769" s="3" t="s">
        <v>457</v>
      </c>
      <c r="C2769" t="s">
        <v>1961</v>
      </c>
      <c r="D2769" s="9">
        <v>121245</v>
      </c>
      <c r="E2769">
        <v>1.119E-4</v>
      </c>
    </row>
    <row r="2770" spans="1:5">
      <c r="A2770">
        <v>2018</v>
      </c>
      <c r="B2770" s="3" t="s">
        <v>1132</v>
      </c>
      <c r="C2770" t="s">
        <v>2315</v>
      </c>
      <c r="D2770" s="9">
        <v>65674</v>
      </c>
      <c r="E2770">
        <v>6.0600000000000003E-5</v>
      </c>
    </row>
    <row r="2771" spans="1:5">
      <c r="A2771">
        <v>2018</v>
      </c>
      <c r="B2771" s="3" t="s">
        <v>1133</v>
      </c>
      <c r="C2771" t="s">
        <v>1962</v>
      </c>
      <c r="D2771" s="9">
        <v>77710</v>
      </c>
      <c r="E2771">
        <v>7.1699999999999995E-5</v>
      </c>
    </row>
    <row r="2772" spans="1:5">
      <c r="A2772">
        <v>2018</v>
      </c>
      <c r="B2772" s="3" t="s">
        <v>1994</v>
      </c>
      <c r="C2772" t="s">
        <v>2316</v>
      </c>
      <c r="D2772" s="9">
        <v>36271</v>
      </c>
      <c r="E2772">
        <v>3.3500000000000001E-5</v>
      </c>
    </row>
    <row r="2773" spans="1:5">
      <c r="A2773">
        <v>2018</v>
      </c>
      <c r="B2773" s="3" t="s">
        <v>1246</v>
      </c>
      <c r="C2773" t="s">
        <v>1964</v>
      </c>
      <c r="D2773" s="9">
        <v>110736</v>
      </c>
      <c r="E2773">
        <v>1.022E-4</v>
      </c>
    </row>
    <row r="2774" spans="1:5">
      <c r="A2774">
        <v>2018</v>
      </c>
      <c r="B2774" s="3" t="s">
        <v>1135</v>
      </c>
      <c r="C2774" t="s">
        <v>2317</v>
      </c>
      <c r="D2774" s="9">
        <v>231290</v>
      </c>
      <c r="E2774">
        <v>2.1350000000000001E-4</v>
      </c>
    </row>
    <row r="2775" spans="1:5">
      <c r="A2775">
        <v>2018</v>
      </c>
      <c r="B2775" s="3" t="s">
        <v>1136</v>
      </c>
      <c r="C2775" t="s">
        <v>1966</v>
      </c>
      <c r="D2775" s="9">
        <v>474557</v>
      </c>
      <c r="E2775">
        <v>4.3800000000000002E-4</v>
      </c>
    </row>
    <row r="2776" spans="1:5">
      <c r="A2776">
        <v>2018</v>
      </c>
      <c r="B2776" s="3" t="s">
        <v>458</v>
      </c>
      <c r="C2776" t="s">
        <v>1967</v>
      </c>
      <c r="D2776" s="9">
        <v>128179</v>
      </c>
      <c r="E2776">
        <v>1.183E-4</v>
      </c>
    </row>
    <row r="2777" spans="1:5">
      <c r="A2777">
        <v>2018</v>
      </c>
      <c r="B2777" s="3" t="s">
        <v>1137</v>
      </c>
      <c r="C2777" t="s">
        <v>2318</v>
      </c>
      <c r="D2777" s="9">
        <v>258967</v>
      </c>
      <c r="E2777">
        <v>2.3900000000000001E-4</v>
      </c>
    </row>
    <row r="2778" spans="1:5">
      <c r="A2778">
        <v>2018</v>
      </c>
      <c r="B2778" s="3" t="s">
        <v>1247</v>
      </c>
      <c r="C2778" t="s">
        <v>1969</v>
      </c>
      <c r="D2778" s="9">
        <v>30192</v>
      </c>
      <c r="E2778">
        <v>2.7900000000000001E-5</v>
      </c>
    </row>
    <row r="2779" spans="1:5">
      <c r="A2779">
        <v>2018</v>
      </c>
      <c r="B2779" s="3" t="s">
        <v>1138</v>
      </c>
      <c r="C2779" t="s">
        <v>1083</v>
      </c>
      <c r="D2779" s="9">
        <v>24538</v>
      </c>
      <c r="E2779">
        <v>2.26E-5</v>
      </c>
    </row>
    <row r="2780" spans="1:5">
      <c r="A2780">
        <v>2018</v>
      </c>
      <c r="B2780" s="3" t="s">
        <v>96</v>
      </c>
      <c r="C2780" t="s">
        <v>1970</v>
      </c>
      <c r="D2780" s="9">
        <v>17500</v>
      </c>
      <c r="E2780">
        <v>1.6200000000000001E-5</v>
      </c>
    </row>
    <row r="2781" spans="1:5">
      <c r="A2781">
        <v>2018</v>
      </c>
      <c r="B2781" s="3" t="s">
        <v>1139</v>
      </c>
      <c r="C2781" t="s">
        <v>1084</v>
      </c>
      <c r="D2781" s="9">
        <v>46893</v>
      </c>
      <c r="E2781">
        <v>4.3300000000000002E-5</v>
      </c>
    </row>
    <row r="2782" spans="1:5">
      <c r="A2782">
        <v>2018</v>
      </c>
      <c r="B2782" s="3" t="s">
        <v>1141</v>
      </c>
      <c r="C2782" t="s">
        <v>1971</v>
      </c>
      <c r="D2782" s="9">
        <v>19051</v>
      </c>
      <c r="E2782">
        <v>1.7600000000000001E-5</v>
      </c>
    </row>
    <row r="2783" spans="1:5">
      <c r="A2783">
        <v>2018</v>
      </c>
      <c r="B2783" s="3" t="s">
        <v>1142</v>
      </c>
      <c r="C2783" t="s">
        <v>1087</v>
      </c>
      <c r="D2783" s="9">
        <v>122839</v>
      </c>
      <c r="E2783">
        <v>1.1340000000000001E-4</v>
      </c>
    </row>
    <row r="2784" spans="1:5">
      <c r="A2784">
        <v>2018</v>
      </c>
      <c r="B2784" s="3" t="s">
        <v>1143</v>
      </c>
      <c r="C2784" t="s">
        <v>1088</v>
      </c>
      <c r="D2784" s="9"/>
    </row>
    <row r="2785" spans="1:5">
      <c r="A2785">
        <v>2018</v>
      </c>
      <c r="B2785" s="3" t="s">
        <v>1144</v>
      </c>
      <c r="C2785" t="s">
        <v>1089</v>
      </c>
      <c r="D2785" s="9"/>
    </row>
    <row r="2786" spans="1:5">
      <c r="A2786">
        <v>2018</v>
      </c>
      <c r="B2786" s="3" t="s">
        <v>1145</v>
      </c>
      <c r="C2786" t="s">
        <v>2319</v>
      </c>
      <c r="D2786" s="9"/>
    </row>
    <row r="2787" spans="1:5">
      <c r="A2787">
        <v>2018</v>
      </c>
      <c r="B2787" s="3" t="s">
        <v>1146</v>
      </c>
      <c r="C2787" t="s">
        <v>1973</v>
      </c>
      <c r="D2787" s="9">
        <v>7754982</v>
      </c>
      <c r="E2787">
        <v>7.1577999999999998E-3</v>
      </c>
    </row>
    <row r="2788" spans="1:5">
      <c r="A2788">
        <v>2018</v>
      </c>
      <c r="B2788" s="3" t="s">
        <v>1147</v>
      </c>
      <c r="C2788" t="s">
        <v>1092</v>
      </c>
      <c r="D2788" s="9">
        <v>5202</v>
      </c>
      <c r="E2788">
        <v>4.7999999999999998E-6</v>
      </c>
    </row>
    <row r="2789" spans="1:5">
      <c r="A2789">
        <v>2018</v>
      </c>
      <c r="B2789" s="3" t="s">
        <v>1148</v>
      </c>
      <c r="C2789" t="s">
        <v>2320</v>
      </c>
      <c r="D2789" s="9">
        <v>218112</v>
      </c>
      <c r="E2789">
        <v>2.0129999999999999E-4</v>
      </c>
    </row>
    <row r="2790" spans="1:5">
      <c r="A2790">
        <v>2018</v>
      </c>
      <c r="B2790" s="3" t="s">
        <v>1248</v>
      </c>
      <c r="C2790" t="s">
        <v>1975</v>
      </c>
      <c r="D2790" s="9">
        <v>58056</v>
      </c>
      <c r="E2790">
        <v>5.3600000000000002E-5</v>
      </c>
    </row>
    <row r="2791" spans="1:5">
      <c r="A2791">
        <v>2018</v>
      </c>
      <c r="B2791" s="3" t="s">
        <v>1149</v>
      </c>
      <c r="C2791" t="s">
        <v>2321</v>
      </c>
      <c r="D2791" s="9">
        <v>204197</v>
      </c>
      <c r="E2791">
        <v>1.885E-4</v>
      </c>
    </row>
    <row r="2792" spans="1:5">
      <c r="A2792">
        <v>2018</v>
      </c>
      <c r="B2792" s="3" t="s">
        <v>1150</v>
      </c>
      <c r="C2792" t="s">
        <v>2322</v>
      </c>
      <c r="D2792" s="9">
        <v>181051</v>
      </c>
      <c r="E2792">
        <v>1.671E-4</v>
      </c>
    </row>
    <row r="2793" spans="1:5">
      <c r="A2793">
        <v>2018</v>
      </c>
      <c r="B2793" s="3" t="s">
        <v>459</v>
      </c>
      <c r="C2793" t="s">
        <v>1977</v>
      </c>
      <c r="D2793" s="9">
        <v>3995587</v>
      </c>
      <c r="E2793">
        <v>3.6879E-3</v>
      </c>
    </row>
    <row r="2794" spans="1:5">
      <c r="A2794">
        <v>2018</v>
      </c>
      <c r="B2794" s="3" t="s">
        <v>1151</v>
      </c>
      <c r="C2794" t="s">
        <v>1978</v>
      </c>
      <c r="D2794" s="9"/>
    </row>
    <row r="2795" spans="1:5">
      <c r="A2795">
        <v>2018</v>
      </c>
      <c r="B2795" s="3" t="s">
        <v>1152</v>
      </c>
      <c r="C2795" t="s">
        <v>2323</v>
      </c>
      <c r="D2795" s="9">
        <v>1035764</v>
      </c>
      <c r="E2795">
        <v>9.5600000000000004E-4</v>
      </c>
    </row>
    <row r="2796" spans="1:5">
      <c r="A2796">
        <v>2018</v>
      </c>
      <c r="B2796" s="3" t="s">
        <v>1249</v>
      </c>
      <c r="C2796" t="s">
        <v>1980</v>
      </c>
      <c r="D2796" s="9">
        <v>136500</v>
      </c>
      <c r="E2796">
        <v>1.26E-4</v>
      </c>
    </row>
    <row r="2797" spans="1:5">
      <c r="A2797">
        <v>2018</v>
      </c>
      <c r="B2797" s="3" t="s">
        <v>1153</v>
      </c>
      <c r="C2797" t="s">
        <v>1981</v>
      </c>
      <c r="D2797" s="9">
        <v>178912</v>
      </c>
      <c r="E2797">
        <v>1.651E-4</v>
      </c>
    </row>
    <row r="2798" spans="1:5">
      <c r="A2798">
        <v>2018</v>
      </c>
      <c r="B2798" s="3" t="s">
        <v>1154</v>
      </c>
      <c r="C2798" t="s">
        <v>1982</v>
      </c>
      <c r="D2798" s="9">
        <v>7112066</v>
      </c>
      <c r="E2798">
        <v>6.5643999999999997E-3</v>
      </c>
    </row>
    <row r="2799" spans="1:5">
      <c r="A2799">
        <v>2018</v>
      </c>
      <c r="B2799" s="3" t="s">
        <v>1209</v>
      </c>
      <c r="C2799" t="s">
        <v>1983</v>
      </c>
      <c r="D2799" s="9">
        <v>7270224</v>
      </c>
      <c r="E2799">
        <v>6.7104E-3</v>
      </c>
    </row>
    <row r="2800" spans="1:5">
      <c r="A2800">
        <v>2018</v>
      </c>
      <c r="B2800" s="3" t="s">
        <v>460</v>
      </c>
      <c r="C2800" t="s">
        <v>1984</v>
      </c>
      <c r="D2800" s="9">
        <v>8401411</v>
      </c>
      <c r="E2800">
        <v>7.7543999999999998E-3</v>
      </c>
    </row>
    <row r="2801" spans="1:5">
      <c r="A2801">
        <v>2018</v>
      </c>
      <c r="B2801" s="3" t="s">
        <v>1210</v>
      </c>
      <c r="C2801" t="s">
        <v>1985</v>
      </c>
      <c r="D2801" s="9">
        <v>630177</v>
      </c>
      <c r="E2801">
        <v>5.8160000000000004E-4</v>
      </c>
    </row>
    <row r="2802" spans="1:5">
      <c r="A2802">
        <v>2018</v>
      </c>
      <c r="B2802" s="3" t="s">
        <v>1250</v>
      </c>
      <c r="C2802" t="s">
        <v>1986</v>
      </c>
      <c r="D2802" s="9">
        <v>173165</v>
      </c>
      <c r="E2802">
        <v>1.5980000000000001E-4</v>
      </c>
    </row>
    <row r="2803" spans="1:5">
      <c r="A2803">
        <v>2018</v>
      </c>
      <c r="B2803" s="3" t="s">
        <v>1211</v>
      </c>
      <c r="C2803" t="s">
        <v>1157</v>
      </c>
      <c r="D2803" s="9">
        <v>3245</v>
      </c>
      <c r="E2803">
        <v>3.0000000000000001E-6</v>
      </c>
    </row>
    <row r="2804" spans="1:5">
      <c r="A2804">
        <v>2018</v>
      </c>
      <c r="B2804" s="3" t="s">
        <v>1483</v>
      </c>
      <c r="C2804" t="s">
        <v>2324</v>
      </c>
      <c r="D2804" s="9">
        <v>67955</v>
      </c>
      <c r="E2804">
        <v>6.2700000000000006E-5</v>
      </c>
    </row>
    <row r="2805" spans="1:5">
      <c r="A2805">
        <v>2018</v>
      </c>
      <c r="B2805" s="3" t="s">
        <v>1212</v>
      </c>
      <c r="C2805" t="s">
        <v>2325</v>
      </c>
      <c r="D2805" s="9">
        <v>1646333</v>
      </c>
      <c r="E2805">
        <v>1.5196000000000001E-3</v>
      </c>
    </row>
    <row r="2806" spans="1:5">
      <c r="A2806">
        <v>2018</v>
      </c>
      <c r="B2806" s="3" t="s">
        <v>1213</v>
      </c>
      <c r="C2806" t="s">
        <v>2326</v>
      </c>
      <c r="D2806" s="9">
        <v>5156729</v>
      </c>
      <c r="E2806">
        <v>4.7596000000000001E-3</v>
      </c>
    </row>
    <row r="2807" spans="1:5">
      <c r="A2807">
        <v>2018</v>
      </c>
      <c r="B2807" s="3" t="s">
        <v>461</v>
      </c>
      <c r="C2807" t="s">
        <v>1989</v>
      </c>
      <c r="D2807" s="9">
        <v>925851</v>
      </c>
      <c r="E2807">
        <v>8.5459999999999996E-4</v>
      </c>
    </row>
    <row r="2808" spans="1:5">
      <c r="A2808">
        <v>2018</v>
      </c>
      <c r="B2808" s="3" t="s">
        <v>1214</v>
      </c>
      <c r="C2808" t="s">
        <v>1990</v>
      </c>
      <c r="D2808" s="9">
        <v>396290</v>
      </c>
      <c r="E2808">
        <v>3.658E-4</v>
      </c>
    </row>
    <row r="2809" spans="1:5">
      <c r="A2809">
        <v>2018</v>
      </c>
      <c r="B2809" s="3" t="s">
        <v>1215</v>
      </c>
      <c r="C2809" t="s">
        <v>2327</v>
      </c>
      <c r="D2809" s="9">
        <v>407187</v>
      </c>
      <c r="E2809">
        <v>3.7579999999999997E-4</v>
      </c>
    </row>
    <row r="2810" spans="1:5">
      <c r="A2810">
        <v>2018</v>
      </c>
      <c r="B2810" s="3" t="s">
        <v>462</v>
      </c>
      <c r="C2810" t="s">
        <v>1992</v>
      </c>
      <c r="D2810" s="9">
        <v>63837</v>
      </c>
      <c r="E2810">
        <v>5.8900000000000002E-5</v>
      </c>
    </row>
    <row r="2811" spans="1:5">
      <c r="A2811">
        <v>2018</v>
      </c>
      <c r="B2811" s="3" t="s">
        <v>1216</v>
      </c>
      <c r="C2811" t="s">
        <v>1162</v>
      </c>
      <c r="D2811" s="9" t="s">
        <v>2462</v>
      </c>
    </row>
    <row r="2812" spans="1:5">
      <c r="A2812">
        <v>2018</v>
      </c>
      <c r="B2812" s="3" t="s">
        <v>1217</v>
      </c>
      <c r="C2812" t="s">
        <v>1993</v>
      </c>
      <c r="D2812" s="9">
        <v>97227</v>
      </c>
      <c r="E2812">
        <v>8.9699999999999998E-5</v>
      </c>
    </row>
    <row r="2813" spans="1:5">
      <c r="A2813">
        <v>2018</v>
      </c>
      <c r="B2813" s="3" t="s">
        <v>1218</v>
      </c>
      <c r="C2813" t="s">
        <v>1995</v>
      </c>
      <c r="D2813" s="9">
        <v>76677</v>
      </c>
      <c r="E2813">
        <v>7.08E-5</v>
      </c>
    </row>
    <row r="2814" spans="1:5">
      <c r="A2814">
        <v>2018</v>
      </c>
      <c r="B2814" s="3" t="s">
        <v>1255</v>
      </c>
      <c r="C2814" t="s">
        <v>1201</v>
      </c>
      <c r="D2814" s="9">
        <v>9303</v>
      </c>
      <c r="E2814">
        <v>8.6000000000000007E-6</v>
      </c>
    </row>
    <row r="2815" spans="1:5">
      <c r="A2815">
        <v>2018</v>
      </c>
      <c r="B2815" s="3" t="s">
        <v>1256</v>
      </c>
      <c r="C2815" t="s">
        <v>1202</v>
      </c>
      <c r="D2815" s="9">
        <v>45794</v>
      </c>
      <c r="E2815">
        <v>4.2299999999999998E-5</v>
      </c>
    </row>
    <row r="2816" spans="1:5">
      <c r="A2816">
        <v>2018</v>
      </c>
      <c r="B2816" s="3" t="s">
        <v>1257</v>
      </c>
      <c r="C2816" t="s">
        <v>2328</v>
      </c>
      <c r="D2816" s="9">
        <v>1250592</v>
      </c>
      <c r="E2816">
        <v>1.1543E-3</v>
      </c>
    </row>
    <row r="2817" spans="1:5">
      <c r="A2817">
        <v>2018</v>
      </c>
      <c r="B2817" s="3" t="s">
        <v>1258</v>
      </c>
      <c r="C2817" t="s">
        <v>1204</v>
      </c>
      <c r="D2817" s="9">
        <v>1171620</v>
      </c>
      <c r="E2817">
        <v>1.0813999999999999E-3</v>
      </c>
    </row>
    <row r="2818" spans="1:5">
      <c r="A2818">
        <v>2018</v>
      </c>
      <c r="B2818" s="3" t="s">
        <v>1259</v>
      </c>
      <c r="C2818" t="s">
        <v>1205</v>
      </c>
      <c r="D2818" s="9">
        <v>288449</v>
      </c>
      <c r="E2818">
        <v>2.6620000000000002E-4</v>
      </c>
    </row>
    <row r="2819" spans="1:5">
      <c r="A2819">
        <v>2018</v>
      </c>
      <c r="B2819" s="3" t="s">
        <v>1260</v>
      </c>
      <c r="C2819" t="s">
        <v>1206</v>
      </c>
      <c r="D2819" s="9">
        <v>60043</v>
      </c>
      <c r="E2819">
        <v>5.5399999999999998E-5</v>
      </c>
    </row>
    <row r="2820" spans="1:5">
      <c r="A2820">
        <v>2018</v>
      </c>
      <c r="B2820" s="3" t="s">
        <v>1261</v>
      </c>
      <c r="C2820" t="s">
        <v>1997</v>
      </c>
      <c r="D2820" s="9">
        <v>28266002</v>
      </c>
      <c r="E2820">
        <v>2.6089299999999999E-2</v>
      </c>
    </row>
    <row r="2821" spans="1:5">
      <c r="A2821">
        <v>2018</v>
      </c>
      <c r="B2821" s="3" t="s">
        <v>1262</v>
      </c>
      <c r="C2821" t="s">
        <v>1208</v>
      </c>
      <c r="D2821" s="9">
        <v>36498</v>
      </c>
      <c r="E2821">
        <v>3.3699999999999999E-5</v>
      </c>
    </row>
    <row r="2822" spans="1:5">
      <c r="A2822">
        <v>2018</v>
      </c>
      <c r="B2822" s="3" t="s">
        <v>1251</v>
      </c>
      <c r="C2822" t="s">
        <v>1998</v>
      </c>
      <c r="D2822" s="9">
        <v>25614</v>
      </c>
      <c r="E2822">
        <v>2.3600000000000001E-5</v>
      </c>
    </row>
    <row r="2823" spans="1:5">
      <c r="A2823">
        <v>2018</v>
      </c>
      <c r="B2823" s="3" t="s">
        <v>1311</v>
      </c>
      <c r="C2823" t="s">
        <v>2329</v>
      </c>
      <c r="D2823" s="9">
        <v>785347</v>
      </c>
      <c r="E2823">
        <v>7.249E-4</v>
      </c>
    </row>
    <row r="2824" spans="1:5">
      <c r="A2824">
        <v>2018</v>
      </c>
      <c r="B2824" s="3" t="s">
        <v>1312</v>
      </c>
      <c r="C2824" t="s">
        <v>2000</v>
      </c>
      <c r="D2824" s="9">
        <v>43892011</v>
      </c>
      <c r="E2824">
        <v>4.0511999999999999E-2</v>
      </c>
    </row>
    <row r="2825" spans="1:5">
      <c r="A2825">
        <v>2018</v>
      </c>
      <c r="B2825" s="3" t="s">
        <v>1313</v>
      </c>
      <c r="C2825" t="s">
        <v>2001</v>
      </c>
      <c r="D2825" s="9">
        <v>7216261</v>
      </c>
      <c r="E2825">
        <v>6.6606E-3</v>
      </c>
    </row>
    <row r="2826" spans="1:5">
      <c r="A2826">
        <v>2018</v>
      </c>
      <c r="B2826" s="3" t="s">
        <v>1314</v>
      </c>
      <c r="C2826" t="s">
        <v>2002</v>
      </c>
      <c r="D2826" s="9">
        <v>49570</v>
      </c>
      <c r="E2826">
        <v>4.5800000000000002E-5</v>
      </c>
    </row>
    <row r="2827" spans="1:5">
      <c r="A2827">
        <v>2018</v>
      </c>
      <c r="B2827" s="3" t="s">
        <v>1035</v>
      </c>
      <c r="C2827" t="s">
        <v>2003</v>
      </c>
      <c r="D2827" s="9">
        <v>273135</v>
      </c>
      <c r="E2827">
        <v>2.521E-4</v>
      </c>
    </row>
    <row r="2828" spans="1:5">
      <c r="A2828">
        <v>2018</v>
      </c>
      <c r="B2828" s="3" t="s">
        <v>1315</v>
      </c>
      <c r="C2828" t="s">
        <v>2330</v>
      </c>
      <c r="D2828" s="9">
        <v>35996</v>
      </c>
      <c r="E2828">
        <v>3.3200000000000001E-5</v>
      </c>
    </row>
    <row r="2829" spans="1:5">
      <c r="A2829">
        <v>2018</v>
      </c>
      <c r="B2829" s="3" t="s">
        <v>1033</v>
      </c>
      <c r="C2829" t="s">
        <v>2005</v>
      </c>
      <c r="D2829" s="9">
        <v>2201566</v>
      </c>
      <c r="E2829">
        <v>2.032E-3</v>
      </c>
    </row>
    <row r="2830" spans="1:5">
      <c r="A2830">
        <v>2018</v>
      </c>
      <c r="B2830" s="3" t="s">
        <v>1316</v>
      </c>
      <c r="C2830" t="s">
        <v>2006</v>
      </c>
      <c r="D2830" s="9">
        <v>276741</v>
      </c>
      <c r="E2830">
        <v>2.5539999999999997E-4</v>
      </c>
    </row>
    <row r="2831" spans="1:5">
      <c r="A2831">
        <v>2018</v>
      </c>
      <c r="B2831" s="3" t="s">
        <v>1317</v>
      </c>
      <c r="C2831" t="s">
        <v>2007</v>
      </c>
      <c r="D2831" s="9">
        <v>106282</v>
      </c>
      <c r="E2831">
        <v>9.8099999999999999E-5</v>
      </c>
    </row>
    <row r="2832" spans="1:5">
      <c r="A2832">
        <v>2018</v>
      </c>
      <c r="B2832" s="3" t="s">
        <v>1318</v>
      </c>
      <c r="C2832" t="s">
        <v>2331</v>
      </c>
      <c r="D2832" s="9"/>
    </row>
    <row r="2833" spans="1:5">
      <c r="A2833">
        <v>2018</v>
      </c>
      <c r="B2833" s="3" t="s">
        <v>1319</v>
      </c>
      <c r="C2833" t="s">
        <v>1271</v>
      </c>
      <c r="D2833" s="9">
        <v>27163</v>
      </c>
      <c r="E2833">
        <v>2.51E-5</v>
      </c>
    </row>
    <row r="2834" spans="1:5">
      <c r="A2834">
        <v>2018</v>
      </c>
      <c r="B2834" s="3" t="s">
        <v>1320</v>
      </c>
      <c r="C2834" t="s">
        <v>2332</v>
      </c>
      <c r="D2834" s="9">
        <v>84324</v>
      </c>
      <c r="E2834">
        <v>7.7799999999999994E-5</v>
      </c>
    </row>
    <row r="2835" spans="1:5">
      <c r="A2835">
        <v>2018</v>
      </c>
      <c r="B2835" s="3" t="s">
        <v>1321</v>
      </c>
      <c r="C2835" t="s">
        <v>1273</v>
      </c>
      <c r="D2835" s="9"/>
    </row>
    <row r="2836" spans="1:5">
      <c r="A2836">
        <v>2018</v>
      </c>
      <c r="B2836" s="3" t="s">
        <v>1322</v>
      </c>
      <c r="C2836" t="s">
        <v>2333</v>
      </c>
      <c r="D2836" s="9"/>
    </row>
    <row r="2837" spans="1:5">
      <c r="A2837">
        <v>2018</v>
      </c>
      <c r="B2837" s="3" t="s">
        <v>1323</v>
      </c>
      <c r="C2837" t="s">
        <v>2334</v>
      </c>
      <c r="D2837" s="9">
        <v>12530614</v>
      </c>
      <c r="E2837">
        <v>1.15657E-2</v>
      </c>
    </row>
    <row r="2838" spans="1:5">
      <c r="A2838">
        <v>2018</v>
      </c>
      <c r="B2838" s="3" t="s">
        <v>1325</v>
      </c>
      <c r="C2838" t="s">
        <v>2012</v>
      </c>
      <c r="D2838" s="9">
        <v>111531</v>
      </c>
      <c r="E2838">
        <v>1.0289999999999999E-4</v>
      </c>
    </row>
    <row r="2839" spans="1:5">
      <c r="A2839">
        <v>2018</v>
      </c>
      <c r="B2839" s="3" t="s">
        <v>1252</v>
      </c>
      <c r="C2839" t="s">
        <v>2013</v>
      </c>
      <c r="D2839" s="9">
        <v>92843</v>
      </c>
      <c r="E2839">
        <v>8.5699999999999996E-5</v>
      </c>
    </row>
    <row r="2840" spans="1:5">
      <c r="A2840">
        <v>2018</v>
      </c>
      <c r="B2840" s="3" t="s">
        <v>1326</v>
      </c>
      <c r="C2840" t="s">
        <v>2335</v>
      </c>
      <c r="D2840" s="9">
        <v>80604</v>
      </c>
      <c r="E2840">
        <v>7.4400000000000006E-5</v>
      </c>
    </row>
    <row r="2841" spans="1:5">
      <c r="A2841">
        <v>2018</v>
      </c>
      <c r="B2841" s="3" t="s">
        <v>1327</v>
      </c>
      <c r="C2841" t="s">
        <v>2336</v>
      </c>
      <c r="D2841" s="9">
        <v>839948</v>
      </c>
      <c r="E2841">
        <v>7.7530000000000003E-4</v>
      </c>
    </row>
    <row r="2842" spans="1:5">
      <c r="A2842">
        <v>2018</v>
      </c>
      <c r="B2842" s="3" t="s">
        <v>1328</v>
      </c>
      <c r="C2842" t="s">
        <v>2337</v>
      </c>
      <c r="D2842" s="9">
        <v>31774</v>
      </c>
      <c r="E2842">
        <v>2.9300000000000001E-5</v>
      </c>
    </row>
    <row r="2843" spans="1:5">
      <c r="A2843">
        <v>2018</v>
      </c>
      <c r="B2843" s="3" t="s">
        <v>1329</v>
      </c>
      <c r="C2843" t="s">
        <v>1485</v>
      </c>
      <c r="D2843" s="9">
        <v>848708</v>
      </c>
      <c r="E2843">
        <v>7.8339999999999996E-4</v>
      </c>
    </row>
    <row r="2844" spans="1:5">
      <c r="A2844">
        <v>2018</v>
      </c>
      <c r="B2844" s="3" t="s">
        <v>1330</v>
      </c>
      <c r="C2844" t="s">
        <v>1282</v>
      </c>
      <c r="D2844" s="9"/>
    </row>
    <row r="2845" spans="1:5">
      <c r="A2845">
        <v>2018</v>
      </c>
      <c r="B2845" s="3" t="s">
        <v>1331</v>
      </c>
      <c r="C2845" t="s">
        <v>1283</v>
      </c>
      <c r="D2845" s="9"/>
    </row>
    <row r="2846" spans="1:5">
      <c r="A2846">
        <v>2018</v>
      </c>
      <c r="B2846" s="3" t="s">
        <v>1332</v>
      </c>
      <c r="C2846" t="s">
        <v>1284</v>
      </c>
      <c r="D2846" s="9">
        <v>29651</v>
      </c>
      <c r="E2846">
        <v>2.7399999999999999E-5</v>
      </c>
    </row>
    <row r="2847" spans="1:5">
      <c r="A2847">
        <v>2018</v>
      </c>
      <c r="B2847" s="3" t="s">
        <v>1333</v>
      </c>
      <c r="C2847" t="s">
        <v>2338</v>
      </c>
      <c r="D2847" s="9">
        <v>4664</v>
      </c>
      <c r="E2847">
        <v>4.3000000000000003E-6</v>
      </c>
    </row>
    <row r="2848" spans="1:5">
      <c r="A2848">
        <v>2018</v>
      </c>
      <c r="B2848" s="3" t="s">
        <v>1334</v>
      </c>
      <c r="C2848" t="s">
        <v>2339</v>
      </c>
      <c r="D2848" s="9">
        <v>1322023</v>
      </c>
      <c r="E2848">
        <v>1.2202000000000001E-3</v>
      </c>
    </row>
    <row r="2849" spans="1:5">
      <c r="A2849">
        <v>2018</v>
      </c>
      <c r="B2849" s="3" t="s">
        <v>1335</v>
      </c>
      <c r="C2849" t="s">
        <v>2340</v>
      </c>
      <c r="D2849" s="9">
        <v>737564</v>
      </c>
      <c r="E2849">
        <v>6.8079999999999996E-4</v>
      </c>
    </row>
    <row r="2850" spans="1:5">
      <c r="A2850">
        <v>2018</v>
      </c>
      <c r="B2850" s="3" t="s">
        <v>1253</v>
      </c>
      <c r="C2850" t="s">
        <v>2018</v>
      </c>
      <c r="D2850" s="9">
        <v>270923</v>
      </c>
      <c r="E2850">
        <v>2.5010000000000001E-4</v>
      </c>
    </row>
    <row r="2851" spans="1:5">
      <c r="A2851">
        <v>2018</v>
      </c>
      <c r="B2851" s="3" t="s">
        <v>1336</v>
      </c>
      <c r="C2851" t="s">
        <v>2019</v>
      </c>
      <c r="D2851" s="9">
        <v>544403</v>
      </c>
      <c r="E2851">
        <v>5.0250000000000002E-4</v>
      </c>
    </row>
    <row r="2852" spans="1:5">
      <c r="A2852">
        <v>2018</v>
      </c>
      <c r="B2852" s="3" t="s">
        <v>463</v>
      </c>
      <c r="C2852" t="s">
        <v>2020</v>
      </c>
      <c r="D2852" s="9">
        <v>175514</v>
      </c>
      <c r="E2852">
        <v>1.6200000000000001E-4</v>
      </c>
    </row>
    <row r="2853" spans="1:5">
      <c r="A2853">
        <v>2018</v>
      </c>
      <c r="B2853" s="3" t="s">
        <v>1337</v>
      </c>
      <c r="C2853" t="s">
        <v>2021</v>
      </c>
      <c r="D2853" s="9">
        <v>367131</v>
      </c>
      <c r="E2853">
        <v>3.389E-4</v>
      </c>
    </row>
    <row r="2854" spans="1:5">
      <c r="A2854">
        <v>2018</v>
      </c>
      <c r="B2854" s="3" t="s">
        <v>464</v>
      </c>
      <c r="C2854" t="s">
        <v>2022</v>
      </c>
      <c r="D2854" s="9">
        <v>286628</v>
      </c>
      <c r="E2854">
        <v>2.6459999999999998E-4</v>
      </c>
    </row>
    <row r="2855" spans="1:5">
      <c r="A2855">
        <v>2018</v>
      </c>
      <c r="B2855" s="3" t="s">
        <v>1338</v>
      </c>
      <c r="C2855" t="s">
        <v>2341</v>
      </c>
      <c r="D2855" s="9">
        <v>2346</v>
      </c>
      <c r="E2855">
        <v>2.2000000000000001E-6</v>
      </c>
    </row>
    <row r="2856" spans="1:5">
      <c r="A2856">
        <v>2018</v>
      </c>
      <c r="B2856" s="3" t="s">
        <v>907</v>
      </c>
      <c r="C2856" t="s">
        <v>2024</v>
      </c>
      <c r="D2856" s="9">
        <v>39532</v>
      </c>
      <c r="E2856">
        <v>3.65E-5</v>
      </c>
    </row>
    <row r="2857" spans="1:5">
      <c r="A2857">
        <v>2018</v>
      </c>
      <c r="B2857" s="3" t="s">
        <v>1339</v>
      </c>
      <c r="C2857" t="s">
        <v>2025</v>
      </c>
      <c r="D2857" s="9">
        <v>834908</v>
      </c>
      <c r="E2857">
        <v>7.7059999999999997E-4</v>
      </c>
    </row>
    <row r="2858" spans="1:5">
      <c r="A2858">
        <v>2018</v>
      </c>
      <c r="B2858" s="3" t="s">
        <v>1340</v>
      </c>
      <c r="C2858" t="s">
        <v>2342</v>
      </c>
      <c r="D2858" s="9">
        <v>1712059</v>
      </c>
      <c r="E2858">
        <v>1.5801999999999999E-3</v>
      </c>
    </row>
    <row r="2859" spans="1:5">
      <c r="A2859">
        <v>2018</v>
      </c>
      <c r="B2859" s="3" t="s">
        <v>1341</v>
      </c>
      <c r="C2859" t="s">
        <v>2027</v>
      </c>
      <c r="D2859" s="9">
        <v>1061448</v>
      </c>
      <c r="E2859">
        <v>9.7970000000000002E-4</v>
      </c>
    </row>
    <row r="2860" spans="1:5">
      <c r="A2860">
        <v>2018</v>
      </c>
      <c r="B2860" s="3" t="s">
        <v>465</v>
      </c>
      <c r="C2860" t="s">
        <v>2028</v>
      </c>
      <c r="D2860" s="9">
        <v>297426</v>
      </c>
      <c r="E2860">
        <v>2.745E-4</v>
      </c>
    </row>
    <row r="2861" spans="1:5">
      <c r="A2861">
        <v>2018</v>
      </c>
      <c r="B2861" s="3" t="s">
        <v>1342</v>
      </c>
      <c r="C2861" t="s">
        <v>1294</v>
      </c>
      <c r="D2861" s="9"/>
    </row>
    <row r="2862" spans="1:5">
      <c r="A2862">
        <v>2018</v>
      </c>
      <c r="B2862" s="3" t="s">
        <v>1343</v>
      </c>
      <c r="C2862" t="s">
        <v>2343</v>
      </c>
      <c r="D2862" s="9">
        <v>37325</v>
      </c>
      <c r="E2862">
        <v>3.4499999999999998E-5</v>
      </c>
    </row>
    <row r="2863" spans="1:5">
      <c r="A2863">
        <v>2018</v>
      </c>
      <c r="B2863" s="3" t="s">
        <v>1344</v>
      </c>
      <c r="C2863" t="s">
        <v>2030</v>
      </c>
      <c r="D2863" s="9">
        <v>61867</v>
      </c>
      <c r="E2863">
        <v>5.7099999999999999E-5</v>
      </c>
    </row>
    <row r="2864" spans="1:5">
      <c r="A2864">
        <v>2018</v>
      </c>
      <c r="B2864" s="3" t="s">
        <v>1346</v>
      </c>
      <c r="C2864" t="s">
        <v>1298</v>
      </c>
      <c r="D2864" s="9">
        <v>2133308</v>
      </c>
      <c r="E2864">
        <v>1.9689999999999998E-3</v>
      </c>
    </row>
    <row r="2865" spans="1:5">
      <c r="A2865">
        <v>2018</v>
      </c>
      <c r="B2865" s="3" t="s">
        <v>1347</v>
      </c>
      <c r="C2865" t="s">
        <v>1299</v>
      </c>
      <c r="D2865" s="9">
        <v>5815728</v>
      </c>
      <c r="E2865">
        <v>5.3679000000000001E-3</v>
      </c>
    </row>
    <row r="2866" spans="1:5">
      <c r="A2866">
        <v>2018</v>
      </c>
      <c r="B2866" s="3" t="s">
        <v>1345</v>
      </c>
      <c r="C2866" t="s">
        <v>2344</v>
      </c>
      <c r="D2866" s="9"/>
    </row>
    <row r="2867" spans="1:5">
      <c r="A2867">
        <v>2018</v>
      </c>
      <c r="B2867" s="3" t="s">
        <v>1348</v>
      </c>
      <c r="C2867" t="s">
        <v>2032</v>
      </c>
      <c r="D2867" s="9">
        <v>85680</v>
      </c>
      <c r="E2867">
        <v>7.9099999999999998E-5</v>
      </c>
    </row>
    <row r="2868" spans="1:5">
      <c r="A2868">
        <v>2018</v>
      </c>
      <c r="B2868" s="3" t="s">
        <v>1349</v>
      </c>
      <c r="C2868" t="s">
        <v>2033</v>
      </c>
      <c r="D2868" s="9">
        <v>179996</v>
      </c>
      <c r="E2868">
        <v>1.661E-4</v>
      </c>
    </row>
    <row r="2869" spans="1:5">
      <c r="A2869">
        <v>2018</v>
      </c>
      <c r="B2869" s="3" t="s">
        <v>1254</v>
      </c>
      <c r="C2869" t="s">
        <v>2034</v>
      </c>
      <c r="D2869" s="9">
        <v>92962</v>
      </c>
      <c r="E2869">
        <v>8.5799999999999998E-5</v>
      </c>
    </row>
    <row r="2870" spans="1:5">
      <c r="A2870">
        <v>2018</v>
      </c>
      <c r="B2870" s="3" t="s">
        <v>1350</v>
      </c>
      <c r="C2870" t="s">
        <v>2345</v>
      </c>
      <c r="D2870" s="9">
        <v>28981</v>
      </c>
      <c r="E2870">
        <v>2.6699999999999998E-5</v>
      </c>
    </row>
    <row r="2871" spans="1:5">
      <c r="A2871">
        <v>2018</v>
      </c>
      <c r="B2871" s="3" t="s">
        <v>1352</v>
      </c>
      <c r="C2871" t="s">
        <v>1304</v>
      </c>
      <c r="D2871" s="9">
        <v>4635144</v>
      </c>
      <c r="E2871">
        <v>4.2782000000000002E-3</v>
      </c>
    </row>
    <row r="2872" spans="1:5">
      <c r="A2872">
        <v>2018</v>
      </c>
      <c r="B2872" s="3" t="s">
        <v>1353</v>
      </c>
      <c r="C2872" t="s">
        <v>1305</v>
      </c>
      <c r="D2872" s="9">
        <v>136298</v>
      </c>
      <c r="E2872">
        <v>1.2579999999999999E-4</v>
      </c>
    </row>
    <row r="2873" spans="1:5">
      <c r="A2873">
        <v>2018</v>
      </c>
      <c r="B2873" s="3" t="s">
        <v>1351</v>
      </c>
      <c r="C2873" t="s">
        <v>2346</v>
      </c>
      <c r="D2873" s="9">
        <v>33344</v>
      </c>
      <c r="E2873">
        <v>3.0800000000000003E-5</v>
      </c>
    </row>
    <row r="2874" spans="1:5">
      <c r="A2874">
        <v>2018</v>
      </c>
      <c r="B2874" s="3" t="s">
        <v>1354</v>
      </c>
      <c r="C2874" t="s">
        <v>2037</v>
      </c>
      <c r="D2874" s="9">
        <v>827</v>
      </c>
      <c r="E2874">
        <v>7.9999999999999996E-7</v>
      </c>
    </row>
    <row r="2875" spans="1:5">
      <c r="A2875">
        <v>2018</v>
      </c>
      <c r="B2875" s="3" t="s">
        <v>1355</v>
      </c>
      <c r="C2875" t="s">
        <v>2038</v>
      </c>
      <c r="D2875" s="9">
        <v>3904200</v>
      </c>
      <c r="E2875">
        <v>3.6034999999999999E-3</v>
      </c>
    </row>
    <row r="2876" spans="1:5">
      <c r="A2876">
        <v>2018</v>
      </c>
      <c r="B2876" s="3" t="s">
        <v>1357</v>
      </c>
      <c r="C2876" t="s">
        <v>2347</v>
      </c>
      <c r="D2876" s="9">
        <v>142713</v>
      </c>
      <c r="E2876">
        <v>1.317E-4</v>
      </c>
    </row>
    <row r="2877" spans="1:5">
      <c r="A2877">
        <v>2018</v>
      </c>
      <c r="B2877" s="3" t="s">
        <v>2043</v>
      </c>
      <c r="C2877" t="s">
        <v>2348</v>
      </c>
      <c r="D2877" s="9">
        <v>28234</v>
      </c>
      <c r="E2877">
        <v>2.6100000000000001E-5</v>
      </c>
    </row>
    <row r="2878" spans="1:5">
      <c r="A2878">
        <v>2018</v>
      </c>
      <c r="B2878" s="3" t="s">
        <v>1358</v>
      </c>
      <c r="C2878" t="s">
        <v>2041</v>
      </c>
      <c r="D2878" s="9">
        <v>4588713</v>
      </c>
      <c r="E2878">
        <v>4.2353E-3</v>
      </c>
    </row>
    <row r="2879" spans="1:5">
      <c r="A2879">
        <v>2018</v>
      </c>
      <c r="B2879" s="3" t="s">
        <v>466</v>
      </c>
      <c r="C2879" t="s">
        <v>2042</v>
      </c>
      <c r="D2879" s="9">
        <v>3361380</v>
      </c>
      <c r="E2879">
        <v>3.1024999999999998E-3</v>
      </c>
    </row>
    <row r="2880" spans="1:5">
      <c r="A2880">
        <v>2019</v>
      </c>
      <c r="B2880" s="3" t="s">
        <v>59</v>
      </c>
      <c r="C2880" t="s">
        <v>6</v>
      </c>
      <c r="D2880" s="9"/>
    </row>
    <row r="2881" spans="1:5">
      <c r="A2881">
        <v>2019</v>
      </c>
      <c r="B2881" s="3" t="s">
        <v>60</v>
      </c>
      <c r="C2881" t="s">
        <v>7</v>
      </c>
      <c r="D2881" s="9">
        <v>321887</v>
      </c>
      <c r="E2881">
        <v>2.7300000000000002E-4</v>
      </c>
    </row>
    <row r="2882" spans="1:5">
      <c r="A2882">
        <v>2019</v>
      </c>
      <c r="B2882" s="3" t="s">
        <v>61</v>
      </c>
      <c r="C2882" t="s">
        <v>1487</v>
      </c>
      <c r="D2882" s="9">
        <v>68051</v>
      </c>
      <c r="E2882">
        <v>5.77E-5</v>
      </c>
    </row>
    <row r="2883" spans="1:5">
      <c r="A2883">
        <v>2019</v>
      </c>
      <c r="B2883" s="3" t="s">
        <v>62</v>
      </c>
      <c r="C2883" t="s">
        <v>9</v>
      </c>
      <c r="D2883" s="9">
        <v>71528</v>
      </c>
      <c r="E2883">
        <v>6.0699999999999998E-5</v>
      </c>
    </row>
    <row r="2884" spans="1:5">
      <c r="A2884">
        <v>2019</v>
      </c>
      <c r="B2884" s="3" t="s">
        <v>63</v>
      </c>
      <c r="C2884" t="s">
        <v>1488</v>
      </c>
      <c r="D2884" s="9">
        <v>115199</v>
      </c>
      <c r="E2884">
        <v>9.7700000000000003E-5</v>
      </c>
    </row>
    <row r="2885" spans="1:5">
      <c r="A2885">
        <v>2019</v>
      </c>
      <c r="B2885" s="3" t="s">
        <v>64</v>
      </c>
      <c r="C2885" t="s">
        <v>1489</v>
      </c>
      <c r="D2885" s="9">
        <v>4649538</v>
      </c>
      <c r="E2885">
        <v>3.9433000000000003E-3</v>
      </c>
    </row>
    <row r="2886" spans="1:5">
      <c r="A2886">
        <v>2019</v>
      </c>
      <c r="B2886" s="3" t="s">
        <v>65</v>
      </c>
      <c r="C2886" t="s">
        <v>1490</v>
      </c>
      <c r="D2886" s="9">
        <v>81487</v>
      </c>
      <c r="E2886">
        <v>6.9099999999999999E-5</v>
      </c>
    </row>
    <row r="2887" spans="1:5">
      <c r="A2887">
        <v>2019</v>
      </c>
      <c r="B2887" s="3" t="s">
        <v>66</v>
      </c>
      <c r="C2887" t="s">
        <v>1491</v>
      </c>
      <c r="D2887" s="9">
        <v>39738</v>
      </c>
      <c r="E2887">
        <v>3.3699999999999999E-5</v>
      </c>
    </row>
    <row r="2888" spans="1:5">
      <c r="A2888">
        <v>2019</v>
      </c>
      <c r="B2888" s="3" t="s">
        <v>67</v>
      </c>
      <c r="C2888" t="s">
        <v>1492</v>
      </c>
      <c r="D2888" s="9">
        <v>191454</v>
      </c>
      <c r="E2888">
        <v>1.6239999999999999E-4</v>
      </c>
    </row>
    <row r="2889" spans="1:5">
      <c r="A2889">
        <v>2019</v>
      </c>
      <c r="B2889" s="3" t="s">
        <v>68</v>
      </c>
      <c r="C2889" t="s">
        <v>1493</v>
      </c>
      <c r="D2889" s="9">
        <v>14770</v>
      </c>
      <c r="E2889">
        <v>1.2500000000000001E-5</v>
      </c>
    </row>
    <row r="2890" spans="1:5">
      <c r="A2890">
        <v>2019</v>
      </c>
      <c r="B2890" s="3" t="s">
        <v>69</v>
      </c>
      <c r="C2890" t="s">
        <v>1494</v>
      </c>
      <c r="D2890" s="9">
        <v>399987</v>
      </c>
      <c r="E2890">
        <v>3.392E-4</v>
      </c>
    </row>
    <row r="2891" spans="1:5">
      <c r="A2891">
        <v>2019</v>
      </c>
      <c r="B2891" s="3" t="s">
        <v>70</v>
      </c>
      <c r="C2891" t="s">
        <v>1495</v>
      </c>
      <c r="D2891" s="9">
        <v>7580376</v>
      </c>
      <c r="E2891">
        <v>6.4289999999999998E-3</v>
      </c>
    </row>
    <row r="2892" spans="1:5">
      <c r="A2892">
        <v>2019</v>
      </c>
      <c r="B2892" s="3" t="s">
        <v>71</v>
      </c>
      <c r="C2892" t="s">
        <v>1496</v>
      </c>
      <c r="D2892" s="9">
        <v>62492</v>
      </c>
      <c r="E2892">
        <v>5.3000000000000001E-5</v>
      </c>
    </row>
    <row r="2893" spans="1:5">
      <c r="A2893">
        <v>2019</v>
      </c>
      <c r="B2893" s="3" t="s">
        <v>72</v>
      </c>
      <c r="C2893" t="s">
        <v>1497</v>
      </c>
      <c r="D2893" s="9">
        <v>402458</v>
      </c>
      <c r="E2893">
        <v>3.413E-4</v>
      </c>
    </row>
    <row r="2894" spans="1:5">
      <c r="A2894">
        <v>2019</v>
      </c>
      <c r="B2894" s="3" t="s">
        <v>74</v>
      </c>
      <c r="C2894" t="s">
        <v>1498</v>
      </c>
      <c r="D2894" s="9">
        <v>35564</v>
      </c>
      <c r="E2894">
        <v>3.0199999999999999E-5</v>
      </c>
    </row>
    <row r="2895" spans="1:5">
      <c r="A2895">
        <v>2019</v>
      </c>
      <c r="B2895" s="3" t="s">
        <v>75</v>
      </c>
      <c r="C2895" t="s">
        <v>1365</v>
      </c>
      <c r="D2895" s="9">
        <v>9067</v>
      </c>
      <c r="E2895">
        <v>7.7000000000000008E-6</v>
      </c>
    </row>
    <row r="2896" spans="1:5">
      <c r="A2896">
        <v>2019</v>
      </c>
      <c r="B2896" s="3" t="s">
        <v>76</v>
      </c>
      <c r="C2896" t="s">
        <v>1499</v>
      </c>
      <c r="D2896" s="9">
        <v>7925826</v>
      </c>
      <c r="E2896">
        <v>6.7219999999999997E-3</v>
      </c>
    </row>
    <row r="2897" spans="1:5">
      <c r="A2897">
        <v>2019</v>
      </c>
      <c r="B2897" s="3" t="s">
        <v>77</v>
      </c>
      <c r="C2897" t="s">
        <v>1500</v>
      </c>
      <c r="D2897" s="9">
        <v>198729</v>
      </c>
      <c r="E2897">
        <v>1.685E-4</v>
      </c>
    </row>
    <row r="2898" spans="1:5">
      <c r="A2898">
        <v>2019</v>
      </c>
      <c r="B2898" s="3" t="s">
        <v>78</v>
      </c>
      <c r="C2898" t="s">
        <v>25</v>
      </c>
      <c r="D2898" s="9">
        <v>1316548</v>
      </c>
      <c r="E2898">
        <v>1.1165999999999999E-3</v>
      </c>
    </row>
    <row r="2899" spans="1:5">
      <c r="A2899">
        <v>2019</v>
      </c>
      <c r="B2899" s="3" t="s">
        <v>1524</v>
      </c>
      <c r="C2899" t="s">
        <v>1501</v>
      </c>
      <c r="D2899" s="9"/>
    </row>
    <row r="2900" spans="1:5">
      <c r="A2900">
        <v>2019</v>
      </c>
      <c r="B2900" s="3" t="s">
        <v>79</v>
      </c>
      <c r="C2900" t="s">
        <v>1502</v>
      </c>
      <c r="D2900" s="9">
        <v>11895</v>
      </c>
      <c r="E2900">
        <v>1.01E-5</v>
      </c>
    </row>
    <row r="2901" spans="1:5">
      <c r="A2901">
        <v>2019</v>
      </c>
      <c r="B2901" s="3" t="s">
        <v>80</v>
      </c>
      <c r="C2901" t="s">
        <v>1503</v>
      </c>
      <c r="D2901" s="9">
        <v>1789391</v>
      </c>
      <c r="E2901">
        <v>1.5176E-3</v>
      </c>
    </row>
    <row r="2902" spans="1:5">
      <c r="A2902">
        <v>2019</v>
      </c>
      <c r="B2902" s="3" t="s">
        <v>1324</v>
      </c>
      <c r="C2902" t="s">
        <v>1504</v>
      </c>
      <c r="D2902" s="9">
        <v>85950</v>
      </c>
      <c r="E2902">
        <v>7.2899999999999997E-5</v>
      </c>
    </row>
    <row r="2903" spans="1:5">
      <c r="A2903">
        <v>2019</v>
      </c>
      <c r="B2903" s="3" t="s">
        <v>369</v>
      </c>
      <c r="C2903" t="s">
        <v>1505</v>
      </c>
      <c r="D2903" s="9">
        <v>1157260</v>
      </c>
      <c r="E2903">
        <v>9.8149999999999995E-4</v>
      </c>
    </row>
    <row r="2904" spans="1:5">
      <c r="A2904">
        <v>2019</v>
      </c>
      <c r="B2904" s="3" t="s">
        <v>81</v>
      </c>
      <c r="C2904" t="s">
        <v>1506</v>
      </c>
      <c r="D2904" s="9">
        <v>149056</v>
      </c>
      <c r="E2904">
        <v>1.2640000000000001E-4</v>
      </c>
    </row>
    <row r="2905" spans="1:5">
      <c r="A2905">
        <v>2019</v>
      </c>
      <c r="B2905" s="3" t="s">
        <v>1371</v>
      </c>
      <c r="C2905" t="s">
        <v>1507</v>
      </c>
      <c r="D2905" s="9">
        <v>8679</v>
      </c>
      <c r="E2905">
        <v>7.4000000000000003E-6</v>
      </c>
    </row>
    <row r="2906" spans="1:5">
      <c r="A2906">
        <v>2019</v>
      </c>
      <c r="B2906" s="3" t="s">
        <v>58</v>
      </c>
      <c r="C2906" t="s">
        <v>1508</v>
      </c>
      <c r="D2906" s="9">
        <v>651414</v>
      </c>
      <c r="E2906">
        <v>5.5250000000000004E-4</v>
      </c>
    </row>
    <row r="2907" spans="1:5">
      <c r="A2907">
        <v>2019</v>
      </c>
      <c r="B2907" s="3" t="s">
        <v>82</v>
      </c>
      <c r="C2907" t="s">
        <v>1509</v>
      </c>
      <c r="D2907" s="9">
        <v>36164</v>
      </c>
      <c r="E2907">
        <v>3.0700000000000001E-5</v>
      </c>
    </row>
    <row r="2908" spans="1:5">
      <c r="A2908">
        <v>2019</v>
      </c>
      <c r="B2908" s="3" t="s">
        <v>83</v>
      </c>
      <c r="C2908" t="s">
        <v>30</v>
      </c>
      <c r="D2908" s="9">
        <v>7379467</v>
      </c>
      <c r="E2908">
        <v>6.2585999999999996E-3</v>
      </c>
    </row>
    <row r="2909" spans="1:5">
      <c r="A2909">
        <v>2019</v>
      </c>
      <c r="B2909" s="3" t="s">
        <v>84</v>
      </c>
      <c r="C2909" t="s">
        <v>31</v>
      </c>
      <c r="D2909" s="9">
        <v>35971</v>
      </c>
      <c r="E2909">
        <v>3.0499999999999999E-5</v>
      </c>
    </row>
    <row r="2910" spans="1:5">
      <c r="A2910">
        <v>2019</v>
      </c>
      <c r="B2910" s="3" t="s">
        <v>1426</v>
      </c>
      <c r="C2910" t="s">
        <v>1510</v>
      </c>
      <c r="D2910" s="9">
        <v>1542</v>
      </c>
      <c r="E2910">
        <v>1.3E-6</v>
      </c>
    </row>
    <row r="2911" spans="1:5">
      <c r="A2911">
        <v>2019</v>
      </c>
      <c r="B2911" s="3" t="s">
        <v>91</v>
      </c>
      <c r="C2911" t="s">
        <v>1511</v>
      </c>
      <c r="D2911" s="9">
        <v>18740</v>
      </c>
      <c r="E2911">
        <v>1.59E-5</v>
      </c>
    </row>
    <row r="2912" spans="1:5">
      <c r="A2912">
        <v>2019</v>
      </c>
      <c r="B2912" s="3" t="s">
        <v>97</v>
      </c>
      <c r="C2912" t="s">
        <v>1512</v>
      </c>
      <c r="D2912" s="9">
        <v>66475</v>
      </c>
      <c r="E2912">
        <v>5.6400000000000002E-5</v>
      </c>
    </row>
    <row r="2913" spans="1:5">
      <c r="A2913">
        <v>2019</v>
      </c>
      <c r="B2913" s="3" t="s">
        <v>98</v>
      </c>
      <c r="C2913" t="s">
        <v>1513</v>
      </c>
      <c r="D2913" s="9">
        <v>35462</v>
      </c>
      <c r="E2913">
        <v>3.01E-5</v>
      </c>
    </row>
    <row r="2914" spans="1:5">
      <c r="A2914">
        <v>2019</v>
      </c>
      <c r="B2914" s="3" t="s">
        <v>99</v>
      </c>
      <c r="C2914" t="s">
        <v>1514</v>
      </c>
      <c r="D2914" s="9">
        <v>18968</v>
      </c>
      <c r="E2914">
        <v>1.6099999999999998E-5</v>
      </c>
    </row>
    <row r="2915" spans="1:5">
      <c r="A2915">
        <v>2019</v>
      </c>
      <c r="B2915" s="3" t="s">
        <v>210</v>
      </c>
      <c r="C2915" t="s">
        <v>2349</v>
      </c>
      <c r="D2915" s="9">
        <v>65</v>
      </c>
      <c r="E2915">
        <v>9.9999999999999995E-8</v>
      </c>
    </row>
    <row r="2916" spans="1:5">
      <c r="A2916">
        <v>2019</v>
      </c>
      <c r="B2916" s="3" t="s">
        <v>85</v>
      </c>
      <c r="C2916" t="s">
        <v>1516</v>
      </c>
      <c r="D2916" s="9">
        <v>26778</v>
      </c>
      <c r="E2916">
        <v>2.27E-5</v>
      </c>
    </row>
    <row r="2917" spans="1:5">
      <c r="A2917">
        <v>2019</v>
      </c>
      <c r="B2917" s="3" t="s">
        <v>102</v>
      </c>
      <c r="C2917" t="s">
        <v>1517</v>
      </c>
      <c r="D2917" s="9">
        <v>13131</v>
      </c>
      <c r="E2917">
        <v>1.11E-5</v>
      </c>
    </row>
    <row r="2918" spans="1:5">
      <c r="A2918">
        <v>2019</v>
      </c>
      <c r="B2918" s="3" t="s">
        <v>104</v>
      </c>
      <c r="C2918" t="s">
        <v>1518</v>
      </c>
      <c r="D2918" s="9">
        <v>36916</v>
      </c>
      <c r="E2918">
        <v>3.1300000000000002E-5</v>
      </c>
    </row>
    <row r="2919" spans="1:5">
      <c r="A2919">
        <v>2019</v>
      </c>
      <c r="B2919" s="3" t="s">
        <v>106</v>
      </c>
      <c r="C2919" t="s">
        <v>1519</v>
      </c>
      <c r="D2919" s="9">
        <v>6488</v>
      </c>
      <c r="E2919">
        <v>5.4999999999999999E-6</v>
      </c>
    </row>
    <row r="2920" spans="1:5">
      <c r="A2920">
        <v>2019</v>
      </c>
      <c r="B2920" s="3" t="s">
        <v>107</v>
      </c>
      <c r="C2920" t="s">
        <v>1520</v>
      </c>
      <c r="D2920" s="9">
        <v>24991</v>
      </c>
      <c r="E2920">
        <v>2.12E-5</v>
      </c>
    </row>
    <row r="2921" spans="1:5">
      <c r="A2921">
        <v>2019</v>
      </c>
      <c r="B2921" s="3" t="s">
        <v>108</v>
      </c>
      <c r="C2921" t="s">
        <v>1521</v>
      </c>
      <c r="D2921" s="9">
        <v>317745</v>
      </c>
      <c r="E2921">
        <v>2.6949999999999999E-4</v>
      </c>
    </row>
    <row r="2922" spans="1:5">
      <c r="A2922">
        <v>2019</v>
      </c>
      <c r="B2922" s="3" t="s">
        <v>109</v>
      </c>
      <c r="C2922" t="s">
        <v>1522</v>
      </c>
      <c r="D2922" s="9">
        <v>18819</v>
      </c>
      <c r="E2922">
        <v>1.5999999999999999E-5</v>
      </c>
    </row>
    <row r="2923" spans="1:5">
      <c r="A2923">
        <v>2019</v>
      </c>
      <c r="B2923" s="3" t="s">
        <v>1140</v>
      </c>
      <c r="C2923" t="s">
        <v>1525</v>
      </c>
      <c r="D2923" s="9">
        <v>373444</v>
      </c>
      <c r="E2923">
        <v>3.167E-4</v>
      </c>
    </row>
    <row r="2924" spans="1:5">
      <c r="A2924">
        <v>2019</v>
      </c>
      <c r="B2924" s="3" t="s">
        <v>168</v>
      </c>
      <c r="C2924" t="s">
        <v>113</v>
      </c>
      <c r="D2924" s="9">
        <v>47865</v>
      </c>
      <c r="E2924">
        <v>4.0599999999999998E-5</v>
      </c>
    </row>
    <row r="2925" spans="1:5">
      <c r="A2925">
        <v>2019</v>
      </c>
      <c r="B2925" s="3" t="s">
        <v>170</v>
      </c>
      <c r="C2925" t="s">
        <v>1526</v>
      </c>
      <c r="D2925" s="9">
        <v>44000</v>
      </c>
      <c r="E2925">
        <v>3.7299999999999999E-5</v>
      </c>
    </row>
    <row r="2926" spans="1:5">
      <c r="A2926">
        <v>2019</v>
      </c>
      <c r="B2926" s="3" t="s">
        <v>169</v>
      </c>
      <c r="C2926" t="s">
        <v>2350</v>
      </c>
      <c r="D2926" s="9">
        <v>109243</v>
      </c>
      <c r="E2926">
        <v>9.2700000000000004E-5</v>
      </c>
    </row>
    <row r="2927" spans="1:5">
      <c r="A2927">
        <v>2019</v>
      </c>
      <c r="B2927" s="3" t="s">
        <v>1381</v>
      </c>
      <c r="C2927" t="s">
        <v>1528</v>
      </c>
      <c r="D2927" s="9">
        <v>7630</v>
      </c>
      <c r="E2927">
        <v>6.4999999999999996E-6</v>
      </c>
    </row>
    <row r="2928" spans="1:5">
      <c r="A2928">
        <v>2019</v>
      </c>
      <c r="B2928" s="3" t="s">
        <v>171</v>
      </c>
      <c r="C2928" t="s">
        <v>1529</v>
      </c>
      <c r="D2928" s="9">
        <v>58391</v>
      </c>
      <c r="E2928">
        <v>4.9499999999999997E-5</v>
      </c>
    </row>
    <row r="2929" spans="1:5">
      <c r="A2929">
        <v>2019</v>
      </c>
      <c r="B2929" s="3" t="s">
        <v>1427</v>
      </c>
      <c r="C2929" t="s">
        <v>1530</v>
      </c>
      <c r="D2929" s="9">
        <v>639749</v>
      </c>
      <c r="E2929">
        <v>5.4259999999999996E-4</v>
      </c>
    </row>
    <row r="2930" spans="1:5">
      <c r="A2930">
        <v>2019</v>
      </c>
      <c r="B2930" s="3" t="s">
        <v>172</v>
      </c>
      <c r="C2930" t="s">
        <v>117</v>
      </c>
      <c r="D2930" s="9">
        <v>1631957</v>
      </c>
      <c r="E2930">
        <v>1.3841000000000001E-3</v>
      </c>
    </row>
    <row r="2931" spans="1:5">
      <c r="A2931">
        <v>2019</v>
      </c>
      <c r="B2931" s="3" t="s">
        <v>173</v>
      </c>
      <c r="C2931" t="s">
        <v>1531</v>
      </c>
      <c r="D2931" s="9">
        <v>162946</v>
      </c>
      <c r="E2931">
        <v>1.382E-4</v>
      </c>
    </row>
    <row r="2932" spans="1:5">
      <c r="A2932">
        <v>2019</v>
      </c>
      <c r="B2932" s="3" t="s">
        <v>174</v>
      </c>
      <c r="C2932" t="s">
        <v>119</v>
      </c>
      <c r="D2932" s="9">
        <v>94965</v>
      </c>
      <c r="E2932">
        <v>8.0500000000000005E-5</v>
      </c>
    </row>
    <row r="2933" spans="1:5">
      <c r="A2933">
        <v>2019</v>
      </c>
      <c r="B2933" s="3" t="s">
        <v>175</v>
      </c>
      <c r="C2933" t="s">
        <v>1532</v>
      </c>
      <c r="D2933" s="9">
        <v>412405</v>
      </c>
      <c r="E2933">
        <v>3.4979999999999999E-4</v>
      </c>
    </row>
    <row r="2934" spans="1:5">
      <c r="A2934">
        <v>2019</v>
      </c>
      <c r="B2934" s="3" t="s">
        <v>176</v>
      </c>
      <c r="C2934" t="s">
        <v>1533</v>
      </c>
      <c r="D2934" s="9">
        <v>172945</v>
      </c>
      <c r="E2934">
        <v>1.4669999999999999E-4</v>
      </c>
    </row>
    <row r="2935" spans="1:5">
      <c r="A2935">
        <v>2019</v>
      </c>
      <c r="B2935" s="3" t="s">
        <v>177</v>
      </c>
      <c r="C2935" t="s">
        <v>122</v>
      </c>
      <c r="D2935" s="9">
        <v>135242</v>
      </c>
      <c r="E2935">
        <v>1.147E-4</v>
      </c>
    </row>
    <row r="2936" spans="1:5">
      <c r="A2936">
        <v>2019</v>
      </c>
      <c r="B2936" s="3" t="s">
        <v>178</v>
      </c>
      <c r="C2936" t="s">
        <v>1534</v>
      </c>
      <c r="D2936" s="9">
        <v>3635238</v>
      </c>
      <c r="E2936">
        <v>3.0831000000000001E-3</v>
      </c>
    </row>
    <row r="2937" spans="1:5">
      <c r="A2937">
        <v>2019</v>
      </c>
      <c r="B2937" s="3" t="s">
        <v>181</v>
      </c>
      <c r="C2937" t="s">
        <v>1535</v>
      </c>
      <c r="D2937" s="9">
        <v>1339043</v>
      </c>
      <c r="E2937">
        <v>1.1356999999999999E-3</v>
      </c>
    </row>
    <row r="2938" spans="1:5">
      <c r="A2938">
        <v>2019</v>
      </c>
      <c r="B2938" s="3" t="s">
        <v>1382</v>
      </c>
      <c r="C2938" t="s">
        <v>1536</v>
      </c>
      <c r="D2938" s="9">
        <v>12460338</v>
      </c>
      <c r="E2938">
        <v>1.0567699999999999E-2</v>
      </c>
    </row>
    <row r="2939" spans="1:5">
      <c r="A2939">
        <v>2019</v>
      </c>
      <c r="B2939" s="3" t="s">
        <v>182</v>
      </c>
      <c r="C2939" t="s">
        <v>1537</v>
      </c>
      <c r="D2939" s="9">
        <v>5600784</v>
      </c>
      <c r="E2939">
        <v>4.7501000000000002E-3</v>
      </c>
    </row>
    <row r="2940" spans="1:5">
      <c r="A2940">
        <v>2019</v>
      </c>
      <c r="B2940" s="3" t="s">
        <v>183</v>
      </c>
      <c r="C2940" t="s">
        <v>1538</v>
      </c>
      <c r="D2940" s="9">
        <v>34196344</v>
      </c>
      <c r="E2940">
        <v>2.9002199999999999E-2</v>
      </c>
    </row>
    <row r="2941" spans="1:5">
      <c r="A2941">
        <v>2019</v>
      </c>
      <c r="B2941" s="3" t="s">
        <v>184</v>
      </c>
      <c r="C2941" t="s">
        <v>1539</v>
      </c>
      <c r="D2941" s="9">
        <v>3175508</v>
      </c>
      <c r="E2941">
        <v>2.6932000000000002E-3</v>
      </c>
    </row>
    <row r="2942" spans="1:5">
      <c r="A2942">
        <v>2019</v>
      </c>
      <c r="B2942" s="3" t="s">
        <v>185</v>
      </c>
      <c r="C2942" t="s">
        <v>2351</v>
      </c>
      <c r="D2942" s="9">
        <v>1809557</v>
      </c>
      <c r="E2942">
        <v>1.5347E-3</v>
      </c>
    </row>
    <row r="2943" spans="1:5">
      <c r="A2943">
        <v>2019</v>
      </c>
      <c r="B2943" s="3" t="s">
        <v>186</v>
      </c>
      <c r="C2943" t="s">
        <v>1541</v>
      </c>
      <c r="D2943" s="9">
        <v>2964141</v>
      </c>
      <c r="E2943">
        <v>2.5138999999999999E-3</v>
      </c>
    </row>
    <row r="2944" spans="1:5">
      <c r="A2944">
        <v>2019</v>
      </c>
      <c r="B2944" s="3" t="s">
        <v>89</v>
      </c>
      <c r="C2944" t="s">
        <v>1542</v>
      </c>
      <c r="D2944" s="9"/>
    </row>
    <row r="2945" spans="1:5">
      <c r="A2945">
        <v>2019</v>
      </c>
      <c r="B2945" s="3" t="s">
        <v>187</v>
      </c>
      <c r="C2945" t="s">
        <v>1542</v>
      </c>
      <c r="D2945" s="9">
        <v>334596</v>
      </c>
      <c r="E2945">
        <v>2.8380000000000001E-4</v>
      </c>
    </row>
    <row r="2946" spans="1:5">
      <c r="A2946">
        <v>2019</v>
      </c>
      <c r="B2946" s="3" t="s">
        <v>180</v>
      </c>
      <c r="C2946" t="s">
        <v>2352</v>
      </c>
      <c r="D2946" s="9"/>
    </row>
    <row r="2947" spans="1:5">
      <c r="A2947">
        <v>2019</v>
      </c>
      <c r="B2947" s="3" t="s">
        <v>189</v>
      </c>
      <c r="C2947" t="s">
        <v>1544</v>
      </c>
      <c r="D2947" s="9">
        <v>687114</v>
      </c>
      <c r="E2947">
        <v>5.8270000000000001E-4</v>
      </c>
    </row>
    <row r="2948" spans="1:5">
      <c r="A2948">
        <v>2019</v>
      </c>
      <c r="B2948" s="3" t="s">
        <v>179</v>
      </c>
      <c r="C2948" t="s">
        <v>1545</v>
      </c>
      <c r="D2948" s="9"/>
    </row>
    <row r="2949" spans="1:5">
      <c r="A2949">
        <v>2019</v>
      </c>
      <c r="B2949" s="3" t="s">
        <v>190</v>
      </c>
      <c r="C2949" t="s">
        <v>1546</v>
      </c>
      <c r="D2949" s="9">
        <v>8168891</v>
      </c>
      <c r="E2949">
        <v>6.9281000000000004E-3</v>
      </c>
    </row>
    <row r="2950" spans="1:5">
      <c r="A2950">
        <v>2019</v>
      </c>
      <c r="B2950" s="3" t="s">
        <v>191</v>
      </c>
      <c r="C2950" t="s">
        <v>1547</v>
      </c>
      <c r="D2950" s="9">
        <v>90455</v>
      </c>
      <c r="E2950">
        <v>7.6699999999999994E-5</v>
      </c>
    </row>
    <row r="2951" spans="1:5">
      <c r="A2951">
        <v>2019</v>
      </c>
      <c r="B2951" s="3" t="s">
        <v>192</v>
      </c>
      <c r="C2951" t="s">
        <v>1548</v>
      </c>
      <c r="D2951" s="9">
        <v>456447</v>
      </c>
      <c r="E2951">
        <v>3.8709999999999998E-4</v>
      </c>
    </row>
    <row r="2952" spans="1:5">
      <c r="A2952">
        <v>2019</v>
      </c>
      <c r="B2952" s="3" t="s">
        <v>193</v>
      </c>
      <c r="C2952" t="s">
        <v>1549</v>
      </c>
      <c r="D2952" s="9">
        <v>489910</v>
      </c>
      <c r="E2952">
        <v>4.1550000000000002E-4</v>
      </c>
    </row>
    <row r="2953" spans="1:5">
      <c r="A2953">
        <v>2019</v>
      </c>
      <c r="B2953" s="3" t="s">
        <v>194</v>
      </c>
      <c r="C2953" t="s">
        <v>1550</v>
      </c>
      <c r="D2953" s="9">
        <v>476004</v>
      </c>
      <c r="E2953">
        <v>4.037E-4</v>
      </c>
    </row>
    <row r="2954" spans="1:5">
      <c r="A2954">
        <v>2019</v>
      </c>
      <c r="B2954" s="3" t="s">
        <v>196</v>
      </c>
      <c r="C2954" t="s">
        <v>2353</v>
      </c>
      <c r="D2954" s="9">
        <v>127596</v>
      </c>
      <c r="E2954">
        <v>1.082E-4</v>
      </c>
    </row>
    <row r="2955" spans="1:5">
      <c r="A2955">
        <v>2019</v>
      </c>
      <c r="B2955" s="3" t="s">
        <v>197</v>
      </c>
      <c r="C2955" t="s">
        <v>1552</v>
      </c>
      <c r="D2955" s="9">
        <v>4833697</v>
      </c>
      <c r="E2955">
        <v>4.0994999999999998E-3</v>
      </c>
    </row>
    <row r="2956" spans="1:5">
      <c r="A2956">
        <v>2019</v>
      </c>
      <c r="B2956" s="3" t="s">
        <v>198</v>
      </c>
      <c r="C2956" t="s">
        <v>1553</v>
      </c>
      <c r="D2956" s="9">
        <v>141584</v>
      </c>
      <c r="E2956">
        <v>1.2010000000000001E-4</v>
      </c>
    </row>
    <row r="2957" spans="1:5">
      <c r="A2957">
        <v>2019</v>
      </c>
      <c r="B2957" s="3" t="s">
        <v>199</v>
      </c>
      <c r="C2957" t="s">
        <v>1554</v>
      </c>
      <c r="D2957" s="9">
        <v>3071445</v>
      </c>
      <c r="E2957">
        <v>2.6048999999999998E-3</v>
      </c>
    </row>
    <row r="2958" spans="1:5">
      <c r="A2958">
        <v>2019</v>
      </c>
      <c r="B2958" s="3" t="s">
        <v>200</v>
      </c>
      <c r="C2958" t="s">
        <v>1555</v>
      </c>
      <c r="D2958" s="9">
        <v>19988863</v>
      </c>
      <c r="E2958">
        <v>1.6952700000000001E-2</v>
      </c>
    </row>
    <row r="2959" spans="1:5">
      <c r="A2959">
        <v>2019</v>
      </c>
      <c r="B2959" s="3" t="s">
        <v>201</v>
      </c>
      <c r="C2959" t="s">
        <v>1556</v>
      </c>
      <c r="D2959" s="9">
        <v>1882697</v>
      </c>
      <c r="E2959">
        <v>1.5966999999999999E-3</v>
      </c>
    </row>
    <row r="2960" spans="1:5">
      <c r="A2960">
        <v>2019</v>
      </c>
      <c r="B2960" s="3" t="s">
        <v>202</v>
      </c>
      <c r="C2960" t="s">
        <v>1557</v>
      </c>
      <c r="D2960" s="9">
        <v>983611</v>
      </c>
      <c r="E2960">
        <v>8.342E-4</v>
      </c>
    </row>
    <row r="2961" spans="1:5">
      <c r="A2961">
        <v>2019</v>
      </c>
      <c r="B2961" s="3" t="s">
        <v>203</v>
      </c>
      <c r="C2961" t="s">
        <v>1558</v>
      </c>
      <c r="D2961" s="9"/>
    </row>
    <row r="2962" spans="1:5">
      <c r="A2962">
        <v>2019</v>
      </c>
      <c r="B2962" s="3" t="s">
        <v>204</v>
      </c>
      <c r="C2962" t="s">
        <v>1559</v>
      </c>
      <c r="D2962" s="9">
        <v>1001236</v>
      </c>
      <c r="E2962">
        <v>8.4920000000000004E-4</v>
      </c>
    </row>
    <row r="2963" spans="1:5">
      <c r="A2963">
        <v>2019</v>
      </c>
      <c r="B2963" s="3" t="s">
        <v>205</v>
      </c>
      <c r="C2963" t="s">
        <v>150</v>
      </c>
      <c r="D2963" s="9">
        <v>230696</v>
      </c>
      <c r="E2963">
        <v>1.9570000000000001E-4</v>
      </c>
    </row>
    <row r="2964" spans="1:5">
      <c r="A2964">
        <v>2019</v>
      </c>
      <c r="B2964" s="3" t="s">
        <v>1563</v>
      </c>
      <c r="C2964" t="s">
        <v>1560</v>
      </c>
      <c r="D2964" s="9">
        <v>94775</v>
      </c>
      <c r="E2964">
        <v>8.0400000000000003E-5</v>
      </c>
    </row>
    <row r="2965" spans="1:5">
      <c r="A2965">
        <v>2019</v>
      </c>
      <c r="B2965" s="3" t="s">
        <v>2088</v>
      </c>
      <c r="C2965" t="s">
        <v>2086</v>
      </c>
      <c r="D2965" s="9">
        <v>409910</v>
      </c>
      <c r="E2965">
        <v>3.4759999999999999E-4</v>
      </c>
    </row>
    <row r="2966" spans="1:5">
      <c r="A2966">
        <v>2019</v>
      </c>
      <c r="B2966" s="3" t="s">
        <v>188</v>
      </c>
      <c r="C2966" t="s">
        <v>1561</v>
      </c>
      <c r="D2966" s="9">
        <v>2706306</v>
      </c>
      <c r="E2966">
        <v>2.2951999999999998E-3</v>
      </c>
    </row>
    <row r="2967" spans="1:5">
      <c r="A2967">
        <v>2019</v>
      </c>
      <c r="B2967" s="3" t="s">
        <v>206</v>
      </c>
      <c r="C2967" t="s">
        <v>1562</v>
      </c>
      <c r="D2967" s="9"/>
    </row>
    <row r="2968" spans="1:5">
      <c r="A2968">
        <v>2019</v>
      </c>
      <c r="B2968" s="3" t="s">
        <v>207</v>
      </c>
      <c r="C2968" t="s">
        <v>152</v>
      </c>
      <c r="D2968" s="9">
        <v>809439</v>
      </c>
      <c r="E2968">
        <v>6.8650000000000004E-4</v>
      </c>
    </row>
    <row r="2969" spans="1:5">
      <c r="A2969">
        <v>2019</v>
      </c>
      <c r="B2969" s="3" t="s">
        <v>57</v>
      </c>
      <c r="C2969" t="s">
        <v>1564</v>
      </c>
      <c r="D2969" s="9">
        <v>6164988</v>
      </c>
      <c r="E2969">
        <v>5.2285999999999999E-3</v>
      </c>
    </row>
    <row r="2970" spans="1:5">
      <c r="A2970">
        <v>2019</v>
      </c>
      <c r="B2970" s="3" t="s">
        <v>208</v>
      </c>
      <c r="C2970" t="s">
        <v>153</v>
      </c>
      <c r="D2970" s="9"/>
    </row>
    <row r="2971" spans="1:5">
      <c r="A2971">
        <v>2019</v>
      </c>
      <c r="B2971" s="3" t="s">
        <v>209</v>
      </c>
      <c r="C2971" t="s">
        <v>154</v>
      </c>
      <c r="D2971" s="9">
        <v>170465</v>
      </c>
      <c r="E2971">
        <v>1.4459999999999999E-4</v>
      </c>
    </row>
    <row r="2972" spans="1:5">
      <c r="A2972">
        <v>2019</v>
      </c>
      <c r="B2972" s="3" t="s">
        <v>211</v>
      </c>
      <c r="C2972" t="s">
        <v>1565</v>
      </c>
      <c r="D2972" s="9">
        <v>781103</v>
      </c>
      <c r="E2972">
        <v>6.625E-4</v>
      </c>
    </row>
    <row r="2973" spans="1:5">
      <c r="A2973">
        <v>2019</v>
      </c>
      <c r="B2973" s="3" t="s">
        <v>212</v>
      </c>
      <c r="C2973" t="s">
        <v>1566</v>
      </c>
      <c r="D2973" s="9"/>
    </row>
    <row r="2974" spans="1:5">
      <c r="A2974">
        <v>2019</v>
      </c>
      <c r="B2974" s="3" t="s">
        <v>213</v>
      </c>
      <c r="C2974" t="s">
        <v>158</v>
      </c>
      <c r="D2974" s="9">
        <v>1068797</v>
      </c>
      <c r="E2974">
        <v>9.0649999999999997E-4</v>
      </c>
    </row>
    <row r="2975" spans="1:5">
      <c r="A2975">
        <v>2019</v>
      </c>
      <c r="B2975" s="3" t="s">
        <v>1597</v>
      </c>
      <c r="C2975" t="s">
        <v>1567</v>
      </c>
      <c r="D2975" s="9">
        <v>11180</v>
      </c>
      <c r="E2975">
        <v>9.5000000000000005E-6</v>
      </c>
    </row>
    <row r="2976" spans="1:5">
      <c r="A2976">
        <v>2019</v>
      </c>
      <c r="B2976" s="3" t="s">
        <v>214</v>
      </c>
      <c r="C2976" t="s">
        <v>159</v>
      </c>
      <c r="D2976" s="9">
        <v>184480</v>
      </c>
      <c r="E2976">
        <v>1.5650000000000001E-4</v>
      </c>
    </row>
    <row r="2977" spans="1:5">
      <c r="A2977">
        <v>2019</v>
      </c>
      <c r="B2977" s="3" t="s">
        <v>215</v>
      </c>
      <c r="C2977" t="s">
        <v>1568</v>
      </c>
      <c r="D2977" s="9">
        <v>176532</v>
      </c>
      <c r="E2977">
        <v>1.4970000000000001E-4</v>
      </c>
    </row>
    <row r="2978" spans="1:5">
      <c r="A2978">
        <v>2019</v>
      </c>
      <c r="B2978" s="3" t="s">
        <v>217</v>
      </c>
      <c r="C2978" t="s">
        <v>162</v>
      </c>
      <c r="D2978" s="9">
        <v>383891</v>
      </c>
      <c r="E2978">
        <v>3.256E-4</v>
      </c>
    </row>
    <row r="2979" spans="1:5">
      <c r="A2979">
        <v>2019</v>
      </c>
      <c r="B2979" s="3" t="s">
        <v>219</v>
      </c>
      <c r="C2979" t="s">
        <v>164</v>
      </c>
      <c r="D2979" s="9">
        <v>308009</v>
      </c>
      <c r="E2979">
        <v>2.6120000000000001E-4</v>
      </c>
    </row>
    <row r="2980" spans="1:5">
      <c r="A2980">
        <v>2019</v>
      </c>
      <c r="B2980" s="3" t="s">
        <v>73</v>
      </c>
      <c r="C2980" t="s">
        <v>2354</v>
      </c>
      <c r="D2980" s="9">
        <v>219254</v>
      </c>
      <c r="E2980">
        <v>1.8599999999999999E-4</v>
      </c>
    </row>
    <row r="2981" spans="1:5">
      <c r="A2981">
        <v>2019</v>
      </c>
      <c r="B2981" s="3" t="s">
        <v>220</v>
      </c>
      <c r="C2981" t="s">
        <v>1571</v>
      </c>
      <c r="D2981" s="9">
        <v>69496</v>
      </c>
      <c r="E2981">
        <v>5.8900000000000002E-5</v>
      </c>
    </row>
    <row r="2982" spans="1:5">
      <c r="A2982">
        <v>2019</v>
      </c>
      <c r="B2982" s="3" t="s">
        <v>1387</v>
      </c>
      <c r="C2982" t="s">
        <v>1572</v>
      </c>
      <c r="D2982" s="9">
        <v>7166</v>
      </c>
      <c r="E2982">
        <v>6.1E-6</v>
      </c>
    </row>
    <row r="2983" spans="1:5">
      <c r="A2983">
        <v>2019</v>
      </c>
      <c r="B2983" s="3" t="s">
        <v>1388</v>
      </c>
      <c r="C2983" t="s">
        <v>2355</v>
      </c>
      <c r="D2983" s="9">
        <v>7913</v>
      </c>
      <c r="E2983">
        <v>6.7000000000000002E-6</v>
      </c>
    </row>
    <row r="2984" spans="1:5">
      <c r="A2984">
        <v>2019</v>
      </c>
      <c r="B2984" s="3" t="s">
        <v>1389</v>
      </c>
      <c r="C2984" t="s">
        <v>1574</v>
      </c>
      <c r="D2984" s="9">
        <v>89907</v>
      </c>
      <c r="E2984">
        <v>7.6299999999999998E-5</v>
      </c>
    </row>
    <row r="2985" spans="1:5">
      <c r="A2985">
        <v>2019</v>
      </c>
      <c r="B2985" s="3" t="s">
        <v>1598</v>
      </c>
      <c r="C2985" t="s">
        <v>1575</v>
      </c>
      <c r="D2985" s="9">
        <v>191075</v>
      </c>
      <c r="E2985">
        <v>1.6210000000000001E-4</v>
      </c>
    </row>
    <row r="2986" spans="1:5">
      <c r="A2986">
        <v>2019</v>
      </c>
      <c r="B2986" s="3" t="s">
        <v>1392</v>
      </c>
      <c r="C2986" t="s">
        <v>1577</v>
      </c>
      <c r="D2986" s="9"/>
    </row>
    <row r="2987" spans="1:5">
      <c r="A2987">
        <v>2019</v>
      </c>
      <c r="B2987" s="3" t="s">
        <v>1390</v>
      </c>
      <c r="C2987" t="s">
        <v>1578</v>
      </c>
      <c r="D2987" s="9">
        <v>1515971</v>
      </c>
      <c r="E2987">
        <v>1.2857000000000001E-3</v>
      </c>
    </row>
    <row r="2988" spans="1:5">
      <c r="A2988">
        <v>2019</v>
      </c>
      <c r="B2988" s="3" t="s">
        <v>1393</v>
      </c>
      <c r="C2988" t="s">
        <v>1579</v>
      </c>
      <c r="D2988" s="9">
        <v>198319</v>
      </c>
      <c r="E2988">
        <v>1.682E-4</v>
      </c>
    </row>
    <row r="2989" spans="1:5">
      <c r="A2989">
        <v>2019</v>
      </c>
      <c r="B2989" s="3" t="s">
        <v>1395</v>
      </c>
      <c r="C2989" t="s">
        <v>230</v>
      </c>
      <c r="D2989" s="9">
        <v>356713</v>
      </c>
      <c r="E2989">
        <v>3.0249999999999998E-4</v>
      </c>
    </row>
    <row r="2990" spans="1:5">
      <c r="A2990">
        <v>2019</v>
      </c>
      <c r="B2990" s="3" t="s">
        <v>1396</v>
      </c>
      <c r="C2990" t="s">
        <v>231</v>
      </c>
      <c r="D2990" s="9">
        <v>76306</v>
      </c>
      <c r="E2990">
        <v>6.4700000000000001E-5</v>
      </c>
    </row>
    <row r="2991" spans="1:5">
      <c r="A2991">
        <v>2019</v>
      </c>
      <c r="B2991" s="3" t="s">
        <v>1398</v>
      </c>
      <c r="C2991" t="s">
        <v>1580</v>
      </c>
      <c r="D2991" s="9">
        <v>38529</v>
      </c>
      <c r="E2991">
        <v>3.2700000000000002E-5</v>
      </c>
    </row>
    <row r="2992" spans="1:5">
      <c r="A2992">
        <v>2019</v>
      </c>
      <c r="B2992" s="3" t="s">
        <v>1399</v>
      </c>
      <c r="C2992" t="s">
        <v>234</v>
      </c>
      <c r="D2992" s="9"/>
    </row>
    <row r="2993" spans="1:5">
      <c r="A2993">
        <v>2019</v>
      </c>
      <c r="B2993" s="3" t="s">
        <v>1400</v>
      </c>
      <c r="C2993" t="s">
        <v>1581</v>
      </c>
      <c r="D2993" s="9">
        <v>540082</v>
      </c>
      <c r="E2993">
        <v>4.5800000000000002E-4</v>
      </c>
    </row>
    <row r="2994" spans="1:5">
      <c r="A2994">
        <v>2019</v>
      </c>
      <c r="B2994" s="3" t="s">
        <v>1401</v>
      </c>
      <c r="C2994" t="s">
        <v>1582</v>
      </c>
      <c r="D2994" s="9">
        <v>61914</v>
      </c>
      <c r="E2994">
        <v>5.2500000000000002E-5</v>
      </c>
    </row>
    <row r="2995" spans="1:5">
      <c r="A2995">
        <v>2019</v>
      </c>
      <c r="B2995" s="3" t="s">
        <v>1402</v>
      </c>
      <c r="C2995" t="s">
        <v>237</v>
      </c>
      <c r="D2995" s="9">
        <v>102214</v>
      </c>
      <c r="E2995">
        <v>8.6700000000000007E-5</v>
      </c>
    </row>
    <row r="2996" spans="1:5">
      <c r="A2996">
        <v>2019</v>
      </c>
      <c r="B2996" s="3" t="s">
        <v>1403</v>
      </c>
      <c r="C2996" t="s">
        <v>1584</v>
      </c>
      <c r="D2996" s="9">
        <v>452175</v>
      </c>
      <c r="E2996">
        <v>3.835E-4</v>
      </c>
    </row>
    <row r="2997" spans="1:5">
      <c r="A2997">
        <v>2019</v>
      </c>
      <c r="B2997" s="3" t="s">
        <v>1404</v>
      </c>
      <c r="C2997" t="s">
        <v>1585</v>
      </c>
      <c r="D2997" s="9">
        <v>647139</v>
      </c>
      <c r="E2997">
        <v>5.488E-4</v>
      </c>
    </row>
    <row r="2998" spans="1:5">
      <c r="A2998">
        <v>2019</v>
      </c>
      <c r="B2998" s="3" t="s">
        <v>1405</v>
      </c>
      <c r="C2998" t="s">
        <v>1586</v>
      </c>
      <c r="D2998" s="9">
        <v>59957</v>
      </c>
      <c r="E2998">
        <v>5.0899999999999997E-5</v>
      </c>
    </row>
    <row r="2999" spans="1:5">
      <c r="A2999">
        <v>2019</v>
      </c>
      <c r="B2999" s="3" t="s">
        <v>1406</v>
      </c>
      <c r="C2999" t="s">
        <v>1587</v>
      </c>
      <c r="D2999" s="9">
        <v>66503</v>
      </c>
      <c r="E2999">
        <v>5.6400000000000002E-5</v>
      </c>
    </row>
    <row r="3000" spans="1:5">
      <c r="A3000">
        <v>2019</v>
      </c>
      <c r="B3000" s="3" t="s">
        <v>1397</v>
      </c>
      <c r="C3000" t="s">
        <v>2356</v>
      </c>
      <c r="D3000" s="9">
        <v>40373</v>
      </c>
      <c r="E3000">
        <v>3.4199999999999998E-5</v>
      </c>
    </row>
    <row r="3001" spans="1:5">
      <c r="A3001">
        <v>2019</v>
      </c>
      <c r="B3001" s="3" t="s">
        <v>88</v>
      </c>
      <c r="C3001" t="s">
        <v>1589</v>
      </c>
      <c r="D3001" s="9">
        <v>74273</v>
      </c>
      <c r="E3001">
        <v>6.3E-5</v>
      </c>
    </row>
    <row r="3002" spans="1:5">
      <c r="A3002">
        <v>2019</v>
      </c>
      <c r="B3002" s="3" t="s">
        <v>90</v>
      </c>
      <c r="C3002" t="s">
        <v>1590</v>
      </c>
      <c r="D3002" s="9">
        <v>20876</v>
      </c>
      <c r="E3002">
        <v>1.77E-5</v>
      </c>
    </row>
    <row r="3003" spans="1:5">
      <c r="A3003">
        <v>2019</v>
      </c>
      <c r="B3003" s="3" t="s">
        <v>87</v>
      </c>
      <c r="C3003" t="s">
        <v>2357</v>
      </c>
      <c r="D3003" s="9">
        <v>76914</v>
      </c>
      <c r="E3003">
        <v>6.5199999999999999E-5</v>
      </c>
    </row>
    <row r="3004" spans="1:5">
      <c r="A3004">
        <v>2019</v>
      </c>
      <c r="B3004" s="3" t="s">
        <v>92</v>
      </c>
      <c r="C3004" t="s">
        <v>1592</v>
      </c>
      <c r="D3004" s="9">
        <v>79500</v>
      </c>
      <c r="E3004">
        <v>6.7399999999999998E-5</v>
      </c>
    </row>
    <row r="3005" spans="1:5">
      <c r="A3005">
        <v>2019</v>
      </c>
      <c r="B3005" s="3" t="s">
        <v>93</v>
      </c>
      <c r="C3005" t="s">
        <v>1593</v>
      </c>
      <c r="D3005" s="9">
        <v>43782</v>
      </c>
      <c r="E3005">
        <v>3.7100000000000001E-5</v>
      </c>
    </row>
    <row r="3006" spans="1:5">
      <c r="A3006">
        <v>2019</v>
      </c>
      <c r="B3006" s="3" t="s">
        <v>94</v>
      </c>
      <c r="C3006" t="s">
        <v>1594</v>
      </c>
      <c r="D3006" s="9">
        <v>8385</v>
      </c>
      <c r="E3006">
        <v>7.0999999999999998E-6</v>
      </c>
    </row>
    <row r="3007" spans="1:5">
      <c r="A3007">
        <v>2019</v>
      </c>
      <c r="B3007" s="3" t="s">
        <v>95</v>
      </c>
      <c r="C3007" t="s">
        <v>1595</v>
      </c>
      <c r="D3007" s="9">
        <v>38868</v>
      </c>
      <c r="E3007">
        <v>3.3000000000000003E-5</v>
      </c>
    </row>
    <row r="3008" spans="1:5">
      <c r="A3008">
        <v>2019</v>
      </c>
      <c r="B3008" s="3" t="s">
        <v>100</v>
      </c>
      <c r="C3008" t="s">
        <v>1596</v>
      </c>
      <c r="D3008" s="9">
        <v>25072</v>
      </c>
      <c r="E3008">
        <v>2.1299999999999999E-5</v>
      </c>
    </row>
    <row r="3009" spans="1:5">
      <c r="A3009">
        <v>2019</v>
      </c>
      <c r="B3009" s="3" t="s">
        <v>101</v>
      </c>
      <c r="C3009" t="s">
        <v>1599</v>
      </c>
      <c r="D3009" s="9">
        <v>344982</v>
      </c>
      <c r="E3009">
        <v>2.9260000000000001E-4</v>
      </c>
    </row>
    <row r="3010" spans="1:5">
      <c r="A3010">
        <v>2019</v>
      </c>
      <c r="B3010" s="3" t="s">
        <v>103</v>
      </c>
      <c r="C3010" t="s">
        <v>1600</v>
      </c>
      <c r="D3010" s="9">
        <v>13847</v>
      </c>
      <c r="E3010">
        <v>1.17E-5</v>
      </c>
    </row>
    <row r="3011" spans="1:5">
      <c r="A3011">
        <v>2019</v>
      </c>
      <c r="B3011" s="3" t="s">
        <v>105</v>
      </c>
      <c r="C3011" t="s">
        <v>1601</v>
      </c>
      <c r="D3011" s="9">
        <v>167238</v>
      </c>
      <c r="E3011">
        <v>1.418E-4</v>
      </c>
    </row>
    <row r="3012" spans="1:5">
      <c r="A3012">
        <v>2019</v>
      </c>
      <c r="B3012" s="3" t="s">
        <v>166</v>
      </c>
      <c r="C3012" t="s">
        <v>1602</v>
      </c>
      <c r="D3012" s="9">
        <v>20345</v>
      </c>
      <c r="E3012">
        <v>1.73E-5</v>
      </c>
    </row>
    <row r="3013" spans="1:5">
      <c r="A3013">
        <v>2019</v>
      </c>
      <c r="B3013" s="3" t="s">
        <v>86</v>
      </c>
      <c r="C3013" t="s">
        <v>1603</v>
      </c>
      <c r="D3013" s="9">
        <v>18234</v>
      </c>
      <c r="E3013">
        <v>1.5500000000000001E-5</v>
      </c>
    </row>
    <row r="3014" spans="1:5">
      <c r="A3014">
        <v>2019</v>
      </c>
      <c r="B3014" s="3" t="s">
        <v>110</v>
      </c>
      <c r="C3014" t="s">
        <v>1604</v>
      </c>
      <c r="D3014" s="9">
        <v>107276</v>
      </c>
      <c r="E3014">
        <v>9.1000000000000003E-5</v>
      </c>
    </row>
    <row r="3015" spans="1:5">
      <c r="A3015">
        <v>2019</v>
      </c>
      <c r="B3015" s="3" t="s">
        <v>1409</v>
      </c>
      <c r="C3015" t="s">
        <v>1605</v>
      </c>
      <c r="D3015" s="9">
        <v>777787</v>
      </c>
      <c r="E3015">
        <v>6.5959999999999999E-4</v>
      </c>
    </row>
    <row r="3016" spans="1:5">
      <c r="A3016">
        <v>2019</v>
      </c>
      <c r="B3016" s="3" t="s">
        <v>195</v>
      </c>
      <c r="C3016" t="s">
        <v>1606</v>
      </c>
      <c r="D3016" s="9">
        <v>664996</v>
      </c>
      <c r="E3016">
        <v>5.6400000000000005E-4</v>
      </c>
    </row>
    <row r="3017" spans="1:5">
      <c r="A3017">
        <v>2019</v>
      </c>
      <c r="B3017" s="3" t="s">
        <v>218</v>
      </c>
      <c r="C3017" t="s">
        <v>1607</v>
      </c>
      <c r="D3017" s="9">
        <v>458172</v>
      </c>
      <c r="E3017">
        <v>3.8860000000000001E-4</v>
      </c>
    </row>
    <row r="3018" spans="1:5">
      <c r="A3018">
        <v>2019</v>
      </c>
      <c r="B3018" s="3" t="s">
        <v>1410</v>
      </c>
      <c r="C3018" t="s">
        <v>243</v>
      </c>
      <c r="D3018" s="9">
        <v>73582</v>
      </c>
      <c r="E3018">
        <v>6.2399999999999999E-5</v>
      </c>
    </row>
    <row r="3019" spans="1:5">
      <c r="A3019">
        <v>2019</v>
      </c>
      <c r="B3019" s="3" t="s">
        <v>1411</v>
      </c>
      <c r="C3019" t="s">
        <v>244</v>
      </c>
      <c r="D3019" s="9">
        <v>895749</v>
      </c>
      <c r="E3019">
        <v>7.5969999999999998E-4</v>
      </c>
    </row>
    <row r="3020" spans="1:5">
      <c r="A3020">
        <v>2019</v>
      </c>
      <c r="B3020" s="3" t="s">
        <v>1394</v>
      </c>
      <c r="C3020" t="s">
        <v>1608</v>
      </c>
      <c r="D3020" s="9">
        <v>6118</v>
      </c>
      <c r="E3020">
        <v>5.2000000000000002E-6</v>
      </c>
    </row>
    <row r="3021" spans="1:5">
      <c r="A3021">
        <v>2019</v>
      </c>
      <c r="B3021" s="3" t="s">
        <v>1412</v>
      </c>
      <c r="C3021" t="s">
        <v>1609</v>
      </c>
      <c r="D3021" s="9">
        <v>3180332</v>
      </c>
      <c r="E3021">
        <v>2.6973000000000001E-3</v>
      </c>
    </row>
    <row r="3022" spans="1:5">
      <c r="A3022">
        <v>2019</v>
      </c>
      <c r="B3022" s="3" t="s">
        <v>1413</v>
      </c>
      <c r="C3022" t="s">
        <v>246</v>
      </c>
      <c r="D3022" s="9">
        <v>560700</v>
      </c>
      <c r="E3022">
        <v>4.7550000000000001E-4</v>
      </c>
    </row>
    <row r="3023" spans="1:5">
      <c r="A3023">
        <v>2019</v>
      </c>
      <c r="B3023" s="3" t="s">
        <v>1414</v>
      </c>
      <c r="C3023" t="s">
        <v>247</v>
      </c>
      <c r="D3023" s="9">
        <v>211990</v>
      </c>
      <c r="E3023">
        <v>1.7980000000000001E-4</v>
      </c>
    </row>
    <row r="3024" spans="1:5">
      <c r="A3024">
        <v>2019</v>
      </c>
      <c r="B3024" s="3" t="s">
        <v>1415</v>
      </c>
      <c r="C3024" t="s">
        <v>248</v>
      </c>
      <c r="D3024" s="9">
        <v>44992032</v>
      </c>
      <c r="E3024">
        <v>3.8158200000000003E-2</v>
      </c>
    </row>
    <row r="3025" spans="1:5">
      <c r="A3025">
        <v>2019</v>
      </c>
      <c r="B3025" s="3" t="s">
        <v>1417</v>
      </c>
      <c r="C3025" t="s">
        <v>1610</v>
      </c>
      <c r="D3025" s="9">
        <v>23352</v>
      </c>
      <c r="E3025">
        <v>1.98E-5</v>
      </c>
    </row>
    <row r="3026" spans="1:5">
      <c r="A3026">
        <v>2019</v>
      </c>
      <c r="B3026" s="3" t="s">
        <v>1416</v>
      </c>
      <c r="C3026" t="s">
        <v>249</v>
      </c>
      <c r="D3026" s="9">
        <v>3092437</v>
      </c>
      <c r="E3026">
        <v>2.6226999999999999E-3</v>
      </c>
    </row>
    <row r="3027" spans="1:5">
      <c r="A3027">
        <v>2019</v>
      </c>
      <c r="B3027" s="3" t="s">
        <v>1418</v>
      </c>
      <c r="C3027" t="s">
        <v>1611</v>
      </c>
      <c r="D3027" s="9"/>
    </row>
    <row r="3028" spans="1:5">
      <c r="A3028">
        <v>2019</v>
      </c>
      <c r="B3028" s="3" t="s">
        <v>1419</v>
      </c>
      <c r="C3028" t="s">
        <v>252</v>
      </c>
      <c r="D3028" s="9">
        <v>2803020</v>
      </c>
      <c r="E3028">
        <v>2.3773000000000002E-3</v>
      </c>
    </row>
    <row r="3029" spans="1:5">
      <c r="A3029">
        <v>2019</v>
      </c>
      <c r="B3029" s="3" t="s">
        <v>1420</v>
      </c>
      <c r="C3029" t="s">
        <v>1612</v>
      </c>
      <c r="D3029" s="9">
        <v>161385</v>
      </c>
      <c r="E3029">
        <v>1.3689999999999999E-4</v>
      </c>
    </row>
    <row r="3030" spans="1:5">
      <c r="A3030">
        <v>2019</v>
      </c>
      <c r="B3030" s="3" t="s">
        <v>1015</v>
      </c>
      <c r="C3030" t="s">
        <v>1613</v>
      </c>
      <c r="D3030" s="9">
        <v>534783</v>
      </c>
      <c r="E3030">
        <v>4.5360000000000002E-4</v>
      </c>
    </row>
    <row r="3031" spans="1:5">
      <c r="A3031">
        <v>2019</v>
      </c>
      <c r="B3031" s="3" t="s">
        <v>1014</v>
      </c>
      <c r="C3031" t="s">
        <v>1614</v>
      </c>
      <c r="D3031" s="9">
        <v>39629</v>
      </c>
      <c r="E3031">
        <v>3.3599999999999997E-5</v>
      </c>
    </row>
    <row r="3032" spans="1:5">
      <c r="A3032">
        <v>2019</v>
      </c>
      <c r="B3032" s="3" t="s">
        <v>1421</v>
      </c>
      <c r="C3032" t="s">
        <v>1615</v>
      </c>
      <c r="D3032" s="9">
        <v>33767</v>
      </c>
      <c r="E3032">
        <v>2.8600000000000001E-5</v>
      </c>
    </row>
    <row r="3033" spans="1:5">
      <c r="A3033">
        <v>2019</v>
      </c>
      <c r="B3033" s="3" t="s">
        <v>1422</v>
      </c>
      <c r="C3033" t="s">
        <v>1616</v>
      </c>
      <c r="D3033" s="9">
        <v>180648</v>
      </c>
      <c r="E3033">
        <v>1.5320000000000001E-4</v>
      </c>
    </row>
    <row r="3034" spans="1:5">
      <c r="A3034">
        <v>2019</v>
      </c>
      <c r="B3034" s="3" t="s">
        <v>1423</v>
      </c>
      <c r="C3034" t="s">
        <v>256</v>
      </c>
      <c r="D3034" s="9">
        <v>2409595</v>
      </c>
      <c r="E3034">
        <v>2.0436E-3</v>
      </c>
    </row>
    <row r="3035" spans="1:5">
      <c r="A3035">
        <v>2019</v>
      </c>
      <c r="B3035" s="3" t="s">
        <v>1424</v>
      </c>
      <c r="C3035" t="s">
        <v>257</v>
      </c>
      <c r="D3035" s="9">
        <v>3166189</v>
      </c>
      <c r="E3035">
        <v>2.6852999999999998E-3</v>
      </c>
    </row>
    <row r="3036" spans="1:5">
      <c r="A3036">
        <v>2019</v>
      </c>
      <c r="B3036" s="3" t="s">
        <v>370</v>
      </c>
      <c r="C3036" t="s">
        <v>1617</v>
      </c>
      <c r="D3036" s="9">
        <v>2718965</v>
      </c>
      <c r="E3036">
        <v>2.3059999999999999E-3</v>
      </c>
    </row>
    <row r="3037" spans="1:5">
      <c r="A3037">
        <v>2019</v>
      </c>
      <c r="B3037" s="3" t="s">
        <v>1425</v>
      </c>
      <c r="C3037" t="s">
        <v>258</v>
      </c>
      <c r="D3037" s="9">
        <v>34734</v>
      </c>
      <c r="E3037">
        <v>2.9499999999999999E-5</v>
      </c>
    </row>
    <row r="3038" spans="1:5">
      <c r="A3038">
        <v>2019</v>
      </c>
      <c r="B3038" s="3" t="s">
        <v>1429</v>
      </c>
      <c r="C3038" t="s">
        <v>2358</v>
      </c>
      <c r="D3038" s="9">
        <v>1096653</v>
      </c>
      <c r="E3038">
        <v>9.301E-4</v>
      </c>
    </row>
    <row r="3039" spans="1:5">
      <c r="A3039">
        <v>2019</v>
      </c>
      <c r="B3039" s="3" t="s">
        <v>1430</v>
      </c>
      <c r="C3039" t="s">
        <v>1619</v>
      </c>
      <c r="D3039" s="9">
        <v>356521</v>
      </c>
      <c r="E3039">
        <v>3.0239999999999998E-4</v>
      </c>
    </row>
    <row r="3040" spans="1:5">
      <c r="A3040">
        <v>2019</v>
      </c>
      <c r="B3040" s="3" t="s">
        <v>1431</v>
      </c>
      <c r="C3040" t="s">
        <v>264</v>
      </c>
      <c r="D3040" s="9">
        <v>254703</v>
      </c>
      <c r="E3040">
        <v>2.1599999999999999E-4</v>
      </c>
    </row>
    <row r="3041" spans="1:5">
      <c r="A3041">
        <v>2019</v>
      </c>
      <c r="B3041" s="3" t="s">
        <v>1432</v>
      </c>
      <c r="C3041" t="s">
        <v>265</v>
      </c>
      <c r="D3041" s="9">
        <v>297550</v>
      </c>
      <c r="E3041">
        <v>2.5240000000000001E-4</v>
      </c>
    </row>
    <row r="3042" spans="1:5">
      <c r="A3042">
        <v>2019</v>
      </c>
      <c r="B3042" s="3" t="s">
        <v>1433</v>
      </c>
      <c r="C3042" t="s">
        <v>266</v>
      </c>
      <c r="D3042" s="9">
        <v>145403</v>
      </c>
      <c r="E3042">
        <v>1.2329999999999999E-4</v>
      </c>
    </row>
    <row r="3043" spans="1:5">
      <c r="A3043">
        <v>2019</v>
      </c>
      <c r="B3043" s="3" t="s">
        <v>1434</v>
      </c>
      <c r="C3043" t="s">
        <v>1620</v>
      </c>
      <c r="D3043" s="9">
        <v>1351549</v>
      </c>
      <c r="E3043">
        <v>1.1463000000000001E-3</v>
      </c>
    </row>
    <row r="3044" spans="1:5">
      <c r="A3044">
        <v>2019</v>
      </c>
      <c r="B3044" s="3" t="s">
        <v>1435</v>
      </c>
      <c r="C3044" t="s">
        <v>2359</v>
      </c>
      <c r="D3044" s="9">
        <v>180380</v>
      </c>
      <c r="E3044">
        <v>1.5300000000000001E-4</v>
      </c>
    </row>
    <row r="3045" spans="1:5">
      <c r="A3045">
        <v>2019</v>
      </c>
      <c r="B3045" s="3" t="s">
        <v>1436</v>
      </c>
      <c r="C3045" t="s">
        <v>269</v>
      </c>
      <c r="D3045" s="9">
        <v>195656</v>
      </c>
      <c r="E3045">
        <v>1.6589999999999999E-4</v>
      </c>
    </row>
    <row r="3046" spans="1:5">
      <c r="A3046">
        <v>2019</v>
      </c>
      <c r="B3046" s="3" t="s">
        <v>1437</v>
      </c>
      <c r="C3046" t="s">
        <v>270</v>
      </c>
      <c r="D3046" s="9">
        <v>1067745</v>
      </c>
      <c r="E3046">
        <v>9.056E-4</v>
      </c>
    </row>
    <row r="3047" spans="1:5">
      <c r="A3047">
        <v>2019</v>
      </c>
      <c r="B3047" s="3" t="s">
        <v>1438</v>
      </c>
      <c r="C3047" t="s">
        <v>1622</v>
      </c>
      <c r="D3047" s="9">
        <v>724326</v>
      </c>
      <c r="E3047">
        <v>6.1430000000000002E-4</v>
      </c>
    </row>
    <row r="3048" spans="1:5">
      <c r="A3048">
        <v>2019</v>
      </c>
      <c r="B3048" s="3" t="s">
        <v>371</v>
      </c>
      <c r="C3048" t="s">
        <v>1623</v>
      </c>
      <c r="D3048" s="9">
        <v>309062</v>
      </c>
      <c r="E3048">
        <v>2.6209999999999997E-4</v>
      </c>
    </row>
    <row r="3049" spans="1:5">
      <c r="A3049">
        <v>2019</v>
      </c>
      <c r="B3049" s="3" t="s">
        <v>1439</v>
      </c>
      <c r="C3049" t="s">
        <v>1624</v>
      </c>
      <c r="D3049" s="9">
        <v>110257</v>
      </c>
      <c r="E3049">
        <v>9.3499999999999996E-5</v>
      </c>
    </row>
    <row r="3050" spans="1:5">
      <c r="A3050">
        <v>2019</v>
      </c>
      <c r="B3050" s="3" t="s">
        <v>1440</v>
      </c>
      <c r="C3050" t="s">
        <v>1625</v>
      </c>
      <c r="D3050" s="9">
        <v>407336</v>
      </c>
      <c r="E3050">
        <v>3.455E-4</v>
      </c>
    </row>
    <row r="3051" spans="1:5">
      <c r="A3051">
        <v>2019</v>
      </c>
      <c r="B3051" s="3" t="s">
        <v>372</v>
      </c>
      <c r="C3051" t="s">
        <v>1626</v>
      </c>
      <c r="D3051" s="9">
        <v>196557</v>
      </c>
      <c r="E3051">
        <v>1.6670000000000001E-4</v>
      </c>
    </row>
    <row r="3052" spans="1:5">
      <c r="A3052">
        <v>2019</v>
      </c>
      <c r="B3052" s="3" t="s">
        <v>1441</v>
      </c>
      <c r="C3052" t="s">
        <v>274</v>
      </c>
      <c r="D3052" s="9"/>
    </row>
    <row r="3053" spans="1:5">
      <c r="A3053">
        <v>2019</v>
      </c>
      <c r="B3053" s="3" t="s">
        <v>1442</v>
      </c>
      <c r="C3053" t="s">
        <v>1627</v>
      </c>
      <c r="D3053" s="9">
        <v>7661</v>
      </c>
      <c r="E3053">
        <v>6.4999999999999996E-6</v>
      </c>
    </row>
    <row r="3054" spans="1:5">
      <c r="A3054">
        <v>2019</v>
      </c>
      <c r="B3054" s="3" t="s">
        <v>1443</v>
      </c>
      <c r="C3054" t="s">
        <v>1628</v>
      </c>
      <c r="D3054" s="9">
        <v>1136005</v>
      </c>
      <c r="E3054">
        <v>9.6349999999999995E-4</v>
      </c>
    </row>
    <row r="3055" spans="1:5">
      <c r="A3055">
        <v>2019</v>
      </c>
      <c r="B3055" s="3" t="s">
        <v>331</v>
      </c>
      <c r="C3055" t="s">
        <v>1629</v>
      </c>
      <c r="D3055" s="9"/>
    </row>
    <row r="3056" spans="1:5">
      <c r="A3056">
        <v>2019</v>
      </c>
      <c r="B3056" s="3" t="s">
        <v>332</v>
      </c>
      <c r="C3056" t="s">
        <v>1630</v>
      </c>
      <c r="D3056" s="9">
        <v>96224</v>
      </c>
      <c r="E3056">
        <v>8.1600000000000005E-5</v>
      </c>
    </row>
    <row r="3057" spans="1:5">
      <c r="A3057">
        <v>2019</v>
      </c>
      <c r="B3057" s="3" t="s">
        <v>333</v>
      </c>
      <c r="C3057" t="s">
        <v>1631</v>
      </c>
      <c r="D3057" s="9">
        <v>32344</v>
      </c>
      <c r="E3057">
        <v>2.7399999999999999E-5</v>
      </c>
    </row>
    <row r="3058" spans="1:5">
      <c r="A3058">
        <v>2019</v>
      </c>
      <c r="B3058" s="3" t="s">
        <v>334</v>
      </c>
      <c r="C3058" t="s">
        <v>1632</v>
      </c>
      <c r="D3058" s="9">
        <v>83266</v>
      </c>
      <c r="E3058">
        <v>7.0599999999999995E-5</v>
      </c>
    </row>
    <row r="3059" spans="1:5">
      <c r="A3059">
        <v>2019</v>
      </c>
      <c r="B3059" s="3" t="s">
        <v>335</v>
      </c>
      <c r="C3059" t="s">
        <v>1633</v>
      </c>
      <c r="D3059" s="9">
        <v>2824657</v>
      </c>
      <c r="E3059">
        <v>2.3955999999999999E-3</v>
      </c>
    </row>
    <row r="3060" spans="1:5">
      <c r="A3060">
        <v>2019</v>
      </c>
      <c r="B3060" s="3" t="s">
        <v>336</v>
      </c>
      <c r="C3060" t="s">
        <v>1634</v>
      </c>
      <c r="D3060" s="9">
        <v>2351829</v>
      </c>
      <c r="E3060">
        <v>1.9946E-3</v>
      </c>
    </row>
    <row r="3061" spans="1:5">
      <c r="A3061">
        <v>2019</v>
      </c>
      <c r="B3061" s="3" t="s">
        <v>337</v>
      </c>
      <c r="C3061" t="s">
        <v>283</v>
      </c>
      <c r="D3061" s="9">
        <v>163189</v>
      </c>
      <c r="E3061">
        <v>1.384E-4</v>
      </c>
    </row>
    <row r="3062" spans="1:5">
      <c r="A3062">
        <v>2019</v>
      </c>
      <c r="B3062" s="3" t="s">
        <v>338</v>
      </c>
      <c r="C3062" t="s">
        <v>1635</v>
      </c>
      <c r="D3062" s="9">
        <v>59868</v>
      </c>
      <c r="E3062">
        <v>5.0800000000000002E-5</v>
      </c>
    </row>
    <row r="3063" spans="1:5">
      <c r="A3063">
        <v>2019</v>
      </c>
      <c r="B3063" s="3" t="s">
        <v>373</v>
      </c>
      <c r="C3063" t="s">
        <v>1636</v>
      </c>
      <c r="D3063" s="9">
        <v>2473683</v>
      </c>
      <c r="E3063">
        <v>2.098E-3</v>
      </c>
    </row>
    <row r="3064" spans="1:5">
      <c r="A3064">
        <v>2019</v>
      </c>
      <c r="B3064" s="3" t="s">
        <v>339</v>
      </c>
      <c r="C3064" t="s">
        <v>1637</v>
      </c>
      <c r="D3064" s="9">
        <v>1188843</v>
      </c>
      <c r="E3064">
        <v>1.0083E-3</v>
      </c>
    </row>
    <row r="3065" spans="1:5">
      <c r="A3065">
        <v>2019</v>
      </c>
      <c r="B3065" s="3" t="s">
        <v>340</v>
      </c>
      <c r="C3065" t="s">
        <v>286</v>
      </c>
      <c r="D3065" s="9">
        <v>130729</v>
      </c>
      <c r="E3065">
        <v>1.109E-4</v>
      </c>
    </row>
    <row r="3066" spans="1:5">
      <c r="A3066">
        <v>2019</v>
      </c>
      <c r="B3066" s="3" t="s">
        <v>341</v>
      </c>
      <c r="C3066" t="s">
        <v>287</v>
      </c>
      <c r="D3066" s="9"/>
    </row>
    <row r="3067" spans="1:5">
      <c r="A3067">
        <v>2019</v>
      </c>
      <c r="B3067" s="3" t="s">
        <v>342</v>
      </c>
      <c r="C3067" t="s">
        <v>1638</v>
      </c>
      <c r="D3067" s="9">
        <v>839995</v>
      </c>
      <c r="E3067">
        <v>7.1239999999999997E-4</v>
      </c>
    </row>
    <row r="3068" spans="1:5">
      <c r="A3068">
        <v>2019</v>
      </c>
      <c r="B3068" s="3" t="s">
        <v>1219</v>
      </c>
      <c r="C3068" t="s">
        <v>1639</v>
      </c>
      <c r="D3068" s="9">
        <v>370617</v>
      </c>
      <c r="E3068">
        <v>3.143E-4</v>
      </c>
    </row>
    <row r="3069" spans="1:5">
      <c r="A3069">
        <v>2019</v>
      </c>
      <c r="B3069" s="3" t="s">
        <v>343</v>
      </c>
      <c r="C3069" t="s">
        <v>1640</v>
      </c>
      <c r="D3069" s="9">
        <v>94611</v>
      </c>
      <c r="E3069">
        <v>8.0199999999999998E-5</v>
      </c>
    </row>
    <row r="3070" spans="1:5">
      <c r="A3070">
        <v>2019</v>
      </c>
      <c r="B3070" s="3" t="s">
        <v>344</v>
      </c>
      <c r="C3070" t="s">
        <v>290</v>
      </c>
      <c r="D3070" s="9">
        <v>83711</v>
      </c>
      <c r="E3070">
        <v>7.1000000000000005E-5</v>
      </c>
    </row>
    <row r="3071" spans="1:5">
      <c r="A3071">
        <v>2019</v>
      </c>
      <c r="B3071" s="3" t="s">
        <v>1220</v>
      </c>
      <c r="C3071" t="s">
        <v>1641</v>
      </c>
      <c r="D3071" s="9">
        <v>116825</v>
      </c>
      <c r="E3071">
        <v>9.9099999999999996E-5</v>
      </c>
    </row>
    <row r="3072" spans="1:5">
      <c r="A3072">
        <v>2019</v>
      </c>
      <c r="B3072" s="3" t="s">
        <v>345</v>
      </c>
      <c r="C3072" t="s">
        <v>1642</v>
      </c>
      <c r="D3072" s="9">
        <v>84595</v>
      </c>
      <c r="E3072">
        <v>7.1699999999999995E-5</v>
      </c>
    </row>
    <row r="3073" spans="1:5">
      <c r="A3073">
        <v>2019</v>
      </c>
      <c r="B3073" s="3" t="s">
        <v>346</v>
      </c>
      <c r="C3073" t="s">
        <v>1643</v>
      </c>
      <c r="D3073" s="9">
        <v>9328621</v>
      </c>
      <c r="E3073">
        <v>7.9117000000000007E-3</v>
      </c>
    </row>
    <row r="3074" spans="1:5">
      <c r="A3074">
        <v>2019</v>
      </c>
      <c r="B3074" s="3" t="s">
        <v>347</v>
      </c>
      <c r="C3074" t="s">
        <v>1644</v>
      </c>
      <c r="D3074" s="9">
        <v>3578380</v>
      </c>
      <c r="E3074">
        <v>3.0349000000000001E-3</v>
      </c>
    </row>
    <row r="3075" spans="1:5">
      <c r="A3075">
        <v>2019</v>
      </c>
      <c r="B3075" s="3" t="s">
        <v>348</v>
      </c>
      <c r="C3075" t="s">
        <v>1645</v>
      </c>
      <c r="D3075" s="9">
        <v>1847315</v>
      </c>
      <c r="E3075">
        <v>1.5667000000000001E-3</v>
      </c>
    </row>
    <row r="3076" spans="1:5">
      <c r="A3076">
        <v>2019</v>
      </c>
      <c r="B3076" s="3" t="s">
        <v>374</v>
      </c>
      <c r="C3076" t="s">
        <v>1646</v>
      </c>
      <c r="D3076" s="9">
        <v>1583655</v>
      </c>
      <c r="E3076">
        <v>1.3431000000000001E-3</v>
      </c>
    </row>
    <row r="3077" spans="1:5">
      <c r="A3077">
        <v>2019</v>
      </c>
      <c r="B3077" s="3" t="s">
        <v>349</v>
      </c>
      <c r="C3077" t="s">
        <v>1647</v>
      </c>
      <c r="D3077" s="9">
        <v>2869509</v>
      </c>
      <c r="E3077">
        <v>2.4337E-3</v>
      </c>
    </row>
    <row r="3078" spans="1:5">
      <c r="A3078">
        <v>2019</v>
      </c>
      <c r="B3078" s="3" t="s">
        <v>350</v>
      </c>
      <c r="C3078" t="s">
        <v>1648</v>
      </c>
      <c r="D3078" s="9">
        <v>2817900</v>
      </c>
      <c r="E3078">
        <v>2.3898999999999999E-3</v>
      </c>
    </row>
    <row r="3079" spans="1:5">
      <c r="A3079">
        <v>2019</v>
      </c>
      <c r="B3079" s="3" t="s">
        <v>1221</v>
      </c>
      <c r="C3079" t="s">
        <v>1649</v>
      </c>
      <c r="D3079" s="9">
        <v>297123</v>
      </c>
      <c r="E3079">
        <v>2.52E-4</v>
      </c>
    </row>
    <row r="3080" spans="1:5">
      <c r="A3080">
        <v>2019</v>
      </c>
      <c r="B3080" s="3" t="s">
        <v>351</v>
      </c>
      <c r="C3080" t="s">
        <v>297</v>
      </c>
      <c r="D3080" s="9">
        <v>22772</v>
      </c>
      <c r="E3080">
        <v>1.9300000000000002E-5</v>
      </c>
    </row>
    <row r="3081" spans="1:5">
      <c r="A3081">
        <v>2019</v>
      </c>
      <c r="B3081" s="3" t="s">
        <v>352</v>
      </c>
      <c r="C3081" t="s">
        <v>2360</v>
      </c>
      <c r="D3081" s="9">
        <v>171142</v>
      </c>
      <c r="E3081">
        <v>1.451E-4</v>
      </c>
    </row>
    <row r="3082" spans="1:5">
      <c r="A3082">
        <v>2019</v>
      </c>
      <c r="B3082" s="3" t="s">
        <v>353</v>
      </c>
      <c r="C3082" t="s">
        <v>1650</v>
      </c>
      <c r="D3082" s="9">
        <v>59032</v>
      </c>
      <c r="E3082">
        <v>5.0099999999999998E-5</v>
      </c>
    </row>
    <row r="3083" spans="1:5">
      <c r="A3083">
        <v>2019</v>
      </c>
      <c r="B3083" s="3" t="s">
        <v>354</v>
      </c>
      <c r="C3083" t="s">
        <v>300</v>
      </c>
      <c r="D3083" s="9">
        <v>2613700</v>
      </c>
      <c r="E3083">
        <v>2.2166999999999998E-3</v>
      </c>
    </row>
    <row r="3084" spans="1:5">
      <c r="A3084">
        <v>2019</v>
      </c>
      <c r="B3084" s="3" t="s">
        <v>1659</v>
      </c>
      <c r="C3084" t="s">
        <v>1651</v>
      </c>
      <c r="D3084" s="9">
        <v>183147</v>
      </c>
      <c r="E3084">
        <v>1.5530000000000001E-4</v>
      </c>
    </row>
    <row r="3085" spans="1:5">
      <c r="A3085">
        <v>2019</v>
      </c>
      <c r="B3085" s="3" t="s">
        <v>355</v>
      </c>
      <c r="C3085" t="s">
        <v>301</v>
      </c>
      <c r="D3085" s="9">
        <v>364707</v>
      </c>
      <c r="E3085">
        <v>3.0929999999999998E-4</v>
      </c>
    </row>
    <row r="3086" spans="1:5">
      <c r="A3086">
        <v>2019</v>
      </c>
      <c r="B3086" s="3" t="s">
        <v>356</v>
      </c>
      <c r="C3086" t="s">
        <v>1444</v>
      </c>
      <c r="D3086" s="9">
        <v>5792145</v>
      </c>
      <c r="E3086">
        <v>4.9123999999999999E-3</v>
      </c>
    </row>
    <row r="3087" spans="1:5">
      <c r="A3087">
        <v>2019</v>
      </c>
      <c r="B3087" s="3" t="s">
        <v>357</v>
      </c>
      <c r="C3087" t="s">
        <v>1652</v>
      </c>
      <c r="D3087" s="9">
        <v>155573</v>
      </c>
      <c r="E3087">
        <v>1.3190000000000001E-4</v>
      </c>
    </row>
    <row r="3088" spans="1:5">
      <c r="A3088">
        <v>2019</v>
      </c>
      <c r="B3088" s="3" t="s">
        <v>358</v>
      </c>
      <c r="C3088" t="s">
        <v>304</v>
      </c>
      <c r="D3088" s="9"/>
    </row>
    <row r="3089" spans="1:5">
      <c r="A3089">
        <v>2019</v>
      </c>
      <c r="B3089" s="3" t="s">
        <v>359</v>
      </c>
      <c r="C3089" t="s">
        <v>305</v>
      </c>
      <c r="D3089" s="9">
        <v>232570</v>
      </c>
      <c r="E3089">
        <v>1.972E-4</v>
      </c>
    </row>
    <row r="3090" spans="1:5">
      <c r="A3090">
        <v>2019</v>
      </c>
      <c r="B3090" s="3" t="s">
        <v>360</v>
      </c>
      <c r="C3090" t="s">
        <v>1653</v>
      </c>
      <c r="D3090" s="9">
        <v>26430198</v>
      </c>
      <c r="E3090">
        <v>2.24157E-2</v>
      </c>
    </row>
    <row r="3091" spans="1:5">
      <c r="A3091">
        <v>2019</v>
      </c>
      <c r="B3091" s="3" t="s">
        <v>375</v>
      </c>
      <c r="C3091" t="s">
        <v>1654</v>
      </c>
      <c r="D3091" s="9">
        <v>8471098</v>
      </c>
      <c r="E3091">
        <v>7.1843999999999996E-3</v>
      </c>
    </row>
    <row r="3092" spans="1:5">
      <c r="A3092">
        <v>2019</v>
      </c>
      <c r="B3092" s="3" t="s">
        <v>361</v>
      </c>
      <c r="C3092" t="s">
        <v>1655</v>
      </c>
      <c r="D3092" s="9">
        <v>194245</v>
      </c>
      <c r="E3092">
        <v>1.6469999999999999E-4</v>
      </c>
    </row>
    <row r="3093" spans="1:5">
      <c r="A3093">
        <v>2019</v>
      </c>
      <c r="B3093" s="3" t="s">
        <v>362</v>
      </c>
      <c r="C3093" t="s">
        <v>1656</v>
      </c>
      <c r="D3093" s="9">
        <v>5780</v>
      </c>
      <c r="E3093">
        <v>4.8999999999999997E-6</v>
      </c>
    </row>
    <row r="3094" spans="1:5">
      <c r="A3094">
        <v>2019</v>
      </c>
      <c r="B3094" s="3" t="s">
        <v>363</v>
      </c>
      <c r="C3094" t="s">
        <v>1657</v>
      </c>
      <c r="D3094" s="9">
        <v>3037377</v>
      </c>
      <c r="E3094">
        <v>2.5760000000000002E-3</v>
      </c>
    </row>
    <row r="3095" spans="1:5">
      <c r="A3095">
        <v>2019</v>
      </c>
      <c r="B3095" s="3" t="s">
        <v>364</v>
      </c>
      <c r="C3095" t="s">
        <v>310</v>
      </c>
      <c r="D3095" s="9"/>
    </row>
    <row r="3096" spans="1:5">
      <c r="A3096">
        <v>2019</v>
      </c>
      <c r="B3096" s="3" t="s">
        <v>365</v>
      </c>
      <c r="C3096" t="s">
        <v>1658</v>
      </c>
      <c r="D3096" s="9">
        <v>1077499</v>
      </c>
      <c r="E3096">
        <v>9.1379999999999999E-4</v>
      </c>
    </row>
    <row r="3097" spans="1:5">
      <c r="A3097">
        <v>2019</v>
      </c>
      <c r="B3097" s="3" t="s">
        <v>1222</v>
      </c>
      <c r="C3097" t="s">
        <v>1660</v>
      </c>
      <c r="D3097" s="9">
        <v>380389</v>
      </c>
      <c r="E3097">
        <v>3.2259999999999998E-4</v>
      </c>
    </row>
    <row r="3098" spans="1:5">
      <c r="A3098">
        <v>2019</v>
      </c>
      <c r="B3098" s="3" t="s">
        <v>366</v>
      </c>
      <c r="C3098" t="s">
        <v>312</v>
      </c>
      <c r="D3098" s="9">
        <v>3562</v>
      </c>
      <c r="E3098">
        <v>3.0000000000000001E-6</v>
      </c>
    </row>
    <row r="3099" spans="1:5">
      <c r="A3099">
        <v>2019</v>
      </c>
      <c r="B3099" s="3" t="s">
        <v>367</v>
      </c>
      <c r="C3099" t="s">
        <v>313</v>
      </c>
      <c r="D3099" s="9">
        <v>52314</v>
      </c>
      <c r="E3099">
        <v>4.4400000000000002E-5</v>
      </c>
    </row>
    <row r="3100" spans="1:5">
      <c r="A3100">
        <v>2019</v>
      </c>
      <c r="B3100" s="3" t="s">
        <v>368</v>
      </c>
      <c r="C3100" t="s">
        <v>1661</v>
      </c>
      <c r="D3100" s="9">
        <v>243514</v>
      </c>
      <c r="E3100">
        <v>2.065E-4</v>
      </c>
    </row>
    <row r="3101" spans="1:5">
      <c r="A3101">
        <v>2019</v>
      </c>
      <c r="B3101" s="3" t="s">
        <v>467</v>
      </c>
      <c r="C3101" t="s">
        <v>412</v>
      </c>
      <c r="D3101" s="9"/>
    </row>
    <row r="3102" spans="1:5">
      <c r="A3102">
        <v>2019</v>
      </c>
      <c r="B3102" s="3" t="s">
        <v>1223</v>
      </c>
      <c r="C3102" t="s">
        <v>1662</v>
      </c>
      <c r="D3102" s="9">
        <v>179550</v>
      </c>
      <c r="E3102">
        <v>1.5229999999999999E-4</v>
      </c>
    </row>
    <row r="3103" spans="1:5">
      <c r="A3103">
        <v>2019</v>
      </c>
      <c r="B3103" s="3" t="s">
        <v>468</v>
      </c>
      <c r="C3103" t="s">
        <v>1663</v>
      </c>
      <c r="D3103" s="9">
        <v>250518</v>
      </c>
      <c r="E3103">
        <v>2.1249999999999999E-4</v>
      </c>
    </row>
    <row r="3104" spans="1:5">
      <c r="A3104">
        <v>2019</v>
      </c>
      <c r="B3104" s="3" t="s">
        <v>469</v>
      </c>
      <c r="C3104" t="s">
        <v>1664</v>
      </c>
      <c r="D3104" s="9"/>
    </row>
    <row r="3105" spans="1:5">
      <c r="A3105">
        <v>2019</v>
      </c>
      <c r="B3105" s="3" t="s">
        <v>1224</v>
      </c>
      <c r="C3105" t="s">
        <v>1665</v>
      </c>
      <c r="D3105" s="9">
        <v>86210</v>
      </c>
      <c r="E3105">
        <v>7.3100000000000001E-5</v>
      </c>
    </row>
    <row r="3106" spans="1:5">
      <c r="A3106">
        <v>2019</v>
      </c>
      <c r="B3106" s="3" t="s">
        <v>470</v>
      </c>
      <c r="C3106" t="s">
        <v>2361</v>
      </c>
      <c r="D3106" s="9">
        <v>27690</v>
      </c>
      <c r="E3106">
        <v>2.3499999999999999E-5</v>
      </c>
    </row>
    <row r="3107" spans="1:5">
      <c r="A3107">
        <v>2019</v>
      </c>
      <c r="B3107" s="3" t="s">
        <v>471</v>
      </c>
      <c r="C3107" t="s">
        <v>416</v>
      </c>
      <c r="D3107" s="9">
        <v>2230443</v>
      </c>
      <c r="E3107">
        <v>1.8917000000000001E-3</v>
      </c>
    </row>
    <row r="3108" spans="1:5">
      <c r="A3108">
        <v>2019</v>
      </c>
      <c r="B3108" s="3" t="s">
        <v>472</v>
      </c>
      <c r="C3108" t="s">
        <v>417</v>
      </c>
      <c r="D3108" s="9">
        <v>3032411</v>
      </c>
      <c r="E3108">
        <v>2.5718E-3</v>
      </c>
    </row>
    <row r="3109" spans="1:5">
      <c r="A3109">
        <v>2019</v>
      </c>
      <c r="B3109" s="3" t="s">
        <v>474</v>
      </c>
      <c r="C3109" t="s">
        <v>1666</v>
      </c>
      <c r="D3109" s="9">
        <v>93159</v>
      </c>
      <c r="E3109">
        <v>7.8999999999999996E-5</v>
      </c>
    </row>
    <row r="3110" spans="1:5">
      <c r="A3110">
        <v>2019</v>
      </c>
      <c r="B3110" s="3" t="s">
        <v>475</v>
      </c>
      <c r="C3110" t="s">
        <v>1667</v>
      </c>
      <c r="D3110" s="9">
        <v>29196</v>
      </c>
      <c r="E3110">
        <v>2.48E-5</v>
      </c>
    </row>
    <row r="3111" spans="1:5">
      <c r="A3111">
        <v>2019</v>
      </c>
      <c r="B3111" s="3" t="s">
        <v>476</v>
      </c>
      <c r="C3111" t="s">
        <v>421</v>
      </c>
      <c r="D3111" s="9">
        <v>4874526</v>
      </c>
      <c r="E3111">
        <v>4.1340999999999999E-3</v>
      </c>
    </row>
    <row r="3112" spans="1:5">
      <c r="A3112">
        <v>2019</v>
      </c>
      <c r="B3112" s="3" t="s">
        <v>477</v>
      </c>
      <c r="C3112" t="s">
        <v>422</v>
      </c>
      <c r="D3112" s="9">
        <v>1044468</v>
      </c>
      <c r="E3112">
        <v>8.8579999999999996E-4</v>
      </c>
    </row>
    <row r="3113" spans="1:5">
      <c r="A3113">
        <v>2019</v>
      </c>
      <c r="B3113" s="3" t="s">
        <v>478</v>
      </c>
      <c r="C3113" t="s">
        <v>2362</v>
      </c>
      <c r="D3113" s="9">
        <v>129697</v>
      </c>
      <c r="E3113">
        <v>1.1E-4</v>
      </c>
    </row>
    <row r="3114" spans="1:5">
      <c r="A3114">
        <v>2019</v>
      </c>
      <c r="B3114" s="3" t="s">
        <v>479</v>
      </c>
      <c r="C3114" t="s">
        <v>1669</v>
      </c>
      <c r="D3114" s="9">
        <v>334188</v>
      </c>
      <c r="E3114">
        <v>2.834E-4</v>
      </c>
    </row>
    <row r="3115" spans="1:5">
      <c r="A3115">
        <v>2019</v>
      </c>
      <c r="B3115" s="3" t="s">
        <v>480</v>
      </c>
      <c r="C3115" t="s">
        <v>1670</v>
      </c>
      <c r="D3115" s="9">
        <v>53753</v>
      </c>
      <c r="E3115">
        <v>4.5599999999999997E-5</v>
      </c>
    </row>
    <row r="3116" spans="1:5">
      <c r="A3116">
        <v>2019</v>
      </c>
      <c r="B3116" s="3" t="s">
        <v>481</v>
      </c>
      <c r="C3116" t="s">
        <v>1671</v>
      </c>
      <c r="D3116" s="9">
        <v>827572</v>
      </c>
      <c r="E3116">
        <v>7.0189999999999998E-4</v>
      </c>
    </row>
    <row r="3117" spans="1:5">
      <c r="A3117">
        <v>2019</v>
      </c>
      <c r="B3117" s="3" t="s">
        <v>482</v>
      </c>
      <c r="C3117" t="s">
        <v>1672</v>
      </c>
      <c r="D3117" s="9">
        <v>160657</v>
      </c>
      <c r="E3117">
        <v>1.3630000000000001E-4</v>
      </c>
    </row>
    <row r="3118" spans="1:5">
      <c r="A3118">
        <v>2019</v>
      </c>
      <c r="B3118" s="3" t="s">
        <v>483</v>
      </c>
      <c r="C3118" t="s">
        <v>1673</v>
      </c>
      <c r="D3118" s="9">
        <v>125885</v>
      </c>
      <c r="E3118">
        <v>1.0679999999999999E-4</v>
      </c>
    </row>
    <row r="3119" spans="1:5">
      <c r="A3119">
        <v>2019</v>
      </c>
      <c r="B3119" s="3" t="s">
        <v>484</v>
      </c>
      <c r="C3119" t="s">
        <v>1674</v>
      </c>
      <c r="D3119" s="9">
        <v>330852</v>
      </c>
      <c r="E3119">
        <v>2.8059999999999999E-4</v>
      </c>
    </row>
    <row r="3120" spans="1:5">
      <c r="A3120">
        <v>2019</v>
      </c>
      <c r="B3120" s="3" t="s">
        <v>485</v>
      </c>
      <c r="C3120" t="s">
        <v>1675</v>
      </c>
      <c r="D3120" s="9">
        <v>1280439</v>
      </c>
      <c r="E3120">
        <v>1.0859999999999999E-3</v>
      </c>
    </row>
    <row r="3121" spans="1:5">
      <c r="A3121">
        <v>2019</v>
      </c>
      <c r="B3121" s="3" t="s">
        <v>376</v>
      </c>
      <c r="C3121" t="s">
        <v>1676</v>
      </c>
      <c r="D3121" s="9">
        <v>500148</v>
      </c>
      <c r="E3121">
        <v>4.2420000000000001E-4</v>
      </c>
    </row>
    <row r="3122" spans="1:5">
      <c r="A3122">
        <v>2019</v>
      </c>
      <c r="B3122" s="3" t="s">
        <v>1690</v>
      </c>
      <c r="C3122" t="s">
        <v>1677</v>
      </c>
      <c r="D3122" s="9"/>
    </row>
    <row r="3123" spans="1:5">
      <c r="A3123">
        <v>2019</v>
      </c>
      <c r="B3123" s="3" t="s">
        <v>2365</v>
      </c>
      <c r="C3123" t="s">
        <v>2363</v>
      </c>
      <c r="D3123" s="9">
        <v>42650</v>
      </c>
      <c r="E3123">
        <v>3.6199999999999999E-5</v>
      </c>
    </row>
    <row r="3124" spans="1:5">
      <c r="A3124">
        <v>2019</v>
      </c>
      <c r="B3124" s="3" t="s">
        <v>377</v>
      </c>
      <c r="C3124" t="s">
        <v>1678</v>
      </c>
      <c r="D3124" s="9">
        <v>926517</v>
      </c>
      <c r="E3124">
        <v>7.8580000000000002E-4</v>
      </c>
    </row>
    <row r="3125" spans="1:5">
      <c r="A3125">
        <v>2019</v>
      </c>
      <c r="B3125" s="3" t="s">
        <v>486</v>
      </c>
      <c r="C3125" t="s">
        <v>1679</v>
      </c>
      <c r="D3125" s="9">
        <v>1092071</v>
      </c>
      <c r="E3125">
        <v>9.2619999999999996E-4</v>
      </c>
    </row>
    <row r="3126" spans="1:5">
      <c r="A3126">
        <v>2019</v>
      </c>
      <c r="B3126" s="3" t="s">
        <v>487</v>
      </c>
      <c r="C3126" t="s">
        <v>432</v>
      </c>
      <c r="D3126" s="9">
        <v>6903</v>
      </c>
      <c r="E3126">
        <v>5.9000000000000003E-6</v>
      </c>
    </row>
    <row r="3127" spans="1:5">
      <c r="A3127">
        <v>2019</v>
      </c>
      <c r="B3127" s="3" t="s">
        <v>488</v>
      </c>
      <c r="C3127" t="s">
        <v>1680</v>
      </c>
      <c r="D3127" s="9">
        <v>157409</v>
      </c>
      <c r="E3127">
        <v>1.3349999999999999E-4</v>
      </c>
    </row>
    <row r="3128" spans="1:5">
      <c r="A3128">
        <v>2019</v>
      </c>
      <c r="B3128" s="3" t="s">
        <v>489</v>
      </c>
      <c r="C3128" t="s">
        <v>434</v>
      </c>
      <c r="D3128" s="9">
        <v>57375</v>
      </c>
      <c r="E3128">
        <v>4.8699999999999998E-5</v>
      </c>
    </row>
    <row r="3129" spans="1:5">
      <c r="A3129">
        <v>2019</v>
      </c>
      <c r="B3129" s="3" t="s">
        <v>490</v>
      </c>
      <c r="C3129" t="s">
        <v>1681</v>
      </c>
      <c r="D3129" s="9">
        <v>2913932</v>
      </c>
      <c r="E3129">
        <v>2.4713000000000001E-3</v>
      </c>
    </row>
    <row r="3130" spans="1:5">
      <c r="A3130">
        <v>2019</v>
      </c>
      <c r="B3130" s="3" t="s">
        <v>491</v>
      </c>
      <c r="C3130" t="s">
        <v>1682</v>
      </c>
      <c r="D3130" s="9">
        <v>3545417</v>
      </c>
      <c r="E3130">
        <v>3.0068999999999999E-3</v>
      </c>
    </row>
    <row r="3131" spans="1:5">
      <c r="A3131">
        <v>2019</v>
      </c>
      <c r="B3131" s="3" t="s">
        <v>492</v>
      </c>
      <c r="C3131" t="s">
        <v>1683</v>
      </c>
      <c r="D3131" s="9">
        <v>7543</v>
      </c>
      <c r="E3131">
        <v>6.3999999999999997E-6</v>
      </c>
    </row>
    <row r="3132" spans="1:5">
      <c r="A3132">
        <v>2019</v>
      </c>
      <c r="B3132" s="3" t="s">
        <v>493</v>
      </c>
      <c r="C3132" t="s">
        <v>1684</v>
      </c>
      <c r="D3132" s="9">
        <v>16718</v>
      </c>
      <c r="E3132">
        <v>1.42E-5</v>
      </c>
    </row>
    <row r="3133" spans="1:5">
      <c r="A3133">
        <v>2019</v>
      </c>
      <c r="B3133" s="3" t="s">
        <v>494</v>
      </c>
      <c r="C3133" t="s">
        <v>1685</v>
      </c>
      <c r="D3133" s="9">
        <v>7851</v>
      </c>
      <c r="E3133">
        <v>6.7000000000000002E-6</v>
      </c>
    </row>
    <row r="3134" spans="1:5">
      <c r="A3134">
        <v>2019</v>
      </c>
      <c r="B3134" s="3" t="s">
        <v>550</v>
      </c>
      <c r="C3134" t="s">
        <v>2366</v>
      </c>
      <c r="D3134" s="9">
        <v>63884</v>
      </c>
      <c r="E3134">
        <v>5.4200000000000003E-5</v>
      </c>
    </row>
    <row r="3135" spans="1:5">
      <c r="A3135">
        <v>2019</v>
      </c>
      <c r="B3135" s="3" t="s">
        <v>551</v>
      </c>
      <c r="C3135" t="s">
        <v>2364</v>
      </c>
      <c r="D3135" s="9">
        <v>86356</v>
      </c>
      <c r="E3135">
        <v>7.3200000000000004E-5</v>
      </c>
    </row>
    <row r="3136" spans="1:5">
      <c r="A3136">
        <v>2019</v>
      </c>
      <c r="B3136" s="3" t="s">
        <v>552</v>
      </c>
      <c r="C3136" t="s">
        <v>1688</v>
      </c>
      <c r="D3136" s="9">
        <v>18053054</v>
      </c>
      <c r="E3136">
        <v>1.5311E-2</v>
      </c>
    </row>
    <row r="3137" spans="1:5">
      <c r="A3137">
        <v>2019</v>
      </c>
      <c r="B3137" s="3" t="s">
        <v>819</v>
      </c>
      <c r="C3137" t="s">
        <v>1689</v>
      </c>
      <c r="D3137" s="9"/>
    </row>
    <row r="3138" spans="1:5">
      <c r="A3138">
        <v>2019</v>
      </c>
      <c r="B3138" s="3" t="s">
        <v>553</v>
      </c>
      <c r="C3138" t="s">
        <v>498</v>
      </c>
      <c r="D3138" s="9">
        <v>24800</v>
      </c>
      <c r="E3138">
        <v>2.0999999999999999E-5</v>
      </c>
    </row>
    <row r="3139" spans="1:5">
      <c r="A3139">
        <v>2019</v>
      </c>
      <c r="B3139" s="3" t="s">
        <v>554</v>
      </c>
      <c r="C3139" t="s">
        <v>499</v>
      </c>
      <c r="D3139" s="9"/>
    </row>
    <row r="3140" spans="1:5">
      <c r="A3140">
        <v>2019</v>
      </c>
      <c r="B3140" s="3" t="s">
        <v>555</v>
      </c>
      <c r="C3140" t="s">
        <v>500</v>
      </c>
      <c r="D3140" s="9">
        <v>193306</v>
      </c>
      <c r="E3140">
        <v>1.639E-4</v>
      </c>
    </row>
    <row r="3141" spans="1:5">
      <c r="A3141">
        <v>2019</v>
      </c>
      <c r="B3141" s="3" t="s">
        <v>556</v>
      </c>
      <c r="C3141" t="s">
        <v>501</v>
      </c>
      <c r="D3141" s="9"/>
    </row>
    <row r="3142" spans="1:5">
      <c r="A3142">
        <v>2019</v>
      </c>
      <c r="B3142" s="3" t="s">
        <v>557</v>
      </c>
      <c r="C3142" t="s">
        <v>502</v>
      </c>
      <c r="D3142" s="9">
        <v>56384</v>
      </c>
      <c r="E3142">
        <v>4.7800000000000003E-5</v>
      </c>
    </row>
    <row r="3143" spans="1:5">
      <c r="A3143">
        <v>2019</v>
      </c>
      <c r="B3143" s="3" t="s">
        <v>558</v>
      </c>
      <c r="C3143" t="s">
        <v>1691</v>
      </c>
      <c r="D3143" s="9">
        <v>32853</v>
      </c>
      <c r="E3143">
        <v>2.7900000000000001E-5</v>
      </c>
    </row>
    <row r="3144" spans="1:5">
      <c r="A3144">
        <v>2019</v>
      </c>
      <c r="B3144" s="3" t="s">
        <v>559</v>
      </c>
      <c r="C3144" t="s">
        <v>1692</v>
      </c>
      <c r="D3144" s="9">
        <v>1866204</v>
      </c>
      <c r="E3144">
        <v>1.5827E-3</v>
      </c>
    </row>
    <row r="3145" spans="1:5">
      <c r="A3145">
        <v>2019</v>
      </c>
      <c r="B3145" s="3" t="s">
        <v>378</v>
      </c>
      <c r="C3145" t="s">
        <v>1693</v>
      </c>
      <c r="D3145" s="9">
        <v>483691</v>
      </c>
      <c r="E3145">
        <v>4.102E-4</v>
      </c>
    </row>
    <row r="3146" spans="1:5">
      <c r="A3146">
        <v>2019</v>
      </c>
      <c r="B3146" s="3" t="s">
        <v>560</v>
      </c>
      <c r="C3146" t="s">
        <v>505</v>
      </c>
      <c r="D3146" s="9">
        <v>113089</v>
      </c>
      <c r="E3146">
        <v>9.59E-5</v>
      </c>
    </row>
    <row r="3147" spans="1:5">
      <c r="A3147">
        <v>2019</v>
      </c>
      <c r="B3147" s="3" t="s">
        <v>561</v>
      </c>
      <c r="C3147" t="s">
        <v>1694</v>
      </c>
      <c r="D3147" s="9">
        <v>195904</v>
      </c>
      <c r="E3147">
        <v>1.661E-4</v>
      </c>
    </row>
    <row r="3148" spans="1:5">
      <c r="A3148">
        <v>2019</v>
      </c>
      <c r="B3148" s="3" t="s">
        <v>1225</v>
      </c>
      <c r="C3148" t="s">
        <v>1695</v>
      </c>
      <c r="D3148" s="9">
        <v>29183</v>
      </c>
      <c r="E3148">
        <v>2.48E-5</v>
      </c>
    </row>
    <row r="3149" spans="1:5">
      <c r="A3149">
        <v>2019</v>
      </c>
      <c r="B3149" s="3" t="s">
        <v>562</v>
      </c>
      <c r="C3149" t="s">
        <v>2367</v>
      </c>
      <c r="D3149" s="9">
        <v>12269477</v>
      </c>
      <c r="E3149">
        <v>1.0405899999999999E-2</v>
      </c>
    </row>
    <row r="3150" spans="1:5">
      <c r="A3150">
        <v>2019</v>
      </c>
      <c r="B3150" s="3" t="s">
        <v>1226</v>
      </c>
      <c r="C3150" t="s">
        <v>1697</v>
      </c>
      <c r="D3150" s="9">
        <v>133513</v>
      </c>
      <c r="E3150">
        <v>1.132E-4</v>
      </c>
    </row>
    <row r="3151" spans="1:5">
      <c r="A3151">
        <v>2019</v>
      </c>
      <c r="B3151" s="3" t="s">
        <v>563</v>
      </c>
      <c r="C3151" t="s">
        <v>1698</v>
      </c>
      <c r="D3151" s="9">
        <v>4919</v>
      </c>
      <c r="E3151">
        <v>4.1999999999999996E-6</v>
      </c>
    </row>
    <row r="3152" spans="1:5">
      <c r="A3152">
        <v>2019</v>
      </c>
      <c r="B3152" s="3" t="s">
        <v>564</v>
      </c>
      <c r="C3152" t="s">
        <v>509</v>
      </c>
      <c r="D3152" s="9">
        <v>1210242</v>
      </c>
      <c r="E3152">
        <v>1.0264E-3</v>
      </c>
    </row>
    <row r="3153" spans="1:5">
      <c r="A3153">
        <v>2019</v>
      </c>
      <c r="B3153" s="3" t="s">
        <v>565</v>
      </c>
      <c r="C3153" t="s">
        <v>510</v>
      </c>
      <c r="D3153" s="9">
        <v>2130772</v>
      </c>
      <c r="E3153">
        <v>1.8071000000000001E-3</v>
      </c>
    </row>
    <row r="3154" spans="1:5">
      <c r="A3154">
        <v>2019</v>
      </c>
      <c r="B3154" s="3" t="s">
        <v>566</v>
      </c>
      <c r="C3154" t="s">
        <v>1699</v>
      </c>
      <c r="D3154" s="9">
        <v>122932</v>
      </c>
      <c r="E3154">
        <v>1.043E-4</v>
      </c>
    </row>
    <row r="3155" spans="1:5">
      <c r="A3155">
        <v>2019</v>
      </c>
      <c r="B3155" s="3" t="s">
        <v>569</v>
      </c>
      <c r="C3155" t="s">
        <v>1446</v>
      </c>
      <c r="D3155" s="9">
        <v>177364</v>
      </c>
      <c r="E3155">
        <v>1.504E-4</v>
      </c>
    </row>
    <row r="3156" spans="1:5">
      <c r="A3156">
        <v>2019</v>
      </c>
      <c r="B3156" s="3" t="s">
        <v>567</v>
      </c>
      <c r="C3156" t="s">
        <v>2368</v>
      </c>
      <c r="D3156" s="9">
        <v>90980</v>
      </c>
      <c r="E3156">
        <v>7.7200000000000006E-5</v>
      </c>
    </row>
    <row r="3157" spans="1:5">
      <c r="A3157">
        <v>2019</v>
      </c>
      <c r="B3157" s="3" t="s">
        <v>568</v>
      </c>
      <c r="C3157" t="s">
        <v>1701</v>
      </c>
      <c r="D3157" s="9">
        <v>152541</v>
      </c>
      <c r="E3157">
        <v>1.294E-4</v>
      </c>
    </row>
    <row r="3158" spans="1:5">
      <c r="A3158">
        <v>2019</v>
      </c>
      <c r="B3158" s="3" t="s">
        <v>570</v>
      </c>
      <c r="C3158" t="s">
        <v>515</v>
      </c>
      <c r="D3158" s="9">
        <v>251274</v>
      </c>
      <c r="E3158">
        <v>2.131E-4</v>
      </c>
    </row>
    <row r="3159" spans="1:5">
      <c r="A3159">
        <v>2019</v>
      </c>
      <c r="B3159" s="3" t="s">
        <v>571</v>
      </c>
      <c r="C3159" t="s">
        <v>516</v>
      </c>
      <c r="D3159" s="9">
        <v>744667</v>
      </c>
      <c r="E3159">
        <v>6.3159999999999996E-4</v>
      </c>
    </row>
    <row r="3160" spans="1:5">
      <c r="A3160">
        <v>2019</v>
      </c>
      <c r="B3160" s="3" t="s">
        <v>572</v>
      </c>
      <c r="C3160" t="s">
        <v>517</v>
      </c>
      <c r="D3160" s="9">
        <v>225765</v>
      </c>
      <c r="E3160">
        <v>1.9149999999999999E-4</v>
      </c>
    </row>
    <row r="3161" spans="1:5">
      <c r="A3161">
        <v>2019</v>
      </c>
      <c r="B3161" s="3" t="s">
        <v>573</v>
      </c>
      <c r="C3161" t="s">
        <v>518</v>
      </c>
      <c r="D3161" s="9">
        <v>391582</v>
      </c>
      <c r="E3161">
        <v>3.321E-4</v>
      </c>
    </row>
    <row r="3162" spans="1:5">
      <c r="A3162">
        <v>2019</v>
      </c>
      <c r="B3162" s="3" t="s">
        <v>574</v>
      </c>
      <c r="C3162" t="s">
        <v>1702</v>
      </c>
      <c r="D3162" s="9">
        <v>117520</v>
      </c>
      <c r="E3162">
        <v>9.9699999999999998E-5</v>
      </c>
    </row>
    <row r="3163" spans="1:5">
      <c r="A3163">
        <v>2019</v>
      </c>
      <c r="B3163" s="3" t="s">
        <v>575</v>
      </c>
      <c r="C3163" t="s">
        <v>1703</v>
      </c>
      <c r="D3163" s="9">
        <v>119488</v>
      </c>
      <c r="E3163">
        <v>1.013E-4</v>
      </c>
    </row>
    <row r="3164" spans="1:5">
      <c r="A3164">
        <v>2019</v>
      </c>
      <c r="B3164" s="3" t="s">
        <v>576</v>
      </c>
      <c r="C3164" t="s">
        <v>521</v>
      </c>
      <c r="D3164" s="9">
        <v>201053</v>
      </c>
      <c r="E3164">
        <v>1.705E-4</v>
      </c>
    </row>
    <row r="3165" spans="1:5">
      <c r="A3165">
        <v>2019</v>
      </c>
      <c r="B3165" s="3" t="s">
        <v>577</v>
      </c>
      <c r="C3165" t="s">
        <v>1704</v>
      </c>
      <c r="D3165" s="9">
        <v>35331</v>
      </c>
      <c r="E3165">
        <v>3.0000000000000001E-5</v>
      </c>
    </row>
    <row r="3166" spans="1:5">
      <c r="A3166">
        <v>2019</v>
      </c>
      <c r="B3166" s="3" t="s">
        <v>578</v>
      </c>
      <c r="C3166" t="s">
        <v>1705</v>
      </c>
      <c r="D3166" s="9">
        <v>1534064</v>
      </c>
      <c r="E3166">
        <v>1.3010999999999999E-3</v>
      </c>
    </row>
    <row r="3167" spans="1:5">
      <c r="A3167">
        <v>2019</v>
      </c>
      <c r="B3167" s="3" t="s">
        <v>2371</v>
      </c>
      <c r="C3167" t="s">
        <v>2369</v>
      </c>
      <c r="D3167" s="9">
        <v>9624</v>
      </c>
      <c r="E3167">
        <v>8.1999999999999994E-6</v>
      </c>
    </row>
    <row r="3168" spans="1:5">
      <c r="A3168">
        <v>2019</v>
      </c>
      <c r="B3168" s="3" t="s">
        <v>579</v>
      </c>
      <c r="C3168" t="s">
        <v>1447</v>
      </c>
      <c r="D3168" s="9"/>
    </row>
    <row r="3169" spans="1:5">
      <c r="A3169">
        <v>2019</v>
      </c>
      <c r="B3169" s="3" t="s">
        <v>379</v>
      </c>
      <c r="C3169" t="s">
        <v>1706</v>
      </c>
      <c r="D3169" s="9">
        <v>687381</v>
      </c>
      <c r="E3169">
        <v>5.8299999999999997E-4</v>
      </c>
    </row>
    <row r="3170" spans="1:5">
      <c r="A3170">
        <v>2019</v>
      </c>
      <c r="B3170" s="3" t="s">
        <v>1451</v>
      </c>
      <c r="C3170" t="s">
        <v>1707</v>
      </c>
      <c r="D3170" s="9"/>
    </row>
    <row r="3171" spans="1:5">
      <c r="A3171">
        <v>2019</v>
      </c>
      <c r="B3171" s="3" t="s">
        <v>1450</v>
      </c>
      <c r="C3171" t="s">
        <v>1708</v>
      </c>
      <c r="D3171" s="9"/>
    </row>
    <row r="3172" spans="1:5">
      <c r="A3172">
        <v>2019</v>
      </c>
      <c r="B3172" s="3" t="s">
        <v>580</v>
      </c>
      <c r="C3172" t="s">
        <v>1709</v>
      </c>
      <c r="D3172" s="9">
        <v>73147</v>
      </c>
      <c r="E3172">
        <v>6.2000000000000003E-5</v>
      </c>
    </row>
    <row r="3173" spans="1:5">
      <c r="A3173">
        <v>2019</v>
      </c>
      <c r="B3173" s="3" t="s">
        <v>581</v>
      </c>
      <c r="C3173" t="s">
        <v>526</v>
      </c>
      <c r="D3173" s="9">
        <v>17601</v>
      </c>
      <c r="E3173">
        <v>1.49E-5</v>
      </c>
    </row>
    <row r="3174" spans="1:5">
      <c r="A3174">
        <v>2019</v>
      </c>
      <c r="B3174" s="3" t="s">
        <v>582</v>
      </c>
      <c r="C3174" t="s">
        <v>1710</v>
      </c>
      <c r="D3174" s="9">
        <v>446466</v>
      </c>
      <c r="E3174">
        <v>3.7869999999999999E-4</v>
      </c>
    </row>
    <row r="3175" spans="1:5">
      <c r="A3175">
        <v>2019</v>
      </c>
      <c r="B3175" s="3" t="s">
        <v>583</v>
      </c>
      <c r="C3175" t="s">
        <v>1711</v>
      </c>
      <c r="D3175" s="9">
        <v>14863</v>
      </c>
      <c r="E3175">
        <v>1.26E-5</v>
      </c>
    </row>
    <row r="3176" spans="1:5">
      <c r="A3176">
        <v>2019</v>
      </c>
      <c r="B3176" s="3" t="s">
        <v>380</v>
      </c>
      <c r="C3176" t="s">
        <v>1712</v>
      </c>
      <c r="D3176" s="9">
        <v>475005</v>
      </c>
      <c r="E3176">
        <v>4.0289999999999998E-4</v>
      </c>
    </row>
    <row r="3177" spans="1:5">
      <c r="A3177">
        <v>2019</v>
      </c>
      <c r="B3177" s="3" t="s">
        <v>584</v>
      </c>
      <c r="C3177" t="s">
        <v>529</v>
      </c>
      <c r="D3177" s="9"/>
    </row>
    <row r="3178" spans="1:5">
      <c r="A3178">
        <v>2019</v>
      </c>
      <c r="B3178" s="3" t="s">
        <v>585</v>
      </c>
      <c r="C3178" t="s">
        <v>2370</v>
      </c>
      <c r="D3178" s="9"/>
    </row>
    <row r="3179" spans="1:5">
      <c r="A3179">
        <v>2019</v>
      </c>
      <c r="B3179" s="3" t="s">
        <v>586</v>
      </c>
      <c r="C3179" t="s">
        <v>1714</v>
      </c>
      <c r="D3179" s="9">
        <v>143180</v>
      </c>
      <c r="E3179">
        <v>1.214E-4</v>
      </c>
    </row>
    <row r="3180" spans="1:5">
      <c r="A3180">
        <v>2019</v>
      </c>
      <c r="B3180" s="3" t="s">
        <v>587</v>
      </c>
      <c r="C3180" t="s">
        <v>532</v>
      </c>
      <c r="D3180" s="9">
        <v>164380</v>
      </c>
      <c r="E3180">
        <v>1.394E-4</v>
      </c>
    </row>
    <row r="3181" spans="1:5">
      <c r="A3181">
        <v>2019</v>
      </c>
      <c r="B3181" s="3" t="s">
        <v>588</v>
      </c>
      <c r="C3181" t="s">
        <v>533</v>
      </c>
      <c r="D3181" s="9">
        <v>168487</v>
      </c>
      <c r="E3181">
        <v>1.429E-4</v>
      </c>
    </row>
    <row r="3182" spans="1:5">
      <c r="A3182">
        <v>2019</v>
      </c>
      <c r="B3182" s="3" t="s">
        <v>589</v>
      </c>
      <c r="C3182" t="s">
        <v>1715</v>
      </c>
      <c r="D3182" s="9">
        <v>6003361</v>
      </c>
      <c r="E3182">
        <v>5.0914999999999997E-3</v>
      </c>
    </row>
    <row r="3183" spans="1:5">
      <c r="A3183">
        <v>2019</v>
      </c>
      <c r="B3183" s="3" t="s">
        <v>381</v>
      </c>
      <c r="C3183" t="s">
        <v>1716</v>
      </c>
      <c r="D3183" s="9">
        <v>3596447</v>
      </c>
      <c r="E3183">
        <v>3.0501999999999999E-3</v>
      </c>
    </row>
    <row r="3184" spans="1:5">
      <c r="A3184">
        <v>2019</v>
      </c>
      <c r="B3184" s="3" t="s">
        <v>590</v>
      </c>
      <c r="C3184" t="s">
        <v>1717</v>
      </c>
      <c r="D3184" s="9">
        <v>4975152</v>
      </c>
      <c r="E3184">
        <v>4.2195000000000002E-3</v>
      </c>
    </row>
    <row r="3185" spans="1:5">
      <c r="A3185">
        <v>2019</v>
      </c>
      <c r="B3185" s="3" t="s">
        <v>1227</v>
      </c>
      <c r="C3185" t="s">
        <v>1718</v>
      </c>
      <c r="D3185" s="9">
        <v>585130</v>
      </c>
      <c r="E3185">
        <v>4.9629999999999997E-4</v>
      </c>
    </row>
    <row r="3186" spans="1:5">
      <c r="A3186">
        <v>2019</v>
      </c>
      <c r="B3186" s="3" t="s">
        <v>591</v>
      </c>
      <c r="C3186" t="s">
        <v>536</v>
      </c>
      <c r="D3186" s="9">
        <v>50581</v>
      </c>
      <c r="E3186">
        <v>4.2899999999999999E-5</v>
      </c>
    </row>
    <row r="3187" spans="1:5">
      <c r="A3187">
        <v>2019</v>
      </c>
      <c r="B3187" s="3" t="s">
        <v>592</v>
      </c>
      <c r="C3187" t="s">
        <v>1719</v>
      </c>
      <c r="D3187" s="9">
        <v>2988943</v>
      </c>
      <c r="E3187">
        <v>2.5349999999999999E-3</v>
      </c>
    </row>
    <row r="3188" spans="1:5">
      <c r="A3188">
        <v>2019</v>
      </c>
      <c r="B3188" s="3" t="s">
        <v>1456</v>
      </c>
      <c r="C3188" t="s">
        <v>2372</v>
      </c>
      <c r="D3188" s="9">
        <v>17396</v>
      </c>
      <c r="E3188">
        <v>1.4800000000000001E-5</v>
      </c>
    </row>
    <row r="3189" spans="1:5">
      <c r="A3189">
        <v>2019</v>
      </c>
      <c r="B3189" s="3" t="s">
        <v>593</v>
      </c>
      <c r="C3189" t="s">
        <v>1721</v>
      </c>
      <c r="D3189" s="9">
        <v>670126</v>
      </c>
      <c r="E3189">
        <v>5.6829999999999999E-4</v>
      </c>
    </row>
    <row r="3190" spans="1:5">
      <c r="A3190">
        <v>2019</v>
      </c>
      <c r="B3190" s="3" t="s">
        <v>594</v>
      </c>
      <c r="C3190" t="s">
        <v>2190</v>
      </c>
      <c r="D3190" s="9">
        <v>16327</v>
      </c>
      <c r="E3190">
        <v>1.38E-5</v>
      </c>
    </row>
    <row r="3191" spans="1:5">
      <c r="A3191">
        <v>2019</v>
      </c>
      <c r="B3191" s="3" t="s">
        <v>595</v>
      </c>
      <c r="C3191" t="s">
        <v>1722</v>
      </c>
      <c r="D3191" s="9">
        <v>580589</v>
      </c>
      <c r="E3191">
        <v>4.9240000000000004E-4</v>
      </c>
    </row>
    <row r="3192" spans="1:5">
      <c r="A3192">
        <v>2019</v>
      </c>
      <c r="B3192" s="3" t="s">
        <v>596</v>
      </c>
      <c r="C3192" t="s">
        <v>1723</v>
      </c>
      <c r="D3192" s="9">
        <v>754728</v>
      </c>
      <c r="E3192">
        <v>6.401E-4</v>
      </c>
    </row>
    <row r="3193" spans="1:5">
      <c r="A3193">
        <v>2019</v>
      </c>
      <c r="B3193" s="3" t="s">
        <v>597</v>
      </c>
      <c r="C3193" t="s">
        <v>1724</v>
      </c>
      <c r="D3193" s="9">
        <v>2388134</v>
      </c>
      <c r="E3193">
        <v>2.0254000000000001E-3</v>
      </c>
    </row>
    <row r="3194" spans="1:5">
      <c r="A3194">
        <v>2019</v>
      </c>
      <c r="B3194" s="3" t="s">
        <v>598</v>
      </c>
      <c r="C3194" t="s">
        <v>543</v>
      </c>
      <c r="D3194" s="9">
        <v>233392</v>
      </c>
      <c r="E3194">
        <v>1.9790000000000001E-4</v>
      </c>
    </row>
    <row r="3195" spans="1:5">
      <c r="A3195">
        <v>2019</v>
      </c>
      <c r="B3195" s="3" t="s">
        <v>1228</v>
      </c>
      <c r="C3195" t="s">
        <v>1725</v>
      </c>
      <c r="D3195" s="9">
        <v>36371</v>
      </c>
      <c r="E3195">
        <v>3.0800000000000003E-5</v>
      </c>
    </row>
    <row r="3196" spans="1:5">
      <c r="A3196">
        <v>2019</v>
      </c>
      <c r="B3196" s="3" t="s">
        <v>599</v>
      </c>
      <c r="C3196" t="s">
        <v>1726</v>
      </c>
      <c r="D3196" s="9">
        <v>146776</v>
      </c>
      <c r="E3196">
        <v>1.2449999999999999E-4</v>
      </c>
    </row>
    <row r="3197" spans="1:5">
      <c r="A3197">
        <v>2019</v>
      </c>
      <c r="B3197" s="3" t="s">
        <v>600</v>
      </c>
      <c r="C3197" t="s">
        <v>1727</v>
      </c>
      <c r="D3197" s="9">
        <v>2342591</v>
      </c>
      <c r="E3197">
        <v>1.9867999999999999E-3</v>
      </c>
    </row>
    <row r="3198" spans="1:5">
      <c r="A3198">
        <v>2019</v>
      </c>
      <c r="B3198" s="3" t="s">
        <v>601</v>
      </c>
      <c r="C3198" t="s">
        <v>1728</v>
      </c>
      <c r="D3198" s="9">
        <v>1218369</v>
      </c>
      <c r="E3198">
        <v>1.0333E-3</v>
      </c>
    </row>
    <row r="3199" spans="1:5">
      <c r="A3199">
        <v>2019</v>
      </c>
      <c r="B3199" s="3" t="s">
        <v>602</v>
      </c>
      <c r="C3199" t="s">
        <v>547</v>
      </c>
      <c r="D3199" s="9">
        <v>74482</v>
      </c>
      <c r="E3199">
        <v>6.3200000000000005E-5</v>
      </c>
    </row>
    <row r="3200" spans="1:5">
      <c r="A3200">
        <v>2019</v>
      </c>
      <c r="B3200" s="3" t="s">
        <v>603</v>
      </c>
      <c r="C3200" t="s">
        <v>548</v>
      </c>
      <c r="D3200" s="9">
        <v>82259</v>
      </c>
      <c r="E3200">
        <v>6.9800000000000003E-5</v>
      </c>
    </row>
    <row r="3201" spans="1:5">
      <c r="A3201">
        <v>2019</v>
      </c>
      <c r="B3201" s="3" t="s">
        <v>604</v>
      </c>
      <c r="C3201" t="s">
        <v>1729</v>
      </c>
      <c r="D3201" s="9">
        <v>183518</v>
      </c>
      <c r="E3201">
        <v>1.5559999999999999E-4</v>
      </c>
    </row>
    <row r="3202" spans="1:5">
      <c r="A3202">
        <v>2019</v>
      </c>
      <c r="B3202" s="3" t="s">
        <v>1229</v>
      </c>
      <c r="C3202" t="s">
        <v>1730</v>
      </c>
      <c r="D3202" s="9">
        <v>154517</v>
      </c>
      <c r="E3202">
        <v>1.3100000000000001E-4</v>
      </c>
    </row>
    <row r="3203" spans="1:5">
      <c r="A3203">
        <v>2019</v>
      </c>
      <c r="B3203" s="3" t="s">
        <v>660</v>
      </c>
      <c r="C3203" t="s">
        <v>605</v>
      </c>
      <c r="D3203" s="9">
        <v>2044155</v>
      </c>
      <c r="E3203">
        <v>1.7336999999999999E-3</v>
      </c>
    </row>
    <row r="3204" spans="1:5">
      <c r="A3204">
        <v>2019</v>
      </c>
      <c r="B3204" s="3" t="s">
        <v>661</v>
      </c>
      <c r="C3204" t="s">
        <v>1455</v>
      </c>
      <c r="D3204" s="9">
        <v>19414</v>
      </c>
      <c r="E3204">
        <v>1.6500000000000001E-5</v>
      </c>
    </row>
    <row r="3205" spans="1:5">
      <c r="A3205">
        <v>2019</v>
      </c>
      <c r="B3205" s="3" t="s">
        <v>662</v>
      </c>
      <c r="C3205" t="s">
        <v>607</v>
      </c>
      <c r="D3205" s="9">
        <v>17664</v>
      </c>
      <c r="E3205">
        <v>1.5E-5</v>
      </c>
    </row>
    <row r="3206" spans="1:5">
      <c r="A3206">
        <v>2019</v>
      </c>
      <c r="B3206" s="3" t="s">
        <v>663</v>
      </c>
      <c r="C3206" t="s">
        <v>608</v>
      </c>
      <c r="D3206" s="9">
        <v>30032</v>
      </c>
      <c r="E3206">
        <v>2.55E-5</v>
      </c>
    </row>
    <row r="3207" spans="1:5">
      <c r="A3207">
        <v>2019</v>
      </c>
      <c r="B3207" s="3" t="s">
        <v>664</v>
      </c>
      <c r="C3207" t="s">
        <v>609</v>
      </c>
      <c r="D3207" s="9">
        <v>19548640</v>
      </c>
      <c r="E3207">
        <v>1.6579400000000001E-2</v>
      </c>
    </row>
    <row r="3208" spans="1:5">
      <c r="A3208">
        <v>2019</v>
      </c>
      <c r="B3208" s="3" t="s">
        <v>1230</v>
      </c>
      <c r="C3208" t="s">
        <v>1731</v>
      </c>
      <c r="D3208" s="9">
        <v>6133507</v>
      </c>
      <c r="E3208">
        <v>5.2018999999999998E-3</v>
      </c>
    </row>
    <row r="3209" spans="1:5">
      <c r="A3209">
        <v>2019</v>
      </c>
      <c r="B3209" s="3" t="s">
        <v>665</v>
      </c>
      <c r="C3209" t="s">
        <v>1732</v>
      </c>
      <c r="D3209" s="9">
        <v>6258008</v>
      </c>
      <c r="E3209">
        <v>5.3074999999999997E-3</v>
      </c>
    </row>
    <row r="3210" spans="1:5">
      <c r="A3210">
        <v>2019</v>
      </c>
      <c r="B3210" s="3" t="s">
        <v>666</v>
      </c>
      <c r="C3210" t="s">
        <v>1733</v>
      </c>
      <c r="D3210" s="9">
        <v>9724775</v>
      </c>
      <c r="E3210">
        <v>8.2477000000000002E-3</v>
      </c>
    </row>
    <row r="3211" spans="1:5">
      <c r="A3211">
        <v>2019</v>
      </c>
      <c r="B3211" s="3" t="s">
        <v>382</v>
      </c>
      <c r="C3211" t="s">
        <v>1734</v>
      </c>
      <c r="D3211" s="9">
        <v>7904238</v>
      </c>
      <c r="E3211">
        <v>6.7036999999999999E-3</v>
      </c>
    </row>
    <row r="3212" spans="1:5">
      <c r="A3212">
        <v>2019</v>
      </c>
      <c r="B3212" s="3" t="s">
        <v>667</v>
      </c>
      <c r="C3212" t="s">
        <v>1735</v>
      </c>
      <c r="D3212" s="9">
        <v>824400</v>
      </c>
      <c r="E3212">
        <v>6.9919999999999997E-4</v>
      </c>
    </row>
    <row r="3213" spans="1:5">
      <c r="A3213">
        <v>2019</v>
      </c>
      <c r="B3213" s="3" t="s">
        <v>383</v>
      </c>
      <c r="C3213" t="s">
        <v>1736</v>
      </c>
      <c r="D3213" s="9">
        <v>290300</v>
      </c>
      <c r="E3213">
        <v>2.4620000000000002E-4</v>
      </c>
    </row>
    <row r="3214" spans="1:5">
      <c r="A3214">
        <v>2019</v>
      </c>
      <c r="B3214" s="3" t="s">
        <v>668</v>
      </c>
      <c r="C3214" t="s">
        <v>613</v>
      </c>
      <c r="D3214" s="9">
        <v>272030</v>
      </c>
      <c r="E3214">
        <v>2.307E-4</v>
      </c>
    </row>
    <row r="3215" spans="1:5">
      <c r="A3215">
        <v>2019</v>
      </c>
      <c r="B3215" s="3" t="s">
        <v>384</v>
      </c>
      <c r="C3215" t="s">
        <v>1737</v>
      </c>
      <c r="D3215" s="9">
        <v>3002190</v>
      </c>
      <c r="E3215">
        <v>2.5462000000000002E-3</v>
      </c>
    </row>
    <row r="3216" spans="1:5">
      <c r="A3216">
        <v>2019</v>
      </c>
      <c r="B3216" s="3" t="s">
        <v>669</v>
      </c>
      <c r="C3216" t="s">
        <v>614</v>
      </c>
      <c r="D3216" s="9">
        <v>74632</v>
      </c>
      <c r="E3216">
        <v>6.3299999999999994E-5</v>
      </c>
    </row>
    <row r="3217" spans="1:5">
      <c r="A3217">
        <v>2019</v>
      </c>
      <c r="B3217" s="3" t="s">
        <v>670</v>
      </c>
      <c r="C3217" t="s">
        <v>615</v>
      </c>
      <c r="D3217" s="9">
        <v>676932</v>
      </c>
      <c r="E3217">
        <v>5.7410000000000002E-4</v>
      </c>
    </row>
    <row r="3218" spans="1:5">
      <c r="A3218">
        <v>2019</v>
      </c>
      <c r="B3218" s="3" t="s">
        <v>671</v>
      </c>
      <c r="C3218" t="s">
        <v>1738</v>
      </c>
      <c r="D3218" s="9"/>
    </row>
    <row r="3219" spans="1:5">
      <c r="A3219">
        <v>2019</v>
      </c>
      <c r="B3219" s="3" t="s">
        <v>672</v>
      </c>
      <c r="C3219" t="s">
        <v>1739</v>
      </c>
      <c r="D3219" s="9">
        <v>341819</v>
      </c>
      <c r="E3219">
        <v>2.899E-4</v>
      </c>
    </row>
    <row r="3220" spans="1:5">
      <c r="A3220">
        <v>2019</v>
      </c>
      <c r="B3220" s="3" t="s">
        <v>673</v>
      </c>
      <c r="C3220" t="s">
        <v>618</v>
      </c>
      <c r="D3220" s="9">
        <v>112892</v>
      </c>
      <c r="E3220">
        <v>9.5699999999999995E-5</v>
      </c>
    </row>
    <row r="3221" spans="1:5">
      <c r="A3221">
        <v>2019</v>
      </c>
      <c r="B3221" s="3" t="s">
        <v>674</v>
      </c>
      <c r="C3221" t="s">
        <v>619</v>
      </c>
      <c r="D3221" s="9">
        <v>50250</v>
      </c>
      <c r="E3221">
        <v>4.2599999999999999E-5</v>
      </c>
    </row>
    <row r="3222" spans="1:5">
      <c r="A3222">
        <v>2019</v>
      </c>
      <c r="B3222" s="3" t="s">
        <v>675</v>
      </c>
      <c r="C3222" t="s">
        <v>620</v>
      </c>
      <c r="D3222" s="9">
        <v>641376</v>
      </c>
      <c r="E3222">
        <v>5.44E-4</v>
      </c>
    </row>
    <row r="3223" spans="1:5">
      <c r="A3223">
        <v>2019</v>
      </c>
      <c r="B3223" s="3" t="s">
        <v>676</v>
      </c>
      <c r="C3223" t="s">
        <v>1740</v>
      </c>
      <c r="D3223" s="9"/>
    </row>
    <row r="3224" spans="1:5">
      <c r="A3224">
        <v>2019</v>
      </c>
      <c r="B3224" s="3" t="s">
        <v>677</v>
      </c>
      <c r="C3224" t="s">
        <v>622</v>
      </c>
      <c r="D3224" s="9"/>
    </row>
    <row r="3225" spans="1:5" ht="18" customHeight="1">
      <c r="A3225">
        <v>2019</v>
      </c>
      <c r="B3225" s="3" t="s">
        <v>1463</v>
      </c>
      <c r="C3225" t="s">
        <v>1741</v>
      </c>
      <c r="D3225" s="9">
        <v>70952</v>
      </c>
      <c r="E3225">
        <v>6.02E-5</v>
      </c>
    </row>
    <row r="3226" spans="1:5">
      <c r="A3226">
        <v>2019</v>
      </c>
      <c r="B3226" s="3" t="s">
        <v>678</v>
      </c>
      <c r="C3226" t="s">
        <v>1458</v>
      </c>
      <c r="D3226" s="9"/>
    </row>
    <row r="3227" spans="1:5">
      <c r="A3227">
        <v>2019</v>
      </c>
      <c r="B3227" s="3" t="s">
        <v>1231</v>
      </c>
      <c r="C3227" t="s">
        <v>1742</v>
      </c>
      <c r="D3227" s="9">
        <v>88892</v>
      </c>
      <c r="E3227">
        <v>7.5400000000000003E-5</v>
      </c>
    </row>
    <row r="3228" spans="1:5">
      <c r="A3228">
        <v>2019</v>
      </c>
      <c r="B3228" s="3" t="s">
        <v>680</v>
      </c>
      <c r="C3228" t="s">
        <v>1743</v>
      </c>
      <c r="D3228" s="9">
        <v>47914</v>
      </c>
      <c r="E3228">
        <v>4.0599999999999998E-5</v>
      </c>
    </row>
    <row r="3229" spans="1:5">
      <c r="A3229">
        <v>2019</v>
      </c>
      <c r="B3229" s="3" t="s">
        <v>681</v>
      </c>
      <c r="C3229" t="s">
        <v>626</v>
      </c>
      <c r="D3229" s="9">
        <v>230306</v>
      </c>
      <c r="E3229">
        <v>1.953E-4</v>
      </c>
    </row>
    <row r="3230" spans="1:5">
      <c r="A3230">
        <v>2019</v>
      </c>
      <c r="B3230" s="3" t="s">
        <v>682</v>
      </c>
      <c r="C3230" t="s">
        <v>1744</v>
      </c>
      <c r="D3230" s="9">
        <v>32954</v>
      </c>
      <c r="E3230">
        <v>2.7900000000000001E-5</v>
      </c>
    </row>
    <row r="3231" spans="1:5">
      <c r="A3231">
        <v>2019</v>
      </c>
      <c r="B3231" s="3" t="s">
        <v>1232</v>
      </c>
      <c r="C3231" t="s">
        <v>1745</v>
      </c>
      <c r="D3231" s="9">
        <v>91576</v>
      </c>
      <c r="E3231">
        <v>7.7700000000000005E-5</v>
      </c>
    </row>
    <row r="3232" spans="1:5">
      <c r="A3232">
        <v>2019</v>
      </c>
      <c r="B3232" s="3" t="s">
        <v>683</v>
      </c>
      <c r="C3232" t="s">
        <v>1746</v>
      </c>
      <c r="D3232" s="9">
        <v>215771</v>
      </c>
      <c r="E3232">
        <v>1.83E-4</v>
      </c>
    </row>
    <row r="3233" spans="1:5">
      <c r="A3233">
        <v>2019</v>
      </c>
      <c r="B3233" s="3" t="s">
        <v>685</v>
      </c>
      <c r="C3233" t="s">
        <v>1461</v>
      </c>
      <c r="D3233" s="9">
        <v>21373</v>
      </c>
      <c r="E3233">
        <v>1.8099999999999999E-5</v>
      </c>
    </row>
    <row r="3234" spans="1:5">
      <c r="A3234">
        <v>2019</v>
      </c>
      <c r="B3234" s="3" t="s">
        <v>686</v>
      </c>
      <c r="C3234" t="s">
        <v>1747</v>
      </c>
      <c r="D3234" s="9">
        <v>315041</v>
      </c>
      <c r="E3234">
        <v>2.6719999999999999E-4</v>
      </c>
    </row>
    <row r="3235" spans="1:5">
      <c r="A3235">
        <v>2019</v>
      </c>
      <c r="B3235" s="3" t="s">
        <v>2089</v>
      </c>
      <c r="C3235" t="s">
        <v>2087</v>
      </c>
      <c r="D3235" s="9">
        <v>8283</v>
      </c>
      <c r="E3235">
        <v>6.9999999999999999E-6</v>
      </c>
    </row>
    <row r="3236" spans="1:5">
      <c r="A3236">
        <v>2019</v>
      </c>
      <c r="B3236" s="3" t="s">
        <v>687</v>
      </c>
      <c r="C3236" t="s">
        <v>632</v>
      </c>
      <c r="D3236" s="9">
        <v>859580</v>
      </c>
      <c r="E3236">
        <v>7.2900000000000005E-4</v>
      </c>
    </row>
    <row r="3237" spans="1:5">
      <c r="A3237">
        <v>2019</v>
      </c>
      <c r="B3237" s="3" t="s">
        <v>688</v>
      </c>
      <c r="C3237" t="s">
        <v>1748</v>
      </c>
      <c r="D3237" s="9">
        <v>27940</v>
      </c>
      <c r="E3237">
        <v>2.37E-5</v>
      </c>
    </row>
    <row r="3238" spans="1:5">
      <c r="A3238">
        <v>2019</v>
      </c>
      <c r="B3238" s="3" t="s">
        <v>689</v>
      </c>
      <c r="C3238" t="s">
        <v>1749</v>
      </c>
      <c r="D3238" s="9">
        <v>6512757</v>
      </c>
      <c r="E3238">
        <v>5.5234999999999998E-3</v>
      </c>
    </row>
    <row r="3239" spans="1:5">
      <c r="A3239">
        <v>2019</v>
      </c>
      <c r="B3239" s="3" t="s">
        <v>690</v>
      </c>
      <c r="C3239" t="s">
        <v>1750</v>
      </c>
      <c r="D3239" s="9">
        <v>10374</v>
      </c>
      <c r="E3239">
        <v>8.8000000000000004E-6</v>
      </c>
    </row>
    <row r="3240" spans="1:5">
      <c r="A3240">
        <v>2019</v>
      </c>
      <c r="B3240" s="3" t="s">
        <v>691</v>
      </c>
      <c r="C3240" t="s">
        <v>1751</v>
      </c>
      <c r="D3240" s="9">
        <v>1424272</v>
      </c>
      <c r="E3240">
        <v>1.2079E-3</v>
      </c>
    </row>
    <row r="3241" spans="1:5">
      <c r="A3241">
        <v>2019</v>
      </c>
      <c r="B3241" s="3" t="s">
        <v>440</v>
      </c>
      <c r="C3241" t="s">
        <v>1752</v>
      </c>
      <c r="D3241" s="9">
        <v>189038</v>
      </c>
      <c r="E3241">
        <v>1.6029999999999999E-4</v>
      </c>
    </row>
    <row r="3242" spans="1:5">
      <c r="A3242">
        <v>2019</v>
      </c>
      <c r="B3242" s="3" t="s">
        <v>1464</v>
      </c>
      <c r="C3242" t="s">
        <v>1753</v>
      </c>
      <c r="D3242" s="9">
        <v>344905</v>
      </c>
      <c r="E3242">
        <v>2.9250000000000001E-4</v>
      </c>
    </row>
    <row r="3243" spans="1:5">
      <c r="A3243">
        <v>2019</v>
      </c>
      <c r="B3243" s="3" t="s">
        <v>684</v>
      </c>
      <c r="C3243" t="s">
        <v>1754</v>
      </c>
      <c r="D3243" s="9">
        <v>397485</v>
      </c>
      <c r="E3243">
        <v>3.3710000000000001E-4</v>
      </c>
    </row>
    <row r="3244" spans="1:5">
      <c r="A3244">
        <v>2019</v>
      </c>
      <c r="B3244" s="3" t="s">
        <v>692</v>
      </c>
      <c r="C3244" t="s">
        <v>637</v>
      </c>
      <c r="D3244" s="9">
        <v>232114</v>
      </c>
      <c r="E3244">
        <v>1.9689999999999999E-4</v>
      </c>
    </row>
    <row r="3245" spans="1:5">
      <c r="A3245">
        <v>2019</v>
      </c>
      <c r="B3245" s="3" t="s">
        <v>1356</v>
      </c>
      <c r="C3245" t="s">
        <v>1755</v>
      </c>
      <c r="D3245" s="9">
        <v>174133</v>
      </c>
      <c r="E3245">
        <v>1.4770000000000001E-4</v>
      </c>
    </row>
    <row r="3246" spans="1:5">
      <c r="A3246">
        <v>2019</v>
      </c>
      <c r="B3246" s="3" t="s">
        <v>693</v>
      </c>
      <c r="C3246" t="s">
        <v>1756</v>
      </c>
      <c r="D3246" s="9">
        <v>124499</v>
      </c>
      <c r="E3246">
        <v>1.0560000000000001E-4</v>
      </c>
    </row>
    <row r="3247" spans="1:5">
      <c r="A3247">
        <v>2019</v>
      </c>
      <c r="B3247" s="3" t="s">
        <v>694</v>
      </c>
      <c r="C3247" t="s">
        <v>1757</v>
      </c>
      <c r="D3247" s="9">
        <v>3022152</v>
      </c>
      <c r="E3247">
        <v>2.5631E-3</v>
      </c>
    </row>
    <row r="3248" spans="1:5">
      <c r="A3248">
        <v>2019</v>
      </c>
      <c r="B3248" s="3" t="s">
        <v>695</v>
      </c>
      <c r="C3248" t="s">
        <v>1758</v>
      </c>
      <c r="D3248" s="9">
        <v>109635</v>
      </c>
      <c r="E3248">
        <v>9.2999999999999997E-5</v>
      </c>
    </row>
    <row r="3249" spans="1:5">
      <c r="A3249">
        <v>2019</v>
      </c>
      <c r="B3249" s="3" t="s">
        <v>1781</v>
      </c>
      <c r="C3249" t="s">
        <v>1759</v>
      </c>
      <c r="D3249" s="9">
        <v>204286</v>
      </c>
      <c r="E3249">
        <v>1.7330000000000001E-4</v>
      </c>
    </row>
    <row r="3250" spans="1:5">
      <c r="A3250">
        <v>2019</v>
      </c>
      <c r="B3250" s="3" t="s">
        <v>916</v>
      </c>
      <c r="C3250" t="s">
        <v>1760</v>
      </c>
      <c r="D3250" s="9">
        <v>61359</v>
      </c>
      <c r="E3250">
        <v>5.1999999999999997E-5</v>
      </c>
    </row>
    <row r="3251" spans="1:5">
      <c r="A3251">
        <v>2019</v>
      </c>
      <c r="B3251" s="3" t="s">
        <v>696</v>
      </c>
      <c r="C3251" t="s">
        <v>641</v>
      </c>
      <c r="D3251" s="9">
        <v>24820</v>
      </c>
      <c r="E3251">
        <v>2.1100000000000001E-5</v>
      </c>
    </row>
    <row r="3252" spans="1:5">
      <c r="A3252">
        <v>2019</v>
      </c>
      <c r="B3252" s="3" t="s">
        <v>697</v>
      </c>
      <c r="C3252" t="s">
        <v>2373</v>
      </c>
      <c r="D3252" s="9">
        <v>156826</v>
      </c>
      <c r="E3252">
        <v>1.3300000000000001E-4</v>
      </c>
    </row>
    <row r="3253" spans="1:5">
      <c r="A3253">
        <v>2019</v>
      </c>
      <c r="B3253" s="3" t="s">
        <v>698</v>
      </c>
      <c r="C3253" t="s">
        <v>1762</v>
      </c>
      <c r="D3253" s="9">
        <v>3901159</v>
      </c>
      <c r="E3253">
        <v>3.3086000000000001E-3</v>
      </c>
    </row>
    <row r="3254" spans="1:5">
      <c r="A3254">
        <v>2019</v>
      </c>
      <c r="B3254" s="3" t="s">
        <v>699</v>
      </c>
      <c r="C3254" t="s">
        <v>1763</v>
      </c>
      <c r="D3254" s="9">
        <v>2287603</v>
      </c>
      <c r="E3254">
        <v>1.9400999999999999E-3</v>
      </c>
    </row>
    <row r="3255" spans="1:5">
      <c r="A3255">
        <v>2019</v>
      </c>
      <c r="B3255" s="3" t="s">
        <v>700</v>
      </c>
      <c r="C3255" t="s">
        <v>2374</v>
      </c>
      <c r="D3255" s="9">
        <v>13361</v>
      </c>
      <c r="E3255">
        <v>1.13E-5</v>
      </c>
    </row>
    <row r="3256" spans="1:5">
      <c r="A3256">
        <v>2019</v>
      </c>
      <c r="B3256" s="3" t="s">
        <v>701</v>
      </c>
      <c r="C3256" t="s">
        <v>1765</v>
      </c>
      <c r="D3256" s="9">
        <v>306720</v>
      </c>
      <c r="E3256">
        <v>2.6009999999999998E-4</v>
      </c>
    </row>
    <row r="3257" spans="1:5">
      <c r="A3257">
        <v>2019</v>
      </c>
      <c r="B3257" s="3" t="s">
        <v>702</v>
      </c>
      <c r="C3257" t="s">
        <v>1766</v>
      </c>
      <c r="D3257" s="9">
        <v>355212</v>
      </c>
      <c r="E3257">
        <v>3.0130000000000001E-4</v>
      </c>
    </row>
    <row r="3258" spans="1:5">
      <c r="A3258">
        <v>2019</v>
      </c>
      <c r="B3258" s="3" t="s">
        <v>703</v>
      </c>
      <c r="C3258" t="s">
        <v>1767</v>
      </c>
      <c r="D3258" s="9">
        <v>1853469</v>
      </c>
      <c r="E3258">
        <v>1.5719E-3</v>
      </c>
    </row>
    <row r="3259" spans="1:5">
      <c r="A3259">
        <v>2019</v>
      </c>
      <c r="B3259" s="3" t="s">
        <v>1233</v>
      </c>
      <c r="C3259" t="s">
        <v>1768</v>
      </c>
      <c r="D3259" s="9">
        <v>90467</v>
      </c>
      <c r="E3259">
        <v>7.6699999999999994E-5</v>
      </c>
    </row>
    <row r="3260" spans="1:5">
      <c r="A3260">
        <v>2019</v>
      </c>
      <c r="B3260" s="3" t="s">
        <v>704</v>
      </c>
      <c r="C3260" t="s">
        <v>1769</v>
      </c>
      <c r="D3260" s="9">
        <v>113313</v>
      </c>
      <c r="E3260">
        <v>9.6100000000000005E-5</v>
      </c>
    </row>
    <row r="3261" spans="1:5">
      <c r="A3261">
        <v>2019</v>
      </c>
      <c r="B3261" s="3" t="s">
        <v>705</v>
      </c>
      <c r="C3261" t="s">
        <v>1770</v>
      </c>
      <c r="D3261" s="9">
        <v>571844</v>
      </c>
      <c r="E3261">
        <v>4.8500000000000003E-4</v>
      </c>
    </row>
    <row r="3262" spans="1:5">
      <c r="A3262">
        <v>2019</v>
      </c>
      <c r="B3262" s="3" t="s">
        <v>706</v>
      </c>
      <c r="C3262" t="s">
        <v>1771</v>
      </c>
      <c r="D3262" s="9">
        <v>3375826</v>
      </c>
      <c r="E3262">
        <v>2.8630999999999999E-3</v>
      </c>
    </row>
    <row r="3263" spans="1:5">
      <c r="A3263">
        <v>2019</v>
      </c>
      <c r="B3263" s="3" t="s">
        <v>441</v>
      </c>
      <c r="C3263" t="s">
        <v>1772</v>
      </c>
      <c r="D3263" s="9">
        <v>1321221</v>
      </c>
      <c r="E3263">
        <v>1.1205E-3</v>
      </c>
    </row>
    <row r="3264" spans="1:5">
      <c r="A3264">
        <v>2019</v>
      </c>
      <c r="B3264" s="3" t="s">
        <v>707</v>
      </c>
      <c r="C3264" t="s">
        <v>1773</v>
      </c>
      <c r="D3264" s="9">
        <v>60465</v>
      </c>
      <c r="E3264">
        <v>5.13E-5</v>
      </c>
    </row>
    <row r="3265" spans="1:5">
      <c r="A3265">
        <v>2019</v>
      </c>
      <c r="B3265" s="3" t="s">
        <v>708</v>
      </c>
      <c r="C3265" t="s">
        <v>1774</v>
      </c>
      <c r="D3265" s="9">
        <v>9889186</v>
      </c>
      <c r="E3265">
        <v>8.3870999999999998E-3</v>
      </c>
    </row>
    <row r="3266" spans="1:5">
      <c r="A3266">
        <v>2019</v>
      </c>
      <c r="B3266" s="3" t="s">
        <v>709</v>
      </c>
      <c r="C3266" t="s">
        <v>654</v>
      </c>
      <c r="D3266" s="9">
        <v>798442</v>
      </c>
      <c r="E3266">
        <v>6.7719999999999998E-4</v>
      </c>
    </row>
    <row r="3267" spans="1:5">
      <c r="A3267">
        <v>2019</v>
      </c>
      <c r="B3267" s="3" t="s">
        <v>710</v>
      </c>
      <c r="C3267" t="s">
        <v>1775</v>
      </c>
      <c r="D3267" s="9">
        <v>2530853</v>
      </c>
      <c r="E3267">
        <v>2.1464000000000001E-3</v>
      </c>
    </row>
    <row r="3268" spans="1:5">
      <c r="A3268">
        <v>2019</v>
      </c>
      <c r="B3268" s="3" t="s">
        <v>442</v>
      </c>
      <c r="C3268" t="s">
        <v>1776</v>
      </c>
      <c r="D3268" s="9">
        <v>1887995</v>
      </c>
      <c r="E3268">
        <v>1.6012000000000001E-3</v>
      </c>
    </row>
    <row r="3269" spans="1:5">
      <c r="A3269">
        <v>2019</v>
      </c>
      <c r="B3269" s="3" t="s">
        <v>711</v>
      </c>
      <c r="C3269" t="s">
        <v>1777</v>
      </c>
      <c r="D3269" s="9"/>
    </row>
    <row r="3270" spans="1:5">
      <c r="A3270">
        <v>2019</v>
      </c>
      <c r="B3270" s="3" t="s">
        <v>712</v>
      </c>
      <c r="C3270" t="s">
        <v>1778</v>
      </c>
      <c r="D3270" s="9">
        <v>3836585</v>
      </c>
      <c r="E3270">
        <v>3.2537999999999998E-3</v>
      </c>
    </row>
    <row r="3271" spans="1:5">
      <c r="A3271">
        <v>2019</v>
      </c>
      <c r="B3271" s="3" t="s">
        <v>713</v>
      </c>
      <c r="C3271" t="s">
        <v>1779</v>
      </c>
      <c r="D3271" s="9">
        <v>153657</v>
      </c>
      <c r="E3271">
        <v>1.303E-4</v>
      </c>
    </row>
    <row r="3272" spans="1:5">
      <c r="A3272">
        <v>2019</v>
      </c>
      <c r="B3272" s="3" t="s">
        <v>714</v>
      </c>
      <c r="C3272" t="s">
        <v>1780</v>
      </c>
      <c r="D3272" s="9">
        <v>1666216</v>
      </c>
      <c r="E3272">
        <v>1.4131E-3</v>
      </c>
    </row>
    <row r="3273" spans="1:5">
      <c r="A3273">
        <v>2019</v>
      </c>
      <c r="B3273" s="3" t="s">
        <v>770</v>
      </c>
      <c r="C3273" t="s">
        <v>715</v>
      </c>
      <c r="D3273" s="9">
        <v>49848</v>
      </c>
      <c r="E3273">
        <v>4.2299999999999998E-5</v>
      </c>
    </row>
    <row r="3274" spans="1:5">
      <c r="A3274">
        <v>2019</v>
      </c>
      <c r="B3274" s="3" t="s">
        <v>771</v>
      </c>
      <c r="C3274" t="s">
        <v>1782</v>
      </c>
      <c r="D3274" s="9"/>
    </row>
    <row r="3275" spans="1:5">
      <c r="A3275">
        <v>2019</v>
      </c>
      <c r="B3275" s="3" t="s">
        <v>772</v>
      </c>
      <c r="C3275" t="s">
        <v>1783</v>
      </c>
      <c r="D3275" s="9"/>
    </row>
    <row r="3276" spans="1:5">
      <c r="A3276">
        <v>2019</v>
      </c>
      <c r="B3276" s="3" t="s">
        <v>773</v>
      </c>
      <c r="C3276" t="s">
        <v>1784</v>
      </c>
      <c r="D3276" s="9">
        <v>6015099</v>
      </c>
      <c r="E3276">
        <v>5.1015000000000001E-3</v>
      </c>
    </row>
    <row r="3277" spans="1:5">
      <c r="A3277">
        <v>2019</v>
      </c>
      <c r="B3277" s="3" t="s">
        <v>443</v>
      </c>
      <c r="C3277" t="s">
        <v>1785</v>
      </c>
      <c r="D3277" s="9">
        <v>249339</v>
      </c>
      <c r="E3277">
        <v>2.1149999999999999E-4</v>
      </c>
    </row>
    <row r="3278" spans="1:5">
      <c r="A3278">
        <v>2019</v>
      </c>
      <c r="B3278" s="3" t="s">
        <v>774</v>
      </c>
      <c r="C3278" t="s">
        <v>1786</v>
      </c>
      <c r="D3278" s="9">
        <v>233565</v>
      </c>
      <c r="E3278">
        <v>1.9809999999999999E-4</v>
      </c>
    </row>
    <row r="3279" spans="1:5">
      <c r="A3279">
        <v>2019</v>
      </c>
      <c r="B3279" s="3" t="s">
        <v>775</v>
      </c>
      <c r="C3279" t="s">
        <v>1787</v>
      </c>
      <c r="D3279" s="9">
        <v>3031421</v>
      </c>
      <c r="E3279">
        <v>2.5709999999999999E-3</v>
      </c>
    </row>
    <row r="3280" spans="1:5">
      <c r="A3280">
        <v>2019</v>
      </c>
      <c r="B3280" s="3" t="s">
        <v>776</v>
      </c>
      <c r="C3280" t="s">
        <v>721</v>
      </c>
      <c r="D3280" s="9"/>
    </row>
    <row r="3281" spans="1:5">
      <c r="A3281">
        <v>2019</v>
      </c>
      <c r="B3281" s="3" t="s">
        <v>778</v>
      </c>
      <c r="C3281" t="s">
        <v>1788</v>
      </c>
      <c r="D3281" s="9">
        <v>3424231</v>
      </c>
      <c r="E3281">
        <v>2.9041000000000002E-3</v>
      </c>
    </row>
    <row r="3282" spans="1:5">
      <c r="A3282">
        <v>2019</v>
      </c>
      <c r="B3282" s="3" t="s">
        <v>779</v>
      </c>
      <c r="C3282" t="s">
        <v>1789</v>
      </c>
      <c r="D3282" s="9">
        <v>145948</v>
      </c>
      <c r="E3282">
        <v>1.238E-4</v>
      </c>
    </row>
    <row r="3283" spans="1:5">
      <c r="A3283">
        <v>2019</v>
      </c>
      <c r="B3283" s="3" t="s">
        <v>780</v>
      </c>
      <c r="C3283" t="s">
        <v>1790</v>
      </c>
      <c r="D3283" s="9">
        <v>442128</v>
      </c>
      <c r="E3283">
        <v>3.7500000000000001E-4</v>
      </c>
    </row>
    <row r="3284" spans="1:5">
      <c r="A3284">
        <v>2019</v>
      </c>
      <c r="B3284" s="3" t="s">
        <v>781</v>
      </c>
      <c r="C3284" t="s">
        <v>1791</v>
      </c>
      <c r="D3284" s="9">
        <v>19486</v>
      </c>
      <c r="E3284">
        <v>1.6500000000000001E-5</v>
      </c>
    </row>
    <row r="3285" spans="1:5">
      <c r="A3285">
        <v>2019</v>
      </c>
      <c r="B3285" s="3" t="s">
        <v>782</v>
      </c>
      <c r="C3285" t="s">
        <v>1792</v>
      </c>
      <c r="D3285" s="9">
        <v>7199554</v>
      </c>
      <c r="E3285">
        <v>6.1060000000000003E-3</v>
      </c>
    </row>
    <row r="3286" spans="1:5">
      <c r="A3286">
        <v>2019</v>
      </c>
      <c r="B3286" s="3" t="s">
        <v>1234</v>
      </c>
      <c r="C3286" t="s">
        <v>1793</v>
      </c>
      <c r="D3286" s="9">
        <v>1651224</v>
      </c>
      <c r="E3286">
        <v>1.4004E-3</v>
      </c>
    </row>
    <row r="3287" spans="1:5">
      <c r="A3287">
        <v>2019</v>
      </c>
      <c r="B3287" s="3" t="s">
        <v>783</v>
      </c>
      <c r="C3287" t="s">
        <v>1794</v>
      </c>
      <c r="D3287" s="9">
        <v>1042647</v>
      </c>
      <c r="E3287">
        <v>8.8429999999999997E-4</v>
      </c>
    </row>
    <row r="3288" spans="1:5">
      <c r="A3288">
        <v>2019</v>
      </c>
      <c r="B3288" s="3" t="s">
        <v>787</v>
      </c>
      <c r="C3288" t="s">
        <v>732</v>
      </c>
      <c r="D3288" s="9">
        <v>59505050</v>
      </c>
      <c r="E3288">
        <v>5.0466200000000003E-2</v>
      </c>
    </row>
    <row r="3289" spans="1:5">
      <c r="A3289">
        <v>2019</v>
      </c>
      <c r="B3289" s="3" t="s">
        <v>784</v>
      </c>
      <c r="C3289" t="s">
        <v>1795</v>
      </c>
      <c r="D3289" s="9">
        <v>39375707</v>
      </c>
      <c r="E3289">
        <v>3.3394899999999998E-2</v>
      </c>
    </row>
    <row r="3290" spans="1:5">
      <c r="A3290">
        <v>2019</v>
      </c>
      <c r="B3290" s="3" t="s">
        <v>785</v>
      </c>
      <c r="C3290" t="s">
        <v>2375</v>
      </c>
      <c r="D3290" s="9">
        <v>421706</v>
      </c>
      <c r="E3290">
        <v>3.5770000000000002E-4</v>
      </c>
    </row>
    <row r="3291" spans="1:5">
      <c r="A3291">
        <v>2019</v>
      </c>
      <c r="B3291" s="3" t="s">
        <v>788</v>
      </c>
      <c r="C3291" t="s">
        <v>1797</v>
      </c>
      <c r="D3291" s="9">
        <v>305809</v>
      </c>
      <c r="E3291">
        <v>2.5940000000000002E-4</v>
      </c>
    </row>
    <row r="3292" spans="1:5">
      <c r="A3292">
        <v>2019</v>
      </c>
      <c r="B3292" s="3" t="s">
        <v>786</v>
      </c>
      <c r="C3292" t="s">
        <v>1798</v>
      </c>
      <c r="D3292" s="9">
        <v>25211355</v>
      </c>
      <c r="E3292">
        <v>2.1382000000000002E-2</v>
      </c>
    </row>
    <row r="3293" spans="1:5">
      <c r="A3293">
        <v>2019</v>
      </c>
      <c r="B3293" s="3" t="s">
        <v>789</v>
      </c>
      <c r="C3293" t="s">
        <v>1799</v>
      </c>
      <c r="D3293" s="9">
        <v>3688661</v>
      </c>
      <c r="E3293">
        <v>3.1283999999999999E-3</v>
      </c>
    </row>
    <row r="3294" spans="1:5">
      <c r="A3294">
        <v>2019</v>
      </c>
      <c r="B3294" s="3" t="s">
        <v>444</v>
      </c>
      <c r="C3294" t="s">
        <v>1800</v>
      </c>
      <c r="D3294" s="9">
        <v>1010100</v>
      </c>
      <c r="E3294">
        <v>8.5669999999999995E-4</v>
      </c>
    </row>
    <row r="3295" spans="1:5">
      <c r="A3295">
        <v>2019</v>
      </c>
      <c r="B3295" s="3" t="s">
        <v>790</v>
      </c>
      <c r="C3295" t="s">
        <v>1801</v>
      </c>
      <c r="D3295" s="9"/>
    </row>
    <row r="3296" spans="1:5">
      <c r="A3296">
        <v>2019</v>
      </c>
      <c r="B3296" s="3" t="s">
        <v>777</v>
      </c>
      <c r="C3296" t="s">
        <v>1802</v>
      </c>
      <c r="D3296" s="9">
        <v>119292</v>
      </c>
      <c r="E3296">
        <v>1.0119999999999999E-4</v>
      </c>
    </row>
    <row r="3297" spans="1:5">
      <c r="A3297">
        <v>2019</v>
      </c>
      <c r="B3297" s="3" t="s">
        <v>791</v>
      </c>
      <c r="C3297" t="s">
        <v>736</v>
      </c>
      <c r="D3297" s="9">
        <v>272443</v>
      </c>
      <c r="E3297">
        <v>2.3110000000000001E-4</v>
      </c>
    </row>
    <row r="3298" spans="1:5">
      <c r="A3298">
        <v>2019</v>
      </c>
      <c r="B3298" s="3" t="s">
        <v>792</v>
      </c>
      <c r="C3298" t="s">
        <v>1803</v>
      </c>
      <c r="D3298" s="9">
        <v>373077</v>
      </c>
      <c r="E3298">
        <v>3.1639999999999999E-4</v>
      </c>
    </row>
    <row r="3299" spans="1:5">
      <c r="A3299">
        <v>2019</v>
      </c>
      <c r="B3299" s="3" t="s">
        <v>793</v>
      </c>
      <c r="C3299" t="s">
        <v>1804</v>
      </c>
      <c r="D3299" s="9">
        <v>130329</v>
      </c>
      <c r="E3299">
        <v>1.105E-4</v>
      </c>
    </row>
    <row r="3300" spans="1:5">
      <c r="A3300">
        <v>2019</v>
      </c>
      <c r="B3300" s="3" t="s">
        <v>794</v>
      </c>
      <c r="C3300" t="s">
        <v>1805</v>
      </c>
      <c r="D3300" s="9">
        <v>42317</v>
      </c>
      <c r="E3300">
        <v>3.5899999999999998E-5</v>
      </c>
    </row>
    <row r="3301" spans="1:5">
      <c r="A3301">
        <v>2019</v>
      </c>
      <c r="B3301" s="3" t="s">
        <v>795</v>
      </c>
      <c r="C3301" t="s">
        <v>1806</v>
      </c>
      <c r="D3301" s="9">
        <v>37965531</v>
      </c>
      <c r="E3301">
        <v>3.2198900000000003E-2</v>
      </c>
    </row>
    <row r="3302" spans="1:5">
      <c r="A3302">
        <v>2019</v>
      </c>
      <c r="B3302" s="3" t="s">
        <v>445</v>
      </c>
      <c r="C3302" t="s">
        <v>1807</v>
      </c>
      <c r="D3302" s="9">
        <v>19111307</v>
      </c>
      <c r="E3302">
        <v>1.6208500000000001E-2</v>
      </c>
    </row>
    <row r="3303" spans="1:5">
      <c r="A3303">
        <v>2019</v>
      </c>
      <c r="B3303" s="3" t="s">
        <v>796</v>
      </c>
      <c r="C3303" t="s">
        <v>741</v>
      </c>
      <c r="D3303" s="9">
        <v>121545</v>
      </c>
      <c r="E3303">
        <v>1.031E-4</v>
      </c>
    </row>
    <row r="3304" spans="1:5">
      <c r="A3304">
        <v>2019</v>
      </c>
      <c r="B3304" s="3" t="s">
        <v>797</v>
      </c>
      <c r="C3304" t="s">
        <v>2376</v>
      </c>
      <c r="D3304" s="9">
        <v>378286</v>
      </c>
      <c r="E3304">
        <v>3.2079999999999999E-4</v>
      </c>
    </row>
    <row r="3305" spans="1:5">
      <c r="A3305">
        <v>2019</v>
      </c>
      <c r="B3305" s="3" t="s">
        <v>798</v>
      </c>
      <c r="C3305" t="s">
        <v>743</v>
      </c>
      <c r="D3305" s="9">
        <v>121164</v>
      </c>
      <c r="E3305">
        <v>1.0280000000000001E-4</v>
      </c>
    </row>
    <row r="3306" spans="1:5">
      <c r="A3306">
        <v>2019</v>
      </c>
      <c r="B3306" s="3" t="s">
        <v>799</v>
      </c>
      <c r="C3306" t="s">
        <v>1809</v>
      </c>
      <c r="D3306" s="9">
        <v>514884</v>
      </c>
      <c r="E3306">
        <v>4.3669999999999999E-4</v>
      </c>
    </row>
    <row r="3307" spans="1:5">
      <c r="A3307">
        <v>2019</v>
      </c>
      <c r="B3307" s="3" t="s">
        <v>1235</v>
      </c>
      <c r="C3307" t="s">
        <v>1810</v>
      </c>
      <c r="D3307" s="9">
        <v>119110</v>
      </c>
      <c r="E3307">
        <v>1.01E-4</v>
      </c>
    </row>
    <row r="3308" spans="1:5">
      <c r="A3308">
        <v>2019</v>
      </c>
      <c r="B3308" s="3" t="s">
        <v>800</v>
      </c>
      <c r="C3308" t="s">
        <v>745</v>
      </c>
      <c r="D3308" s="9">
        <v>75725</v>
      </c>
      <c r="E3308">
        <v>6.4200000000000002E-5</v>
      </c>
    </row>
    <row r="3309" spans="1:5">
      <c r="A3309">
        <v>2019</v>
      </c>
      <c r="B3309" s="3" t="s">
        <v>801</v>
      </c>
      <c r="C3309" t="s">
        <v>1811</v>
      </c>
      <c r="D3309" s="9">
        <v>669105</v>
      </c>
      <c r="E3309">
        <v>5.6749999999999997E-4</v>
      </c>
    </row>
    <row r="3310" spans="1:5">
      <c r="A3310">
        <v>2019</v>
      </c>
      <c r="B3310" s="3" t="s">
        <v>802</v>
      </c>
      <c r="C3310" t="s">
        <v>1812</v>
      </c>
      <c r="D3310" s="9">
        <v>38437</v>
      </c>
      <c r="E3310">
        <v>3.26E-5</v>
      </c>
    </row>
    <row r="3311" spans="1:5">
      <c r="A3311">
        <v>2019</v>
      </c>
      <c r="B3311" s="3" t="s">
        <v>803</v>
      </c>
      <c r="C3311" t="s">
        <v>748</v>
      </c>
      <c r="D3311" s="9">
        <v>221906</v>
      </c>
      <c r="E3311">
        <v>1.8819999999999999E-4</v>
      </c>
    </row>
    <row r="3312" spans="1:5">
      <c r="A3312">
        <v>2019</v>
      </c>
      <c r="B3312" s="3" t="s">
        <v>804</v>
      </c>
      <c r="C3312" t="s">
        <v>749</v>
      </c>
      <c r="D3312" s="9">
        <v>284735</v>
      </c>
      <c r="E3312">
        <v>2.4149999999999999E-4</v>
      </c>
    </row>
    <row r="3313" spans="1:5">
      <c r="A3313">
        <v>2019</v>
      </c>
      <c r="B3313" s="3" t="s">
        <v>805</v>
      </c>
      <c r="C3313" t="s">
        <v>750</v>
      </c>
      <c r="D3313" s="9">
        <v>1513721</v>
      </c>
      <c r="E3313">
        <v>1.2838000000000001E-3</v>
      </c>
    </row>
    <row r="3314" spans="1:5">
      <c r="A3314">
        <v>2019</v>
      </c>
      <c r="B3314" s="3" t="s">
        <v>806</v>
      </c>
      <c r="C3314" t="s">
        <v>751</v>
      </c>
      <c r="D3314" s="9">
        <v>4097037</v>
      </c>
      <c r="E3314">
        <v>3.4746999999999998E-3</v>
      </c>
    </row>
    <row r="3315" spans="1:5">
      <c r="A3315">
        <v>2019</v>
      </c>
      <c r="B3315" s="3" t="s">
        <v>807</v>
      </c>
      <c r="C3315" t="s">
        <v>752</v>
      </c>
      <c r="D3315" s="9">
        <v>88569</v>
      </c>
      <c r="E3315">
        <v>7.5099999999999996E-5</v>
      </c>
    </row>
    <row r="3316" spans="1:5">
      <c r="A3316">
        <v>2019</v>
      </c>
      <c r="B3316" s="3" t="s">
        <v>808</v>
      </c>
      <c r="C3316" t="s">
        <v>1813</v>
      </c>
      <c r="D3316" s="9">
        <v>179528</v>
      </c>
      <c r="E3316">
        <v>1.5229999999999999E-4</v>
      </c>
    </row>
    <row r="3317" spans="1:5">
      <c r="A3317">
        <v>2019</v>
      </c>
      <c r="B3317" s="3" t="s">
        <v>809</v>
      </c>
      <c r="C3317" t="s">
        <v>1814</v>
      </c>
      <c r="D3317" s="9">
        <v>652319</v>
      </c>
      <c r="E3317">
        <v>5.532E-4</v>
      </c>
    </row>
    <row r="3318" spans="1:5">
      <c r="A3318">
        <v>2019</v>
      </c>
      <c r="B3318" s="3" t="s">
        <v>1470</v>
      </c>
      <c r="C3318" t="s">
        <v>1815</v>
      </c>
      <c r="D3318" s="9">
        <v>15695</v>
      </c>
      <c r="E3318">
        <v>1.33E-5</v>
      </c>
    </row>
    <row r="3319" spans="1:5">
      <c r="A3319">
        <v>2019</v>
      </c>
      <c r="B3319" s="3" t="s">
        <v>810</v>
      </c>
      <c r="C3319" t="s">
        <v>1816</v>
      </c>
      <c r="D3319" s="9">
        <v>99220</v>
      </c>
      <c r="E3319">
        <v>8.4099999999999998E-5</v>
      </c>
    </row>
    <row r="3320" spans="1:5">
      <c r="A3320">
        <v>2019</v>
      </c>
      <c r="B3320" s="3" t="s">
        <v>811</v>
      </c>
      <c r="C3320" t="s">
        <v>1817</v>
      </c>
      <c r="D3320" s="9" t="s">
        <v>2462</v>
      </c>
    </row>
    <row r="3321" spans="1:5">
      <c r="A3321">
        <v>2019</v>
      </c>
      <c r="B3321" s="3" t="s">
        <v>812</v>
      </c>
      <c r="C3321" t="s">
        <v>1818</v>
      </c>
      <c r="D3321" s="9">
        <v>923187</v>
      </c>
      <c r="E3321">
        <v>7.8299999999999995E-4</v>
      </c>
    </row>
    <row r="3322" spans="1:5">
      <c r="A3322">
        <v>2019</v>
      </c>
      <c r="B3322" s="3" t="s">
        <v>813</v>
      </c>
      <c r="C3322" t="s">
        <v>1819</v>
      </c>
      <c r="D3322" s="9">
        <v>88427</v>
      </c>
      <c r="E3322">
        <v>7.4999999999999993E-5</v>
      </c>
    </row>
    <row r="3323" spans="1:5">
      <c r="A3323">
        <v>2019</v>
      </c>
      <c r="B3323" s="3" t="s">
        <v>814</v>
      </c>
      <c r="C3323" t="s">
        <v>1820</v>
      </c>
      <c r="D3323" s="9">
        <v>66950</v>
      </c>
      <c r="E3323">
        <v>5.6799999999999998E-5</v>
      </c>
    </row>
    <row r="3324" spans="1:5">
      <c r="A3324">
        <v>2019</v>
      </c>
      <c r="B3324" s="3" t="s">
        <v>815</v>
      </c>
      <c r="C3324" t="s">
        <v>760</v>
      </c>
      <c r="D3324" s="9">
        <v>23671</v>
      </c>
      <c r="E3324">
        <v>2.0100000000000001E-5</v>
      </c>
    </row>
    <row r="3325" spans="1:5">
      <c r="A3325">
        <v>2019</v>
      </c>
      <c r="B3325" s="3" t="s">
        <v>816</v>
      </c>
      <c r="C3325" t="s">
        <v>761</v>
      </c>
      <c r="D3325" s="9">
        <v>45224</v>
      </c>
      <c r="E3325">
        <v>3.8399999999999998E-5</v>
      </c>
    </row>
    <row r="3326" spans="1:5">
      <c r="A3326">
        <v>2019</v>
      </c>
      <c r="B3326" s="3" t="s">
        <v>817</v>
      </c>
      <c r="C3326" t="s">
        <v>762</v>
      </c>
      <c r="D3326" s="9">
        <v>88030</v>
      </c>
      <c r="E3326">
        <v>7.47E-5</v>
      </c>
    </row>
    <row r="3327" spans="1:5">
      <c r="A3327">
        <v>2019</v>
      </c>
      <c r="B3327" s="3" t="s">
        <v>818</v>
      </c>
      <c r="C3327" t="s">
        <v>1821</v>
      </c>
      <c r="D3327" s="9">
        <v>23912</v>
      </c>
      <c r="E3327">
        <v>2.0299999999999999E-5</v>
      </c>
    </row>
    <row r="3328" spans="1:5">
      <c r="A3328">
        <v>2019</v>
      </c>
      <c r="B3328" s="3" t="s">
        <v>820</v>
      </c>
      <c r="C3328" t="s">
        <v>1822</v>
      </c>
      <c r="D3328" s="9">
        <v>885383</v>
      </c>
      <c r="E3328">
        <v>7.5089999999999998E-4</v>
      </c>
    </row>
    <row r="3329" spans="1:5">
      <c r="A3329">
        <v>2019</v>
      </c>
      <c r="B3329" s="3" t="s">
        <v>822</v>
      </c>
      <c r="C3329" t="s">
        <v>1823</v>
      </c>
      <c r="D3329" s="9">
        <v>119094</v>
      </c>
      <c r="E3329">
        <v>1.01E-4</v>
      </c>
    </row>
    <row r="3330" spans="1:5">
      <c r="A3330">
        <v>2019</v>
      </c>
      <c r="B3330" s="3" t="s">
        <v>880</v>
      </c>
      <c r="C3330" t="s">
        <v>1824</v>
      </c>
      <c r="D3330" s="9">
        <v>557479</v>
      </c>
      <c r="E3330">
        <v>4.728E-4</v>
      </c>
    </row>
    <row r="3331" spans="1:5">
      <c r="A3331">
        <v>2019</v>
      </c>
      <c r="B3331" s="3" t="s">
        <v>884</v>
      </c>
      <c r="C3331" t="s">
        <v>829</v>
      </c>
      <c r="D3331" s="9">
        <v>1914452</v>
      </c>
      <c r="E3331">
        <v>1.6237000000000001E-3</v>
      </c>
    </row>
    <row r="3332" spans="1:5">
      <c r="A3332">
        <v>2019</v>
      </c>
      <c r="B3332" s="3" t="s">
        <v>881</v>
      </c>
      <c r="C3332" t="s">
        <v>1825</v>
      </c>
      <c r="D3332" s="9">
        <v>25608</v>
      </c>
      <c r="E3332">
        <v>2.1699999999999999E-5</v>
      </c>
    </row>
    <row r="3333" spans="1:5">
      <c r="A3333">
        <v>2019</v>
      </c>
      <c r="B3333" s="3" t="s">
        <v>883</v>
      </c>
      <c r="C3333" t="s">
        <v>2377</v>
      </c>
      <c r="D3333" s="9"/>
    </row>
    <row r="3334" spans="1:5">
      <c r="A3334">
        <v>2019</v>
      </c>
      <c r="B3334" s="3" t="s">
        <v>882</v>
      </c>
      <c r="C3334" t="s">
        <v>1827</v>
      </c>
      <c r="D3334" s="9"/>
    </row>
    <row r="3335" spans="1:5">
      <c r="A3335">
        <v>2019</v>
      </c>
      <c r="B3335" s="3" t="s">
        <v>885</v>
      </c>
      <c r="C3335" t="s">
        <v>2378</v>
      </c>
      <c r="D3335" s="9">
        <v>120847</v>
      </c>
      <c r="E3335">
        <v>1.025E-4</v>
      </c>
    </row>
    <row r="3336" spans="1:5">
      <c r="A3336">
        <v>2019</v>
      </c>
      <c r="B3336" s="3" t="s">
        <v>886</v>
      </c>
      <c r="C3336" t="s">
        <v>1829</v>
      </c>
      <c r="D3336" s="9">
        <v>44786</v>
      </c>
      <c r="E3336">
        <v>3.8000000000000002E-5</v>
      </c>
    </row>
    <row r="3337" spans="1:5">
      <c r="A3337">
        <v>2019</v>
      </c>
      <c r="B3337" s="3" t="s">
        <v>887</v>
      </c>
      <c r="C3337" t="s">
        <v>1830</v>
      </c>
      <c r="D3337" s="9">
        <v>70430</v>
      </c>
      <c r="E3337">
        <v>5.9700000000000001E-5</v>
      </c>
    </row>
    <row r="3338" spans="1:5">
      <c r="A3338">
        <v>2019</v>
      </c>
      <c r="B3338" s="3" t="s">
        <v>888</v>
      </c>
      <c r="C3338" t="s">
        <v>1831</v>
      </c>
      <c r="D3338" s="9">
        <v>26577</v>
      </c>
      <c r="E3338">
        <v>2.2500000000000001E-5</v>
      </c>
    </row>
    <row r="3339" spans="1:5">
      <c r="A3339">
        <v>2019</v>
      </c>
      <c r="B3339" s="3" t="s">
        <v>889</v>
      </c>
      <c r="C3339" t="s">
        <v>834</v>
      </c>
      <c r="D3339" s="9"/>
    </row>
    <row r="3340" spans="1:5">
      <c r="A3340">
        <v>2019</v>
      </c>
      <c r="B3340" s="3" t="s">
        <v>890</v>
      </c>
      <c r="C3340" t="s">
        <v>1832</v>
      </c>
      <c r="D3340" s="9">
        <v>2801636</v>
      </c>
      <c r="E3340">
        <v>2.3760999999999999E-3</v>
      </c>
    </row>
    <row r="3341" spans="1:5">
      <c r="A3341">
        <v>2019</v>
      </c>
      <c r="B3341" s="3" t="s">
        <v>446</v>
      </c>
      <c r="C3341" t="s">
        <v>1833</v>
      </c>
      <c r="D3341" s="9">
        <v>770660</v>
      </c>
      <c r="E3341">
        <v>6.5359999999999995E-4</v>
      </c>
    </row>
    <row r="3342" spans="1:5">
      <c r="A3342">
        <v>2019</v>
      </c>
      <c r="B3342" s="3" t="s">
        <v>821</v>
      </c>
      <c r="C3342" t="s">
        <v>1834</v>
      </c>
      <c r="D3342" s="9">
        <v>85065</v>
      </c>
      <c r="E3342">
        <v>7.2100000000000004E-5</v>
      </c>
    </row>
    <row r="3343" spans="1:5">
      <c r="A3343">
        <v>2019</v>
      </c>
      <c r="B3343" s="3" t="s">
        <v>891</v>
      </c>
      <c r="C3343" t="s">
        <v>2379</v>
      </c>
      <c r="D3343" s="9">
        <v>48266</v>
      </c>
      <c r="E3343">
        <v>4.0899999999999998E-5</v>
      </c>
    </row>
    <row r="3344" spans="1:5">
      <c r="A3344">
        <v>2019</v>
      </c>
      <c r="B3344" s="3" t="s">
        <v>892</v>
      </c>
      <c r="C3344" t="s">
        <v>1836</v>
      </c>
      <c r="D3344" s="9">
        <v>105315</v>
      </c>
      <c r="E3344">
        <v>8.9300000000000002E-5</v>
      </c>
    </row>
    <row r="3345" spans="1:5">
      <c r="A3345">
        <v>2019</v>
      </c>
      <c r="B3345" s="3" t="s">
        <v>896</v>
      </c>
      <c r="C3345" t="s">
        <v>2257</v>
      </c>
      <c r="D3345" s="9">
        <v>43471</v>
      </c>
      <c r="E3345">
        <v>3.6900000000000002E-5</v>
      </c>
    </row>
    <row r="3346" spans="1:5">
      <c r="A3346">
        <v>2019</v>
      </c>
      <c r="B3346" s="3" t="s">
        <v>893</v>
      </c>
      <c r="C3346" t="s">
        <v>1838</v>
      </c>
      <c r="D3346" s="9">
        <v>1559</v>
      </c>
      <c r="E3346">
        <v>1.3E-6</v>
      </c>
    </row>
    <row r="3347" spans="1:5">
      <c r="A3347">
        <v>2019</v>
      </c>
      <c r="B3347" s="3" t="s">
        <v>824</v>
      </c>
      <c r="C3347" t="s">
        <v>1839</v>
      </c>
      <c r="D3347" s="9">
        <v>375457</v>
      </c>
      <c r="E3347">
        <v>3.1839999999999999E-4</v>
      </c>
    </row>
    <row r="3348" spans="1:5">
      <c r="A3348">
        <v>2019</v>
      </c>
      <c r="B3348" s="3" t="s">
        <v>823</v>
      </c>
      <c r="C3348" t="s">
        <v>1840</v>
      </c>
      <c r="D3348" s="9">
        <v>935463</v>
      </c>
      <c r="E3348">
        <v>7.9339999999999999E-4</v>
      </c>
    </row>
    <row r="3349" spans="1:5">
      <c r="A3349">
        <v>2019</v>
      </c>
      <c r="B3349" s="3" t="s">
        <v>897</v>
      </c>
      <c r="C3349" t="s">
        <v>2380</v>
      </c>
      <c r="D3349" s="9">
        <v>526903</v>
      </c>
      <c r="E3349">
        <v>4.4690000000000002E-4</v>
      </c>
    </row>
    <row r="3350" spans="1:5">
      <c r="A3350">
        <v>2019</v>
      </c>
      <c r="B3350" s="3" t="s">
        <v>894</v>
      </c>
      <c r="C3350" t="s">
        <v>839</v>
      </c>
      <c r="D3350" s="9">
        <v>13781880</v>
      </c>
      <c r="E3350">
        <v>1.1688499999999999E-2</v>
      </c>
    </row>
    <row r="3351" spans="1:5">
      <c r="A3351">
        <v>2019</v>
      </c>
      <c r="B3351" s="3" t="s">
        <v>895</v>
      </c>
      <c r="C3351" t="s">
        <v>2381</v>
      </c>
      <c r="D3351" s="9">
        <v>37351</v>
      </c>
      <c r="E3351">
        <v>3.1699999999999998E-5</v>
      </c>
    </row>
    <row r="3352" spans="1:5">
      <c r="A3352">
        <v>2019</v>
      </c>
      <c r="B3352" s="3" t="s">
        <v>898</v>
      </c>
      <c r="C3352" t="s">
        <v>843</v>
      </c>
      <c r="D3352" s="9">
        <v>1390754</v>
      </c>
      <c r="E3352">
        <v>1.1795E-3</v>
      </c>
    </row>
    <row r="3353" spans="1:5">
      <c r="A3353">
        <v>2019</v>
      </c>
      <c r="B3353" s="3" t="s">
        <v>899</v>
      </c>
      <c r="C3353" t="s">
        <v>844</v>
      </c>
      <c r="D3353" s="9">
        <v>354664</v>
      </c>
      <c r="E3353">
        <v>3.0079999999999999E-4</v>
      </c>
    </row>
    <row r="3354" spans="1:5">
      <c r="A3354">
        <v>2019</v>
      </c>
      <c r="B3354" s="3" t="s">
        <v>900</v>
      </c>
      <c r="C3354" t="s">
        <v>845</v>
      </c>
      <c r="D3354" s="9">
        <v>254111</v>
      </c>
      <c r="E3354">
        <v>2.1550000000000001E-4</v>
      </c>
    </row>
    <row r="3355" spans="1:5">
      <c r="A3355">
        <v>2019</v>
      </c>
      <c r="B3355" s="3" t="s">
        <v>901</v>
      </c>
      <c r="C3355" t="s">
        <v>846</v>
      </c>
      <c r="D3355" s="9">
        <v>116190</v>
      </c>
      <c r="E3355">
        <v>9.8499999999999995E-5</v>
      </c>
    </row>
    <row r="3356" spans="1:5">
      <c r="A3356">
        <v>2019</v>
      </c>
      <c r="B3356" s="3" t="s">
        <v>902</v>
      </c>
      <c r="C3356" t="s">
        <v>1843</v>
      </c>
      <c r="D3356" s="9">
        <v>287991</v>
      </c>
      <c r="E3356">
        <v>2.4420000000000003E-4</v>
      </c>
    </row>
    <row r="3357" spans="1:5">
      <c r="A3357">
        <v>2019</v>
      </c>
      <c r="B3357" s="3" t="s">
        <v>1236</v>
      </c>
      <c r="C3357" t="s">
        <v>1844</v>
      </c>
      <c r="D3357" s="9">
        <v>1524064</v>
      </c>
      <c r="E3357">
        <v>1.2926000000000001E-3</v>
      </c>
    </row>
    <row r="3358" spans="1:5">
      <c r="A3358">
        <v>2019</v>
      </c>
      <c r="B3358" s="3" t="s">
        <v>903</v>
      </c>
      <c r="C3358" t="s">
        <v>1845</v>
      </c>
      <c r="D3358" s="9">
        <v>1697008</v>
      </c>
      <c r="E3358">
        <v>1.4392000000000001E-3</v>
      </c>
    </row>
    <row r="3359" spans="1:5">
      <c r="A3359">
        <v>2019</v>
      </c>
      <c r="B3359" s="3" t="s">
        <v>904</v>
      </c>
      <c r="C3359" t="s">
        <v>1846</v>
      </c>
      <c r="D3359" s="9">
        <v>19445</v>
      </c>
      <c r="E3359">
        <v>1.6500000000000001E-5</v>
      </c>
    </row>
    <row r="3360" spans="1:5">
      <c r="A3360">
        <v>2019</v>
      </c>
      <c r="B3360" s="3" t="s">
        <v>905</v>
      </c>
      <c r="C3360" t="s">
        <v>1847</v>
      </c>
      <c r="D3360" s="9">
        <v>35173</v>
      </c>
      <c r="E3360">
        <v>2.9799999999999999E-5</v>
      </c>
    </row>
    <row r="3361" spans="1:5">
      <c r="A3361">
        <v>2019</v>
      </c>
      <c r="B3361" s="3" t="s">
        <v>906</v>
      </c>
      <c r="C3361" t="s">
        <v>1848</v>
      </c>
      <c r="D3361" s="9">
        <v>1624694</v>
      </c>
      <c r="E3361">
        <v>1.3779E-3</v>
      </c>
    </row>
    <row r="3362" spans="1:5">
      <c r="A3362">
        <v>2019</v>
      </c>
      <c r="B3362" s="3" t="s">
        <v>447</v>
      </c>
      <c r="C3362" t="s">
        <v>1849</v>
      </c>
      <c r="D3362" s="9">
        <v>574955</v>
      </c>
      <c r="E3362">
        <v>4.8759999999999998E-4</v>
      </c>
    </row>
    <row r="3363" spans="1:5">
      <c r="A3363">
        <v>2019</v>
      </c>
      <c r="B3363" s="3" t="s">
        <v>1034</v>
      </c>
      <c r="C3363" t="s">
        <v>1850</v>
      </c>
      <c r="D3363" s="9">
        <v>230534</v>
      </c>
      <c r="E3363">
        <v>1.9550000000000001E-4</v>
      </c>
    </row>
    <row r="3364" spans="1:5">
      <c r="A3364">
        <v>2019</v>
      </c>
      <c r="B3364" s="3" t="s">
        <v>908</v>
      </c>
      <c r="C3364" t="s">
        <v>1851</v>
      </c>
      <c r="D3364" s="9">
        <v>288518</v>
      </c>
      <c r="E3364">
        <v>2.4469999999999998E-4</v>
      </c>
    </row>
    <row r="3365" spans="1:5">
      <c r="A3365">
        <v>2019</v>
      </c>
      <c r="B3365" s="3" t="s">
        <v>909</v>
      </c>
      <c r="C3365" t="s">
        <v>1852</v>
      </c>
      <c r="D3365" s="9">
        <v>104099</v>
      </c>
      <c r="E3365">
        <v>8.8300000000000005E-5</v>
      </c>
    </row>
    <row r="3366" spans="1:5">
      <c r="A3366">
        <v>2019</v>
      </c>
      <c r="B3366" s="3" t="s">
        <v>910</v>
      </c>
      <c r="C3366" t="s">
        <v>1853</v>
      </c>
      <c r="D3366" s="9">
        <v>586903</v>
      </c>
      <c r="E3366">
        <v>4.9779999999999996E-4</v>
      </c>
    </row>
    <row r="3367" spans="1:5">
      <c r="A3367">
        <v>2019</v>
      </c>
      <c r="B3367" s="3" t="s">
        <v>912</v>
      </c>
      <c r="C3367" t="s">
        <v>2382</v>
      </c>
      <c r="D3367" s="9">
        <v>1142456</v>
      </c>
      <c r="E3367">
        <v>9.6889999999999997E-4</v>
      </c>
    </row>
    <row r="3368" spans="1:5">
      <c r="A3368">
        <v>2019</v>
      </c>
      <c r="B3368" s="3" t="s">
        <v>911</v>
      </c>
      <c r="C3368" t="s">
        <v>1855</v>
      </c>
      <c r="D3368" s="9">
        <v>17868322</v>
      </c>
      <c r="E3368">
        <v>1.5154300000000001E-2</v>
      </c>
    </row>
    <row r="3369" spans="1:5">
      <c r="A3369">
        <v>2019</v>
      </c>
      <c r="B3369" s="3" t="s">
        <v>1237</v>
      </c>
      <c r="C3369" t="s">
        <v>1856</v>
      </c>
      <c r="D3369" s="9">
        <v>546098</v>
      </c>
      <c r="E3369">
        <v>4.6319999999999998E-4</v>
      </c>
    </row>
    <row r="3370" spans="1:5">
      <c r="A3370">
        <v>2019</v>
      </c>
      <c r="B3370" s="3" t="s">
        <v>1474</v>
      </c>
      <c r="C3370" t="s">
        <v>1473</v>
      </c>
      <c r="D3370" s="9"/>
    </row>
    <row r="3371" spans="1:5">
      <c r="A3371">
        <v>2019</v>
      </c>
      <c r="B3371" s="3" t="s">
        <v>913</v>
      </c>
      <c r="C3371" t="s">
        <v>1857</v>
      </c>
      <c r="D3371" s="9">
        <v>111166</v>
      </c>
      <c r="E3371">
        <v>9.4300000000000002E-5</v>
      </c>
    </row>
    <row r="3372" spans="1:5">
      <c r="A3372">
        <v>2019</v>
      </c>
      <c r="B3372" s="3" t="s">
        <v>914</v>
      </c>
      <c r="C3372" t="s">
        <v>1858</v>
      </c>
      <c r="D3372" s="9">
        <v>73459</v>
      </c>
      <c r="E3372">
        <v>6.2299999999999996E-5</v>
      </c>
    </row>
    <row r="3373" spans="1:5">
      <c r="A3373">
        <v>2019</v>
      </c>
      <c r="B3373" s="3" t="s">
        <v>915</v>
      </c>
      <c r="C3373" t="s">
        <v>1859</v>
      </c>
      <c r="D3373" s="9">
        <v>1189394</v>
      </c>
      <c r="E3373">
        <v>1.0087E-3</v>
      </c>
    </row>
    <row r="3374" spans="1:5">
      <c r="A3374">
        <v>2019</v>
      </c>
      <c r="B3374" s="3" t="s">
        <v>1238</v>
      </c>
      <c r="C3374" t="s">
        <v>1860</v>
      </c>
      <c r="D3374" s="9">
        <v>161437</v>
      </c>
      <c r="E3374">
        <v>1.3689999999999999E-4</v>
      </c>
    </row>
    <row r="3375" spans="1:5">
      <c r="A3375">
        <v>2019</v>
      </c>
      <c r="B3375" s="3" t="s">
        <v>917</v>
      </c>
      <c r="C3375" t="s">
        <v>1861</v>
      </c>
      <c r="D3375" s="9">
        <v>62798</v>
      </c>
      <c r="E3375">
        <v>5.3300000000000001E-5</v>
      </c>
    </row>
    <row r="3376" spans="1:5">
      <c r="A3376">
        <v>2019</v>
      </c>
      <c r="B3376" s="3" t="s">
        <v>918</v>
      </c>
      <c r="C3376" t="s">
        <v>863</v>
      </c>
      <c r="D3376" s="9">
        <v>19993</v>
      </c>
      <c r="E3376">
        <v>1.7E-5</v>
      </c>
    </row>
    <row r="3377" spans="1:5">
      <c r="A3377">
        <v>2019</v>
      </c>
      <c r="B3377" s="3" t="s">
        <v>919</v>
      </c>
      <c r="C3377" t="s">
        <v>1862</v>
      </c>
      <c r="D3377" s="9">
        <v>110048</v>
      </c>
      <c r="E3377">
        <v>9.3300000000000005E-5</v>
      </c>
    </row>
    <row r="3378" spans="1:5">
      <c r="A3378">
        <v>2019</v>
      </c>
      <c r="B3378" s="3" t="s">
        <v>1239</v>
      </c>
      <c r="C3378" t="s">
        <v>1863</v>
      </c>
      <c r="D3378" s="9">
        <v>36753</v>
      </c>
      <c r="E3378">
        <v>3.1199999999999999E-5</v>
      </c>
    </row>
    <row r="3379" spans="1:5">
      <c r="A3379">
        <v>2019</v>
      </c>
      <c r="B3379" s="3" t="s">
        <v>1030</v>
      </c>
      <c r="C3379" t="s">
        <v>1864</v>
      </c>
      <c r="D3379" s="9">
        <v>48435</v>
      </c>
      <c r="E3379">
        <v>4.1100000000000003E-5</v>
      </c>
    </row>
    <row r="3380" spans="1:5">
      <c r="A3380">
        <v>2019</v>
      </c>
      <c r="B3380" s="3" t="s">
        <v>921</v>
      </c>
      <c r="C3380" t="s">
        <v>1865</v>
      </c>
      <c r="D3380" s="9">
        <v>1221358</v>
      </c>
      <c r="E3380">
        <v>1.0357999999999999E-3</v>
      </c>
    </row>
    <row r="3381" spans="1:5">
      <c r="A3381">
        <v>2019</v>
      </c>
      <c r="B3381" s="3" t="s">
        <v>1240</v>
      </c>
      <c r="C3381" t="s">
        <v>1866</v>
      </c>
      <c r="D3381" s="9">
        <v>621672</v>
      </c>
      <c r="E3381">
        <v>5.2720000000000002E-4</v>
      </c>
    </row>
    <row r="3382" spans="1:5">
      <c r="A3382">
        <v>2019</v>
      </c>
      <c r="B3382" s="3" t="s">
        <v>922</v>
      </c>
      <c r="C3382" t="s">
        <v>1867</v>
      </c>
      <c r="D3382" s="9">
        <v>29081</v>
      </c>
      <c r="E3382">
        <v>2.4700000000000001E-5</v>
      </c>
    </row>
    <row r="3383" spans="1:5">
      <c r="A3383">
        <v>2019</v>
      </c>
      <c r="B3383" s="3" t="s">
        <v>923</v>
      </c>
      <c r="C3383" t="s">
        <v>868</v>
      </c>
      <c r="D3383" s="9">
        <v>90840</v>
      </c>
      <c r="E3383">
        <v>7.7000000000000001E-5</v>
      </c>
    </row>
    <row r="3384" spans="1:5">
      <c r="A3384">
        <v>2019</v>
      </c>
      <c r="B3384" s="3" t="s">
        <v>924</v>
      </c>
      <c r="C3384" t="s">
        <v>1868</v>
      </c>
      <c r="D3384" s="9">
        <v>85143</v>
      </c>
      <c r="E3384">
        <v>7.2200000000000007E-5</v>
      </c>
    </row>
    <row r="3385" spans="1:5">
      <c r="A3385">
        <v>2019</v>
      </c>
      <c r="B3385" s="3" t="s">
        <v>925</v>
      </c>
      <c r="C3385" t="s">
        <v>1869</v>
      </c>
      <c r="D3385" s="9">
        <v>4607681</v>
      </c>
      <c r="E3385">
        <v>3.9078000000000003E-3</v>
      </c>
    </row>
    <row r="3386" spans="1:5">
      <c r="A3386">
        <v>2019</v>
      </c>
      <c r="B3386" s="3" t="s">
        <v>926</v>
      </c>
      <c r="C3386" t="s">
        <v>1870</v>
      </c>
      <c r="D3386" s="9">
        <v>18740378</v>
      </c>
      <c r="E3386">
        <v>1.5893899999999999E-2</v>
      </c>
    </row>
    <row r="3387" spans="1:5">
      <c r="A3387">
        <v>2019</v>
      </c>
      <c r="B3387" s="3" t="s">
        <v>448</v>
      </c>
      <c r="C3387" t="s">
        <v>1871</v>
      </c>
      <c r="D3387" s="9">
        <v>6277227</v>
      </c>
      <c r="E3387">
        <v>5.3238000000000001E-3</v>
      </c>
    </row>
    <row r="3388" spans="1:5">
      <c r="A3388">
        <v>2019</v>
      </c>
      <c r="B3388" s="3" t="s">
        <v>927</v>
      </c>
      <c r="C3388" t="s">
        <v>1872</v>
      </c>
      <c r="D3388" s="9">
        <v>4936605</v>
      </c>
      <c r="E3388">
        <v>4.1868000000000001E-3</v>
      </c>
    </row>
    <row r="3389" spans="1:5">
      <c r="A3389">
        <v>2019</v>
      </c>
      <c r="B3389" s="3" t="s">
        <v>930</v>
      </c>
      <c r="C3389" t="s">
        <v>1873</v>
      </c>
      <c r="D3389" s="9">
        <v>55115</v>
      </c>
      <c r="E3389">
        <v>4.6699999999999997E-5</v>
      </c>
    </row>
    <row r="3390" spans="1:5">
      <c r="A3390">
        <v>2019</v>
      </c>
      <c r="B3390" s="3" t="s">
        <v>929</v>
      </c>
      <c r="C3390" t="s">
        <v>1874</v>
      </c>
      <c r="D3390" s="9">
        <v>20041936</v>
      </c>
      <c r="E3390">
        <v>1.69978E-2</v>
      </c>
    </row>
    <row r="3391" spans="1:5">
      <c r="A3391">
        <v>2019</v>
      </c>
      <c r="B3391" s="3" t="s">
        <v>928</v>
      </c>
      <c r="C3391" t="s">
        <v>1875</v>
      </c>
      <c r="D3391" s="9">
        <v>733437</v>
      </c>
      <c r="E3391">
        <v>6.2200000000000005E-4</v>
      </c>
    </row>
    <row r="3392" spans="1:5">
      <c r="A3392">
        <v>2019</v>
      </c>
      <c r="B3392" s="3" t="s">
        <v>931</v>
      </c>
      <c r="C3392" t="s">
        <v>1876</v>
      </c>
      <c r="D3392" s="9">
        <v>113517</v>
      </c>
      <c r="E3392">
        <v>9.6299999999999996E-5</v>
      </c>
    </row>
    <row r="3393" spans="1:5">
      <c r="A3393">
        <v>2019</v>
      </c>
      <c r="B3393" s="3" t="s">
        <v>932</v>
      </c>
      <c r="C3393" t="s">
        <v>1877</v>
      </c>
      <c r="D3393" s="9">
        <v>5984</v>
      </c>
      <c r="E3393">
        <v>5.1000000000000003E-6</v>
      </c>
    </row>
    <row r="3394" spans="1:5">
      <c r="A3394">
        <v>2019</v>
      </c>
      <c r="B3394" s="3" t="s">
        <v>933</v>
      </c>
      <c r="C3394" t="s">
        <v>1878</v>
      </c>
      <c r="D3394" s="9">
        <v>14159</v>
      </c>
      <c r="E3394">
        <v>1.2E-5</v>
      </c>
    </row>
    <row r="3395" spans="1:5">
      <c r="A3395">
        <v>2019</v>
      </c>
      <c r="B3395" s="3" t="s">
        <v>992</v>
      </c>
      <c r="C3395" t="s">
        <v>1879</v>
      </c>
      <c r="D3395" s="9">
        <v>70749</v>
      </c>
      <c r="E3395">
        <v>6.0000000000000002E-5</v>
      </c>
    </row>
    <row r="3396" spans="1:5">
      <c r="A3396">
        <v>2019</v>
      </c>
      <c r="B3396" s="3" t="s">
        <v>934</v>
      </c>
      <c r="C3396" t="s">
        <v>1880</v>
      </c>
      <c r="D3396" s="9">
        <v>471244</v>
      </c>
      <c r="E3396">
        <v>3.9970000000000001E-4</v>
      </c>
    </row>
    <row r="3397" spans="1:5">
      <c r="A3397">
        <v>2019</v>
      </c>
      <c r="B3397" s="3" t="s">
        <v>990</v>
      </c>
      <c r="C3397" t="s">
        <v>935</v>
      </c>
      <c r="D3397" s="9">
        <v>7642722</v>
      </c>
      <c r="E3397">
        <v>6.4818999999999996E-3</v>
      </c>
    </row>
    <row r="3398" spans="1:5">
      <c r="A3398">
        <v>2019</v>
      </c>
      <c r="B3398" s="3" t="s">
        <v>991</v>
      </c>
      <c r="C3398" t="s">
        <v>936</v>
      </c>
      <c r="D3398" s="9">
        <v>26817519</v>
      </c>
      <c r="E3398">
        <v>2.2744199999999999E-2</v>
      </c>
    </row>
    <row r="3399" spans="1:5">
      <c r="A3399">
        <v>2019</v>
      </c>
      <c r="B3399" s="3" t="s">
        <v>993</v>
      </c>
      <c r="C3399" t="s">
        <v>1881</v>
      </c>
      <c r="D3399" s="9">
        <v>567902</v>
      </c>
      <c r="E3399">
        <v>4.816E-4</v>
      </c>
    </row>
    <row r="3400" spans="1:5">
      <c r="A3400">
        <v>2019</v>
      </c>
      <c r="B3400" s="3" t="s">
        <v>1885</v>
      </c>
      <c r="C3400" t="s">
        <v>1882</v>
      </c>
      <c r="D3400" s="9"/>
    </row>
    <row r="3401" spans="1:5">
      <c r="A3401">
        <v>2019</v>
      </c>
      <c r="B3401" s="3" t="s">
        <v>994</v>
      </c>
      <c r="C3401" t="s">
        <v>939</v>
      </c>
      <c r="D3401" s="9">
        <v>30446</v>
      </c>
      <c r="E3401">
        <v>2.58E-5</v>
      </c>
    </row>
    <row r="3402" spans="1:5">
      <c r="A3402">
        <v>2019</v>
      </c>
      <c r="B3402" s="3" t="s">
        <v>995</v>
      </c>
      <c r="C3402" t="s">
        <v>940</v>
      </c>
      <c r="D3402" s="9">
        <v>54841</v>
      </c>
      <c r="E3402">
        <v>4.6499999999999999E-5</v>
      </c>
    </row>
    <row r="3403" spans="1:5">
      <c r="A3403">
        <v>2019</v>
      </c>
      <c r="B3403" s="3" t="s">
        <v>996</v>
      </c>
      <c r="C3403" t="s">
        <v>941</v>
      </c>
      <c r="D3403" s="9">
        <v>63714</v>
      </c>
      <c r="E3403">
        <v>5.3999999999999998E-5</v>
      </c>
    </row>
    <row r="3404" spans="1:5">
      <c r="A3404">
        <v>2019</v>
      </c>
      <c r="B3404" s="3" t="s">
        <v>997</v>
      </c>
      <c r="C3404" t="s">
        <v>1883</v>
      </c>
      <c r="D3404" s="9">
        <v>124242</v>
      </c>
      <c r="E3404">
        <v>1.054E-4</v>
      </c>
    </row>
    <row r="3405" spans="1:5">
      <c r="A3405">
        <v>2019</v>
      </c>
      <c r="B3405" s="3" t="s">
        <v>999</v>
      </c>
      <c r="C3405" t="s">
        <v>1884</v>
      </c>
      <c r="D3405" s="9">
        <v>423736</v>
      </c>
      <c r="E3405">
        <v>3.5940000000000001E-4</v>
      </c>
    </row>
    <row r="3406" spans="1:5">
      <c r="A3406">
        <v>2019</v>
      </c>
      <c r="B3406" s="3" t="s">
        <v>1241</v>
      </c>
      <c r="C3406" t="s">
        <v>1886</v>
      </c>
      <c r="D3406" s="9">
        <v>32262</v>
      </c>
      <c r="E3406">
        <v>2.7399999999999999E-5</v>
      </c>
    </row>
    <row r="3407" spans="1:5">
      <c r="A3407">
        <v>2019</v>
      </c>
      <c r="B3407" s="3" t="s">
        <v>1001</v>
      </c>
      <c r="C3407" t="s">
        <v>2383</v>
      </c>
      <c r="D3407" s="9">
        <v>33879</v>
      </c>
      <c r="E3407">
        <v>2.87E-5</v>
      </c>
    </row>
    <row r="3408" spans="1:5">
      <c r="A3408">
        <v>2019</v>
      </c>
      <c r="B3408" s="3" t="s">
        <v>1000</v>
      </c>
      <c r="C3408" t="s">
        <v>2384</v>
      </c>
      <c r="D3408" s="9">
        <v>21116</v>
      </c>
      <c r="E3408">
        <v>1.7900000000000001E-5</v>
      </c>
    </row>
    <row r="3409" spans="1:5">
      <c r="A3409">
        <v>2019</v>
      </c>
      <c r="B3409" s="3" t="s">
        <v>1002</v>
      </c>
      <c r="C3409" t="s">
        <v>947</v>
      </c>
      <c r="D3409" s="9">
        <v>7679394</v>
      </c>
      <c r="E3409">
        <v>6.5129999999999997E-3</v>
      </c>
    </row>
    <row r="3410" spans="1:5">
      <c r="A3410">
        <v>2019</v>
      </c>
      <c r="B3410" s="3" t="s">
        <v>1003</v>
      </c>
      <c r="C3410" t="s">
        <v>1478</v>
      </c>
      <c r="D3410" s="9">
        <v>31662</v>
      </c>
      <c r="E3410">
        <v>2.69E-5</v>
      </c>
    </row>
    <row r="3411" spans="1:5">
      <c r="A3411">
        <v>2019</v>
      </c>
      <c r="B3411" s="3" t="s">
        <v>1004</v>
      </c>
      <c r="C3411" t="s">
        <v>949</v>
      </c>
      <c r="D3411" s="9">
        <v>338688</v>
      </c>
      <c r="E3411">
        <v>2.8719999999999999E-4</v>
      </c>
    </row>
    <row r="3412" spans="1:5">
      <c r="A3412">
        <v>2019</v>
      </c>
      <c r="B3412" s="3" t="s">
        <v>1005</v>
      </c>
      <c r="C3412" t="s">
        <v>1888</v>
      </c>
      <c r="D3412" s="9">
        <v>144678</v>
      </c>
      <c r="E3412">
        <v>1.227E-4</v>
      </c>
    </row>
    <row r="3413" spans="1:5">
      <c r="A3413">
        <v>2019</v>
      </c>
      <c r="B3413" s="3" t="s">
        <v>1006</v>
      </c>
      <c r="C3413" t="s">
        <v>1889</v>
      </c>
      <c r="D3413" s="9">
        <v>191121</v>
      </c>
      <c r="E3413">
        <v>1.6210000000000001E-4</v>
      </c>
    </row>
    <row r="3414" spans="1:5">
      <c r="A3414">
        <v>2019</v>
      </c>
      <c r="B3414" s="3" t="s">
        <v>1007</v>
      </c>
      <c r="C3414" t="s">
        <v>1890</v>
      </c>
      <c r="D3414" s="9">
        <v>14035</v>
      </c>
      <c r="E3414">
        <v>1.19E-5</v>
      </c>
    </row>
    <row r="3415" spans="1:5">
      <c r="A3415">
        <v>2019</v>
      </c>
      <c r="B3415" s="3" t="s">
        <v>1008</v>
      </c>
      <c r="C3415" t="s">
        <v>2286</v>
      </c>
      <c r="D3415" s="9">
        <v>66054</v>
      </c>
      <c r="E3415">
        <v>5.5999999999999999E-5</v>
      </c>
    </row>
    <row r="3416" spans="1:5">
      <c r="A3416">
        <v>2019</v>
      </c>
      <c r="B3416" s="3" t="s">
        <v>1009</v>
      </c>
      <c r="C3416" t="s">
        <v>1892</v>
      </c>
      <c r="D3416" s="9">
        <v>33369</v>
      </c>
      <c r="E3416">
        <v>2.83E-5</v>
      </c>
    </row>
    <row r="3417" spans="1:5">
      <c r="A3417">
        <v>2019</v>
      </c>
      <c r="B3417" s="3" t="s">
        <v>1010</v>
      </c>
      <c r="C3417" t="s">
        <v>1893</v>
      </c>
      <c r="D3417" s="9">
        <v>118425</v>
      </c>
      <c r="E3417">
        <v>1.004E-4</v>
      </c>
    </row>
    <row r="3418" spans="1:5">
      <c r="A3418">
        <v>2019</v>
      </c>
      <c r="B3418" s="3" t="s">
        <v>1242</v>
      </c>
      <c r="C3418" t="s">
        <v>1894</v>
      </c>
      <c r="D3418" s="9">
        <v>200356</v>
      </c>
      <c r="E3418">
        <v>1.6990000000000001E-4</v>
      </c>
    </row>
    <row r="3419" spans="1:5">
      <c r="A3419">
        <v>2019</v>
      </c>
      <c r="B3419" s="3" t="s">
        <v>1011</v>
      </c>
      <c r="C3419" t="s">
        <v>2288</v>
      </c>
      <c r="D3419" s="9">
        <v>7895</v>
      </c>
      <c r="E3419">
        <v>6.7000000000000002E-6</v>
      </c>
    </row>
    <row r="3420" spans="1:5">
      <c r="A3420">
        <v>2019</v>
      </c>
      <c r="B3420" s="3" t="s">
        <v>1012</v>
      </c>
      <c r="C3420" t="s">
        <v>957</v>
      </c>
      <c r="D3420" s="9">
        <v>80348</v>
      </c>
      <c r="E3420">
        <v>6.8100000000000002E-5</v>
      </c>
    </row>
    <row r="3421" spans="1:5">
      <c r="A3421">
        <v>2019</v>
      </c>
      <c r="B3421" s="3" t="s">
        <v>1013</v>
      </c>
      <c r="C3421" t="s">
        <v>2385</v>
      </c>
      <c r="D3421" s="9">
        <v>963507</v>
      </c>
      <c r="E3421">
        <v>8.1720000000000002E-4</v>
      </c>
    </row>
    <row r="3422" spans="1:5">
      <c r="A3422">
        <v>2019</v>
      </c>
      <c r="B3422" s="3" t="s">
        <v>1016</v>
      </c>
      <c r="C3422" t="s">
        <v>1897</v>
      </c>
      <c r="D3422" s="9">
        <v>348231</v>
      </c>
      <c r="E3422">
        <v>2.9530000000000002E-4</v>
      </c>
    </row>
    <row r="3423" spans="1:5">
      <c r="A3423">
        <v>2019</v>
      </c>
      <c r="B3423" s="3" t="s">
        <v>1017</v>
      </c>
      <c r="C3423" t="s">
        <v>1898</v>
      </c>
      <c r="D3423" s="9">
        <v>59255</v>
      </c>
      <c r="E3423">
        <v>5.0300000000000003E-5</v>
      </c>
    </row>
    <row r="3424" spans="1:5">
      <c r="A3424">
        <v>2019</v>
      </c>
      <c r="B3424" s="3" t="s">
        <v>1018</v>
      </c>
      <c r="C3424" t="s">
        <v>1899</v>
      </c>
      <c r="D3424" s="9">
        <v>32727</v>
      </c>
      <c r="E3424">
        <v>2.7800000000000001E-5</v>
      </c>
    </row>
    <row r="3425" spans="1:5">
      <c r="A3425">
        <v>2019</v>
      </c>
      <c r="B3425" s="3" t="s">
        <v>1020</v>
      </c>
      <c r="C3425" t="s">
        <v>1900</v>
      </c>
      <c r="D3425" s="9">
        <v>1943869</v>
      </c>
      <c r="E3425">
        <v>1.6486000000000001E-3</v>
      </c>
    </row>
    <row r="3426" spans="1:5">
      <c r="A3426">
        <v>2019</v>
      </c>
      <c r="B3426" s="3" t="s">
        <v>1019</v>
      </c>
      <c r="C3426" t="s">
        <v>1901</v>
      </c>
      <c r="D3426" s="9">
        <v>58651</v>
      </c>
      <c r="E3426">
        <v>4.9700000000000002E-5</v>
      </c>
    </row>
    <row r="3427" spans="1:5">
      <c r="A3427">
        <v>2019</v>
      </c>
      <c r="B3427" s="3" t="s">
        <v>1021</v>
      </c>
      <c r="C3427" t="s">
        <v>1902</v>
      </c>
      <c r="D3427" s="9">
        <v>36147</v>
      </c>
      <c r="E3427">
        <v>3.0700000000000001E-5</v>
      </c>
    </row>
    <row r="3428" spans="1:5">
      <c r="A3428">
        <v>2019</v>
      </c>
      <c r="B3428" s="3" t="s">
        <v>449</v>
      </c>
      <c r="C3428" t="s">
        <v>1903</v>
      </c>
      <c r="D3428" s="9">
        <v>2286863</v>
      </c>
      <c r="E3428">
        <v>1.9395E-3</v>
      </c>
    </row>
    <row r="3429" spans="1:5">
      <c r="A3429">
        <v>2019</v>
      </c>
      <c r="B3429" s="3" t="s">
        <v>1022</v>
      </c>
      <c r="C3429" t="s">
        <v>1904</v>
      </c>
      <c r="D3429" s="9">
        <v>166899</v>
      </c>
      <c r="E3429">
        <v>1.415E-4</v>
      </c>
    </row>
    <row r="3430" spans="1:5">
      <c r="A3430">
        <v>2019</v>
      </c>
      <c r="B3430" s="3" t="s">
        <v>1023</v>
      </c>
      <c r="C3430" t="s">
        <v>1905</v>
      </c>
      <c r="D3430" s="9">
        <v>626988</v>
      </c>
      <c r="E3430">
        <v>5.3180000000000002E-4</v>
      </c>
    </row>
    <row r="3431" spans="1:5">
      <c r="A3431">
        <v>2019</v>
      </c>
      <c r="B3431" s="3" t="s">
        <v>1024</v>
      </c>
      <c r="C3431" t="s">
        <v>969</v>
      </c>
      <c r="D3431" s="9">
        <v>64183</v>
      </c>
      <c r="E3431">
        <v>5.4400000000000001E-5</v>
      </c>
    </row>
    <row r="3432" spans="1:5">
      <c r="A3432">
        <v>2019</v>
      </c>
      <c r="B3432" s="3" t="s">
        <v>1025</v>
      </c>
      <c r="C3432" t="s">
        <v>1906</v>
      </c>
      <c r="D3432" s="9">
        <v>116035</v>
      </c>
      <c r="E3432">
        <v>9.8400000000000007E-5</v>
      </c>
    </row>
    <row r="3433" spans="1:5">
      <c r="A3433">
        <v>2019</v>
      </c>
      <c r="B3433" s="3" t="s">
        <v>1026</v>
      </c>
      <c r="C3433" t="s">
        <v>1907</v>
      </c>
      <c r="D3433" s="9">
        <v>4196644</v>
      </c>
      <c r="E3433">
        <v>3.5592000000000002E-3</v>
      </c>
    </row>
    <row r="3434" spans="1:5">
      <c r="A3434">
        <v>2019</v>
      </c>
      <c r="B3434" s="3" t="s">
        <v>1243</v>
      </c>
      <c r="C3434" t="s">
        <v>1908</v>
      </c>
      <c r="D3434" s="9">
        <v>1765871</v>
      </c>
      <c r="E3434">
        <v>1.4977E-3</v>
      </c>
    </row>
    <row r="3435" spans="1:5">
      <c r="A3435">
        <v>2019</v>
      </c>
      <c r="B3435" s="3" t="s">
        <v>1027</v>
      </c>
      <c r="C3435" t="s">
        <v>1909</v>
      </c>
      <c r="D3435" s="9">
        <v>19896</v>
      </c>
      <c r="E3435">
        <v>1.6900000000000001E-5</v>
      </c>
    </row>
    <row r="3436" spans="1:5">
      <c r="A3436">
        <v>2019</v>
      </c>
      <c r="B3436" s="3" t="s">
        <v>1028</v>
      </c>
      <c r="C3436" t="s">
        <v>973</v>
      </c>
      <c r="D3436" s="9">
        <v>12179</v>
      </c>
      <c r="E3436">
        <v>1.03E-5</v>
      </c>
    </row>
    <row r="3437" spans="1:5">
      <c r="A3437">
        <v>2019</v>
      </c>
      <c r="B3437" s="3" t="s">
        <v>1029</v>
      </c>
      <c r="C3437" t="s">
        <v>1910</v>
      </c>
      <c r="D3437" s="9">
        <v>286513</v>
      </c>
      <c r="E3437">
        <v>2.43E-4</v>
      </c>
    </row>
    <row r="3438" spans="1:5">
      <c r="A3438">
        <v>2019</v>
      </c>
      <c r="B3438" s="3" t="s">
        <v>1031</v>
      </c>
      <c r="C3438" t="s">
        <v>1911</v>
      </c>
      <c r="D3438" s="9">
        <v>490464</v>
      </c>
      <c r="E3438">
        <v>4.1599999999999997E-4</v>
      </c>
    </row>
    <row r="3439" spans="1:5">
      <c r="A3439">
        <v>2019</v>
      </c>
      <c r="B3439" s="3" t="s">
        <v>1032</v>
      </c>
      <c r="C3439" t="s">
        <v>1912</v>
      </c>
      <c r="D3439" s="9">
        <v>196469</v>
      </c>
      <c r="E3439">
        <v>1.6660000000000001E-4</v>
      </c>
    </row>
    <row r="3440" spans="1:5">
      <c r="A3440">
        <v>2019</v>
      </c>
      <c r="B3440" s="3" t="s">
        <v>920</v>
      </c>
      <c r="C3440" t="s">
        <v>1914</v>
      </c>
      <c r="D3440" s="9"/>
    </row>
    <row r="3441" spans="1:5">
      <c r="A3441">
        <v>2019</v>
      </c>
      <c r="B3441" s="3" t="s">
        <v>1037</v>
      </c>
      <c r="C3441" t="s">
        <v>1915</v>
      </c>
      <c r="D3441" s="9">
        <v>43301</v>
      </c>
      <c r="E3441">
        <v>3.6699999999999998E-5</v>
      </c>
    </row>
    <row r="3442" spans="1:5">
      <c r="A3442">
        <v>2019</v>
      </c>
      <c r="B3442" s="3" t="s">
        <v>1038</v>
      </c>
      <c r="C3442" t="s">
        <v>1916</v>
      </c>
      <c r="D3442" s="9">
        <v>498608</v>
      </c>
      <c r="E3442">
        <v>4.2289999999999998E-4</v>
      </c>
    </row>
    <row r="3443" spans="1:5">
      <c r="A3443">
        <v>2019</v>
      </c>
      <c r="B3443" s="3" t="s">
        <v>1039</v>
      </c>
      <c r="C3443" t="s">
        <v>1917</v>
      </c>
      <c r="D3443" s="9">
        <v>5636643</v>
      </c>
      <c r="E3443">
        <v>4.7805E-3</v>
      </c>
    </row>
    <row r="3444" spans="1:5">
      <c r="A3444">
        <v>2019</v>
      </c>
      <c r="B3444" s="3" t="s">
        <v>1040</v>
      </c>
      <c r="C3444" t="s">
        <v>985</v>
      </c>
      <c r="D3444" s="9">
        <v>177939</v>
      </c>
      <c r="E3444">
        <v>1.5090000000000001E-4</v>
      </c>
    </row>
    <row r="3445" spans="1:5">
      <c r="A3445">
        <v>2019</v>
      </c>
      <c r="B3445" s="3" t="s">
        <v>998</v>
      </c>
      <c r="C3445" t="s">
        <v>1918</v>
      </c>
      <c r="D3445" s="9">
        <v>61304</v>
      </c>
      <c r="E3445">
        <v>5.1999999999999997E-5</v>
      </c>
    </row>
    <row r="3446" spans="1:5">
      <c r="A3446">
        <v>2019</v>
      </c>
      <c r="B3446" s="3" t="s">
        <v>1041</v>
      </c>
      <c r="C3446" t="s">
        <v>1919</v>
      </c>
      <c r="D3446" s="9">
        <v>663105</v>
      </c>
      <c r="E3446">
        <v>5.6240000000000001E-4</v>
      </c>
    </row>
    <row r="3447" spans="1:5">
      <c r="A3447">
        <v>2019</v>
      </c>
      <c r="B3447" s="3" t="s">
        <v>1042</v>
      </c>
      <c r="C3447" t="s">
        <v>2296</v>
      </c>
      <c r="D3447" s="9">
        <v>11245</v>
      </c>
      <c r="E3447">
        <v>9.5000000000000005E-6</v>
      </c>
    </row>
    <row r="3448" spans="1:5">
      <c r="A3448">
        <v>2019</v>
      </c>
      <c r="B3448" s="3" t="s">
        <v>1043</v>
      </c>
      <c r="C3448" t="s">
        <v>1921</v>
      </c>
      <c r="D3448" s="9">
        <v>644867</v>
      </c>
      <c r="E3448">
        <v>5.4690000000000001E-4</v>
      </c>
    </row>
    <row r="3449" spans="1:5">
      <c r="A3449">
        <v>2019</v>
      </c>
      <c r="B3449" s="3" t="s">
        <v>1044</v>
      </c>
      <c r="C3449" t="s">
        <v>1922</v>
      </c>
      <c r="D3449" s="9">
        <v>1002513</v>
      </c>
      <c r="E3449">
        <v>8.5019999999999996E-4</v>
      </c>
    </row>
    <row r="3450" spans="1:5">
      <c r="A3450">
        <v>2019</v>
      </c>
      <c r="B3450" s="3" t="s">
        <v>1100</v>
      </c>
      <c r="C3450" t="s">
        <v>1923</v>
      </c>
      <c r="D3450" s="9">
        <v>1592775</v>
      </c>
      <c r="E3450">
        <v>1.3508000000000001E-3</v>
      </c>
    </row>
    <row r="3451" spans="1:5">
      <c r="A3451">
        <v>2019</v>
      </c>
      <c r="B3451" s="3" t="s">
        <v>450</v>
      </c>
      <c r="C3451" t="s">
        <v>1924</v>
      </c>
      <c r="D3451" s="9">
        <v>686683</v>
      </c>
      <c r="E3451">
        <v>5.8239999999999995E-4</v>
      </c>
    </row>
    <row r="3452" spans="1:5">
      <c r="A3452">
        <v>2019</v>
      </c>
      <c r="B3452" s="3" t="s">
        <v>1101</v>
      </c>
      <c r="C3452" t="s">
        <v>1925</v>
      </c>
      <c r="D3452" s="9">
        <v>3609683</v>
      </c>
      <c r="E3452">
        <v>3.0614000000000001E-3</v>
      </c>
    </row>
    <row r="3453" spans="1:5">
      <c r="A3453">
        <v>2019</v>
      </c>
      <c r="B3453" s="3" t="s">
        <v>1244</v>
      </c>
      <c r="C3453" t="s">
        <v>1926</v>
      </c>
      <c r="D3453" s="9">
        <v>677506</v>
      </c>
      <c r="E3453">
        <v>5.7459999999999998E-4</v>
      </c>
    </row>
    <row r="3454" spans="1:5">
      <c r="A3454">
        <v>2019</v>
      </c>
      <c r="B3454" s="3" t="s">
        <v>1102</v>
      </c>
      <c r="C3454" t="s">
        <v>2386</v>
      </c>
      <c r="D3454" s="9">
        <v>68536</v>
      </c>
      <c r="E3454">
        <v>5.8100000000000003E-5</v>
      </c>
    </row>
    <row r="3455" spans="1:5">
      <c r="A3455">
        <v>2019</v>
      </c>
      <c r="B3455" s="3" t="s">
        <v>1134</v>
      </c>
      <c r="C3455" t="s">
        <v>1928</v>
      </c>
      <c r="D3455" s="9">
        <v>339886</v>
      </c>
      <c r="E3455">
        <v>2.8830000000000001E-4</v>
      </c>
    </row>
    <row r="3456" spans="1:5">
      <c r="A3456">
        <v>2019</v>
      </c>
      <c r="B3456" s="3" t="s">
        <v>1103</v>
      </c>
      <c r="C3456" t="s">
        <v>1929</v>
      </c>
      <c r="D3456" s="9">
        <v>132073</v>
      </c>
      <c r="E3456">
        <v>1.12E-4</v>
      </c>
    </row>
    <row r="3457" spans="1:5">
      <c r="A3457">
        <v>2019</v>
      </c>
      <c r="B3457" s="3" t="s">
        <v>1104</v>
      </c>
      <c r="C3457" t="s">
        <v>1930</v>
      </c>
      <c r="D3457" s="9">
        <v>1234669</v>
      </c>
      <c r="E3457">
        <v>1.0471E-3</v>
      </c>
    </row>
    <row r="3458" spans="1:5">
      <c r="A3458">
        <v>2019</v>
      </c>
      <c r="B3458" s="3" t="s">
        <v>1105</v>
      </c>
      <c r="C3458" t="s">
        <v>1931</v>
      </c>
      <c r="D3458" s="9">
        <v>14258</v>
      </c>
      <c r="E3458">
        <v>1.2099999999999999E-5</v>
      </c>
    </row>
    <row r="3459" spans="1:5">
      <c r="A3459">
        <v>2019</v>
      </c>
      <c r="B3459" s="3" t="s">
        <v>451</v>
      </c>
      <c r="C3459" t="s">
        <v>1932</v>
      </c>
      <c r="D3459" s="9">
        <v>752652</v>
      </c>
      <c r="E3459">
        <v>6.3829999999999996E-4</v>
      </c>
    </row>
    <row r="3460" spans="1:5">
      <c r="A3460">
        <v>2019</v>
      </c>
      <c r="B3460" s="3" t="s">
        <v>1106</v>
      </c>
      <c r="C3460" t="s">
        <v>1933</v>
      </c>
      <c r="D3460" s="9">
        <v>109455</v>
      </c>
      <c r="E3460">
        <v>9.2800000000000006E-5</v>
      </c>
    </row>
    <row r="3461" spans="1:5">
      <c r="A3461">
        <v>2019</v>
      </c>
      <c r="B3461" s="3" t="s">
        <v>1107</v>
      </c>
      <c r="C3461" t="s">
        <v>1934</v>
      </c>
      <c r="D3461" s="9">
        <v>664169</v>
      </c>
      <c r="E3461">
        <v>5.6329999999999998E-4</v>
      </c>
    </row>
    <row r="3462" spans="1:5">
      <c r="A3462">
        <v>2019</v>
      </c>
      <c r="B3462" s="3" t="s">
        <v>1108</v>
      </c>
      <c r="C3462" t="s">
        <v>1053</v>
      </c>
      <c r="D3462" s="9">
        <v>1098187</v>
      </c>
      <c r="E3462">
        <v>9.3139999999999998E-4</v>
      </c>
    </row>
    <row r="3463" spans="1:5">
      <c r="A3463">
        <v>2019</v>
      </c>
      <c r="B3463" s="3" t="s">
        <v>2390</v>
      </c>
      <c r="C3463" t="s">
        <v>2391</v>
      </c>
      <c r="D3463" s="9">
        <v>27903</v>
      </c>
      <c r="E3463">
        <v>2.37E-5</v>
      </c>
    </row>
    <row r="3464" spans="1:5">
      <c r="A3464">
        <v>2019</v>
      </c>
      <c r="B3464" s="3" t="s">
        <v>1110</v>
      </c>
      <c r="C3464" t="s">
        <v>1935</v>
      </c>
      <c r="D3464" s="9">
        <v>1687147</v>
      </c>
      <c r="E3464">
        <v>1.4308999999999999E-3</v>
      </c>
    </row>
    <row r="3465" spans="1:5">
      <c r="A3465">
        <v>2019</v>
      </c>
      <c r="B3465" s="3" t="s">
        <v>1109</v>
      </c>
      <c r="C3465" t="s">
        <v>1936</v>
      </c>
      <c r="D3465" s="9">
        <v>261579</v>
      </c>
      <c r="E3465">
        <v>2.218E-4</v>
      </c>
    </row>
    <row r="3466" spans="1:5">
      <c r="A3466">
        <v>2019</v>
      </c>
      <c r="B3466" s="3" t="s">
        <v>1111</v>
      </c>
      <c r="C3466" t="s">
        <v>1937</v>
      </c>
      <c r="D3466" s="9">
        <v>26316</v>
      </c>
      <c r="E3466">
        <v>2.23E-5</v>
      </c>
    </row>
    <row r="3467" spans="1:5">
      <c r="A3467">
        <v>2019</v>
      </c>
      <c r="B3467" s="3" t="s">
        <v>1112</v>
      </c>
      <c r="C3467" t="s">
        <v>1938</v>
      </c>
      <c r="D3467" s="9">
        <v>13422981</v>
      </c>
      <c r="E3467">
        <v>1.1384200000000001E-2</v>
      </c>
    </row>
    <row r="3468" spans="1:5">
      <c r="A3468">
        <v>2019</v>
      </c>
      <c r="B3468" s="3" t="s">
        <v>452</v>
      </c>
      <c r="C3468" t="s">
        <v>1939</v>
      </c>
      <c r="D3468" s="9">
        <v>12370605</v>
      </c>
      <c r="E3468">
        <v>1.04916E-2</v>
      </c>
    </row>
    <row r="3469" spans="1:5">
      <c r="A3469">
        <v>2019</v>
      </c>
      <c r="B3469" s="3" t="s">
        <v>1113</v>
      </c>
      <c r="C3469" t="s">
        <v>1058</v>
      </c>
      <c r="D3469" s="9">
        <v>69090</v>
      </c>
      <c r="E3469">
        <v>5.8600000000000001E-5</v>
      </c>
    </row>
    <row r="3470" spans="1:5">
      <c r="A3470">
        <v>2019</v>
      </c>
      <c r="B3470" s="3" t="s">
        <v>1481</v>
      </c>
      <c r="C3470" t="s">
        <v>1479</v>
      </c>
      <c r="D3470" s="9">
        <v>107940</v>
      </c>
      <c r="E3470">
        <v>9.1500000000000001E-5</v>
      </c>
    </row>
    <row r="3471" spans="1:5">
      <c r="A3471">
        <v>2019</v>
      </c>
      <c r="B3471" s="3" t="s">
        <v>453</v>
      </c>
      <c r="C3471" t="s">
        <v>1940</v>
      </c>
      <c r="D3471" s="9">
        <v>715377</v>
      </c>
      <c r="E3471">
        <v>6.0669999999999995E-4</v>
      </c>
    </row>
    <row r="3472" spans="1:5">
      <c r="A3472">
        <v>2019</v>
      </c>
      <c r="B3472" s="3" t="s">
        <v>1115</v>
      </c>
      <c r="C3472" t="s">
        <v>1941</v>
      </c>
      <c r="D3472" s="9">
        <v>47906</v>
      </c>
      <c r="E3472">
        <v>4.0599999999999998E-5</v>
      </c>
    </row>
    <row r="3473" spans="1:5">
      <c r="A3473">
        <v>2019</v>
      </c>
      <c r="B3473" s="3" t="s">
        <v>1114</v>
      </c>
      <c r="C3473" t="s">
        <v>1942</v>
      </c>
      <c r="D3473" s="9">
        <v>487200</v>
      </c>
      <c r="E3473">
        <v>4.1320000000000001E-4</v>
      </c>
    </row>
    <row r="3474" spans="1:5">
      <c r="A3474">
        <v>2019</v>
      </c>
      <c r="B3474" s="3" t="s">
        <v>1116</v>
      </c>
      <c r="C3474" t="s">
        <v>2388</v>
      </c>
      <c r="D3474" s="9">
        <v>129480</v>
      </c>
      <c r="E3474">
        <v>1.098E-4</v>
      </c>
    </row>
    <row r="3475" spans="1:5">
      <c r="A3475">
        <v>2019</v>
      </c>
      <c r="B3475" s="3" t="s">
        <v>1117</v>
      </c>
      <c r="C3475" t="s">
        <v>1944</v>
      </c>
      <c r="D3475" s="9">
        <v>153812</v>
      </c>
      <c r="E3475">
        <v>1.304E-4</v>
      </c>
    </row>
    <row r="3476" spans="1:5">
      <c r="A3476">
        <v>2019</v>
      </c>
      <c r="B3476" s="3" t="s">
        <v>1118</v>
      </c>
      <c r="C3476" t="s">
        <v>1945</v>
      </c>
      <c r="D3476" s="9">
        <v>47999</v>
      </c>
      <c r="E3476">
        <v>4.07E-5</v>
      </c>
    </row>
    <row r="3477" spans="1:5">
      <c r="A3477">
        <v>2019</v>
      </c>
      <c r="B3477" s="3" t="s">
        <v>1119</v>
      </c>
      <c r="C3477" t="s">
        <v>1946</v>
      </c>
      <c r="D3477" s="9">
        <v>1276783</v>
      </c>
      <c r="E3477">
        <v>1.0828999999999999E-3</v>
      </c>
    </row>
    <row r="3478" spans="1:5">
      <c r="A3478">
        <v>2019</v>
      </c>
      <c r="B3478" s="3" t="s">
        <v>454</v>
      </c>
      <c r="C3478" t="s">
        <v>1947</v>
      </c>
      <c r="D3478" s="9">
        <v>632766</v>
      </c>
      <c r="E3478">
        <v>5.3669999999999998E-4</v>
      </c>
    </row>
    <row r="3479" spans="1:5">
      <c r="A3479">
        <v>2019</v>
      </c>
      <c r="B3479" s="3" t="s">
        <v>1121</v>
      </c>
      <c r="C3479" t="s">
        <v>1949</v>
      </c>
      <c r="D3479" s="9">
        <v>3029654</v>
      </c>
      <c r="E3479">
        <v>2.5695000000000002E-3</v>
      </c>
    </row>
    <row r="3480" spans="1:5">
      <c r="A3480">
        <v>2019</v>
      </c>
      <c r="B3480" s="3" t="s">
        <v>455</v>
      </c>
      <c r="C3480" t="s">
        <v>1950</v>
      </c>
      <c r="D3480" s="9">
        <v>1339629</v>
      </c>
      <c r="E3480">
        <v>1.1362E-3</v>
      </c>
    </row>
    <row r="3481" spans="1:5">
      <c r="A3481">
        <v>2019</v>
      </c>
      <c r="B3481" s="3" t="s">
        <v>1122</v>
      </c>
      <c r="C3481" t="s">
        <v>1951</v>
      </c>
      <c r="D3481" s="9">
        <v>23095</v>
      </c>
      <c r="E3481">
        <v>1.9599999999999999E-5</v>
      </c>
    </row>
    <row r="3482" spans="1:5">
      <c r="A3482">
        <v>2019</v>
      </c>
      <c r="B3482" s="3" t="s">
        <v>1123</v>
      </c>
      <c r="C3482" t="s">
        <v>1952</v>
      </c>
      <c r="D3482" s="9">
        <v>57944</v>
      </c>
      <c r="E3482">
        <v>4.9100000000000001E-5</v>
      </c>
    </row>
    <row r="3483" spans="1:5">
      <c r="A3483">
        <v>2019</v>
      </c>
      <c r="B3483" s="3" t="s">
        <v>1124</v>
      </c>
      <c r="C3483" t="s">
        <v>1953</v>
      </c>
      <c r="D3483" s="9">
        <v>121779</v>
      </c>
      <c r="E3483">
        <v>1.033E-4</v>
      </c>
    </row>
    <row r="3484" spans="1:5">
      <c r="A3484">
        <v>2019</v>
      </c>
      <c r="B3484" s="3" t="s">
        <v>1125</v>
      </c>
      <c r="C3484" t="s">
        <v>1954</v>
      </c>
      <c r="D3484" s="9">
        <v>1126365</v>
      </c>
      <c r="E3484">
        <v>9.5529999999999996E-4</v>
      </c>
    </row>
    <row r="3485" spans="1:5">
      <c r="A3485">
        <v>2019</v>
      </c>
      <c r="B3485" s="3" t="s">
        <v>1245</v>
      </c>
      <c r="C3485" t="s">
        <v>1955</v>
      </c>
      <c r="D3485" s="9">
        <v>165647</v>
      </c>
      <c r="E3485">
        <v>1.405E-4</v>
      </c>
    </row>
    <row r="3486" spans="1:5">
      <c r="A3486">
        <v>2019</v>
      </c>
      <c r="B3486" s="3" t="s">
        <v>1126</v>
      </c>
      <c r="C3486" t="s">
        <v>1956</v>
      </c>
      <c r="D3486" s="9">
        <v>100136</v>
      </c>
      <c r="E3486">
        <v>8.4900000000000004E-5</v>
      </c>
    </row>
    <row r="3487" spans="1:5">
      <c r="A3487">
        <v>2019</v>
      </c>
      <c r="B3487" s="3" t="s">
        <v>1127</v>
      </c>
      <c r="C3487" t="s">
        <v>1957</v>
      </c>
      <c r="D3487" s="9">
        <v>1503503</v>
      </c>
      <c r="E3487">
        <v>1.2750999999999999E-3</v>
      </c>
    </row>
    <row r="3488" spans="1:5">
      <c r="A3488">
        <v>2019</v>
      </c>
      <c r="B3488" s="3" t="s">
        <v>456</v>
      </c>
      <c r="C3488" t="s">
        <v>1958</v>
      </c>
      <c r="D3488" s="9">
        <v>330840</v>
      </c>
      <c r="E3488">
        <v>2.8059999999999999E-4</v>
      </c>
    </row>
    <row r="3489" spans="1:5">
      <c r="A3489">
        <v>2019</v>
      </c>
      <c r="B3489" s="3" t="s">
        <v>1128</v>
      </c>
      <c r="C3489" t="s">
        <v>1959</v>
      </c>
      <c r="D3489" s="9">
        <v>122474</v>
      </c>
      <c r="E3489">
        <v>1.039E-4</v>
      </c>
    </row>
    <row r="3490" spans="1:5">
      <c r="A3490">
        <v>2019</v>
      </c>
      <c r="B3490" s="3" t="s">
        <v>1129</v>
      </c>
      <c r="C3490" t="s">
        <v>1074</v>
      </c>
      <c r="D3490" s="9">
        <v>12925</v>
      </c>
      <c r="E3490">
        <v>1.1E-5</v>
      </c>
    </row>
    <row r="3491" spans="1:5">
      <c r="A3491">
        <v>2019</v>
      </c>
      <c r="B3491" s="3" t="s">
        <v>1130</v>
      </c>
      <c r="C3491" t="s">
        <v>1075</v>
      </c>
      <c r="D3491" s="9"/>
    </row>
    <row r="3492" spans="1:5">
      <c r="A3492">
        <v>2019</v>
      </c>
      <c r="B3492" s="3" t="s">
        <v>1131</v>
      </c>
      <c r="C3492" t="s">
        <v>1960</v>
      </c>
      <c r="D3492" s="9">
        <v>23580</v>
      </c>
      <c r="E3492">
        <v>2.0000000000000002E-5</v>
      </c>
    </row>
    <row r="3493" spans="1:5">
      <c r="A3493">
        <v>2019</v>
      </c>
      <c r="B3493" s="3" t="s">
        <v>457</v>
      </c>
      <c r="C3493" t="s">
        <v>1961</v>
      </c>
      <c r="D3493" s="9">
        <v>120150</v>
      </c>
      <c r="E3493">
        <v>1.019E-4</v>
      </c>
    </row>
    <row r="3494" spans="1:5">
      <c r="A3494">
        <v>2019</v>
      </c>
      <c r="B3494" s="3" t="s">
        <v>1132</v>
      </c>
      <c r="C3494" t="s">
        <v>2389</v>
      </c>
      <c r="D3494" s="9">
        <v>72703</v>
      </c>
      <c r="E3494">
        <v>6.1699999999999995E-5</v>
      </c>
    </row>
    <row r="3495" spans="1:5">
      <c r="A3495">
        <v>2019</v>
      </c>
      <c r="B3495" s="3" t="s">
        <v>1133</v>
      </c>
      <c r="C3495" t="s">
        <v>1962</v>
      </c>
      <c r="D3495" s="9">
        <v>76574</v>
      </c>
      <c r="E3495">
        <v>6.4900000000000005E-5</v>
      </c>
    </row>
    <row r="3496" spans="1:5">
      <c r="A3496">
        <v>2019</v>
      </c>
      <c r="B3496" s="3" t="s">
        <v>1994</v>
      </c>
      <c r="C3496" t="s">
        <v>1963</v>
      </c>
      <c r="D3496" s="9">
        <v>50954</v>
      </c>
      <c r="E3496">
        <v>4.32E-5</v>
      </c>
    </row>
    <row r="3497" spans="1:5">
      <c r="A3497">
        <v>2019</v>
      </c>
      <c r="B3497" s="3" t="s">
        <v>1246</v>
      </c>
      <c r="C3497" t="s">
        <v>1964</v>
      </c>
      <c r="D3497" s="9">
        <v>114240</v>
      </c>
      <c r="E3497">
        <v>9.6899999999999997E-5</v>
      </c>
    </row>
    <row r="3498" spans="1:5">
      <c r="A3498">
        <v>2019</v>
      </c>
      <c r="B3498" s="3" t="s">
        <v>1135</v>
      </c>
      <c r="C3498" t="s">
        <v>1965</v>
      </c>
      <c r="D3498" s="9">
        <v>241228</v>
      </c>
      <c r="E3498">
        <v>2.0460000000000001E-4</v>
      </c>
    </row>
    <row r="3499" spans="1:5">
      <c r="A3499">
        <v>2019</v>
      </c>
      <c r="B3499" s="3" t="s">
        <v>1136</v>
      </c>
      <c r="C3499" t="s">
        <v>1966</v>
      </c>
      <c r="D3499" s="9">
        <v>504888</v>
      </c>
      <c r="E3499">
        <v>4.282E-4</v>
      </c>
    </row>
    <row r="3500" spans="1:5">
      <c r="A3500">
        <v>2019</v>
      </c>
      <c r="B3500" s="3" t="s">
        <v>458</v>
      </c>
      <c r="C3500" t="s">
        <v>1967</v>
      </c>
      <c r="D3500" s="9">
        <v>129536</v>
      </c>
      <c r="E3500">
        <v>1.099E-4</v>
      </c>
    </row>
    <row r="3501" spans="1:5">
      <c r="A3501">
        <v>2019</v>
      </c>
      <c r="B3501" s="3" t="s">
        <v>1137</v>
      </c>
      <c r="C3501" t="s">
        <v>1968</v>
      </c>
      <c r="D3501" s="9">
        <v>256248</v>
      </c>
      <c r="E3501">
        <v>2.173E-4</v>
      </c>
    </row>
    <row r="3502" spans="1:5">
      <c r="A3502">
        <v>2019</v>
      </c>
      <c r="B3502" s="3" t="s">
        <v>1247</v>
      </c>
      <c r="C3502" t="s">
        <v>1969</v>
      </c>
      <c r="D3502" s="9">
        <v>28741</v>
      </c>
      <c r="E3502">
        <v>2.44E-5</v>
      </c>
    </row>
    <row r="3503" spans="1:5">
      <c r="A3503">
        <v>2019</v>
      </c>
      <c r="B3503" s="3" t="s">
        <v>1138</v>
      </c>
      <c r="C3503" t="s">
        <v>1083</v>
      </c>
      <c r="D3503" s="9"/>
    </row>
    <row r="3504" spans="1:5">
      <c r="A3504">
        <v>2019</v>
      </c>
      <c r="B3504" s="3" t="s">
        <v>96</v>
      </c>
      <c r="C3504" t="s">
        <v>1970</v>
      </c>
      <c r="D3504" s="9">
        <v>16028</v>
      </c>
      <c r="E3504">
        <v>1.36E-5</v>
      </c>
    </row>
    <row r="3505" spans="1:5">
      <c r="A3505">
        <v>2019</v>
      </c>
      <c r="B3505" s="3" t="s">
        <v>1139</v>
      </c>
      <c r="C3505" t="s">
        <v>1084</v>
      </c>
      <c r="D3505" s="9">
        <v>52488</v>
      </c>
      <c r="E3505">
        <v>4.4499999999999997E-5</v>
      </c>
    </row>
    <row r="3506" spans="1:5">
      <c r="A3506">
        <v>2019</v>
      </c>
      <c r="B3506" s="3" t="s">
        <v>1141</v>
      </c>
      <c r="C3506" t="s">
        <v>1971</v>
      </c>
      <c r="D3506" s="9">
        <v>21762</v>
      </c>
      <c r="E3506">
        <v>1.8499999999999999E-5</v>
      </c>
    </row>
    <row r="3507" spans="1:5">
      <c r="A3507">
        <v>2019</v>
      </c>
      <c r="B3507" s="3" t="s">
        <v>1142</v>
      </c>
      <c r="C3507" t="s">
        <v>1087</v>
      </c>
      <c r="D3507" s="9">
        <v>152951</v>
      </c>
      <c r="E3507">
        <v>1.2970000000000001E-4</v>
      </c>
    </row>
    <row r="3508" spans="1:5">
      <c r="A3508">
        <v>2019</v>
      </c>
      <c r="B3508" s="3" t="s">
        <v>1143</v>
      </c>
      <c r="C3508" t="s">
        <v>1088</v>
      </c>
      <c r="D3508" s="9"/>
    </row>
    <row r="3509" spans="1:5">
      <c r="A3509">
        <v>2019</v>
      </c>
      <c r="B3509" s="3" t="s">
        <v>1144</v>
      </c>
      <c r="C3509" t="s">
        <v>1089</v>
      </c>
      <c r="D3509" s="9"/>
    </row>
    <row r="3510" spans="1:5">
      <c r="A3510">
        <v>2019</v>
      </c>
      <c r="B3510" s="3" t="s">
        <v>1146</v>
      </c>
      <c r="C3510" t="s">
        <v>1973</v>
      </c>
      <c r="D3510" s="9">
        <v>8648382</v>
      </c>
      <c r="E3510">
        <v>7.3347999999999998E-3</v>
      </c>
    </row>
    <row r="3511" spans="1:5">
      <c r="A3511">
        <v>2019</v>
      </c>
      <c r="B3511" s="3" t="s">
        <v>1147</v>
      </c>
      <c r="C3511" t="s">
        <v>1092</v>
      </c>
      <c r="D3511" s="9">
        <v>8234</v>
      </c>
      <c r="E3511">
        <v>6.9999999999999999E-6</v>
      </c>
    </row>
    <row r="3512" spans="1:5">
      <c r="A3512">
        <v>2019</v>
      </c>
      <c r="B3512" s="3" t="s">
        <v>1148</v>
      </c>
      <c r="C3512" t="s">
        <v>1974</v>
      </c>
      <c r="D3512" s="9">
        <v>233760</v>
      </c>
      <c r="E3512">
        <v>1.983E-4</v>
      </c>
    </row>
    <row r="3513" spans="1:5">
      <c r="A3513">
        <v>2019</v>
      </c>
      <c r="B3513" s="3" t="s">
        <v>1248</v>
      </c>
      <c r="C3513" t="s">
        <v>1975</v>
      </c>
      <c r="D3513" s="9">
        <v>62465</v>
      </c>
      <c r="E3513">
        <v>5.3000000000000001E-5</v>
      </c>
    </row>
    <row r="3514" spans="1:5">
      <c r="A3514">
        <v>2019</v>
      </c>
      <c r="B3514" s="3" t="s">
        <v>1149</v>
      </c>
      <c r="C3514" t="s">
        <v>1094</v>
      </c>
      <c r="D3514" s="9">
        <v>236376</v>
      </c>
      <c r="E3514">
        <v>2.0049999999999999E-4</v>
      </c>
    </row>
    <row r="3515" spans="1:5">
      <c r="A3515">
        <v>2019</v>
      </c>
      <c r="B3515" s="3" t="s">
        <v>1150</v>
      </c>
      <c r="C3515" t="s">
        <v>2392</v>
      </c>
      <c r="D3515" s="9">
        <v>183086</v>
      </c>
      <c r="E3515">
        <v>1.5530000000000001E-4</v>
      </c>
    </row>
    <row r="3516" spans="1:5">
      <c r="A3516">
        <v>2019</v>
      </c>
      <c r="B3516" s="3" t="s">
        <v>459</v>
      </c>
      <c r="C3516" t="s">
        <v>1977</v>
      </c>
      <c r="D3516" s="9">
        <v>4523518</v>
      </c>
      <c r="E3516">
        <v>3.8363999999999998E-3</v>
      </c>
    </row>
    <row r="3517" spans="1:5">
      <c r="A3517">
        <v>2019</v>
      </c>
      <c r="B3517" s="3" t="s">
        <v>1152</v>
      </c>
      <c r="C3517" t="s">
        <v>1979</v>
      </c>
      <c r="D3517" s="9">
        <v>1073244</v>
      </c>
      <c r="E3517">
        <v>9.1020000000000001E-4</v>
      </c>
    </row>
    <row r="3518" spans="1:5">
      <c r="A3518">
        <v>2019</v>
      </c>
      <c r="B3518" s="3" t="s">
        <v>1249</v>
      </c>
      <c r="C3518" t="s">
        <v>1980</v>
      </c>
      <c r="D3518" s="9">
        <v>136577</v>
      </c>
      <c r="E3518">
        <v>1.158E-4</v>
      </c>
    </row>
    <row r="3519" spans="1:5">
      <c r="A3519">
        <v>2019</v>
      </c>
      <c r="B3519" s="3" t="s">
        <v>1153</v>
      </c>
      <c r="C3519" t="s">
        <v>1981</v>
      </c>
      <c r="D3519" s="9">
        <v>191948</v>
      </c>
      <c r="E3519">
        <v>1.628E-4</v>
      </c>
    </row>
    <row r="3520" spans="1:5">
      <c r="A3520">
        <v>2019</v>
      </c>
      <c r="B3520" s="3" t="s">
        <v>1154</v>
      </c>
      <c r="C3520" t="s">
        <v>1982</v>
      </c>
      <c r="D3520" s="9">
        <v>7994616</v>
      </c>
      <c r="E3520">
        <v>6.7803000000000004E-3</v>
      </c>
    </row>
    <row r="3521" spans="1:5">
      <c r="A3521">
        <v>2019</v>
      </c>
      <c r="B3521" s="3" t="s">
        <v>1209</v>
      </c>
      <c r="C3521" t="s">
        <v>1983</v>
      </c>
      <c r="D3521" s="9">
        <v>8243047</v>
      </c>
      <c r="E3521">
        <v>6.9909999999999998E-3</v>
      </c>
    </row>
    <row r="3522" spans="1:5">
      <c r="A3522">
        <v>2019</v>
      </c>
      <c r="B3522" s="3" t="s">
        <v>460</v>
      </c>
      <c r="C3522" t="s">
        <v>1984</v>
      </c>
      <c r="D3522" s="9">
        <v>8996952</v>
      </c>
      <c r="E3522">
        <v>7.6303999999999999E-3</v>
      </c>
    </row>
    <row r="3523" spans="1:5">
      <c r="A3523">
        <v>2019</v>
      </c>
      <c r="B3523" s="3" t="s">
        <v>1210</v>
      </c>
      <c r="C3523" t="s">
        <v>1985</v>
      </c>
      <c r="D3523" s="9">
        <v>743048</v>
      </c>
      <c r="E3523">
        <v>6.3020000000000003E-4</v>
      </c>
    </row>
    <row r="3524" spans="1:5">
      <c r="A3524">
        <v>2019</v>
      </c>
      <c r="B3524" s="3" t="s">
        <v>1250</v>
      </c>
      <c r="C3524" t="s">
        <v>1986</v>
      </c>
      <c r="D3524" s="9">
        <v>184357</v>
      </c>
      <c r="E3524">
        <v>1.5640000000000001E-4</v>
      </c>
    </row>
    <row r="3525" spans="1:5">
      <c r="A3525">
        <v>2019</v>
      </c>
      <c r="B3525" s="3" t="s">
        <v>1211</v>
      </c>
      <c r="C3525" t="s">
        <v>1157</v>
      </c>
      <c r="D3525" s="9">
        <v>3690</v>
      </c>
      <c r="E3525">
        <v>3.1E-6</v>
      </c>
    </row>
    <row r="3526" spans="1:5">
      <c r="A3526">
        <v>2019</v>
      </c>
      <c r="B3526" s="3" t="s">
        <v>1483</v>
      </c>
      <c r="C3526" t="s">
        <v>1482</v>
      </c>
      <c r="D3526" s="9">
        <v>73016</v>
      </c>
      <c r="E3526">
        <v>6.19E-5</v>
      </c>
    </row>
    <row r="3527" spans="1:5">
      <c r="A3527">
        <v>2019</v>
      </c>
      <c r="B3527" s="3" t="s">
        <v>1212</v>
      </c>
      <c r="C3527" t="s">
        <v>1987</v>
      </c>
      <c r="D3527" s="9">
        <v>1804222</v>
      </c>
      <c r="E3527">
        <v>1.5302E-3</v>
      </c>
    </row>
    <row r="3528" spans="1:5">
      <c r="A3528">
        <v>2019</v>
      </c>
      <c r="B3528" s="3" t="s">
        <v>1213</v>
      </c>
      <c r="C3528" t="s">
        <v>1988</v>
      </c>
      <c r="D3528" s="9">
        <v>5948793</v>
      </c>
      <c r="E3528">
        <v>5.0451999999999997E-3</v>
      </c>
    </row>
    <row r="3529" spans="1:5">
      <c r="A3529">
        <v>2019</v>
      </c>
      <c r="B3529" s="3" t="s">
        <v>461</v>
      </c>
      <c r="C3529" t="s">
        <v>1989</v>
      </c>
      <c r="D3529" s="9">
        <v>1044694</v>
      </c>
      <c r="E3529">
        <v>8.8599999999999996E-4</v>
      </c>
    </row>
    <row r="3530" spans="1:5">
      <c r="A3530">
        <v>2019</v>
      </c>
      <c r="B3530" s="3" t="s">
        <v>1214</v>
      </c>
      <c r="C3530" t="s">
        <v>1990</v>
      </c>
      <c r="D3530" s="9">
        <v>435024</v>
      </c>
      <c r="E3530">
        <v>3.6890000000000002E-4</v>
      </c>
    </row>
    <row r="3531" spans="1:5">
      <c r="A3531">
        <v>2019</v>
      </c>
      <c r="B3531" s="3" t="s">
        <v>1215</v>
      </c>
      <c r="C3531" t="s">
        <v>1991</v>
      </c>
      <c r="D3531" s="9">
        <v>461547</v>
      </c>
      <c r="E3531">
        <v>3.9140000000000003E-4</v>
      </c>
    </row>
    <row r="3532" spans="1:5">
      <c r="A3532">
        <v>2019</v>
      </c>
      <c r="B3532" s="3" t="s">
        <v>462</v>
      </c>
      <c r="C3532" t="s">
        <v>1992</v>
      </c>
      <c r="D3532" s="9">
        <v>71218</v>
      </c>
      <c r="E3532">
        <v>6.0399999999999998E-5</v>
      </c>
    </row>
    <row r="3533" spans="1:5">
      <c r="A3533">
        <v>2019</v>
      </c>
      <c r="B3533" s="3" t="s">
        <v>1217</v>
      </c>
      <c r="C3533" t="s">
        <v>1993</v>
      </c>
      <c r="D3533" s="9">
        <v>97970</v>
      </c>
      <c r="E3533">
        <v>8.3100000000000001E-5</v>
      </c>
    </row>
    <row r="3534" spans="1:5">
      <c r="A3534">
        <v>2019</v>
      </c>
      <c r="B3534" s="3" t="s">
        <v>1218</v>
      </c>
      <c r="C3534" t="s">
        <v>1995</v>
      </c>
      <c r="D3534" s="9">
        <v>84792</v>
      </c>
      <c r="E3534">
        <v>7.1899999999999999E-5</v>
      </c>
    </row>
    <row r="3535" spans="1:5">
      <c r="A3535">
        <v>2019</v>
      </c>
      <c r="B3535" s="3" t="s">
        <v>1255</v>
      </c>
      <c r="C3535" t="s">
        <v>1201</v>
      </c>
      <c r="D3535" s="9">
        <v>4870</v>
      </c>
      <c r="E3535">
        <v>4.0999999999999997E-6</v>
      </c>
    </row>
    <row r="3536" spans="1:5">
      <c r="A3536">
        <v>2019</v>
      </c>
      <c r="B3536" s="3" t="s">
        <v>1256</v>
      </c>
      <c r="C3536" t="s">
        <v>1202</v>
      </c>
      <c r="D3536" s="9">
        <v>48762</v>
      </c>
      <c r="E3536">
        <v>4.1399999999999997E-5</v>
      </c>
    </row>
    <row r="3537" spans="1:5">
      <c r="A3537">
        <v>2019</v>
      </c>
      <c r="B3537" s="3" t="s">
        <v>1257</v>
      </c>
      <c r="C3537" t="s">
        <v>1996</v>
      </c>
      <c r="D3537" s="9">
        <v>1290654</v>
      </c>
      <c r="E3537">
        <v>1.0946E-3</v>
      </c>
    </row>
    <row r="3538" spans="1:5">
      <c r="A3538">
        <v>2019</v>
      </c>
      <c r="B3538" s="3" t="s">
        <v>1258</v>
      </c>
      <c r="C3538" t="s">
        <v>1204</v>
      </c>
      <c r="D3538" s="9">
        <v>1258511</v>
      </c>
      <c r="E3538">
        <v>1.0674E-3</v>
      </c>
    </row>
    <row r="3539" spans="1:5">
      <c r="A3539">
        <v>2019</v>
      </c>
      <c r="B3539" s="3" t="s">
        <v>1259</v>
      </c>
      <c r="C3539" t="s">
        <v>1205</v>
      </c>
      <c r="D3539" s="9">
        <v>300135</v>
      </c>
      <c r="E3539">
        <v>2.5450000000000001E-4</v>
      </c>
    </row>
    <row r="3540" spans="1:5">
      <c r="A3540">
        <v>2019</v>
      </c>
      <c r="B3540" s="3" t="s">
        <v>1260</v>
      </c>
      <c r="C3540" t="s">
        <v>1206</v>
      </c>
      <c r="D3540" s="9">
        <v>66471</v>
      </c>
      <c r="E3540">
        <v>5.6400000000000002E-5</v>
      </c>
    </row>
    <row r="3541" spans="1:5">
      <c r="A3541">
        <v>2019</v>
      </c>
      <c r="B3541" s="3" t="s">
        <v>1261</v>
      </c>
      <c r="C3541" t="s">
        <v>1997</v>
      </c>
      <c r="D3541" s="9">
        <v>30147603</v>
      </c>
      <c r="E3541">
        <v>2.5568500000000001E-2</v>
      </c>
    </row>
    <row r="3542" spans="1:5">
      <c r="A3542">
        <v>2019</v>
      </c>
      <c r="B3542" s="3" t="s">
        <v>1262</v>
      </c>
      <c r="C3542" t="s">
        <v>1208</v>
      </c>
      <c r="D3542" s="9">
        <v>39055</v>
      </c>
      <c r="E3542">
        <v>3.3099999999999998E-5</v>
      </c>
    </row>
    <row r="3543" spans="1:5">
      <c r="A3543">
        <v>2019</v>
      </c>
      <c r="B3543" s="3" t="s">
        <v>1251</v>
      </c>
      <c r="C3543" t="s">
        <v>1998</v>
      </c>
      <c r="D3543" s="9">
        <v>35006</v>
      </c>
      <c r="E3543">
        <v>2.97E-5</v>
      </c>
    </row>
    <row r="3544" spans="1:5">
      <c r="A3544">
        <v>2019</v>
      </c>
      <c r="B3544" s="3" t="s">
        <v>1311</v>
      </c>
      <c r="C3544" t="s">
        <v>1999</v>
      </c>
      <c r="D3544" s="9">
        <v>845666</v>
      </c>
      <c r="E3544">
        <v>7.1719999999999998E-4</v>
      </c>
    </row>
    <row r="3545" spans="1:5">
      <c r="A3545">
        <v>2019</v>
      </c>
      <c r="B3545" s="3" t="s">
        <v>1312</v>
      </c>
      <c r="C3545" t="s">
        <v>2000</v>
      </c>
      <c r="D3545" s="9">
        <v>50462026</v>
      </c>
      <c r="E3545">
        <v>4.2797300000000003E-2</v>
      </c>
    </row>
    <row r="3546" spans="1:5">
      <c r="A3546">
        <v>2019</v>
      </c>
      <c r="B3546" s="3" t="s">
        <v>1313</v>
      </c>
      <c r="C3546" t="s">
        <v>2001</v>
      </c>
      <c r="D3546" s="9">
        <v>8049218</v>
      </c>
      <c r="E3546">
        <v>6.8266000000000004E-3</v>
      </c>
    </row>
    <row r="3547" spans="1:5">
      <c r="A3547">
        <v>2019</v>
      </c>
      <c r="B3547" s="3" t="s">
        <v>1314</v>
      </c>
      <c r="C3547" t="s">
        <v>2002</v>
      </c>
      <c r="D3547" s="9">
        <v>77906</v>
      </c>
      <c r="E3547">
        <v>6.6099999999999994E-5</v>
      </c>
    </row>
    <row r="3548" spans="1:5">
      <c r="A3548">
        <v>2019</v>
      </c>
      <c r="B3548" s="3" t="s">
        <v>1035</v>
      </c>
      <c r="C3548" t="s">
        <v>2003</v>
      </c>
      <c r="D3548" s="9">
        <v>291629</v>
      </c>
      <c r="E3548">
        <v>2.4729999999999999E-4</v>
      </c>
    </row>
    <row r="3549" spans="1:5">
      <c r="A3549">
        <v>2019</v>
      </c>
      <c r="B3549" s="3" t="s">
        <v>1315</v>
      </c>
      <c r="C3549" t="s">
        <v>2394</v>
      </c>
      <c r="D3549" s="9">
        <v>41221</v>
      </c>
      <c r="E3549">
        <v>3.4999999999999997E-5</v>
      </c>
    </row>
    <row r="3550" spans="1:5">
      <c r="A3550">
        <v>2019</v>
      </c>
      <c r="B3550" s="3" t="s">
        <v>1033</v>
      </c>
      <c r="C3550" t="s">
        <v>2005</v>
      </c>
      <c r="D3550" s="9">
        <v>2611447</v>
      </c>
      <c r="E3550">
        <v>2.2147999999999998E-3</v>
      </c>
    </row>
    <row r="3551" spans="1:5">
      <c r="A3551">
        <v>2019</v>
      </c>
      <c r="B3551" s="3" t="s">
        <v>1316</v>
      </c>
      <c r="C3551" t="s">
        <v>2006</v>
      </c>
      <c r="D3551" s="9">
        <v>327120</v>
      </c>
      <c r="E3551">
        <v>2.7740000000000002E-4</v>
      </c>
    </row>
    <row r="3552" spans="1:5">
      <c r="A3552">
        <v>2019</v>
      </c>
      <c r="B3552" s="3" t="s">
        <v>1317</v>
      </c>
      <c r="C3552" t="s">
        <v>2007</v>
      </c>
      <c r="D3552" s="9">
        <v>102918</v>
      </c>
      <c r="E3552">
        <v>8.7299999999999994E-5</v>
      </c>
    </row>
    <row r="3553" spans="1:5">
      <c r="A3553">
        <v>2019</v>
      </c>
      <c r="B3553" s="3" t="s">
        <v>1318</v>
      </c>
      <c r="C3553" t="s">
        <v>2008</v>
      </c>
      <c r="D3553" s="9"/>
    </row>
    <row r="3554" spans="1:5">
      <c r="A3554">
        <v>2019</v>
      </c>
      <c r="B3554" s="3" t="s">
        <v>1319</v>
      </c>
      <c r="C3554" t="s">
        <v>1271</v>
      </c>
      <c r="D3554" s="9">
        <v>32132</v>
      </c>
      <c r="E3554">
        <v>2.73E-5</v>
      </c>
    </row>
    <row r="3555" spans="1:5">
      <c r="A3555">
        <v>2019</v>
      </c>
      <c r="B3555" s="3" t="s">
        <v>1320</v>
      </c>
      <c r="C3555" t="s">
        <v>2009</v>
      </c>
      <c r="D3555" s="9">
        <v>96546</v>
      </c>
      <c r="E3555">
        <v>8.1899999999999999E-5</v>
      </c>
    </row>
    <row r="3556" spans="1:5">
      <c r="A3556">
        <v>2019</v>
      </c>
      <c r="B3556" s="3" t="s">
        <v>1321</v>
      </c>
      <c r="C3556" t="s">
        <v>1273</v>
      </c>
      <c r="D3556" s="9"/>
    </row>
    <row r="3557" spans="1:5">
      <c r="A3557">
        <v>2019</v>
      </c>
      <c r="B3557" s="3" t="s">
        <v>1323</v>
      </c>
      <c r="C3557" t="s">
        <v>2011</v>
      </c>
      <c r="D3557" s="9">
        <v>13939804</v>
      </c>
      <c r="E3557">
        <v>1.18225E-2</v>
      </c>
    </row>
    <row r="3558" spans="1:5">
      <c r="A3558">
        <v>2019</v>
      </c>
      <c r="B3558" s="3" t="s">
        <v>1325</v>
      </c>
      <c r="C3558" t="s">
        <v>2395</v>
      </c>
      <c r="D3558" s="9">
        <v>118411</v>
      </c>
      <c r="E3558">
        <v>1.004E-4</v>
      </c>
    </row>
    <row r="3559" spans="1:5">
      <c r="A3559">
        <v>2019</v>
      </c>
      <c r="B3559" s="3" t="s">
        <v>1252</v>
      </c>
      <c r="C3559" t="s">
        <v>2013</v>
      </c>
      <c r="D3559" s="9">
        <v>113522</v>
      </c>
      <c r="E3559">
        <v>9.6299999999999996E-5</v>
      </c>
    </row>
    <row r="3560" spans="1:5">
      <c r="A3560">
        <v>2019</v>
      </c>
      <c r="B3560" s="3" t="s">
        <v>1326</v>
      </c>
      <c r="C3560" t="s">
        <v>2014</v>
      </c>
      <c r="D3560" s="9">
        <v>94832</v>
      </c>
      <c r="E3560">
        <v>8.0400000000000003E-5</v>
      </c>
    </row>
    <row r="3561" spans="1:5">
      <c r="A3561">
        <v>2019</v>
      </c>
      <c r="B3561" s="3" t="s">
        <v>1327</v>
      </c>
      <c r="C3561" t="s">
        <v>1279</v>
      </c>
      <c r="D3561" s="9">
        <v>937221</v>
      </c>
      <c r="E3561">
        <v>7.9489999999999997E-4</v>
      </c>
    </row>
    <row r="3562" spans="1:5">
      <c r="A3562">
        <v>2019</v>
      </c>
      <c r="B3562" s="3" t="s">
        <v>1328</v>
      </c>
      <c r="C3562" t="s">
        <v>1484</v>
      </c>
      <c r="D3562" s="9">
        <v>36362</v>
      </c>
      <c r="E3562">
        <v>3.0800000000000003E-5</v>
      </c>
    </row>
    <row r="3563" spans="1:5">
      <c r="A3563">
        <v>2019</v>
      </c>
      <c r="B3563" s="3" t="s">
        <v>1329</v>
      </c>
      <c r="C3563" t="s">
        <v>1485</v>
      </c>
      <c r="D3563" s="9">
        <v>1023644</v>
      </c>
      <c r="E3563">
        <v>8.6819999999999996E-4</v>
      </c>
    </row>
    <row r="3564" spans="1:5">
      <c r="A3564">
        <v>2019</v>
      </c>
      <c r="B3564" s="3" t="s">
        <v>1332</v>
      </c>
      <c r="C3564" t="s">
        <v>1284</v>
      </c>
      <c r="D3564" s="9">
        <v>28402</v>
      </c>
      <c r="E3564">
        <v>2.41E-5</v>
      </c>
    </row>
    <row r="3565" spans="1:5">
      <c r="A3565">
        <v>2019</v>
      </c>
      <c r="B3565" s="3" t="s">
        <v>1333</v>
      </c>
      <c r="C3565" t="s">
        <v>2396</v>
      </c>
      <c r="D3565" s="9">
        <v>5411</v>
      </c>
      <c r="E3565">
        <v>4.6E-6</v>
      </c>
    </row>
    <row r="3566" spans="1:5">
      <c r="A3566">
        <v>2019</v>
      </c>
      <c r="B3566" s="3" t="s">
        <v>1334</v>
      </c>
      <c r="C3566" t="s">
        <v>2016</v>
      </c>
      <c r="D3566" s="9">
        <v>1460764</v>
      </c>
      <c r="E3566">
        <v>1.2389E-3</v>
      </c>
    </row>
    <row r="3567" spans="1:5">
      <c r="A3567">
        <v>2019</v>
      </c>
      <c r="B3567" s="3" t="s">
        <v>1335</v>
      </c>
      <c r="C3567" t="s">
        <v>2017</v>
      </c>
      <c r="D3567" s="9">
        <v>781865</v>
      </c>
      <c r="E3567">
        <v>6.6310000000000002E-4</v>
      </c>
    </row>
    <row r="3568" spans="1:5">
      <c r="A3568">
        <v>2019</v>
      </c>
      <c r="B3568" s="3" t="s">
        <v>1253</v>
      </c>
      <c r="C3568" t="s">
        <v>2018</v>
      </c>
      <c r="D3568" s="9">
        <v>295950</v>
      </c>
      <c r="E3568">
        <v>2.5099999999999998E-4</v>
      </c>
    </row>
    <row r="3569" spans="1:5">
      <c r="A3569">
        <v>2019</v>
      </c>
      <c r="B3569" s="3" t="s">
        <v>1336</v>
      </c>
      <c r="C3569" t="s">
        <v>2019</v>
      </c>
      <c r="D3569" s="9">
        <v>604081</v>
      </c>
      <c r="E3569">
        <v>5.1230000000000004E-4</v>
      </c>
    </row>
    <row r="3570" spans="1:5">
      <c r="A3570">
        <v>2019</v>
      </c>
      <c r="B3570" s="3" t="s">
        <v>463</v>
      </c>
      <c r="C3570" t="s">
        <v>2020</v>
      </c>
      <c r="D3570" s="9">
        <v>191954</v>
      </c>
      <c r="E3570">
        <v>1.628E-4</v>
      </c>
    </row>
    <row r="3571" spans="1:5">
      <c r="A3571">
        <v>2019</v>
      </c>
      <c r="B3571" s="3" t="s">
        <v>1337</v>
      </c>
      <c r="C3571" t="s">
        <v>2021</v>
      </c>
      <c r="D3571" s="9">
        <v>407339</v>
      </c>
      <c r="E3571">
        <v>3.455E-4</v>
      </c>
    </row>
    <row r="3572" spans="1:5">
      <c r="A3572">
        <v>2019</v>
      </c>
      <c r="B3572" s="3" t="s">
        <v>464</v>
      </c>
      <c r="C3572" t="s">
        <v>2022</v>
      </c>
      <c r="D3572" s="9">
        <v>325935</v>
      </c>
      <c r="E3572">
        <v>2.764E-4</v>
      </c>
    </row>
    <row r="3573" spans="1:5">
      <c r="A3573">
        <v>2019</v>
      </c>
      <c r="B3573" s="3" t="s">
        <v>1338</v>
      </c>
      <c r="C3573" t="s">
        <v>2023</v>
      </c>
      <c r="D3573" s="9">
        <v>694</v>
      </c>
      <c r="E3573">
        <v>5.9999999999999997E-7</v>
      </c>
    </row>
    <row r="3574" spans="1:5">
      <c r="A3574">
        <v>2019</v>
      </c>
      <c r="B3574" s="3" t="s">
        <v>907</v>
      </c>
      <c r="C3574" t="s">
        <v>2024</v>
      </c>
      <c r="D3574" s="9">
        <v>39867</v>
      </c>
      <c r="E3574">
        <v>3.3800000000000002E-5</v>
      </c>
    </row>
    <row r="3575" spans="1:5">
      <c r="A3575">
        <v>2019</v>
      </c>
      <c r="B3575" s="3" t="s">
        <v>1339</v>
      </c>
      <c r="C3575" t="s">
        <v>2025</v>
      </c>
      <c r="D3575" s="9">
        <v>862691</v>
      </c>
      <c r="E3575">
        <v>7.3169999999999995E-4</v>
      </c>
    </row>
    <row r="3576" spans="1:5">
      <c r="A3576">
        <v>2019</v>
      </c>
      <c r="B3576" s="3" t="s">
        <v>1340</v>
      </c>
      <c r="C3576" t="s">
        <v>2026</v>
      </c>
      <c r="D3576" s="9">
        <v>1817957</v>
      </c>
      <c r="E3576">
        <v>1.5418000000000001E-3</v>
      </c>
    </row>
    <row r="3577" spans="1:5">
      <c r="A3577">
        <v>2019</v>
      </c>
      <c r="B3577" s="3" t="s">
        <v>1341</v>
      </c>
      <c r="C3577" t="s">
        <v>2027</v>
      </c>
      <c r="D3577" s="9">
        <v>1130168</v>
      </c>
      <c r="E3577">
        <v>9.5850000000000004E-4</v>
      </c>
    </row>
    <row r="3578" spans="1:5">
      <c r="A3578">
        <v>2019</v>
      </c>
      <c r="B3578" s="3" t="s">
        <v>465</v>
      </c>
      <c r="C3578" t="s">
        <v>2028</v>
      </c>
      <c r="D3578" s="9">
        <v>311567</v>
      </c>
      <c r="E3578">
        <v>2.6420000000000003E-4</v>
      </c>
    </row>
    <row r="3579" spans="1:5">
      <c r="A3579">
        <v>2019</v>
      </c>
      <c r="B3579" s="3" t="s">
        <v>1342</v>
      </c>
      <c r="C3579" t="s">
        <v>1294</v>
      </c>
      <c r="D3579" s="9"/>
    </row>
    <row r="3580" spans="1:5">
      <c r="A3580">
        <v>2019</v>
      </c>
      <c r="B3580" s="3" t="s">
        <v>1343</v>
      </c>
      <c r="C3580" t="s">
        <v>2029</v>
      </c>
      <c r="D3580" s="9">
        <v>44739</v>
      </c>
      <c r="E3580">
        <v>3.79E-5</v>
      </c>
    </row>
    <row r="3581" spans="1:5">
      <c r="A3581">
        <v>2019</v>
      </c>
      <c r="B3581" s="3" t="s">
        <v>1344</v>
      </c>
      <c r="C3581" t="s">
        <v>2030</v>
      </c>
      <c r="D3581" s="9">
        <v>67923</v>
      </c>
      <c r="E3581">
        <v>5.7599999999999997E-5</v>
      </c>
    </row>
    <row r="3582" spans="1:5">
      <c r="A3582">
        <v>2019</v>
      </c>
      <c r="B3582" s="3" t="s">
        <v>1346</v>
      </c>
      <c r="C3582" t="s">
        <v>1298</v>
      </c>
      <c r="D3582" s="9">
        <v>2397305</v>
      </c>
      <c r="E3582">
        <v>2.0332000000000002E-3</v>
      </c>
    </row>
    <row r="3583" spans="1:5">
      <c r="A3583">
        <v>2019</v>
      </c>
      <c r="B3583" s="3" t="s">
        <v>1347</v>
      </c>
      <c r="C3583" t="s">
        <v>1299</v>
      </c>
      <c r="D3583" s="9">
        <v>6052324</v>
      </c>
      <c r="E3583">
        <v>5.1330000000000004E-3</v>
      </c>
    </row>
    <row r="3584" spans="1:5">
      <c r="A3584">
        <v>2019</v>
      </c>
      <c r="B3584" s="3" t="s">
        <v>1345</v>
      </c>
      <c r="C3584" t="s">
        <v>2031</v>
      </c>
      <c r="D3584" s="9" t="s">
        <v>2462</v>
      </c>
    </row>
    <row r="3585" spans="1:5">
      <c r="A3585">
        <v>2019</v>
      </c>
      <c r="B3585" s="3" t="s">
        <v>1348</v>
      </c>
      <c r="C3585" t="s">
        <v>2032</v>
      </c>
      <c r="D3585" s="9">
        <v>90001</v>
      </c>
      <c r="E3585">
        <v>7.6299999999999998E-5</v>
      </c>
    </row>
    <row r="3586" spans="1:5">
      <c r="A3586">
        <v>2019</v>
      </c>
      <c r="B3586" s="3" t="s">
        <v>1349</v>
      </c>
      <c r="C3586" t="s">
        <v>2033</v>
      </c>
      <c r="D3586" s="9">
        <v>220413</v>
      </c>
      <c r="E3586">
        <v>1.8689999999999999E-4</v>
      </c>
    </row>
    <row r="3587" spans="1:5">
      <c r="A3587">
        <v>2019</v>
      </c>
      <c r="B3587" s="3" t="s">
        <v>1254</v>
      </c>
      <c r="C3587" t="s">
        <v>2034</v>
      </c>
      <c r="D3587" s="9">
        <v>95019</v>
      </c>
      <c r="E3587">
        <v>8.0599999999999994E-5</v>
      </c>
    </row>
    <row r="3588" spans="1:5">
      <c r="A3588">
        <v>2019</v>
      </c>
      <c r="B3588" s="3" t="s">
        <v>1350</v>
      </c>
      <c r="C3588" t="s">
        <v>2035</v>
      </c>
      <c r="D3588" s="9">
        <v>30148</v>
      </c>
      <c r="E3588">
        <v>2.5599999999999999E-5</v>
      </c>
    </row>
    <row r="3589" spans="1:5">
      <c r="A3589">
        <v>2019</v>
      </c>
      <c r="B3589" s="3" t="s">
        <v>1352</v>
      </c>
      <c r="C3589" t="s">
        <v>1304</v>
      </c>
      <c r="D3589" s="9">
        <v>4750388</v>
      </c>
      <c r="E3589">
        <v>4.0287999999999999E-3</v>
      </c>
    </row>
    <row r="3590" spans="1:5">
      <c r="A3590">
        <v>2019</v>
      </c>
      <c r="B3590" s="3" t="s">
        <v>1353</v>
      </c>
      <c r="C3590" t="s">
        <v>1305</v>
      </c>
      <c r="D3590" s="9">
        <v>142236</v>
      </c>
      <c r="E3590">
        <v>1.206E-4</v>
      </c>
    </row>
    <row r="3591" spans="1:5">
      <c r="A3591">
        <v>2019</v>
      </c>
      <c r="B3591" s="3" t="s">
        <v>1351</v>
      </c>
      <c r="C3591" t="s">
        <v>2397</v>
      </c>
      <c r="D3591" s="9">
        <v>33003</v>
      </c>
      <c r="E3591">
        <v>2.8E-5</v>
      </c>
    </row>
    <row r="3592" spans="1:5">
      <c r="A3592">
        <v>2019</v>
      </c>
      <c r="B3592" s="3" t="s">
        <v>1354</v>
      </c>
      <c r="C3592" t="s">
        <v>2037</v>
      </c>
      <c r="D3592" s="9"/>
    </row>
    <row r="3593" spans="1:5">
      <c r="A3593">
        <v>2019</v>
      </c>
      <c r="B3593" s="3" t="s">
        <v>1355</v>
      </c>
      <c r="C3593" t="s">
        <v>2038</v>
      </c>
      <c r="D3593" s="9">
        <v>4375070</v>
      </c>
      <c r="E3593">
        <v>3.7104999999999998E-3</v>
      </c>
    </row>
    <row r="3594" spans="1:5">
      <c r="A3594">
        <v>2019</v>
      </c>
      <c r="B3594" s="3" t="s">
        <v>1357</v>
      </c>
      <c r="C3594" t="s">
        <v>2039</v>
      </c>
      <c r="D3594" s="9">
        <v>143799</v>
      </c>
      <c r="E3594">
        <v>1.22E-4</v>
      </c>
    </row>
    <row r="3595" spans="1:5">
      <c r="A3595">
        <v>2019</v>
      </c>
      <c r="B3595" s="3" t="s">
        <v>2043</v>
      </c>
      <c r="C3595" t="s">
        <v>2040</v>
      </c>
      <c r="D3595" s="9">
        <v>32644</v>
      </c>
      <c r="E3595">
        <v>2.7699999999999999E-5</v>
      </c>
    </row>
    <row r="3596" spans="1:5">
      <c r="A3596">
        <v>2019</v>
      </c>
      <c r="B3596" s="3" t="s">
        <v>1358</v>
      </c>
      <c r="C3596" t="s">
        <v>2041</v>
      </c>
      <c r="D3596" s="9">
        <v>5118628</v>
      </c>
      <c r="E3596">
        <v>4.3411999999999999E-3</v>
      </c>
    </row>
    <row r="3597" spans="1:5">
      <c r="A3597">
        <v>2019</v>
      </c>
      <c r="B3597" s="3" t="s">
        <v>466</v>
      </c>
      <c r="C3597" t="s">
        <v>2042</v>
      </c>
      <c r="D3597" s="9">
        <v>3759608</v>
      </c>
      <c r="E3597">
        <v>3.1886000000000002E-3</v>
      </c>
    </row>
    <row r="3598" spans="1:5">
      <c r="A3598">
        <v>2020</v>
      </c>
      <c r="B3598" s="3" t="s">
        <v>59</v>
      </c>
      <c r="C3598" t="s">
        <v>6</v>
      </c>
      <c r="D3598" s="9" t="s">
        <v>2462</v>
      </c>
    </row>
    <row r="3599" spans="1:5">
      <c r="A3599">
        <v>2020</v>
      </c>
      <c r="B3599" s="3" t="s">
        <v>60</v>
      </c>
      <c r="C3599" t="s">
        <v>7</v>
      </c>
      <c r="D3599" s="9">
        <v>328523</v>
      </c>
      <c r="E3599">
        <v>2.6249999999999998E-4</v>
      </c>
    </row>
    <row r="3600" spans="1:5">
      <c r="A3600">
        <v>2020</v>
      </c>
      <c r="B3600" s="3" t="s">
        <v>61</v>
      </c>
      <c r="C3600" t="s">
        <v>1487</v>
      </c>
      <c r="D3600" s="9">
        <v>86767</v>
      </c>
      <c r="E3600">
        <v>6.9300000000000004E-5</v>
      </c>
    </row>
    <row r="3601" spans="1:5">
      <c r="A3601">
        <v>2020</v>
      </c>
      <c r="B3601" s="3" t="s">
        <v>62</v>
      </c>
      <c r="C3601" t="s">
        <v>9</v>
      </c>
      <c r="D3601" s="9">
        <v>97038</v>
      </c>
      <c r="E3601">
        <v>7.75E-5</v>
      </c>
    </row>
    <row r="3602" spans="1:5">
      <c r="A3602">
        <v>2020</v>
      </c>
      <c r="B3602" s="3" t="s">
        <v>63</v>
      </c>
      <c r="C3602" t="s">
        <v>1488</v>
      </c>
      <c r="D3602" s="9">
        <v>123417</v>
      </c>
      <c r="E3602">
        <v>9.8599999999999998E-5</v>
      </c>
    </row>
    <row r="3603" spans="1:5">
      <c r="A3603">
        <v>2020</v>
      </c>
      <c r="B3603" s="3" t="s">
        <v>64</v>
      </c>
      <c r="C3603" t="s">
        <v>1489</v>
      </c>
      <c r="D3603" s="9">
        <v>5052667</v>
      </c>
      <c r="E3603">
        <v>4.0372999999999997E-3</v>
      </c>
    </row>
    <row r="3604" spans="1:5">
      <c r="A3604">
        <v>2020</v>
      </c>
      <c r="B3604" s="3" t="s">
        <v>65</v>
      </c>
      <c r="C3604" t="s">
        <v>1490</v>
      </c>
      <c r="D3604" s="9">
        <v>78821</v>
      </c>
      <c r="E3604">
        <v>6.3E-5</v>
      </c>
    </row>
    <row r="3605" spans="1:5">
      <c r="A3605">
        <v>2020</v>
      </c>
      <c r="B3605" s="3" t="s">
        <v>66</v>
      </c>
      <c r="C3605" t="s">
        <v>1491</v>
      </c>
      <c r="D3605" s="9">
        <v>28331</v>
      </c>
      <c r="E3605">
        <v>2.26E-5</v>
      </c>
    </row>
    <row r="3606" spans="1:5">
      <c r="A3606">
        <v>2020</v>
      </c>
      <c r="B3606" s="3" t="s">
        <v>67</v>
      </c>
      <c r="C3606" t="s">
        <v>1492</v>
      </c>
      <c r="D3606" s="9">
        <v>213606</v>
      </c>
      <c r="E3606">
        <v>1.707E-4</v>
      </c>
    </row>
    <row r="3607" spans="1:5">
      <c r="A3607">
        <v>2020</v>
      </c>
      <c r="B3607" s="3" t="s">
        <v>68</v>
      </c>
      <c r="C3607" t="s">
        <v>1493</v>
      </c>
      <c r="D3607" s="9">
        <v>8216</v>
      </c>
      <c r="E3607">
        <v>6.6000000000000003E-6</v>
      </c>
    </row>
    <row r="3608" spans="1:5">
      <c r="A3608">
        <v>2020</v>
      </c>
      <c r="B3608" s="3" t="s">
        <v>69</v>
      </c>
      <c r="C3608" t="s">
        <v>1494</v>
      </c>
      <c r="D3608" s="9">
        <v>400421</v>
      </c>
      <c r="E3608">
        <v>3.2000000000000003E-4</v>
      </c>
    </row>
    <row r="3609" spans="1:5">
      <c r="A3609">
        <v>2020</v>
      </c>
      <c r="B3609" s="3" t="s">
        <v>70</v>
      </c>
      <c r="C3609" t="s">
        <v>1495</v>
      </c>
      <c r="D3609" s="9">
        <v>7582478</v>
      </c>
      <c r="E3609">
        <v>6.0587000000000002E-3</v>
      </c>
    </row>
    <row r="3610" spans="1:5">
      <c r="A3610">
        <v>2020</v>
      </c>
      <c r="B3610" s="3" t="s">
        <v>71</v>
      </c>
      <c r="C3610" t="s">
        <v>1496</v>
      </c>
      <c r="D3610" s="9">
        <v>71519</v>
      </c>
      <c r="E3610">
        <v>5.7099999999999999E-5</v>
      </c>
    </row>
    <row r="3611" spans="1:5">
      <c r="A3611">
        <v>2020</v>
      </c>
      <c r="B3611" s="3" t="s">
        <v>72</v>
      </c>
      <c r="C3611" t="s">
        <v>1497</v>
      </c>
      <c r="D3611" s="9">
        <v>384074</v>
      </c>
      <c r="E3611">
        <v>3.0689999999999998E-4</v>
      </c>
    </row>
    <row r="3612" spans="1:5">
      <c r="A3612">
        <v>2020</v>
      </c>
      <c r="B3612" s="3" t="s">
        <v>74</v>
      </c>
      <c r="C3612" t="s">
        <v>1498</v>
      </c>
      <c r="D3612" s="9">
        <v>38468</v>
      </c>
      <c r="E3612">
        <v>3.0700000000000001E-5</v>
      </c>
    </row>
    <row r="3613" spans="1:5">
      <c r="A3613">
        <v>2020</v>
      </c>
      <c r="B3613" s="3" t="s">
        <v>75</v>
      </c>
      <c r="C3613" t="s">
        <v>1365</v>
      </c>
      <c r="D3613" s="9">
        <v>6989</v>
      </c>
      <c r="E3613">
        <v>5.5999999999999997E-6</v>
      </c>
    </row>
    <row r="3614" spans="1:5">
      <c r="A3614">
        <v>2020</v>
      </c>
      <c r="B3614" s="3" t="s">
        <v>76</v>
      </c>
      <c r="C3614" t="s">
        <v>1499</v>
      </c>
      <c r="D3614" s="9">
        <v>8332914</v>
      </c>
      <c r="E3614">
        <v>6.6584000000000001E-3</v>
      </c>
    </row>
    <row r="3615" spans="1:5">
      <c r="A3615">
        <v>2020</v>
      </c>
      <c r="B3615" s="3" t="s">
        <v>77</v>
      </c>
      <c r="C3615" t="s">
        <v>1500</v>
      </c>
      <c r="D3615" s="9">
        <v>198184</v>
      </c>
      <c r="E3615">
        <v>1.584E-4</v>
      </c>
    </row>
    <row r="3616" spans="1:5">
      <c r="A3616">
        <v>2020</v>
      </c>
      <c r="B3616" s="3" t="s">
        <v>78</v>
      </c>
      <c r="C3616" t="s">
        <v>25</v>
      </c>
      <c r="D3616" s="9">
        <v>1368105</v>
      </c>
      <c r="E3616">
        <v>1.0931999999999999E-3</v>
      </c>
    </row>
    <row r="3617" spans="1:5">
      <c r="A3617">
        <v>2020</v>
      </c>
      <c r="B3617" s="3" t="s">
        <v>79</v>
      </c>
      <c r="C3617" t="s">
        <v>1502</v>
      </c>
      <c r="D3617" s="9">
        <v>12766</v>
      </c>
      <c r="E3617">
        <v>1.0200000000000001E-5</v>
      </c>
    </row>
    <row r="3618" spans="1:5">
      <c r="A3618">
        <v>2020</v>
      </c>
      <c r="B3618" s="3" t="s">
        <v>80</v>
      </c>
      <c r="C3618" t="s">
        <v>1503</v>
      </c>
      <c r="D3618" s="9">
        <v>1957054</v>
      </c>
      <c r="E3618">
        <v>1.5638E-3</v>
      </c>
    </row>
    <row r="3619" spans="1:5">
      <c r="A3619">
        <v>2020</v>
      </c>
      <c r="B3619" s="3" t="s">
        <v>1324</v>
      </c>
      <c r="C3619" t="s">
        <v>1504</v>
      </c>
      <c r="D3619" s="9">
        <v>83304</v>
      </c>
      <c r="E3619">
        <v>6.6600000000000006E-5</v>
      </c>
    </row>
    <row r="3620" spans="1:5">
      <c r="A3620">
        <v>2020</v>
      </c>
      <c r="B3620" s="3" t="s">
        <v>369</v>
      </c>
      <c r="C3620" t="s">
        <v>1505</v>
      </c>
      <c r="D3620" s="9">
        <v>1172846</v>
      </c>
      <c r="E3620">
        <v>9.3720000000000001E-4</v>
      </c>
    </row>
    <row r="3621" spans="1:5">
      <c r="A3621">
        <v>2020</v>
      </c>
      <c r="B3621" s="3" t="s">
        <v>81</v>
      </c>
      <c r="C3621" t="s">
        <v>1506</v>
      </c>
      <c r="D3621" s="9">
        <v>157801</v>
      </c>
      <c r="E3621">
        <v>1.261E-4</v>
      </c>
    </row>
    <row r="3622" spans="1:5">
      <c r="A3622">
        <v>2020</v>
      </c>
      <c r="B3622" s="3" t="s">
        <v>1371</v>
      </c>
      <c r="C3622" t="s">
        <v>1507</v>
      </c>
      <c r="D3622" s="9">
        <v>13053</v>
      </c>
      <c r="E3622">
        <v>1.04E-5</v>
      </c>
    </row>
    <row r="3623" spans="1:5">
      <c r="A3623">
        <v>2020</v>
      </c>
      <c r="B3623" s="3" t="s">
        <v>58</v>
      </c>
      <c r="C3623" t="s">
        <v>1508</v>
      </c>
      <c r="D3623" s="9">
        <v>739123</v>
      </c>
      <c r="E3623">
        <v>5.9060000000000004E-4</v>
      </c>
    </row>
    <row r="3624" spans="1:5">
      <c r="A3624">
        <v>2020</v>
      </c>
      <c r="B3624" s="3" t="s">
        <v>82</v>
      </c>
      <c r="C3624" t="s">
        <v>1509</v>
      </c>
      <c r="D3624" s="9">
        <v>45471</v>
      </c>
      <c r="E3624">
        <v>3.6300000000000001E-5</v>
      </c>
    </row>
    <row r="3625" spans="1:5">
      <c r="A3625">
        <v>2020</v>
      </c>
      <c r="B3625" s="3" t="s">
        <v>83</v>
      </c>
      <c r="C3625" t="s">
        <v>30</v>
      </c>
      <c r="D3625" s="9">
        <v>7684003</v>
      </c>
      <c r="E3625">
        <v>6.1399000000000002E-3</v>
      </c>
    </row>
    <row r="3626" spans="1:5">
      <c r="A3626">
        <v>2020</v>
      </c>
      <c r="B3626" s="3" t="s">
        <v>84</v>
      </c>
      <c r="C3626" t="s">
        <v>31</v>
      </c>
      <c r="D3626" s="9"/>
    </row>
    <row r="3627" spans="1:5">
      <c r="A3627">
        <v>2020</v>
      </c>
      <c r="B3627" s="3" t="s">
        <v>1426</v>
      </c>
      <c r="C3627" t="s">
        <v>1510</v>
      </c>
      <c r="D3627" s="9">
        <v>4011</v>
      </c>
      <c r="E3627">
        <v>3.1999999999999999E-6</v>
      </c>
    </row>
    <row r="3628" spans="1:5">
      <c r="A3628">
        <v>2020</v>
      </c>
      <c r="B3628" s="3" t="s">
        <v>91</v>
      </c>
      <c r="C3628" t="s">
        <v>1511</v>
      </c>
      <c r="D3628" s="9">
        <v>19592</v>
      </c>
      <c r="E3628">
        <v>1.5699999999999999E-5</v>
      </c>
    </row>
    <row r="3629" spans="1:5">
      <c r="A3629">
        <v>2020</v>
      </c>
      <c r="B3629" s="3" t="s">
        <v>97</v>
      </c>
      <c r="C3629" t="s">
        <v>1512</v>
      </c>
      <c r="D3629" s="9">
        <v>65031</v>
      </c>
      <c r="E3629">
        <v>5.1999999999999997E-5</v>
      </c>
    </row>
    <row r="3630" spans="1:5">
      <c r="A3630">
        <v>2020</v>
      </c>
      <c r="B3630" s="3" t="s">
        <v>98</v>
      </c>
      <c r="C3630" t="s">
        <v>1513</v>
      </c>
      <c r="D3630" s="9">
        <v>36953</v>
      </c>
      <c r="E3630">
        <v>2.9499999999999999E-5</v>
      </c>
    </row>
    <row r="3631" spans="1:5">
      <c r="A3631">
        <v>2020</v>
      </c>
      <c r="B3631" s="3" t="s">
        <v>99</v>
      </c>
      <c r="C3631" t="s">
        <v>1514</v>
      </c>
      <c r="D3631" s="9">
        <v>18852</v>
      </c>
      <c r="E3631">
        <v>1.5099999999999999E-5</v>
      </c>
    </row>
    <row r="3632" spans="1:5">
      <c r="A3632">
        <v>2020</v>
      </c>
      <c r="B3632" s="3" t="s">
        <v>210</v>
      </c>
      <c r="C3632" t="s">
        <v>1515</v>
      </c>
      <c r="D3632" s="9"/>
    </row>
    <row r="3633" spans="1:5">
      <c r="A3633">
        <v>2020</v>
      </c>
      <c r="B3633" s="3" t="s">
        <v>85</v>
      </c>
      <c r="C3633" t="s">
        <v>1516</v>
      </c>
      <c r="D3633" s="9">
        <v>27487</v>
      </c>
      <c r="E3633">
        <v>2.1999999999999999E-5</v>
      </c>
    </row>
    <row r="3634" spans="1:5">
      <c r="A3634">
        <v>2020</v>
      </c>
      <c r="B3634" s="3" t="s">
        <v>102</v>
      </c>
      <c r="C3634" t="s">
        <v>1517</v>
      </c>
      <c r="D3634" s="9">
        <v>13286</v>
      </c>
      <c r="E3634">
        <v>1.06E-5</v>
      </c>
    </row>
    <row r="3635" spans="1:5">
      <c r="A3635">
        <v>2020</v>
      </c>
      <c r="B3635" s="3" t="s">
        <v>104</v>
      </c>
      <c r="C3635" t="s">
        <v>1518</v>
      </c>
      <c r="D3635" s="9">
        <v>47781</v>
      </c>
      <c r="E3635">
        <v>3.82E-5</v>
      </c>
    </row>
    <row r="3636" spans="1:5">
      <c r="A3636">
        <v>2020</v>
      </c>
      <c r="B3636" s="3" t="s">
        <v>106</v>
      </c>
      <c r="C3636" t="s">
        <v>1519</v>
      </c>
      <c r="D3636" s="9">
        <v>7443</v>
      </c>
      <c r="E3636">
        <v>5.9000000000000003E-6</v>
      </c>
    </row>
    <row r="3637" spans="1:5">
      <c r="A3637">
        <v>2020</v>
      </c>
      <c r="B3637" s="3" t="s">
        <v>107</v>
      </c>
      <c r="C3637" t="s">
        <v>1520</v>
      </c>
      <c r="D3637" s="9">
        <v>25688</v>
      </c>
      <c r="E3637">
        <v>2.05E-5</v>
      </c>
    </row>
    <row r="3638" spans="1:5">
      <c r="A3638">
        <v>2020</v>
      </c>
      <c r="B3638" s="3" t="s">
        <v>108</v>
      </c>
      <c r="C3638" t="s">
        <v>1521</v>
      </c>
      <c r="D3638" s="9">
        <v>327405</v>
      </c>
      <c r="E3638">
        <v>2.6160000000000002E-4</v>
      </c>
    </row>
    <row r="3639" spans="1:5">
      <c r="A3639">
        <v>2020</v>
      </c>
      <c r="B3639" s="3" t="s">
        <v>109</v>
      </c>
      <c r="C3639" t="s">
        <v>1522</v>
      </c>
      <c r="D3639" s="9">
        <v>19593</v>
      </c>
      <c r="E3639">
        <v>1.5699999999999999E-5</v>
      </c>
    </row>
    <row r="3640" spans="1:5">
      <c r="A3640">
        <v>2020</v>
      </c>
      <c r="B3640" s="3" t="s">
        <v>1140</v>
      </c>
      <c r="C3640" t="s">
        <v>1525</v>
      </c>
      <c r="D3640" s="9">
        <v>439295</v>
      </c>
      <c r="E3640">
        <v>3.5100000000000002E-4</v>
      </c>
    </row>
    <row r="3641" spans="1:5">
      <c r="A3641">
        <v>2020</v>
      </c>
      <c r="B3641" s="3" t="s">
        <v>168</v>
      </c>
      <c r="C3641" t="s">
        <v>113</v>
      </c>
      <c r="D3641" s="9">
        <v>52087</v>
      </c>
      <c r="E3641">
        <v>4.1600000000000002E-5</v>
      </c>
    </row>
    <row r="3642" spans="1:5">
      <c r="A3642">
        <v>2020</v>
      </c>
      <c r="B3642" s="3" t="s">
        <v>170</v>
      </c>
      <c r="C3642" t="s">
        <v>1526</v>
      </c>
      <c r="D3642" s="9">
        <v>46490</v>
      </c>
      <c r="E3642">
        <v>3.7100000000000001E-5</v>
      </c>
    </row>
    <row r="3643" spans="1:5">
      <c r="A3643">
        <v>2020</v>
      </c>
      <c r="B3643" s="3" t="s">
        <v>169</v>
      </c>
      <c r="C3643" t="s">
        <v>1527</v>
      </c>
      <c r="D3643" s="9">
        <v>122653</v>
      </c>
      <c r="E3643">
        <v>9.7999999999999997E-5</v>
      </c>
    </row>
    <row r="3644" spans="1:5">
      <c r="A3644">
        <v>2020</v>
      </c>
      <c r="B3644" s="3" t="s">
        <v>1381</v>
      </c>
      <c r="C3644" t="s">
        <v>1528</v>
      </c>
      <c r="D3644" s="9">
        <v>7815</v>
      </c>
      <c r="E3644">
        <v>6.1999999999999999E-6</v>
      </c>
    </row>
    <row r="3645" spans="1:5">
      <c r="A3645">
        <v>2020</v>
      </c>
      <c r="B3645" s="3" t="s">
        <v>171</v>
      </c>
      <c r="C3645" t="s">
        <v>1529</v>
      </c>
      <c r="D3645" s="9">
        <v>60709</v>
      </c>
      <c r="E3645">
        <v>4.85E-5</v>
      </c>
    </row>
    <row r="3646" spans="1:5">
      <c r="A3646">
        <v>2020</v>
      </c>
      <c r="B3646" s="3" t="s">
        <v>1427</v>
      </c>
      <c r="C3646" t="s">
        <v>1530</v>
      </c>
      <c r="D3646" s="9">
        <v>680072</v>
      </c>
      <c r="E3646">
        <v>5.4339999999999998E-4</v>
      </c>
    </row>
    <row r="3647" spans="1:5">
      <c r="A3647">
        <v>2020</v>
      </c>
      <c r="B3647" s="3" t="s">
        <v>172</v>
      </c>
      <c r="C3647" t="s">
        <v>117</v>
      </c>
      <c r="D3647" s="9">
        <v>1712509</v>
      </c>
      <c r="E3647">
        <v>1.3684000000000001E-3</v>
      </c>
    </row>
    <row r="3648" spans="1:5">
      <c r="A3648">
        <v>2020</v>
      </c>
      <c r="B3648" s="3" t="s">
        <v>173</v>
      </c>
      <c r="C3648" t="s">
        <v>1531</v>
      </c>
      <c r="D3648" s="9">
        <v>172869</v>
      </c>
      <c r="E3648">
        <v>1.381E-4</v>
      </c>
    </row>
    <row r="3649" spans="1:5">
      <c r="A3649">
        <v>2020</v>
      </c>
      <c r="B3649" s="3" t="s">
        <v>174</v>
      </c>
      <c r="C3649" t="s">
        <v>119</v>
      </c>
      <c r="D3649" s="9">
        <v>96784</v>
      </c>
      <c r="E3649">
        <v>7.7299999999999995E-5</v>
      </c>
    </row>
    <row r="3650" spans="1:5">
      <c r="A3650">
        <v>2020</v>
      </c>
      <c r="B3650" s="3" t="s">
        <v>175</v>
      </c>
      <c r="C3650" t="s">
        <v>1532</v>
      </c>
      <c r="D3650" s="9">
        <v>443265</v>
      </c>
      <c r="E3650">
        <v>3.5419999999999999E-4</v>
      </c>
    </row>
    <row r="3651" spans="1:5">
      <c r="A3651">
        <v>2020</v>
      </c>
      <c r="B3651" s="3" t="s">
        <v>176</v>
      </c>
      <c r="C3651" t="s">
        <v>1533</v>
      </c>
      <c r="D3651" s="9">
        <v>181704</v>
      </c>
      <c r="E3651">
        <v>1.4520000000000001E-4</v>
      </c>
    </row>
    <row r="3652" spans="1:5">
      <c r="A3652">
        <v>2020</v>
      </c>
      <c r="B3652" s="3" t="s">
        <v>177</v>
      </c>
      <c r="C3652" t="s">
        <v>122</v>
      </c>
      <c r="D3652" s="9">
        <v>148711</v>
      </c>
      <c r="E3652">
        <v>1.188E-4</v>
      </c>
    </row>
    <row r="3653" spans="1:5">
      <c r="A3653">
        <v>2020</v>
      </c>
      <c r="B3653" s="3" t="s">
        <v>178</v>
      </c>
      <c r="C3653" t="s">
        <v>1534</v>
      </c>
      <c r="D3653" s="9">
        <v>3841165</v>
      </c>
      <c r="E3653">
        <v>3.0693000000000001E-3</v>
      </c>
    </row>
    <row r="3654" spans="1:5">
      <c r="A3654">
        <v>2020</v>
      </c>
      <c r="B3654" s="3" t="s">
        <v>181</v>
      </c>
      <c r="C3654" t="s">
        <v>1535</v>
      </c>
      <c r="D3654" s="9">
        <v>1332905</v>
      </c>
      <c r="E3654">
        <v>1.0651E-3</v>
      </c>
    </row>
    <row r="3655" spans="1:5">
      <c r="A3655">
        <v>2020</v>
      </c>
      <c r="B3655" s="3" t="s">
        <v>1382</v>
      </c>
      <c r="C3655" t="s">
        <v>1536</v>
      </c>
      <c r="D3655" s="9">
        <v>13247961</v>
      </c>
      <c r="E3655">
        <v>1.05857E-2</v>
      </c>
    </row>
    <row r="3656" spans="1:5">
      <c r="A3656">
        <v>2020</v>
      </c>
      <c r="B3656" s="3" t="s">
        <v>182</v>
      </c>
      <c r="C3656" t="s">
        <v>1537</v>
      </c>
      <c r="D3656" s="9">
        <v>6112701</v>
      </c>
      <c r="E3656">
        <v>4.8843000000000003E-3</v>
      </c>
    </row>
    <row r="3657" spans="1:5">
      <c r="A3657">
        <v>2020</v>
      </c>
      <c r="B3657" s="3" t="s">
        <v>183</v>
      </c>
      <c r="C3657" t="s">
        <v>1538</v>
      </c>
      <c r="D3657" s="9">
        <v>35711031</v>
      </c>
      <c r="E3657">
        <v>2.85347E-2</v>
      </c>
    </row>
    <row r="3658" spans="1:5">
      <c r="A3658">
        <v>2020</v>
      </c>
      <c r="B3658" s="3" t="s">
        <v>184</v>
      </c>
      <c r="C3658" t="s">
        <v>1539</v>
      </c>
      <c r="D3658" s="9">
        <v>3620525</v>
      </c>
      <c r="E3658">
        <v>2.8930000000000002E-3</v>
      </c>
    </row>
    <row r="3659" spans="1:5">
      <c r="A3659">
        <v>2020</v>
      </c>
      <c r="B3659" s="3" t="s">
        <v>185</v>
      </c>
      <c r="C3659" t="s">
        <v>1540</v>
      </c>
      <c r="D3659" s="9">
        <v>1865734</v>
      </c>
      <c r="E3659">
        <v>1.4908E-3</v>
      </c>
    </row>
    <row r="3660" spans="1:5">
      <c r="A3660">
        <v>2020</v>
      </c>
      <c r="B3660" s="3" t="s">
        <v>186</v>
      </c>
      <c r="C3660" t="s">
        <v>1541</v>
      </c>
      <c r="D3660" s="9">
        <v>3332542</v>
      </c>
      <c r="E3660">
        <v>2.6629000000000002E-3</v>
      </c>
    </row>
    <row r="3661" spans="1:5">
      <c r="A3661">
        <v>2020</v>
      </c>
      <c r="B3661" s="3" t="s">
        <v>187</v>
      </c>
      <c r="C3661" t="s">
        <v>1542</v>
      </c>
      <c r="D3661" s="9"/>
    </row>
    <row r="3662" spans="1:5">
      <c r="A3662">
        <v>2020</v>
      </c>
      <c r="B3662" s="3" t="s">
        <v>180</v>
      </c>
      <c r="C3662" t="s">
        <v>1543</v>
      </c>
      <c r="D3662" s="9"/>
    </row>
    <row r="3663" spans="1:5">
      <c r="A3663">
        <v>2020</v>
      </c>
      <c r="B3663" s="3" t="s">
        <v>189</v>
      </c>
      <c r="C3663" t="s">
        <v>1544</v>
      </c>
      <c r="D3663" s="9">
        <v>716907</v>
      </c>
      <c r="E3663">
        <v>5.7280000000000005E-4</v>
      </c>
    </row>
    <row r="3664" spans="1:5">
      <c r="A3664">
        <v>2020</v>
      </c>
      <c r="B3664" s="3" t="s">
        <v>190</v>
      </c>
      <c r="C3664" t="s">
        <v>1546</v>
      </c>
      <c r="D3664" s="9">
        <v>8673238</v>
      </c>
      <c r="E3664">
        <v>6.9303000000000003E-3</v>
      </c>
    </row>
    <row r="3665" spans="1:5">
      <c r="A3665">
        <v>2020</v>
      </c>
      <c r="B3665" s="3" t="s">
        <v>191</v>
      </c>
      <c r="C3665" t="s">
        <v>1547</v>
      </c>
      <c r="D3665" s="9">
        <v>89147</v>
      </c>
      <c r="E3665">
        <v>7.1199999999999996E-5</v>
      </c>
    </row>
    <row r="3666" spans="1:5">
      <c r="A3666">
        <v>2020</v>
      </c>
      <c r="B3666" s="3" t="s">
        <v>192</v>
      </c>
      <c r="C3666" t="s">
        <v>1548</v>
      </c>
      <c r="D3666" s="9">
        <v>500743</v>
      </c>
      <c r="E3666">
        <v>4.0010000000000002E-4</v>
      </c>
    </row>
    <row r="3667" spans="1:5">
      <c r="A3667">
        <v>2020</v>
      </c>
      <c r="B3667" s="3" t="s">
        <v>193</v>
      </c>
      <c r="C3667" t="s">
        <v>1549</v>
      </c>
      <c r="D3667" s="9">
        <v>518069</v>
      </c>
      <c r="E3667">
        <v>4.1399999999999998E-4</v>
      </c>
    </row>
    <row r="3668" spans="1:5">
      <c r="A3668">
        <v>2020</v>
      </c>
      <c r="B3668" s="3" t="s">
        <v>194</v>
      </c>
      <c r="C3668" t="s">
        <v>1550</v>
      </c>
      <c r="D3668" s="9">
        <v>514028</v>
      </c>
      <c r="E3668">
        <v>4.1070000000000001E-4</v>
      </c>
    </row>
    <row r="3669" spans="1:5">
      <c r="A3669">
        <v>2020</v>
      </c>
      <c r="B3669" s="3" t="s">
        <v>196</v>
      </c>
      <c r="C3669" t="s">
        <v>1551</v>
      </c>
      <c r="D3669" s="9">
        <v>135952</v>
      </c>
      <c r="E3669">
        <v>1.086E-4</v>
      </c>
    </row>
    <row r="3670" spans="1:5">
      <c r="A3670">
        <v>2020</v>
      </c>
      <c r="B3670" s="3" t="s">
        <v>197</v>
      </c>
      <c r="C3670" t="s">
        <v>1552</v>
      </c>
      <c r="D3670" s="9">
        <v>5208458</v>
      </c>
      <c r="E3670">
        <v>4.1618000000000002E-3</v>
      </c>
    </row>
    <row r="3671" spans="1:5">
      <c r="A3671">
        <v>2020</v>
      </c>
      <c r="B3671" s="3" t="s">
        <v>198</v>
      </c>
      <c r="C3671" t="s">
        <v>1553</v>
      </c>
      <c r="D3671" s="9">
        <v>140167</v>
      </c>
      <c r="E3671">
        <v>1.12E-4</v>
      </c>
    </row>
    <row r="3672" spans="1:5">
      <c r="A3672">
        <v>2020</v>
      </c>
      <c r="B3672" s="3" t="s">
        <v>199</v>
      </c>
      <c r="C3672" t="s">
        <v>1554</v>
      </c>
      <c r="D3672" s="9">
        <v>3314391</v>
      </c>
      <c r="E3672">
        <v>2.6483000000000001E-3</v>
      </c>
    </row>
    <row r="3673" spans="1:5">
      <c r="A3673">
        <v>2020</v>
      </c>
      <c r="B3673" s="3" t="s">
        <v>200</v>
      </c>
      <c r="C3673" t="s">
        <v>1555</v>
      </c>
      <c r="D3673" s="9">
        <v>20585161</v>
      </c>
      <c r="E3673">
        <v>1.6448500000000001E-2</v>
      </c>
    </row>
    <row r="3674" spans="1:5">
      <c r="A3674">
        <v>2020</v>
      </c>
      <c r="B3674" s="3" t="s">
        <v>201</v>
      </c>
      <c r="C3674" t="s">
        <v>1556</v>
      </c>
      <c r="D3674" s="9">
        <v>1922184</v>
      </c>
      <c r="E3674">
        <v>1.5359E-3</v>
      </c>
    </row>
    <row r="3675" spans="1:5">
      <c r="A3675">
        <v>2020</v>
      </c>
      <c r="B3675" s="3" t="s">
        <v>202</v>
      </c>
      <c r="C3675" t="s">
        <v>1557</v>
      </c>
      <c r="D3675" s="9">
        <v>1063572</v>
      </c>
      <c r="E3675">
        <v>8.4979999999999995E-4</v>
      </c>
    </row>
    <row r="3676" spans="1:5">
      <c r="A3676">
        <v>2020</v>
      </c>
      <c r="B3676" s="3" t="s">
        <v>203</v>
      </c>
      <c r="C3676" t="s">
        <v>1558</v>
      </c>
      <c r="D3676" s="9"/>
    </row>
    <row r="3677" spans="1:5">
      <c r="A3677">
        <v>2020</v>
      </c>
      <c r="B3677" s="3" t="s">
        <v>204</v>
      </c>
      <c r="C3677" t="s">
        <v>1559</v>
      </c>
      <c r="D3677" s="9">
        <v>1060761</v>
      </c>
      <c r="E3677">
        <v>8.476E-4</v>
      </c>
    </row>
    <row r="3678" spans="1:5">
      <c r="A3678">
        <v>2020</v>
      </c>
      <c r="B3678" s="3" t="s">
        <v>205</v>
      </c>
      <c r="C3678" t="s">
        <v>150</v>
      </c>
      <c r="D3678" s="9">
        <v>238791</v>
      </c>
      <c r="E3678">
        <v>1.908E-4</v>
      </c>
    </row>
    <row r="3679" spans="1:5">
      <c r="A3679">
        <v>2020</v>
      </c>
      <c r="B3679" s="3" t="s">
        <v>1563</v>
      </c>
      <c r="C3679" t="s">
        <v>1560</v>
      </c>
      <c r="D3679" s="9">
        <v>94287</v>
      </c>
      <c r="E3679">
        <v>7.5300000000000001E-5</v>
      </c>
    </row>
    <row r="3680" spans="1:5">
      <c r="A3680">
        <v>2020</v>
      </c>
      <c r="B3680" s="3" t="s">
        <v>2088</v>
      </c>
      <c r="C3680" t="s">
        <v>2086</v>
      </c>
      <c r="D3680" s="9">
        <v>426144</v>
      </c>
      <c r="E3680">
        <v>3.4049999999999998E-4</v>
      </c>
    </row>
    <row r="3681" spans="1:5">
      <c r="A3681">
        <v>2020</v>
      </c>
      <c r="B3681" s="3" t="s">
        <v>188</v>
      </c>
      <c r="C3681" t="s">
        <v>1561</v>
      </c>
      <c r="D3681" s="9">
        <v>2797884</v>
      </c>
      <c r="E3681">
        <v>2.2355999999999999E-3</v>
      </c>
    </row>
    <row r="3682" spans="1:5">
      <c r="A3682">
        <v>2020</v>
      </c>
      <c r="B3682" s="3" t="s">
        <v>206</v>
      </c>
      <c r="C3682" t="s">
        <v>1562</v>
      </c>
      <c r="D3682" s="9"/>
    </row>
    <row r="3683" spans="1:5">
      <c r="A3683">
        <v>2020</v>
      </c>
      <c r="B3683" s="3" t="s">
        <v>207</v>
      </c>
      <c r="C3683" t="s">
        <v>152</v>
      </c>
      <c r="D3683" s="9">
        <v>828910</v>
      </c>
      <c r="E3683">
        <v>6.623E-4</v>
      </c>
    </row>
    <row r="3684" spans="1:5">
      <c r="A3684">
        <v>2020</v>
      </c>
      <c r="B3684" s="3" t="s">
        <v>57</v>
      </c>
      <c r="C3684" t="s">
        <v>1564</v>
      </c>
      <c r="D3684" s="9">
        <v>6311229</v>
      </c>
      <c r="E3684">
        <v>5.0429999999999997E-3</v>
      </c>
    </row>
    <row r="3685" spans="1:5">
      <c r="A3685">
        <v>2020</v>
      </c>
      <c r="B3685" s="3" t="s">
        <v>208</v>
      </c>
      <c r="C3685" t="s">
        <v>153</v>
      </c>
      <c r="D3685" s="9"/>
    </row>
    <row r="3686" spans="1:5">
      <c r="A3686">
        <v>2020</v>
      </c>
      <c r="B3686" s="3" t="s">
        <v>209</v>
      </c>
      <c r="C3686" t="s">
        <v>154</v>
      </c>
      <c r="D3686" s="9">
        <v>176854</v>
      </c>
      <c r="E3686">
        <v>1.4129999999999999E-4</v>
      </c>
    </row>
    <row r="3687" spans="1:5">
      <c r="A3687">
        <v>2020</v>
      </c>
      <c r="B3687" s="3" t="s">
        <v>211</v>
      </c>
      <c r="C3687" t="s">
        <v>1565</v>
      </c>
      <c r="D3687" s="9">
        <v>871901</v>
      </c>
      <c r="E3687">
        <v>6.9669999999999997E-4</v>
      </c>
    </row>
    <row r="3688" spans="1:5">
      <c r="A3688">
        <v>2020</v>
      </c>
      <c r="B3688" s="3" t="s">
        <v>212</v>
      </c>
      <c r="C3688" t="s">
        <v>1566</v>
      </c>
      <c r="D3688" s="9"/>
    </row>
    <row r="3689" spans="1:5">
      <c r="A3689">
        <v>2020</v>
      </c>
      <c r="B3689" s="3" t="s">
        <v>213</v>
      </c>
      <c r="C3689" t="s">
        <v>158</v>
      </c>
      <c r="D3689" s="9">
        <v>1125368</v>
      </c>
      <c r="E3689">
        <v>8.9919999999999996E-4</v>
      </c>
    </row>
    <row r="3690" spans="1:5">
      <c r="A3690">
        <v>2020</v>
      </c>
      <c r="B3690" s="3" t="s">
        <v>1597</v>
      </c>
      <c r="C3690" t="s">
        <v>1567</v>
      </c>
      <c r="D3690" s="9">
        <v>11450</v>
      </c>
      <c r="E3690">
        <v>9.0999999999999993E-6</v>
      </c>
    </row>
    <row r="3691" spans="1:5">
      <c r="A3691">
        <v>2020</v>
      </c>
      <c r="B3691" s="3" t="s">
        <v>214</v>
      </c>
      <c r="C3691" t="s">
        <v>159</v>
      </c>
      <c r="D3691" s="9">
        <v>194097</v>
      </c>
      <c r="E3691">
        <v>1.551E-4</v>
      </c>
    </row>
    <row r="3692" spans="1:5">
      <c r="A3692">
        <v>2020</v>
      </c>
      <c r="B3692" s="3" t="s">
        <v>215</v>
      </c>
      <c r="C3692" t="s">
        <v>1568</v>
      </c>
      <c r="D3692" s="9">
        <v>171876</v>
      </c>
      <c r="E3692">
        <v>1.373E-4</v>
      </c>
    </row>
    <row r="3693" spans="1:5">
      <c r="A3693">
        <v>2020</v>
      </c>
      <c r="B3693" s="3" t="s">
        <v>217</v>
      </c>
      <c r="C3693" t="s">
        <v>162</v>
      </c>
      <c r="D3693" s="9">
        <v>405037</v>
      </c>
      <c r="E3693">
        <v>3.2360000000000001E-4</v>
      </c>
    </row>
    <row r="3694" spans="1:5">
      <c r="A3694">
        <v>2020</v>
      </c>
      <c r="B3694" s="3" t="s">
        <v>219</v>
      </c>
      <c r="C3694" t="s">
        <v>164</v>
      </c>
      <c r="D3694" s="9">
        <v>336786</v>
      </c>
      <c r="E3694">
        <v>2.6909999999999998E-4</v>
      </c>
    </row>
    <row r="3695" spans="1:5">
      <c r="A3695">
        <v>2020</v>
      </c>
      <c r="B3695" s="3" t="s">
        <v>73</v>
      </c>
      <c r="C3695" t="s">
        <v>2354</v>
      </c>
      <c r="D3695" s="9">
        <v>270369</v>
      </c>
      <c r="E3695">
        <v>2.1599999999999999E-4</v>
      </c>
    </row>
    <row r="3696" spans="1:5">
      <c r="A3696">
        <v>2020</v>
      </c>
      <c r="B3696" s="3" t="s">
        <v>220</v>
      </c>
      <c r="C3696" t="s">
        <v>1571</v>
      </c>
      <c r="D3696" s="9">
        <v>68064</v>
      </c>
      <c r="E3696">
        <v>5.4400000000000001E-5</v>
      </c>
    </row>
    <row r="3697" spans="1:5">
      <c r="A3697">
        <v>2020</v>
      </c>
      <c r="B3697" s="3" t="s">
        <v>1387</v>
      </c>
      <c r="C3697" t="s">
        <v>1572</v>
      </c>
      <c r="D3697" s="9">
        <v>7340</v>
      </c>
      <c r="E3697">
        <v>5.9000000000000003E-6</v>
      </c>
    </row>
    <row r="3698" spans="1:5">
      <c r="A3698">
        <v>2020</v>
      </c>
      <c r="B3698" s="3" t="s">
        <v>1388</v>
      </c>
      <c r="C3698" t="s">
        <v>1573</v>
      </c>
      <c r="D3698" s="9">
        <v>8104</v>
      </c>
      <c r="E3698">
        <v>6.4999999999999996E-6</v>
      </c>
    </row>
    <row r="3699" spans="1:5">
      <c r="A3699">
        <v>2020</v>
      </c>
      <c r="B3699" s="3" t="s">
        <v>1389</v>
      </c>
      <c r="C3699" t="s">
        <v>1574</v>
      </c>
      <c r="D3699" s="9">
        <v>106198</v>
      </c>
      <c r="E3699">
        <v>8.4900000000000004E-5</v>
      </c>
    </row>
    <row r="3700" spans="1:5">
      <c r="A3700">
        <v>2020</v>
      </c>
      <c r="B3700" s="3" t="s">
        <v>1598</v>
      </c>
      <c r="C3700" t="s">
        <v>1575</v>
      </c>
      <c r="D3700" s="9">
        <v>187646</v>
      </c>
      <c r="E3700">
        <v>1.4990000000000001E-4</v>
      </c>
    </row>
    <row r="3701" spans="1:5">
      <c r="A3701">
        <v>2020</v>
      </c>
      <c r="B3701" s="3" t="s">
        <v>1392</v>
      </c>
      <c r="C3701" t="s">
        <v>1577</v>
      </c>
      <c r="D3701" s="9"/>
    </row>
    <row r="3702" spans="1:5">
      <c r="A3702">
        <v>2020</v>
      </c>
      <c r="B3702" s="3" t="s">
        <v>1390</v>
      </c>
      <c r="C3702" t="s">
        <v>1578</v>
      </c>
      <c r="D3702" s="9">
        <v>1593859</v>
      </c>
      <c r="E3702">
        <v>1.2735999999999999E-3</v>
      </c>
    </row>
    <row r="3703" spans="1:5">
      <c r="A3703">
        <v>2020</v>
      </c>
      <c r="B3703" s="3" t="s">
        <v>1393</v>
      </c>
      <c r="C3703" t="s">
        <v>1579</v>
      </c>
      <c r="D3703" s="9">
        <v>192092</v>
      </c>
      <c r="E3703">
        <v>1.5349999999999999E-4</v>
      </c>
    </row>
    <row r="3704" spans="1:5">
      <c r="A3704">
        <v>2020</v>
      </c>
      <c r="B3704" s="3" t="s">
        <v>1395</v>
      </c>
      <c r="C3704" t="s">
        <v>230</v>
      </c>
      <c r="D3704" s="9">
        <v>406911</v>
      </c>
      <c r="E3704">
        <v>3.2509999999999999E-4</v>
      </c>
    </row>
    <row r="3705" spans="1:5">
      <c r="A3705">
        <v>2020</v>
      </c>
      <c r="B3705" s="3" t="s">
        <v>1396</v>
      </c>
      <c r="C3705" t="s">
        <v>231</v>
      </c>
      <c r="D3705" s="9">
        <v>73629</v>
      </c>
      <c r="E3705">
        <v>5.8799999999999999E-5</v>
      </c>
    </row>
    <row r="3706" spans="1:5">
      <c r="A3706">
        <v>2020</v>
      </c>
      <c r="B3706" s="3" t="s">
        <v>1398</v>
      </c>
      <c r="C3706" t="s">
        <v>1580</v>
      </c>
      <c r="D3706" s="9">
        <v>39383</v>
      </c>
      <c r="E3706">
        <v>3.15E-5</v>
      </c>
    </row>
    <row r="3707" spans="1:5">
      <c r="A3707">
        <v>2020</v>
      </c>
      <c r="B3707" s="3" t="s">
        <v>1399</v>
      </c>
      <c r="C3707" t="s">
        <v>234</v>
      </c>
      <c r="D3707" s="9"/>
    </row>
    <row r="3708" spans="1:5">
      <c r="A3708">
        <v>2020</v>
      </c>
      <c r="B3708" s="3" t="s">
        <v>1400</v>
      </c>
      <c r="C3708" t="s">
        <v>1581</v>
      </c>
      <c r="D3708" s="9">
        <v>631035</v>
      </c>
      <c r="E3708">
        <v>5.042E-4</v>
      </c>
    </row>
    <row r="3709" spans="1:5">
      <c r="A3709">
        <v>2020</v>
      </c>
      <c r="B3709" s="3" t="s">
        <v>1401</v>
      </c>
      <c r="C3709" t="s">
        <v>1582</v>
      </c>
      <c r="D3709" s="9">
        <v>57333</v>
      </c>
      <c r="E3709">
        <v>4.5800000000000002E-5</v>
      </c>
    </row>
    <row r="3710" spans="1:5">
      <c r="A3710">
        <v>2020</v>
      </c>
      <c r="B3710" s="3" t="s">
        <v>1402</v>
      </c>
      <c r="C3710" t="s">
        <v>237</v>
      </c>
      <c r="D3710" s="9">
        <v>106534</v>
      </c>
      <c r="E3710">
        <v>8.5099999999999995E-5</v>
      </c>
    </row>
    <row r="3711" spans="1:5">
      <c r="A3711">
        <v>2020</v>
      </c>
      <c r="B3711" s="3" t="s">
        <v>1403</v>
      </c>
      <c r="C3711" t="s">
        <v>1584</v>
      </c>
      <c r="D3711" s="9">
        <v>486986</v>
      </c>
      <c r="E3711">
        <v>3.8910000000000003E-4</v>
      </c>
    </row>
    <row r="3712" spans="1:5">
      <c r="A3712">
        <v>2020</v>
      </c>
      <c r="B3712" s="3" t="s">
        <v>1404</v>
      </c>
      <c r="C3712" t="s">
        <v>1585</v>
      </c>
      <c r="D3712" s="9">
        <v>675526</v>
      </c>
      <c r="E3712">
        <v>5.398E-4</v>
      </c>
    </row>
    <row r="3713" spans="1:5">
      <c r="A3713">
        <v>2020</v>
      </c>
      <c r="B3713" s="3" t="s">
        <v>1405</v>
      </c>
      <c r="C3713" t="s">
        <v>1586</v>
      </c>
      <c r="D3713" s="9">
        <v>66824</v>
      </c>
      <c r="E3713">
        <v>5.3399999999999997E-5</v>
      </c>
    </row>
    <row r="3714" spans="1:5">
      <c r="A3714">
        <v>2020</v>
      </c>
      <c r="B3714" s="3" t="s">
        <v>1406</v>
      </c>
      <c r="C3714" t="s">
        <v>1587</v>
      </c>
      <c r="D3714" s="9">
        <v>75799</v>
      </c>
      <c r="E3714">
        <v>6.0600000000000003E-5</v>
      </c>
    </row>
    <row r="3715" spans="1:5">
      <c r="A3715">
        <v>2020</v>
      </c>
      <c r="B3715" s="3" t="s">
        <v>1397</v>
      </c>
      <c r="C3715" t="s">
        <v>2356</v>
      </c>
      <c r="D3715" s="9">
        <v>39406</v>
      </c>
      <c r="E3715">
        <v>3.15E-5</v>
      </c>
    </row>
    <row r="3716" spans="1:5">
      <c r="A3716">
        <v>2020</v>
      </c>
      <c r="B3716" s="3" t="s">
        <v>88</v>
      </c>
      <c r="C3716" t="s">
        <v>1589</v>
      </c>
      <c r="D3716" s="9">
        <v>77163</v>
      </c>
      <c r="E3716">
        <v>6.1699999999999995E-5</v>
      </c>
    </row>
    <row r="3717" spans="1:5">
      <c r="A3717">
        <v>2020</v>
      </c>
      <c r="B3717" s="3" t="s">
        <v>90</v>
      </c>
      <c r="C3717" t="s">
        <v>1590</v>
      </c>
      <c r="D3717" s="9">
        <v>19266</v>
      </c>
      <c r="E3717">
        <v>1.5400000000000002E-5</v>
      </c>
    </row>
    <row r="3718" spans="1:5">
      <c r="A3718">
        <v>2020</v>
      </c>
      <c r="B3718" s="3" t="s">
        <v>87</v>
      </c>
      <c r="C3718" t="s">
        <v>1591</v>
      </c>
      <c r="D3718" s="9">
        <v>89702</v>
      </c>
      <c r="E3718">
        <v>7.1699999999999995E-5</v>
      </c>
    </row>
    <row r="3719" spans="1:5">
      <c r="A3719">
        <v>2020</v>
      </c>
      <c r="B3719" s="3" t="s">
        <v>92</v>
      </c>
      <c r="C3719" t="s">
        <v>1592</v>
      </c>
      <c r="D3719" s="9">
        <v>82545</v>
      </c>
      <c r="E3719">
        <v>6.6000000000000005E-5</v>
      </c>
    </row>
    <row r="3720" spans="1:5">
      <c r="A3720">
        <v>2020</v>
      </c>
      <c r="B3720" s="3" t="s">
        <v>93</v>
      </c>
      <c r="C3720" t="s">
        <v>1593</v>
      </c>
      <c r="D3720" s="9">
        <v>58370</v>
      </c>
      <c r="E3720">
        <v>4.6600000000000001E-5</v>
      </c>
    </row>
    <row r="3721" spans="1:5">
      <c r="A3721">
        <v>2020</v>
      </c>
      <c r="B3721" s="3" t="s">
        <v>94</v>
      </c>
      <c r="C3721" t="s">
        <v>1594</v>
      </c>
      <c r="D3721" s="9">
        <v>8818</v>
      </c>
      <c r="E3721">
        <v>6.9999999999999999E-6</v>
      </c>
    </row>
    <row r="3722" spans="1:5">
      <c r="A3722">
        <v>2020</v>
      </c>
      <c r="B3722" s="3" t="s">
        <v>95</v>
      </c>
      <c r="C3722" t="s">
        <v>1595</v>
      </c>
      <c r="D3722" s="9">
        <v>50708</v>
      </c>
      <c r="E3722">
        <v>4.0500000000000002E-5</v>
      </c>
    </row>
    <row r="3723" spans="1:5">
      <c r="A3723">
        <v>2020</v>
      </c>
      <c r="B3723" s="3" t="s">
        <v>100</v>
      </c>
      <c r="C3723" t="s">
        <v>1596</v>
      </c>
      <c r="D3723" s="9">
        <v>24769</v>
      </c>
      <c r="E3723">
        <v>1.98E-5</v>
      </c>
    </row>
    <row r="3724" spans="1:5">
      <c r="A3724">
        <v>2020</v>
      </c>
      <c r="B3724" s="3" t="s">
        <v>101</v>
      </c>
      <c r="C3724" t="s">
        <v>1599</v>
      </c>
      <c r="D3724" s="9">
        <v>328079</v>
      </c>
      <c r="E3724">
        <v>2.6219999999999998E-4</v>
      </c>
    </row>
    <row r="3725" spans="1:5">
      <c r="A3725">
        <v>2020</v>
      </c>
      <c r="B3725" s="3" t="s">
        <v>103</v>
      </c>
      <c r="C3725" t="s">
        <v>1600</v>
      </c>
      <c r="D3725" s="9">
        <v>14349</v>
      </c>
      <c r="E3725">
        <v>1.15E-5</v>
      </c>
    </row>
    <row r="3726" spans="1:5">
      <c r="A3726">
        <v>2020</v>
      </c>
      <c r="B3726" s="3" t="s">
        <v>105</v>
      </c>
      <c r="C3726" t="s">
        <v>1601</v>
      </c>
      <c r="D3726" s="9">
        <v>176041</v>
      </c>
      <c r="E3726">
        <v>1.407E-4</v>
      </c>
    </row>
    <row r="3727" spans="1:5">
      <c r="A3727">
        <v>2020</v>
      </c>
      <c r="B3727" s="3" t="s">
        <v>166</v>
      </c>
      <c r="C3727" t="s">
        <v>1602</v>
      </c>
      <c r="D3727" s="9">
        <v>20183</v>
      </c>
      <c r="E3727">
        <v>1.6099999999999998E-5</v>
      </c>
    </row>
    <row r="3728" spans="1:5">
      <c r="A3728">
        <v>2020</v>
      </c>
      <c r="B3728" s="3" t="s">
        <v>86</v>
      </c>
      <c r="C3728" t="s">
        <v>1603</v>
      </c>
      <c r="D3728" s="9">
        <v>16905</v>
      </c>
      <c r="E3728">
        <v>1.3499999999999999E-5</v>
      </c>
    </row>
    <row r="3729" spans="1:5">
      <c r="A3729">
        <v>2020</v>
      </c>
      <c r="B3729" s="3" t="s">
        <v>110</v>
      </c>
      <c r="C3729" t="s">
        <v>1604</v>
      </c>
      <c r="D3729" s="9">
        <v>110636</v>
      </c>
      <c r="E3729">
        <v>8.8399999999999994E-5</v>
      </c>
    </row>
    <row r="3730" spans="1:5">
      <c r="A3730">
        <v>2020</v>
      </c>
      <c r="B3730" s="3" t="s">
        <v>1409</v>
      </c>
      <c r="C3730" t="s">
        <v>1605</v>
      </c>
      <c r="D3730" s="9">
        <v>757495</v>
      </c>
      <c r="E3730">
        <v>6.0530000000000002E-4</v>
      </c>
    </row>
    <row r="3731" spans="1:5">
      <c r="A3731">
        <v>2020</v>
      </c>
      <c r="B3731" s="3" t="s">
        <v>195</v>
      </c>
      <c r="C3731" t="s">
        <v>1606</v>
      </c>
      <c r="D3731" s="9">
        <v>656327</v>
      </c>
      <c r="E3731">
        <v>5.2439999999999995E-4</v>
      </c>
    </row>
    <row r="3732" spans="1:5">
      <c r="A3732">
        <v>2020</v>
      </c>
      <c r="B3732" s="3" t="s">
        <v>218</v>
      </c>
      <c r="C3732" t="s">
        <v>1607</v>
      </c>
      <c r="D3732" s="9">
        <v>475790</v>
      </c>
      <c r="E3732">
        <v>3.8020000000000003E-4</v>
      </c>
    </row>
    <row r="3733" spans="1:5">
      <c r="A3733">
        <v>2020</v>
      </c>
      <c r="B3733" s="3" t="s">
        <v>1410</v>
      </c>
      <c r="C3733" t="s">
        <v>243</v>
      </c>
      <c r="D3733" s="9">
        <v>84901</v>
      </c>
      <c r="E3733">
        <v>6.7799999999999995E-5</v>
      </c>
    </row>
    <row r="3734" spans="1:5">
      <c r="A3734">
        <v>2020</v>
      </c>
      <c r="B3734" s="3" t="s">
        <v>1411</v>
      </c>
      <c r="C3734" t="s">
        <v>244</v>
      </c>
      <c r="D3734" s="9">
        <v>1038129</v>
      </c>
      <c r="E3734">
        <v>8.2950000000000005E-4</v>
      </c>
    </row>
    <row r="3735" spans="1:5">
      <c r="A3735">
        <v>2020</v>
      </c>
      <c r="B3735" s="3" t="s">
        <v>1394</v>
      </c>
      <c r="C3735" t="s">
        <v>1608</v>
      </c>
      <c r="D3735" s="9">
        <v>6526</v>
      </c>
      <c r="E3735">
        <v>5.2000000000000002E-6</v>
      </c>
    </row>
    <row r="3736" spans="1:5">
      <c r="A3736">
        <v>2020</v>
      </c>
      <c r="B3736" s="3" t="s">
        <v>1412</v>
      </c>
      <c r="C3736" t="s">
        <v>1609</v>
      </c>
      <c r="D3736" s="9">
        <v>3332878</v>
      </c>
      <c r="E3736">
        <v>2.6630999999999998E-3</v>
      </c>
    </row>
    <row r="3737" spans="1:5">
      <c r="A3737">
        <v>2020</v>
      </c>
      <c r="B3737" s="3" t="s">
        <v>1413</v>
      </c>
      <c r="C3737" t="s">
        <v>246</v>
      </c>
      <c r="D3737" s="9">
        <v>631885</v>
      </c>
      <c r="E3737">
        <v>5.0489999999999997E-4</v>
      </c>
    </row>
    <row r="3738" spans="1:5">
      <c r="A3738">
        <v>2020</v>
      </c>
      <c r="B3738" s="3" t="s">
        <v>1414</v>
      </c>
      <c r="C3738" t="s">
        <v>247</v>
      </c>
      <c r="D3738" s="9">
        <v>215821</v>
      </c>
      <c r="E3738">
        <v>1.7249999999999999E-4</v>
      </c>
    </row>
    <row r="3739" spans="1:5">
      <c r="A3739">
        <v>2020</v>
      </c>
      <c r="B3739" s="3" t="s">
        <v>1415</v>
      </c>
      <c r="C3739" t="s">
        <v>248</v>
      </c>
      <c r="D3739" s="9">
        <v>47843673</v>
      </c>
      <c r="E3739">
        <v>3.8229300000000001E-2</v>
      </c>
    </row>
    <row r="3740" spans="1:5">
      <c r="A3740">
        <v>2020</v>
      </c>
      <c r="B3740" s="3" t="s">
        <v>1417</v>
      </c>
      <c r="C3740" t="s">
        <v>1610</v>
      </c>
      <c r="D3740" s="9">
        <v>24591</v>
      </c>
      <c r="E3740">
        <v>1.9599999999999999E-5</v>
      </c>
    </row>
    <row r="3741" spans="1:5">
      <c r="A3741">
        <v>2020</v>
      </c>
      <c r="B3741" s="3" t="s">
        <v>1416</v>
      </c>
      <c r="C3741" t="s">
        <v>249</v>
      </c>
      <c r="D3741" s="9">
        <v>3364390</v>
      </c>
      <c r="E3741">
        <v>2.6882999999999998E-3</v>
      </c>
    </row>
    <row r="3742" spans="1:5">
      <c r="A3742">
        <v>2020</v>
      </c>
      <c r="B3742" s="3" t="s">
        <v>1418</v>
      </c>
      <c r="C3742" t="s">
        <v>1611</v>
      </c>
      <c r="D3742" s="9"/>
    </row>
    <row r="3743" spans="1:5">
      <c r="A3743">
        <v>2020</v>
      </c>
      <c r="B3743" s="3" t="s">
        <v>1419</v>
      </c>
      <c r="C3743" t="s">
        <v>252</v>
      </c>
      <c r="D3743" s="9">
        <v>2906728</v>
      </c>
      <c r="E3743">
        <v>2.3226000000000002E-3</v>
      </c>
    </row>
    <row r="3744" spans="1:5">
      <c r="A3744">
        <v>2020</v>
      </c>
      <c r="B3744" s="3" t="s">
        <v>1420</v>
      </c>
      <c r="C3744" t="s">
        <v>1612</v>
      </c>
      <c r="D3744" s="9">
        <v>177143</v>
      </c>
      <c r="E3744">
        <v>1.415E-4</v>
      </c>
    </row>
    <row r="3745" spans="1:5">
      <c r="A3745">
        <v>2020</v>
      </c>
      <c r="B3745" s="3" t="s">
        <v>1015</v>
      </c>
      <c r="C3745" t="s">
        <v>1613</v>
      </c>
      <c r="D3745" s="9">
        <v>558050</v>
      </c>
      <c r="E3745">
        <v>4.459E-4</v>
      </c>
    </row>
    <row r="3746" spans="1:5">
      <c r="A3746">
        <v>2020</v>
      </c>
      <c r="B3746" s="3" t="s">
        <v>1014</v>
      </c>
      <c r="C3746" t="s">
        <v>1614</v>
      </c>
      <c r="D3746" s="9"/>
    </row>
    <row r="3747" spans="1:5">
      <c r="A3747">
        <v>2020</v>
      </c>
      <c r="B3747" s="3" t="s">
        <v>1421</v>
      </c>
      <c r="C3747" t="s">
        <v>1615</v>
      </c>
      <c r="D3747" s="9">
        <v>34496</v>
      </c>
      <c r="E3747">
        <v>2.76E-5</v>
      </c>
    </row>
    <row r="3748" spans="1:5">
      <c r="A3748">
        <v>2020</v>
      </c>
      <c r="B3748" s="3" t="s">
        <v>1422</v>
      </c>
      <c r="C3748" t="s">
        <v>1616</v>
      </c>
      <c r="D3748" s="9">
        <v>190818</v>
      </c>
      <c r="E3748">
        <v>1.5249999999999999E-4</v>
      </c>
    </row>
    <row r="3749" spans="1:5">
      <c r="A3749">
        <v>2020</v>
      </c>
      <c r="B3749" s="3" t="s">
        <v>1423</v>
      </c>
      <c r="C3749" t="s">
        <v>256</v>
      </c>
      <c r="D3749" s="9">
        <v>2227352</v>
      </c>
      <c r="E3749">
        <v>1.7798E-3</v>
      </c>
    </row>
    <row r="3750" spans="1:5">
      <c r="A3750">
        <v>2020</v>
      </c>
      <c r="B3750" s="3" t="s">
        <v>1424</v>
      </c>
      <c r="C3750" t="s">
        <v>257</v>
      </c>
      <c r="D3750" s="9">
        <v>3371629</v>
      </c>
      <c r="E3750">
        <v>2.6941000000000001E-3</v>
      </c>
    </row>
    <row r="3751" spans="1:5">
      <c r="A3751">
        <v>2020</v>
      </c>
      <c r="B3751" s="3" t="s">
        <v>370</v>
      </c>
      <c r="C3751" t="s">
        <v>1617</v>
      </c>
      <c r="D3751" s="9">
        <v>2920763</v>
      </c>
      <c r="E3751">
        <v>2.3338E-3</v>
      </c>
    </row>
    <row r="3752" spans="1:5">
      <c r="A3752">
        <v>2020</v>
      </c>
      <c r="B3752" s="3" t="s">
        <v>1425</v>
      </c>
      <c r="C3752" t="s">
        <v>258</v>
      </c>
      <c r="D3752" s="9">
        <v>35828</v>
      </c>
      <c r="E3752">
        <v>2.8600000000000001E-5</v>
      </c>
    </row>
    <row r="3753" spans="1:5">
      <c r="A3753">
        <v>2020</v>
      </c>
      <c r="B3753" s="3" t="s">
        <v>1429</v>
      </c>
      <c r="C3753" t="s">
        <v>2358</v>
      </c>
      <c r="D3753" s="9">
        <v>1210447</v>
      </c>
      <c r="E3753">
        <v>9.6719999999999998E-4</v>
      </c>
    </row>
    <row r="3754" spans="1:5">
      <c r="A3754">
        <v>2020</v>
      </c>
      <c r="B3754" s="3" t="s">
        <v>1430</v>
      </c>
      <c r="C3754" t="s">
        <v>1619</v>
      </c>
      <c r="D3754" s="9">
        <v>408724</v>
      </c>
      <c r="E3754">
        <v>3.2660000000000002E-4</v>
      </c>
    </row>
    <row r="3755" spans="1:5">
      <c r="A3755">
        <v>2020</v>
      </c>
      <c r="B3755" s="3" t="s">
        <v>1431</v>
      </c>
      <c r="C3755" t="s">
        <v>264</v>
      </c>
      <c r="D3755" s="9">
        <v>305193</v>
      </c>
      <c r="E3755">
        <v>2.4389999999999999E-4</v>
      </c>
    </row>
    <row r="3756" spans="1:5">
      <c r="A3756">
        <v>2020</v>
      </c>
      <c r="B3756" s="3" t="s">
        <v>1432</v>
      </c>
      <c r="C3756" t="s">
        <v>265</v>
      </c>
      <c r="D3756" s="9">
        <v>342649</v>
      </c>
      <c r="E3756">
        <v>2.7379999999999999E-4</v>
      </c>
    </row>
    <row r="3757" spans="1:5">
      <c r="A3757">
        <v>2020</v>
      </c>
      <c r="B3757" s="3" t="s">
        <v>1433</v>
      </c>
      <c r="C3757" t="s">
        <v>266</v>
      </c>
      <c r="D3757" s="9">
        <v>165293</v>
      </c>
      <c r="E3757">
        <v>1.3210000000000001E-4</v>
      </c>
    </row>
    <row r="3758" spans="1:5">
      <c r="A3758">
        <v>2020</v>
      </c>
      <c r="B3758" s="3" t="s">
        <v>1434</v>
      </c>
      <c r="C3758" t="s">
        <v>1620</v>
      </c>
      <c r="D3758" s="9">
        <v>1444143</v>
      </c>
      <c r="E3758">
        <v>1.1539E-3</v>
      </c>
    </row>
    <row r="3759" spans="1:5">
      <c r="A3759">
        <v>2020</v>
      </c>
      <c r="B3759" s="3" t="s">
        <v>1435</v>
      </c>
      <c r="C3759" t="s">
        <v>2359</v>
      </c>
      <c r="D3759" s="9">
        <v>200036</v>
      </c>
      <c r="E3759">
        <v>1.5980000000000001E-4</v>
      </c>
    </row>
    <row r="3760" spans="1:5">
      <c r="A3760">
        <v>2020</v>
      </c>
      <c r="B3760" s="3" t="s">
        <v>1436</v>
      </c>
      <c r="C3760" t="s">
        <v>269</v>
      </c>
      <c r="D3760" s="9">
        <v>217231</v>
      </c>
      <c r="E3760">
        <v>1.7359999999999999E-4</v>
      </c>
    </row>
    <row r="3761" spans="1:5">
      <c r="A3761">
        <v>2020</v>
      </c>
      <c r="B3761" s="3" t="s">
        <v>1437</v>
      </c>
      <c r="C3761" t="s">
        <v>270</v>
      </c>
      <c r="D3761" s="9">
        <v>1215327</v>
      </c>
      <c r="E3761">
        <v>9.7110000000000002E-4</v>
      </c>
    </row>
    <row r="3762" spans="1:5">
      <c r="A3762">
        <v>2020</v>
      </c>
      <c r="B3762" s="3" t="s">
        <v>1438</v>
      </c>
      <c r="C3762" t="s">
        <v>1622</v>
      </c>
      <c r="D3762" s="9">
        <v>812557</v>
      </c>
      <c r="E3762">
        <v>6.4930000000000001E-4</v>
      </c>
    </row>
    <row r="3763" spans="1:5">
      <c r="A3763">
        <v>2020</v>
      </c>
      <c r="B3763" s="3" t="s">
        <v>371</v>
      </c>
      <c r="C3763" t="s">
        <v>1623</v>
      </c>
      <c r="D3763" s="9">
        <v>311127</v>
      </c>
      <c r="E3763">
        <v>2.4860000000000003E-4</v>
      </c>
    </row>
    <row r="3764" spans="1:5">
      <c r="A3764">
        <v>2020</v>
      </c>
      <c r="B3764" s="3" t="s">
        <v>1439</v>
      </c>
      <c r="C3764" t="s">
        <v>1624</v>
      </c>
      <c r="D3764" s="9">
        <v>114335</v>
      </c>
      <c r="E3764">
        <v>9.1399999999999999E-5</v>
      </c>
    </row>
    <row r="3765" spans="1:5">
      <c r="A3765">
        <v>2020</v>
      </c>
      <c r="B3765" s="3" t="s">
        <v>1440</v>
      </c>
      <c r="C3765" t="s">
        <v>1625</v>
      </c>
      <c r="D3765" s="9">
        <v>403632</v>
      </c>
      <c r="E3765">
        <v>3.2249999999999998E-4</v>
      </c>
    </row>
    <row r="3766" spans="1:5">
      <c r="A3766">
        <v>2020</v>
      </c>
      <c r="B3766" s="3" t="s">
        <v>372</v>
      </c>
      <c r="C3766" t="s">
        <v>1626</v>
      </c>
      <c r="D3766" s="9">
        <v>200068</v>
      </c>
      <c r="E3766">
        <v>1.5990000000000001E-4</v>
      </c>
    </row>
    <row r="3767" spans="1:5">
      <c r="A3767">
        <v>2020</v>
      </c>
      <c r="B3767" s="3" t="s">
        <v>1441</v>
      </c>
      <c r="C3767" t="s">
        <v>274</v>
      </c>
      <c r="D3767" s="9"/>
    </row>
    <row r="3768" spans="1:5">
      <c r="A3768">
        <v>2020</v>
      </c>
      <c r="B3768" s="3" t="s">
        <v>1442</v>
      </c>
      <c r="C3768" t="s">
        <v>1627</v>
      </c>
      <c r="D3768" s="9">
        <v>8260</v>
      </c>
      <c r="E3768">
        <v>6.6000000000000003E-6</v>
      </c>
    </row>
    <row r="3769" spans="1:5">
      <c r="A3769">
        <v>2020</v>
      </c>
      <c r="B3769" s="3" t="s">
        <v>1443</v>
      </c>
      <c r="C3769" t="s">
        <v>1628</v>
      </c>
      <c r="D3769" s="9">
        <v>1136467</v>
      </c>
      <c r="E3769">
        <v>9.0810000000000001E-4</v>
      </c>
    </row>
    <row r="3770" spans="1:5">
      <c r="A3770">
        <v>2020</v>
      </c>
      <c r="B3770" s="3" t="s">
        <v>332</v>
      </c>
      <c r="C3770" t="s">
        <v>1630</v>
      </c>
      <c r="D3770" s="9">
        <v>96948</v>
      </c>
      <c r="E3770">
        <v>7.75E-5</v>
      </c>
    </row>
    <row r="3771" spans="1:5">
      <c r="A3771">
        <v>2020</v>
      </c>
      <c r="B3771" s="3" t="s">
        <v>333</v>
      </c>
      <c r="C3771" t="s">
        <v>1631</v>
      </c>
      <c r="D3771" s="9">
        <v>42177</v>
      </c>
      <c r="E3771">
        <v>3.3699999999999999E-5</v>
      </c>
    </row>
    <row r="3772" spans="1:5">
      <c r="A3772">
        <v>2020</v>
      </c>
      <c r="B3772" s="3" t="s">
        <v>334</v>
      </c>
      <c r="C3772" t="s">
        <v>1632</v>
      </c>
      <c r="D3772" s="9">
        <v>58181</v>
      </c>
      <c r="E3772">
        <v>4.6499999999999999E-5</v>
      </c>
    </row>
    <row r="3773" spans="1:5">
      <c r="A3773">
        <v>2020</v>
      </c>
      <c r="B3773" s="3" t="s">
        <v>335</v>
      </c>
      <c r="C3773" t="s">
        <v>1633</v>
      </c>
      <c r="D3773" s="9">
        <v>3140633</v>
      </c>
      <c r="E3773">
        <v>2.5095E-3</v>
      </c>
    </row>
    <row r="3774" spans="1:5">
      <c r="A3774">
        <v>2020</v>
      </c>
      <c r="B3774" s="3" t="s">
        <v>336</v>
      </c>
      <c r="C3774" t="s">
        <v>1634</v>
      </c>
      <c r="D3774" s="9">
        <v>2583761</v>
      </c>
      <c r="E3774">
        <v>2.0644999999999999E-3</v>
      </c>
    </row>
    <row r="3775" spans="1:5">
      <c r="A3775">
        <v>2020</v>
      </c>
      <c r="B3775" s="3" t="s">
        <v>337</v>
      </c>
      <c r="C3775" t="s">
        <v>283</v>
      </c>
      <c r="D3775" s="9">
        <v>171336</v>
      </c>
      <c r="E3775">
        <v>1.3689999999999999E-4</v>
      </c>
    </row>
    <row r="3776" spans="1:5">
      <c r="A3776">
        <v>2020</v>
      </c>
      <c r="B3776" s="3" t="s">
        <v>338</v>
      </c>
      <c r="C3776" t="s">
        <v>1635</v>
      </c>
      <c r="D3776" s="9">
        <v>63120</v>
      </c>
      <c r="E3776">
        <v>5.0399999999999999E-5</v>
      </c>
    </row>
    <row r="3777" spans="1:5">
      <c r="A3777">
        <v>2020</v>
      </c>
      <c r="B3777" s="3" t="s">
        <v>373</v>
      </c>
      <c r="C3777" t="s">
        <v>1636</v>
      </c>
      <c r="D3777" s="9">
        <v>2716829</v>
      </c>
      <c r="E3777">
        <v>2.1708999999999999E-3</v>
      </c>
    </row>
    <row r="3778" spans="1:5">
      <c r="A3778">
        <v>2020</v>
      </c>
      <c r="B3778" s="3" t="s">
        <v>339</v>
      </c>
      <c r="C3778" t="s">
        <v>1637</v>
      </c>
      <c r="D3778" s="9">
        <v>1219896</v>
      </c>
      <c r="E3778">
        <v>9.7479999999999995E-4</v>
      </c>
    </row>
    <row r="3779" spans="1:5">
      <c r="A3779">
        <v>2020</v>
      </c>
      <c r="B3779" s="3" t="s">
        <v>340</v>
      </c>
      <c r="C3779" t="s">
        <v>286</v>
      </c>
      <c r="D3779" s="9">
        <v>111509</v>
      </c>
      <c r="E3779">
        <v>8.9099999999999997E-5</v>
      </c>
    </row>
    <row r="3780" spans="1:5">
      <c r="A3780">
        <v>2020</v>
      </c>
      <c r="B3780" s="3" t="s">
        <v>341</v>
      </c>
      <c r="C3780" t="s">
        <v>287</v>
      </c>
      <c r="D3780" s="9"/>
    </row>
    <row r="3781" spans="1:5">
      <c r="A3781">
        <v>2020</v>
      </c>
      <c r="B3781" s="3" t="s">
        <v>342</v>
      </c>
      <c r="C3781" t="s">
        <v>1638</v>
      </c>
      <c r="D3781" s="9">
        <v>927727</v>
      </c>
      <c r="E3781">
        <v>7.4129999999999997E-4</v>
      </c>
    </row>
    <row r="3782" spans="1:5">
      <c r="A3782">
        <v>2020</v>
      </c>
      <c r="B3782" s="3" t="s">
        <v>1219</v>
      </c>
      <c r="C3782" t="s">
        <v>1639</v>
      </c>
      <c r="D3782" s="9">
        <v>385113</v>
      </c>
      <c r="E3782">
        <v>3.077E-4</v>
      </c>
    </row>
    <row r="3783" spans="1:5">
      <c r="A3783">
        <v>2020</v>
      </c>
      <c r="B3783" s="3" t="s">
        <v>343</v>
      </c>
      <c r="C3783" t="s">
        <v>1640</v>
      </c>
      <c r="D3783" s="9">
        <v>107963</v>
      </c>
      <c r="E3783">
        <v>8.6299999999999997E-5</v>
      </c>
    </row>
    <row r="3784" spans="1:5">
      <c r="A3784">
        <v>2020</v>
      </c>
      <c r="B3784" s="3" t="s">
        <v>344</v>
      </c>
      <c r="C3784" t="s">
        <v>290</v>
      </c>
      <c r="D3784" s="9">
        <v>75168</v>
      </c>
      <c r="E3784">
        <v>6.0099999999999997E-5</v>
      </c>
    </row>
    <row r="3785" spans="1:5">
      <c r="A3785">
        <v>2020</v>
      </c>
      <c r="B3785" s="3" t="s">
        <v>1220</v>
      </c>
      <c r="C3785" t="s">
        <v>1641</v>
      </c>
      <c r="D3785" s="9">
        <v>131601</v>
      </c>
      <c r="E3785">
        <v>1.052E-4</v>
      </c>
    </row>
    <row r="3786" spans="1:5">
      <c r="A3786">
        <v>2020</v>
      </c>
      <c r="B3786" s="3" t="s">
        <v>345</v>
      </c>
      <c r="C3786" t="s">
        <v>1642</v>
      </c>
      <c r="D3786" s="9">
        <v>81819</v>
      </c>
      <c r="E3786">
        <v>6.5400000000000004E-5</v>
      </c>
    </row>
    <row r="3787" spans="1:5">
      <c r="A3787">
        <v>2020</v>
      </c>
      <c r="B3787" s="3" t="s">
        <v>346</v>
      </c>
      <c r="C3787" t="s">
        <v>1643</v>
      </c>
      <c r="D3787" s="9">
        <v>9889079</v>
      </c>
      <c r="E3787">
        <v>7.9018000000000005E-3</v>
      </c>
    </row>
    <row r="3788" spans="1:5">
      <c r="A3788">
        <v>2020</v>
      </c>
      <c r="B3788" s="3" t="s">
        <v>347</v>
      </c>
      <c r="C3788" t="s">
        <v>1644</v>
      </c>
      <c r="D3788" s="9">
        <v>3655918</v>
      </c>
      <c r="E3788">
        <v>2.9212000000000001E-3</v>
      </c>
    </row>
    <row r="3789" spans="1:5">
      <c r="A3789">
        <v>2020</v>
      </c>
      <c r="B3789" s="3" t="s">
        <v>348</v>
      </c>
      <c r="C3789" t="s">
        <v>1645</v>
      </c>
      <c r="D3789" s="9">
        <v>1955000</v>
      </c>
      <c r="E3789">
        <v>1.5621000000000001E-3</v>
      </c>
    </row>
    <row r="3790" spans="1:5">
      <c r="A3790">
        <v>2020</v>
      </c>
      <c r="B3790" s="3" t="s">
        <v>374</v>
      </c>
      <c r="C3790" t="s">
        <v>1646</v>
      </c>
      <c r="D3790" s="9">
        <v>1607330</v>
      </c>
      <c r="E3790">
        <v>1.2842999999999999E-3</v>
      </c>
    </row>
    <row r="3791" spans="1:5">
      <c r="A3791">
        <v>2020</v>
      </c>
      <c r="B3791" s="3" t="s">
        <v>349</v>
      </c>
      <c r="C3791" t="s">
        <v>1647</v>
      </c>
      <c r="D3791" s="9">
        <v>2999074</v>
      </c>
      <c r="E3791">
        <v>2.3963999999999999E-3</v>
      </c>
    </row>
    <row r="3792" spans="1:5">
      <c r="A3792">
        <v>2020</v>
      </c>
      <c r="B3792" s="3" t="s">
        <v>350</v>
      </c>
      <c r="C3792" t="s">
        <v>1648</v>
      </c>
      <c r="D3792" s="9">
        <v>3023949</v>
      </c>
      <c r="E3792">
        <v>2.4163000000000001E-3</v>
      </c>
    </row>
    <row r="3793" spans="1:5">
      <c r="A3793">
        <v>2020</v>
      </c>
      <c r="B3793" s="3" t="s">
        <v>1221</v>
      </c>
      <c r="C3793" t="s">
        <v>1649</v>
      </c>
      <c r="D3793" s="9">
        <v>316802</v>
      </c>
      <c r="E3793">
        <v>2.5310000000000003E-4</v>
      </c>
    </row>
    <row r="3794" spans="1:5">
      <c r="A3794">
        <v>2020</v>
      </c>
      <c r="B3794" s="3" t="s">
        <v>351</v>
      </c>
      <c r="C3794" t="s">
        <v>297</v>
      </c>
      <c r="D3794" s="9">
        <v>24370</v>
      </c>
      <c r="E3794">
        <v>1.95E-5</v>
      </c>
    </row>
    <row r="3795" spans="1:5">
      <c r="A3795">
        <v>2020</v>
      </c>
      <c r="B3795" s="3" t="s">
        <v>352</v>
      </c>
      <c r="C3795" t="s">
        <v>2398</v>
      </c>
      <c r="D3795" s="9">
        <v>175519</v>
      </c>
      <c r="E3795">
        <v>1.4019999999999999E-4</v>
      </c>
    </row>
    <row r="3796" spans="1:5">
      <c r="A3796">
        <v>2020</v>
      </c>
      <c r="B3796" s="3" t="s">
        <v>353</v>
      </c>
      <c r="C3796" t="s">
        <v>1650</v>
      </c>
      <c r="D3796" s="9">
        <v>56912</v>
      </c>
      <c r="E3796">
        <v>4.5500000000000001E-5</v>
      </c>
    </row>
    <row r="3797" spans="1:5">
      <c r="A3797">
        <v>2020</v>
      </c>
      <c r="B3797" s="3" t="s">
        <v>354</v>
      </c>
      <c r="C3797" t="s">
        <v>300</v>
      </c>
      <c r="D3797" s="9">
        <v>2681389</v>
      </c>
      <c r="E3797">
        <v>2.1426000000000001E-3</v>
      </c>
    </row>
    <row r="3798" spans="1:5">
      <c r="A3798">
        <v>2020</v>
      </c>
      <c r="B3798" s="3" t="s">
        <v>1659</v>
      </c>
      <c r="C3798" t="s">
        <v>1651</v>
      </c>
      <c r="D3798" s="9">
        <v>223329</v>
      </c>
      <c r="E3798">
        <v>1.785E-4</v>
      </c>
    </row>
    <row r="3799" spans="1:5">
      <c r="A3799">
        <v>2020</v>
      </c>
      <c r="B3799" s="3" t="s">
        <v>355</v>
      </c>
      <c r="C3799" t="s">
        <v>301</v>
      </c>
      <c r="D3799" s="9">
        <v>389048</v>
      </c>
      <c r="E3799">
        <v>3.1090000000000002E-4</v>
      </c>
    </row>
    <row r="3800" spans="1:5">
      <c r="A3800">
        <v>2020</v>
      </c>
      <c r="B3800" s="3" t="s">
        <v>356</v>
      </c>
      <c r="C3800" t="s">
        <v>1444</v>
      </c>
      <c r="D3800" s="9">
        <v>5954012</v>
      </c>
      <c r="E3800">
        <v>4.7574999999999996E-3</v>
      </c>
    </row>
    <row r="3801" spans="1:5">
      <c r="A3801">
        <v>2020</v>
      </c>
      <c r="B3801" s="3" t="s">
        <v>357</v>
      </c>
      <c r="C3801" t="s">
        <v>1652</v>
      </c>
      <c r="D3801" s="9">
        <v>186721</v>
      </c>
      <c r="E3801">
        <v>1.4919999999999999E-4</v>
      </c>
    </row>
    <row r="3802" spans="1:5">
      <c r="A3802">
        <v>2020</v>
      </c>
      <c r="B3802" s="3" t="s">
        <v>358</v>
      </c>
      <c r="C3802" t="s">
        <v>304</v>
      </c>
      <c r="D3802" s="9"/>
    </row>
    <row r="3803" spans="1:5">
      <c r="A3803">
        <v>2020</v>
      </c>
      <c r="B3803" s="3" t="s">
        <v>359</v>
      </c>
      <c r="C3803" t="s">
        <v>305</v>
      </c>
      <c r="D3803" s="9">
        <v>233999</v>
      </c>
      <c r="E3803">
        <v>1.8699999999999999E-4</v>
      </c>
    </row>
    <row r="3804" spans="1:5">
      <c r="A3804">
        <v>2020</v>
      </c>
      <c r="B3804" s="3" t="s">
        <v>360</v>
      </c>
      <c r="C3804" t="s">
        <v>1653</v>
      </c>
      <c r="D3804" s="9">
        <v>28306252</v>
      </c>
      <c r="E3804">
        <v>2.2617999999999999E-2</v>
      </c>
    </row>
    <row r="3805" spans="1:5">
      <c r="A3805">
        <v>2020</v>
      </c>
      <c r="B3805" s="3" t="s">
        <v>375</v>
      </c>
      <c r="C3805" t="s">
        <v>1654</v>
      </c>
      <c r="D3805" s="9">
        <v>8851613</v>
      </c>
      <c r="E3805">
        <v>7.0727999999999997E-3</v>
      </c>
    </row>
    <row r="3806" spans="1:5">
      <c r="A3806">
        <v>2020</v>
      </c>
      <c r="B3806" s="3" t="s">
        <v>361</v>
      </c>
      <c r="C3806" t="s">
        <v>1655</v>
      </c>
      <c r="D3806" s="9">
        <v>199481</v>
      </c>
      <c r="E3806">
        <v>1.594E-4</v>
      </c>
    </row>
    <row r="3807" spans="1:5">
      <c r="A3807">
        <v>2020</v>
      </c>
      <c r="B3807" s="3" t="s">
        <v>362</v>
      </c>
      <c r="C3807" t="s">
        <v>1656</v>
      </c>
      <c r="D3807" s="9">
        <v>7653</v>
      </c>
      <c r="E3807">
        <v>6.1E-6</v>
      </c>
    </row>
    <row r="3808" spans="1:5">
      <c r="A3808">
        <v>2020</v>
      </c>
      <c r="B3808" s="3" t="s">
        <v>363</v>
      </c>
      <c r="C3808" t="s">
        <v>1657</v>
      </c>
      <c r="D3808" s="9">
        <v>3179095</v>
      </c>
      <c r="E3808">
        <v>2.5401999999999998E-3</v>
      </c>
    </row>
    <row r="3809" spans="1:5">
      <c r="A3809">
        <v>2020</v>
      </c>
      <c r="B3809" s="3" t="s">
        <v>364</v>
      </c>
      <c r="C3809" t="s">
        <v>310</v>
      </c>
      <c r="D3809" s="9"/>
    </row>
    <row r="3810" spans="1:5">
      <c r="A3810">
        <v>2020</v>
      </c>
      <c r="B3810" s="3" t="s">
        <v>365</v>
      </c>
      <c r="C3810" t="s">
        <v>1658</v>
      </c>
      <c r="D3810" s="9">
        <v>1187562</v>
      </c>
      <c r="E3810">
        <v>9.4890000000000003E-4</v>
      </c>
    </row>
    <row r="3811" spans="1:5">
      <c r="A3811">
        <v>2020</v>
      </c>
      <c r="B3811" s="3" t="s">
        <v>1222</v>
      </c>
      <c r="C3811" t="s">
        <v>1660</v>
      </c>
      <c r="D3811" s="9">
        <v>415582</v>
      </c>
      <c r="E3811">
        <v>3.321E-4</v>
      </c>
    </row>
    <row r="3812" spans="1:5">
      <c r="A3812">
        <v>2020</v>
      </c>
      <c r="B3812" s="3" t="s">
        <v>366</v>
      </c>
      <c r="C3812" t="s">
        <v>312</v>
      </c>
      <c r="D3812" s="9">
        <v>4813</v>
      </c>
      <c r="E3812">
        <v>3.8E-6</v>
      </c>
    </row>
    <row r="3813" spans="1:5">
      <c r="A3813">
        <v>2020</v>
      </c>
      <c r="B3813" s="3" t="s">
        <v>367</v>
      </c>
      <c r="C3813" t="s">
        <v>313</v>
      </c>
      <c r="D3813" s="9">
        <v>60319</v>
      </c>
      <c r="E3813">
        <v>4.8199999999999999E-5</v>
      </c>
    </row>
    <row r="3814" spans="1:5">
      <c r="A3814">
        <v>2020</v>
      </c>
      <c r="B3814" s="3" t="s">
        <v>368</v>
      </c>
      <c r="C3814" t="s">
        <v>1661</v>
      </c>
      <c r="D3814" s="9">
        <v>246230</v>
      </c>
      <c r="E3814">
        <v>1.9670000000000001E-4</v>
      </c>
    </row>
    <row r="3815" spans="1:5">
      <c r="A3815">
        <v>2020</v>
      </c>
      <c r="B3815" s="3" t="s">
        <v>467</v>
      </c>
      <c r="C3815" t="s">
        <v>412</v>
      </c>
      <c r="D3815" s="9"/>
    </row>
    <row r="3816" spans="1:5">
      <c r="A3816">
        <v>2020</v>
      </c>
      <c r="B3816" s="3" t="s">
        <v>1223</v>
      </c>
      <c r="C3816" t="s">
        <v>1662</v>
      </c>
      <c r="D3816" s="9">
        <v>176079</v>
      </c>
      <c r="E3816">
        <v>1.407E-4</v>
      </c>
    </row>
    <row r="3817" spans="1:5">
      <c r="A3817">
        <v>2020</v>
      </c>
      <c r="B3817" s="3" t="s">
        <v>468</v>
      </c>
      <c r="C3817" t="s">
        <v>1663</v>
      </c>
      <c r="D3817" s="9">
        <v>266356</v>
      </c>
      <c r="E3817">
        <v>2.128E-4</v>
      </c>
    </row>
    <row r="3818" spans="1:5">
      <c r="A3818">
        <v>2020</v>
      </c>
      <c r="B3818" s="3" t="s">
        <v>1224</v>
      </c>
      <c r="C3818" t="s">
        <v>1665</v>
      </c>
      <c r="D3818" s="9">
        <v>91453</v>
      </c>
      <c r="E3818">
        <v>7.3100000000000001E-5</v>
      </c>
    </row>
    <row r="3819" spans="1:5">
      <c r="A3819">
        <v>2020</v>
      </c>
      <c r="B3819" s="3" t="s">
        <v>470</v>
      </c>
      <c r="C3819" t="s">
        <v>2361</v>
      </c>
      <c r="D3819" s="9">
        <v>31033</v>
      </c>
      <c r="E3819">
        <v>2.48E-5</v>
      </c>
    </row>
    <row r="3820" spans="1:5">
      <c r="A3820">
        <v>2020</v>
      </c>
      <c r="B3820" s="3" t="s">
        <v>471</v>
      </c>
      <c r="C3820" t="s">
        <v>416</v>
      </c>
      <c r="D3820" s="9">
        <v>2357069</v>
      </c>
      <c r="E3820">
        <v>1.8833999999999999E-3</v>
      </c>
    </row>
    <row r="3821" spans="1:5">
      <c r="A3821">
        <v>2020</v>
      </c>
      <c r="B3821" s="3" t="s">
        <v>472</v>
      </c>
      <c r="C3821" t="s">
        <v>417</v>
      </c>
      <c r="D3821" s="9">
        <v>3234126</v>
      </c>
      <c r="E3821">
        <v>2.5842E-3</v>
      </c>
    </row>
    <row r="3822" spans="1:5">
      <c r="A3822">
        <v>2020</v>
      </c>
      <c r="B3822" s="3" t="s">
        <v>474</v>
      </c>
      <c r="C3822" t="s">
        <v>1666</v>
      </c>
      <c r="D3822" s="9">
        <v>100868</v>
      </c>
      <c r="E3822">
        <v>8.0599999999999994E-5</v>
      </c>
    </row>
    <row r="3823" spans="1:5">
      <c r="A3823">
        <v>2020</v>
      </c>
      <c r="B3823" s="3" t="s">
        <v>475</v>
      </c>
      <c r="C3823" t="s">
        <v>1667</v>
      </c>
      <c r="D3823" s="9">
        <v>33631</v>
      </c>
      <c r="E3823">
        <v>2.69E-5</v>
      </c>
    </row>
    <row r="3824" spans="1:5">
      <c r="A3824">
        <v>2020</v>
      </c>
      <c r="B3824" s="3" t="s">
        <v>476</v>
      </c>
      <c r="C3824" t="s">
        <v>421</v>
      </c>
      <c r="D3824" s="9">
        <v>5038039</v>
      </c>
      <c r="E3824">
        <v>4.0255999999999998E-3</v>
      </c>
    </row>
    <row r="3825" spans="1:5">
      <c r="A3825">
        <v>2020</v>
      </c>
      <c r="B3825" s="3" t="s">
        <v>477</v>
      </c>
      <c r="C3825" t="s">
        <v>422</v>
      </c>
      <c r="D3825" s="9">
        <v>1112558</v>
      </c>
      <c r="E3825">
        <v>8.8900000000000003E-4</v>
      </c>
    </row>
    <row r="3826" spans="1:5">
      <c r="A3826">
        <v>2020</v>
      </c>
      <c r="B3826" s="3" t="s">
        <v>478</v>
      </c>
      <c r="C3826" t="s">
        <v>1668</v>
      </c>
      <c r="D3826" s="9">
        <v>145863</v>
      </c>
      <c r="E3826">
        <v>1.166E-4</v>
      </c>
    </row>
    <row r="3827" spans="1:5">
      <c r="A3827">
        <v>2020</v>
      </c>
      <c r="B3827" s="3" t="s">
        <v>479</v>
      </c>
      <c r="C3827" t="s">
        <v>1669</v>
      </c>
      <c r="D3827" s="9">
        <v>357243</v>
      </c>
      <c r="E3827">
        <v>2.855E-4</v>
      </c>
    </row>
    <row r="3828" spans="1:5">
      <c r="A3828">
        <v>2020</v>
      </c>
      <c r="B3828" s="3" t="s">
        <v>480</v>
      </c>
      <c r="C3828" t="s">
        <v>1670</v>
      </c>
      <c r="D3828" s="9">
        <v>61560</v>
      </c>
      <c r="E3828">
        <v>4.9200000000000003E-5</v>
      </c>
    </row>
    <row r="3829" spans="1:5">
      <c r="A3829">
        <v>2020</v>
      </c>
      <c r="B3829" s="3" t="s">
        <v>481</v>
      </c>
      <c r="C3829" t="s">
        <v>1671</v>
      </c>
      <c r="D3829" s="9">
        <v>880929</v>
      </c>
      <c r="E3829">
        <v>7.0390000000000003E-4</v>
      </c>
    </row>
    <row r="3830" spans="1:5">
      <c r="A3830">
        <v>2020</v>
      </c>
      <c r="B3830" s="3" t="s">
        <v>482</v>
      </c>
      <c r="C3830" t="s">
        <v>1672</v>
      </c>
      <c r="D3830" s="9">
        <v>162373</v>
      </c>
      <c r="E3830">
        <v>1.2970000000000001E-4</v>
      </c>
    </row>
    <row r="3831" spans="1:5">
      <c r="A3831">
        <v>2020</v>
      </c>
      <c r="B3831" s="3" t="s">
        <v>483</v>
      </c>
      <c r="C3831" t="s">
        <v>1673</v>
      </c>
      <c r="D3831" s="9">
        <v>120686</v>
      </c>
      <c r="E3831">
        <v>9.6399999999999999E-5</v>
      </c>
    </row>
    <row r="3832" spans="1:5">
      <c r="A3832">
        <v>2020</v>
      </c>
      <c r="B3832" s="3" t="s">
        <v>484</v>
      </c>
      <c r="C3832" t="s">
        <v>1674</v>
      </c>
      <c r="D3832" s="9">
        <v>355127</v>
      </c>
      <c r="E3832">
        <v>2.8380000000000001E-4</v>
      </c>
    </row>
    <row r="3833" spans="1:5">
      <c r="A3833">
        <v>2020</v>
      </c>
      <c r="B3833" s="3" t="s">
        <v>485</v>
      </c>
      <c r="C3833" t="s">
        <v>1675</v>
      </c>
      <c r="D3833" s="9">
        <v>1390291</v>
      </c>
      <c r="E3833">
        <v>1.1109E-3</v>
      </c>
    </row>
    <row r="3834" spans="1:5">
      <c r="A3834">
        <v>2020</v>
      </c>
      <c r="B3834" s="3" t="s">
        <v>376</v>
      </c>
      <c r="C3834" t="s">
        <v>1676</v>
      </c>
      <c r="D3834" s="9">
        <v>501907</v>
      </c>
      <c r="E3834">
        <v>4.0099999999999999E-4</v>
      </c>
    </row>
    <row r="3835" spans="1:5">
      <c r="A3835">
        <v>2020</v>
      </c>
      <c r="B3835" s="3" t="s">
        <v>1690</v>
      </c>
      <c r="C3835" t="s">
        <v>1677</v>
      </c>
      <c r="D3835" s="9"/>
    </row>
    <row r="3836" spans="1:5">
      <c r="A3836">
        <v>2020</v>
      </c>
      <c r="B3836" s="3" t="s">
        <v>2365</v>
      </c>
      <c r="C3836" t="s">
        <v>2363</v>
      </c>
      <c r="D3836" s="9">
        <v>45340</v>
      </c>
      <c r="E3836">
        <v>3.6199999999999999E-5</v>
      </c>
    </row>
    <row r="3837" spans="1:5">
      <c r="A3837">
        <v>2020</v>
      </c>
      <c r="B3837" s="3" t="s">
        <v>377</v>
      </c>
      <c r="C3837" t="s">
        <v>1678</v>
      </c>
      <c r="D3837" s="9">
        <v>958329</v>
      </c>
      <c r="E3837">
        <v>7.6570000000000002E-4</v>
      </c>
    </row>
    <row r="3838" spans="1:5">
      <c r="A3838">
        <v>2020</v>
      </c>
      <c r="B3838" s="3" t="s">
        <v>486</v>
      </c>
      <c r="C3838" t="s">
        <v>1679</v>
      </c>
      <c r="D3838" s="9">
        <v>1173173</v>
      </c>
      <c r="E3838">
        <v>9.3740000000000002E-4</v>
      </c>
    </row>
    <row r="3839" spans="1:5">
      <c r="A3839">
        <v>2020</v>
      </c>
      <c r="B3839" s="3" t="s">
        <v>487</v>
      </c>
      <c r="C3839" t="s">
        <v>432</v>
      </c>
      <c r="D3839" s="9">
        <v>7567</v>
      </c>
      <c r="E3839">
        <v>6.0000000000000002E-6</v>
      </c>
    </row>
    <row r="3840" spans="1:5">
      <c r="A3840">
        <v>2020</v>
      </c>
      <c r="B3840" s="3" t="s">
        <v>488</v>
      </c>
      <c r="C3840" t="s">
        <v>1680</v>
      </c>
      <c r="D3840" s="9">
        <v>154646</v>
      </c>
      <c r="E3840">
        <v>1.236E-4</v>
      </c>
    </row>
    <row r="3841" spans="1:5">
      <c r="A3841">
        <v>2020</v>
      </c>
      <c r="B3841" s="3" t="s">
        <v>489</v>
      </c>
      <c r="C3841" t="s">
        <v>434</v>
      </c>
      <c r="D3841" s="9">
        <v>60392</v>
      </c>
      <c r="E3841">
        <v>4.8300000000000002E-5</v>
      </c>
    </row>
    <row r="3842" spans="1:5">
      <c r="A3842">
        <v>2020</v>
      </c>
      <c r="B3842" s="3" t="s">
        <v>490</v>
      </c>
      <c r="C3842" t="s">
        <v>1681</v>
      </c>
      <c r="D3842" s="9">
        <v>3053373</v>
      </c>
      <c r="E3842">
        <v>2.4398000000000002E-3</v>
      </c>
    </row>
    <row r="3843" spans="1:5">
      <c r="A3843">
        <v>2020</v>
      </c>
      <c r="B3843" s="3" t="s">
        <v>491</v>
      </c>
      <c r="C3843" t="s">
        <v>1682</v>
      </c>
      <c r="D3843" s="9">
        <v>3748103</v>
      </c>
      <c r="E3843">
        <v>2.9949E-3</v>
      </c>
    </row>
    <row r="3844" spans="1:5">
      <c r="A3844">
        <v>2020</v>
      </c>
      <c r="B3844" s="3" t="s">
        <v>492</v>
      </c>
      <c r="C3844" t="s">
        <v>1683</v>
      </c>
      <c r="D3844" s="9">
        <v>6514</v>
      </c>
      <c r="E3844">
        <v>5.2000000000000002E-6</v>
      </c>
    </row>
    <row r="3845" spans="1:5">
      <c r="A3845">
        <v>2020</v>
      </c>
      <c r="B3845" s="3" t="s">
        <v>493</v>
      </c>
      <c r="C3845" t="s">
        <v>1684</v>
      </c>
      <c r="D3845" s="9">
        <v>18423</v>
      </c>
      <c r="E3845">
        <v>1.47E-5</v>
      </c>
    </row>
    <row r="3846" spans="1:5">
      <c r="A3846">
        <v>2020</v>
      </c>
      <c r="B3846" s="3" t="s">
        <v>494</v>
      </c>
      <c r="C3846" t="s">
        <v>1685</v>
      </c>
      <c r="D3846" s="9">
        <v>8303</v>
      </c>
      <c r="E3846">
        <v>6.6000000000000003E-6</v>
      </c>
    </row>
    <row r="3847" spans="1:5">
      <c r="A3847">
        <v>2020</v>
      </c>
      <c r="B3847" s="3" t="s">
        <v>550</v>
      </c>
      <c r="C3847" t="s">
        <v>1686</v>
      </c>
      <c r="D3847" s="9">
        <v>63729</v>
      </c>
      <c r="E3847">
        <v>5.0899999999999997E-5</v>
      </c>
    </row>
    <row r="3848" spans="1:5">
      <c r="A3848">
        <v>2020</v>
      </c>
      <c r="B3848" s="3" t="s">
        <v>551</v>
      </c>
      <c r="C3848" t="s">
        <v>1687</v>
      </c>
      <c r="D3848" s="9">
        <v>91185</v>
      </c>
      <c r="E3848">
        <v>7.2899999999999997E-5</v>
      </c>
    </row>
    <row r="3849" spans="1:5">
      <c r="A3849">
        <v>2020</v>
      </c>
      <c r="B3849" s="3" t="s">
        <v>552</v>
      </c>
      <c r="C3849" t="s">
        <v>1688</v>
      </c>
      <c r="D3849" s="9">
        <v>19885059</v>
      </c>
      <c r="E3849">
        <v>1.58891E-2</v>
      </c>
    </row>
    <row r="3850" spans="1:5">
      <c r="A3850">
        <v>2020</v>
      </c>
      <c r="B3850" s="3" t="s">
        <v>553</v>
      </c>
      <c r="C3850" t="s">
        <v>498</v>
      </c>
      <c r="D3850" s="9">
        <v>33098</v>
      </c>
      <c r="E3850">
        <v>2.6400000000000001E-5</v>
      </c>
    </row>
    <row r="3851" spans="1:5">
      <c r="A3851">
        <v>2020</v>
      </c>
      <c r="B3851" s="3" t="s">
        <v>554</v>
      </c>
      <c r="C3851" t="s">
        <v>499</v>
      </c>
      <c r="D3851" s="9"/>
    </row>
    <row r="3852" spans="1:5">
      <c r="A3852">
        <v>2020</v>
      </c>
      <c r="B3852" s="3" t="s">
        <v>555</v>
      </c>
      <c r="C3852" t="s">
        <v>500</v>
      </c>
      <c r="D3852" s="9">
        <v>199411</v>
      </c>
      <c r="E3852">
        <v>1.593E-4</v>
      </c>
    </row>
    <row r="3853" spans="1:5">
      <c r="A3853">
        <v>2020</v>
      </c>
      <c r="B3853" s="3" t="s">
        <v>556</v>
      </c>
      <c r="C3853" t="s">
        <v>501</v>
      </c>
      <c r="D3853" s="9"/>
    </row>
    <row r="3854" spans="1:5">
      <c r="A3854">
        <v>2020</v>
      </c>
      <c r="B3854" s="3" t="s">
        <v>557</v>
      </c>
      <c r="C3854" t="s">
        <v>502</v>
      </c>
      <c r="D3854" s="9">
        <v>56202</v>
      </c>
      <c r="E3854">
        <v>4.49E-5</v>
      </c>
    </row>
    <row r="3855" spans="1:5">
      <c r="A3855">
        <v>2020</v>
      </c>
      <c r="B3855" s="3" t="s">
        <v>558</v>
      </c>
      <c r="C3855" t="s">
        <v>1691</v>
      </c>
      <c r="D3855" s="9">
        <v>34209</v>
      </c>
      <c r="E3855">
        <v>2.73E-5</v>
      </c>
    </row>
    <row r="3856" spans="1:5">
      <c r="A3856">
        <v>2020</v>
      </c>
      <c r="B3856" s="3" t="s">
        <v>559</v>
      </c>
      <c r="C3856" t="s">
        <v>1692</v>
      </c>
      <c r="D3856" s="9">
        <v>2020532</v>
      </c>
      <c r="E3856">
        <v>1.6145E-3</v>
      </c>
    </row>
    <row r="3857" spans="1:5">
      <c r="A3857">
        <v>2020</v>
      </c>
      <c r="B3857" s="3" t="s">
        <v>378</v>
      </c>
      <c r="C3857" t="s">
        <v>1693</v>
      </c>
      <c r="D3857" s="9">
        <v>546125</v>
      </c>
      <c r="E3857">
        <v>4.3639999999999998E-4</v>
      </c>
    </row>
    <row r="3858" spans="1:5">
      <c r="A3858">
        <v>2020</v>
      </c>
      <c r="B3858" s="3" t="s">
        <v>560</v>
      </c>
      <c r="C3858" t="s">
        <v>505</v>
      </c>
      <c r="D3858" s="9">
        <v>115978</v>
      </c>
      <c r="E3858">
        <v>9.2700000000000004E-5</v>
      </c>
    </row>
    <row r="3859" spans="1:5">
      <c r="A3859">
        <v>2020</v>
      </c>
      <c r="B3859" s="3" t="s">
        <v>561</v>
      </c>
      <c r="C3859" t="s">
        <v>1694</v>
      </c>
      <c r="D3859" s="9">
        <v>226520</v>
      </c>
      <c r="E3859">
        <v>1.8100000000000001E-4</v>
      </c>
    </row>
    <row r="3860" spans="1:5">
      <c r="A3860">
        <v>2020</v>
      </c>
      <c r="B3860" s="3" t="s">
        <v>1225</v>
      </c>
      <c r="C3860" t="s">
        <v>1695</v>
      </c>
      <c r="D3860" s="9">
        <v>34531</v>
      </c>
      <c r="E3860">
        <v>2.76E-5</v>
      </c>
    </row>
    <row r="3861" spans="1:5">
      <c r="A3861">
        <v>2020</v>
      </c>
      <c r="B3861" s="3" t="s">
        <v>562</v>
      </c>
      <c r="C3861" t="s">
        <v>2367</v>
      </c>
      <c r="D3861" s="9">
        <v>13775859</v>
      </c>
      <c r="E3861">
        <v>1.10075E-2</v>
      </c>
    </row>
    <row r="3862" spans="1:5">
      <c r="A3862">
        <v>2020</v>
      </c>
      <c r="B3862" s="3" t="s">
        <v>1226</v>
      </c>
      <c r="C3862" t="s">
        <v>1697</v>
      </c>
      <c r="D3862" s="9">
        <v>127610</v>
      </c>
      <c r="E3862">
        <v>1.02E-4</v>
      </c>
    </row>
    <row r="3863" spans="1:5">
      <c r="A3863">
        <v>2020</v>
      </c>
      <c r="B3863" s="3" t="s">
        <v>563</v>
      </c>
      <c r="C3863" t="s">
        <v>1698</v>
      </c>
      <c r="D3863" s="9"/>
    </row>
    <row r="3864" spans="1:5">
      <c r="A3864">
        <v>2020</v>
      </c>
      <c r="B3864" s="3" t="s">
        <v>564</v>
      </c>
      <c r="C3864" t="s">
        <v>509</v>
      </c>
      <c r="D3864" s="9">
        <v>1251664</v>
      </c>
      <c r="E3864">
        <v>1.0001000000000001E-3</v>
      </c>
    </row>
    <row r="3865" spans="1:5">
      <c r="A3865">
        <v>2020</v>
      </c>
      <c r="B3865" s="3" t="s">
        <v>565</v>
      </c>
      <c r="C3865" t="s">
        <v>510</v>
      </c>
      <c r="D3865" s="9">
        <v>2127876</v>
      </c>
      <c r="E3865">
        <v>1.7003000000000001E-3</v>
      </c>
    </row>
    <row r="3866" spans="1:5">
      <c r="A3866">
        <v>2020</v>
      </c>
      <c r="B3866" s="3" t="s">
        <v>566</v>
      </c>
      <c r="C3866" t="s">
        <v>1699</v>
      </c>
      <c r="D3866" s="9">
        <v>117482</v>
      </c>
      <c r="E3866">
        <v>9.3900000000000006E-5</v>
      </c>
    </row>
    <row r="3867" spans="1:5">
      <c r="A3867">
        <v>2020</v>
      </c>
      <c r="B3867" s="3" t="s">
        <v>2400</v>
      </c>
      <c r="C3867" t="s">
        <v>2399</v>
      </c>
      <c r="D3867" s="9">
        <v>143108</v>
      </c>
      <c r="E3867">
        <v>1.143E-4</v>
      </c>
    </row>
    <row r="3868" spans="1:5">
      <c r="A3868">
        <v>2020</v>
      </c>
      <c r="B3868" s="3" t="s">
        <v>569</v>
      </c>
      <c r="C3868" t="s">
        <v>1446</v>
      </c>
      <c r="D3868" s="9">
        <v>184794</v>
      </c>
      <c r="E3868">
        <v>1.4770000000000001E-4</v>
      </c>
    </row>
    <row r="3869" spans="1:5">
      <c r="A3869">
        <v>2020</v>
      </c>
      <c r="B3869" s="3" t="s">
        <v>567</v>
      </c>
      <c r="C3869" t="s">
        <v>1700</v>
      </c>
      <c r="D3869" s="9">
        <v>101723</v>
      </c>
      <c r="E3869">
        <v>8.1299999999999997E-5</v>
      </c>
    </row>
    <row r="3870" spans="1:5">
      <c r="A3870">
        <v>2020</v>
      </c>
      <c r="B3870" s="3" t="s">
        <v>568</v>
      </c>
      <c r="C3870" t="s">
        <v>1701</v>
      </c>
      <c r="D3870" s="9">
        <v>167129</v>
      </c>
      <c r="E3870">
        <v>1.3349999999999999E-4</v>
      </c>
    </row>
    <row r="3871" spans="1:5">
      <c r="A3871">
        <v>2020</v>
      </c>
      <c r="B3871" s="3" t="s">
        <v>570</v>
      </c>
      <c r="C3871" t="s">
        <v>515</v>
      </c>
      <c r="D3871" s="9">
        <v>277969</v>
      </c>
      <c r="E3871">
        <v>2.221E-4</v>
      </c>
    </row>
    <row r="3872" spans="1:5">
      <c r="A3872">
        <v>2020</v>
      </c>
      <c r="B3872" s="3" t="s">
        <v>571</v>
      </c>
      <c r="C3872" t="s">
        <v>516</v>
      </c>
      <c r="D3872" s="9">
        <v>830268</v>
      </c>
      <c r="E3872">
        <v>6.6339999999999997E-4</v>
      </c>
    </row>
    <row r="3873" spans="1:5">
      <c r="A3873">
        <v>2020</v>
      </c>
      <c r="B3873" s="3" t="s">
        <v>572</v>
      </c>
      <c r="C3873" t="s">
        <v>517</v>
      </c>
      <c r="D3873" s="9">
        <v>303450</v>
      </c>
      <c r="E3873">
        <v>2.4250000000000001E-4</v>
      </c>
    </row>
    <row r="3874" spans="1:5">
      <c r="A3874">
        <v>2020</v>
      </c>
      <c r="B3874" s="3" t="s">
        <v>573</v>
      </c>
      <c r="C3874" t="s">
        <v>518</v>
      </c>
      <c r="D3874" s="9">
        <v>395834</v>
      </c>
      <c r="E3874">
        <v>3.1629999999999999E-4</v>
      </c>
    </row>
    <row r="3875" spans="1:5">
      <c r="A3875">
        <v>2020</v>
      </c>
      <c r="B3875" s="3" t="s">
        <v>574</v>
      </c>
      <c r="C3875" t="s">
        <v>1702</v>
      </c>
      <c r="D3875" s="9">
        <v>117048</v>
      </c>
      <c r="E3875">
        <v>9.3499999999999996E-5</v>
      </c>
    </row>
    <row r="3876" spans="1:5">
      <c r="A3876">
        <v>2020</v>
      </c>
      <c r="B3876" s="3" t="s">
        <v>575</v>
      </c>
      <c r="C3876" t="s">
        <v>1703</v>
      </c>
      <c r="D3876" s="9">
        <v>159943</v>
      </c>
      <c r="E3876">
        <v>1.2779999999999999E-4</v>
      </c>
    </row>
    <row r="3877" spans="1:5">
      <c r="A3877">
        <v>2020</v>
      </c>
      <c r="B3877" s="3" t="s">
        <v>576</v>
      </c>
      <c r="C3877" t="s">
        <v>521</v>
      </c>
      <c r="D3877" s="9">
        <v>217261</v>
      </c>
      <c r="E3877">
        <v>1.7359999999999999E-4</v>
      </c>
    </row>
    <row r="3878" spans="1:5">
      <c r="A3878">
        <v>2020</v>
      </c>
      <c r="B3878" s="3" t="s">
        <v>577</v>
      </c>
      <c r="C3878" t="s">
        <v>1704</v>
      </c>
      <c r="D3878" s="9">
        <v>33344</v>
      </c>
      <c r="E3878">
        <v>2.6599999999999999E-5</v>
      </c>
    </row>
    <row r="3879" spans="1:5">
      <c r="A3879">
        <v>2020</v>
      </c>
      <c r="B3879" s="3" t="s">
        <v>578</v>
      </c>
      <c r="C3879" t="s">
        <v>1705</v>
      </c>
      <c r="D3879" s="9">
        <v>1626447</v>
      </c>
      <c r="E3879">
        <v>1.2995999999999999E-3</v>
      </c>
    </row>
    <row r="3880" spans="1:5">
      <c r="A3880">
        <v>2020</v>
      </c>
      <c r="B3880" s="3" t="s">
        <v>2371</v>
      </c>
      <c r="C3880" t="s">
        <v>2369</v>
      </c>
      <c r="D3880" s="9">
        <v>10936</v>
      </c>
      <c r="E3880">
        <v>8.6999999999999997E-6</v>
      </c>
    </row>
    <row r="3881" spans="1:5">
      <c r="A3881">
        <v>2020</v>
      </c>
      <c r="B3881" s="3" t="s">
        <v>579</v>
      </c>
      <c r="C3881" t="s">
        <v>1447</v>
      </c>
      <c r="D3881" s="9"/>
    </row>
    <row r="3882" spans="1:5">
      <c r="A3882">
        <v>2020</v>
      </c>
      <c r="B3882" s="3" t="s">
        <v>379</v>
      </c>
      <c r="C3882" t="s">
        <v>1706</v>
      </c>
      <c r="D3882" s="9">
        <v>744652</v>
      </c>
      <c r="E3882">
        <v>5.9500000000000004E-4</v>
      </c>
    </row>
    <row r="3883" spans="1:5">
      <c r="A3883">
        <v>2020</v>
      </c>
      <c r="B3883" s="3" t="s">
        <v>1451</v>
      </c>
      <c r="C3883" t="s">
        <v>1707</v>
      </c>
      <c r="D3883" s="9"/>
    </row>
    <row r="3884" spans="1:5">
      <c r="A3884">
        <v>2020</v>
      </c>
      <c r="B3884" s="3" t="s">
        <v>1450</v>
      </c>
      <c r="C3884" t="s">
        <v>1708</v>
      </c>
      <c r="D3884" s="9"/>
    </row>
    <row r="3885" spans="1:5">
      <c r="A3885">
        <v>2020</v>
      </c>
      <c r="B3885" s="3" t="s">
        <v>580</v>
      </c>
      <c r="C3885" t="s">
        <v>1709</v>
      </c>
      <c r="D3885" s="9">
        <v>79784</v>
      </c>
      <c r="E3885">
        <v>6.3800000000000006E-5</v>
      </c>
    </row>
    <row r="3886" spans="1:5">
      <c r="A3886">
        <v>2020</v>
      </c>
      <c r="B3886" s="3" t="s">
        <v>581</v>
      </c>
      <c r="C3886" t="s">
        <v>526</v>
      </c>
      <c r="D3886" s="9">
        <v>19846</v>
      </c>
      <c r="E3886">
        <v>1.59E-5</v>
      </c>
    </row>
    <row r="3887" spans="1:5">
      <c r="A3887">
        <v>2020</v>
      </c>
      <c r="B3887" s="3" t="s">
        <v>582</v>
      </c>
      <c r="C3887" t="s">
        <v>1710</v>
      </c>
      <c r="D3887" s="9">
        <v>440364</v>
      </c>
      <c r="E3887">
        <v>3.5189999999999999E-4</v>
      </c>
    </row>
    <row r="3888" spans="1:5">
      <c r="A3888">
        <v>2020</v>
      </c>
      <c r="B3888" s="3" t="s">
        <v>583</v>
      </c>
      <c r="C3888" t="s">
        <v>1711</v>
      </c>
      <c r="D3888" s="9">
        <v>17925</v>
      </c>
      <c r="E3888">
        <v>1.43E-5</v>
      </c>
    </row>
    <row r="3889" spans="1:5">
      <c r="A3889">
        <v>2020</v>
      </c>
      <c r="B3889" s="3" t="s">
        <v>380</v>
      </c>
      <c r="C3889" t="s">
        <v>1712</v>
      </c>
      <c r="D3889" s="9">
        <v>511751</v>
      </c>
      <c r="E3889">
        <v>4.0890000000000002E-4</v>
      </c>
    </row>
    <row r="3890" spans="1:5">
      <c r="A3890">
        <v>2020</v>
      </c>
      <c r="B3890" s="3" t="s">
        <v>584</v>
      </c>
      <c r="C3890" t="s">
        <v>529</v>
      </c>
      <c r="D3890" s="9"/>
    </row>
    <row r="3891" spans="1:5">
      <c r="A3891">
        <v>2020</v>
      </c>
      <c r="B3891" s="3" t="s">
        <v>585</v>
      </c>
      <c r="C3891" t="s">
        <v>1713</v>
      </c>
      <c r="D3891" s="9">
        <v>99964</v>
      </c>
      <c r="E3891">
        <v>7.9900000000000004E-5</v>
      </c>
    </row>
    <row r="3892" spans="1:5">
      <c r="A3892">
        <v>2020</v>
      </c>
      <c r="B3892" s="3" t="s">
        <v>586</v>
      </c>
      <c r="C3892" t="s">
        <v>1714</v>
      </c>
      <c r="D3892" s="9">
        <v>160706</v>
      </c>
      <c r="E3892">
        <v>1.284E-4</v>
      </c>
    </row>
    <row r="3893" spans="1:5">
      <c r="A3893">
        <v>2020</v>
      </c>
      <c r="B3893" s="3" t="s">
        <v>587</v>
      </c>
      <c r="C3893" t="s">
        <v>532</v>
      </c>
      <c r="D3893" s="9">
        <v>180423</v>
      </c>
      <c r="E3893">
        <v>1.4420000000000001E-4</v>
      </c>
    </row>
    <row r="3894" spans="1:5">
      <c r="A3894">
        <v>2020</v>
      </c>
      <c r="B3894" s="3" t="s">
        <v>588</v>
      </c>
      <c r="C3894" t="s">
        <v>533</v>
      </c>
      <c r="D3894" s="9">
        <v>165638</v>
      </c>
      <c r="E3894">
        <v>1.3239999999999999E-4</v>
      </c>
    </row>
    <row r="3895" spans="1:5">
      <c r="A3895">
        <v>2020</v>
      </c>
      <c r="B3895" s="3" t="s">
        <v>589</v>
      </c>
      <c r="C3895" t="s">
        <v>1715</v>
      </c>
      <c r="D3895" s="9">
        <v>6348734</v>
      </c>
      <c r="E3895">
        <v>5.0729E-3</v>
      </c>
    </row>
    <row r="3896" spans="1:5">
      <c r="A3896">
        <v>2020</v>
      </c>
      <c r="B3896" s="3" t="s">
        <v>381</v>
      </c>
      <c r="C3896" t="s">
        <v>1716</v>
      </c>
      <c r="D3896" s="9">
        <v>3772038</v>
      </c>
      <c r="E3896">
        <v>3.0140000000000002E-3</v>
      </c>
    </row>
    <row r="3897" spans="1:5">
      <c r="A3897">
        <v>2020</v>
      </c>
      <c r="B3897" s="3" t="s">
        <v>590</v>
      </c>
      <c r="C3897" t="s">
        <v>1717</v>
      </c>
      <c r="D3897" s="9">
        <v>5357617</v>
      </c>
      <c r="E3897">
        <v>4.2810000000000001E-3</v>
      </c>
    </row>
    <row r="3898" spans="1:5">
      <c r="A3898">
        <v>2020</v>
      </c>
      <c r="B3898" s="3" t="s">
        <v>1227</v>
      </c>
      <c r="C3898" t="s">
        <v>1718</v>
      </c>
      <c r="D3898" s="9">
        <v>605934</v>
      </c>
      <c r="E3898">
        <v>4.8420000000000001E-4</v>
      </c>
    </row>
    <row r="3899" spans="1:5">
      <c r="A3899">
        <v>2020</v>
      </c>
      <c r="B3899" s="3" t="s">
        <v>591</v>
      </c>
      <c r="C3899" t="s">
        <v>536</v>
      </c>
      <c r="D3899" s="9">
        <v>58470</v>
      </c>
      <c r="E3899">
        <v>4.6699999999999997E-5</v>
      </c>
    </row>
    <row r="3900" spans="1:5">
      <c r="A3900">
        <v>2020</v>
      </c>
      <c r="B3900" s="3" t="s">
        <v>592</v>
      </c>
      <c r="C3900" t="s">
        <v>1719</v>
      </c>
      <c r="D3900" s="9">
        <v>3184847</v>
      </c>
      <c r="E3900">
        <v>2.5447999999999998E-3</v>
      </c>
    </row>
    <row r="3901" spans="1:5">
      <c r="A3901">
        <v>2020</v>
      </c>
      <c r="B3901" s="3" t="s">
        <v>1456</v>
      </c>
      <c r="C3901" t="s">
        <v>1720</v>
      </c>
      <c r="D3901" s="9">
        <v>19599</v>
      </c>
      <c r="E3901">
        <v>1.5699999999999999E-5</v>
      </c>
    </row>
    <row r="3902" spans="1:5">
      <c r="A3902">
        <v>2020</v>
      </c>
      <c r="B3902" s="3" t="s">
        <v>593</v>
      </c>
      <c r="C3902" t="s">
        <v>1721</v>
      </c>
      <c r="D3902" s="9">
        <v>747794</v>
      </c>
      <c r="E3902">
        <v>5.9750000000000005E-4</v>
      </c>
    </row>
    <row r="3903" spans="1:5">
      <c r="A3903">
        <v>2020</v>
      </c>
      <c r="B3903" s="3" t="s">
        <v>594</v>
      </c>
      <c r="C3903" t="s">
        <v>2190</v>
      </c>
      <c r="D3903" s="9">
        <v>18827</v>
      </c>
      <c r="E3903">
        <v>1.5E-5</v>
      </c>
    </row>
    <row r="3904" spans="1:5">
      <c r="A3904">
        <v>2020</v>
      </c>
      <c r="B3904" s="3" t="s">
        <v>595</v>
      </c>
      <c r="C3904" t="s">
        <v>1722</v>
      </c>
      <c r="D3904" s="9">
        <v>619333</v>
      </c>
      <c r="E3904">
        <v>4.9490000000000005E-4</v>
      </c>
    </row>
    <row r="3905" spans="1:5">
      <c r="A3905">
        <v>2020</v>
      </c>
      <c r="B3905" s="3" t="s">
        <v>596</v>
      </c>
      <c r="C3905" t="s">
        <v>1723</v>
      </c>
      <c r="D3905" s="9">
        <v>840902</v>
      </c>
      <c r="E3905">
        <v>6.7190000000000001E-4</v>
      </c>
    </row>
    <row r="3906" spans="1:5">
      <c r="A3906">
        <v>2020</v>
      </c>
      <c r="B3906" s="3" t="s">
        <v>597</v>
      </c>
      <c r="C3906" t="s">
        <v>1724</v>
      </c>
      <c r="D3906" s="9">
        <v>2415483</v>
      </c>
      <c r="E3906">
        <v>1.9300999999999999E-3</v>
      </c>
    </row>
    <row r="3907" spans="1:5">
      <c r="A3907">
        <v>2020</v>
      </c>
      <c r="B3907" s="3" t="s">
        <v>598</v>
      </c>
      <c r="C3907" t="s">
        <v>543</v>
      </c>
      <c r="D3907" s="9">
        <v>248190</v>
      </c>
      <c r="E3907">
        <v>1.983E-4</v>
      </c>
    </row>
    <row r="3908" spans="1:5">
      <c r="A3908">
        <v>2020</v>
      </c>
      <c r="B3908" s="3" t="s">
        <v>1228</v>
      </c>
      <c r="C3908" t="s">
        <v>1725</v>
      </c>
      <c r="D3908" s="9">
        <v>40220</v>
      </c>
      <c r="E3908">
        <v>3.2100000000000001E-5</v>
      </c>
    </row>
    <row r="3909" spans="1:5">
      <c r="A3909">
        <v>2020</v>
      </c>
      <c r="B3909" s="3" t="s">
        <v>599</v>
      </c>
      <c r="C3909" t="s">
        <v>1726</v>
      </c>
      <c r="D3909" s="9">
        <v>156207</v>
      </c>
      <c r="E3909">
        <v>1.248E-4</v>
      </c>
    </row>
    <row r="3910" spans="1:5">
      <c r="A3910">
        <v>2020</v>
      </c>
      <c r="B3910" s="3" t="s">
        <v>2403</v>
      </c>
      <c r="C3910" t="s">
        <v>2401</v>
      </c>
      <c r="D3910" s="9">
        <v>21376</v>
      </c>
      <c r="E3910">
        <v>1.7099999999999999E-5</v>
      </c>
    </row>
    <row r="3911" spans="1:5">
      <c r="A3911">
        <v>2020</v>
      </c>
      <c r="B3911" s="3" t="s">
        <v>600</v>
      </c>
      <c r="C3911" t="s">
        <v>1727</v>
      </c>
      <c r="D3911" s="9">
        <v>2518598</v>
      </c>
      <c r="E3911">
        <v>2.0125E-3</v>
      </c>
    </row>
    <row r="3912" spans="1:5">
      <c r="A3912">
        <v>2020</v>
      </c>
      <c r="B3912" s="3" t="s">
        <v>601</v>
      </c>
      <c r="C3912" t="s">
        <v>1728</v>
      </c>
      <c r="D3912" s="9">
        <v>1214467</v>
      </c>
      <c r="E3912">
        <v>9.7039999999999995E-4</v>
      </c>
    </row>
    <row r="3913" spans="1:5">
      <c r="A3913">
        <v>2020</v>
      </c>
      <c r="B3913" s="3" t="s">
        <v>2404</v>
      </c>
      <c r="C3913" t="s">
        <v>2402</v>
      </c>
      <c r="D3913" s="9">
        <v>344873</v>
      </c>
      <c r="E3913">
        <v>2.7559999999999998E-4</v>
      </c>
    </row>
    <row r="3914" spans="1:5">
      <c r="A3914">
        <v>2020</v>
      </c>
      <c r="B3914" s="3" t="s">
        <v>602</v>
      </c>
      <c r="C3914" t="s">
        <v>547</v>
      </c>
      <c r="D3914" s="9">
        <v>73745</v>
      </c>
      <c r="E3914">
        <v>5.8900000000000002E-5</v>
      </c>
    </row>
    <row r="3915" spans="1:5">
      <c r="A3915">
        <v>2020</v>
      </c>
      <c r="B3915" s="3" t="s">
        <v>603</v>
      </c>
      <c r="C3915" t="s">
        <v>548</v>
      </c>
      <c r="D3915" s="9">
        <v>89142</v>
      </c>
      <c r="E3915">
        <v>7.1199999999999996E-5</v>
      </c>
    </row>
    <row r="3916" spans="1:5">
      <c r="A3916">
        <v>2020</v>
      </c>
      <c r="B3916" s="3" t="s">
        <v>604</v>
      </c>
      <c r="C3916" t="s">
        <v>1729</v>
      </c>
      <c r="D3916" s="9">
        <v>178939</v>
      </c>
      <c r="E3916">
        <v>1.4300000000000001E-4</v>
      </c>
    </row>
    <row r="3917" spans="1:5">
      <c r="A3917">
        <v>2020</v>
      </c>
      <c r="B3917" s="3" t="s">
        <v>1229</v>
      </c>
      <c r="C3917" t="s">
        <v>1730</v>
      </c>
      <c r="D3917" s="9">
        <v>160140</v>
      </c>
      <c r="E3917">
        <v>1.2799999999999999E-4</v>
      </c>
    </row>
    <row r="3918" spans="1:5">
      <c r="A3918">
        <v>2020</v>
      </c>
      <c r="B3918" s="3" t="s">
        <v>660</v>
      </c>
      <c r="C3918" t="s">
        <v>605</v>
      </c>
      <c r="D3918" s="9">
        <v>2120686</v>
      </c>
      <c r="E3918">
        <v>1.6945E-3</v>
      </c>
    </row>
    <row r="3919" spans="1:5">
      <c r="A3919">
        <v>2020</v>
      </c>
      <c r="B3919" s="3" t="s">
        <v>661</v>
      </c>
      <c r="C3919" t="s">
        <v>1455</v>
      </c>
      <c r="D3919" s="9">
        <v>22613</v>
      </c>
      <c r="E3919">
        <v>1.8099999999999999E-5</v>
      </c>
    </row>
    <row r="3920" spans="1:5">
      <c r="A3920">
        <v>2020</v>
      </c>
      <c r="B3920" s="3" t="s">
        <v>662</v>
      </c>
      <c r="C3920" t="s">
        <v>607</v>
      </c>
      <c r="D3920" s="9">
        <v>18956</v>
      </c>
      <c r="E3920">
        <v>1.5099999999999999E-5</v>
      </c>
    </row>
    <row r="3921" spans="1:5">
      <c r="A3921">
        <v>2020</v>
      </c>
      <c r="B3921" s="3" t="s">
        <v>663</v>
      </c>
      <c r="C3921" t="s">
        <v>608</v>
      </c>
      <c r="D3921" s="9">
        <v>32491</v>
      </c>
      <c r="E3921">
        <v>2.5999999999999998E-5</v>
      </c>
    </row>
    <row r="3922" spans="1:5">
      <c r="A3922">
        <v>2020</v>
      </c>
      <c r="B3922" s="3" t="s">
        <v>664</v>
      </c>
      <c r="C3922" t="s">
        <v>609</v>
      </c>
      <c r="D3922" s="9">
        <v>20882766</v>
      </c>
      <c r="E3922">
        <v>1.6686300000000001E-2</v>
      </c>
    </row>
    <row r="3923" spans="1:5">
      <c r="A3923">
        <v>2020</v>
      </c>
      <c r="B3923" s="3" t="s">
        <v>1230</v>
      </c>
      <c r="C3923" t="s">
        <v>1731</v>
      </c>
      <c r="D3923" s="9">
        <v>6544802</v>
      </c>
      <c r="E3923">
        <v>5.2296E-3</v>
      </c>
    </row>
    <row r="3924" spans="1:5">
      <c r="A3924">
        <v>2020</v>
      </c>
      <c r="B3924" s="3" t="s">
        <v>665</v>
      </c>
      <c r="C3924" t="s">
        <v>1732</v>
      </c>
      <c r="D3924" s="9">
        <v>6509935</v>
      </c>
      <c r="E3924">
        <v>5.2017000000000001E-3</v>
      </c>
    </row>
    <row r="3925" spans="1:5">
      <c r="A3925">
        <v>2020</v>
      </c>
      <c r="B3925" s="3" t="s">
        <v>666</v>
      </c>
      <c r="C3925" t="s">
        <v>1733</v>
      </c>
      <c r="D3925" s="9">
        <v>10785445</v>
      </c>
      <c r="E3925">
        <v>8.6181000000000001E-3</v>
      </c>
    </row>
    <row r="3926" spans="1:5">
      <c r="A3926">
        <v>2020</v>
      </c>
      <c r="B3926" s="3" t="s">
        <v>382</v>
      </c>
      <c r="C3926" t="s">
        <v>1734</v>
      </c>
      <c r="D3926" s="9">
        <v>8324861</v>
      </c>
      <c r="E3926">
        <v>6.6518999999999997E-3</v>
      </c>
    </row>
    <row r="3927" spans="1:5">
      <c r="A3927">
        <v>2020</v>
      </c>
      <c r="B3927" s="3" t="s">
        <v>667</v>
      </c>
      <c r="C3927" t="s">
        <v>1735</v>
      </c>
      <c r="D3927" s="9">
        <v>857785</v>
      </c>
      <c r="E3927">
        <v>6.8539999999999996E-4</v>
      </c>
    </row>
    <row r="3928" spans="1:5">
      <c r="A3928">
        <v>2020</v>
      </c>
      <c r="B3928" s="3" t="s">
        <v>383</v>
      </c>
      <c r="C3928" t="s">
        <v>1736</v>
      </c>
      <c r="D3928" s="9">
        <v>323323</v>
      </c>
      <c r="E3928">
        <v>2.5829999999999999E-4</v>
      </c>
    </row>
    <row r="3929" spans="1:5">
      <c r="A3929">
        <v>2020</v>
      </c>
      <c r="B3929" s="3" t="s">
        <v>668</v>
      </c>
      <c r="C3929" t="s">
        <v>613</v>
      </c>
      <c r="D3929" s="9">
        <v>276628</v>
      </c>
      <c r="E3929">
        <v>2.2100000000000001E-4</v>
      </c>
    </row>
    <row r="3930" spans="1:5">
      <c r="A3930">
        <v>2020</v>
      </c>
      <c r="B3930" s="3" t="s">
        <v>384</v>
      </c>
      <c r="C3930" t="s">
        <v>1737</v>
      </c>
      <c r="D3930" s="9">
        <v>3294032</v>
      </c>
      <c r="E3930">
        <v>2.6321000000000001E-3</v>
      </c>
    </row>
    <row r="3931" spans="1:5">
      <c r="A3931">
        <v>2020</v>
      </c>
      <c r="B3931" s="3" t="s">
        <v>669</v>
      </c>
      <c r="C3931" t="s">
        <v>614</v>
      </c>
      <c r="D3931" s="9">
        <v>84142</v>
      </c>
      <c r="E3931">
        <v>6.7199999999999994E-5</v>
      </c>
    </row>
    <row r="3932" spans="1:5">
      <c r="A3932">
        <v>2020</v>
      </c>
      <c r="B3932" s="3" t="s">
        <v>670</v>
      </c>
      <c r="C3932" t="s">
        <v>615</v>
      </c>
      <c r="D3932" s="9">
        <v>708195</v>
      </c>
      <c r="E3932">
        <v>5.6590000000000004E-4</v>
      </c>
    </row>
    <row r="3933" spans="1:5">
      <c r="A3933">
        <v>2020</v>
      </c>
      <c r="B3933" s="3" t="s">
        <v>672</v>
      </c>
      <c r="C3933" t="s">
        <v>1739</v>
      </c>
      <c r="D3933" s="9">
        <v>343351</v>
      </c>
      <c r="E3933">
        <v>2.744E-4</v>
      </c>
    </row>
    <row r="3934" spans="1:5">
      <c r="A3934">
        <v>2020</v>
      </c>
      <c r="B3934" s="3" t="s">
        <v>673</v>
      </c>
      <c r="C3934" t="s">
        <v>618</v>
      </c>
      <c r="D3934" s="9">
        <v>113143</v>
      </c>
      <c r="E3934">
        <v>9.0400000000000002E-5</v>
      </c>
    </row>
    <row r="3935" spans="1:5">
      <c r="A3935">
        <v>2020</v>
      </c>
      <c r="B3935" s="3" t="s">
        <v>674</v>
      </c>
      <c r="C3935" t="s">
        <v>619</v>
      </c>
      <c r="D3935" s="9">
        <v>49399</v>
      </c>
      <c r="E3935">
        <v>3.9499999999999998E-5</v>
      </c>
    </row>
    <row r="3936" spans="1:5">
      <c r="A3936">
        <v>2020</v>
      </c>
      <c r="B3936" s="3" t="s">
        <v>675</v>
      </c>
      <c r="C3936" t="s">
        <v>620</v>
      </c>
      <c r="D3936" s="9">
        <v>690126</v>
      </c>
      <c r="E3936">
        <v>5.5139999999999996E-4</v>
      </c>
    </row>
    <row r="3937" spans="1:5">
      <c r="A3937">
        <v>2020</v>
      </c>
      <c r="B3937" s="3" t="s">
        <v>676</v>
      </c>
      <c r="C3937" t="s">
        <v>1740</v>
      </c>
      <c r="D3937" s="9"/>
    </row>
    <row r="3938" spans="1:5">
      <c r="A3938">
        <v>2020</v>
      </c>
      <c r="B3938" s="3" t="s">
        <v>677</v>
      </c>
      <c r="C3938" t="s">
        <v>622</v>
      </c>
      <c r="D3938" s="9"/>
    </row>
    <row r="3939" spans="1:5">
      <c r="A3939">
        <v>2020</v>
      </c>
      <c r="B3939" s="3" t="s">
        <v>1463</v>
      </c>
      <c r="C3939" t="s">
        <v>1741</v>
      </c>
      <c r="D3939" s="9">
        <v>72450</v>
      </c>
      <c r="E3939">
        <v>5.7899999999999998E-5</v>
      </c>
    </row>
    <row r="3940" spans="1:5">
      <c r="A3940">
        <v>2020</v>
      </c>
      <c r="B3940" s="3" t="s">
        <v>678</v>
      </c>
      <c r="C3940" t="s">
        <v>1458</v>
      </c>
      <c r="D3940" s="9"/>
    </row>
    <row r="3941" spans="1:5">
      <c r="A3941">
        <v>2020</v>
      </c>
      <c r="B3941" s="3" t="s">
        <v>1231</v>
      </c>
      <c r="C3941" t="s">
        <v>1742</v>
      </c>
      <c r="D3941" s="9">
        <v>83603</v>
      </c>
      <c r="E3941">
        <v>6.6799999999999997E-5</v>
      </c>
    </row>
    <row r="3942" spans="1:5">
      <c r="A3942">
        <v>2020</v>
      </c>
      <c r="B3942" s="3" t="s">
        <v>680</v>
      </c>
      <c r="C3942" t="s">
        <v>1743</v>
      </c>
      <c r="D3942" s="9">
        <v>52338</v>
      </c>
      <c r="E3942">
        <v>4.18E-5</v>
      </c>
    </row>
    <row r="3943" spans="1:5">
      <c r="A3943">
        <v>2020</v>
      </c>
      <c r="B3943" s="3" t="s">
        <v>681</v>
      </c>
      <c r="C3943" t="s">
        <v>626</v>
      </c>
      <c r="D3943" s="9">
        <v>244505</v>
      </c>
      <c r="E3943">
        <v>1.9540000000000001E-4</v>
      </c>
    </row>
    <row r="3944" spans="1:5">
      <c r="A3944">
        <v>2020</v>
      </c>
      <c r="B3944" s="3" t="s">
        <v>682</v>
      </c>
      <c r="C3944" t="s">
        <v>1744</v>
      </c>
      <c r="D3944" s="9">
        <v>31775</v>
      </c>
      <c r="E3944">
        <v>2.5400000000000001E-5</v>
      </c>
    </row>
    <row r="3945" spans="1:5">
      <c r="A3945">
        <v>2020</v>
      </c>
      <c r="B3945" s="3" t="s">
        <v>1232</v>
      </c>
      <c r="C3945" t="s">
        <v>1745</v>
      </c>
      <c r="D3945" s="9">
        <v>75903</v>
      </c>
      <c r="E3945">
        <v>6.0600000000000003E-5</v>
      </c>
    </row>
    <row r="3946" spans="1:5">
      <c r="A3946">
        <v>2020</v>
      </c>
      <c r="B3946" s="3" t="s">
        <v>683</v>
      </c>
      <c r="C3946" t="s">
        <v>1746</v>
      </c>
      <c r="D3946" s="9">
        <v>246820</v>
      </c>
      <c r="E3946">
        <v>1.972E-4</v>
      </c>
    </row>
    <row r="3947" spans="1:5">
      <c r="A3947">
        <v>2020</v>
      </c>
      <c r="B3947" s="3" t="s">
        <v>685</v>
      </c>
      <c r="C3947" t="s">
        <v>1461</v>
      </c>
      <c r="D3947" s="9">
        <v>15780</v>
      </c>
      <c r="E3947">
        <v>1.26E-5</v>
      </c>
    </row>
    <row r="3948" spans="1:5">
      <c r="A3948">
        <v>2020</v>
      </c>
      <c r="B3948" s="3" t="s">
        <v>686</v>
      </c>
      <c r="C3948" t="s">
        <v>1747</v>
      </c>
      <c r="D3948" s="9">
        <v>310763</v>
      </c>
      <c r="E3948">
        <v>2.4830000000000002E-4</v>
      </c>
    </row>
    <row r="3949" spans="1:5">
      <c r="A3949">
        <v>2020</v>
      </c>
      <c r="B3949" s="3" t="s">
        <v>2089</v>
      </c>
      <c r="C3949" t="s">
        <v>2087</v>
      </c>
      <c r="D3949" s="9">
        <v>8153</v>
      </c>
      <c r="E3949">
        <v>6.4999999999999996E-6</v>
      </c>
    </row>
    <row r="3950" spans="1:5">
      <c r="A3950">
        <v>2020</v>
      </c>
      <c r="B3950" s="3" t="s">
        <v>687</v>
      </c>
      <c r="C3950" t="s">
        <v>632</v>
      </c>
      <c r="D3950" s="9">
        <v>1163010</v>
      </c>
      <c r="E3950">
        <v>9.2929999999999998E-4</v>
      </c>
    </row>
    <row r="3951" spans="1:5">
      <c r="A3951">
        <v>2020</v>
      </c>
      <c r="B3951" s="3" t="s">
        <v>688</v>
      </c>
      <c r="C3951" t="s">
        <v>1748</v>
      </c>
      <c r="D3951" s="9">
        <v>31599</v>
      </c>
      <c r="E3951">
        <v>2.5199999999999999E-5</v>
      </c>
    </row>
    <row r="3952" spans="1:5">
      <c r="A3952">
        <v>2020</v>
      </c>
      <c r="B3952" s="3" t="s">
        <v>689</v>
      </c>
      <c r="C3952" t="s">
        <v>1749</v>
      </c>
      <c r="D3952" s="9">
        <v>7136643</v>
      </c>
      <c r="E3952">
        <v>5.7025000000000001E-3</v>
      </c>
    </row>
    <row r="3953" spans="1:5">
      <c r="A3953">
        <v>2020</v>
      </c>
      <c r="B3953" s="3" t="s">
        <v>690</v>
      </c>
      <c r="C3953" t="s">
        <v>1750</v>
      </c>
      <c r="D3953" s="9">
        <v>10574</v>
      </c>
      <c r="E3953">
        <v>8.3999999999999992E-6</v>
      </c>
    </row>
    <row r="3954" spans="1:5">
      <c r="A3954">
        <v>2020</v>
      </c>
      <c r="B3954" s="3" t="s">
        <v>691</v>
      </c>
      <c r="C3954" t="s">
        <v>1751</v>
      </c>
      <c r="D3954" s="9">
        <v>1467936</v>
      </c>
      <c r="E3954">
        <v>1.1728999999999999E-3</v>
      </c>
    </row>
    <row r="3955" spans="1:5">
      <c r="A3955">
        <v>2020</v>
      </c>
      <c r="B3955" s="3" t="s">
        <v>440</v>
      </c>
      <c r="C3955" t="s">
        <v>1752</v>
      </c>
      <c r="D3955" s="9">
        <v>196675</v>
      </c>
      <c r="E3955">
        <v>1.572E-4</v>
      </c>
    </row>
    <row r="3956" spans="1:5">
      <c r="A3956">
        <v>2020</v>
      </c>
      <c r="B3956" s="3" t="s">
        <v>1464</v>
      </c>
      <c r="C3956" t="s">
        <v>1753</v>
      </c>
      <c r="D3956" s="9">
        <v>382556</v>
      </c>
      <c r="E3956">
        <v>3.057E-4</v>
      </c>
    </row>
    <row r="3957" spans="1:5">
      <c r="A3957">
        <v>2020</v>
      </c>
      <c r="B3957" s="3" t="s">
        <v>684</v>
      </c>
      <c r="C3957" t="s">
        <v>1754</v>
      </c>
      <c r="D3957" s="9">
        <v>427499</v>
      </c>
      <c r="E3957">
        <v>3.4160000000000001E-4</v>
      </c>
    </row>
    <row r="3958" spans="1:5">
      <c r="A3958">
        <v>2020</v>
      </c>
      <c r="B3958" s="3" t="s">
        <v>692</v>
      </c>
      <c r="C3958" t="s">
        <v>637</v>
      </c>
      <c r="D3958" s="9">
        <v>251999</v>
      </c>
      <c r="E3958">
        <v>2.0139999999999999E-4</v>
      </c>
    </row>
    <row r="3959" spans="1:5">
      <c r="A3959">
        <v>2020</v>
      </c>
      <c r="B3959" s="3" t="s">
        <v>1356</v>
      </c>
      <c r="C3959" t="s">
        <v>1755</v>
      </c>
      <c r="D3959" s="9">
        <v>181737</v>
      </c>
      <c r="E3959">
        <v>1.4520000000000001E-4</v>
      </c>
    </row>
    <row r="3960" spans="1:5">
      <c r="A3960">
        <v>2020</v>
      </c>
      <c r="B3960" s="3" t="s">
        <v>693</v>
      </c>
      <c r="C3960" t="s">
        <v>1756</v>
      </c>
      <c r="D3960" s="9">
        <v>119681</v>
      </c>
      <c r="E3960">
        <v>9.5600000000000006E-5</v>
      </c>
    </row>
    <row r="3961" spans="1:5">
      <c r="A3961">
        <v>2020</v>
      </c>
      <c r="B3961" s="3" t="s">
        <v>694</v>
      </c>
      <c r="C3961" t="s">
        <v>1757</v>
      </c>
      <c r="D3961" s="9">
        <v>3191464</v>
      </c>
      <c r="E3961">
        <v>2.5501E-3</v>
      </c>
    </row>
    <row r="3962" spans="1:5">
      <c r="A3962">
        <v>2020</v>
      </c>
      <c r="B3962" s="3" t="s">
        <v>695</v>
      </c>
      <c r="C3962" t="s">
        <v>1758</v>
      </c>
      <c r="D3962" s="9">
        <v>106686</v>
      </c>
      <c r="E3962">
        <v>8.5199999999999997E-5</v>
      </c>
    </row>
    <row r="3963" spans="1:5">
      <c r="A3963">
        <v>2020</v>
      </c>
      <c r="B3963" s="3" t="s">
        <v>1781</v>
      </c>
      <c r="C3963" t="s">
        <v>1759</v>
      </c>
      <c r="D3963" s="9">
        <v>177421</v>
      </c>
      <c r="E3963">
        <v>1.418E-4</v>
      </c>
    </row>
    <row r="3964" spans="1:5">
      <c r="A3964">
        <v>2020</v>
      </c>
      <c r="B3964" s="3" t="s">
        <v>916</v>
      </c>
      <c r="C3964" t="s">
        <v>1760</v>
      </c>
      <c r="D3964" s="9">
        <v>64005</v>
      </c>
      <c r="E3964">
        <v>5.1100000000000002E-5</v>
      </c>
    </row>
    <row r="3965" spans="1:5">
      <c r="A3965">
        <v>2020</v>
      </c>
      <c r="B3965" s="3" t="s">
        <v>696</v>
      </c>
      <c r="C3965" t="s">
        <v>641</v>
      </c>
      <c r="D3965" s="9">
        <v>30700</v>
      </c>
      <c r="E3965">
        <v>2.4499999999999999E-5</v>
      </c>
    </row>
    <row r="3966" spans="1:5">
      <c r="A3966">
        <v>2020</v>
      </c>
      <c r="B3966" s="3" t="s">
        <v>697</v>
      </c>
      <c r="C3966" t="s">
        <v>1761</v>
      </c>
      <c r="D3966" s="9">
        <v>178345</v>
      </c>
      <c r="E3966">
        <v>1.4249999999999999E-4</v>
      </c>
    </row>
    <row r="3967" spans="1:5">
      <c r="A3967">
        <v>2020</v>
      </c>
      <c r="B3967" s="3" t="s">
        <v>698</v>
      </c>
      <c r="C3967" t="s">
        <v>1762</v>
      </c>
      <c r="D3967" s="9">
        <v>3971695</v>
      </c>
      <c r="E3967">
        <v>3.1735999999999999E-3</v>
      </c>
    </row>
    <row r="3968" spans="1:5">
      <c r="A3968">
        <v>2020</v>
      </c>
      <c r="B3968" s="3" t="s">
        <v>699</v>
      </c>
      <c r="C3968" t="s">
        <v>1763</v>
      </c>
      <c r="D3968" s="9">
        <v>2357897</v>
      </c>
      <c r="E3968">
        <v>1.8841000000000001E-3</v>
      </c>
    </row>
    <row r="3969" spans="1:5">
      <c r="A3969">
        <v>2020</v>
      </c>
      <c r="B3969" s="3" t="s">
        <v>700</v>
      </c>
      <c r="C3969" t="s">
        <v>2374</v>
      </c>
      <c r="D3969" s="9">
        <v>12526</v>
      </c>
      <c r="E3969">
        <v>1.0000000000000001E-5</v>
      </c>
    </row>
    <row r="3970" spans="1:5">
      <c r="A3970">
        <v>2020</v>
      </c>
      <c r="B3970" s="3" t="s">
        <v>701</v>
      </c>
      <c r="C3970" t="s">
        <v>2405</v>
      </c>
      <c r="D3970" s="9">
        <v>305833</v>
      </c>
      <c r="E3970">
        <v>2.4439999999999998E-4</v>
      </c>
    </row>
    <row r="3971" spans="1:5">
      <c r="A3971">
        <v>2020</v>
      </c>
      <c r="B3971" s="3" t="s">
        <v>702</v>
      </c>
      <c r="C3971" t="s">
        <v>1766</v>
      </c>
      <c r="D3971" s="9">
        <v>378092</v>
      </c>
      <c r="E3971">
        <v>3.0210000000000002E-4</v>
      </c>
    </row>
    <row r="3972" spans="1:5">
      <c r="A3972">
        <v>2020</v>
      </c>
      <c r="B3972" s="3" t="s">
        <v>703</v>
      </c>
      <c r="C3972" t="s">
        <v>1767</v>
      </c>
      <c r="D3972" s="9">
        <v>1882810</v>
      </c>
      <c r="E3972">
        <v>1.5045E-3</v>
      </c>
    </row>
    <row r="3973" spans="1:5">
      <c r="A3973">
        <v>2020</v>
      </c>
      <c r="B3973" s="3" t="s">
        <v>1233</v>
      </c>
      <c r="C3973" t="s">
        <v>1768</v>
      </c>
      <c r="D3973" s="9">
        <v>89489</v>
      </c>
      <c r="E3973">
        <v>7.1500000000000003E-5</v>
      </c>
    </row>
    <row r="3974" spans="1:5">
      <c r="A3974">
        <v>2020</v>
      </c>
      <c r="B3974" s="3" t="s">
        <v>704</v>
      </c>
      <c r="C3974" t="s">
        <v>1769</v>
      </c>
      <c r="D3974" s="9">
        <v>129280</v>
      </c>
      <c r="E3974">
        <v>1.033E-4</v>
      </c>
    </row>
    <row r="3975" spans="1:5">
      <c r="A3975">
        <v>2020</v>
      </c>
      <c r="B3975" s="3" t="s">
        <v>705</v>
      </c>
      <c r="C3975" t="s">
        <v>1770</v>
      </c>
      <c r="D3975" s="9">
        <v>656306</v>
      </c>
      <c r="E3975">
        <v>5.2439999999999995E-4</v>
      </c>
    </row>
    <row r="3976" spans="1:5">
      <c r="A3976">
        <v>2020</v>
      </c>
      <c r="B3976" s="3" t="s">
        <v>706</v>
      </c>
      <c r="C3976" t="s">
        <v>1771</v>
      </c>
      <c r="D3976" s="9">
        <v>3778710</v>
      </c>
      <c r="E3976">
        <v>3.0194000000000002E-3</v>
      </c>
    </row>
    <row r="3977" spans="1:5">
      <c r="A3977">
        <v>2020</v>
      </c>
      <c r="B3977" s="3" t="s">
        <v>441</v>
      </c>
      <c r="C3977" t="s">
        <v>1772</v>
      </c>
      <c r="D3977" s="9">
        <v>1417579</v>
      </c>
      <c r="E3977">
        <v>1.1326999999999999E-3</v>
      </c>
    </row>
    <row r="3978" spans="1:5">
      <c r="A3978">
        <v>2020</v>
      </c>
      <c r="B3978" s="3" t="s">
        <v>707</v>
      </c>
      <c r="C3978" t="s">
        <v>1773</v>
      </c>
      <c r="D3978" s="9">
        <v>73356</v>
      </c>
      <c r="E3978">
        <v>5.8600000000000001E-5</v>
      </c>
    </row>
    <row r="3979" spans="1:5">
      <c r="A3979">
        <v>2020</v>
      </c>
      <c r="B3979" s="3" t="s">
        <v>708</v>
      </c>
      <c r="C3979" t="s">
        <v>1774</v>
      </c>
      <c r="D3979" s="9">
        <v>10578757</v>
      </c>
      <c r="E3979">
        <v>8.4528999999999993E-3</v>
      </c>
    </row>
    <row r="3980" spans="1:5">
      <c r="A3980">
        <v>2020</v>
      </c>
      <c r="B3980" s="3" t="s">
        <v>709</v>
      </c>
      <c r="C3980" t="s">
        <v>654</v>
      </c>
      <c r="D3980" s="9">
        <v>873145</v>
      </c>
      <c r="E3980">
        <v>6.9769999999999999E-4</v>
      </c>
    </row>
    <row r="3981" spans="1:5">
      <c r="A3981">
        <v>2020</v>
      </c>
      <c r="B3981" s="3" t="s">
        <v>710</v>
      </c>
      <c r="C3981" t="s">
        <v>1775</v>
      </c>
      <c r="D3981" s="9">
        <v>2744831</v>
      </c>
      <c r="E3981">
        <v>2.1932000000000002E-3</v>
      </c>
    </row>
    <row r="3982" spans="1:5">
      <c r="A3982">
        <v>2020</v>
      </c>
      <c r="B3982" s="3" t="s">
        <v>442</v>
      </c>
      <c r="C3982" t="s">
        <v>1776</v>
      </c>
      <c r="D3982" s="9">
        <v>1909181</v>
      </c>
      <c r="E3982">
        <v>1.5254999999999999E-3</v>
      </c>
    </row>
    <row r="3983" spans="1:5">
      <c r="A3983">
        <v>2020</v>
      </c>
      <c r="B3983" s="3" t="s">
        <v>712</v>
      </c>
      <c r="C3983" t="s">
        <v>1778</v>
      </c>
      <c r="D3983" s="9">
        <v>4221703</v>
      </c>
      <c r="E3983">
        <v>3.3733000000000001E-3</v>
      </c>
    </row>
    <row r="3984" spans="1:5">
      <c r="A3984">
        <v>2020</v>
      </c>
      <c r="B3984" s="3" t="s">
        <v>713</v>
      </c>
      <c r="C3984" t="s">
        <v>1779</v>
      </c>
      <c r="D3984" s="9">
        <v>156523</v>
      </c>
      <c r="E3984">
        <v>1.2510000000000001E-4</v>
      </c>
    </row>
    <row r="3985" spans="1:5">
      <c r="A3985">
        <v>2020</v>
      </c>
      <c r="B3985" s="3" t="s">
        <v>714</v>
      </c>
      <c r="C3985" t="s">
        <v>1780</v>
      </c>
      <c r="D3985" s="9">
        <v>1926899</v>
      </c>
      <c r="E3985">
        <v>1.5397E-3</v>
      </c>
    </row>
    <row r="3986" spans="1:5">
      <c r="A3986">
        <v>2020</v>
      </c>
      <c r="B3986" s="3" t="s">
        <v>770</v>
      </c>
      <c r="C3986" t="s">
        <v>715</v>
      </c>
      <c r="D3986" s="9">
        <v>47970</v>
      </c>
      <c r="E3986">
        <v>3.8300000000000003E-5</v>
      </c>
    </row>
    <row r="3987" spans="1:5">
      <c r="A3987">
        <v>2020</v>
      </c>
      <c r="B3987" s="3" t="s">
        <v>771</v>
      </c>
      <c r="C3987" t="s">
        <v>1782</v>
      </c>
      <c r="D3987" s="9"/>
    </row>
    <row r="3988" spans="1:5">
      <c r="A3988">
        <v>2020</v>
      </c>
      <c r="B3988" s="3" t="s">
        <v>773</v>
      </c>
      <c r="C3988" t="s">
        <v>1784</v>
      </c>
      <c r="D3988" s="9">
        <v>6689082</v>
      </c>
      <c r="E3988">
        <v>5.3448999999999997E-3</v>
      </c>
    </row>
    <row r="3989" spans="1:5">
      <c r="A3989">
        <v>2020</v>
      </c>
      <c r="B3989" s="3" t="s">
        <v>443</v>
      </c>
      <c r="C3989" t="s">
        <v>1785</v>
      </c>
      <c r="D3989" s="9">
        <v>276993</v>
      </c>
      <c r="E3989">
        <v>2.2130000000000001E-4</v>
      </c>
    </row>
    <row r="3990" spans="1:5">
      <c r="A3990">
        <v>2020</v>
      </c>
      <c r="B3990" s="3" t="s">
        <v>774</v>
      </c>
      <c r="C3990" t="s">
        <v>1786</v>
      </c>
      <c r="D3990" s="9">
        <v>238216</v>
      </c>
      <c r="E3990">
        <v>1.9029999999999999E-4</v>
      </c>
    </row>
    <row r="3991" spans="1:5">
      <c r="A3991">
        <v>2020</v>
      </c>
      <c r="B3991" s="3" t="s">
        <v>775</v>
      </c>
      <c r="C3991" t="s">
        <v>1787</v>
      </c>
      <c r="D3991" s="9">
        <v>3348642</v>
      </c>
      <c r="E3991">
        <v>2.6757E-3</v>
      </c>
    </row>
    <row r="3992" spans="1:5">
      <c r="A3992">
        <v>2020</v>
      </c>
      <c r="B3992" s="3" t="s">
        <v>776</v>
      </c>
      <c r="C3992" t="s">
        <v>721</v>
      </c>
      <c r="D3992" s="9"/>
    </row>
    <row r="3993" spans="1:5">
      <c r="A3993">
        <v>2020</v>
      </c>
      <c r="B3993" s="3" t="s">
        <v>778</v>
      </c>
      <c r="C3993" t="s">
        <v>1788</v>
      </c>
      <c r="D3993" s="9">
        <v>3720138</v>
      </c>
      <c r="E3993">
        <v>2.9726000000000002E-3</v>
      </c>
    </row>
    <row r="3994" spans="1:5">
      <c r="A3994">
        <v>2020</v>
      </c>
      <c r="B3994" s="3" t="s">
        <v>779</v>
      </c>
      <c r="C3994" t="s">
        <v>1789</v>
      </c>
      <c r="D3994" s="9">
        <v>146300</v>
      </c>
      <c r="E3994">
        <v>1.169E-4</v>
      </c>
    </row>
    <row r="3995" spans="1:5">
      <c r="A3995">
        <v>2020</v>
      </c>
      <c r="B3995" s="3" t="s">
        <v>780</v>
      </c>
      <c r="C3995" t="s">
        <v>1790</v>
      </c>
      <c r="D3995" s="9">
        <v>426587</v>
      </c>
      <c r="E3995">
        <v>3.4089999999999999E-4</v>
      </c>
    </row>
    <row r="3996" spans="1:5">
      <c r="A3996">
        <v>2020</v>
      </c>
      <c r="B3996" s="3" t="s">
        <v>781</v>
      </c>
      <c r="C3996" t="s">
        <v>1791</v>
      </c>
      <c r="D3996" s="9">
        <v>18745</v>
      </c>
      <c r="E3996">
        <v>1.5E-5</v>
      </c>
    </row>
    <row r="3997" spans="1:5">
      <c r="A3997">
        <v>2020</v>
      </c>
      <c r="B3997" s="3" t="s">
        <v>782</v>
      </c>
      <c r="C3997" t="s">
        <v>1792</v>
      </c>
      <c r="D3997" s="9">
        <v>7914667</v>
      </c>
      <c r="E3997">
        <v>6.3242000000000003E-3</v>
      </c>
    </row>
    <row r="3998" spans="1:5">
      <c r="A3998">
        <v>2020</v>
      </c>
      <c r="B3998" s="3" t="s">
        <v>1234</v>
      </c>
      <c r="C3998" t="s">
        <v>1793</v>
      </c>
      <c r="D3998" s="9">
        <v>1786254</v>
      </c>
      <c r="E3998">
        <v>1.4273000000000001E-3</v>
      </c>
    </row>
    <row r="3999" spans="1:5">
      <c r="A3999">
        <v>2020</v>
      </c>
      <c r="B3999" s="3" t="s">
        <v>783</v>
      </c>
      <c r="C3999" t="s">
        <v>1794</v>
      </c>
      <c r="D3999" s="9">
        <v>1130800</v>
      </c>
      <c r="E3999">
        <v>9.0359999999999995E-4</v>
      </c>
    </row>
    <row r="4000" spans="1:5">
      <c r="A4000">
        <v>2020</v>
      </c>
      <c r="B4000" s="3" t="s">
        <v>787</v>
      </c>
      <c r="C4000" t="s">
        <v>732</v>
      </c>
      <c r="D4000" s="9">
        <v>61737122</v>
      </c>
      <c r="E4000">
        <v>4.9330899999999997E-2</v>
      </c>
    </row>
    <row r="4001" spans="1:5">
      <c r="A4001">
        <v>2020</v>
      </c>
      <c r="B4001" s="3" t="s">
        <v>784</v>
      </c>
      <c r="C4001" t="s">
        <v>1795</v>
      </c>
      <c r="D4001" s="9">
        <v>43114786</v>
      </c>
      <c r="E4001">
        <v>3.4450700000000001E-2</v>
      </c>
    </row>
    <row r="4002" spans="1:5">
      <c r="A4002">
        <v>2020</v>
      </c>
      <c r="B4002" s="3" t="s">
        <v>785</v>
      </c>
      <c r="C4002" t="s">
        <v>1796</v>
      </c>
      <c r="D4002" s="9">
        <v>459899</v>
      </c>
      <c r="E4002">
        <v>3.6749999999999999E-4</v>
      </c>
    </row>
    <row r="4003" spans="1:5">
      <c r="A4003">
        <v>2020</v>
      </c>
      <c r="B4003" s="3" t="s">
        <v>788</v>
      </c>
      <c r="C4003" t="s">
        <v>1797</v>
      </c>
      <c r="D4003" s="9">
        <v>374259</v>
      </c>
      <c r="E4003">
        <v>2.99E-4</v>
      </c>
    </row>
    <row r="4004" spans="1:5">
      <c r="A4004">
        <v>2020</v>
      </c>
      <c r="B4004" s="3" t="s">
        <v>786</v>
      </c>
      <c r="C4004" t="s">
        <v>1798</v>
      </c>
      <c r="D4004" s="9">
        <v>28462823</v>
      </c>
      <c r="E4004">
        <v>2.2743099999999999E-2</v>
      </c>
    </row>
    <row r="4005" spans="1:5">
      <c r="A4005">
        <v>2020</v>
      </c>
      <c r="B4005" s="3" t="s">
        <v>789</v>
      </c>
      <c r="C4005" t="s">
        <v>1799</v>
      </c>
      <c r="D4005" s="9">
        <v>3987881</v>
      </c>
      <c r="E4005">
        <v>3.1865000000000001E-3</v>
      </c>
    </row>
    <row r="4006" spans="1:5">
      <c r="A4006">
        <v>2020</v>
      </c>
      <c r="B4006" s="3" t="s">
        <v>444</v>
      </c>
      <c r="C4006" t="s">
        <v>1800</v>
      </c>
      <c r="D4006" s="9">
        <v>1144365</v>
      </c>
      <c r="E4006">
        <v>9.144E-4</v>
      </c>
    </row>
    <row r="4007" spans="1:5">
      <c r="A4007">
        <v>2020</v>
      </c>
      <c r="B4007" s="3" t="s">
        <v>790</v>
      </c>
      <c r="C4007" t="s">
        <v>1801</v>
      </c>
      <c r="D4007" s="9"/>
    </row>
    <row r="4008" spans="1:5">
      <c r="A4008">
        <v>2020</v>
      </c>
      <c r="B4008" s="3" t="s">
        <v>777</v>
      </c>
      <c r="C4008" t="s">
        <v>1802</v>
      </c>
      <c r="D4008" s="9">
        <v>144584</v>
      </c>
      <c r="E4008">
        <v>1.155E-4</v>
      </c>
    </row>
    <row r="4009" spans="1:5">
      <c r="A4009">
        <v>2020</v>
      </c>
      <c r="B4009" s="3" t="s">
        <v>791</v>
      </c>
      <c r="C4009" t="s">
        <v>736</v>
      </c>
      <c r="D4009" s="9">
        <v>291805</v>
      </c>
      <c r="E4009">
        <v>2.332E-4</v>
      </c>
    </row>
    <row r="4010" spans="1:5">
      <c r="A4010">
        <v>2020</v>
      </c>
      <c r="B4010" s="3" t="s">
        <v>792</v>
      </c>
      <c r="C4010" t="s">
        <v>1803</v>
      </c>
      <c r="D4010" s="9">
        <v>376681</v>
      </c>
      <c r="E4010">
        <v>3.01E-4</v>
      </c>
    </row>
    <row r="4011" spans="1:5">
      <c r="A4011">
        <v>2020</v>
      </c>
      <c r="B4011" s="3" t="s">
        <v>793</v>
      </c>
      <c r="C4011" t="s">
        <v>1804</v>
      </c>
      <c r="D4011" s="9">
        <v>168037</v>
      </c>
      <c r="E4011">
        <v>1.3430000000000001E-4</v>
      </c>
    </row>
    <row r="4012" spans="1:5">
      <c r="A4012">
        <v>2020</v>
      </c>
      <c r="B4012" s="3" t="s">
        <v>794</v>
      </c>
      <c r="C4012" t="s">
        <v>1805</v>
      </c>
      <c r="D4012" s="9">
        <v>40494</v>
      </c>
      <c r="E4012">
        <v>3.2400000000000001E-5</v>
      </c>
    </row>
    <row r="4013" spans="1:5">
      <c r="A4013">
        <v>2020</v>
      </c>
      <c r="B4013" s="3" t="s">
        <v>795</v>
      </c>
      <c r="C4013" t="s">
        <v>1806</v>
      </c>
      <c r="D4013" s="9">
        <v>40964127</v>
      </c>
      <c r="E4013">
        <v>3.2732200000000003E-2</v>
      </c>
    </row>
    <row r="4014" spans="1:5">
      <c r="A4014">
        <v>2020</v>
      </c>
      <c r="B4014" s="3" t="s">
        <v>445</v>
      </c>
      <c r="C4014" t="s">
        <v>1807</v>
      </c>
      <c r="D4014" s="9">
        <v>20258486</v>
      </c>
      <c r="E4014">
        <v>1.61875E-2</v>
      </c>
    </row>
    <row r="4015" spans="1:5">
      <c r="A4015">
        <v>2020</v>
      </c>
      <c r="B4015" s="3" t="s">
        <v>796</v>
      </c>
      <c r="C4015" t="s">
        <v>741</v>
      </c>
      <c r="D4015" s="9">
        <v>128616</v>
      </c>
      <c r="E4015">
        <v>1.0280000000000001E-4</v>
      </c>
    </row>
    <row r="4016" spans="1:5">
      <c r="A4016">
        <v>2020</v>
      </c>
      <c r="B4016" s="3" t="s">
        <v>797</v>
      </c>
      <c r="C4016" t="s">
        <v>1808</v>
      </c>
      <c r="D4016" s="9">
        <v>403380</v>
      </c>
      <c r="E4016">
        <v>3.2229999999999997E-4</v>
      </c>
    </row>
    <row r="4017" spans="1:5">
      <c r="A4017">
        <v>2020</v>
      </c>
      <c r="B4017" s="3" t="s">
        <v>798</v>
      </c>
      <c r="C4017" t="s">
        <v>743</v>
      </c>
      <c r="D4017" s="9">
        <v>130130</v>
      </c>
      <c r="E4017">
        <v>1.0399999999999999E-4</v>
      </c>
    </row>
    <row r="4018" spans="1:5">
      <c r="A4018">
        <v>2020</v>
      </c>
      <c r="B4018" s="3" t="s">
        <v>799</v>
      </c>
      <c r="C4018" t="s">
        <v>1809</v>
      </c>
      <c r="D4018" s="9">
        <v>530554</v>
      </c>
      <c r="E4018">
        <v>4.239E-4</v>
      </c>
    </row>
    <row r="4019" spans="1:5">
      <c r="A4019">
        <v>2020</v>
      </c>
      <c r="B4019" s="3" t="s">
        <v>1235</v>
      </c>
      <c r="C4019" t="s">
        <v>1810</v>
      </c>
      <c r="D4019" s="9">
        <v>131332</v>
      </c>
      <c r="E4019">
        <v>1.049E-4</v>
      </c>
    </row>
    <row r="4020" spans="1:5">
      <c r="A4020">
        <v>2020</v>
      </c>
      <c r="B4020" s="3" t="s">
        <v>800</v>
      </c>
      <c r="C4020" t="s">
        <v>745</v>
      </c>
      <c r="D4020" s="9">
        <v>80817</v>
      </c>
      <c r="E4020">
        <v>6.4599999999999998E-5</v>
      </c>
    </row>
    <row r="4021" spans="1:5">
      <c r="A4021">
        <v>2020</v>
      </c>
      <c r="B4021" s="3" t="s">
        <v>801</v>
      </c>
      <c r="C4021" t="s">
        <v>1811</v>
      </c>
      <c r="D4021" s="9">
        <v>697604</v>
      </c>
      <c r="E4021">
        <v>5.574E-4</v>
      </c>
    </row>
    <row r="4022" spans="1:5">
      <c r="A4022">
        <v>2020</v>
      </c>
      <c r="B4022" s="3" t="s">
        <v>802</v>
      </c>
      <c r="C4022" t="s">
        <v>1812</v>
      </c>
      <c r="D4022" s="9">
        <v>48201</v>
      </c>
      <c r="E4022">
        <v>3.8500000000000001E-5</v>
      </c>
    </row>
    <row r="4023" spans="1:5">
      <c r="A4023">
        <v>2020</v>
      </c>
      <c r="B4023" s="3" t="s">
        <v>803</v>
      </c>
      <c r="C4023" t="s">
        <v>748</v>
      </c>
      <c r="D4023" s="9">
        <v>252071</v>
      </c>
      <c r="E4023">
        <v>2.0139999999999999E-4</v>
      </c>
    </row>
    <row r="4024" spans="1:5">
      <c r="A4024">
        <v>2020</v>
      </c>
      <c r="B4024" s="3" t="s">
        <v>804</v>
      </c>
      <c r="C4024" t="s">
        <v>749</v>
      </c>
      <c r="D4024" s="9">
        <v>311882</v>
      </c>
      <c r="E4024">
        <v>2.4919999999999999E-4</v>
      </c>
    </row>
    <row r="4025" spans="1:5">
      <c r="A4025">
        <v>2020</v>
      </c>
      <c r="B4025" s="3" t="s">
        <v>805</v>
      </c>
      <c r="C4025" t="s">
        <v>750</v>
      </c>
      <c r="D4025" s="9">
        <v>1625868</v>
      </c>
      <c r="E4025">
        <v>1.2991000000000001E-3</v>
      </c>
    </row>
    <row r="4026" spans="1:5">
      <c r="A4026">
        <v>2020</v>
      </c>
      <c r="B4026" s="3" t="s">
        <v>806</v>
      </c>
      <c r="C4026" t="s">
        <v>751</v>
      </c>
      <c r="D4026" s="9">
        <v>4498333</v>
      </c>
      <c r="E4026">
        <v>3.5944000000000002E-3</v>
      </c>
    </row>
    <row r="4027" spans="1:5">
      <c r="A4027">
        <v>2020</v>
      </c>
      <c r="B4027" s="3" t="s">
        <v>807</v>
      </c>
      <c r="C4027" t="s">
        <v>752</v>
      </c>
      <c r="D4027" s="9">
        <v>89447</v>
      </c>
      <c r="E4027">
        <v>7.1500000000000003E-5</v>
      </c>
    </row>
    <row r="4028" spans="1:5">
      <c r="A4028">
        <v>2020</v>
      </c>
      <c r="B4028" s="3" t="s">
        <v>808</v>
      </c>
      <c r="C4028" t="s">
        <v>1813</v>
      </c>
      <c r="D4028" s="9"/>
    </row>
    <row r="4029" spans="1:5">
      <c r="A4029">
        <v>2020</v>
      </c>
      <c r="B4029" s="3" t="s">
        <v>809</v>
      </c>
      <c r="C4029" t="s">
        <v>1814</v>
      </c>
      <c r="D4029" s="9">
        <v>669933</v>
      </c>
      <c r="E4029">
        <v>5.3529999999999995E-4</v>
      </c>
    </row>
    <row r="4030" spans="1:5">
      <c r="A4030">
        <v>2020</v>
      </c>
      <c r="B4030" s="3" t="s">
        <v>1470</v>
      </c>
      <c r="C4030" t="s">
        <v>1815</v>
      </c>
      <c r="D4030" s="9">
        <v>15950</v>
      </c>
      <c r="E4030">
        <v>1.27E-5</v>
      </c>
    </row>
    <row r="4031" spans="1:5">
      <c r="A4031">
        <v>2020</v>
      </c>
      <c r="B4031" s="3" t="s">
        <v>810</v>
      </c>
      <c r="C4031" t="s">
        <v>1816</v>
      </c>
      <c r="D4031" s="9">
        <v>96820</v>
      </c>
      <c r="E4031">
        <v>7.7399999999999998E-5</v>
      </c>
    </row>
    <row r="4032" spans="1:5">
      <c r="A4032">
        <v>2020</v>
      </c>
      <c r="B4032" s="3" t="s">
        <v>811</v>
      </c>
      <c r="C4032" t="s">
        <v>1817</v>
      </c>
      <c r="D4032" s="9"/>
    </row>
    <row r="4033" spans="1:5">
      <c r="A4033">
        <v>2020</v>
      </c>
      <c r="B4033" s="3" t="s">
        <v>812</v>
      </c>
      <c r="C4033" t="s">
        <v>1818</v>
      </c>
      <c r="D4033" s="9">
        <v>971457</v>
      </c>
      <c r="E4033">
        <v>7.762E-4</v>
      </c>
    </row>
    <row r="4034" spans="1:5">
      <c r="A4034">
        <v>2020</v>
      </c>
      <c r="B4034" s="3" t="s">
        <v>813</v>
      </c>
      <c r="C4034" t="s">
        <v>1819</v>
      </c>
      <c r="D4034" s="9">
        <v>90848</v>
      </c>
      <c r="E4034">
        <v>7.2600000000000003E-5</v>
      </c>
    </row>
    <row r="4035" spans="1:5">
      <c r="A4035">
        <v>2020</v>
      </c>
      <c r="B4035" s="3" t="s">
        <v>814</v>
      </c>
      <c r="C4035" t="s">
        <v>1820</v>
      </c>
      <c r="D4035" s="9">
        <v>44619</v>
      </c>
      <c r="E4035">
        <v>3.57E-5</v>
      </c>
    </row>
    <row r="4036" spans="1:5">
      <c r="A4036">
        <v>2020</v>
      </c>
      <c r="B4036" s="3" t="s">
        <v>815</v>
      </c>
      <c r="C4036" t="s">
        <v>760</v>
      </c>
      <c r="D4036" s="9">
        <v>18212</v>
      </c>
      <c r="E4036">
        <v>1.4600000000000001E-5</v>
      </c>
    </row>
    <row r="4037" spans="1:5">
      <c r="A4037">
        <v>2020</v>
      </c>
      <c r="B4037" s="3" t="s">
        <v>816</v>
      </c>
      <c r="C4037" t="s">
        <v>761</v>
      </c>
      <c r="D4037" s="9">
        <v>52478</v>
      </c>
      <c r="E4037">
        <v>4.1900000000000002E-5</v>
      </c>
    </row>
    <row r="4038" spans="1:5">
      <c r="A4038">
        <v>2020</v>
      </c>
      <c r="B4038" s="3" t="s">
        <v>817</v>
      </c>
      <c r="C4038" t="s">
        <v>762</v>
      </c>
      <c r="D4038" s="9">
        <v>97240</v>
      </c>
      <c r="E4038">
        <v>7.7700000000000005E-5</v>
      </c>
    </row>
    <row r="4039" spans="1:5">
      <c r="A4039">
        <v>2020</v>
      </c>
      <c r="B4039" s="3" t="s">
        <v>818</v>
      </c>
      <c r="C4039" t="s">
        <v>1821</v>
      </c>
      <c r="D4039" s="9">
        <v>16248</v>
      </c>
      <c r="E4039">
        <v>1.2999999999999999E-5</v>
      </c>
    </row>
    <row r="4040" spans="1:5">
      <c r="A4040">
        <v>2020</v>
      </c>
      <c r="B4040" s="3" t="s">
        <v>820</v>
      </c>
      <c r="C4040" t="s">
        <v>1822</v>
      </c>
      <c r="D4040" s="9">
        <v>833293</v>
      </c>
      <c r="E4040">
        <v>6.6580000000000003E-4</v>
      </c>
    </row>
    <row r="4041" spans="1:5">
      <c r="A4041">
        <v>2020</v>
      </c>
      <c r="B4041" s="3" t="s">
        <v>822</v>
      </c>
      <c r="C4041" t="s">
        <v>2406</v>
      </c>
      <c r="D4041" s="9">
        <v>133581</v>
      </c>
      <c r="E4041">
        <v>1.0670000000000001E-4</v>
      </c>
    </row>
    <row r="4042" spans="1:5">
      <c r="A4042">
        <v>2020</v>
      </c>
      <c r="B4042" s="3" t="s">
        <v>880</v>
      </c>
      <c r="C4042" t="s">
        <v>2407</v>
      </c>
      <c r="D4042" s="9">
        <v>594209</v>
      </c>
      <c r="E4042">
        <v>4.7479999999999999E-4</v>
      </c>
    </row>
    <row r="4043" spans="1:5">
      <c r="A4043">
        <v>2020</v>
      </c>
      <c r="B4043" s="3" t="s">
        <v>884</v>
      </c>
      <c r="C4043" t="s">
        <v>829</v>
      </c>
      <c r="D4043" s="9">
        <v>1999928</v>
      </c>
      <c r="E4043">
        <v>1.598E-3</v>
      </c>
    </row>
    <row r="4044" spans="1:5">
      <c r="A4044">
        <v>2020</v>
      </c>
      <c r="B4044" s="3" t="s">
        <v>881</v>
      </c>
      <c r="C4044" t="s">
        <v>1825</v>
      </c>
      <c r="D4044" s="9">
        <v>26779</v>
      </c>
      <c r="E4044">
        <v>2.1399999999999998E-5</v>
      </c>
    </row>
    <row r="4045" spans="1:5">
      <c r="A4045">
        <v>2020</v>
      </c>
      <c r="B4045" s="3" t="s">
        <v>883</v>
      </c>
      <c r="C4045" t="s">
        <v>2418</v>
      </c>
      <c r="D4045" s="9"/>
    </row>
    <row r="4046" spans="1:5">
      <c r="A4046">
        <v>2020</v>
      </c>
      <c r="B4046" s="3" t="s">
        <v>885</v>
      </c>
      <c r="C4046" t="s">
        <v>1828</v>
      </c>
      <c r="D4046" s="9">
        <v>118818</v>
      </c>
      <c r="E4046">
        <v>9.4900000000000003E-5</v>
      </c>
    </row>
    <row r="4047" spans="1:5">
      <c r="A4047">
        <v>2020</v>
      </c>
      <c r="B4047" s="3" t="s">
        <v>886</v>
      </c>
      <c r="C4047" t="s">
        <v>1829</v>
      </c>
      <c r="D4047" s="9">
        <v>48112</v>
      </c>
      <c r="E4047">
        <v>3.8399999999999998E-5</v>
      </c>
    </row>
    <row r="4048" spans="1:5">
      <c r="A4048">
        <v>2020</v>
      </c>
      <c r="B4048" s="3" t="s">
        <v>887</v>
      </c>
      <c r="C4048" t="s">
        <v>1830</v>
      </c>
      <c r="D4048" s="9">
        <v>74236</v>
      </c>
      <c r="E4048">
        <v>5.9299999999999998E-5</v>
      </c>
    </row>
    <row r="4049" spans="1:5">
      <c r="A4049">
        <v>2020</v>
      </c>
      <c r="B4049" s="3" t="s">
        <v>888</v>
      </c>
      <c r="C4049" t="s">
        <v>1831</v>
      </c>
      <c r="D4049" s="9">
        <v>25881</v>
      </c>
      <c r="E4049">
        <v>2.0699999999999998E-5</v>
      </c>
    </row>
    <row r="4050" spans="1:5">
      <c r="A4050">
        <v>2020</v>
      </c>
      <c r="B4050" s="3" t="s">
        <v>890</v>
      </c>
      <c r="C4050" t="s">
        <v>1832</v>
      </c>
      <c r="D4050" s="9">
        <v>2904270</v>
      </c>
      <c r="E4050">
        <v>2.3205999999999999E-3</v>
      </c>
    </row>
    <row r="4051" spans="1:5">
      <c r="A4051">
        <v>2020</v>
      </c>
      <c r="B4051" s="3" t="s">
        <v>446</v>
      </c>
      <c r="C4051" t="s">
        <v>1833</v>
      </c>
      <c r="D4051" s="9">
        <v>746365</v>
      </c>
      <c r="E4051">
        <v>5.9639999999999997E-4</v>
      </c>
    </row>
    <row r="4052" spans="1:5">
      <c r="A4052">
        <v>2020</v>
      </c>
      <c r="B4052" s="3" t="s">
        <v>821</v>
      </c>
      <c r="C4052" t="s">
        <v>1834</v>
      </c>
      <c r="D4052" s="9">
        <v>112953</v>
      </c>
      <c r="E4052">
        <v>9.0299999999999999E-5</v>
      </c>
    </row>
    <row r="4053" spans="1:5">
      <c r="A4053">
        <v>2020</v>
      </c>
      <c r="B4053" s="3" t="s">
        <v>891</v>
      </c>
      <c r="C4053" t="s">
        <v>1835</v>
      </c>
      <c r="D4053" s="9">
        <v>54254</v>
      </c>
      <c r="E4053">
        <v>4.3399999999999998E-5</v>
      </c>
    </row>
    <row r="4054" spans="1:5">
      <c r="A4054">
        <v>2020</v>
      </c>
      <c r="B4054" s="3" t="s">
        <v>892</v>
      </c>
      <c r="C4054" t="s">
        <v>1836</v>
      </c>
      <c r="D4054" s="9">
        <v>106516</v>
      </c>
      <c r="E4054">
        <v>8.5099999999999995E-5</v>
      </c>
    </row>
    <row r="4055" spans="1:5">
      <c r="A4055">
        <v>2020</v>
      </c>
      <c r="B4055" s="3" t="s">
        <v>896</v>
      </c>
      <c r="C4055" t="s">
        <v>1837</v>
      </c>
      <c r="D4055" s="9">
        <v>37263</v>
      </c>
      <c r="E4055">
        <v>2.9799999999999999E-5</v>
      </c>
    </row>
    <row r="4056" spans="1:5">
      <c r="A4056">
        <v>2020</v>
      </c>
      <c r="B4056" s="3" t="s">
        <v>893</v>
      </c>
      <c r="C4056" t="s">
        <v>1838</v>
      </c>
      <c r="D4056" s="9">
        <v>4708</v>
      </c>
      <c r="E4056">
        <v>3.8E-6</v>
      </c>
    </row>
    <row r="4057" spans="1:5">
      <c r="A4057">
        <v>2020</v>
      </c>
      <c r="B4057" s="3" t="s">
        <v>824</v>
      </c>
      <c r="C4057" t="s">
        <v>1839</v>
      </c>
      <c r="D4057" s="9">
        <v>408354</v>
      </c>
      <c r="E4057">
        <v>3.2630000000000002E-4</v>
      </c>
    </row>
    <row r="4058" spans="1:5">
      <c r="A4058">
        <v>2020</v>
      </c>
      <c r="B4058" s="3" t="s">
        <v>823</v>
      </c>
      <c r="C4058" t="s">
        <v>1840</v>
      </c>
      <c r="D4058" s="9">
        <v>983926</v>
      </c>
      <c r="E4058">
        <v>7.8620000000000003E-4</v>
      </c>
    </row>
    <row r="4059" spans="1:5">
      <c r="A4059">
        <v>2020</v>
      </c>
      <c r="B4059" s="3" t="s">
        <v>897</v>
      </c>
      <c r="C4059" t="s">
        <v>1841</v>
      </c>
      <c r="D4059" s="9">
        <v>568261</v>
      </c>
      <c r="E4059">
        <v>4.5409999999999998E-4</v>
      </c>
    </row>
    <row r="4060" spans="1:5">
      <c r="A4060">
        <v>2020</v>
      </c>
      <c r="B4060" s="3" t="s">
        <v>894</v>
      </c>
      <c r="C4060" t="s">
        <v>839</v>
      </c>
      <c r="D4060" s="9">
        <v>14048831</v>
      </c>
      <c r="E4060">
        <v>1.12257E-2</v>
      </c>
    </row>
    <row r="4061" spans="1:5">
      <c r="A4061">
        <v>2020</v>
      </c>
      <c r="B4061" s="3" t="s">
        <v>895</v>
      </c>
      <c r="C4061" t="s">
        <v>1842</v>
      </c>
      <c r="D4061" s="9">
        <v>38270</v>
      </c>
      <c r="E4061">
        <v>3.0599999999999998E-5</v>
      </c>
    </row>
    <row r="4062" spans="1:5">
      <c r="A4062">
        <v>2020</v>
      </c>
      <c r="B4062" s="3" t="s">
        <v>898</v>
      </c>
      <c r="C4062" t="s">
        <v>843</v>
      </c>
      <c r="D4062" s="9">
        <v>1440273</v>
      </c>
      <c r="E4062">
        <v>1.1508E-3</v>
      </c>
    </row>
    <row r="4063" spans="1:5">
      <c r="A4063">
        <v>2020</v>
      </c>
      <c r="B4063" s="3" t="s">
        <v>899</v>
      </c>
      <c r="C4063" t="s">
        <v>844</v>
      </c>
      <c r="D4063" s="9">
        <v>384089</v>
      </c>
      <c r="E4063">
        <v>3.0689999999999998E-4</v>
      </c>
    </row>
    <row r="4064" spans="1:5">
      <c r="A4064">
        <v>2020</v>
      </c>
      <c r="B4064" s="3" t="s">
        <v>900</v>
      </c>
      <c r="C4064" t="s">
        <v>845</v>
      </c>
      <c r="D4064" s="9">
        <v>306234</v>
      </c>
      <c r="E4064">
        <v>2.4469999999999998E-4</v>
      </c>
    </row>
    <row r="4065" spans="1:5">
      <c r="A4065">
        <v>2020</v>
      </c>
      <c r="B4065" s="3" t="s">
        <v>901</v>
      </c>
      <c r="C4065" t="s">
        <v>846</v>
      </c>
      <c r="D4065" s="9">
        <v>124768</v>
      </c>
      <c r="E4065">
        <v>9.9699999999999998E-5</v>
      </c>
    </row>
    <row r="4066" spans="1:5">
      <c r="A4066">
        <v>2020</v>
      </c>
      <c r="B4066" s="3" t="s">
        <v>902</v>
      </c>
      <c r="C4066" t="s">
        <v>1843</v>
      </c>
      <c r="D4066" s="9">
        <v>310689</v>
      </c>
      <c r="E4066">
        <v>2.4830000000000002E-4</v>
      </c>
    </row>
    <row r="4067" spans="1:5">
      <c r="A4067">
        <v>2020</v>
      </c>
      <c r="B4067" s="3" t="s">
        <v>1236</v>
      </c>
      <c r="C4067" t="s">
        <v>1844</v>
      </c>
      <c r="D4067" s="9">
        <v>1550391</v>
      </c>
      <c r="E4067">
        <v>1.2388E-3</v>
      </c>
    </row>
    <row r="4068" spans="1:5">
      <c r="A4068">
        <v>2020</v>
      </c>
      <c r="B4068" s="3" t="s">
        <v>903</v>
      </c>
      <c r="C4068" t="s">
        <v>1845</v>
      </c>
      <c r="D4068" s="9">
        <v>1915179</v>
      </c>
      <c r="E4068">
        <v>1.5303000000000001E-3</v>
      </c>
    </row>
    <row r="4069" spans="1:5">
      <c r="A4069">
        <v>2020</v>
      </c>
      <c r="B4069" s="3" t="s">
        <v>904</v>
      </c>
      <c r="C4069" t="s">
        <v>1846</v>
      </c>
      <c r="D4069" s="9">
        <v>22559</v>
      </c>
      <c r="E4069">
        <v>1.8E-5</v>
      </c>
    </row>
    <row r="4070" spans="1:5">
      <c r="A4070">
        <v>2020</v>
      </c>
      <c r="B4070" s="3" t="s">
        <v>905</v>
      </c>
      <c r="C4070" t="s">
        <v>1847</v>
      </c>
      <c r="D4070" s="9">
        <v>40367</v>
      </c>
      <c r="E4070">
        <v>3.2299999999999999E-5</v>
      </c>
    </row>
    <row r="4071" spans="1:5">
      <c r="A4071">
        <v>2020</v>
      </c>
      <c r="B4071" s="3" t="s">
        <v>906</v>
      </c>
      <c r="C4071" t="s">
        <v>1848</v>
      </c>
      <c r="D4071" s="9">
        <v>1698977</v>
      </c>
      <c r="E4071">
        <v>1.3576E-3</v>
      </c>
    </row>
    <row r="4072" spans="1:5">
      <c r="A4072">
        <v>2020</v>
      </c>
      <c r="B4072" s="3" t="s">
        <v>447</v>
      </c>
      <c r="C4072" t="s">
        <v>1849</v>
      </c>
      <c r="D4072" s="9">
        <v>702401</v>
      </c>
      <c r="E4072">
        <v>5.6130000000000004E-4</v>
      </c>
    </row>
    <row r="4073" spans="1:5">
      <c r="A4073">
        <v>2020</v>
      </c>
      <c r="B4073" s="3" t="s">
        <v>1034</v>
      </c>
      <c r="C4073" t="s">
        <v>1850</v>
      </c>
      <c r="D4073" s="9">
        <v>267470</v>
      </c>
      <c r="E4073">
        <v>2.1369999999999999E-4</v>
      </c>
    </row>
    <row r="4074" spans="1:5">
      <c r="A4074">
        <v>2020</v>
      </c>
      <c r="B4074" s="3" t="s">
        <v>908</v>
      </c>
      <c r="C4074" t="s">
        <v>1851</v>
      </c>
      <c r="D4074" s="9">
        <v>306846</v>
      </c>
      <c r="E4074">
        <v>2.452E-4</v>
      </c>
    </row>
    <row r="4075" spans="1:5">
      <c r="A4075">
        <v>2020</v>
      </c>
      <c r="B4075" s="3" t="s">
        <v>909</v>
      </c>
      <c r="C4075" t="s">
        <v>1852</v>
      </c>
      <c r="D4075" s="9">
        <v>115318</v>
      </c>
      <c r="E4075">
        <v>9.2100000000000003E-5</v>
      </c>
    </row>
    <row r="4076" spans="1:5">
      <c r="A4076">
        <v>2020</v>
      </c>
      <c r="B4076" s="3" t="s">
        <v>910</v>
      </c>
      <c r="C4076" t="s">
        <v>1853</v>
      </c>
      <c r="D4076" s="9">
        <v>633300</v>
      </c>
      <c r="E4076">
        <v>5.0600000000000005E-4</v>
      </c>
    </row>
    <row r="4077" spans="1:5">
      <c r="A4077">
        <v>2020</v>
      </c>
      <c r="B4077" s="3" t="s">
        <v>912</v>
      </c>
      <c r="C4077" t="s">
        <v>1854</v>
      </c>
      <c r="D4077" s="9">
        <v>1245474</v>
      </c>
      <c r="E4077">
        <v>9.951999999999999E-4</v>
      </c>
    </row>
    <row r="4078" spans="1:5">
      <c r="A4078">
        <v>2020</v>
      </c>
      <c r="B4078" s="3" t="s">
        <v>911</v>
      </c>
      <c r="C4078" t="s">
        <v>1855</v>
      </c>
      <c r="D4078" s="9">
        <v>19107676</v>
      </c>
      <c r="E4078">
        <v>1.5267899999999999E-2</v>
      </c>
    </row>
    <row r="4079" spans="1:5">
      <c r="A4079">
        <v>2020</v>
      </c>
      <c r="B4079" s="3" t="s">
        <v>1237</v>
      </c>
      <c r="C4079" t="s">
        <v>1856</v>
      </c>
      <c r="D4079" s="9">
        <v>656295</v>
      </c>
      <c r="E4079">
        <v>5.2439999999999995E-4</v>
      </c>
    </row>
    <row r="4080" spans="1:5">
      <c r="A4080">
        <v>2020</v>
      </c>
      <c r="B4080" s="3" t="s">
        <v>1474</v>
      </c>
      <c r="C4080" t="s">
        <v>1473</v>
      </c>
      <c r="D4080" s="9"/>
    </row>
    <row r="4081" spans="1:5">
      <c r="A4081">
        <v>2020</v>
      </c>
      <c r="B4081" s="3" t="s">
        <v>913</v>
      </c>
      <c r="C4081" t="s">
        <v>1857</v>
      </c>
      <c r="D4081" s="9">
        <v>100534</v>
      </c>
      <c r="E4081">
        <v>8.03E-5</v>
      </c>
    </row>
    <row r="4082" spans="1:5">
      <c r="A4082">
        <v>2020</v>
      </c>
      <c r="B4082" s="3" t="s">
        <v>914</v>
      </c>
      <c r="C4082" t="s">
        <v>1858</v>
      </c>
      <c r="D4082" s="9">
        <v>61752</v>
      </c>
      <c r="E4082">
        <v>4.9299999999999999E-5</v>
      </c>
    </row>
    <row r="4083" spans="1:5">
      <c r="A4083">
        <v>2020</v>
      </c>
      <c r="B4083" s="3" t="s">
        <v>915</v>
      </c>
      <c r="C4083" t="s">
        <v>1859</v>
      </c>
      <c r="D4083" s="9">
        <v>1253329</v>
      </c>
      <c r="E4083">
        <v>1.0015E-3</v>
      </c>
    </row>
    <row r="4084" spans="1:5">
      <c r="A4084">
        <v>2020</v>
      </c>
      <c r="B4084" s="3" t="s">
        <v>1238</v>
      </c>
      <c r="C4084" t="s">
        <v>1860</v>
      </c>
      <c r="D4084" s="9">
        <v>184160</v>
      </c>
      <c r="E4084">
        <v>1.472E-4</v>
      </c>
    </row>
    <row r="4085" spans="1:5">
      <c r="A4085">
        <v>2020</v>
      </c>
      <c r="B4085" s="3" t="s">
        <v>917</v>
      </c>
      <c r="C4085" t="s">
        <v>1861</v>
      </c>
      <c r="D4085" s="9">
        <v>69042</v>
      </c>
      <c r="E4085">
        <v>5.52E-5</v>
      </c>
    </row>
    <row r="4086" spans="1:5">
      <c r="A4086">
        <v>2020</v>
      </c>
      <c r="B4086" s="3" t="s">
        <v>918</v>
      </c>
      <c r="C4086" t="s">
        <v>863</v>
      </c>
      <c r="D4086" s="9">
        <v>18492</v>
      </c>
      <c r="E4086">
        <v>1.4800000000000001E-5</v>
      </c>
    </row>
    <row r="4087" spans="1:5">
      <c r="A4087">
        <v>2020</v>
      </c>
      <c r="B4087" s="3" t="s">
        <v>919</v>
      </c>
      <c r="C4087" t="s">
        <v>1862</v>
      </c>
      <c r="D4087" s="9">
        <v>108212</v>
      </c>
      <c r="E4087">
        <v>8.6500000000000002E-5</v>
      </c>
    </row>
    <row r="4088" spans="1:5">
      <c r="A4088">
        <v>2020</v>
      </c>
      <c r="B4088" s="3" t="s">
        <v>1239</v>
      </c>
      <c r="C4088" t="s">
        <v>1863</v>
      </c>
      <c r="D4088" s="9">
        <v>40016</v>
      </c>
      <c r="E4088">
        <v>3.1999999999999999E-5</v>
      </c>
    </row>
    <row r="4089" spans="1:5">
      <c r="A4089">
        <v>2020</v>
      </c>
      <c r="B4089" s="3" t="s">
        <v>1030</v>
      </c>
      <c r="C4089" t="s">
        <v>1864</v>
      </c>
      <c r="D4089" s="9">
        <v>47391</v>
      </c>
      <c r="E4089">
        <v>3.79E-5</v>
      </c>
    </row>
    <row r="4090" spans="1:5">
      <c r="A4090">
        <v>2020</v>
      </c>
      <c r="B4090" s="3" t="s">
        <v>921</v>
      </c>
      <c r="C4090" t="s">
        <v>1865</v>
      </c>
      <c r="D4090" s="9">
        <v>1317258</v>
      </c>
      <c r="E4090">
        <v>1.0525000000000001E-3</v>
      </c>
    </row>
    <row r="4091" spans="1:5">
      <c r="A4091">
        <v>2020</v>
      </c>
      <c r="B4091" s="3" t="s">
        <v>1240</v>
      </c>
      <c r="C4091" t="s">
        <v>1866</v>
      </c>
      <c r="D4091" s="9">
        <v>650709</v>
      </c>
      <c r="E4091">
        <v>5.1990000000000001E-4</v>
      </c>
    </row>
    <row r="4092" spans="1:5">
      <c r="A4092">
        <v>2020</v>
      </c>
      <c r="B4092" s="3" t="s">
        <v>922</v>
      </c>
      <c r="C4092" t="s">
        <v>1867</v>
      </c>
      <c r="D4092" s="9">
        <v>105460</v>
      </c>
      <c r="E4092">
        <v>8.4300000000000003E-5</v>
      </c>
    </row>
    <row r="4093" spans="1:5">
      <c r="A4093">
        <v>2020</v>
      </c>
      <c r="B4093" s="3" t="s">
        <v>923</v>
      </c>
      <c r="C4093" t="s">
        <v>868</v>
      </c>
      <c r="D4093" s="9">
        <v>91242</v>
      </c>
      <c r="E4093">
        <v>7.2899999999999997E-5</v>
      </c>
    </row>
    <row r="4094" spans="1:5">
      <c r="A4094">
        <v>2020</v>
      </c>
      <c r="B4094" s="3" t="s">
        <v>924</v>
      </c>
      <c r="C4094" t="s">
        <v>1868</v>
      </c>
      <c r="D4094" s="9">
        <v>84790</v>
      </c>
      <c r="E4094">
        <v>6.7799999999999995E-5</v>
      </c>
    </row>
    <row r="4095" spans="1:5">
      <c r="A4095">
        <v>2020</v>
      </c>
      <c r="B4095" s="3" t="s">
        <v>925</v>
      </c>
      <c r="C4095" t="s">
        <v>1869</v>
      </c>
      <c r="D4095" s="9">
        <v>4711939</v>
      </c>
      <c r="E4095">
        <v>3.7651E-3</v>
      </c>
    </row>
    <row r="4096" spans="1:5">
      <c r="A4096">
        <v>2020</v>
      </c>
      <c r="B4096" s="3" t="s">
        <v>926</v>
      </c>
      <c r="C4096" t="s">
        <v>1870</v>
      </c>
      <c r="D4096" s="9">
        <v>19926279</v>
      </c>
      <c r="E4096">
        <v>1.5921999999999999E-2</v>
      </c>
    </row>
    <row r="4097" spans="1:5">
      <c r="A4097">
        <v>2020</v>
      </c>
      <c r="B4097" s="3" t="s">
        <v>448</v>
      </c>
      <c r="C4097" t="s">
        <v>1871</v>
      </c>
      <c r="D4097" s="9">
        <v>6548200</v>
      </c>
      <c r="E4097">
        <v>5.2322999999999996E-3</v>
      </c>
    </row>
    <row r="4098" spans="1:5">
      <c r="A4098">
        <v>2020</v>
      </c>
      <c r="B4098" s="3" t="s">
        <v>927</v>
      </c>
      <c r="C4098" t="s">
        <v>1872</v>
      </c>
      <c r="D4098" s="9">
        <v>5260511</v>
      </c>
      <c r="E4098">
        <v>4.2034000000000004E-3</v>
      </c>
    </row>
    <row r="4099" spans="1:5">
      <c r="A4099">
        <v>2020</v>
      </c>
      <c r="B4099" s="3" t="s">
        <v>930</v>
      </c>
      <c r="C4099" t="s">
        <v>1873</v>
      </c>
      <c r="D4099" s="9">
        <v>48935</v>
      </c>
      <c r="E4099">
        <v>3.9100000000000002E-5</v>
      </c>
    </row>
    <row r="4100" spans="1:5">
      <c r="A4100">
        <v>2020</v>
      </c>
      <c r="B4100" s="3" t="s">
        <v>929</v>
      </c>
      <c r="C4100" t="s">
        <v>1874</v>
      </c>
      <c r="D4100" s="9">
        <v>21049944</v>
      </c>
      <c r="E4100">
        <v>1.6819899999999999E-2</v>
      </c>
    </row>
    <row r="4101" spans="1:5">
      <c r="A4101">
        <v>2020</v>
      </c>
      <c r="B4101" s="3" t="s">
        <v>928</v>
      </c>
      <c r="C4101" t="s">
        <v>1875</v>
      </c>
      <c r="D4101" s="9">
        <v>781806</v>
      </c>
      <c r="E4101">
        <v>6.2469999999999995E-4</v>
      </c>
    </row>
    <row r="4102" spans="1:5">
      <c r="A4102">
        <v>2020</v>
      </c>
      <c r="B4102" s="3" t="s">
        <v>931</v>
      </c>
      <c r="C4102" t="s">
        <v>1876</v>
      </c>
      <c r="D4102" s="9">
        <v>108896</v>
      </c>
      <c r="E4102">
        <v>8.7000000000000001E-5</v>
      </c>
    </row>
    <row r="4103" spans="1:5">
      <c r="A4103">
        <v>2020</v>
      </c>
      <c r="B4103" s="3" t="s">
        <v>932</v>
      </c>
      <c r="C4103" t="s">
        <v>1877</v>
      </c>
      <c r="D4103" s="9">
        <v>9773</v>
      </c>
      <c r="E4103">
        <v>7.7999999999999999E-6</v>
      </c>
    </row>
    <row r="4104" spans="1:5">
      <c r="A4104">
        <v>2020</v>
      </c>
      <c r="B4104" s="3" t="s">
        <v>933</v>
      </c>
      <c r="C4104" t="s">
        <v>1878</v>
      </c>
      <c r="D4104" s="9">
        <v>15420</v>
      </c>
      <c r="E4104">
        <v>1.2300000000000001E-5</v>
      </c>
    </row>
    <row r="4105" spans="1:5">
      <c r="A4105">
        <v>2020</v>
      </c>
      <c r="B4105" s="3" t="s">
        <v>992</v>
      </c>
      <c r="C4105" t="s">
        <v>1879</v>
      </c>
      <c r="D4105" s="9">
        <v>79508</v>
      </c>
      <c r="E4105">
        <v>6.3499999999999999E-5</v>
      </c>
    </row>
    <row r="4106" spans="1:5">
      <c r="A4106">
        <v>2020</v>
      </c>
      <c r="B4106" s="3" t="s">
        <v>934</v>
      </c>
      <c r="C4106" t="s">
        <v>1880</v>
      </c>
      <c r="D4106" s="9">
        <v>506517</v>
      </c>
      <c r="E4106">
        <v>4.0470000000000002E-4</v>
      </c>
    </row>
    <row r="4107" spans="1:5">
      <c r="A4107">
        <v>2020</v>
      </c>
      <c r="B4107" s="3" t="s">
        <v>990</v>
      </c>
      <c r="C4107" t="s">
        <v>935</v>
      </c>
      <c r="D4107" s="9">
        <v>7954767</v>
      </c>
      <c r="E4107">
        <v>6.3562000000000002E-3</v>
      </c>
    </row>
    <row r="4108" spans="1:5">
      <c r="A4108">
        <v>2020</v>
      </c>
      <c r="B4108" s="3" t="s">
        <v>991</v>
      </c>
      <c r="C4108" t="s">
        <v>936</v>
      </c>
      <c r="D4108" s="9">
        <v>28146675</v>
      </c>
      <c r="E4108">
        <v>2.24905E-2</v>
      </c>
    </row>
    <row r="4109" spans="1:5">
      <c r="A4109">
        <v>2020</v>
      </c>
      <c r="B4109" s="3" t="s">
        <v>993</v>
      </c>
      <c r="C4109" t="s">
        <v>1881</v>
      </c>
      <c r="D4109" s="9">
        <v>578896</v>
      </c>
      <c r="E4109">
        <v>4.6260000000000002E-4</v>
      </c>
    </row>
    <row r="4110" spans="1:5">
      <c r="A4110">
        <v>2020</v>
      </c>
      <c r="B4110" s="3" t="s">
        <v>1885</v>
      </c>
      <c r="C4110" t="s">
        <v>1882</v>
      </c>
      <c r="D4110" s="9"/>
    </row>
    <row r="4111" spans="1:5">
      <c r="A4111">
        <v>2020</v>
      </c>
      <c r="B4111" s="3" t="s">
        <v>994</v>
      </c>
      <c r="C4111" t="s">
        <v>939</v>
      </c>
      <c r="D4111" s="9">
        <v>9103</v>
      </c>
      <c r="E4111">
        <v>7.3000000000000004E-6</v>
      </c>
    </row>
    <row r="4112" spans="1:5">
      <c r="A4112">
        <v>2020</v>
      </c>
      <c r="B4112" s="3" t="s">
        <v>995</v>
      </c>
      <c r="C4112" t="s">
        <v>940</v>
      </c>
      <c r="D4112" s="9">
        <v>56338</v>
      </c>
      <c r="E4112">
        <v>4.5000000000000003E-5</v>
      </c>
    </row>
    <row r="4113" spans="1:5">
      <c r="A4113">
        <v>2020</v>
      </c>
      <c r="B4113" s="3" t="s">
        <v>996</v>
      </c>
      <c r="C4113" t="s">
        <v>941</v>
      </c>
      <c r="D4113" s="9">
        <v>66041</v>
      </c>
      <c r="E4113">
        <v>5.2800000000000003E-5</v>
      </c>
    </row>
    <row r="4114" spans="1:5">
      <c r="A4114">
        <v>2020</v>
      </c>
      <c r="B4114" s="3" t="s">
        <v>997</v>
      </c>
      <c r="C4114" t="s">
        <v>1883</v>
      </c>
      <c r="D4114" s="9">
        <v>88875</v>
      </c>
      <c r="E4114">
        <v>7.1000000000000005E-5</v>
      </c>
    </row>
    <row r="4115" spans="1:5">
      <c r="A4115">
        <v>2020</v>
      </c>
      <c r="B4115" s="3" t="s">
        <v>999</v>
      </c>
      <c r="C4115" t="s">
        <v>1884</v>
      </c>
      <c r="D4115" s="9">
        <v>474375</v>
      </c>
      <c r="E4115">
        <v>3.79E-4</v>
      </c>
    </row>
    <row r="4116" spans="1:5">
      <c r="A4116">
        <v>2020</v>
      </c>
      <c r="B4116" s="3" t="s">
        <v>1241</v>
      </c>
      <c r="C4116" t="s">
        <v>1886</v>
      </c>
      <c r="D4116" s="9">
        <v>33616</v>
      </c>
      <c r="E4116">
        <v>2.69E-5</v>
      </c>
    </row>
    <row r="4117" spans="1:5">
      <c r="A4117">
        <v>2020</v>
      </c>
      <c r="B4117" s="3" t="s">
        <v>1001</v>
      </c>
      <c r="C4117" t="s">
        <v>2383</v>
      </c>
      <c r="D4117" s="9">
        <v>39587</v>
      </c>
      <c r="E4117">
        <v>3.1600000000000002E-5</v>
      </c>
    </row>
    <row r="4118" spans="1:5">
      <c r="A4118">
        <v>2020</v>
      </c>
      <c r="B4118" s="3" t="s">
        <v>1000</v>
      </c>
      <c r="C4118" t="s">
        <v>2417</v>
      </c>
      <c r="D4118" s="9">
        <v>23948</v>
      </c>
      <c r="E4118">
        <v>1.91E-5</v>
      </c>
    </row>
    <row r="4119" spans="1:5">
      <c r="A4119">
        <v>2020</v>
      </c>
      <c r="B4119" s="3" t="s">
        <v>1002</v>
      </c>
      <c r="C4119" t="s">
        <v>947</v>
      </c>
      <c r="D4119" s="9">
        <v>8114767</v>
      </c>
      <c r="E4119">
        <v>6.4840999999999996E-3</v>
      </c>
    </row>
    <row r="4120" spans="1:5">
      <c r="A4120">
        <v>2020</v>
      </c>
      <c r="B4120" s="3" t="s">
        <v>1003</v>
      </c>
      <c r="C4120" t="s">
        <v>1478</v>
      </c>
      <c r="D4120" s="9">
        <v>30305</v>
      </c>
      <c r="E4120">
        <v>2.4199999999999999E-5</v>
      </c>
    </row>
    <row r="4121" spans="1:5">
      <c r="A4121">
        <v>2020</v>
      </c>
      <c r="B4121" s="3" t="s">
        <v>1004</v>
      </c>
      <c r="C4121" t="s">
        <v>949</v>
      </c>
      <c r="D4121" s="9">
        <v>365166</v>
      </c>
      <c r="E4121">
        <v>2.9179999999999999E-4</v>
      </c>
    </row>
    <row r="4122" spans="1:5">
      <c r="A4122">
        <v>2020</v>
      </c>
      <c r="B4122" s="3" t="s">
        <v>1005</v>
      </c>
      <c r="C4122" t="s">
        <v>1888</v>
      </c>
      <c r="D4122" s="9">
        <v>134325</v>
      </c>
      <c r="E4122">
        <v>1.0730000000000001E-4</v>
      </c>
    </row>
    <row r="4123" spans="1:5">
      <c r="A4123">
        <v>2020</v>
      </c>
      <c r="B4123" s="3" t="s">
        <v>1006</v>
      </c>
      <c r="C4123" t="s">
        <v>1889</v>
      </c>
      <c r="D4123" s="9">
        <v>206100</v>
      </c>
      <c r="E4123">
        <v>1.6469999999999999E-4</v>
      </c>
    </row>
    <row r="4124" spans="1:5">
      <c r="A4124">
        <v>2020</v>
      </c>
      <c r="B4124" s="3" t="s">
        <v>1007</v>
      </c>
      <c r="C4124" t="s">
        <v>1890</v>
      </c>
      <c r="D4124" s="9">
        <v>16666</v>
      </c>
      <c r="E4124">
        <v>1.33E-5</v>
      </c>
    </row>
    <row r="4125" spans="1:5">
      <c r="A4125">
        <v>2020</v>
      </c>
      <c r="B4125" s="3" t="s">
        <v>1008</v>
      </c>
      <c r="C4125" t="s">
        <v>2286</v>
      </c>
      <c r="D4125" s="9">
        <v>78364</v>
      </c>
      <c r="E4125">
        <v>6.2600000000000004E-5</v>
      </c>
    </row>
    <row r="4126" spans="1:5">
      <c r="A4126">
        <v>2020</v>
      </c>
      <c r="B4126" s="3" t="s">
        <v>1009</v>
      </c>
      <c r="C4126" t="s">
        <v>1892</v>
      </c>
      <c r="D4126" s="9">
        <v>36680</v>
      </c>
      <c r="E4126">
        <v>2.9300000000000001E-5</v>
      </c>
    </row>
    <row r="4127" spans="1:5">
      <c r="A4127">
        <v>2020</v>
      </c>
      <c r="B4127" s="3" t="s">
        <v>1010</v>
      </c>
      <c r="C4127" t="s">
        <v>1893</v>
      </c>
      <c r="D4127" s="9">
        <v>122279</v>
      </c>
      <c r="E4127">
        <v>9.7700000000000003E-5</v>
      </c>
    </row>
    <row r="4128" spans="1:5">
      <c r="A4128">
        <v>2020</v>
      </c>
      <c r="B4128" s="3" t="s">
        <v>1242</v>
      </c>
      <c r="C4128" t="s">
        <v>1894</v>
      </c>
      <c r="D4128" s="9">
        <v>212457</v>
      </c>
      <c r="E4128">
        <v>1.6980000000000001E-4</v>
      </c>
    </row>
    <row r="4129" spans="1:5">
      <c r="A4129">
        <v>2020</v>
      </c>
      <c r="B4129" s="3" t="s">
        <v>1011</v>
      </c>
      <c r="C4129" t="s">
        <v>2288</v>
      </c>
      <c r="D4129" s="9">
        <v>13735</v>
      </c>
      <c r="E4129">
        <v>1.1E-5</v>
      </c>
    </row>
    <row r="4130" spans="1:5">
      <c r="A4130">
        <v>2020</v>
      </c>
      <c r="B4130" s="3" t="s">
        <v>1012</v>
      </c>
      <c r="C4130" t="s">
        <v>957</v>
      </c>
      <c r="D4130" s="9">
        <v>85032</v>
      </c>
      <c r="E4130">
        <v>6.7899999999999997E-5</v>
      </c>
    </row>
    <row r="4131" spans="1:5">
      <c r="A4131">
        <v>2020</v>
      </c>
      <c r="B4131" s="3" t="s">
        <v>1013</v>
      </c>
      <c r="C4131" t="s">
        <v>2408</v>
      </c>
      <c r="D4131" s="9">
        <v>1130290</v>
      </c>
      <c r="E4131">
        <v>9.0320000000000005E-4</v>
      </c>
    </row>
    <row r="4132" spans="1:5">
      <c r="A4132">
        <v>2020</v>
      </c>
      <c r="B4132" s="3" t="s">
        <v>1016</v>
      </c>
      <c r="C4132" t="s">
        <v>1897</v>
      </c>
      <c r="D4132" s="9">
        <v>372400</v>
      </c>
      <c r="E4132">
        <v>2.9760000000000002E-4</v>
      </c>
    </row>
    <row r="4133" spans="1:5">
      <c r="A4133">
        <v>2020</v>
      </c>
      <c r="B4133" s="3" t="s">
        <v>1017</v>
      </c>
      <c r="C4133" t="s">
        <v>1898</v>
      </c>
      <c r="D4133" s="9">
        <v>74686</v>
      </c>
      <c r="E4133">
        <v>5.9700000000000001E-5</v>
      </c>
    </row>
    <row r="4134" spans="1:5">
      <c r="A4134">
        <v>2020</v>
      </c>
      <c r="B4134" s="3" t="s">
        <v>1018</v>
      </c>
      <c r="C4134" t="s">
        <v>1899</v>
      </c>
      <c r="D4134" s="9">
        <v>36946</v>
      </c>
      <c r="E4134">
        <v>2.9499999999999999E-5</v>
      </c>
    </row>
    <row r="4135" spans="1:5">
      <c r="A4135">
        <v>2020</v>
      </c>
      <c r="B4135" s="3" t="s">
        <v>1020</v>
      </c>
      <c r="C4135" t="s">
        <v>1900</v>
      </c>
      <c r="D4135" s="9">
        <v>2014328</v>
      </c>
      <c r="E4135">
        <v>1.6095E-3</v>
      </c>
    </row>
    <row r="4136" spans="1:5">
      <c r="A4136">
        <v>2020</v>
      </c>
      <c r="B4136" s="3" t="s">
        <v>1019</v>
      </c>
      <c r="C4136" t="s">
        <v>1901</v>
      </c>
      <c r="D4136" s="9">
        <v>61428</v>
      </c>
      <c r="E4136">
        <v>4.9100000000000001E-5</v>
      </c>
    </row>
    <row r="4137" spans="1:5">
      <c r="A4137">
        <v>2020</v>
      </c>
      <c r="B4137" s="3" t="s">
        <v>1021</v>
      </c>
      <c r="C4137" t="s">
        <v>1902</v>
      </c>
      <c r="D4137" s="9">
        <v>41119</v>
      </c>
      <c r="E4137">
        <v>3.29E-5</v>
      </c>
    </row>
    <row r="4138" spans="1:5">
      <c r="A4138">
        <v>2020</v>
      </c>
      <c r="B4138" s="3" t="s">
        <v>449</v>
      </c>
      <c r="C4138" t="s">
        <v>1903</v>
      </c>
      <c r="D4138" s="9">
        <v>2416968</v>
      </c>
      <c r="E4138">
        <v>1.9312999999999999E-3</v>
      </c>
    </row>
    <row r="4139" spans="1:5">
      <c r="A4139">
        <v>2020</v>
      </c>
      <c r="B4139" s="3" t="s">
        <v>1022</v>
      </c>
      <c r="C4139" t="s">
        <v>1904</v>
      </c>
      <c r="D4139" s="9">
        <v>171777</v>
      </c>
      <c r="E4139">
        <v>1.373E-4</v>
      </c>
    </row>
    <row r="4140" spans="1:5">
      <c r="A4140">
        <v>2020</v>
      </c>
      <c r="B4140" s="3" t="s">
        <v>1023</v>
      </c>
      <c r="C4140" t="s">
        <v>1905</v>
      </c>
      <c r="D4140" s="9">
        <v>618410</v>
      </c>
      <c r="E4140">
        <v>4.9410000000000003E-4</v>
      </c>
    </row>
    <row r="4141" spans="1:5">
      <c r="A4141">
        <v>2020</v>
      </c>
      <c r="B4141" s="3" t="s">
        <v>1024</v>
      </c>
      <c r="C4141" t="s">
        <v>969</v>
      </c>
      <c r="D4141" s="9">
        <v>76507</v>
      </c>
      <c r="E4141">
        <v>6.1099999999999994E-5</v>
      </c>
    </row>
    <row r="4142" spans="1:5">
      <c r="A4142">
        <v>2020</v>
      </c>
      <c r="B4142" s="3" t="s">
        <v>1025</v>
      </c>
      <c r="C4142" t="s">
        <v>1906</v>
      </c>
      <c r="D4142" s="9">
        <v>118303</v>
      </c>
      <c r="E4142">
        <v>9.4500000000000007E-5</v>
      </c>
    </row>
    <row r="4143" spans="1:5">
      <c r="A4143">
        <v>2020</v>
      </c>
      <c r="B4143" s="3" t="s">
        <v>1026</v>
      </c>
      <c r="C4143" t="s">
        <v>1907</v>
      </c>
      <c r="D4143" s="9">
        <v>5319551</v>
      </c>
      <c r="E4143">
        <v>4.2506000000000002E-3</v>
      </c>
    </row>
    <row r="4144" spans="1:5">
      <c r="A4144">
        <v>2020</v>
      </c>
      <c r="B4144" s="3" t="s">
        <v>1243</v>
      </c>
      <c r="C4144" t="s">
        <v>1908</v>
      </c>
      <c r="D4144" s="9">
        <v>2027203</v>
      </c>
      <c r="E4144">
        <v>1.6198E-3</v>
      </c>
    </row>
    <row r="4145" spans="1:5">
      <c r="A4145">
        <v>2020</v>
      </c>
      <c r="B4145" s="3" t="s">
        <v>1027</v>
      </c>
      <c r="C4145" t="s">
        <v>1909</v>
      </c>
      <c r="D4145" s="9">
        <v>19314</v>
      </c>
      <c r="E4145">
        <v>1.5400000000000002E-5</v>
      </c>
    </row>
    <row r="4146" spans="1:5">
      <c r="A4146">
        <v>2020</v>
      </c>
      <c r="B4146" s="3" t="s">
        <v>1028</v>
      </c>
      <c r="C4146" t="s">
        <v>973</v>
      </c>
      <c r="D4146" s="9">
        <v>11963</v>
      </c>
      <c r="E4146">
        <v>9.5999999999999996E-6</v>
      </c>
    </row>
    <row r="4147" spans="1:5">
      <c r="A4147">
        <v>2020</v>
      </c>
      <c r="B4147" s="3" t="s">
        <v>1029</v>
      </c>
      <c r="C4147" t="s">
        <v>2409</v>
      </c>
      <c r="D4147" s="9">
        <v>271106</v>
      </c>
      <c r="E4147">
        <v>2.1660000000000001E-4</v>
      </c>
    </row>
    <row r="4148" spans="1:5">
      <c r="A4148">
        <v>2020</v>
      </c>
      <c r="B4148" s="3" t="s">
        <v>1031</v>
      </c>
      <c r="C4148" t="s">
        <v>1911</v>
      </c>
      <c r="D4148" s="9">
        <v>479885</v>
      </c>
      <c r="E4148">
        <v>3.834E-4</v>
      </c>
    </row>
    <row r="4149" spans="1:5">
      <c r="A4149">
        <v>2020</v>
      </c>
      <c r="B4149" s="3" t="s">
        <v>1032</v>
      </c>
      <c r="C4149" t="s">
        <v>1912</v>
      </c>
      <c r="D4149" s="9">
        <v>220582</v>
      </c>
      <c r="E4149">
        <v>1.763E-4</v>
      </c>
    </row>
    <row r="4150" spans="1:5">
      <c r="A4150">
        <v>2020</v>
      </c>
      <c r="B4150" s="3" t="s">
        <v>920</v>
      </c>
      <c r="C4150" t="s">
        <v>1914</v>
      </c>
      <c r="D4150" s="9"/>
    </row>
    <row r="4151" spans="1:5">
      <c r="A4151">
        <v>2020</v>
      </c>
      <c r="B4151" s="3" t="s">
        <v>1037</v>
      </c>
      <c r="C4151" t="s">
        <v>1915</v>
      </c>
      <c r="D4151" s="9">
        <v>41264</v>
      </c>
      <c r="E4151">
        <v>3.3000000000000003E-5</v>
      </c>
    </row>
    <row r="4152" spans="1:5">
      <c r="A4152">
        <v>2020</v>
      </c>
      <c r="B4152" s="3" t="s">
        <v>1038</v>
      </c>
      <c r="C4152" t="s">
        <v>1916</v>
      </c>
      <c r="D4152" s="9">
        <v>596974</v>
      </c>
      <c r="E4152">
        <v>4.7699999999999999E-4</v>
      </c>
    </row>
    <row r="4153" spans="1:5">
      <c r="A4153">
        <v>2020</v>
      </c>
      <c r="B4153" s="3" t="s">
        <v>1039</v>
      </c>
      <c r="C4153" t="s">
        <v>1917</v>
      </c>
      <c r="D4153" s="9">
        <v>6267401</v>
      </c>
      <c r="E4153">
        <v>5.0079E-3</v>
      </c>
    </row>
    <row r="4154" spans="1:5">
      <c r="A4154">
        <v>2020</v>
      </c>
      <c r="B4154" s="3" t="s">
        <v>1040</v>
      </c>
      <c r="C4154" t="s">
        <v>985</v>
      </c>
      <c r="D4154" s="9">
        <v>188400</v>
      </c>
      <c r="E4154">
        <v>1.505E-4</v>
      </c>
    </row>
    <row r="4155" spans="1:5">
      <c r="A4155">
        <v>2020</v>
      </c>
      <c r="B4155" s="3" t="s">
        <v>998</v>
      </c>
      <c r="C4155" t="s">
        <v>1918</v>
      </c>
      <c r="D4155" s="9">
        <v>58951</v>
      </c>
      <c r="E4155">
        <v>4.71E-5</v>
      </c>
    </row>
    <row r="4156" spans="1:5">
      <c r="A4156">
        <v>2020</v>
      </c>
      <c r="B4156" s="3" t="s">
        <v>1041</v>
      </c>
      <c r="C4156" t="s">
        <v>1919</v>
      </c>
      <c r="D4156" s="9">
        <v>664614</v>
      </c>
      <c r="E4156">
        <v>5.3109999999999995E-4</v>
      </c>
    </row>
    <row r="4157" spans="1:5">
      <c r="A4157">
        <v>2020</v>
      </c>
      <c r="B4157" s="3" t="s">
        <v>1042</v>
      </c>
      <c r="C4157" t="s">
        <v>2296</v>
      </c>
      <c r="D4157" s="9">
        <v>11450</v>
      </c>
      <c r="E4157">
        <v>9.0999999999999993E-6</v>
      </c>
    </row>
    <row r="4158" spans="1:5">
      <c r="A4158">
        <v>2020</v>
      </c>
      <c r="B4158" s="3" t="s">
        <v>1043</v>
      </c>
      <c r="C4158" t="s">
        <v>1921</v>
      </c>
      <c r="D4158" s="9">
        <v>668747</v>
      </c>
      <c r="E4158">
        <v>5.3439999999999998E-4</v>
      </c>
    </row>
    <row r="4159" spans="1:5">
      <c r="A4159">
        <v>2020</v>
      </c>
      <c r="B4159" s="3" t="s">
        <v>1044</v>
      </c>
      <c r="C4159" t="s">
        <v>1922</v>
      </c>
      <c r="D4159" s="9">
        <v>1200436</v>
      </c>
      <c r="E4159">
        <v>9.592E-4</v>
      </c>
    </row>
    <row r="4160" spans="1:5">
      <c r="A4160">
        <v>2020</v>
      </c>
      <c r="B4160" s="3" t="s">
        <v>1100</v>
      </c>
      <c r="C4160" t="s">
        <v>1923</v>
      </c>
      <c r="D4160" s="9">
        <v>1645368</v>
      </c>
      <c r="E4160">
        <v>1.3147E-3</v>
      </c>
    </row>
    <row r="4161" spans="1:5">
      <c r="A4161">
        <v>2020</v>
      </c>
      <c r="B4161" s="3" t="s">
        <v>450</v>
      </c>
      <c r="C4161" t="s">
        <v>1924</v>
      </c>
      <c r="D4161" s="9">
        <v>744503</v>
      </c>
      <c r="E4161">
        <v>5.9489999999999999E-4</v>
      </c>
    </row>
    <row r="4162" spans="1:5">
      <c r="A4162">
        <v>2020</v>
      </c>
      <c r="B4162" s="3" t="s">
        <v>1101</v>
      </c>
      <c r="C4162" t="s">
        <v>1925</v>
      </c>
      <c r="D4162" s="9">
        <v>3905480</v>
      </c>
      <c r="E4162">
        <v>3.1207000000000001E-3</v>
      </c>
    </row>
    <row r="4163" spans="1:5">
      <c r="A4163">
        <v>2020</v>
      </c>
      <c r="B4163" s="3" t="s">
        <v>1244</v>
      </c>
      <c r="C4163" t="s">
        <v>1926</v>
      </c>
      <c r="D4163" s="9">
        <v>745850</v>
      </c>
      <c r="E4163">
        <v>5.9599999999999996E-4</v>
      </c>
    </row>
    <row r="4164" spans="1:5">
      <c r="A4164">
        <v>2020</v>
      </c>
      <c r="B4164" s="3" t="s">
        <v>1102</v>
      </c>
      <c r="C4164" t="s">
        <v>1927</v>
      </c>
      <c r="D4164" s="9">
        <v>77509</v>
      </c>
      <c r="E4164">
        <v>6.19E-5</v>
      </c>
    </row>
    <row r="4165" spans="1:5">
      <c r="A4165">
        <v>2020</v>
      </c>
      <c r="B4165" s="3" t="s">
        <v>1134</v>
      </c>
      <c r="C4165" t="s">
        <v>1928</v>
      </c>
      <c r="D4165" s="9">
        <v>296034</v>
      </c>
      <c r="E4165">
        <v>2.365E-4</v>
      </c>
    </row>
    <row r="4166" spans="1:5">
      <c r="A4166">
        <v>2020</v>
      </c>
      <c r="B4166" s="3" t="s">
        <v>1103</v>
      </c>
      <c r="C4166" t="s">
        <v>1929</v>
      </c>
      <c r="D4166" s="9">
        <v>145481</v>
      </c>
      <c r="E4166">
        <v>1.1620000000000001E-4</v>
      </c>
    </row>
    <row r="4167" spans="1:5">
      <c r="A4167">
        <v>2020</v>
      </c>
      <c r="B4167" s="3" t="s">
        <v>1104</v>
      </c>
      <c r="C4167" t="s">
        <v>1930</v>
      </c>
      <c r="D4167" s="9">
        <v>1329044</v>
      </c>
      <c r="E4167">
        <v>1.062E-3</v>
      </c>
    </row>
    <row r="4168" spans="1:5">
      <c r="A4168">
        <v>2020</v>
      </c>
      <c r="B4168" s="3" t="s">
        <v>1105</v>
      </c>
      <c r="C4168" t="s">
        <v>1931</v>
      </c>
      <c r="D4168" s="9">
        <v>18538</v>
      </c>
      <c r="E4168">
        <v>1.4800000000000001E-5</v>
      </c>
    </row>
    <row r="4169" spans="1:5">
      <c r="A4169">
        <v>2020</v>
      </c>
      <c r="B4169" s="3" t="s">
        <v>451</v>
      </c>
      <c r="C4169" t="s">
        <v>1932</v>
      </c>
      <c r="D4169" s="9">
        <v>841460</v>
      </c>
      <c r="E4169">
        <v>6.7239999999999997E-4</v>
      </c>
    </row>
    <row r="4170" spans="1:5">
      <c r="A4170">
        <v>2020</v>
      </c>
      <c r="B4170" s="3" t="s">
        <v>1106</v>
      </c>
      <c r="C4170" t="s">
        <v>1933</v>
      </c>
      <c r="D4170" s="9">
        <v>130063</v>
      </c>
      <c r="E4170">
        <v>1.039E-4</v>
      </c>
    </row>
    <row r="4171" spans="1:5">
      <c r="A4171">
        <v>2020</v>
      </c>
      <c r="B4171" s="3" t="s">
        <v>1107</v>
      </c>
      <c r="C4171" t="s">
        <v>1934</v>
      </c>
      <c r="D4171" s="9">
        <v>585722</v>
      </c>
      <c r="E4171">
        <v>4.6799999999999999E-4</v>
      </c>
    </row>
    <row r="4172" spans="1:5">
      <c r="A4172">
        <v>2020</v>
      </c>
      <c r="B4172" s="3" t="s">
        <v>1108</v>
      </c>
      <c r="C4172" t="s">
        <v>1053</v>
      </c>
      <c r="D4172" s="9">
        <v>1138836</v>
      </c>
      <c r="E4172">
        <v>9.1E-4</v>
      </c>
    </row>
    <row r="4173" spans="1:5">
      <c r="A4173">
        <v>2020</v>
      </c>
      <c r="B4173" s="3" t="s">
        <v>2390</v>
      </c>
      <c r="C4173" t="s">
        <v>2416</v>
      </c>
      <c r="D4173" s="9">
        <v>33493</v>
      </c>
      <c r="E4173">
        <v>2.6800000000000001E-5</v>
      </c>
    </row>
    <row r="4174" spans="1:5">
      <c r="A4174">
        <v>2020</v>
      </c>
      <c r="B4174" s="3" t="s">
        <v>1110</v>
      </c>
      <c r="C4174" t="s">
        <v>2410</v>
      </c>
      <c r="D4174" s="9">
        <v>1769373</v>
      </c>
      <c r="E4174">
        <v>1.4138E-3</v>
      </c>
    </row>
    <row r="4175" spans="1:5">
      <c r="A4175">
        <v>2020</v>
      </c>
      <c r="B4175" s="3" t="s">
        <v>1109</v>
      </c>
      <c r="C4175" t="s">
        <v>1936</v>
      </c>
      <c r="D4175" s="9">
        <v>270786</v>
      </c>
      <c r="E4175">
        <v>2.164E-4</v>
      </c>
    </row>
    <row r="4176" spans="1:5">
      <c r="A4176">
        <v>2020</v>
      </c>
      <c r="B4176" s="3" t="s">
        <v>1111</v>
      </c>
      <c r="C4176" t="s">
        <v>1937</v>
      </c>
      <c r="D4176" s="9">
        <v>27316</v>
      </c>
      <c r="E4176">
        <v>2.1800000000000001E-5</v>
      </c>
    </row>
    <row r="4177" spans="1:5">
      <c r="A4177">
        <v>2020</v>
      </c>
      <c r="B4177" s="3" t="s">
        <v>1112</v>
      </c>
      <c r="C4177" t="s">
        <v>1938</v>
      </c>
      <c r="D4177" s="9">
        <v>14746080</v>
      </c>
      <c r="E4177">
        <v>1.17828E-2</v>
      </c>
    </row>
    <row r="4178" spans="1:5">
      <c r="A4178">
        <v>2020</v>
      </c>
      <c r="B4178" s="3" t="s">
        <v>452</v>
      </c>
      <c r="C4178" t="s">
        <v>1939</v>
      </c>
      <c r="D4178" s="9">
        <v>13142591</v>
      </c>
      <c r="E4178">
        <v>1.05015E-2</v>
      </c>
    </row>
    <row r="4179" spans="1:5">
      <c r="A4179">
        <v>2020</v>
      </c>
      <c r="B4179" s="3" t="s">
        <v>1113</v>
      </c>
      <c r="C4179" t="s">
        <v>1058</v>
      </c>
      <c r="D4179" s="9">
        <v>74416</v>
      </c>
      <c r="E4179">
        <v>5.9500000000000003E-5</v>
      </c>
    </row>
    <row r="4180" spans="1:5">
      <c r="A4180">
        <v>2020</v>
      </c>
      <c r="B4180" s="3" t="s">
        <v>1481</v>
      </c>
      <c r="C4180" t="s">
        <v>1479</v>
      </c>
      <c r="D4180" s="9">
        <v>111304</v>
      </c>
      <c r="E4180">
        <v>8.8900000000000006E-5</v>
      </c>
    </row>
    <row r="4181" spans="1:5">
      <c r="A4181">
        <v>2020</v>
      </c>
      <c r="B4181" s="3" t="s">
        <v>453</v>
      </c>
      <c r="C4181" t="s">
        <v>1940</v>
      </c>
      <c r="D4181" s="9">
        <v>772330</v>
      </c>
      <c r="E4181">
        <v>6.1709999999999998E-4</v>
      </c>
    </row>
    <row r="4182" spans="1:5">
      <c r="A4182">
        <v>2020</v>
      </c>
      <c r="B4182" s="3" t="s">
        <v>1115</v>
      </c>
      <c r="C4182" t="s">
        <v>1941</v>
      </c>
      <c r="D4182" s="9">
        <v>47811</v>
      </c>
      <c r="E4182">
        <v>3.82E-5</v>
      </c>
    </row>
    <row r="4183" spans="1:5">
      <c r="A4183">
        <v>2020</v>
      </c>
      <c r="B4183" s="3" t="s">
        <v>1114</v>
      </c>
      <c r="C4183" t="s">
        <v>1942</v>
      </c>
      <c r="D4183" s="9">
        <v>503610</v>
      </c>
      <c r="E4183">
        <v>4.0240000000000002E-4</v>
      </c>
    </row>
    <row r="4184" spans="1:5">
      <c r="A4184">
        <v>2020</v>
      </c>
      <c r="B4184" s="3" t="s">
        <v>1116</v>
      </c>
      <c r="C4184" t="s">
        <v>2388</v>
      </c>
      <c r="D4184" s="9">
        <v>115427</v>
      </c>
      <c r="E4184">
        <v>9.2200000000000005E-5</v>
      </c>
    </row>
    <row r="4185" spans="1:5">
      <c r="A4185">
        <v>2020</v>
      </c>
      <c r="B4185" s="3" t="s">
        <v>1117</v>
      </c>
      <c r="C4185" t="s">
        <v>1944</v>
      </c>
      <c r="D4185" s="9">
        <v>146233</v>
      </c>
      <c r="E4185">
        <v>1.1680000000000001E-4</v>
      </c>
    </row>
    <row r="4186" spans="1:5">
      <c r="A4186">
        <v>2020</v>
      </c>
      <c r="B4186" s="3" t="s">
        <v>1118</v>
      </c>
      <c r="C4186" t="s">
        <v>2411</v>
      </c>
      <c r="D4186" s="9">
        <v>56662</v>
      </c>
      <c r="E4186">
        <v>4.5300000000000003E-5</v>
      </c>
    </row>
    <row r="4187" spans="1:5">
      <c r="A4187">
        <v>2020</v>
      </c>
      <c r="B4187" s="3" t="s">
        <v>1119</v>
      </c>
      <c r="C4187" t="s">
        <v>2412</v>
      </c>
      <c r="D4187" s="9">
        <v>1364648</v>
      </c>
      <c r="E4187">
        <v>1.0904E-3</v>
      </c>
    </row>
    <row r="4188" spans="1:5">
      <c r="A4188">
        <v>2020</v>
      </c>
      <c r="B4188" s="3" t="s">
        <v>454</v>
      </c>
      <c r="C4188" t="s">
        <v>1947</v>
      </c>
      <c r="D4188" s="9">
        <v>650851</v>
      </c>
      <c r="E4188">
        <v>5.2010000000000001E-4</v>
      </c>
    </row>
    <row r="4189" spans="1:5">
      <c r="A4189">
        <v>2020</v>
      </c>
      <c r="B4189" s="3" t="s">
        <v>1121</v>
      </c>
      <c r="C4189" t="s">
        <v>1949</v>
      </c>
      <c r="D4189" s="9">
        <v>2881562</v>
      </c>
      <c r="E4189">
        <v>2.3024999999999999E-3</v>
      </c>
    </row>
    <row r="4190" spans="1:5">
      <c r="A4190">
        <v>2020</v>
      </c>
      <c r="B4190" s="3" t="s">
        <v>455</v>
      </c>
      <c r="C4190" t="s">
        <v>1950</v>
      </c>
      <c r="D4190" s="9">
        <v>1429980</v>
      </c>
      <c r="E4190">
        <v>1.1425999999999999E-3</v>
      </c>
    </row>
    <row r="4191" spans="1:5">
      <c r="A4191">
        <v>2020</v>
      </c>
      <c r="B4191" s="3" t="s">
        <v>1122</v>
      </c>
      <c r="C4191" t="s">
        <v>1951</v>
      </c>
      <c r="D4191" s="9">
        <v>29647</v>
      </c>
      <c r="E4191">
        <v>2.37E-5</v>
      </c>
    </row>
    <row r="4192" spans="1:5">
      <c r="A4192">
        <v>2020</v>
      </c>
      <c r="B4192" s="3" t="s">
        <v>1123</v>
      </c>
      <c r="C4192" t="s">
        <v>1952</v>
      </c>
      <c r="D4192" s="9">
        <v>78727</v>
      </c>
      <c r="E4192">
        <v>6.2899999999999997E-5</v>
      </c>
    </row>
    <row r="4193" spans="1:5">
      <c r="A4193">
        <v>2020</v>
      </c>
      <c r="B4193" s="3" t="s">
        <v>1124</v>
      </c>
      <c r="C4193" t="s">
        <v>1953</v>
      </c>
      <c r="D4193" s="9">
        <v>127490</v>
      </c>
      <c r="E4193">
        <v>1.019E-4</v>
      </c>
    </row>
    <row r="4194" spans="1:5">
      <c r="A4194">
        <v>2020</v>
      </c>
      <c r="B4194" s="3" t="s">
        <v>1125</v>
      </c>
      <c r="C4194" t="s">
        <v>1954</v>
      </c>
      <c r="D4194" s="9">
        <v>1171436</v>
      </c>
      <c r="E4194">
        <v>9.3599999999999998E-4</v>
      </c>
    </row>
    <row r="4195" spans="1:5">
      <c r="A4195">
        <v>2020</v>
      </c>
      <c r="B4195" s="3" t="s">
        <v>1245</v>
      </c>
      <c r="C4195" t="s">
        <v>1955</v>
      </c>
      <c r="D4195" s="9">
        <v>169408</v>
      </c>
      <c r="E4195">
        <v>1.3540000000000001E-4</v>
      </c>
    </row>
    <row r="4196" spans="1:5">
      <c r="A4196">
        <v>2020</v>
      </c>
      <c r="B4196" s="3" t="s">
        <v>1126</v>
      </c>
      <c r="C4196" t="s">
        <v>1956</v>
      </c>
      <c r="D4196" s="9">
        <v>107206</v>
      </c>
      <c r="E4196">
        <v>8.5699999999999996E-5</v>
      </c>
    </row>
    <row r="4197" spans="1:5">
      <c r="A4197">
        <v>2020</v>
      </c>
      <c r="B4197" s="3" t="s">
        <v>1127</v>
      </c>
      <c r="C4197" t="s">
        <v>2413</v>
      </c>
      <c r="D4197" s="9">
        <v>1615432</v>
      </c>
      <c r="E4197">
        <v>1.2907999999999999E-3</v>
      </c>
    </row>
    <row r="4198" spans="1:5">
      <c r="A4198">
        <v>2020</v>
      </c>
      <c r="B4198" s="3" t="s">
        <v>456</v>
      </c>
      <c r="C4198" t="s">
        <v>1958</v>
      </c>
      <c r="D4198" s="9">
        <v>355968</v>
      </c>
      <c r="E4198">
        <v>2.8439999999999997E-4</v>
      </c>
    </row>
    <row r="4199" spans="1:5">
      <c r="A4199">
        <v>2020</v>
      </c>
      <c r="B4199" s="3" t="s">
        <v>1128</v>
      </c>
      <c r="C4199" t="s">
        <v>1959</v>
      </c>
      <c r="D4199" s="9">
        <v>123481</v>
      </c>
      <c r="E4199">
        <v>9.87E-5</v>
      </c>
    </row>
    <row r="4200" spans="1:5">
      <c r="A4200">
        <v>2020</v>
      </c>
      <c r="B4200" s="3" t="s">
        <v>1129</v>
      </c>
      <c r="C4200" t="s">
        <v>1074</v>
      </c>
      <c r="D4200" s="9">
        <v>14971</v>
      </c>
      <c r="E4200">
        <v>1.2E-5</v>
      </c>
    </row>
    <row r="4201" spans="1:5">
      <c r="A4201">
        <v>2020</v>
      </c>
      <c r="B4201" s="3" t="s">
        <v>1130</v>
      </c>
      <c r="C4201" t="s">
        <v>1075</v>
      </c>
      <c r="D4201" s="9"/>
    </row>
    <row r="4202" spans="1:5">
      <c r="A4202">
        <v>2020</v>
      </c>
      <c r="B4202" s="3" t="s">
        <v>1131</v>
      </c>
      <c r="C4202" t="s">
        <v>1960</v>
      </c>
      <c r="D4202" s="9">
        <v>25560</v>
      </c>
      <c r="E4202">
        <v>2.0400000000000001E-5</v>
      </c>
    </row>
    <row r="4203" spans="1:5">
      <c r="A4203">
        <v>2020</v>
      </c>
      <c r="B4203" s="3" t="s">
        <v>457</v>
      </c>
      <c r="C4203" t="s">
        <v>1961</v>
      </c>
      <c r="D4203" s="9">
        <v>124337</v>
      </c>
      <c r="E4203">
        <v>9.9400000000000004E-5</v>
      </c>
    </row>
    <row r="4204" spans="1:5">
      <c r="A4204">
        <v>2020</v>
      </c>
      <c r="B4204" s="3" t="s">
        <v>1132</v>
      </c>
      <c r="C4204" t="s">
        <v>2389</v>
      </c>
      <c r="D4204" s="9">
        <v>75285</v>
      </c>
      <c r="E4204">
        <v>6.02E-5</v>
      </c>
    </row>
    <row r="4205" spans="1:5">
      <c r="A4205">
        <v>2020</v>
      </c>
      <c r="B4205" s="3" t="s">
        <v>1133</v>
      </c>
      <c r="C4205" t="s">
        <v>1962</v>
      </c>
      <c r="D4205" s="9">
        <v>82649</v>
      </c>
      <c r="E4205">
        <v>6.6000000000000005E-5</v>
      </c>
    </row>
    <row r="4206" spans="1:5">
      <c r="A4206">
        <v>2020</v>
      </c>
      <c r="B4206" s="3" t="s">
        <v>1994</v>
      </c>
      <c r="C4206" t="s">
        <v>1963</v>
      </c>
      <c r="D4206" s="9">
        <v>64609</v>
      </c>
      <c r="E4206">
        <v>5.1600000000000001E-5</v>
      </c>
    </row>
    <row r="4207" spans="1:5">
      <c r="A4207">
        <v>2020</v>
      </c>
      <c r="B4207" s="3" t="s">
        <v>1246</v>
      </c>
      <c r="C4207" t="s">
        <v>1964</v>
      </c>
      <c r="D4207" s="9">
        <v>120423</v>
      </c>
      <c r="E4207">
        <v>9.6199999999999994E-5</v>
      </c>
    </row>
    <row r="4208" spans="1:5">
      <c r="A4208">
        <v>2020</v>
      </c>
      <c r="B4208" s="3" t="s">
        <v>1135</v>
      </c>
      <c r="C4208" t="s">
        <v>1965</v>
      </c>
      <c r="D4208" s="9">
        <v>276244</v>
      </c>
      <c r="E4208">
        <v>2.207E-4</v>
      </c>
    </row>
    <row r="4209" spans="1:5">
      <c r="A4209">
        <v>2020</v>
      </c>
      <c r="B4209" s="3" t="s">
        <v>1136</v>
      </c>
      <c r="C4209" t="s">
        <v>1966</v>
      </c>
      <c r="D4209" s="9">
        <v>551682</v>
      </c>
      <c r="E4209">
        <v>4.4079999999999998E-4</v>
      </c>
    </row>
    <row r="4210" spans="1:5">
      <c r="A4210">
        <v>2020</v>
      </c>
      <c r="B4210" s="3" t="s">
        <v>458</v>
      </c>
      <c r="C4210" t="s">
        <v>1967</v>
      </c>
      <c r="D4210" s="9">
        <v>135535</v>
      </c>
      <c r="E4210">
        <v>1.083E-4</v>
      </c>
    </row>
    <row r="4211" spans="1:5">
      <c r="A4211">
        <v>2020</v>
      </c>
      <c r="B4211" s="3" t="s">
        <v>1137</v>
      </c>
      <c r="C4211" t="s">
        <v>1968</v>
      </c>
      <c r="D4211" s="9">
        <v>258972</v>
      </c>
      <c r="E4211">
        <v>2.0689999999999999E-4</v>
      </c>
    </row>
    <row r="4212" spans="1:5">
      <c r="A4212">
        <v>2020</v>
      </c>
      <c r="B4212" s="3" t="s">
        <v>1247</v>
      </c>
      <c r="C4212" t="s">
        <v>1969</v>
      </c>
      <c r="D4212" s="9">
        <v>26729</v>
      </c>
      <c r="E4212">
        <v>2.1399999999999998E-5</v>
      </c>
    </row>
    <row r="4213" spans="1:5">
      <c r="A4213">
        <v>2020</v>
      </c>
      <c r="B4213" s="3" t="s">
        <v>1138</v>
      </c>
      <c r="C4213" t="s">
        <v>1083</v>
      </c>
      <c r="D4213" s="9"/>
    </row>
    <row r="4214" spans="1:5">
      <c r="A4214">
        <v>2020</v>
      </c>
      <c r="B4214" s="3" t="s">
        <v>96</v>
      </c>
      <c r="C4214" t="s">
        <v>1970</v>
      </c>
      <c r="D4214" s="9">
        <v>21672</v>
      </c>
      <c r="E4214">
        <v>1.73E-5</v>
      </c>
    </row>
    <row r="4215" spans="1:5">
      <c r="A4215">
        <v>2020</v>
      </c>
      <c r="B4215" s="3" t="s">
        <v>1139</v>
      </c>
      <c r="C4215" t="s">
        <v>1084</v>
      </c>
      <c r="D4215" s="9">
        <v>46236</v>
      </c>
      <c r="E4215">
        <v>3.6900000000000002E-5</v>
      </c>
    </row>
    <row r="4216" spans="1:5">
      <c r="A4216">
        <v>2020</v>
      </c>
      <c r="B4216" s="3" t="s">
        <v>1141</v>
      </c>
      <c r="C4216" t="s">
        <v>1971</v>
      </c>
      <c r="D4216" s="9">
        <v>22971</v>
      </c>
      <c r="E4216">
        <v>1.84E-5</v>
      </c>
    </row>
    <row r="4217" spans="1:5">
      <c r="A4217">
        <v>2020</v>
      </c>
      <c r="B4217" s="3" t="s">
        <v>1142</v>
      </c>
      <c r="C4217" t="s">
        <v>1087</v>
      </c>
      <c r="D4217" s="9">
        <v>191844</v>
      </c>
      <c r="E4217">
        <v>1.5330000000000001E-4</v>
      </c>
    </row>
    <row r="4218" spans="1:5">
      <c r="A4218">
        <v>2020</v>
      </c>
      <c r="B4218" s="3" t="s">
        <v>1143</v>
      </c>
      <c r="C4218" t="s">
        <v>1088</v>
      </c>
      <c r="D4218" s="9"/>
    </row>
    <row r="4219" spans="1:5">
      <c r="A4219">
        <v>2020</v>
      </c>
      <c r="B4219" s="3" t="s">
        <v>1144</v>
      </c>
      <c r="C4219" t="s">
        <v>1089</v>
      </c>
      <c r="D4219" s="9"/>
    </row>
    <row r="4220" spans="1:5">
      <c r="A4220">
        <v>2020</v>
      </c>
      <c r="B4220" s="3" t="s">
        <v>1146</v>
      </c>
      <c r="C4220" t="s">
        <v>1973</v>
      </c>
      <c r="D4220" s="9">
        <v>8954653</v>
      </c>
      <c r="E4220">
        <v>7.1551999999999996E-3</v>
      </c>
    </row>
    <row r="4221" spans="1:5">
      <c r="A4221">
        <v>2020</v>
      </c>
      <c r="B4221" s="3" t="s">
        <v>1147</v>
      </c>
      <c r="C4221" t="s">
        <v>1092</v>
      </c>
      <c r="D4221" s="9">
        <v>3596</v>
      </c>
      <c r="E4221">
        <v>2.9000000000000002E-6</v>
      </c>
    </row>
    <row r="4222" spans="1:5">
      <c r="A4222">
        <v>2020</v>
      </c>
      <c r="B4222" s="3" t="s">
        <v>1148</v>
      </c>
      <c r="C4222" t="s">
        <v>1974</v>
      </c>
      <c r="D4222" s="9">
        <v>238543</v>
      </c>
      <c r="E4222">
        <v>1.906E-4</v>
      </c>
    </row>
    <row r="4223" spans="1:5">
      <c r="A4223">
        <v>2020</v>
      </c>
      <c r="B4223" s="3" t="s">
        <v>1248</v>
      </c>
      <c r="C4223" t="s">
        <v>1975</v>
      </c>
      <c r="D4223" s="9">
        <v>74573</v>
      </c>
      <c r="E4223">
        <v>5.9599999999999999E-5</v>
      </c>
    </row>
    <row r="4224" spans="1:5">
      <c r="A4224">
        <v>2020</v>
      </c>
      <c r="B4224" s="3" t="s">
        <v>1149</v>
      </c>
      <c r="C4224" t="s">
        <v>1094</v>
      </c>
      <c r="D4224" s="9">
        <v>256989</v>
      </c>
      <c r="E4224">
        <v>2.053E-4</v>
      </c>
    </row>
    <row r="4225" spans="1:5">
      <c r="A4225">
        <v>2020</v>
      </c>
      <c r="B4225" s="3" t="s">
        <v>1150</v>
      </c>
      <c r="C4225" t="s">
        <v>1976</v>
      </c>
      <c r="D4225" s="9">
        <v>183914</v>
      </c>
      <c r="E4225">
        <v>1.47E-4</v>
      </c>
    </row>
    <row r="4226" spans="1:5">
      <c r="A4226">
        <v>2020</v>
      </c>
      <c r="B4226" s="3" t="s">
        <v>459</v>
      </c>
      <c r="C4226" t="s">
        <v>1977</v>
      </c>
      <c r="D4226" s="9">
        <v>4707427</v>
      </c>
      <c r="E4226">
        <v>3.7613999999999998E-3</v>
      </c>
    </row>
    <row r="4227" spans="1:5">
      <c r="A4227">
        <v>2020</v>
      </c>
      <c r="B4227" s="3" t="s">
        <v>1152</v>
      </c>
      <c r="C4227" t="s">
        <v>1979</v>
      </c>
      <c r="D4227" s="9">
        <v>1136137</v>
      </c>
      <c r="E4227">
        <v>9.0779999999999995E-4</v>
      </c>
    </row>
    <row r="4228" spans="1:5">
      <c r="A4228">
        <v>2020</v>
      </c>
      <c r="B4228" s="3" t="s">
        <v>1249</v>
      </c>
      <c r="C4228" t="s">
        <v>1980</v>
      </c>
      <c r="D4228" s="9">
        <v>101659</v>
      </c>
      <c r="E4228">
        <v>8.1199999999999995E-5</v>
      </c>
    </row>
    <row r="4229" spans="1:5">
      <c r="A4229">
        <v>2020</v>
      </c>
      <c r="B4229" s="3" t="s">
        <v>1153</v>
      </c>
      <c r="C4229" t="s">
        <v>1981</v>
      </c>
      <c r="D4229" s="9">
        <v>157475</v>
      </c>
      <c r="E4229">
        <v>1.2579999999999999E-4</v>
      </c>
    </row>
    <row r="4230" spans="1:5">
      <c r="A4230">
        <v>2020</v>
      </c>
      <c r="B4230" s="3" t="s">
        <v>1154</v>
      </c>
      <c r="C4230" t="s">
        <v>1982</v>
      </c>
      <c r="D4230" s="9">
        <v>8563027</v>
      </c>
      <c r="E4230">
        <v>6.8421999999999997E-3</v>
      </c>
    </row>
    <row r="4231" spans="1:5">
      <c r="A4231">
        <v>2020</v>
      </c>
      <c r="B4231" s="3" t="s">
        <v>1209</v>
      </c>
      <c r="C4231" t="s">
        <v>1983</v>
      </c>
      <c r="D4231" s="9">
        <v>8602554</v>
      </c>
      <c r="E4231">
        <v>6.8738000000000002E-3</v>
      </c>
    </row>
    <row r="4232" spans="1:5">
      <c r="A4232">
        <v>2020</v>
      </c>
      <c r="B4232" s="3" t="s">
        <v>460</v>
      </c>
      <c r="C4232" t="s">
        <v>1984</v>
      </c>
      <c r="D4232" s="9">
        <v>9576743</v>
      </c>
      <c r="E4232">
        <v>7.6522999999999999E-3</v>
      </c>
    </row>
    <row r="4233" spans="1:5">
      <c r="A4233">
        <v>2020</v>
      </c>
      <c r="B4233" s="3" t="s">
        <v>1210</v>
      </c>
      <c r="C4233" t="s">
        <v>1985</v>
      </c>
      <c r="D4233" s="9">
        <v>827464</v>
      </c>
      <c r="E4233">
        <v>6.6120000000000003E-4</v>
      </c>
    </row>
    <row r="4234" spans="1:5">
      <c r="A4234">
        <v>2020</v>
      </c>
      <c r="B4234" s="3" t="s">
        <v>1250</v>
      </c>
      <c r="C4234" t="s">
        <v>1986</v>
      </c>
      <c r="D4234" s="9">
        <v>184070</v>
      </c>
      <c r="E4234">
        <v>1.471E-4</v>
      </c>
    </row>
    <row r="4235" spans="1:5">
      <c r="A4235">
        <v>2020</v>
      </c>
      <c r="B4235" s="3" t="s">
        <v>1211</v>
      </c>
      <c r="C4235" t="s">
        <v>1157</v>
      </c>
      <c r="D4235" s="9">
        <v>3859</v>
      </c>
      <c r="E4235">
        <v>3.1E-6</v>
      </c>
    </row>
    <row r="4236" spans="1:5">
      <c r="A4236">
        <v>2020</v>
      </c>
      <c r="B4236" s="3" t="s">
        <v>1483</v>
      </c>
      <c r="C4236" t="s">
        <v>1482</v>
      </c>
      <c r="D4236" s="9">
        <v>72896</v>
      </c>
      <c r="E4236">
        <v>5.8199999999999998E-5</v>
      </c>
    </row>
    <row r="4237" spans="1:5">
      <c r="A4237">
        <v>2020</v>
      </c>
      <c r="B4237" s="3" t="s">
        <v>1212</v>
      </c>
      <c r="C4237" t="s">
        <v>1987</v>
      </c>
      <c r="D4237" s="9">
        <v>1914474</v>
      </c>
      <c r="E4237">
        <v>1.5298E-3</v>
      </c>
    </row>
    <row r="4238" spans="1:5">
      <c r="A4238">
        <v>2020</v>
      </c>
      <c r="B4238" s="3" t="s">
        <v>1213</v>
      </c>
      <c r="C4238" t="s">
        <v>1988</v>
      </c>
      <c r="D4238" s="9">
        <v>6997557</v>
      </c>
      <c r="E4238">
        <v>5.5913999999999998E-3</v>
      </c>
    </row>
    <row r="4239" spans="1:5">
      <c r="A4239">
        <v>2020</v>
      </c>
      <c r="B4239" s="3" t="s">
        <v>461</v>
      </c>
      <c r="C4239" t="s">
        <v>1989</v>
      </c>
      <c r="D4239" s="9">
        <v>1096253</v>
      </c>
      <c r="E4239">
        <v>8.7600000000000004E-4</v>
      </c>
    </row>
    <row r="4240" spans="1:5">
      <c r="A4240">
        <v>2020</v>
      </c>
      <c r="B4240" s="3" t="s">
        <v>1214</v>
      </c>
      <c r="C4240" t="s">
        <v>1990</v>
      </c>
      <c r="D4240" s="9">
        <v>544346</v>
      </c>
      <c r="E4240">
        <v>4.35E-4</v>
      </c>
    </row>
    <row r="4241" spans="1:5">
      <c r="A4241">
        <v>2020</v>
      </c>
      <c r="B4241" s="3" t="s">
        <v>1215</v>
      </c>
      <c r="C4241" t="s">
        <v>1991</v>
      </c>
      <c r="D4241" s="9">
        <v>530142</v>
      </c>
      <c r="E4241">
        <v>4.236E-4</v>
      </c>
    </row>
    <row r="4242" spans="1:5">
      <c r="A4242">
        <v>2020</v>
      </c>
      <c r="B4242" s="3" t="s">
        <v>462</v>
      </c>
      <c r="C4242" t="s">
        <v>1992</v>
      </c>
      <c r="D4242" s="9">
        <v>81627</v>
      </c>
      <c r="E4242">
        <v>6.5199999999999999E-5</v>
      </c>
    </row>
    <row r="4243" spans="1:5">
      <c r="A4243">
        <v>2020</v>
      </c>
      <c r="B4243" s="3" t="s">
        <v>1217</v>
      </c>
      <c r="C4243" t="s">
        <v>1993</v>
      </c>
      <c r="D4243" s="9">
        <v>102095</v>
      </c>
      <c r="E4243">
        <v>8.1600000000000005E-5</v>
      </c>
    </row>
    <row r="4244" spans="1:5">
      <c r="A4244">
        <v>2020</v>
      </c>
      <c r="B4244" s="3" t="s">
        <v>1218</v>
      </c>
      <c r="C4244" t="s">
        <v>1995</v>
      </c>
      <c r="D4244" s="9">
        <v>91433</v>
      </c>
      <c r="E4244">
        <v>7.3100000000000001E-5</v>
      </c>
    </row>
    <row r="4245" spans="1:5">
      <c r="A4245">
        <v>2020</v>
      </c>
      <c r="B4245" s="3" t="s">
        <v>1255</v>
      </c>
      <c r="C4245" t="s">
        <v>1201</v>
      </c>
      <c r="D4245" s="9">
        <v>4334</v>
      </c>
      <c r="E4245">
        <v>3.4999999999999999E-6</v>
      </c>
    </row>
    <row r="4246" spans="1:5">
      <c r="A4246">
        <v>2020</v>
      </c>
      <c r="B4246" s="3" t="s">
        <v>1256</v>
      </c>
      <c r="C4246" t="s">
        <v>1202</v>
      </c>
      <c r="D4246" s="9">
        <v>48265</v>
      </c>
      <c r="E4246">
        <v>3.8600000000000003E-5</v>
      </c>
    </row>
    <row r="4247" spans="1:5">
      <c r="A4247">
        <v>2020</v>
      </c>
      <c r="B4247" s="3" t="s">
        <v>1257</v>
      </c>
      <c r="C4247" t="s">
        <v>1996</v>
      </c>
      <c r="D4247" s="9">
        <v>1339807</v>
      </c>
      <c r="E4247">
        <v>1.0705999999999999E-3</v>
      </c>
    </row>
    <row r="4248" spans="1:5">
      <c r="A4248">
        <v>2020</v>
      </c>
      <c r="B4248" s="3" t="s">
        <v>1258</v>
      </c>
      <c r="C4248" t="s">
        <v>1204</v>
      </c>
      <c r="D4248" s="9">
        <v>1264165</v>
      </c>
      <c r="E4248">
        <v>1.0101000000000001E-3</v>
      </c>
    </row>
    <row r="4249" spans="1:5">
      <c r="A4249">
        <v>2020</v>
      </c>
      <c r="B4249" s="3" t="s">
        <v>1259</v>
      </c>
      <c r="C4249" t="s">
        <v>1205</v>
      </c>
      <c r="D4249" s="9">
        <v>300269</v>
      </c>
      <c r="E4249">
        <v>2.399E-4</v>
      </c>
    </row>
    <row r="4250" spans="1:5">
      <c r="A4250">
        <v>2020</v>
      </c>
      <c r="B4250" s="3" t="s">
        <v>1260</v>
      </c>
      <c r="C4250" t="s">
        <v>1206</v>
      </c>
      <c r="D4250" s="9">
        <v>77193</v>
      </c>
      <c r="E4250">
        <v>6.1699999999999995E-5</v>
      </c>
    </row>
    <row r="4251" spans="1:5">
      <c r="A4251">
        <v>2020</v>
      </c>
      <c r="B4251" s="3" t="s">
        <v>1261</v>
      </c>
      <c r="C4251" t="s">
        <v>1997</v>
      </c>
      <c r="D4251" s="9">
        <v>30614303</v>
      </c>
      <c r="E4251">
        <v>2.44622E-2</v>
      </c>
    </row>
    <row r="4252" spans="1:5">
      <c r="A4252">
        <v>2020</v>
      </c>
      <c r="B4252" s="3" t="s">
        <v>1262</v>
      </c>
      <c r="C4252" t="s">
        <v>1208</v>
      </c>
      <c r="D4252" s="9">
        <v>45241</v>
      </c>
      <c r="E4252">
        <v>3.6100000000000003E-5</v>
      </c>
    </row>
    <row r="4253" spans="1:5">
      <c r="A4253">
        <v>2020</v>
      </c>
      <c r="B4253" s="3" t="s">
        <v>1251</v>
      </c>
      <c r="C4253" t="s">
        <v>1998</v>
      </c>
      <c r="D4253" s="9">
        <v>36013</v>
      </c>
      <c r="E4253">
        <v>2.8799999999999999E-5</v>
      </c>
    </row>
    <row r="4254" spans="1:5">
      <c r="A4254">
        <v>2020</v>
      </c>
      <c r="B4254" s="3" t="s">
        <v>1311</v>
      </c>
      <c r="C4254" t="s">
        <v>2414</v>
      </c>
      <c r="D4254" s="9">
        <v>934260</v>
      </c>
      <c r="E4254">
        <v>7.4649999999999998E-4</v>
      </c>
    </row>
    <row r="4255" spans="1:5">
      <c r="A4255">
        <v>2020</v>
      </c>
      <c r="B4255" s="3" t="s">
        <v>1312</v>
      </c>
      <c r="C4255" t="s">
        <v>2000</v>
      </c>
      <c r="D4255" s="9">
        <v>50769667</v>
      </c>
      <c r="E4255">
        <v>4.0567300000000001E-2</v>
      </c>
    </row>
    <row r="4256" spans="1:5">
      <c r="A4256">
        <v>2020</v>
      </c>
      <c r="B4256" s="3" t="s">
        <v>1313</v>
      </c>
      <c r="C4256" t="s">
        <v>2001</v>
      </c>
      <c r="D4256" s="9">
        <v>8496568</v>
      </c>
      <c r="E4256">
        <v>6.7891000000000002E-3</v>
      </c>
    </row>
    <row r="4257" spans="1:5">
      <c r="A4257">
        <v>2020</v>
      </c>
      <c r="B4257" s="3" t="s">
        <v>1314</v>
      </c>
      <c r="C4257" t="s">
        <v>2002</v>
      </c>
      <c r="D4257" s="9">
        <v>68255</v>
      </c>
      <c r="E4257">
        <v>5.4500000000000003E-5</v>
      </c>
    </row>
    <row r="4258" spans="1:5">
      <c r="A4258">
        <v>2020</v>
      </c>
      <c r="B4258" s="3" t="s">
        <v>1035</v>
      </c>
      <c r="C4258" t="s">
        <v>2003</v>
      </c>
      <c r="D4258" s="9">
        <v>300937</v>
      </c>
      <c r="E4258">
        <v>2.4049999999999999E-4</v>
      </c>
    </row>
    <row r="4259" spans="1:5">
      <c r="A4259">
        <v>2020</v>
      </c>
      <c r="B4259" s="3" t="s">
        <v>1315</v>
      </c>
      <c r="C4259" t="s">
        <v>2004</v>
      </c>
      <c r="D4259" s="9">
        <v>46600</v>
      </c>
      <c r="E4259">
        <v>3.7200000000000003E-5</v>
      </c>
    </row>
    <row r="4260" spans="1:5">
      <c r="A4260">
        <v>2020</v>
      </c>
      <c r="B4260" s="3" t="s">
        <v>1033</v>
      </c>
      <c r="C4260" t="s">
        <v>2005</v>
      </c>
      <c r="D4260" s="9">
        <v>2756995</v>
      </c>
      <c r="E4260">
        <v>2.2030000000000001E-3</v>
      </c>
    </row>
    <row r="4261" spans="1:5">
      <c r="A4261">
        <v>2020</v>
      </c>
      <c r="B4261" s="3" t="s">
        <v>1316</v>
      </c>
      <c r="C4261" t="s">
        <v>2006</v>
      </c>
      <c r="D4261" s="9">
        <v>344438</v>
      </c>
      <c r="E4261">
        <v>2.7520000000000002E-4</v>
      </c>
    </row>
    <row r="4262" spans="1:5">
      <c r="A4262">
        <v>2020</v>
      </c>
      <c r="B4262" s="3" t="s">
        <v>1317</v>
      </c>
      <c r="C4262" t="s">
        <v>2007</v>
      </c>
      <c r="D4262" s="9">
        <v>106031</v>
      </c>
      <c r="E4262">
        <v>8.4699999999999999E-5</v>
      </c>
    </row>
    <row r="4263" spans="1:5">
      <c r="A4263">
        <v>2020</v>
      </c>
      <c r="B4263" s="3" t="s">
        <v>1319</v>
      </c>
      <c r="C4263" t="s">
        <v>1271</v>
      </c>
      <c r="D4263" s="9">
        <v>35087</v>
      </c>
      <c r="E4263">
        <v>2.8E-5</v>
      </c>
    </row>
    <row r="4264" spans="1:5">
      <c r="A4264">
        <v>2020</v>
      </c>
      <c r="B4264" s="3" t="s">
        <v>1320</v>
      </c>
      <c r="C4264" t="s">
        <v>2009</v>
      </c>
      <c r="D4264" s="9">
        <v>106217</v>
      </c>
      <c r="E4264">
        <v>8.4900000000000004E-5</v>
      </c>
    </row>
    <row r="4265" spans="1:5">
      <c r="A4265">
        <v>2020</v>
      </c>
      <c r="B4265" s="3" t="s">
        <v>1321</v>
      </c>
      <c r="C4265" t="s">
        <v>1273</v>
      </c>
      <c r="D4265" s="9"/>
    </row>
    <row r="4266" spans="1:5">
      <c r="A4266">
        <v>2020</v>
      </c>
      <c r="B4266" s="3" t="s">
        <v>1323</v>
      </c>
      <c r="C4266" t="s">
        <v>2011</v>
      </c>
      <c r="D4266" s="9">
        <v>14482206</v>
      </c>
      <c r="E4266">
        <v>1.15719E-2</v>
      </c>
    </row>
    <row r="4267" spans="1:5">
      <c r="A4267">
        <v>2020</v>
      </c>
      <c r="B4267" s="3" t="s">
        <v>1325</v>
      </c>
      <c r="C4267" t="s">
        <v>2395</v>
      </c>
      <c r="D4267" s="9">
        <v>131067</v>
      </c>
      <c r="E4267">
        <v>1.047E-4</v>
      </c>
    </row>
    <row r="4268" spans="1:5">
      <c r="A4268">
        <v>2020</v>
      </c>
      <c r="B4268" s="3" t="s">
        <v>1252</v>
      </c>
      <c r="C4268" t="s">
        <v>2013</v>
      </c>
      <c r="D4268" s="9">
        <v>128944</v>
      </c>
      <c r="E4268">
        <v>1.03E-4</v>
      </c>
    </row>
    <row r="4269" spans="1:5">
      <c r="A4269">
        <v>2020</v>
      </c>
      <c r="B4269" s="3" t="s">
        <v>1326</v>
      </c>
      <c r="C4269" t="s">
        <v>2014</v>
      </c>
      <c r="D4269" s="9">
        <v>102961</v>
      </c>
      <c r="E4269">
        <v>8.2299999999999995E-5</v>
      </c>
    </row>
    <row r="4270" spans="1:5">
      <c r="A4270">
        <v>2020</v>
      </c>
      <c r="B4270" s="3" t="s">
        <v>1327</v>
      </c>
      <c r="C4270" t="s">
        <v>1279</v>
      </c>
      <c r="D4270" s="9">
        <v>1043419</v>
      </c>
      <c r="E4270">
        <v>8.3370000000000004E-4</v>
      </c>
    </row>
    <row r="4271" spans="1:5">
      <c r="A4271">
        <v>2020</v>
      </c>
      <c r="B4271" s="3" t="s">
        <v>1328</v>
      </c>
      <c r="C4271" t="s">
        <v>1484</v>
      </c>
      <c r="D4271" s="9">
        <v>37853</v>
      </c>
      <c r="E4271">
        <v>3.0199999999999999E-5</v>
      </c>
    </row>
    <row r="4272" spans="1:5">
      <c r="A4272">
        <v>2020</v>
      </c>
      <c r="B4272" s="3" t="s">
        <v>1329</v>
      </c>
      <c r="C4272" t="s">
        <v>1485</v>
      </c>
      <c r="D4272" s="9">
        <v>1148945</v>
      </c>
      <c r="E4272">
        <v>9.1810000000000004E-4</v>
      </c>
    </row>
    <row r="4273" spans="1:5">
      <c r="A4273">
        <v>2020</v>
      </c>
      <c r="B4273" s="3" t="s">
        <v>1332</v>
      </c>
      <c r="C4273" t="s">
        <v>1284</v>
      </c>
      <c r="D4273" s="9">
        <v>31808</v>
      </c>
      <c r="E4273">
        <v>2.5400000000000001E-5</v>
      </c>
    </row>
    <row r="4274" spans="1:5">
      <c r="A4274">
        <v>2020</v>
      </c>
      <c r="B4274" s="3" t="s">
        <v>1333</v>
      </c>
      <c r="C4274" t="s">
        <v>2015</v>
      </c>
      <c r="D4274" s="9">
        <v>6078</v>
      </c>
      <c r="E4274">
        <v>4.8999999999999997E-6</v>
      </c>
    </row>
    <row r="4275" spans="1:5">
      <c r="A4275">
        <v>2020</v>
      </c>
      <c r="B4275" s="3" t="s">
        <v>1334</v>
      </c>
      <c r="C4275" t="s">
        <v>2016</v>
      </c>
      <c r="D4275" s="9">
        <v>1503049</v>
      </c>
      <c r="E4275">
        <v>1.201E-3</v>
      </c>
    </row>
    <row r="4276" spans="1:5">
      <c r="A4276">
        <v>2020</v>
      </c>
      <c r="B4276" s="3" t="s">
        <v>1335</v>
      </c>
      <c r="C4276" t="s">
        <v>2017</v>
      </c>
      <c r="D4276" s="9">
        <v>793862</v>
      </c>
      <c r="E4276">
        <v>6.3429999999999997E-4</v>
      </c>
    </row>
    <row r="4277" spans="1:5">
      <c r="A4277">
        <v>2020</v>
      </c>
      <c r="B4277" s="3" t="s">
        <v>1253</v>
      </c>
      <c r="C4277" t="s">
        <v>2018</v>
      </c>
      <c r="D4277" s="9">
        <v>355347</v>
      </c>
      <c r="E4277">
        <v>2.8390000000000002E-4</v>
      </c>
    </row>
    <row r="4278" spans="1:5">
      <c r="A4278">
        <v>2020</v>
      </c>
      <c r="B4278" s="3" t="s">
        <v>1336</v>
      </c>
      <c r="C4278" t="s">
        <v>2019</v>
      </c>
      <c r="D4278" s="9">
        <v>633614</v>
      </c>
      <c r="E4278">
        <v>5.063E-4</v>
      </c>
    </row>
    <row r="4279" spans="1:5">
      <c r="A4279">
        <v>2020</v>
      </c>
      <c r="B4279" s="3" t="s">
        <v>463</v>
      </c>
      <c r="C4279" t="s">
        <v>2020</v>
      </c>
      <c r="D4279" s="9">
        <v>178276</v>
      </c>
      <c r="E4279">
        <v>1.4249999999999999E-4</v>
      </c>
    </row>
    <row r="4280" spans="1:5">
      <c r="A4280">
        <v>2020</v>
      </c>
      <c r="B4280" s="3" t="s">
        <v>1337</v>
      </c>
      <c r="C4280" t="s">
        <v>2021</v>
      </c>
      <c r="D4280" s="9">
        <v>434593</v>
      </c>
      <c r="E4280">
        <v>3.4729999999999999E-4</v>
      </c>
    </row>
    <row r="4281" spans="1:5">
      <c r="A4281">
        <v>2020</v>
      </c>
      <c r="B4281" s="3" t="s">
        <v>464</v>
      </c>
      <c r="C4281" t="s">
        <v>2022</v>
      </c>
      <c r="D4281" s="9">
        <v>334634</v>
      </c>
      <c r="E4281">
        <v>2.6739999999999999E-4</v>
      </c>
    </row>
    <row r="4282" spans="1:5">
      <c r="A4282">
        <v>2020</v>
      </c>
      <c r="B4282" s="3" t="s">
        <v>1338</v>
      </c>
      <c r="C4282" t="s">
        <v>2023</v>
      </c>
      <c r="D4282" s="9">
        <v>1724</v>
      </c>
      <c r="E4282">
        <v>1.3999999999999999E-6</v>
      </c>
    </row>
    <row r="4283" spans="1:5">
      <c r="A4283">
        <v>2020</v>
      </c>
      <c r="B4283" s="3" t="s">
        <v>907</v>
      </c>
      <c r="C4283" t="s">
        <v>2024</v>
      </c>
      <c r="D4283" s="9">
        <v>43950</v>
      </c>
      <c r="E4283">
        <v>3.5099999999999999E-5</v>
      </c>
    </row>
    <row r="4284" spans="1:5">
      <c r="A4284">
        <v>2020</v>
      </c>
      <c r="B4284" s="3" t="s">
        <v>1339</v>
      </c>
      <c r="C4284" t="s">
        <v>2025</v>
      </c>
      <c r="D4284" s="9">
        <v>869479</v>
      </c>
      <c r="E4284">
        <v>6.9479999999999997E-4</v>
      </c>
    </row>
    <row r="4285" spans="1:5">
      <c r="A4285">
        <v>2020</v>
      </c>
      <c r="B4285" s="3" t="s">
        <v>1340</v>
      </c>
      <c r="C4285" t="s">
        <v>2026</v>
      </c>
      <c r="D4285" s="9">
        <v>1816808</v>
      </c>
      <c r="E4285">
        <v>1.4517E-3</v>
      </c>
    </row>
    <row r="4286" spans="1:5">
      <c r="A4286">
        <v>2020</v>
      </c>
      <c r="B4286" s="3" t="s">
        <v>1341</v>
      </c>
      <c r="C4286" t="s">
        <v>2027</v>
      </c>
      <c r="D4286" s="9">
        <v>1223730</v>
      </c>
      <c r="E4286">
        <v>9.7780000000000002E-4</v>
      </c>
    </row>
    <row r="4287" spans="1:5">
      <c r="A4287">
        <v>2020</v>
      </c>
      <c r="B4287" s="3" t="s">
        <v>465</v>
      </c>
      <c r="C4287" t="s">
        <v>2028</v>
      </c>
      <c r="D4287" s="9">
        <v>338933</v>
      </c>
      <c r="E4287">
        <v>2.7080000000000002E-4</v>
      </c>
    </row>
    <row r="4288" spans="1:5">
      <c r="A4288">
        <v>2020</v>
      </c>
      <c r="B4288" s="3" t="s">
        <v>1342</v>
      </c>
      <c r="C4288" t="s">
        <v>1294</v>
      </c>
      <c r="D4288" s="9"/>
    </row>
    <row r="4289" spans="1:5">
      <c r="A4289">
        <v>2020</v>
      </c>
      <c r="B4289" s="3" t="s">
        <v>1343</v>
      </c>
      <c r="C4289" t="s">
        <v>2029</v>
      </c>
      <c r="D4289" s="9">
        <v>43268</v>
      </c>
      <c r="E4289">
        <v>3.4600000000000001E-5</v>
      </c>
    </row>
    <row r="4290" spans="1:5">
      <c r="A4290">
        <v>2020</v>
      </c>
      <c r="B4290" s="3" t="s">
        <v>1344</v>
      </c>
      <c r="C4290" t="s">
        <v>2030</v>
      </c>
      <c r="D4290" s="9">
        <v>80439</v>
      </c>
      <c r="E4290">
        <v>6.4300000000000004E-5</v>
      </c>
    </row>
    <row r="4291" spans="1:5">
      <c r="A4291">
        <v>2020</v>
      </c>
      <c r="B4291" s="3" t="s">
        <v>1346</v>
      </c>
      <c r="C4291" t="s">
        <v>1298</v>
      </c>
      <c r="D4291" s="9">
        <v>2608920</v>
      </c>
      <c r="E4291">
        <v>2.0845999999999998E-3</v>
      </c>
    </row>
    <row r="4292" spans="1:5">
      <c r="A4292">
        <v>2020</v>
      </c>
      <c r="B4292" s="3" t="s">
        <v>1347</v>
      </c>
      <c r="C4292" t="s">
        <v>1299</v>
      </c>
      <c r="D4292" s="9">
        <v>6496449</v>
      </c>
      <c r="E4292">
        <v>5.1910000000000003E-3</v>
      </c>
    </row>
    <row r="4293" spans="1:5">
      <c r="A4293">
        <v>2020</v>
      </c>
      <c r="B4293" s="3" t="s">
        <v>1348</v>
      </c>
      <c r="C4293" t="s">
        <v>2032</v>
      </c>
      <c r="D4293" s="9">
        <v>86105</v>
      </c>
      <c r="E4293">
        <v>6.8800000000000005E-5</v>
      </c>
    </row>
    <row r="4294" spans="1:5">
      <c r="A4294">
        <v>2020</v>
      </c>
      <c r="B4294" s="3" t="s">
        <v>1349</v>
      </c>
      <c r="C4294" t="s">
        <v>2033</v>
      </c>
      <c r="D4294" s="9">
        <v>236334</v>
      </c>
      <c r="E4294">
        <v>1.8880000000000001E-4</v>
      </c>
    </row>
    <row r="4295" spans="1:5">
      <c r="A4295">
        <v>2020</v>
      </c>
      <c r="B4295" s="3" t="s">
        <v>1254</v>
      </c>
      <c r="C4295" t="s">
        <v>2034</v>
      </c>
      <c r="D4295" s="9">
        <v>91535</v>
      </c>
      <c r="E4295">
        <v>7.3100000000000001E-5</v>
      </c>
    </row>
    <row r="4296" spans="1:5">
      <c r="A4296">
        <v>2020</v>
      </c>
      <c r="B4296" s="3" t="s">
        <v>1350</v>
      </c>
      <c r="C4296" t="s">
        <v>2035</v>
      </c>
      <c r="D4296" s="9">
        <v>33658</v>
      </c>
      <c r="E4296">
        <v>2.69E-5</v>
      </c>
    </row>
    <row r="4297" spans="1:5">
      <c r="A4297">
        <v>2020</v>
      </c>
      <c r="B4297" s="3" t="s">
        <v>1352</v>
      </c>
      <c r="C4297" t="s">
        <v>1304</v>
      </c>
      <c r="D4297" s="9">
        <v>5029971</v>
      </c>
      <c r="E4297">
        <v>4.0191999999999997E-3</v>
      </c>
    </row>
    <row r="4298" spans="1:5">
      <c r="A4298">
        <v>2020</v>
      </c>
      <c r="B4298" s="3" t="s">
        <v>1353</v>
      </c>
      <c r="C4298" t="s">
        <v>1305</v>
      </c>
      <c r="D4298" s="9">
        <v>160033</v>
      </c>
      <c r="E4298">
        <v>1.2789999999999999E-4</v>
      </c>
    </row>
    <row r="4299" spans="1:5">
      <c r="A4299">
        <v>2020</v>
      </c>
      <c r="B4299" s="3" t="s">
        <v>1351</v>
      </c>
      <c r="C4299" t="s">
        <v>2415</v>
      </c>
      <c r="D4299" s="9">
        <v>38053</v>
      </c>
      <c r="E4299">
        <v>3.04E-5</v>
      </c>
    </row>
    <row r="4300" spans="1:5">
      <c r="A4300">
        <v>2020</v>
      </c>
      <c r="B4300" s="3" t="s">
        <v>1354</v>
      </c>
      <c r="C4300" t="s">
        <v>2037</v>
      </c>
      <c r="D4300" s="9"/>
    </row>
    <row r="4301" spans="1:5">
      <c r="A4301">
        <v>2020</v>
      </c>
      <c r="B4301" s="3" t="s">
        <v>1355</v>
      </c>
      <c r="C4301" t="s">
        <v>2038</v>
      </c>
      <c r="D4301" s="9">
        <v>4868383</v>
      </c>
      <c r="E4301">
        <v>3.8901000000000001E-3</v>
      </c>
    </row>
    <row r="4302" spans="1:5">
      <c r="A4302">
        <v>2020</v>
      </c>
      <c r="B4302" s="3" t="s">
        <v>1357</v>
      </c>
      <c r="C4302" t="s">
        <v>2039</v>
      </c>
      <c r="D4302" s="9">
        <v>155001</v>
      </c>
      <c r="E4302">
        <v>1.239E-4</v>
      </c>
    </row>
    <row r="4303" spans="1:5">
      <c r="A4303">
        <v>2020</v>
      </c>
      <c r="B4303" s="3" t="s">
        <v>2043</v>
      </c>
      <c r="C4303" t="s">
        <v>2040</v>
      </c>
      <c r="D4303" s="9">
        <v>34743</v>
      </c>
      <c r="E4303">
        <v>2.7800000000000001E-5</v>
      </c>
    </row>
    <row r="4304" spans="1:5">
      <c r="A4304">
        <v>2020</v>
      </c>
      <c r="B4304" s="3" t="s">
        <v>1358</v>
      </c>
      <c r="C4304" t="s">
        <v>2041</v>
      </c>
      <c r="D4304" s="9">
        <v>5726277</v>
      </c>
      <c r="E4304">
        <v>4.5756E-3</v>
      </c>
    </row>
    <row r="4305" spans="1:5">
      <c r="A4305">
        <v>2020</v>
      </c>
      <c r="B4305" s="3" t="s">
        <v>466</v>
      </c>
      <c r="C4305" t="s">
        <v>2042</v>
      </c>
      <c r="D4305" s="9">
        <v>3779498</v>
      </c>
      <c r="E4305">
        <v>3.0200000000000001E-3</v>
      </c>
    </row>
    <row r="4306" spans="1:5">
      <c r="A4306">
        <v>2021</v>
      </c>
      <c r="B4306" s="3" t="s">
        <v>59</v>
      </c>
      <c r="C4306" t="s">
        <v>6</v>
      </c>
      <c r="D4306" s="9" t="s">
        <v>2462</v>
      </c>
    </row>
    <row r="4307" spans="1:5">
      <c r="A4307">
        <v>2021</v>
      </c>
      <c r="B4307" s="3" t="s">
        <v>60</v>
      </c>
      <c r="C4307" t="s">
        <v>7</v>
      </c>
      <c r="D4307" s="9">
        <v>328126</v>
      </c>
      <c r="E4307">
        <v>2.5050000000000002E-4</v>
      </c>
    </row>
    <row r="4308" spans="1:5">
      <c r="A4308">
        <v>2021</v>
      </c>
      <c r="B4308" s="3" t="s">
        <v>61</v>
      </c>
      <c r="C4308" t="s">
        <v>1487</v>
      </c>
      <c r="D4308" s="9">
        <v>90338</v>
      </c>
      <c r="E4308">
        <v>6.8999999999999997E-5</v>
      </c>
    </row>
    <row r="4309" spans="1:5">
      <c r="A4309">
        <v>2021</v>
      </c>
      <c r="B4309" s="3" t="s">
        <v>62</v>
      </c>
      <c r="C4309" t="s">
        <v>9</v>
      </c>
      <c r="D4309" s="9">
        <v>82646</v>
      </c>
      <c r="E4309">
        <v>6.3100000000000002E-5</v>
      </c>
    </row>
    <row r="4310" spans="1:5">
      <c r="A4310">
        <v>2021</v>
      </c>
      <c r="B4310" s="3" t="s">
        <v>63</v>
      </c>
      <c r="C4310" t="s">
        <v>1488</v>
      </c>
      <c r="D4310" s="9">
        <v>142289</v>
      </c>
      <c r="E4310">
        <v>1.086E-4</v>
      </c>
    </row>
    <row r="4311" spans="1:5">
      <c r="A4311">
        <v>2021</v>
      </c>
      <c r="B4311" s="3" t="s">
        <v>64</v>
      </c>
      <c r="C4311" t="s">
        <v>1489</v>
      </c>
      <c r="D4311" s="9">
        <v>5715889</v>
      </c>
      <c r="E4311">
        <v>4.3644000000000001E-3</v>
      </c>
    </row>
    <row r="4312" spans="1:5">
      <c r="A4312">
        <v>2021</v>
      </c>
      <c r="B4312" s="3" t="s">
        <v>65</v>
      </c>
      <c r="C4312" t="s">
        <v>1490</v>
      </c>
      <c r="D4312" s="9">
        <v>94877</v>
      </c>
      <c r="E4312">
        <v>7.2399999999999998E-5</v>
      </c>
    </row>
    <row r="4313" spans="1:5">
      <c r="A4313">
        <v>2021</v>
      </c>
      <c r="B4313" s="3" t="s">
        <v>66</v>
      </c>
      <c r="C4313" t="s">
        <v>1491</v>
      </c>
      <c r="D4313" s="9">
        <v>28090</v>
      </c>
      <c r="E4313">
        <v>2.1399999999999998E-5</v>
      </c>
    </row>
    <row r="4314" spans="1:5">
      <c r="A4314">
        <v>2021</v>
      </c>
      <c r="B4314" s="3" t="s">
        <v>67</v>
      </c>
      <c r="C4314" t="s">
        <v>1492</v>
      </c>
      <c r="D4314" s="9">
        <v>210014</v>
      </c>
      <c r="E4314">
        <v>1.604E-4</v>
      </c>
    </row>
    <row r="4315" spans="1:5">
      <c r="A4315">
        <v>2021</v>
      </c>
      <c r="B4315" s="3" t="s">
        <v>68</v>
      </c>
      <c r="C4315" t="s">
        <v>1493</v>
      </c>
      <c r="D4315" s="9">
        <v>4327</v>
      </c>
      <c r="E4315">
        <v>3.3000000000000002E-6</v>
      </c>
    </row>
    <row r="4316" spans="1:5">
      <c r="A4316">
        <v>2021</v>
      </c>
      <c r="B4316" s="3" t="s">
        <v>69</v>
      </c>
      <c r="C4316" t="s">
        <v>1494</v>
      </c>
      <c r="D4316" s="9">
        <v>417721</v>
      </c>
      <c r="E4316">
        <v>3.19E-4</v>
      </c>
    </row>
    <row r="4317" spans="1:5">
      <c r="A4317">
        <v>2021</v>
      </c>
      <c r="B4317" s="3" t="s">
        <v>70</v>
      </c>
      <c r="C4317" t="s">
        <v>1495</v>
      </c>
      <c r="D4317" s="9">
        <v>7902760</v>
      </c>
      <c r="E4317">
        <v>6.0342E-3</v>
      </c>
    </row>
    <row r="4318" spans="1:5">
      <c r="A4318">
        <v>2021</v>
      </c>
      <c r="B4318" s="3" t="s">
        <v>71</v>
      </c>
      <c r="C4318" t="s">
        <v>1496</v>
      </c>
      <c r="D4318" s="9">
        <v>72091</v>
      </c>
      <c r="E4318">
        <v>5.5000000000000002E-5</v>
      </c>
    </row>
    <row r="4319" spans="1:5">
      <c r="A4319">
        <v>2021</v>
      </c>
      <c r="B4319" s="3" t="s">
        <v>72</v>
      </c>
      <c r="C4319" t="s">
        <v>1497</v>
      </c>
      <c r="D4319" s="9">
        <v>339829</v>
      </c>
      <c r="E4319">
        <v>2.5950000000000002E-4</v>
      </c>
    </row>
    <row r="4320" spans="1:5">
      <c r="A4320">
        <v>2021</v>
      </c>
      <c r="B4320" s="3" t="s">
        <v>74</v>
      </c>
      <c r="C4320" t="s">
        <v>1498</v>
      </c>
      <c r="D4320" s="9">
        <v>31442</v>
      </c>
      <c r="E4320">
        <v>2.4000000000000001E-5</v>
      </c>
    </row>
    <row r="4321" spans="1:5">
      <c r="A4321">
        <v>2021</v>
      </c>
      <c r="B4321" s="3" t="s">
        <v>75</v>
      </c>
      <c r="C4321" t="s">
        <v>1365</v>
      </c>
      <c r="D4321" s="9">
        <v>7331</v>
      </c>
      <c r="E4321">
        <v>5.5999999999999997E-6</v>
      </c>
    </row>
    <row r="4322" spans="1:5">
      <c r="A4322">
        <v>2021</v>
      </c>
      <c r="B4322" s="3" t="s">
        <v>76</v>
      </c>
      <c r="C4322" t="s">
        <v>1499</v>
      </c>
      <c r="D4322" s="9">
        <v>8569540</v>
      </c>
      <c r="E4322">
        <v>6.5433000000000002E-3</v>
      </c>
    </row>
    <row r="4323" spans="1:5">
      <c r="A4323">
        <v>2021</v>
      </c>
      <c r="B4323" s="3" t="s">
        <v>77</v>
      </c>
      <c r="C4323" t="s">
        <v>1500</v>
      </c>
      <c r="D4323" s="9">
        <v>187870</v>
      </c>
      <c r="E4323">
        <v>1.4339999999999999E-4</v>
      </c>
    </row>
    <row r="4324" spans="1:5">
      <c r="A4324">
        <v>2021</v>
      </c>
      <c r="B4324" s="3" t="s">
        <v>78</v>
      </c>
      <c r="C4324" t="s">
        <v>25</v>
      </c>
      <c r="D4324" s="9">
        <v>1353996</v>
      </c>
      <c r="E4324">
        <v>1.0338000000000001E-3</v>
      </c>
    </row>
    <row r="4325" spans="1:5">
      <c r="A4325">
        <v>2021</v>
      </c>
      <c r="B4325" s="3" t="s">
        <v>79</v>
      </c>
      <c r="C4325" t="s">
        <v>1502</v>
      </c>
      <c r="D4325" s="9">
        <v>13776</v>
      </c>
      <c r="E4325">
        <v>1.0499999999999999E-5</v>
      </c>
    </row>
    <row r="4326" spans="1:5">
      <c r="A4326">
        <v>2021</v>
      </c>
      <c r="B4326" s="3" t="s">
        <v>80</v>
      </c>
      <c r="C4326" t="s">
        <v>1503</v>
      </c>
      <c r="D4326" s="9">
        <v>1935510</v>
      </c>
      <c r="E4326">
        <v>1.4779000000000001E-3</v>
      </c>
    </row>
    <row r="4327" spans="1:5">
      <c r="A4327">
        <v>2021</v>
      </c>
      <c r="B4327" s="3" t="s">
        <v>1324</v>
      </c>
      <c r="C4327" t="s">
        <v>1504</v>
      </c>
      <c r="D4327" s="9">
        <v>94868</v>
      </c>
      <c r="E4327">
        <v>7.2399999999999998E-5</v>
      </c>
    </row>
    <row r="4328" spans="1:5">
      <c r="A4328">
        <v>2021</v>
      </c>
      <c r="B4328" s="3" t="s">
        <v>369</v>
      </c>
      <c r="C4328" t="s">
        <v>1505</v>
      </c>
      <c r="D4328" s="9">
        <v>1214963</v>
      </c>
      <c r="E4328">
        <v>9.2770000000000005E-4</v>
      </c>
    </row>
    <row r="4329" spans="1:5">
      <c r="A4329">
        <v>2021</v>
      </c>
      <c r="B4329" s="3" t="s">
        <v>81</v>
      </c>
      <c r="C4329" t="s">
        <v>1506</v>
      </c>
      <c r="D4329" s="9">
        <v>171007</v>
      </c>
      <c r="E4329">
        <v>1.306E-4</v>
      </c>
    </row>
    <row r="4330" spans="1:5">
      <c r="A4330">
        <v>2021</v>
      </c>
      <c r="B4330" s="3" t="s">
        <v>1371</v>
      </c>
      <c r="C4330" t="s">
        <v>1507</v>
      </c>
      <c r="D4330" s="9">
        <v>10967</v>
      </c>
      <c r="E4330">
        <v>8.3999999999999992E-6</v>
      </c>
    </row>
    <row r="4331" spans="1:5">
      <c r="A4331">
        <v>2021</v>
      </c>
      <c r="B4331" s="3" t="s">
        <v>58</v>
      </c>
      <c r="C4331" t="s">
        <v>1508</v>
      </c>
      <c r="D4331" s="9">
        <v>812407</v>
      </c>
      <c r="E4331">
        <v>6.2029999999999995E-4</v>
      </c>
    </row>
    <row r="4332" spans="1:5">
      <c r="A4332">
        <v>2021</v>
      </c>
      <c r="B4332" s="3" t="s">
        <v>82</v>
      </c>
      <c r="C4332" t="s">
        <v>1509</v>
      </c>
      <c r="D4332" s="9">
        <v>46498</v>
      </c>
      <c r="E4332">
        <v>3.5500000000000002E-5</v>
      </c>
    </row>
    <row r="4333" spans="1:5">
      <c r="A4333">
        <v>2021</v>
      </c>
      <c r="B4333" s="3" t="s">
        <v>83</v>
      </c>
      <c r="C4333" t="s">
        <v>30</v>
      </c>
      <c r="D4333" s="9">
        <v>7789978</v>
      </c>
      <c r="E4333">
        <v>5.9480999999999996E-3</v>
      </c>
    </row>
    <row r="4334" spans="1:5">
      <c r="A4334">
        <v>2021</v>
      </c>
      <c r="B4334" s="3" t="s">
        <v>84</v>
      </c>
      <c r="C4334" t="s">
        <v>31</v>
      </c>
      <c r="D4334" s="9"/>
    </row>
    <row r="4335" spans="1:5">
      <c r="A4335">
        <v>2021</v>
      </c>
      <c r="B4335" s="3" t="s">
        <v>1426</v>
      </c>
      <c r="C4335" t="s">
        <v>1510</v>
      </c>
      <c r="D4335" s="9">
        <v>4376</v>
      </c>
      <c r="E4335">
        <v>3.3000000000000002E-6</v>
      </c>
    </row>
    <row r="4336" spans="1:5">
      <c r="A4336">
        <v>2021</v>
      </c>
      <c r="B4336" s="3" t="s">
        <v>91</v>
      </c>
      <c r="C4336" t="s">
        <v>1511</v>
      </c>
      <c r="D4336" s="9">
        <v>23945</v>
      </c>
      <c r="E4336">
        <v>1.8300000000000001E-5</v>
      </c>
    </row>
    <row r="4337" spans="1:5">
      <c r="A4337">
        <v>2021</v>
      </c>
      <c r="B4337" s="3" t="s">
        <v>97</v>
      </c>
      <c r="C4337" t="s">
        <v>1512</v>
      </c>
      <c r="D4337" s="9">
        <v>60265</v>
      </c>
      <c r="E4337">
        <v>4.6E-5</v>
      </c>
    </row>
    <row r="4338" spans="1:5">
      <c r="A4338">
        <v>2021</v>
      </c>
      <c r="B4338" s="3" t="s">
        <v>98</v>
      </c>
      <c r="C4338" t="s">
        <v>1513</v>
      </c>
      <c r="D4338" s="9">
        <v>38977</v>
      </c>
      <c r="E4338">
        <v>2.9799999999999999E-5</v>
      </c>
    </row>
    <row r="4339" spans="1:5">
      <c r="A4339">
        <v>2021</v>
      </c>
      <c r="B4339" s="3" t="s">
        <v>99</v>
      </c>
      <c r="C4339" t="s">
        <v>1514</v>
      </c>
      <c r="D4339" s="9">
        <v>18766</v>
      </c>
      <c r="E4339">
        <v>1.43E-5</v>
      </c>
    </row>
    <row r="4340" spans="1:5">
      <c r="A4340">
        <v>2021</v>
      </c>
      <c r="B4340" s="3" t="s">
        <v>210</v>
      </c>
      <c r="C4340" t="s">
        <v>1515</v>
      </c>
      <c r="D4340" s="9"/>
    </row>
    <row r="4341" spans="1:5">
      <c r="A4341">
        <v>2021</v>
      </c>
      <c r="B4341" s="3" t="s">
        <v>85</v>
      </c>
      <c r="C4341" t="s">
        <v>1516</v>
      </c>
      <c r="D4341" s="9">
        <v>29534</v>
      </c>
      <c r="E4341">
        <v>2.26E-5</v>
      </c>
    </row>
    <row r="4342" spans="1:5">
      <c r="A4342">
        <v>2021</v>
      </c>
      <c r="B4342" s="3" t="s">
        <v>102</v>
      </c>
      <c r="C4342" t="s">
        <v>1517</v>
      </c>
      <c r="D4342" s="9">
        <v>13822</v>
      </c>
      <c r="E4342">
        <v>1.06E-5</v>
      </c>
    </row>
    <row r="4343" spans="1:5">
      <c r="A4343">
        <v>2021</v>
      </c>
      <c r="B4343" s="3" t="s">
        <v>104</v>
      </c>
      <c r="C4343" t="s">
        <v>1518</v>
      </c>
      <c r="D4343" s="9">
        <v>54019</v>
      </c>
      <c r="E4343">
        <v>4.1199999999999999E-5</v>
      </c>
    </row>
    <row r="4344" spans="1:5">
      <c r="A4344">
        <v>2021</v>
      </c>
      <c r="B4344" s="3" t="s">
        <v>106</v>
      </c>
      <c r="C4344" t="s">
        <v>1519</v>
      </c>
      <c r="D4344" s="9">
        <v>7817</v>
      </c>
      <c r="E4344">
        <v>6.0000000000000002E-6</v>
      </c>
    </row>
    <row r="4345" spans="1:5">
      <c r="A4345">
        <v>2021</v>
      </c>
      <c r="B4345" s="3" t="s">
        <v>107</v>
      </c>
      <c r="C4345" t="s">
        <v>1520</v>
      </c>
      <c r="D4345" s="9">
        <v>29149</v>
      </c>
      <c r="E4345">
        <v>2.23E-5</v>
      </c>
    </row>
    <row r="4346" spans="1:5">
      <c r="A4346">
        <v>2021</v>
      </c>
      <c r="B4346" s="3" t="s">
        <v>108</v>
      </c>
      <c r="C4346" t="s">
        <v>1521</v>
      </c>
      <c r="D4346" s="9">
        <v>329618</v>
      </c>
      <c r="E4346">
        <v>2.5169999999999999E-4</v>
      </c>
    </row>
    <row r="4347" spans="1:5">
      <c r="A4347">
        <v>2021</v>
      </c>
      <c r="B4347" s="3" t="s">
        <v>109</v>
      </c>
      <c r="C4347" t="s">
        <v>1522</v>
      </c>
      <c r="D4347" s="9">
        <v>20166</v>
      </c>
      <c r="E4347">
        <v>1.5400000000000002E-5</v>
      </c>
    </row>
    <row r="4348" spans="1:5">
      <c r="A4348">
        <v>2021</v>
      </c>
      <c r="B4348" s="3" t="s">
        <v>1140</v>
      </c>
      <c r="C4348" t="s">
        <v>1525</v>
      </c>
      <c r="D4348" s="9">
        <v>471781</v>
      </c>
      <c r="E4348">
        <v>3.6019999999999997E-4</v>
      </c>
    </row>
    <row r="4349" spans="1:5">
      <c r="A4349">
        <v>2021</v>
      </c>
      <c r="B4349" s="3" t="s">
        <v>168</v>
      </c>
      <c r="C4349" t="s">
        <v>113</v>
      </c>
      <c r="D4349" s="9">
        <v>62613</v>
      </c>
      <c r="E4349">
        <v>4.7800000000000003E-5</v>
      </c>
    </row>
    <row r="4350" spans="1:5">
      <c r="A4350">
        <v>2021</v>
      </c>
      <c r="B4350" s="3" t="s">
        <v>170</v>
      </c>
      <c r="C4350" t="s">
        <v>1526</v>
      </c>
      <c r="D4350" s="9">
        <v>23794</v>
      </c>
      <c r="E4350">
        <v>1.8199999999999999E-5</v>
      </c>
    </row>
    <row r="4351" spans="1:5">
      <c r="A4351">
        <v>2021</v>
      </c>
      <c r="B4351" s="3" t="s">
        <v>169</v>
      </c>
      <c r="C4351" t="s">
        <v>1527</v>
      </c>
      <c r="D4351" s="9">
        <v>129875</v>
      </c>
      <c r="E4351">
        <v>9.9199999999999999E-5</v>
      </c>
    </row>
    <row r="4352" spans="1:5">
      <c r="A4352">
        <v>2021</v>
      </c>
      <c r="B4352" s="3" t="s">
        <v>1381</v>
      </c>
      <c r="C4352" t="s">
        <v>1528</v>
      </c>
      <c r="D4352" s="9">
        <v>7951</v>
      </c>
      <c r="E4352">
        <v>6.1E-6</v>
      </c>
    </row>
    <row r="4353" spans="1:5">
      <c r="A4353">
        <v>2021</v>
      </c>
      <c r="B4353" s="3" t="s">
        <v>171</v>
      </c>
      <c r="C4353" t="s">
        <v>1529</v>
      </c>
      <c r="D4353" s="9">
        <v>71190</v>
      </c>
      <c r="E4353">
        <v>5.4400000000000001E-5</v>
      </c>
    </row>
    <row r="4354" spans="1:5">
      <c r="A4354">
        <v>2021</v>
      </c>
      <c r="B4354" s="3" t="s">
        <v>1427</v>
      </c>
      <c r="C4354" t="s">
        <v>1530</v>
      </c>
      <c r="D4354" s="9">
        <v>679878</v>
      </c>
      <c r="E4354">
        <v>5.1909999999999999E-4</v>
      </c>
    </row>
    <row r="4355" spans="1:5">
      <c r="A4355">
        <v>2021</v>
      </c>
      <c r="B4355" s="3" t="s">
        <v>172</v>
      </c>
      <c r="C4355" t="s">
        <v>117</v>
      </c>
      <c r="D4355" s="9">
        <v>1778260</v>
      </c>
      <c r="E4355">
        <v>1.3577999999999999E-3</v>
      </c>
    </row>
    <row r="4356" spans="1:5">
      <c r="A4356">
        <v>2021</v>
      </c>
      <c r="B4356" s="3" t="s">
        <v>173</v>
      </c>
      <c r="C4356" t="s">
        <v>1531</v>
      </c>
      <c r="D4356" s="9">
        <v>169822</v>
      </c>
      <c r="E4356">
        <v>1.2970000000000001E-4</v>
      </c>
    </row>
    <row r="4357" spans="1:5">
      <c r="A4357">
        <v>2021</v>
      </c>
      <c r="B4357" s="3" t="s">
        <v>174</v>
      </c>
      <c r="C4357" t="s">
        <v>119</v>
      </c>
      <c r="D4357" s="9">
        <v>95545</v>
      </c>
      <c r="E4357">
        <v>7.2999999999999999E-5</v>
      </c>
    </row>
    <row r="4358" spans="1:5">
      <c r="A4358">
        <v>2021</v>
      </c>
      <c r="B4358" s="3" t="s">
        <v>175</v>
      </c>
      <c r="C4358" t="s">
        <v>1532</v>
      </c>
      <c r="D4358" s="9">
        <v>482434</v>
      </c>
      <c r="E4358">
        <v>3.6840000000000001E-4</v>
      </c>
    </row>
    <row r="4359" spans="1:5">
      <c r="A4359">
        <v>2021</v>
      </c>
      <c r="B4359" s="3" t="s">
        <v>176</v>
      </c>
      <c r="C4359" t="s">
        <v>1533</v>
      </c>
      <c r="D4359" s="9">
        <v>218906</v>
      </c>
      <c r="E4359">
        <v>1.671E-4</v>
      </c>
    </row>
    <row r="4360" spans="1:5">
      <c r="A4360">
        <v>2021</v>
      </c>
      <c r="B4360" s="3" t="s">
        <v>177</v>
      </c>
      <c r="C4360" t="s">
        <v>122</v>
      </c>
      <c r="D4360" s="9">
        <v>167453</v>
      </c>
      <c r="E4360">
        <v>1.2789999999999999E-4</v>
      </c>
    </row>
    <row r="4361" spans="1:5">
      <c r="A4361">
        <v>2021</v>
      </c>
      <c r="B4361" s="3" t="s">
        <v>178</v>
      </c>
      <c r="C4361" t="s">
        <v>1534</v>
      </c>
      <c r="D4361" s="9">
        <v>4064362</v>
      </c>
      <c r="E4361">
        <v>3.1034000000000001E-3</v>
      </c>
    </row>
    <row r="4362" spans="1:5">
      <c r="A4362">
        <v>2021</v>
      </c>
      <c r="B4362" s="3" t="s">
        <v>181</v>
      </c>
      <c r="C4362" t="s">
        <v>1535</v>
      </c>
      <c r="D4362" s="9">
        <v>1360209</v>
      </c>
      <c r="E4362">
        <v>1.0386E-3</v>
      </c>
    </row>
    <row r="4363" spans="1:5">
      <c r="A4363">
        <v>2021</v>
      </c>
      <c r="B4363" s="3" t="s">
        <v>1382</v>
      </c>
      <c r="C4363" t="s">
        <v>1536</v>
      </c>
      <c r="D4363" s="9">
        <v>13513697</v>
      </c>
      <c r="E4363">
        <v>1.03184E-2</v>
      </c>
    </row>
    <row r="4364" spans="1:5">
      <c r="A4364">
        <v>2021</v>
      </c>
      <c r="B4364" s="3" t="s">
        <v>182</v>
      </c>
      <c r="C4364" t="s">
        <v>1537</v>
      </c>
      <c r="D4364" s="9">
        <v>6543083</v>
      </c>
      <c r="E4364">
        <v>4.9959999999999996E-3</v>
      </c>
    </row>
    <row r="4365" spans="1:5">
      <c r="A4365">
        <v>2021</v>
      </c>
      <c r="B4365" s="3" t="s">
        <v>183</v>
      </c>
      <c r="C4365" t="s">
        <v>1538</v>
      </c>
      <c r="D4365" s="9">
        <v>39514681</v>
      </c>
      <c r="E4365">
        <v>3.01716E-2</v>
      </c>
    </row>
    <row r="4366" spans="1:5">
      <c r="A4366">
        <v>2021</v>
      </c>
      <c r="B4366" s="3" t="s">
        <v>184</v>
      </c>
      <c r="C4366" t="s">
        <v>1539</v>
      </c>
      <c r="D4366" s="9">
        <v>4033253</v>
      </c>
      <c r="E4366">
        <v>3.0796E-3</v>
      </c>
    </row>
    <row r="4367" spans="1:5">
      <c r="A4367">
        <v>2021</v>
      </c>
      <c r="B4367" s="3" t="s">
        <v>185</v>
      </c>
      <c r="C4367" t="s">
        <v>1540</v>
      </c>
      <c r="D4367" s="9">
        <v>1972298</v>
      </c>
      <c r="E4367">
        <v>1.506E-3</v>
      </c>
    </row>
    <row r="4368" spans="1:5">
      <c r="A4368">
        <v>2021</v>
      </c>
      <c r="B4368" s="3" t="s">
        <v>186</v>
      </c>
      <c r="C4368" t="s">
        <v>1541</v>
      </c>
      <c r="D4368" s="9">
        <v>3430376</v>
      </c>
      <c r="E4368">
        <v>2.6193000000000002E-3</v>
      </c>
    </row>
    <row r="4369" spans="1:5">
      <c r="A4369">
        <v>2021</v>
      </c>
      <c r="B4369" s="3" t="s">
        <v>187</v>
      </c>
      <c r="C4369" t="s">
        <v>1542</v>
      </c>
      <c r="D4369" s="9"/>
    </row>
    <row r="4370" spans="1:5">
      <c r="A4370">
        <v>2021</v>
      </c>
      <c r="B4370" s="3" t="s">
        <v>189</v>
      </c>
      <c r="C4370" t="s">
        <v>1544</v>
      </c>
      <c r="D4370" s="9">
        <v>725827</v>
      </c>
      <c r="E4370">
        <v>5.5420000000000003E-4</v>
      </c>
    </row>
    <row r="4371" spans="1:5">
      <c r="A4371">
        <v>2021</v>
      </c>
      <c r="B4371" s="3" t="s">
        <v>190</v>
      </c>
      <c r="C4371" t="s">
        <v>1546</v>
      </c>
      <c r="D4371" s="9">
        <v>9716104</v>
      </c>
      <c r="E4371">
        <v>7.4187999999999997E-3</v>
      </c>
    </row>
    <row r="4372" spans="1:5">
      <c r="A4372">
        <v>2021</v>
      </c>
      <c r="B4372" s="3" t="s">
        <v>191</v>
      </c>
      <c r="C4372" t="s">
        <v>1547</v>
      </c>
      <c r="D4372" s="9">
        <v>77835</v>
      </c>
      <c r="E4372">
        <v>5.94E-5</v>
      </c>
    </row>
    <row r="4373" spans="1:5">
      <c r="A4373">
        <v>2021</v>
      </c>
      <c r="B4373" s="3" t="s">
        <v>192</v>
      </c>
      <c r="C4373" t="s">
        <v>1548</v>
      </c>
      <c r="D4373" s="9">
        <v>521476</v>
      </c>
      <c r="E4373">
        <v>3.9819999999999998E-4</v>
      </c>
    </row>
    <row r="4374" spans="1:5">
      <c r="A4374">
        <v>2021</v>
      </c>
      <c r="B4374" s="3" t="s">
        <v>193</v>
      </c>
      <c r="C4374" t="s">
        <v>1549</v>
      </c>
      <c r="D4374" s="9">
        <v>957941</v>
      </c>
      <c r="E4374">
        <v>7.314E-4</v>
      </c>
    </row>
    <row r="4375" spans="1:5">
      <c r="A4375">
        <v>2021</v>
      </c>
      <c r="B4375" s="3" t="s">
        <v>194</v>
      </c>
      <c r="C4375" t="s">
        <v>1550</v>
      </c>
      <c r="D4375" s="9">
        <v>588465</v>
      </c>
      <c r="E4375">
        <v>4.4930000000000002E-4</v>
      </c>
    </row>
    <row r="4376" spans="1:5">
      <c r="A4376">
        <v>2021</v>
      </c>
      <c r="B4376" s="3" t="s">
        <v>196</v>
      </c>
      <c r="C4376" t="s">
        <v>1551</v>
      </c>
      <c r="D4376" s="9">
        <v>139346</v>
      </c>
      <c r="E4376">
        <v>1.064E-4</v>
      </c>
    </row>
    <row r="4377" spans="1:5">
      <c r="A4377">
        <v>2021</v>
      </c>
      <c r="B4377" s="3" t="s">
        <v>197</v>
      </c>
      <c r="C4377" t="s">
        <v>1552</v>
      </c>
      <c r="D4377" s="9">
        <v>5261213</v>
      </c>
      <c r="E4377">
        <v>4.0172000000000003E-3</v>
      </c>
    </row>
    <row r="4378" spans="1:5">
      <c r="A4378">
        <v>2021</v>
      </c>
      <c r="B4378" s="3" t="s">
        <v>198</v>
      </c>
      <c r="C4378" t="s">
        <v>1553</v>
      </c>
      <c r="D4378" s="9">
        <v>147818</v>
      </c>
      <c r="E4378">
        <v>1.1290000000000001E-4</v>
      </c>
    </row>
    <row r="4379" spans="1:5">
      <c r="A4379">
        <v>2021</v>
      </c>
      <c r="B4379" s="3" t="s">
        <v>199</v>
      </c>
      <c r="C4379" t="s">
        <v>1554</v>
      </c>
      <c r="D4379" s="9">
        <v>3688400</v>
      </c>
      <c r="E4379">
        <v>2.8162999999999999E-3</v>
      </c>
    </row>
    <row r="4380" spans="1:5">
      <c r="A4380">
        <v>2021</v>
      </c>
      <c r="B4380" s="3" t="s">
        <v>200</v>
      </c>
      <c r="C4380" t="s">
        <v>1555</v>
      </c>
      <c r="D4380" s="9">
        <v>22019981</v>
      </c>
      <c r="E4380">
        <v>1.6813399999999999E-2</v>
      </c>
    </row>
    <row r="4381" spans="1:5">
      <c r="A4381">
        <v>2021</v>
      </c>
      <c r="B4381" s="3" t="s">
        <v>201</v>
      </c>
      <c r="C4381" t="s">
        <v>1556</v>
      </c>
      <c r="D4381" s="9">
        <v>1878569</v>
      </c>
      <c r="E4381">
        <v>1.4344E-3</v>
      </c>
    </row>
    <row r="4382" spans="1:5">
      <c r="A4382">
        <v>2021</v>
      </c>
      <c r="B4382" s="3" t="s">
        <v>202</v>
      </c>
      <c r="C4382" t="s">
        <v>1557</v>
      </c>
      <c r="D4382" s="9">
        <v>1205239</v>
      </c>
      <c r="E4382">
        <v>9.2029999999999998E-4</v>
      </c>
    </row>
    <row r="4383" spans="1:5">
      <c r="A4383">
        <v>2021</v>
      </c>
      <c r="B4383" s="3" t="s">
        <v>204</v>
      </c>
      <c r="C4383" t="s">
        <v>1559</v>
      </c>
      <c r="D4383" s="9">
        <v>1101810</v>
      </c>
      <c r="E4383">
        <v>8.4130000000000001E-4</v>
      </c>
    </row>
    <row r="4384" spans="1:5">
      <c r="A4384">
        <v>2021</v>
      </c>
      <c r="B4384" s="3" t="s">
        <v>205</v>
      </c>
      <c r="C4384" t="s">
        <v>150</v>
      </c>
      <c r="D4384" s="9">
        <v>160712</v>
      </c>
      <c r="E4384">
        <v>1.227E-4</v>
      </c>
    </row>
    <row r="4385" spans="1:5">
      <c r="A4385">
        <v>2021</v>
      </c>
      <c r="B4385" s="3" t="s">
        <v>1563</v>
      </c>
      <c r="C4385" t="s">
        <v>1560</v>
      </c>
      <c r="D4385" s="9">
        <v>119995</v>
      </c>
      <c r="E4385">
        <v>9.1600000000000004E-5</v>
      </c>
    </row>
    <row r="4386" spans="1:5">
      <c r="A4386">
        <v>2021</v>
      </c>
      <c r="B4386" s="3" t="s">
        <v>2088</v>
      </c>
      <c r="C4386" t="s">
        <v>2086</v>
      </c>
      <c r="D4386" s="9">
        <v>448871</v>
      </c>
      <c r="E4386">
        <v>3.4269999999999998E-4</v>
      </c>
    </row>
    <row r="4387" spans="1:5">
      <c r="A4387">
        <v>2021</v>
      </c>
      <c r="B4387" s="3" t="s">
        <v>188</v>
      </c>
      <c r="C4387" t="s">
        <v>1561</v>
      </c>
      <c r="D4387" s="9">
        <v>2848026</v>
      </c>
      <c r="E4387">
        <v>2.1746000000000001E-3</v>
      </c>
    </row>
    <row r="4388" spans="1:5">
      <c r="A4388">
        <v>2021</v>
      </c>
      <c r="B4388" s="3" t="s">
        <v>206</v>
      </c>
      <c r="C4388" t="s">
        <v>1562</v>
      </c>
      <c r="D4388" s="9"/>
    </row>
    <row r="4389" spans="1:5">
      <c r="A4389">
        <v>2021</v>
      </c>
      <c r="B4389" s="3" t="s">
        <v>207</v>
      </c>
      <c r="C4389" t="s">
        <v>152</v>
      </c>
      <c r="D4389" s="9">
        <v>971498</v>
      </c>
      <c r="E4389">
        <v>7.4180000000000003E-4</v>
      </c>
    </row>
    <row r="4390" spans="1:5">
      <c r="A4390">
        <v>2021</v>
      </c>
      <c r="B4390" s="3" t="s">
        <v>57</v>
      </c>
      <c r="C4390" t="s">
        <v>1564</v>
      </c>
      <c r="D4390" s="9">
        <v>6715957</v>
      </c>
      <c r="E4390">
        <v>5.1279999999999997E-3</v>
      </c>
    </row>
    <row r="4391" spans="1:5">
      <c r="A4391">
        <v>2021</v>
      </c>
      <c r="B4391" s="3" t="s">
        <v>208</v>
      </c>
      <c r="C4391" t="s">
        <v>153</v>
      </c>
      <c r="D4391" s="9"/>
    </row>
    <row r="4392" spans="1:5">
      <c r="A4392">
        <v>2021</v>
      </c>
      <c r="B4392" s="3" t="s">
        <v>209</v>
      </c>
      <c r="C4392" t="s">
        <v>154</v>
      </c>
      <c r="D4392" s="9">
        <v>190500</v>
      </c>
      <c r="E4392">
        <v>1.4550000000000001E-4</v>
      </c>
    </row>
    <row r="4393" spans="1:5">
      <c r="A4393">
        <v>2021</v>
      </c>
      <c r="B4393" s="3" t="s">
        <v>211</v>
      </c>
      <c r="C4393" t="s">
        <v>1565</v>
      </c>
      <c r="D4393" s="9">
        <v>881436</v>
      </c>
      <c r="E4393">
        <v>6.7299999999999999E-4</v>
      </c>
    </row>
    <row r="4394" spans="1:5">
      <c r="A4394">
        <v>2021</v>
      </c>
      <c r="B4394" s="3" t="s">
        <v>212</v>
      </c>
      <c r="C4394" t="s">
        <v>1566</v>
      </c>
      <c r="D4394" s="9">
        <v>1832</v>
      </c>
      <c r="E4394">
        <v>1.3999999999999999E-6</v>
      </c>
    </row>
    <row r="4395" spans="1:5">
      <c r="A4395">
        <v>2021</v>
      </c>
      <c r="B4395" s="3" t="s">
        <v>213</v>
      </c>
      <c r="C4395" t="s">
        <v>158</v>
      </c>
      <c r="D4395" s="9">
        <v>1174444</v>
      </c>
      <c r="E4395">
        <v>8.9680000000000001E-4</v>
      </c>
    </row>
    <row r="4396" spans="1:5">
      <c r="A4396">
        <v>2021</v>
      </c>
      <c r="B4396" s="3" t="s">
        <v>1597</v>
      </c>
      <c r="C4396" t="s">
        <v>1567</v>
      </c>
      <c r="D4396" s="9">
        <v>17206</v>
      </c>
      <c r="E4396">
        <v>1.31E-5</v>
      </c>
    </row>
    <row r="4397" spans="1:5">
      <c r="A4397">
        <v>2021</v>
      </c>
      <c r="B4397" s="3" t="s">
        <v>214</v>
      </c>
      <c r="C4397" t="s">
        <v>159</v>
      </c>
      <c r="D4397" s="9">
        <v>204304</v>
      </c>
      <c r="E4397">
        <v>1.56E-4</v>
      </c>
    </row>
    <row r="4398" spans="1:5">
      <c r="A4398">
        <v>2021</v>
      </c>
      <c r="B4398" s="3" t="s">
        <v>215</v>
      </c>
      <c r="C4398" t="s">
        <v>1568</v>
      </c>
      <c r="D4398" s="9">
        <v>212486</v>
      </c>
      <c r="E4398">
        <v>1.6220000000000001E-4</v>
      </c>
    </row>
    <row r="4399" spans="1:5">
      <c r="A4399">
        <v>2021</v>
      </c>
      <c r="B4399" s="3" t="s">
        <v>217</v>
      </c>
      <c r="C4399" t="s">
        <v>162</v>
      </c>
      <c r="D4399" s="9">
        <v>397956</v>
      </c>
      <c r="E4399">
        <v>3.0390000000000001E-4</v>
      </c>
    </row>
    <row r="4400" spans="1:5">
      <c r="A4400">
        <v>2021</v>
      </c>
      <c r="B4400" s="3" t="s">
        <v>219</v>
      </c>
      <c r="C4400" t="s">
        <v>164</v>
      </c>
      <c r="D4400" s="9">
        <v>335090</v>
      </c>
      <c r="E4400">
        <v>2.5589999999999999E-4</v>
      </c>
    </row>
    <row r="4401" spans="1:5">
      <c r="A4401">
        <v>2021</v>
      </c>
      <c r="B4401" s="3" t="s">
        <v>73</v>
      </c>
      <c r="C4401" t="s">
        <v>2354</v>
      </c>
      <c r="D4401" s="9">
        <v>258061</v>
      </c>
      <c r="E4401">
        <v>1.9699999999999999E-4</v>
      </c>
    </row>
    <row r="4402" spans="1:5">
      <c r="A4402">
        <v>2021</v>
      </c>
      <c r="B4402" s="3" t="s">
        <v>220</v>
      </c>
      <c r="C4402" t="s">
        <v>1571</v>
      </c>
      <c r="D4402" s="9">
        <v>77596</v>
      </c>
      <c r="E4402">
        <v>5.9200000000000002E-5</v>
      </c>
    </row>
    <row r="4403" spans="1:5">
      <c r="A4403">
        <v>2021</v>
      </c>
      <c r="B4403" s="3" t="s">
        <v>1387</v>
      </c>
      <c r="C4403" t="s">
        <v>1572</v>
      </c>
      <c r="D4403" s="9">
        <v>7496</v>
      </c>
      <c r="E4403">
        <v>5.6999999999999996E-6</v>
      </c>
    </row>
    <row r="4404" spans="1:5">
      <c r="A4404">
        <v>2021</v>
      </c>
      <c r="B4404" s="3" t="s">
        <v>1388</v>
      </c>
      <c r="C4404" t="s">
        <v>1573</v>
      </c>
      <c r="D4404" s="9">
        <v>8246</v>
      </c>
      <c r="E4404">
        <v>6.2999999999999998E-6</v>
      </c>
    </row>
    <row r="4405" spans="1:5">
      <c r="A4405">
        <v>2021</v>
      </c>
      <c r="B4405" s="3" t="s">
        <v>1389</v>
      </c>
      <c r="C4405" t="s">
        <v>1574</v>
      </c>
      <c r="D4405" s="9">
        <v>108677</v>
      </c>
      <c r="E4405">
        <v>8.2999999999999998E-5</v>
      </c>
    </row>
    <row r="4406" spans="1:5">
      <c r="A4406">
        <v>2021</v>
      </c>
      <c r="B4406" s="3" t="s">
        <v>1598</v>
      </c>
      <c r="C4406" t="s">
        <v>1575</v>
      </c>
      <c r="D4406" s="9">
        <v>212020</v>
      </c>
      <c r="E4406">
        <v>1.6190000000000001E-4</v>
      </c>
    </row>
    <row r="4407" spans="1:5">
      <c r="A4407">
        <v>2021</v>
      </c>
      <c r="B4407" s="3" t="s">
        <v>1390</v>
      </c>
      <c r="C4407" t="s">
        <v>1578</v>
      </c>
      <c r="D4407" s="9">
        <v>1575356</v>
      </c>
      <c r="E4407">
        <v>1.2029E-3</v>
      </c>
    </row>
    <row r="4408" spans="1:5">
      <c r="A4408">
        <v>2021</v>
      </c>
      <c r="B4408" s="3" t="s">
        <v>1393</v>
      </c>
      <c r="C4408" t="s">
        <v>1579</v>
      </c>
      <c r="D4408" s="9">
        <v>207227</v>
      </c>
      <c r="E4408">
        <v>1.582E-4</v>
      </c>
    </row>
    <row r="4409" spans="1:5">
      <c r="A4409">
        <v>2021</v>
      </c>
      <c r="B4409" s="3" t="s">
        <v>1395</v>
      </c>
      <c r="C4409" t="s">
        <v>230</v>
      </c>
      <c r="D4409" s="9">
        <v>461445</v>
      </c>
      <c r="E4409">
        <v>3.523E-4</v>
      </c>
    </row>
    <row r="4410" spans="1:5">
      <c r="A4410">
        <v>2021</v>
      </c>
      <c r="B4410" s="3" t="s">
        <v>1396</v>
      </c>
      <c r="C4410" t="s">
        <v>231</v>
      </c>
      <c r="D4410" s="9">
        <v>61308</v>
      </c>
      <c r="E4410">
        <v>4.6799999999999999E-5</v>
      </c>
    </row>
    <row r="4411" spans="1:5">
      <c r="A4411">
        <v>2021</v>
      </c>
      <c r="B4411" s="3" t="s">
        <v>1398</v>
      </c>
      <c r="C4411" t="s">
        <v>1580</v>
      </c>
      <c r="D4411" s="9">
        <v>41349</v>
      </c>
      <c r="E4411">
        <v>3.1600000000000002E-5</v>
      </c>
    </row>
    <row r="4412" spans="1:5">
      <c r="A4412">
        <v>2021</v>
      </c>
      <c r="B4412" s="3" t="s">
        <v>1399</v>
      </c>
      <c r="C4412" t="s">
        <v>234</v>
      </c>
      <c r="D4412" s="9"/>
    </row>
    <row r="4413" spans="1:5">
      <c r="A4413">
        <v>2021</v>
      </c>
      <c r="B4413" s="3" t="s">
        <v>1400</v>
      </c>
      <c r="C4413" t="s">
        <v>1581</v>
      </c>
      <c r="D4413" s="9">
        <v>699300</v>
      </c>
      <c r="E4413">
        <v>5.3399999999999997E-4</v>
      </c>
    </row>
    <row r="4414" spans="1:5">
      <c r="A4414">
        <v>2021</v>
      </c>
      <c r="B4414" s="3" t="s">
        <v>1401</v>
      </c>
      <c r="C4414" t="s">
        <v>1582</v>
      </c>
      <c r="D4414" s="9">
        <v>62460</v>
      </c>
      <c r="E4414">
        <v>4.7700000000000001E-5</v>
      </c>
    </row>
    <row r="4415" spans="1:5">
      <c r="A4415">
        <v>2021</v>
      </c>
      <c r="B4415" s="3" t="s">
        <v>1402</v>
      </c>
      <c r="C4415" t="s">
        <v>237</v>
      </c>
      <c r="D4415" s="9">
        <v>87205</v>
      </c>
      <c r="E4415">
        <v>6.6600000000000006E-5</v>
      </c>
    </row>
    <row r="4416" spans="1:5">
      <c r="A4416">
        <v>2021</v>
      </c>
      <c r="B4416" s="3" t="s">
        <v>1403</v>
      </c>
      <c r="C4416" t="s">
        <v>1584</v>
      </c>
      <c r="D4416" s="9">
        <v>499548</v>
      </c>
      <c r="E4416">
        <v>3.814E-4</v>
      </c>
    </row>
    <row r="4417" spans="1:5">
      <c r="A4417">
        <v>2021</v>
      </c>
      <c r="B4417" s="3" t="s">
        <v>1404</v>
      </c>
      <c r="C4417" t="s">
        <v>1585</v>
      </c>
      <c r="D4417" s="9">
        <v>779931</v>
      </c>
      <c r="E4417">
        <v>5.955E-4</v>
      </c>
    </row>
    <row r="4418" spans="1:5">
      <c r="A4418">
        <v>2021</v>
      </c>
      <c r="B4418" s="3" t="s">
        <v>1405</v>
      </c>
      <c r="C4418" t="s">
        <v>1586</v>
      </c>
      <c r="D4418" s="9">
        <v>56310</v>
      </c>
      <c r="E4418">
        <v>4.3000000000000002E-5</v>
      </c>
    </row>
    <row r="4419" spans="1:5">
      <c r="A4419">
        <v>2021</v>
      </c>
      <c r="B4419" s="3" t="s">
        <v>1406</v>
      </c>
      <c r="C4419" t="s">
        <v>1587</v>
      </c>
      <c r="D4419" s="9">
        <v>102461</v>
      </c>
      <c r="E4419">
        <v>7.8200000000000003E-5</v>
      </c>
    </row>
    <row r="4420" spans="1:5">
      <c r="A4420">
        <v>2021</v>
      </c>
      <c r="B4420" s="3" t="s">
        <v>1397</v>
      </c>
      <c r="C4420" t="s">
        <v>1588</v>
      </c>
      <c r="D4420" s="9">
        <v>35072</v>
      </c>
      <c r="E4420">
        <v>2.6800000000000001E-5</v>
      </c>
    </row>
    <row r="4421" spans="1:5">
      <c r="A4421">
        <v>2021</v>
      </c>
      <c r="B4421" s="3" t="s">
        <v>88</v>
      </c>
      <c r="C4421" t="s">
        <v>1589</v>
      </c>
      <c r="D4421" s="9">
        <v>80643</v>
      </c>
      <c r="E4421">
        <v>6.1600000000000007E-5</v>
      </c>
    </row>
    <row r="4422" spans="1:5">
      <c r="A4422">
        <v>2021</v>
      </c>
      <c r="B4422" s="3" t="s">
        <v>90</v>
      </c>
      <c r="C4422" t="s">
        <v>1590</v>
      </c>
      <c r="D4422" s="9">
        <v>21435</v>
      </c>
      <c r="E4422">
        <v>1.6399999999999999E-5</v>
      </c>
    </row>
    <row r="4423" spans="1:5">
      <c r="A4423">
        <v>2021</v>
      </c>
      <c r="B4423" s="3" t="s">
        <v>87</v>
      </c>
      <c r="C4423" t="s">
        <v>1591</v>
      </c>
      <c r="D4423" s="9">
        <v>109522</v>
      </c>
      <c r="E4423">
        <v>8.3599999999999999E-5</v>
      </c>
    </row>
    <row r="4424" spans="1:5">
      <c r="A4424">
        <v>2021</v>
      </c>
      <c r="B4424" s="3" t="s">
        <v>92</v>
      </c>
      <c r="C4424" t="s">
        <v>2419</v>
      </c>
      <c r="D4424" s="9">
        <v>82073</v>
      </c>
      <c r="E4424">
        <v>6.2700000000000006E-5</v>
      </c>
    </row>
    <row r="4425" spans="1:5">
      <c r="A4425">
        <v>2021</v>
      </c>
      <c r="B4425" s="3" t="s">
        <v>93</v>
      </c>
      <c r="C4425" t="s">
        <v>1593</v>
      </c>
      <c r="D4425" s="9">
        <v>59908</v>
      </c>
      <c r="E4425">
        <v>4.57E-5</v>
      </c>
    </row>
    <row r="4426" spans="1:5">
      <c r="A4426">
        <v>2021</v>
      </c>
      <c r="B4426" s="3" t="s">
        <v>94</v>
      </c>
      <c r="C4426" t="s">
        <v>2420</v>
      </c>
      <c r="D4426" s="9">
        <v>9349</v>
      </c>
      <c r="E4426">
        <v>7.0999999999999998E-6</v>
      </c>
    </row>
    <row r="4427" spans="1:5">
      <c r="A4427">
        <v>2021</v>
      </c>
      <c r="B4427" s="3" t="s">
        <v>95</v>
      </c>
      <c r="C4427" t="s">
        <v>1595</v>
      </c>
      <c r="D4427" s="9">
        <v>57901</v>
      </c>
      <c r="E4427">
        <v>4.4199999999999997E-5</v>
      </c>
    </row>
    <row r="4428" spans="1:5">
      <c r="A4428">
        <v>2021</v>
      </c>
      <c r="B4428" s="3" t="s">
        <v>100</v>
      </c>
      <c r="C4428" t="s">
        <v>1596</v>
      </c>
      <c r="D4428" s="9">
        <v>24147</v>
      </c>
      <c r="E4428">
        <v>1.84E-5</v>
      </c>
    </row>
    <row r="4429" spans="1:5">
      <c r="A4429">
        <v>2021</v>
      </c>
      <c r="B4429" s="3" t="s">
        <v>101</v>
      </c>
      <c r="C4429" t="s">
        <v>1599</v>
      </c>
      <c r="D4429" s="9">
        <v>347216</v>
      </c>
      <c r="E4429">
        <v>2.6509999999999999E-4</v>
      </c>
    </row>
    <row r="4430" spans="1:5">
      <c r="A4430">
        <v>2021</v>
      </c>
      <c r="B4430" s="3" t="s">
        <v>103</v>
      </c>
      <c r="C4430" t="s">
        <v>2421</v>
      </c>
      <c r="D4430" s="9">
        <v>12008</v>
      </c>
      <c r="E4430">
        <v>9.2E-6</v>
      </c>
    </row>
    <row r="4431" spans="1:5">
      <c r="A4431">
        <v>2021</v>
      </c>
      <c r="B4431" s="3" t="s">
        <v>105</v>
      </c>
      <c r="C4431" t="s">
        <v>1601</v>
      </c>
      <c r="D4431" s="9">
        <v>191293</v>
      </c>
      <c r="E4431">
        <v>1.461E-4</v>
      </c>
    </row>
    <row r="4432" spans="1:5">
      <c r="A4432">
        <v>2021</v>
      </c>
      <c r="B4432" s="3" t="s">
        <v>166</v>
      </c>
      <c r="C4432" t="s">
        <v>1602</v>
      </c>
      <c r="D4432" s="9">
        <v>24118</v>
      </c>
      <c r="E4432">
        <v>1.84E-5</v>
      </c>
    </row>
    <row r="4433" spans="1:5">
      <c r="A4433">
        <v>2021</v>
      </c>
      <c r="B4433" s="3" t="s">
        <v>86</v>
      </c>
      <c r="C4433" t="s">
        <v>1603</v>
      </c>
      <c r="D4433" s="9">
        <v>19852</v>
      </c>
      <c r="E4433">
        <v>1.52E-5</v>
      </c>
    </row>
    <row r="4434" spans="1:5">
      <c r="A4434">
        <v>2021</v>
      </c>
      <c r="B4434" s="3" t="s">
        <v>110</v>
      </c>
      <c r="C4434" t="s">
        <v>1604</v>
      </c>
      <c r="D4434" s="9">
        <v>104255</v>
      </c>
      <c r="E4434">
        <v>7.9599999999999997E-5</v>
      </c>
    </row>
    <row r="4435" spans="1:5">
      <c r="A4435">
        <v>2021</v>
      </c>
      <c r="B4435" s="3" t="s">
        <v>1409</v>
      </c>
      <c r="C4435" t="s">
        <v>1605</v>
      </c>
      <c r="D4435" s="9">
        <v>870401</v>
      </c>
      <c r="E4435">
        <v>6.646E-4</v>
      </c>
    </row>
    <row r="4436" spans="1:5">
      <c r="A4436">
        <v>2021</v>
      </c>
      <c r="B4436" s="3" t="s">
        <v>195</v>
      </c>
      <c r="C4436" t="s">
        <v>1606</v>
      </c>
      <c r="D4436" s="9">
        <v>740833</v>
      </c>
      <c r="E4436">
        <v>5.6570000000000004E-4</v>
      </c>
    </row>
    <row r="4437" spans="1:5">
      <c r="A4437">
        <v>2021</v>
      </c>
      <c r="B4437" s="3" t="s">
        <v>218</v>
      </c>
      <c r="C4437" t="s">
        <v>1607</v>
      </c>
      <c r="D4437" s="9">
        <v>521662</v>
      </c>
      <c r="E4437">
        <v>3.9829999999999998E-4</v>
      </c>
    </row>
    <row r="4438" spans="1:5">
      <c r="A4438">
        <v>2021</v>
      </c>
      <c r="B4438" s="3" t="s">
        <v>1410</v>
      </c>
      <c r="C4438" t="s">
        <v>243</v>
      </c>
      <c r="D4438" s="9">
        <v>88518</v>
      </c>
      <c r="E4438">
        <v>6.7600000000000003E-5</v>
      </c>
    </row>
    <row r="4439" spans="1:5">
      <c r="A4439">
        <v>2021</v>
      </c>
      <c r="B4439" s="3" t="s">
        <v>1411</v>
      </c>
      <c r="C4439" t="s">
        <v>244</v>
      </c>
      <c r="D4439" s="9">
        <v>1083043</v>
      </c>
      <c r="E4439">
        <v>8.2700000000000004E-4</v>
      </c>
    </row>
    <row r="4440" spans="1:5">
      <c r="A4440">
        <v>2021</v>
      </c>
      <c r="B4440" s="3" t="s">
        <v>1394</v>
      </c>
      <c r="C4440" t="s">
        <v>1608</v>
      </c>
      <c r="D4440" s="9">
        <v>6640</v>
      </c>
      <c r="E4440">
        <v>5.1000000000000003E-6</v>
      </c>
    </row>
    <row r="4441" spans="1:5">
      <c r="A4441">
        <v>2021</v>
      </c>
      <c r="B4441" s="3" t="s">
        <v>1412</v>
      </c>
      <c r="C4441" t="s">
        <v>1609</v>
      </c>
      <c r="D4441" s="9">
        <v>3432372</v>
      </c>
      <c r="E4441">
        <v>2.6208E-3</v>
      </c>
    </row>
    <row r="4442" spans="1:5">
      <c r="A4442">
        <v>2021</v>
      </c>
      <c r="B4442" s="3" t="s">
        <v>1413</v>
      </c>
      <c r="C4442" t="s">
        <v>246</v>
      </c>
      <c r="D4442" s="9">
        <v>657528</v>
      </c>
      <c r="E4442">
        <v>5.0210000000000001E-4</v>
      </c>
    </row>
    <row r="4443" spans="1:5">
      <c r="A4443">
        <v>2021</v>
      </c>
      <c r="B4443" s="3" t="s">
        <v>1414</v>
      </c>
      <c r="C4443" t="s">
        <v>247</v>
      </c>
      <c r="D4443" s="9">
        <v>232797</v>
      </c>
      <c r="E4443">
        <v>1.7780000000000001E-4</v>
      </c>
    </row>
    <row r="4444" spans="1:5">
      <c r="A4444">
        <v>2021</v>
      </c>
      <c r="B4444" s="3" t="s">
        <v>1415</v>
      </c>
      <c r="C4444" t="s">
        <v>248</v>
      </c>
      <c r="D4444" s="9">
        <v>51049987</v>
      </c>
      <c r="E4444">
        <v>3.8979399999999997E-2</v>
      </c>
    </row>
    <row r="4445" spans="1:5">
      <c r="A4445">
        <v>2021</v>
      </c>
      <c r="B4445" s="3" t="s">
        <v>1417</v>
      </c>
      <c r="C4445" t="s">
        <v>1610</v>
      </c>
      <c r="D4445" s="9">
        <v>26658</v>
      </c>
      <c r="E4445">
        <v>2.0400000000000001E-5</v>
      </c>
    </row>
    <row r="4446" spans="1:5">
      <c r="A4446">
        <v>2021</v>
      </c>
      <c r="B4446" s="3" t="s">
        <v>1416</v>
      </c>
      <c r="C4446" t="s">
        <v>249</v>
      </c>
      <c r="D4446" s="9">
        <v>3550057</v>
      </c>
      <c r="E4446">
        <v>2.7106999999999999E-3</v>
      </c>
    </row>
    <row r="4447" spans="1:5">
      <c r="A4447">
        <v>2021</v>
      </c>
      <c r="B4447" s="3" t="s">
        <v>1418</v>
      </c>
      <c r="C4447" t="s">
        <v>1611</v>
      </c>
      <c r="D4447" s="9"/>
    </row>
    <row r="4448" spans="1:5">
      <c r="A4448">
        <v>2021</v>
      </c>
      <c r="B4448" s="3" t="s">
        <v>1419</v>
      </c>
      <c r="C4448" t="s">
        <v>252</v>
      </c>
      <c r="D4448" s="9">
        <v>3119833</v>
      </c>
      <c r="E4448">
        <v>2.3822000000000001E-3</v>
      </c>
    </row>
    <row r="4449" spans="1:5">
      <c r="A4449">
        <v>2021</v>
      </c>
      <c r="B4449" s="3" t="s">
        <v>1420</v>
      </c>
      <c r="C4449" t="s">
        <v>1612</v>
      </c>
      <c r="D4449" s="9">
        <v>204886</v>
      </c>
      <c r="E4449">
        <v>1.5640000000000001E-4</v>
      </c>
    </row>
    <row r="4450" spans="1:5">
      <c r="A4450">
        <v>2021</v>
      </c>
      <c r="B4450" s="3" t="s">
        <v>1015</v>
      </c>
      <c r="C4450" t="s">
        <v>1613</v>
      </c>
      <c r="D4450" s="9">
        <v>535417</v>
      </c>
      <c r="E4450">
        <v>4.0880000000000002E-4</v>
      </c>
    </row>
    <row r="4451" spans="1:5">
      <c r="A4451">
        <v>2021</v>
      </c>
      <c r="B4451" s="3" t="s">
        <v>1014</v>
      </c>
      <c r="C4451" t="s">
        <v>1614</v>
      </c>
      <c r="D4451" s="9"/>
    </row>
    <row r="4452" spans="1:5">
      <c r="A4452">
        <v>2021</v>
      </c>
      <c r="B4452" s="3" t="s">
        <v>1421</v>
      </c>
      <c r="C4452" t="s">
        <v>1615</v>
      </c>
      <c r="D4452" s="9">
        <v>33988</v>
      </c>
      <c r="E4452">
        <v>2.5999999999999998E-5</v>
      </c>
    </row>
    <row r="4453" spans="1:5">
      <c r="A4453">
        <v>2021</v>
      </c>
      <c r="B4453" s="3" t="s">
        <v>1422</v>
      </c>
      <c r="C4453" t="s">
        <v>1616</v>
      </c>
      <c r="D4453" s="9">
        <v>217074</v>
      </c>
      <c r="E4453">
        <v>1.6569999999999999E-4</v>
      </c>
    </row>
    <row r="4454" spans="1:5">
      <c r="A4454">
        <v>2021</v>
      </c>
      <c r="B4454" s="3" t="s">
        <v>1423</v>
      </c>
      <c r="C4454" t="s">
        <v>256</v>
      </c>
      <c r="D4454" s="9">
        <v>3436427</v>
      </c>
      <c r="E4454">
        <v>2.6239000000000002E-3</v>
      </c>
    </row>
    <row r="4455" spans="1:5">
      <c r="A4455">
        <v>2021</v>
      </c>
      <c r="B4455" s="3" t="s">
        <v>1424</v>
      </c>
      <c r="C4455" t="s">
        <v>257</v>
      </c>
      <c r="D4455" s="9">
        <v>3579215</v>
      </c>
      <c r="E4455">
        <v>2.7328999999999999E-3</v>
      </c>
    </row>
    <row r="4456" spans="1:5">
      <c r="A4456">
        <v>2021</v>
      </c>
      <c r="B4456" s="3" t="s">
        <v>370</v>
      </c>
      <c r="C4456" t="s">
        <v>1617</v>
      </c>
      <c r="D4456" s="9">
        <v>3290375</v>
      </c>
      <c r="E4456">
        <v>2.5124000000000001E-3</v>
      </c>
    </row>
    <row r="4457" spans="1:5">
      <c r="A4457">
        <v>2021</v>
      </c>
      <c r="B4457" s="3" t="s">
        <v>1425</v>
      </c>
      <c r="C4457" t="s">
        <v>258</v>
      </c>
      <c r="D4457" s="9">
        <v>38080</v>
      </c>
      <c r="E4457">
        <v>2.9099999999999999E-5</v>
      </c>
    </row>
    <row r="4458" spans="1:5">
      <c r="A4458">
        <v>2021</v>
      </c>
      <c r="B4458" s="3" t="s">
        <v>1429</v>
      </c>
      <c r="C4458" t="s">
        <v>2422</v>
      </c>
      <c r="D4458" s="9">
        <v>1178478</v>
      </c>
      <c r="E4458">
        <v>8.9979999999999997E-4</v>
      </c>
    </row>
    <row r="4459" spans="1:5">
      <c r="A4459">
        <v>2021</v>
      </c>
      <c r="B4459" s="3" t="s">
        <v>1430</v>
      </c>
      <c r="C4459" t="s">
        <v>1619</v>
      </c>
      <c r="D4459" s="9">
        <v>421952</v>
      </c>
      <c r="E4459">
        <v>3.2220000000000003E-4</v>
      </c>
    </row>
    <row r="4460" spans="1:5">
      <c r="A4460">
        <v>2021</v>
      </c>
      <c r="B4460" s="3" t="s">
        <v>1431</v>
      </c>
      <c r="C4460" t="s">
        <v>264</v>
      </c>
      <c r="D4460" s="9">
        <v>319183</v>
      </c>
      <c r="E4460">
        <v>2.4369999999999999E-4</v>
      </c>
    </row>
    <row r="4461" spans="1:5">
      <c r="A4461">
        <v>2021</v>
      </c>
      <c r="B4461" s="3" t="s">
        <v>1432</v>
      </c>
      <c r="C4461" t="s">
        <v>265</v>
      </c>
      <c r="D4461" s="9">
        <v>355979</v>
      </c>
      <c r="E4461">
        <v>2.7179999999999999E-4</v>
      </c>
    </row>
    <row r="4462" spans="1:5">
      <c r="A4462">
        <v>2021</v>
      </c>
      <c r="B4462" s="3" t="s">
        <v>1433</v>
      </c>
      <c r="C4462" t="s">
        <v>266</v>
      </c>
      <c r="D4462" s="9">
        <v>202016</v>
      </c>
      <c r="E4462">
        <v>1.5430000000000001E-4</v>
      </c>
    </row>
    <row r="4463" spans="1:5">
      <c r="A4463">
        <v>2021</v>
      </c>
      <c r="B4463" s="3" t="s">
        <v>1434</v>
      </c>
      <c r="C4463" t="s">
        <v>1620</v>
      </c>
      <c r="D4463" s="9">
        <v>1531460</v>
      </c>
      <c r="E4463">
        <v>1.1693999999999999E-3</v>
      </c>
    </row>
    <row r="4464" spans="1:5">
      <c r="A4464">
        <v>2021</v>
      </c>
      <c r="B4464" s="3" t="s">
        <v>1435</v>
      </c>
      <c r="C4464" t="s">
        <v>2359</v>
      </c>
      <c r="D4464" s="9">
        <v>202296</v>
      </c>
      <c r="E4464">
        <v>1.5449999999999999E-4</v>
      </c>
    </row>
    <row r="4465" spans="1:5">
      <c r="A4465">
        <v>2021</v>
      </c>
      <c r="B4465" s="3" t="s">
        <v>1436</v>
      </c>
      <c r="C4465" t="s">
        <v>269</v>
      </c>
      <c r="D4465" s="9">
        <v>212492</v>
      </c>
      <c r="E4465">
        <v>1.6220000000000001E-4</v>
      </c>
    </row>
    <row r="4466" spans="1:5">
      <c r="A4466">
        <v>2021</v>
      </c>
      <c r="B4466" s="3" t="s">
        <v>1437</v>
      </c>
      <c r="C4466" t="s">
        <v>270</v>
      </c>
      <c r="D4466" s="9">
        <v>1347345</v>
      </c>
      <c r="E4466">
        <v>1.0288000000000001E-3</v>
      </c>
    </row>
    <row r="4467" spans="1:5">
      <c r="A4467">
        <v>2021</v>
      </c>
      <c r="B4467" s="3" t="s">
        <v>1438</v>
      </c>
      <c r="C4467" t="s">
        <v>1622</v>
      </c>
      <c r="D4467" s="9">
        <v>889523</v>
      </c>
      <c r="E4467">
        <v>6.7920000000000003E-4</v>
      </c>
    </row>
    <row r="4468" spans="1:5">
      <c r="A4468">
        <v>2021</v>
      </c>
      <c r="B4468" s="3" t="s">
        <v>371</v>
      </c>
      <c r="C4468" t="s">
        <v>1623</v>
      </c>
      <c r="D4468" s="9">
        <v>326000</v>
      </c>
      <c r="E4468">
        <v>2.4889999999999998E-4</v>
      </c>
    </row>
    <row r="4469" spans="1:5">
      <c r="A4469">
        <v>2021</v>
      </c>
      <c r="B4469" s="3" t="s">
        <v>1439</v>
      </c>
      <c r="C4469" t="s">
        <v>1624</v>
      </c>
      <c r="D4469" s="9">
        <v>124166</v>
      </c>
      <c r="E4469">
        <v>9.48E-5</v>
      </c>
    </row>
    <row r="4470" spans="1:5">
      <c r="A4470">
        <v>2021</v>
      </c>
      <c r="B4470" s="3" t="s">
        <v>1440</v>
      </c>
      <c r="C4470" t="s">
        <v>1625</v>
      </c>
      <c r="D4470" s="9">
        <v>442297</v>
      </c>
      <c r="E4470">
        <v>3.3770000000000002E-4</v>
      </c>
    </row>
    <row r="4471" spans="1:5">
      <c r="A4471">
        <v>2021</v>
      </c>
      <c r="B4471" s="3" t="s">
        <v>372</v>
      </c>
      <c r="C4471" t="s">
        <v>1626</v>
      </c>
      <c r="D4471" s="9">
        <v>204925</v>
      </c>
      <c r="E4471">
        <v>1.5650000000000001E-4</v>
      </c>
    </row>
    <row r="4472" spans="1:5">
      <c r="A4472">
        <v>2021</v>
      </c>
      <c r="B4472" s="3" t="s">
        <v>1441</v>
      </c>
      <c r="C4472" t="s">
        <v>274</v>
      </c>
      <c r="D4472" s="9"/>
    </row>
    <row r="4473" spans="1:5">
      <c r="A4473">
        <v>2021</v>
      </c>
      <c r="B4473" s="3" t="s">
        <v>1442</v>
      </c>
      <c r="C4473" t="s">
        <v>1627</v>
      </c>
      <c r="D4473" s="9">
        <v>7862</v>
      </c>
      <c r="E4473">
        <v>6.0000000000000002E-6</v>
      </c>
    </row>
    <row r="4474" spans="1:5">
      <c r="A4474">
        <v>2021</v>
      </c>
      <c r="B4474" s="3" t="s">
        <v>1443</v>
      </c>
      <c r="C4474" t="s">
        <v>1628</v>
      </c>
      <c r="D4474" s="9">
        <v>1192478</v>
      </c>
      <c r="E4474">
        <v>9.1049999999999996E-4</v>
      </c>
    </row>
    <row r="4475" spans="1:5">
      <c r="A4475">
        <v>2021</v>
      </c>
      <c r="B4475" s="3" t="s">
        <v>332</v>
      </c>
      <c r="C4475" t="s">
        <v>1630</v>
      </c>
      <c r="D4475" s="9">
        <v>121064</v>
      </c>
      <c r="E4475">
        <v>9.2399999999999996E-5</v>
      </c>
    </row>
    <row r="4476" spans="1:5">
      <c r="A4476">
        <v>2021</v>
      </c>
      <c r="B4476" s="3" t="s">
        <v>333</v>
      </c>
      <c r="C4476" t="s">
        <v>1631</v>
      </c>
      <c r="D4476" s="9">
        <v>40703</v>
      </c>
      <c r="E4476">
        <v>3.1099999999999997E-5</v>
      </c>
    </row>
    <row r="4477" spans="1:5">
      <c r="A4477">
        <v>2021</v>
      </c>
      <c r="B4477" s="3" t="s">
        <v>334</v>
      </c>
      <c r="C4477" t="s">
        <v>1632</v>
      </c>
      <c r="D4477" s="9">
        <v>79634</v>
      </c>
      <c r="E4477">
        <v>6.0800000000000001E-5</v>
      </c>
    </row>
    <row r="4478" spans="1:5">
      <c r="A4478">
        <v>2021</v>
      </c>
      <c r="B4478" s="3" t="s">
        <v>335</v>
      </c>
      <c r="C4478" t="s">
        <v>1633</v>
      </c>
      <c r="D4478" s="9">
        <v>3225914</v>
      </c>
      <c r="E4478">
        <v>2.4632E-3</v>
      </c>
    </row>
    <row r="4479" spans="1:5">
      <c r="A4479">
        <v>2021</v>
      </c>
      <c r="B4479" s="3" t="s">
        <v>336</v>
      </c>
      <c r="C4479" t="s">
        <v>1634</v>
      </c>
      <c r="D4479" s="9">
        <v>2879174</v>
      </c>
      <c r="E4479">
        <v>2.1984000000000001E-3</v>
      </c>
    </row>
    <row r="4480" spans="1:5">
      <c r="A4480">
        <v>2021</v>
      </c>
      <c r="B4480" s="3" t="s">
        <v>337</v>
      </c>
      <c r="C4480" t="s">
        <v>283</v>
      </c>
      <c r="D4480" s="9">
        <v>214474</v>
      </c>
      <c r="E4480">
        <v>1.638E-4</v>
      </c>
    </row>
    <row r="4481" spans="1:5">
      <c r="A4481">
        <v>2021</v>
      </c>
      <c r="B4481" s="3" t="s">
        <v>338</v>
      </c>
      <c r="C4481" t="s">
        <v>1635</v>
      </c>
      <c r="D4481" s="9">
        <v>74339</v>
      </c>
      <c r="E4481">
        <v>5.6799999999999998E-5</v>
      </c>
    </row>
    <row r="4482" spans="1:5">
      <c r="A4482">
        <v>2021</v>
      </c>
      <c r="B4482" s="3" t="s">
        <v>373</v>
      </c>
      <c r="C4482" t="s">
        <v>1636</v>
      </c>
      <c r="D4482" s="9">
        <v>2853148</v>
      </c>
      <c r="E4482">
        <v>2.1784999999999999E-3</v>
      </c>
    </row>
    <row r="4483" spans="1:5">
      <c r="A4483">
        <v>2021</v>
      </c>
      <c r="B4483" s="3" t="s">
        <v>339</v>
      </c>
      <c r="C4483" t="s">
        <v>1637</v>
      </c>
      <c r="D4483" s="9">
        <v>1341988</v>
      </c>
      <c r="E4483">
        <v>1.0246999999999999E-3</v>
      </c>
    </row>
    <row r="4484" spans="1:5">
      <c r="A4484">
        <v>2021</v>
      </c>
      <c r="B4484" s="3" t="s">
        <v>340</v>
      </c>
      <c r="C4484" t="s">
        <v>286</v>
      </c>
      <c r="D4484" s="9">
        <v>122339</v>
      </c>
      <c r="E4484">
        <v>9.3399999999999993E-5</v>
      </c>
    </row>
    <row r="4485" spans="1:5">
      <c r="A4485">
        <v>2021</v>
      </c>
      <c r="B4485" s="3" t="s">
        <v>342</v>
      </c>
      <c r="C4485" t="s">
        <v>1638</v>
      </c>
      <c r="D4485" s="9">
        <v>1014518</v>
      </c>
      <c r="E4485">
        <v>7.7459999999999996E-4</v>
      </c>
    </row>
    <row r="4486" spans="1:5">
      <c r="A4486">
        <v>2021</v>
      </c>
      <c r="B4486" s="3" t="s">
        <v>1219</v>
      </c>
      <c r="C4486" t="s">
        <v>1639</v>
      </c>
      <c r="D4486" s="9">
        <v>409690</v>
      </c>
      <c r="E4486">
        <v>3.1280000000000001E-4</v>
      </c>
    </row>
    <row r="4487" spans="1:5">
      <c r="A4487">
        <v>2021</v>
      </c>
      <c r="B4487" s="3" t="s">
        <v>343</v>
      </c>
      <c r="C4487" t="s">
        <v>1640</v>
      </c>
      <c r="D4487" s="9">
        <v>120183</v>
      </c>
      <c r="E4487">
        <v>9.1799999999999995E-5</v>
      </c>
    </row>
    <row r="4488" spans="1:5">
      <c r="A4488">
        <v>2021</v>
      </c>
      <c r="B4488" s="3" t="s">
        <v>344</v>
      </c>
      <c r="C4488" t="s">
        <v>290</v>
      </c>
      <c r="D4488" s="9">
        <v>64948</v>
      </c>
      <c r="E4488">
        <v>4.9599999999999999E-5</v>
      </c>
    </row>
    <row r="4489" spans="1:5">
      <c r="A4489">
        <v>2021</v>
      </c>
      <c r="B4489" s="3" t="s">
        <v>1220</v>
      </c>
      <c r="C4489" t="s">
        <v>1641</v>
      </c>
      <c r="D4489" s="9">
        <v>142645</v>
      </c>
      <c r="E4489">
        <v>1.089E-4</v>
      </c>
    </row>
    <row r="4490" spans="1:5">
      <c r="A4490">
        <v>2021</v>
      </c>
      <c r="B4490" s="3" t="s">
        <v>345</v>
      </c>
      <c r="C4490" t="s">
        <v>1642</v>
      </c>
      <c r="D4490" s="9">
        <v>64055</v>
      </c>
      <c r="E4490">
        <v>4.8900000000000003E-5</v>
      </c>
    </row>
    <row r="4491" spans="1:5">
      <c r="A4491">
        <v>2021</v>
      </c>
      <c r="B4491" s="3" t="s">
        <v>346</v>
      </c>
      <c r="C4491" t="s">
        <v>1643</v>
      </c>
      <c r="D4491" s="9">
        <v>11071282</v>
      </c>
      <c r="E4491">
        <v>8.4534999999999992E-3</v>
      </c>
    </row>
    <row r="4492" spans="1:5">
      <c r="A4492">
        <v>2021</v>
      </c>
      <c r="B4492" s="3" t="s">
        <v>347</v>
      </c>
      <c r="C4492" t="s">
        <v>1644</v>
      </c>
      <c r="D4492" s="9">
        <v>3888031</v>
      </c>
      <c r="E4492">
        <v>2.9686999999999999E-3</v>
      </c>
    </row>
    <row r="4493" spans="1:5">
      <c r="A4493">
        <v>2021</v>
      </c>
      <c r="B4493" s="3" t="s">
        <v>348</v>
      </c>
      <c r="C4493" t="s">
        <v>1645</v>
      </c>
      <c r="D4493" s="9">
        <v>1998352</v>
      </c>
      <c r="E4493">
        <v>1.5257999999999999E-3</v>
      </c>
    </row>
    <row r="4494" spans="1:5">
      <c r="A4494">
        <v>2021</v>
      </c>
      <c r="B4494" s="3" t="s">
        <v>374</v>
      </c>
      <c r="C4494" t="s">
        <v>1646</v>
      </c>
      <c r="D4494" s="9">
        <v>1659941</v>
      </c>
      <c r="E4494">
        <v>1.2675E-3</v>
      </c>
    </row>
    <row r="4495" spans="1:5">
      <c r="A4495">
        <v>2021</v>
      </c>
      <c r="B4495" s="3" t="s">
        <v>349</v>
      </c>
      <c r="C4495" t="s">
        <v>1647</v>
      </c>
      <c r="D4495" s="9">
        <v>3069394</v>
      </c>
      <c r="E4495">
        <v>2.3435999999999999E-3</v>
      </c>
    </row>
    <row r="4496" spans="1:5">
      <c r="A4496">
        <v>2021</v>
      </c>
      <c r="B4496" s="3" t="s">
        <v>350</v>
      </c>
      <c r="C4496" t="s">
        <v>1648</v>
      </c>
      <c r="D4496" s="9">
        <v>3071779</v>
      </c>
      <c r="E4496">
        <v>2.3454999999999999E-3</v>
      </c>
    </row>
    <row r="4497" spans="1:5">
      <c r="A4497">
        <v>2021</v>
      </c>
      <c r="B4497" s="3" t="s">
        <v>1221</v>
      </c>
      <c r="C4497" t="s">
        <v>1649</v>
      </c>
      <c r="D4497" s="9">
        <v>332433</v>
      </c>
      <c r="E4497">
        <v>2.5379999999999999E-4</v>
      </c>
    </row>
    <row r="4498" spans="1:5">
      <c r="A4498">
        <v>2021</v>
      </c>
      <c r="B4498" s="3" t="s">
        <v>351</v>
      </c>
      <c r="C4498" t="s">
        <v>297</v>
      </c>
      <c r="D4498" s="9">
        <v>26292</v>
      </c>
      <c r="E4498">
        <v>2.0100000000000001E-5</v>
      </c>
    </row>
    <row r="4499" spans="1:5">
      <c r="A4499">
        <v>2021</v>
      </c>
      <c r="B4499" s="3" t="s">
        <v>352</v>
      </c>
      <c r="C4499" t="s">
        <v>2398</v>
      </c>
      <c r="D4499" s="9">
        <v>171690</v>
      </c>
      <c r="E4499">
        <v>1.3109999999999999E-4</v>
      </c>
    </row>
    <row r="4500" spans="1:5">
      <c r="A4500">
        <v>2021</v>
      </c>
      <c r="B4500" s="3" t="s">
        <v>353</v>
      </c>
      <c r="C4500" t="s">
        <v>1650</v>
      </c>
      <c r="D4500" s="9">
        <v>56051</v>
      </c>
      <c r="E4500">
        <v>4.2799999999999997E-5</v>
      </c>
    </row>
    <row r="4501" spans="1:5">
      <c r="A4501">
        <v>2021</v>
      </c>
      <c r="B4501" s="3" t="s">
        <v>354</v>
      </c>
      <c r="C4501" t="s">
        <v>300</v>
      </c>
      <c r="D4501" s="9">
        <v>2654268</v>
      </c>
      <c r="E4501">
        <v>2.0267000000000002E-3</v>
      </c>
    </row>
    <row r="4502" spans="1:5">
      <c r="A4502">
        <v>2021</v>
      </c>
      <c r="B4502" s="3" t="s">
        <v>1659</v>
      </c>
      <c r="C4502" t="s">
        <v>1651</v>
      </c>
      <c r="D4502" s="9">
        <v>237349</v>
      </c>
      <c r="E4502">
        <v>1.8120000000000001E-4</v>
      </c>
    </row>
    <row r="4503" spans="1:5">
      <c r="A4503">
        <v>2021</v>
      </c>
      <c r="B4503" s="3" t="s">
        <v>355</v>
      </c>
      <c r="C4503" t="s">
        <v>2423</v>
      </c>
      <c r="D4503" s="9">
        <v>429253</v>
      </c>
      <c r="E4503">
        <v>3.278E-4</v>
      </c>
    </row>
    <row r="4504" spans="1:5">
      <c r="A4504">
        <v>2021</v>
      </c>
      <c r="B4504" s="3" t="s">
        <v>356</v>
      </c>
      <c r="C4504" t="s">
        <v>1444</v>
      </c>
      <c r="D4504" s="9">
        <v>6210377</v>
      </c>
      <c r="E4504">
        <v>4.7419999999999997E-3</v>
      </c>
    </row>
    <row r="4505" spans="1:5">
      <c r="A4505">
        <v>2021</v>
      </c>
      <c r="B4505" s="3" t="s">
        <v>357</v>
      </c>
      <c r="C4505" t="s">
        <v>2424</v>
      </c>
      <c r="D4505" s="9">
        <v>186440</v>
      </c>
      <c r="E4505">
        <v>1.4239999999999999E-4</v>
      </c>
    </row>
    <row r="4506" spans="1:5">
      <c r="A4506">
        <v>2021</v>
      </c>
      <c r="B4506" s="3" t="s">
        <v>358</v>
      </c>
      <c r="C4506" t="s">
        <v>304</v>
      </c>
      <c r="D4506" s="9"/>
    </row>
    <row r="4507" spans="1:5">
      <c r="A4507">
        <v>2021</v>
      </c>
      <c r="B4507" s="3" t="s">
        <v>359</v>
      </c>
      <c r="C4507" t="s">
        <v>305</v>
      </c>
      <c r="D4507" s="9">
        <v>241349</v>
      </c>
      <c r="E4507">
        <v>1.8430000000000001E-4</v>
      </c>
    </row>
    <row r="4508" spans="1:5">
      <c r="A4508">
        <v>2021</v>
      </c>
      <c r="B4508" s="3" t="s">
        <v>360</v>
      </c>
      <c r="C4508" t="s">
        <v>1653</v>
      </c>
      <c r="D4508" s="9">
        <v>29239887</v>
      </c>
      <c r="E4508">
        <v>2.2326200000000001E-2</v>
      </c>
    </row>
    <row r="4509" spans="1:5">
      <c r="A4509">
        <v>2021</v>
      </c>
      <c r="B4509" s="3" t="s">
        <v>375</v>
      </c>
      <c r="C4509" t="s">
        <v>1654</v>
      </c>
      <c r="D4509" s="9">
        <v>9309291</v>
      </c>
      <c r="E4509">
        <v>7.1081E-3</v>
      </c>
    </row>
    <row r="4510" spans="1:5">
      <c r="A4510">
        <v>2021</v>
      </c>
      <c r="B4510" s="3" t="s">
        <v>361</v>
      </c>
      <c r="C4510" t="s">
        <v>1655</v>
      </c>
      <c r="D4510" s="9">
        <v>185294</v>
      </c>
      <c r="E4510">
        <v>1.415E-4</v>
      </c>
    </row>
    <row r="4511" spans="1:5">
      <c r="A4511">
        <v>2021</v>
      </c>
      <c r="B4511" s="3" t="s">
        <v>362</v>
      </c>
      <c r="C4511" t="s">
        <v>1656</v>
      </c>
      <c r="D4511" s="9">
        <v>9171</v>
      </c>
      <c r="E4511">
        <v>6.9999999999999999E-6</v>
      </c>
    </row>
    <row r="4512" spans="1:5">
      <c r="A4512">
        <v>2021</v>
      </c>
      <c r="B4512" s="3" t="s">
        <v>363</v>
      </c>
      <c r="C4512" t="s">
        <v>1657</v>
      </c>
      <c r="D4512" s="9">
        <v>3185791</v>
      </c>
      <c r="E4512">
        <v>2.4325000000000002E-3</v>
      </c>
    </row>
    <row r="4513" spans="1:5">
      <c r="A4513">
        <v>2021</v>
      </c>
      <c r="B4513" s="3" t="s">
        <v>364</v>
      </c>
      <c r="C4513" t="s">
        <v>310</v>
      </c>
      <c r="D4513" s="9"/>
    </row>
    <row r="4514" spans="1:5">
      <c r="A4514">
        <v>2021</v>
      </c>
      <c r="B4514" s="3" t="s">
        <v>365</v>
      </c>
      <c r="C4514" t="s">
        <v>1658</v>
      </c>
      <c r="D4514" s="9">
        <v>1301137</v>
      </c>
      <c r="E4514">
        <v>9.9350000000000003E-4</v>
      </c>
    </row>
    <row r="4515" spans="1:5">
      <c r="A4515">
        <v>2021</v>
      </c>
      <c r="B4515" s="3" t="s">
        <v>1222</v>
      </c>
      <c r="C4515" t="s">
        <v>1660</v>
      </c>
      <c r="D4515" s="9">
        <v>415866</v>
      </c>
      <c r="E4515">
        <v>3.1750000000000002E-4</v>
      </c>
    </row>
    <row r="4516" spans="1:5">
      <c r="A4516">
        <v>2021</v>
      </c>
      <c r="B4516" s="3" t="s">
        <v>366</v>
      </c>
      <c r="C4516" t="s">
        <v>312</v>
      </c>
      <c r="D4516" s="9">
        <v>5149</v>
      </c>
      <c r="E4516">
        <v>3.8999999999999999E-6</v>
      </c>
    </row>
    <row r="4517" spans="1:5">
      <c r="A4517">
        <v>2021</v>
      </c>
      <c r="B4517" s="3" t="s">
        <v>367</v>
      </c>
      <c r="C4517" t="s">
        <v>313</v>
      </c>
      <c r="D4517" s="9">
        <v>66150</v>
      </c>
      <c r="E4517">
        <v>5.0500000000000001E-5</v>
      </c>
    </row>
    <row r="4518" spans="1:5">
      <c r="A4518">
        <v>2021</v>
      </c>
      <c r="B4518" s="3" t="s">
        <v>368</v>
      </c>
      <c r="C4518" t="s">
        <v>1661</v>
      </c>
      <c r="D4518" s="9">
        <v>238459</v>
      </c>
      <c r="E4518">
        <v>1.8210000000000001E-4</v>
      </c>
    </row>
    <row r="4519" spans="1:5">
      <c r="A4519">
        <v>2021</v>
      </c>
      <c r="B4519" s="3" t="s">
        <v>1223</v>
      </c>
      <c r="C4519" t="s">
        <v>1662</v>
      </c>
      <c r="D4519" s="9">
        <v>168075</v>
      </c>
      <c r="E4519">
        <v>1.283E-4</v>
      </c>
    </row>
    <row r="4520" spans="1:5">
      <c r="A4520">
        <v>2021</v>
      </c>
      <c r="B4520" s="3" t="s">
        <v>468</v>
      </c>
      <c r="C4520" t="s">
        <v>1663</v>
      </c>
      <c r="D4520" s="9">
        <v>274489</v>
      </c>
      <c r="E4520">
        <v>2.096E-4</v>
      </c>
    </row>
    <row r="4521" spans="1:5">
      <c r="A4521">
        <v>2021</v>
      </c>
      <c r="B4521" s="3" t="s">
        <v>1224</v>
      </c>
      <c r="C4521" t="s">
        <v>1665</v>
      </c>
      <c r="D4521" s="9">
        <v>89013</v>
      </c>
      <c r="E4521">
        <v>6.7999999999999999E-5</v>
      </c>
    </row>
    <row r="4522" spans="1:5">
      <c r="A4522">
        <v>2021</v>
      </c>
      <c r="B4522" s="3" t="s">
        <v>470</v>
      </c>
      <c r="C4522" t="s">
        <v>2361</v>
      </c>
      <c r="D4522" s="9">
        <v>27990</v>
      </c>
      <c r="E4522">
        <v>2.1399999999999998E-5</v>
      </c>
    </row>
    <row r="4523" spans="1:5">
      <c r="A4523">
        <v>2021</v>
      </c>
      <c r="B4523" s="3" t="s">
        <v>471</v>
      </c>
      <c r="C4523" t="s">
        <v>416</v>
      </c>
      <c r="D4523" s="9">
        <v>2319990</v>
      </c>
      <c r="E4523">
        <v>1.7714E-3</v>
      </c>
    </row>
    <row r="4524" spans="1:5">
      <c r="A4524">
        <v>2021</v>
      </c>
      <c r="B4524" s="3" t="s">
        <v>472</v>
      </c>
      <c r="C4524" t="s">
        <v>417</v>
      </c>
      <c r="D4524" s="9">
        <v>3266320</v>
      </c>
      <c r="E4524">
        <v>2.4940000000000001E-3</v>
      </c>
    </row>
    <row r="4525" spans="1:5">
      <c r="A4525">
        <v>2021</v>
      </c>
      <c r="B4525" s="3" t="s">
        <v>474</v>
      </c>
      <c r="C4525" t="s">
        <v>1666</v>
      </c>
      <c r="D4525" s="9">
        <v>107136</v>
      </c>
      <c r="E4525">
        <v>8.1799999999999996E-5</v>
      </c>
    </row>
    <row r="4526" spans="1:5">
      <c r="A4526">
        <v>2021</v>
      </c>
      <c r="B4526" s="3" t="s">
        <v>475</v>
      </c>
      <c r="C4526" t="s">
        <v>1667</v>
      </c>
      <c r="D4526" s="9">
        <v>27913</v>
      </c>
      <c r="E4526">
        <v>2.1299999999999999E-5</v>
      </c>
    </row>
    <row r="4527" spans="1:5">
      <c r="A4527">
        <v>2021</v>
      </c>
      <c r="B4527" s="3" t="s">
        <v>476</v>
      </c>
      <c r="C4527" t="s">
        <v>421</v>
      </c>
      <c r="D4527" s="9">
        <v>5072223</v>
      </c>
      <c r="E4527">
        <v>3.8728999999999999E-3</v>
      </c>
    </row>
    <row r="4528" spans="1:5">
      <c r="A4528">
        <v>2021</v>
      </c>
      <c r="B4528" s="3" t="s">
        <v>477</v>
      </c>
      <c r="C4528" t="s">
        <v>422</v>
      </c>
      <c r="D4528" s="9">
        <v>1142012</v>
      </c>
      <c r="E4528">
        <v>8.7200000000000005E-4</v>
      </c>
    </row>
    <row r="4529" spans="1:5">
      <c r="A4529">
        <v>2021</v>
      </c>
      <c r="B4529" s="3" t="s">
        <v>478</v>
      </c>
      <c r="C4529" t="s">
        <v>2362</v>
      </c>
      <c r="D4529" s="9">
        <v>150020</v>
      </c>
      <c r="E4529">
        <v>1.145E-4</v>
      </c>
    </row>
    <row r="4530" spans="1:5">
      <c r="A4530">
        <v>2021</v>
      </c>
      <c r="B4530" s="3" t="s">
        <v>479</v>
      </c>
      <c r="C4530" t="s">
        <v>1669</v>
      </c>
      <c r="D4530" s="9">
        <v>396861</v>
      </c>
      <c r="E4530">
        <v>3.0299999999999999E-4</v>
      </c>
    </row>
    <row r="4531" spans="1:5">
      <c r="A4531">
        <v>2021</v>
      </c>
      <c r="B4531" s="3" t="s">
        <v>480</v>
      </c>
      <c r="C4531" t="s">
        <v>1670</v>
      </c>
      <c r="D4531" s="9">
        <v>55623</v>
      </c>
      <c r="E4531">
        <v>4.2500000000000003E-5</v>
      </c>
    </row>
    <row r="4532" spans="1:5">
      <c r="A4532">
        <v>2021</v>
      </c>
      <c r="B4532" s="3" t="s">
        <v>481</v>
      </c>
      <c r="C4532" t="s">
        <v>1671</v>
      </c>
      <c r="D4532" s="9">
        <v>906315</v>
      </c>
      <c r="E4532">
        <v>6.9200000000000002E-4</v>
      </c>
    </row>
    <row r="4533" spans="1:5">
      <c r="A4533">
        <v>2021</v>
      </c>
      <c r="B4533" s="3" t="s">
        <v>482</v>
      </c>
      <c r="C4533" t="s">
        <v>1672</v>
      </c>
      <c r="D4533" s="9">
        <v>177303</v>
      </c>
      <c r="E4533">
        <v>1.3540000000000001E-4</v>
      </c>
    </row>
    <row r="4534" spans="1:5">
      <c r="A4534">
        <v>2021</v>
      </c>
      <c r="B4534" s="3" t="s">
        <v>483</v>
      </c>
      <c r="C4534" t="s">
        <v>1673</v>
      </c>
      <c r="D4534" s="9">
        <v>137850</v>
      </c>
      <c r="E4534">
        <v>1.053E-4</v>
      </c>
    </row>
    <row r="4535" spans="1:5">
      <c r="A4535">
        <v>2021</v>
      </c>
      <c r="B4535" s="3" t="s">
        <v>484</v>
      </c>
      <c r="C4535" t="s">
        <v>1674</v>
      </c>
      <c r="D4535" s="9">
        <v>358735</v>
      </c>
      <c r="E4535">
        <v>2.7389999999999999E-4</v>
      </c>
    </row>
    <row r="4536" spans="1:5">
      <c r="A4536">
        <v>2021</v>
      </c>
      <c r="B4536" s="3" t="s">
        <v>485</v>
      </c>
      <c r="C4536" t="s">
        <v>1675</v>
      </c>
      <c r="D4536" s="9">
        <v>1444001</v>
      </c>
      <c r="E4536">
        <v>1.1026E-3</v>
      </c>
    </row>
    <row r="4537" spans="1:5">
      <c r="A4537">
        <v>2021</v>
      </c>
      <c r="B4537" s="3" t="s">
        <v>376</v>
      </c>
      <c r="C4537" t="s">
        <v>1676</v>
      </c>
      <c r="D4537" s="9">
        <v>504157</v>
      </c>
      <c r="E4537">
        <v>3.8499999999999998E-4</v>
      </c>
    </row>
    <row r="4538" spans="1:5">
      <c r="A4538">
        <v>2021</v>
      </c>
      <c r="B4538" s="3" t="s">
        <v>1690</v>
      </c>
      <c r="C4538" t="s">
        <v>1677</v>
      </c>
      <c r="D4538" s="9"/>
    </row>
    <row r="4539" spans="1:5">
      <c r="A4539">
        <v>2021</v>
      </c>
      <c r="B4539" s="3" t="s">
        <v>2365</v>
      </c>
      <c r="C4539" t="s">
        <v>2363</v>
      </c>
      <c r="D4539" s="9">
        <v>44958</v>
      </c>
      <c r="E4539">
        <v>3.43E-5</v>
      </c>
    </row>
    <row r="4540" spans="1:5">
      <c r="A4540">
        <v>2021</v>
      </c>
      <c r="B4540" s="3" t="s">
        <v>377</v>
      </c>
      <c r="C4540" t="s">
        <v>1678</v>
      </c>
      <c r="D4540" s="9">
        <v>974702</v>
      </c>
      <c r="E4540">
        <v>7.4419999999999998E-4</v>
      </c>
    </row>
    <row r="4541" spans="1:5">
      <c r="A4541">
        <v>2021</v>
      </c>
      <c r="B4541" s="3" t="s">
        <v>486</v>
      </c>
      <c r="C4541" t="s">
        <v>1679</v>
      </c>
      <c r="D4541" s="9">
        <v>1188389</v>
      </c>
      <c r="E4541">
        <v>9.0740000000000005E-4</v>
      </c>
    </row>
    <row r="4542" spans="1:5">
      <c r="A4542">
        <v>2021</v>
      </c>
      <c r="B4542" s="3" t="s">
        <v>487</v>
      </c>
      <c r="C4542" t="s">
        <v>432</v>
      </c>
      <c r="D4542" s="9">
        <v>438</v>
      </c>
      <c r="E4542">
        <v>2.9999999999999999E-7</v>
      </c>
    </row>
    <row r="4543" spans="1:5">
      <c r="A4543">
        <v>2021</v>
      </c>
      <c r="B4543" s="3" t="s">
        <v>488</v>
      </c>
      <c r="C4543" t="s">
        <v>1680</v>
      </c>
      <c r="D4543" s="9">
        <v>161523</v>
      </c>
      <c r="E4543">
        <v>1.2329999999999999E-4</v>
      </c>
    </row>
    <row r="4544" spans="1:5">
      <c r="A4544">
        <v>2021</v>
      </c>
      <c r="B4544" s="3" t="s">
        <v>489</v>
      </c>
      <c r="C4544" t="s">
        <v>434</v>
      </c>
      <c r="D4544" s="9">
        <v>60049</v>
      </c>
      <c r="E4544">
        <v>4.5899999999999998E-5</v>
      </c>
    </row>
    <row r="4545" spans="1:5">
      <c r="A4545">
        <v>2021</v>
      </c>
      <c r="B4545" s="3" t="s">
        <v>490</v>
      </c>
      <c r="C4545" t="s">
        <v>1681</v>
      </c>
      <c r="D4545" s="9">
        <v>3066786</v>
      </c>
      <c r="E4545">
        <v>2.3416999999999999E-3</v>
      </c>
    </row>
    <row r="4546" spans="1:5">
      <c r="A4546">
        <v>2021</v>
      </c>
      <c r="B4546" s="3" t="s">
        <v>491</v>
      </c>
      <c r="C4546" t="s">
        <v>1682</v>
      </c>
      <c r="D4546" s="9">
        <v>3649321</v>
      </c>
      <c r="E4546">
        <v>2.7864999999999999E-3</v>
      </c>
    </row>
    <row r="4547" spans="1:5">
      <c r="A4547">
        <v>2021</v>
      </c>
      <c r="B4547" s="3" t="s">
        <v>492</v>
      </c>
      <c r="C4547" t="s">
        <v>1683</v>
      </c>
      <c r="D4547" s="9">
        <v>7108</v>
      </c>
      <c r="E4547">
        <v>5.4E-6</v>
      </c>
    </row>
    <row r="4548" spans="1:5">
      <c r="A4548">
        <v>2021</v>
      </c>
      <c r="B4548" s="3" t="s">
        <v>493</v>
      </c>
      <c r="C4548" t="s">
        <v>1684</v>
      </c>
      <c r="D4548" s="9">
        <v>16136</v>
      </c>
      <c r="E4548">
        <v>1.2300000000000001E-5</v>
      </c>
    </row>
    <row r="4549" spans="1:5">
      <c r="A4549">
        <v>2021</v>
      </c>
      <c r="B4549" s="3" t="s">
        <v>494</v>
      </c>
      <c r="C4549" t="s">
        <v>1685</v>
      </c>
      <c r="D4549" s="9">
        <v>815</v>
      </c>
      <c r="E4549">
        <v>5.9999999999999997E-7</v>
      </c>
    </row>
    <row r="4550" spans="1:5" ht="18" customHeight="1">
      <c r="A4550">
        <v>2021</v>
      </c>
      <c r="B4550" s="3" t="s">
        <v>550</v>
      </c>
      <c r="C4550" t="s">
        <v>1686</v>
      </c>
      <c r="D4550" s="9">
        <v>53083</v>
      </c>
      <c r="E4550">
        <v>4.0500000000000002E-5</v>
      </c>
    </row>
    <row r="4551" spans="1:5">
      <c r="A4551">
        <v>2021</v>
      </c>
      <c r="B4551" s="3" t="s">
        <v>551</v>
      </c>
      <c r="C4551" t="s">
        <v>1687</v>
      </c>
      <c r="D4551" s="9">
        <v>104654</v>
      </c>
      <c r="E4551">
        <v>7.9900000000000004E-5</v>
      </c>
    </row>
    <row r="4552" spans="1:5">
      <c r="A4552">
        <v>2021</v>
      </c>
      <c r="B4552" s="3" t="s">
        <v>552</v>
      </c>
      <c r="C4552" t="s">
        <v>1688</v>
      </c>
      <c r="D4552" s="9">
        <v>20940874</v>
      </c>
      <c r="E4552">
        <v>1.59895E-2</v>
      </c>
    </row>
    <row r="4553" spans="1:5">
      <c r="A4553">
        <v>2021</v>
      </c>
      <c r="B4553" s="3" t="s">
        <v>553</v>
      </c>
      <c r="C4553" t="s">
        <v>498</v>
      </c>
      <c r="D4553" s="9">
        <v>47314</v>
      </c>
      <c r="E4553">
        <v>3.6100000000000003E-5</v>
      </c>
    </row>
    <row r="4554" spans="1:5">
      <c r="A4554">
        <v>2021</v>
      </c>
      <c r="B4554" s="3" t="s">
        <v>554</v>
      </c>
      <c r="C4554" t="s">
        <v>499</v>
      </c>
      <c r="D4554" s="9"/>
    </row>
    <row r="4555" spans="1:5">
      <c r="A4555">
        <v>2021</v>
      </c>
      <c r="B4555" s="3" t="s">
        <v>555</v>
      </c>
      <c r="C4555" t="s">
        <v>500</v>
      </c>
      <c r="D4555" s="9">
        <v>196869</v>
      </c>
      <c r="E4555">
        <v>1.5029999999999999E-4</v>
      </c>
    </row>
    <row r="4556" spans="1:5">
      <c r="A4556">
        <v>2021</v>
      </c>
      <c r="B4556" s="3" t="s">
        <v>556</v>
      </c>
      <c r="C4556" t="s">
        <v>501</v>
      </c>
      <c r="D4556" s="9"/>
    </row>
    <row r="4557" spans="1:5">
      <c r="A4557">
        <v>2021</v>
      </c>
      <c r="B4557" s="3" t="s">
        <v>557</v>
      </c>
      <c r="C4557" t="s">
        <v>502</v>
      </c>
      <c r="D4557" s="9">
        <v>61785</v>
      </c>
      <c r="E4557">
        <v>4.7200000000000002E-5</v>
      </c>
    </row>
    <row r="4558" spans="1:5">
      <c r="A4558">
        <v>2021</v>
      </c>
      <c r="B4558" s="3" t="s">
        <v>558</v>
      </c>
      <c r="C4558" t="s">
        <v>1691</v>
      </c>
      <c r="D4558" s="9">
        <v>24559</v>
      </c>
      <c r="E4558">
        <v>1.88E-5</v>
      </c>
    </row>
    <row r="4559" spans="1:5">
      <c r="A4559">
        <v>2021</v>
      </c>
      <c r="B4559" s="3" t="s">
        <v>559</v>
      </c>
      <c r="C4559" t="s">
        <v>1692</v>
      </c>
      <c r="D4559" s="9">
        <v>2032977</v>
      </c>
      <c r="E4559">
        <v>1.5522999999999999E-3</v>
      </c>
    </row>
    <row r="4560" spans="1:5">
      <c r="A4560">
        <v>2021</v>
      </c>
      <c r="B4560" s="3" t="s">
        <v>378</v>
      </c>
      <c r="C4560" t="s">
        <v>1693</v>
      </c>
      <c r="D4560" s="9">
        <v>615172</v>
      </c>
      <c r="E4560">
        <v>4.6969999999999998E-4</v>
      </c>
    </row>
    <row r="4561" spans="1:5">
      <c r="A4561">
        <v>2021</v>
      </c>
      <c r="B4561" s="3" t="s">
        <v>560</v>
      </c>
      <c r="C4561" t="s">
        <v>505</v>
      </c>
      <c r="D4561" s="9">
        <v>123859</v>
      </c>
      <c r="E4561">
        <v>9.4599999999999996E-5</v>
      </c>
    </row>
    <row r="4562" spans="1:5">
      <c r="A4562">
        <v>2021</v>
      </c>
      <c r="B4562" s="3" t="s">
        <v>561</v>
      </c>
      <c r="C4562" t="s">
        <v>1694</v>
      </c>
      <c r="D4562" s="9">
        <v>238215</v>
      </c>
      <c r="E4562">
        <v>1.819E-4</v>
      </c>
    </row>
    <row r="4563" spans="1:5">
      <c r="A4563">
        <v>2021</v>
      </c>
      <c r="B4563" s="3" t="s">
        <v>1225</v>
      </c>
      <c r="C4563" t="s">
        <v>1695</v>
      </c>
      <c r="D4563" s="9">
        <v>32377</v>
      </c>
      <c r="E4563">
        <v>2.4700000000000001E-5</v>
      </c>
    </row>
    <row r="4564" spans="1:5">
      <c r="A4564">
        <v>2021</v>
      </c>
      <c r="B4564" s="3" t="s">
        <v>562</v>
      </c>
      <c r="C4564" t="s">
        <v>2367</v>
      </c>
      <c r="D4564" s="9">
        <v>14577319</v>
      </c>
      <c r="E4564">
        <v>1.1130599999999999E-2</v>
      </c>
    </row>
    <row r="4565" spans="1:5">
      <c r="A4565">
        <v>2021</v>
      </c>
      <c r="B4565" s="3" t="s">
        <v>1226</v>
      </c>
      <c r="C4565" t="s">
        <v>1697</v>
      </c>
      <c r="D4565" s="9">
        <v>124694</v>
      </c>
      <c r="E4565">
        <v>9.5199999999999997E-5</v>
      </c>
    </row>
    <row r="4566" spans="1:5">
      <c r="A4566">
        <v>2021</v>
      </c>
      <c r="B4566" s="3" t="s">
        <v>563</v>
      </c>
      <c r="C4566" t="s">
        <v>1698</v>
      </c>
      <c r="D4566" s="9"/>
    </row>
    <row r="4567" spans="1:5">
      <c r="A4567">
        <v>2021</v>
      </c>
      <c r="B4567" s="3" t="s">
        <v>564</v>
      </c>
      <c r="C4567" t="s">
        <v>509</v>
      </c>
      <c r="D4567" s="9">
        <v>1514976</v>
      </c>
      <c r="E4567">
        <v>1.1567999999999999E-3</v>
      </c>
    </row>
    <row r="4568" spans="1:5">
      <c r="A4568">
        <v>2021</v>
      </c>
      <c r="B4568" s="3" t="s">
        <v>565</v>
      </c>
      <c r="C4568" t="s">
        <v>510</v>
      </c>
      <c r="D4568" s="9">
        <v>2086023</v>
      </c>
      <c r="E4568">
        <v>1.5927999999999999E-3</v>
      </c>
    </row>
    <row r="4569" spans="1:5">
      <c r="A4569">
        <v>2021</v>
      </c>
      <c r="B4569" s="3" t="s">
        <v>566</v>
      </c>
      <c r="C4569" t="s">
        <v>1699</v>
      </c>
      <c r="D4569" s="9">
        <v>140225</v>
      </c>
      <c r="E4569">
        <v>1.071E-4</v>
      </c>
    </row>
    <row r="4570" spans="1:5">
      <c r="A4570">
        <v>2021</v>
      </c>
      <c r="B4570" s="3" t="s">
        <v>2400</v>
      </c>
      <c r="C4570" t="s">
        <v>2399</v>
      </c>
      <c r="D4570" s="9">
        <v>132206</v>
      </c>
      <c r="E4570">
        <v>1.009E-4</v>
      </c>
    </row>
    <row r="4571" spans="1:5">
      <c r="A4571">
        <v>2021</v>
      </c>
      <c r="B4571" s="3" t="s">
        <v>569</v>
      </c>
      <c r="C4571" t="s">
        <v>1446</v>
      </c>
      <c r="D4571" s="9">
        <v>196996</v>
      </c>
      <c r="E4571">
        <v>1.504E-4</v>
      </c>
    </row>
    <row r="4572" spans="1:5">
      <c r="A4572">
        <v>2021</v>
      </c>
      <c r="B4572" s="3" t="s">
        <v>567</v>
      </c>
      <c r="C4572" t="s">
        <v>1700</v>
      </c>
      <c r="D4572" s="9">
        <v>103184</v>
      </c>
      <c r="E4572">
        <v>7.8800000000000004E-5</v>
      </c>
    </row>
    <row r="4573" spans="1:5">
      <c r="A4573">
        <v>2021</v>
      </c>
      <c r="B4573" s="3" t="s">
        <v>568</v>
      </c>
      <c r="C4573" t="s">
        <v>2427</v>
      </c>
      <c r="D4573" s="9">
        <v>186128</v>
      </c>
      <c r="E4573">
        <v>1.4210000000000001E-4</v>
      </c>
    </row>
    <row r="4574" spans="1:5">
      <c r="A4574">
        <v>2021</v>
      </c>
      <c r="B4574" s="3" t="s">
        <v>570</v>
      </c>
      <c r="C4574" t="s">
        <v>515</v>
      </c>
      <c r="D4574" s="9">
        <v>313911</v>
      </c>
      <c r="E4574">
        <v>2.397E-4</v>
      </c>
    </row>
    <row r="4575" spans="1:5">
      <c r="A4575">
        <v>2021</v>
      </c>
      <c r="B4575" s="3" t="s">
        <v>571</v>
      </c>
      <c r="C4575" t="s">
        <v>516</v>
      </c>
      <c r="D4575" s="9">
        <v>994866</v>
      </c>
      <c r="E4575">
        <v>7.5960000000000003E-4</v>
      </c>
    </row>
    <row r="4576" spans="1:5">
      <c r="A4576">
        <v>2021</v>
      </c>
      <c r="B4576" s="3" t="s">
        <v>572</v>
      </c>
      <c r="C4576" t="s">
        <v>517</v>
      </c>
      <c r="D4576" s="9">
        <v>640069</v>
      </c>
      <c r="E4576">
        <v>4.8870000000000001E-4</v>
      </c>
    </row>
    <row r="4577" spans="1:5">
      <c r="A4577">
        <v>2021</v>
      </c>
      <c r="B4577" s="3" t="s">
        <v>573</v>
      </c>
      <c r="C4577" t="s">
        <v>518</v>
      </c>
      <c r="D4577" s="9">
        <v>350357</v>
      </c>
      <c r="E4577">
        <v>2.675E-4</v>
      </c>
    </row>
    <row r="4578" spans="1:5">
      <c r="A4578">
        <v>2021</v>
      </c>
      <c r="B4578" s="3" t="s">
        <v>574</v>
      </c>
      <c r="C4578" t="s">
        <v>1702</v>
      </c>
      <c r="D4578" s="9">
        <v>144879</v>
      </c>
      <c r="E4578">
        <v>1.106E-4</v>
      </c>
    </row>
    <row r="4579" spans="1:5">
      <c r="A4579">
        <v>2021</v>
      </c>
      <c r="B4579" s="3" t="s">
        <v>575</v>
      </c>
      <c r="C4579" t="s">
        <v>2425</v>
      </c>
      <c r="D4579" s="9">
        <v>180351</v>
      </c>
      <c r="E4579">
        <v>1.3770000000000001E-4</v>
      </c>
    </row>
    <row r="4580" spans="1:5">
      <c r="A4580">
        <v>2021</v>
      </c>
      <c r="B4580" s="3" t="s">
        <v>576</v>
      </c>
      <c r="C4580" t="s">
        <v>521</v>
      </c>
      <c r="D4580" s="9">
        <v>238000</v>
      </c>
      <c r="E4580">
        <v>1.817E-4</v>
      </c>
    </row>
    <row r="4581" spans="1:5">
      <c r="A4581">
        <v>2021</v>
      </c>
      <c r="B4581" s="3" t="s">
        <v>577</v>
      </c>
      <c r="C4581" t="s">
        <v>1704</v>
      </c>
      <c r="D4581" s="9">
        <v>34542</v>
      </c>
      <c r="E4581">
        <v>2.6400000000000001E-5</v>
      </c>
    </row>
    <row r="4582" spans="1:5">
      <c r="A4582">
        <v>2021</v>
      </c>
      <c r="B4582" s="3" t="s">
        <v>578</v>
      </c>
      <c r="C4582" t="s">
        <v>1705</v>
      </c>
      <c r="D4582" s="9">
        <v>1637099</v>
      </c>
      <c r="E4582">
        <v>1.25E-3</v>
      </c>
    </row>
    <row r="4583" spans="1:5">
      <c r="A4583">
        <v>2021</v>
      </c>
      <c r="B4583" s="3" t="s">
        <v>2371</v>
      </c>
      <c r="C4583" t="s">
        <v>2369</v>
      </c>
      <c r="D4583" s="9">
        <v>8503</v>
      </c>
      <c r="E4583">
        <v>6.4999999999999996E-6</v>
      </c>
    </row>
    <row r="4584" spans="1:5">
      <c r="A4584">
        <v>2021</v>
      </c>
      <c r="B4584" s="3" t="s">
        <v>379</v>
      </c>
      <c r="C4584" t="s">
        <v>1706</v>
      </c>
      <c r="D4584" s="9">
        <v>769135</v>
      </c>
      <c r="E4584">
        <v>5.8730000000000002E-4</v>
      </c>
    </row>
    <row r="4585" spans="1:5">
      <c r="A4585">
        <v>2021</v>
      </c>
      <c r="B4585" s="3" t="s">
        <v>580</v>
      </c>
      <c r="C4585" t="s">
        <v>1709</v>
      </c>
      <c r="D4585" s="9">
        <v>73098</v>
      </c>
      <c r="E4585">
        <v>5.5800000000000001E-5</v>
      </c>
    </row>
    <row r="4586" spans="1:5">
      <c r="A4586">
        <v>2021</v>
      </c>
      <c r="B4586" s="3" t="s">
        <v>581</v>
      </c>
      <c r="C4586" t="s">
        <v>526</v>
      </c>
      <c r="D4586" s="9">
        <v>19424</v>
      </c>
      <c r="E4586">
        <v>1.4800000000000001E-5</v>
      </c>
    </row>
    <row r="4587" spans="1:5">
      <c r="A4587">
        <v>2021</v>
      </c>
      <c r="B4587" s="3" t="s">
        <v>582</v>
      </c>
      <c r="C4587" t="s">
        <v>1710</v>
      </c>
      <c r="D4587" s="9">
        <v>510893</v>
      </c>
      <c r="E4587">
        <v>3.901E-4</v>
      </c>
    </row>
    <row r="4588" spans="1:5">
      <c r="A4588">
        <v>2021</v>
      </c>
      <c r="B4588" s="3" t="s">
        <v>583</v>
      </c>
      <c r="C4588" t="s">
        <v>1711</v>
      </c>
      <c r="D4588" s="9">
        <v>15962</v>
      </c>
      <c r="E4588">
        <v>1.22E-5</v>
      </c>
    </row>
    <row r="4589" spans="1:5">
      <c r="A4589">
        <v>2021</v>
      </c>
      <c r="B4589" s="3" t="s">
        <v>380</v>
      </c>
      <c r="C4589" t="s">
        <v>1712</v>
      </c>
      <c r="D4589" s="9">
        <v>541804</v>
      </c>
      <c r="E4589">
        <v>4.1370000000000003E-4</v>
      </c>
    </row>
    <row r="4590" spans="1:5">
      <c r="A4590">
        <v>2021</v>
      </c>
      <c r="B4590" s="3" t="s">
        <v>585</v>
      </c>
      <c r="C4590" t="s">
        <v>1713</v>
      </c>
      <c r="D4590" s="9">
        <v>627799</v>
      </c>
      <c r="E4590">
        <v>4.794E-4</v>
      </c>
    </row>
    <row r="4591" spans="1:5" ht="18" customHeight="1">
      <c r="A4591">
        <v>2021</v>
      </c>
      <c r="B4591" s="3" t="s">
        <v>2426</v>
      </c>
      <c r="C4591" t="s">
        <v>2428</v>
      </c>
      <c r="D4591" s="9">
        <v>163688</v>
      </c>
      <c r="E4591">
        <v>1.25E-4</v>
      </c>
    </row>
    <row r="4592" spans="1:5">
      <c r="A4592">
        <v>2021</v>
      </c>
      <c r="B4592" s="3" t="s">
        <v>586</v>
      </c>
      <c r="C4592" t="s">
        <v>1714</v>
      </c>
      <c r="D4592" s="9">
        <v>176270</v>
      </c>
      <c r="E4592">
        <v>1.3459999999999999E-4</v>
      </c>
    </row>
    <row r="4593" spans="1:5">
      <c r="A4593">
        <v>2021</v>
      </c>
      <c r="B4593" s="3" t="s">
        <v>587</v>
      </c>
      <c r="C4593" t="s">
        <v>532</v>
      </c>
      <c r="D4593" s="9">
        <v>194430</v>
      </c>
      <c r="E4593">
        <v>1.485E-4</v>
      </c>
    </row>
    <row r="4594" spans="1:5">
      <c r="A4594">
        <v>2021</v>
      </c>
      <c r="B4594" s="3" t="s">
        <v>588</v>
      </c>
      <c r="C4594" t="s">
        <v>533</v>
      </c>
      <c r="D4594" s="9">
        <v>181615</v>
      </c>
      <c r="E4594">
        <v>1.3870000000000001E-4</v>
      </c>
    </row>
    <row r="4595" spans="1:5">
      <c r="A4595">
        <v>2021</v>
      </c>
      <c r="B4595" s="3" t="s">
        <v>589</v>
      </c>
      <c r="C4595" t="s">
        <v>1715</v>
      </c>
      <c r="D4595" s="9">
        <v>6544245</v>
      </c>
      <c r="E4595">
        <v>4.9969000000000003E-3</v>
      </c>
    </row>
    <row r="4596" spans="1:5">
      <c r="A4596">
        <v>2021</v>
      </c>
      <c r="B4596" s="3" t="s">
        <v>381</v>
      </c>
      <c r="C4596" t="s">
        <v>1716</v>
      </c>
      <c r="D4596" s="9">
        <v>3831995</v>
      </c>
      <c r="E4596">
        <v>2.9258999999999999E-3</v>
      </c>
    </row>
    <row r="4597" spans="1:5">
      <c r="A4597">
        <v>2021</v>
      </c>
      <c r="B4597" s="3" t="s">
        <v>590</v>
      </c>
      <c r="C4597" t="s">
        <v>1717</v>
      </c>
      <c r="D4597" s="9">
        <v>5727734</v>
      </c>
      <c r="E4597">
        <v>4.3734000000000004E-3</v>
      </c>
    </row>
    <row r="4598" spans="1:5">
      <c r="A4598">
        <v>2021</v>
      </c>
      <c r="B4598" s="3" t="s">
        <v>1227</v>
      </c>
      <c r="C4598" t="s">
        <v>1718</v>
      </c>
      <c r="D4598" s="9">
        <v>668004</v>
      </c>
      <c r="E4598">
        <v>5.1009999999999998E-4</v>
      </c>
    </row>
    <row r="4599" spans="1:5">
      <c r="A4599">
        <v>2021</v>
      </c>
      <c r="B4599" s="3" t="s">
        <v>591</v>
      </c>
      <c r="C4599" t="s">
        <v>536</v>
      </c>
      <c r="D4599" s="9">
        <v>72353</v>
      </c>
      <c r="E4599">
        <v>5.52E-5</v>
      </c>
    </row>
    <row r="4600" spans="1:5">
      <c r="A4600">
        <v>2021</v>
      </c>
      <c r="B4600" s="3" t="s">
        <v>592</v>
      </c>
      <c r="C4600" t="s">
        <v>1719</v>
      </c>
      <c r="D4600" s="9">
        <v>3325295</v>
      </c>
      <c r="E4600">
        <v>2.539E-3</v>
      </c>
    </row>
    <row r="4601" spans="1:5">
      <c r="A4601">
        <v>2021</v>
      </c>
      <c r="B4601" s="3" t="s">
        <v>1456</v>
      </c>
      <c r="C4601" t="s">
        <v>1720</v>
      </c>
      <c r="D4601" s="9">
        <v>20843</v>
      </c>
      <c r="E4601">
        <v>1.59E-5</v>
      </c>
    </row>
    <row r="4602" spans="1:5">
      <c r="A4602">
        <v>2021</v>
      </c>
      <c r="B4602" s="3" t="s">
        <v>593</v>
      </c>
      <c r="C4602" t="s">
        <v>1721</v>
      </c>
      <c r="D4602" s="9">
        <v>769347</v>
      </c>
      <c r="E4602">
        <v>5.8739999999999997E-4</v>
      </c>
    </row>
    <row r="4603" spans="1:5">
      <c r="A4603">
        <v>2021</v>
      </c>
      <c r="B4603" s="3" t="s">
        <v>594</v>
      </c>
      <c r="C4603" t="s">
        <v>2190</v>
      </c>
      <c r="D4603" s="9">
        <v>20028</v>
      </c>
      <c r="E4603">
        <v>1.5299999999999999E-5</v>
      </c>
    </row>
    <row r="4604" spans="1:5">
      <c r="A4604">
        <v>2021</v>
      </c>
      <c r="B4604" s="3" t="s">
        <v>595</v>
      </c>
      <c r="C4604" t="s">
        <v>1722</v>
      </c>
      <c r="D4604" s="9">
        <v>670183</v>
      </c>
      <c r="E4604">
        <v>5.1170000000000002E-4</v>
      </c>
    </row>
    <row r="4605" spans="1:5">
      <c r="A4605">
        <v>2021</v>
      </c>
      <c r="B4605" s="3" t="s">
        <v>596</v>
      </c>
      <c r="C4605" t="s">
        <v>1723</v>
      </c>
      <c r="D4605" s="9">
        <v>817971</v>
      </c>
      <c r="E4605">
        <v>6.246E-4</v>
      </c>
    </row>
    <row r="4606" spans="1:5">
      <c r="A4606">
        <v>2021</v>
      </c>
      <c r="B4606" s="3" t="s">
        <v>597</v>
      </c>
      <c r="C4606" t="s">
        <v>1724</v>
      </c>
      <c r="D4606" s="9">
        <v>2375208</v>
      </c>
      <c r="E4606">
        <v>1.8136000000000001E-3</v>
      </c>
    </row>
    <row r="4607" spans="1:5">
      <c r="A4607">
        <v>2021</v>
      </c>
      <c r="B4607" s="3" t="s">
        <v>598</v>
      </c>
      <c r="C4607" t="s">
        <v>543</v>
      </c>
      <c r="D4607" s="9">
        <v>257764</v>
      </c>
      <c r="E4607">
        <v>1.9680000000000001E-4</v>
      </c>
    </row>
    <row r="4608" spans="1:5">
      <c r="A4608">
        <v>2021</v>
      </c>
      <c r="B4608" s="3" t="s">
        <v>1228</v>
      </c>
      <c r="C4608" t="s">
        <v>1725</v>
      </c>
      <c r="D4608" s="9">
        <v>37484</v>
      </c>
      <c r="E4608">
        <v>2.8600000000000001E-5</v>
      </c>
    </row>
    <row r="4609" spans="1:5">
      <c r="A4609">
        <v>2021</v>
      </c>
      <c r="B4609" s="3" t="s">
        <v>599</v>
      </c>
      <c r="C4609" t="s">
        <v>1726</v>
      </c>
      <c r="D4609" s="9">
        <v>161678</v>
      </c>
      <c r="E4609">
        <v>1.2339999999999999E-4</v>
      </c>
    </row>
    <row r="4610" spans="1:5">
      <c r="A4610">
        <v>2021</v>
      </c>
      <c r="B4610" s="3" t="s">
        <v>2403</v>
      </c>
      <c r="C4610" t="s">
        <v>2401</v>
      </c>
      <c r="D4610" s="9">
        <v>23290</v>
      </c>
      <c r="E4610">
        <v>1.7799999999999999E-5</v>
      </c>
    </row>
    <row r="4611" spans="1:5">
      <c r="A4611">
        <v>2021</v>
      </c>
      <c r="B4611" s="3" t="s">
        <v>600</v>
      </c>
      <c r="C4611" t="s">
        <v>1727</v>
      </c>
      <c r="D4611" s="9">
        <v>2689053</v>
      </c>
      <c r="E4611">
        <v>2.0531999999999998E-3</v>
      </c>
    </row>
    <row r="4612" spans="1:5">
      <c r="A4612">
        <v>2021</v>
      </c>
      <c r="B4612" s="3" t="s">
        <v>601</v>
      </c>
      <c r="C4612" t="s">
        <v>1728</v>
      </c>
      <c r="D4612" s="9">
        <v>1217457</v>
      </c>
      <c r="E4612">
        <v>9.2960000000000004E-4</v>
      </c>
    </row>
    <row r="4613" spans="1:5">
      <c r="A4613">
        <v>2021</v>
      </c>
      <c r="B4613" s="3" t="s">
        <v>2404</v>
      </c>
      <c r="C4613" t="s">
        <v>2402</v>
      </c>
      <c r="D4613" s="9">
        <v>335283</v>
      </c>
      <c r="E4613">
        <v>2.5599999999999999E-4</v>
      </c>
    </row>
    <row r="4614" spans="1:5">
      <c r="A4614">
        <v>2021</v>
      </c>
      <c r="B4614" s="3" t="s">
        <v>602</v>
      </c>
      <c r="C4614" t="s">
        <v>547</v>
      </c>
      <c r="D4614" s="9">
        <v>73198</v>
      </c>
      <c r="E4614">
        <v>5.5899999999999997E-5</v>
      </c>
    </row>
    <row r="4615" spans="1:5">
      <c r="A4615">
        <v>2021</v>
      </c>
      <c r="B4615" s="3" t="s">
        <v>603</v>
      </c>
      <c r="C4615" t="s">
        <v>548</v>
      </c>
      <c r="D4615" s="9">
        <v>72259</v>
      </c>
      <c r="E4615">
        <v>5.52E-5</v>
      </c>
    </row>
    <row r="4616" spans="1:5">
      <c r="A4616">
        <v>2021</v>
      </c>
      <c r="B4616" s="3" t="s">
        <v>604</v>
      </c>
      <c r="C4616" t="s">
        <v>1729</v>
      </c>
      <c r="D4616" s="9">
        <v>221121</v>
      </c>
      <c r="E4616">
        <v>1.6880000000000001E-4</v>
      </c>
    </row>
    <row r="4617" spans="1:5">
      <c r="A4617">
        <v>2021</v>
      </c>
      <c r="B4617" s="3" t="s">
        <v>1229</v>
      </c>
      <c r="C4617" t="s">
        <v>1730</v>
      </c>
      <c r="D4617" s="9">
        <v>152579</v>
      </c>
      <c r="E4617">
        <v>1.165E-4</v>
      </c>
    </row>
    <row r="4618" spans="1:5">
      <c r="A4618">
        <v>2021</v>
      </c>
      <c r="B4618" s="3" t="s">
        <v>660</v>
      </c>
      <c r="C4618" t="s">
        <v>605</v>
      </c>
      <c r="D4618" s="9">
        <v>2162871</v>
      </c>
      <c r="E4618">
        <v>1.6515E-3</v>
      </c>
    </row>
    <row r="4619" spans="1:5">
      <c r="A4619">
        <v>2021</v>
      </c>
      <c r="B4619" s="3" t="s">
        <v>661</v>
      </c>
      <c r="C4619" t="s">
        <v>1455</v>
      </c>
      <c r="D4619" s="9">
        <v>28694</v>
      </c>
      <c r="E4619">
        <v>2.19E-5</v>
      </c>
    </row>
    <row r="4620" spans="1:5">
      <c r="A4620">
        <v>2021</v>
      </c>
      <c r="B4620" s="3" t="s">
        <v>662</v>
      </c>
      <c r="C4620" t="s">
        <v>607</v>
      </c>
      <c r="D4620" s="9">
        <v>21389</v>
      </c>
      <c r="E4620">
        <v>1.63E-5</v>
      </c>
    </row>
    <row r="4621" spans="1:5">
      <c r="A4621">
        <v>2021</v>
      </c>
      <c r="B4621" s="3" t="s">
        <v>663</v>
      </c>
      <c r="C4621" t="s">
        <v>608</v>
      </c>
      <c r="D4621" s="9">
        <v>32279</v>
      </c>
      <c r="E4621">
        <v>2.4600000000000002E-5</v>
      </c>
    </row>
    <row r="4622" spans="1:5">
      <c r="A4622">
        <v>2021</v>
      </c>
      <c r="B4622" s="3" t="s">
        <v>664</v>
      </c>
      <c r="C4622" t="s">
        <v>609</v>
      </c>
      <c r="D4622" s="9">
        <v>22461956</v>
      </c>
      <c r="E4622">
        <v>1.71509E-2</v>
      </c>
    </row>
    <row r="4623" spans="1:5">
      <c r="A4623">
        <v>2021</v>
      </c>
      <c r="B4623" s="3" t="s">
        <v>1230</v>
      </c>
      <c r="C4623" t="s">
        <v>1731</v>
      </c>
      <c r="D4623" s="9">
        <v>7288616</v>
      </c>
      <c r="E4623">
        <v>5.5652000000000002E-3</v>
      </c>
    </row>
    <row r="4624" spans="1:5">
      <c r="A4624">
        <v>2021</v>
      </c>
      <c r="B4624" s="3" t="s">
        <v>665</v>
      </c>
      <c r="C4624" t="s">
        <v>1732</v>
      </c>
      <c r="D4624" s="9">
        <v>6752464</v>
      </c>
      <c r="E4624">
        <v>5.1558999999999997E-3</v>
      </c>
    </row>
    <row r="4625" spans="1:5">
      <c r="A4625">
        <v>2021</v>
      </c>
      <c r="B4625" s="3" t="s">
        <v>666</v>
      </c>
      <c r="C4625" t="s">
        <v>1733</v>
      </c>
      <c r="D4625" s="9">
        <v>10715831</v>
      </c>
      <c r="E4625">
        <v>8.1820999999999994E-3</v>
      </c>
    </row>
    <row r="4626" spans="1:5">
      <c r="A4626">
        <v>2021</v>
      </c>
      <c r="B4626" s="3" t="s">
        <v>382</v>
      </c>
      <c r="C4626" t="s">
        <v>1734</v>
      </c>
      <c r="D4626" s="9">
        <v>8946418</v>
      </c>
      <c r="E4626">
        <v>6.8310999999999997E-3</v>
      </c>
    </row>
    <row r="4627" spans="1:5">
      <c r="A4627">
        <v>2021</v>
      </c>
      <c r="B4627" s="3" t="s">
        <v>667</v>
      </c>
      <c r="C4627" t="s">
        <v>1735</v>
      </c>
      <c r="D4627" s="9">
        <v>900976</v>
      </c>
      <c r="E4627">
        <v>6.8789999999999997E-4</v>
      </c>
    </row>
    <row r="4628" spans="1:5">
      <c r="A4628">
        <v>2021</v>
      </c>
      <c r="B4628" s="3" t="s">
        <v>383</v>
      </c>
      <c r="C4628" t="s">
        <v>1736</v>
      </c>
      <c r="D4628" s="9">
        <v>340880</v>
      </c>
      <c r="E4628">
        <v>2.6029999999999998E-4</v>
      </c>
    </row>
    <row r="4629" spans="1:5">
      <c r="A4629">
        <v>2021</v>
      </c>
      <c r="B4629" s="3" t="s">
        <v>668</v>
      </c>
      <c r="C4629" t="s">
        <v>613</v>
      </c>
      <c r="D4629" s="9">
        <v>292469</v>
      </c>
      <c r="E4629">
        <v>2.2330000000000001E-4</v>
      </c>
    </row>
    <row r="4630" spans="1:5">
      <c r="A4630">
        <v>2021</v>
      </c>
      <c r="B4630" s="3" t="s">
        <v>384</v>
      </c>
      <c r="C4630" t="s">
        <v>1737</v>
      </c>
      <c r="D4630" s="9">
        <v>3690370</v>
      </c>
      <c r="E4630">
        <v>2.8178000000000001E-3</v>
      </c>
    </row>
    <row r="4631" spans="1:5">
      <c r="A4631">
        <v>2021</v>
      </c>
      <c r="B4631" s="3" t="s">
        <v>669</v>
      </c>
      <c r="C4631" t="s">
        <v>614</v>
      </c>
      <c r="D4631" s="9">
        <v>86090</v>
      </c>
      <c r="E4631">
        <v>6.5699999999999998E-5</v>
      </c>
    </row>
    <row r="4632" spans="1:5">
      <c r="A4632">
        <v>2021</v>
      </c>
      <c r="B4632" s="3" t="s">
        <v>670</v>
      </c>
      <c r="C4632" t="s">
        <v>615</v>
      </c>
      <c r="D4632" s="9">
        <v>771361</v>
      </c>
      <c r="E4632">
        <v>5.8900000000000001E-4</v>
      </c>
    </row>
    <row r="4633" spans="1:5">
      <c r="A4633">
        <v>2021</v>
      </c>
      <c r="B4633" s="3" t="s">
        <v>672</v>
      </c>
      <c r="C4633" t="s">
        <v>1739</v>
      </c>
      <c r="D4633" s="9">
        <v>324704</v>
      </c>
      <c r="E4633">
        <v>2.4790000000000001E-4</v>
      </c>
    </row>
    <row r="4634" spans="1:5">
      <c r="A4634">
        <v>2021</v>
      </c>
      <c r="B4634" s="3" t="s">
        <v>673</v>
      </c>
      <c r="C4634" t="s">
        <v>618</v>
      </c>
      <c r="D4634" s="9">
        <v>147246</v>
      </c>
      <c r="E4634">
        <v>1.1239999999999999E-4</v>
      </c>
    </row>
    <row r="4635" spans="1:5">
      <c r="A4635">
        <v>2021</v>
      </c>
      <c r="B4635" s="3" t="s">
        <v>674</v>
      </c>
      <c r="C4635" t="s">
        <v>2429</v>
      </c>
      <c r="D4635" s="9">
        <v>52967</v>
      </c>
      <c r="E4635">
        <v>4.0399999999999999E-5</v>
      </c>
    </row>
    <row r="4636" spans="1:5">
      <c r="A4636">
        <v>2021</v>
      </c>
      <c r="B4636" s="3" t="s">
        <v>675</v>
      </c>
      <c r="C4636" t="s">
        <v>620</v>
      </c>
      <c r="D4636" s="9">
        <v>678525</v>
      </c>
      <c r="E4636">
        <v>5.1809999999999996E-4</v>
      </c>
    </row>
    <row r="4637" spans="1:5">
      <c r="A4637">
        <v>2021</v>
      </c>
      <c r="B4637" s="3" t="s">
        <v>676</v>
      </c>
      <c r="C4637" t="s">
        <v>1740</v>
      </c>
      <c r="D4637" s="9"/>
    </row>
    <row r="4638" spans="1:5">
      <c r="A4638">
        <v>2021</v>
      </c>
      <c r="B4638" s="3" t="s">
        <v>677</v>
      </c>
      <c r="C4638" t="s">
        <v>622</v>
      </c>
      <c r="D4638" s="9">
        <v>466</v>
      </c>
      <c r="E4638">
        <v>3.9999999999999998E-7</v>
      </c>
    </row>
    <row r="4639" spans="1:5">
      <c r="A4639">
        <v>2021</v>
      </c>
      <c r="B4639" s="3" t="s">
        <v>1463</v>
      </c>
      <c r="C4639" t="s">
        <v>1741</v>
      </c>
      <c r="D4639" s="9">
        <v>76101</v>
      </c>
      <c r="E4639">
        <v>5.8100000000000003E-5</v>
      </c>
    </row>
    <row r="4640" spans="1:5">
      <c r="A4640">
        <v>2021</v>
      </c>
      <c r="B4640" s="3" t="s">
        <v>678</v>
      </c>
      <c r="C4640" t="s">
        <v>1458</v>
      </c>
      <c r="D4640" s="9"/>
    </row>
    <row r="4641" spans="1:5">
      <c r="A4641">
        <v>2021</v>
      </c>
      <c r="B4641" s="3" t="s">
        <v>1231</v>
      </c>
      <c r="C4641" t="s">
        <v>1742</v>
      </c>
      <c r="D4641" s="9">
        <v>80568</v>
      </c>
      <c r="E4641">
        <v>6.1500000000000004E-5</v>
      </c>
    </row>
    <row r="4642" spans="1:5">
      <c r="A4642">
        <v>2021</v>
      </c>
      <c r="B4642" s="3" t="s">
        <v>680</v>
      </c>
      <c r="C4642" t="s">
        <v>1743</v>
      </c>
      <c r="D4642" s="9">
        <v>72870</v>
      </c>
      <c r="E4642">
        <v>5.5600000000000003E-5</v>
      </c>
    </row>
    <row r="4643" spans="1:5">
      <c r="A4643">
        <v>2021</v>
      </c>
      <c r="B4643" s="3" t="s">
        <v>681</v>
      </c>
      <c r="C4643" t="s">
        <v>626</v>
      </c>
      <c r="D4643" s="9">
        <v>253032</v>
      </c>
      <c r="E4643">
        <v>1.9320000000000001E-4</v>
      </c>
    </row>
    <row r="4644" spans="1:5">
      <c r="A4644">
        <v>2021</v>
      </c>
      <c r="B4644" s="3" t="s">
        <v>682</v>
      </c>
      <c r="C4644" t="s">
        <v>1744</v>
      </c>
      <c r="D4644" s="9">
        <v>26721</v>
      </c>
      <c r="E4644">
        <v>2.0400000000000001E-5</v>
      </c>
    </row>
    <row r="4645" spans="1:5">
      <c r="A4645">
        <v>2021</v>
      </c>
      <c r="B4645" s="3" t="s">
        <v>1232</v>
      </c>
      <c r="C4645" t="s">
        <v>1745</v>
      </c>
      <c r="D4645" s="9">
        <v>61544</v>
      </c>
      <c r="E4645">
        <v>4.6999999999999997E-5</v>
      </c>
    </row>
    <row r="4646" spans="1:5">
      <c r="A4646">
        <v>2021</v>
      </c>
      <c r="B4646" s="3" t="s">
        <v>683</v>
      </c>
      <c r="C4646" t="s">
        <v>1746</v>
      </c>
      <c r="D4646" s="9">
        <v>267814</v>
      </c>
      <c r="E4646">
        <v>2.0450000000000001E-4</v>
      </c>
    </row>
    <row r="4647" spans="1:5">
      <c r="A4647">
        <v>2021</v>
      </c>
      <c r="B4647" s="3" t="s">
        <v>685</v>
      </c>
      <c r="C4647" t="s">
        <v>1461</v>
      </c>
      <c r="D4647" s="9">
        <v>26928</v>
      </c>
      <c r="E4647">
        <v>2.0599999999999999E-5</v>
      </c>
    </row>
    <row r="4648" spans="1:5">
      <c r="A4648">
        <v>2021</v>
      </c>
      <c r="B4648" s="3" t="s">
        <v>686</v>
      </c>
      <c r="C4648" t="s">
        <v>1747</v>
      </c>
      <c r="D4648" s="9">
        <v>335085</v>
      </c>
      <c r="E4648">
        <v>2.5589999999999999E-4</v>
      </c>
    </row>
    <row r="4649" spans="1:5">
      <c r="A4649">
        <v>2021</v>
      </c>
      <c r="B4649" s="3" t="s">
        <v>2089</v>
      </c>
      <c r="C4649" t="s">
        <v>2087</v>
      </c>
      <c r="D4649" s="9">
        <v>8117</v>
      </c>
      <c r="E4649">
        <v>6.1999999999999999E-6</v>
      </c>
    </row>
    <row r="4650" spans="1:5">
      <c r="A4650">
        <v>2021</v>
      </c>
      <c r="B4650" s="3" t="s">
        <v>687</v>
      </c>
      <c r="C4650" t="s">
        <v>632</v>
      </c>
      <c r="D4650" s="9">
        <v>1424807</v>
      </c>
      <c r="E4650">
        <v>1.0878999999999999E-3</v>
      </c>
    </row>
    <row r="4651" spans="1:5">
      <c r="A4651">
        <v>2021</v>
      </c>
      <c r="B4651" s="3" t="s">
        <v>688</v>
      </c>
      <c r="C4651" t="s">
        <v>1748</v>
      </c>
      <c r="D4651" s="9">
        <v>37532</v>
      </c>
      <c r="E4651">
        <v>2.87E-5</v>
      </c>
    </row>
    <row r="4652" spans="1:5">
      <c r="A4652">
        <v>2021</v>
      </c>
      <c r="B4652" s="3" t="s">
        <v>689</v>
      </c>
      <c r="C4652" t="s">
        <v>1749</v>
      </c>
      <c r="D4652" s="9">
        <v>7976018</v>
      </c>
      <c r="E4652">
        <v>6.0901000000000002E-3</v>
      </c>
    </row>
    <row r="4653" spans="1:5">
      <c r="A4653">
        <v>2021</v>
      </c>
      <c r="B4653" s="3" t="s">
        <v>690</v>
      </c>
      <c r="C4653" t="s">
        <v>1750</v>
      </c>
      <c r="D4653" s="9">
        <v>11037</v>
      </c>
      <c r="E4653">
        <v>8.3999999999999992E-6</v>
      </c>
    </row>
    <row r="4654" spans="1:5">
      <c r="A4654">
        <v>2021</v>
      </c>
      <c r="B4654" s="3" t="s">
        <v>691</v>
      </c>
      <c r="C4654" t="s">
        <v>1751</v>
      </c>
      <c r="D4654" s="9">
        <v>1480332</v>
      </c>
      <c r="E4654">
        <v>1.1303000000000001E-3</v>
      </c>
    </row>
    <row r="4655" spans="1:5">
      <c r="A4655">
        <v>2021</v>
      </c>
      <c r="B4655" s="3" t="s">
        <v>440</v>
      </c>
      <c r="C4655" t="s">
        <v>1752</v>
      </c>
      <c r="D4655" s="9">
        <v>193389</v>
      </c>
      <c r="E4655">
        <v>1.4770000000000001E-4</v>
      </c>
    </row>
    <row r="4656" spans="1:5">
      <c r="A4656">
        <v>2021</v>
      </c>
      <c r="B4656" s="3" t="s">
        <v>1464</v>
      </c>
      <c r="C4656" t="s">
        <v>1753</v>
      </c>
      <c r="D4656" s="9">
        <v>385276</v>
      </c>
      <c r="E4656">
        <v>2.942E-4</v>
      </c>
    </row>
    <row r="4657" spans="1:5" ht="17" customHeight="1">
      <c r="A4657">
        <v>2021</v>
      </c>
      <c r="B4657" s="3" t="s">
        <v>684</v>
      </c>
      <c r="C4657" t="s">
        <v>1754</v>
      </c>
      <c r="D4657" s="9">
        <v>432655</v>
      </c>
      <c r="E4657">
        <v>3.3040000000000001E-4</v>
      </c>
    </row>
    <row r="4658" spans="1:5">
      <c r="A4658">
        <v>2021</v>
      </c>
      <c r="B4658" s="3" t="s">
        <v>692</v>
      </c>
      <c r="C4658" t="s">
        <v>637</v>
      </c>
      <c r="D4658" s="9">
        <v>278518</v>
      </c>
      <c r="E4658">
        <v>2.1269999999999999E-4</v>
      </c>
    </row>
    <row r="4659" spans="1:5">
      <c r="A4659">
        <v>2021</v>
      </c>
      <c r="B4659" s="3" t="s">
        <v>1356</v>
      </c>
      <c r="C4659" t="s">
        <v>1755</v>
      </c>
      <c r="D4659" s="9">
        <v>191654</v>
      </c>
      <c r="E4659">
        <v>1.4630000000000001E-4</v>
      </c>
    </row>
    <row r="4660" spans="1:5">
      <c r="A4660">
        <v>2021</v>
      </c>
      <c r="B4660" s="3" t="s">
        <v>693</v>
      </c>
      <c r="C4660" t="s">
        <v>1756</v>
      </c>
      <c r="D4660" s="9">
        <v>124061</v>
      </c>
      <c r="E4660">
        <v>9.4699999999999998E-5</v>
      </c>
    </row>
    <row r="4661" spans="1:5">
      <c r="A4661">
        <v>2021</v>
      </c>
      <c r="B4661" s="3" t="s">
        <v>694</v>
      </c>
      <c r="C4661" t="s">
        <v>1757</v>
      </c>
      <c r="D4661" s="9">
        <v>3237252</v>
      </c>
      <c r="E4661">
        <v>2.4718000000000001E-3</v>
      </c>
    </row>
    <row r="4662" spans="1:5">
      <c r="A4662">
        <v>2021</v>
      </c>
      <c r="B4662" s="3" t="s">
        <v>695</v>
      </c>
      <c r="C4662" t="s">
        <v>1758</v>
      </c>
      <c r="D4662" s="9">
        <v>113799</v>
      </c>
      <c r="E4662">
        <v>8.6899999999999998E-5</v>
      </c>
    </row>
    <row r="4663" spans="1:5">
      <c r="A4663">
        <v>2021</v>
      </c>
      <c r="B4663" s="3" t="s">
        <v>1781</v>
      </c>
      <c r="C4663" t="s">
        <v>1759</v>
      </c>
      <c r="D4663" s="9">
        <v>183459</v>
      </c>
      <c r="E4663">
        <v>1.4009999999999999E-4</v>
      </c>
    </row>
    <row r="4664" spans="1:5">
      <c r="A4664">
        <v>2021</v>
      </c>
      <c r="B4664" s="3" t="s">
        <v>916</v>
      </c>
      <c r="C4664" t="s">
        <v>1760</v>
      </c>
      <c r="D4664" s="9">
        <v>65093</v>
      </c>
      <c r="E4664">
        <v>4.9700000000000002E-5</v>
      </c>
    </row>
    <row r="4665" spans="1:5">
      <c r="A4665">
        <v>2021</v>
      </c>
      <c r="B4665" s="3" t="s">
        <v>696</v>
      </c>
      <c r="C4665" t="s">
        <v>641</v>
      </c>
      <c r="D4665" s="9">
        <v>32873</v>
      </c>
      <c r="E4665">
        <v>2.51E-5</v>
      </c>
    </row>
    <row r="4666" spans="1:5">
      <c r="A4666">
        <v>2021</v>
      </c>
      <c r="B4666" s="3" t="s">
        <v>697</v>
      </c>
      <c r="C4666" t="s">
        <v>2373</v>
      </c>
      <c r="D4666" s="9">
        <v>186748</v>
      </c>
      <c r="E4666">
        <v>1.426E-4</v>
      </c>
    </row>
    <row r="4667" spans="1:5">
      <c r="A4667">
        <v>2021</v>
      </c>
      <c r="B4667" s="3" t="s">
        <v>698</v>
      </c>
      <c r="C4667" t="s">
        <v>1762</v>
      </c>
      <c r="D4667" s="9">
        <v>4053845</v>
      </c>
      <c r="E4667">
        <v>3.0953E-3</v>
      </c>
    </row>
    <row r="4668" spans="1:5">
      <c r="A4668">
        <v>2021</v>
      </c>
      <c r="B4668" s="3" t="s">
        <v>699</v>
      </c>
      <c r="C4668" t="s">
        <v>1763</v>
      </c>
      <c r="D4668" s="9">
        <v>2589162</v>
      </c>
      <c r="E4668">
        <v>1.977E-3</v>
      </c>
    </row>
    <row r="4669" spans="1:5">
      <c r="A4669">
        <v>2021</v>
      </c>
      <c r="B4669" s="3" t="s">
        <v>700</v>
      </c>
      <c r="C4669" t="s">
        <v>2374</v>
      </c>
      <c r="D4669" s="9">
        <v>22245</v>
      </c>
      <c r="E4669">
        <v>1.7E-5</v>
      </c>
    </row>
    <row r="4670" spans="1:5">
      <c r="A4670">
        <v>2021</v>
      </c>
      <c r="B4670" s="3" t="s">
        <v>701</v>
      </c>
      <c r="C4670" t="s">
        <v>2405</v>
      </c>
      <c r="D4670" s="9">
        <v>304247</v>
      </c>
      <c r="E4670">
        <v>2.3230000000000001E-4</v>
      </c>
    </row>
    <row r="4671" spans="1:5">
      <c r="A4671">
        <v>2021</v>
      </c>
      <c r="B4671" s="3" t="s">
        <v>702</v>
      </c>
      <c r="C4671" t="s">
        <v>1766</v>
      </c>
      <c r="D4671" s="9">
        <v>391554</v>
      </c>
      <c r="E4671">
        <v>2.99E-4</v>
      </c>
    </row>
    <row r="4672" spans="1:5">
      <c r="A4672">
        <v>2021</v>
      </c>
      <c r="B4672" s="3" t="s">
        <v>703</v>
      </c>
      <c r="C4672" t="s">
        <v>1767</v>
      </c>
      <c r="D4672" s="9">
        <v>2052835</v>
      </c>
      <c r="E4672">
        <v>1.5674E-3</v>
      </c>
    </row>
    <row r="4673" spans="1:5">
      <c r="A4673">
        <v>2021</v>
      </c>
      <c r="B4673" s="3" t="s">
        <v>1233</v>
      </c>
      <c r="C4673" t="s">
        <v>1768</v>
      </c>
      <c r="D4673" s="9">
        <v>78660</v>
      </c>
      <c r="E4673">
        <v>6.0099999999999997E-5</v>
      </c>
    </row>
    <row r="4674" spans="1:5">
      <c r="A4674">
        <v>2021</v>
      </c>
      <c r="B4674" s="3" t="s">
        <v>704</v>
      </c>
      <c r="C4674" t="s">
        <v>1769</v>
      </c>
      <c r="D4674" s="9">
        <v>140815</v>
      </c>
      <c r="E4674">
        <v>1.075E-4</v>
      </c>
    </row>
    <row r="4675" spans="1:5">
      <c r="A4675">
        <v>2021</v>
      </c>
      <c r="B4675" s="3" t="s">
        <v>705</v>
      </c>
      <c r="C4675" t="s">
        <v>1770</v>
      </c>
      <c r="D4675" s="9">
        <v>656867</v>
      </c>
      <c r="E4675">
        <v>5.0160000000000005E-4</v>
      </c>
    </row>
    <row r="4676" spans="1:5">
      <c r="A4676">
        <v>2021</v>
      </c>
      <c r="B4676" s="3" t="s">
        <v>706</v>
      </c>
      <c r="C4676" t="s">
        <v>1771</v>
      </c>
      <c r="D4676" s="9">
        <v>4103758</v>
      </c>
      <c r="E4676">
        <v>3.1334000000000002E-3</v>
      </c>
    </row>
    <row r="4677" spans="1:5">
      <c r="A4677">
        <v>2021</v>
      </c>
      <c r="B4677" s="3" t="s">
        <v>441</v>
      </c>
      <c r="C4677" t="s">
        <v>1772</v>
      </c>
      <c r="D4677" s="9">
        <v>1418687</v>
      </c>
      <c r="E4677">
        <v>1.0832000000000001E-3</v>
      </c>
    </row>
    <row r="4678" spans="1:5">
      <c r="A4678">
        <v>2021</v>
      </c>
      <c r="B4678" s="3" t="s">
        <v>707</v>
      </c>
      <c r="C4678" t="s">
        <v>1773</v>
      </c>
      <c r="D4678" s="9">
        <v>75355</v>
      </c>
      <c r="E4678">
        <v>5.7500000000000002E-5</v>
      </c>
    </row>
    <row r="4679" spans="1:5">
      <c r="A4679">
        <v>2021</v>
      </c>
      <c r="B4679" s="3" t="s">
        <v>708</v>
      </c>
      <c r="C4679" t="s">
        <v>1774</v>
      </c>
      <c r="D4679" s="9">
        <v>10612234</v>
      </c>
      <c r="E4679">
        <v>8.1030000000000008E-3</v>
      </c>
    </row>
    <row r="4680" spans="1:5">
      <c r="A4680">
        <v>2021</v>
      </c>
      <c r="B4680" s="3" t="s">
        <v>709</v>
      </c>
      <c r="C4680" t="s">
        <v>654</v>
      </c>
      <c r="D4680" s="9">
        <v>952244</v>
      </c>
      <c r="E4680">
        <v>7.2709999999999995E-4</v>
      </c>
    </row>
    <row r="4681" spans="1:5">
      <c r="A4681">
        <v>2021</v>
      </c>
      <c r="B4681" s="3" t="s">
        <v>710</v>
      </c>
      <c r="C4681" t="s">
        <v>1775</v>
      </c>
      <c r="D4681" s="9">
        <v>2822042</v>
      </c>
      <c r="E4681">
        <v>2.1548000000000001E-3</v>
      </c>
    </row>
    <row r="4682" spans="1:5">
      <c r="A4682">
        <v>2021</v>
      </c>
      <c r="B4682" s="3" t="s">
        <v>442</v>
      </c>
      <c r="C4682" t="s">
        <v>1776</v>
      </c>
      <c r="D4682" s="9">
        <v>1982904</v>
      </c>
      <c r="E4682">
        <v>1.5141E-3</v>
      </c>
    </row>
    <row r="4683" spans="1:5">
      <c r="A4683">
        <v>2021</v>
      </c>
      <c r="B4683" s="3" t="s">
        <v>712</v>
      </c>
      <c r="C4683" t="s">
        <v>1778</v>
      </c>
      <c r="D4683" s="9">
        <v>4652231</v>
      </c>
      <c r="E4683">
        <v>3.5522000000000001E-3</v>
      </c>
    </row>
    <row r="4684" spans="1:5">
      <c r="A4684">
        <v>2021</v>
      </c>
      <c r="B4684" s="3" t="s">
        <v>713</v>
      </c>
      <c r="C4684" t="s">
        <v>1779</v>
      </c>
      <c r="D4684" s="9">
        <v>163367</v>
      </c>
      <c r="E4684">
        <v>1.247E-4</v>
      </c>
    </row>
    <row r="4685" spans="1:5">
      <c r="A4685">
        <v>2021</v>
      </c>
      <c r="B4685" s="3" t="s">
        <v>714</v>
      </c>
      <c r="C4685" t="s">
        <v>1780</v>
      </c>
      <c r="D4685" s="9">
        <v>2033278</v>
      </c>
      <c r="E4685">
        <v>1.5525000000000001E-3</v>
      </c>
    </row>
    <row r="4686" spans="1:5">
      <c r="A4686">
        <v>2021</v>
      </c>
      <c r="B4686" s="3" t="s">
        <v>770</v>
      </c>
      <c r="C4686" t="s">
        <v>715</v>
      </c>
      <c r="D4686" s="9">
        <v>52339</v>
      </c>
      <c r="E4686">
        <v>4.0000000000000003E-5</v>
      </c>
    </row>
    <row r="4687" spans="1:5">
      <c r="A4687">
        <v>2021</v>
      </c>
      <c r="B4687" s="3" t="s">
        <v>771</v>
      </c>
      <c r="C4687" t="s">
        <v>1782</v>
      </c>
      <c r="D4687" s="9"/>
    </row>
    <row r="4688" spans="1:5">
      <c r="A4688">
        <v>2021</v>
      </c>
      <c r="B4688" s="3" t="s">
        <v>773</v>
      </c>
      <c r="C4688" t="s">
        <v>1784</v>
      </c>
      <c r="D4688" s="9">
        <v>6819502</v>
      </c>
      <c r="E4688">
        <v>5.2071000000000001E-3</v>
      </c>
    </row>
    <row r="4689" spans="1:5">
      <c r="A4689">
        <v>2021</v>
      </c>
      <c r="B4689" s="3" t="s">
        <v>443</v>
      </c>
      <c r="C4689" t="s">
        <v>1785</v>
      </c>
      <c r="D4689" s="9">
        <v>290102</v>
      </c>
      <c r="E4689">
        <v>2.2149999999999999E-4</v>
      </c>
    </row>
    <row r="4690" spans="1:5">
      <c r="A4690">
        <v>2021</v>
      </c>
      <c r="B4690" s="3" t="s">
        <v>774</v>
      </c>
      <c r="C4690" t="s">
        <v>1786</v>
      </c>
      <c r="D4690" s="9">
        <v>255936</v>
      </c>
      <c r="E4690">
        <v>1.9540000000000001E-4</v>
      </c>
    </row>
    <row r="4691" spans="1:5">
      <c r="A4691">
        <v>2021</v>
      </c>
      <c r="B4691" s="3" t="s">
        <v>775</v>
      </c>
      <c r="C4691" t="s">
        <v>1787</v>
      </c>
      <c r="D4691" s="9">
        <v>3490205</v>
      </c>
      <c r="E4691">
        <v>2.6649999999999998E-3</v>
      </c>
    </row>
    <row r="4692" spans="1:5">
      <c r="A4692">
        <v>2021</v>
      </c>
      <c r="B4692" s="3" t="s">
        <v>776</v>
      </c>
      <c r="C4692" t="s">
        <v>721</v>
      </c>
      <c r="D4692" s="9"/>
    </row>
    <row r="4693" spans="1:5">
      <c r="A4693">
        <v>2021</v>
      </c>
      <c r="B4693" s="3" t="s">
        <v>778</v>
      </c>
      <c r="C4693" t="s">
        <v>1788</v>
      </c>
      <c r="D4693" s="9">
        <v>3783912</v>
      </c>
      <c r="E4693">
        <v>2.8892000000000002E-3</v>
      </c>
    </row>
    <row r="4694" spans="1:5">
      <c r="A4694">
        <v>2021</v>
      </c>
      <c r="B4694" s="3" t="s">
        <v>779</v>
      </c>
      <c r="C4694" t="s">
        <v>1789</v>
      </c>
      <c r="D4694" s="9">
        <v>162293</v>
      </c>
      <c r="E4694">
        <v>1.239E-4</v>
      </c>
    </row>
    <row r="4695" spans="1:5">
      <c r="A4695">
        <v>2021</v>
      </c>
      <c r="B4695" s="3" t="s">
        <v>780</v>
      </c>
      <c r="C4695" t="s">
        <v>1790</v>
      </c>
      <c r="D4695" s="9">
        <v>419638</v>
      </c>
      <c r="E4695">
        <v>3.2039999999999998E-4</v>
      </c>
    </row>
    <row r="4696" spans="1:5">
      <c r="A4696">
        <v>2021</v>
      </c>
      <c r="B4696" s="3" t="s">
        <v>781</v>
      </c>
      <c r="C4696" t="s">
        <v>1791</v>
      </c>
      <c r="D4696" s="9">
        <v>18983</v>
      </c>
      <c r="E4696">
        <v>1.45E-5</v>
      </c>
    </row>
    <row r="4697" spans="1:5">
      <c r="A4697">
        <v>2021</v>
      </c>
      <c r="B4697" s="3" t="s">
        <v>782</v>
      </c>
      <c r="C4697" t="s">
        <v>1792</v>
      </c>
      <c r="D4697" s="9">
        <v>8304862</v>
      </c>
      <c r="E4697">
        <v>6.3412E-3</v>
      </c>
    </row>
    <row r="4698" spans="1:5">
      <c r="A4698">
        <v>2021</v>
      </c>
      <c r="B4698" s="3" t="s">
        <v>1234</v>
      </c>
      <c r="C4698" t="s">
        <v>1793</v>
      </c>
      <c r="D4698" s="9">
        <v>1810568</v>
      </c>
      <c r="E4698">
        <v>1.3825E-3</v>
      </c>
    </row>
    <row r="4699" spans="1:5">
      <c r="A4699">
        <v>2021</v>
      </c>
      <c r="B4699" s="3" t="s">
        <v>783</v>
      </c>
      <c r="C4699" t="s">
        <v>1794</v>
      </c>
      <c r="D4699" s="9">
        <v>1188814</v>
      </c>
      <c r="E4699">
        <v>9.077E-4</v>
      </c>
    </row>
    <row r="4700" spans="1:5">
      <c r="A4700">
        <v>2021</v>
      </c>
      <c r="B4700" s="3" t="s">
        <v>787</v>
      </c>
      <c r="C4700" t="s">
        <v>732</v>
      </c>
      <c r="D4700" s="9">
        <v>65592096</v>
      </c>
      <c r="E4700">
        <v>5.0083099999999998E-2</v>
      </c>
    </row>
    <row r="4701" spans="1:5">
      <c r="A4701">
        <v>2021</v>
      </c>
      <c r="B4701" s="3" t="s">
        <v>784</v>
      </c>
      <c r="C4701" t="s">
        <v>1795</v>
      </c>
      <c r="D4701" s="9">
        <v>45070367</v>
      </c>
      <c r="E4701">
        <v>3.4413600000000003E-2</v>
      </c>
    </row>
    <row r="4702" spans="1:5">
      <c r="A4702">
        <v>2021</v>
      </c>
      <c r="B4702" s="3" t="s">
        <v>785</v>
      </c>
      <c r="C4702" t="s">
        <v>1796</v>
      </c>
      <c r="D4702" s="9">
        <v>480793</v>
      </c>
      <c r="E4702">
        <v>3.6709999999999998E-4</v>
      </c>
    </row>
    <row r="4703" spans="1:5">
      <c r="A4703">
        <v>2021</v>
      </c>
      <c r="B4703" s="3" t="s">
        <v>788</v>
      </c>
      <c r="C4703" t="s">
        <v>1797</v>
      </c>
      <c r="D4703" s="9">
        <v>371164</v>
      </c>
      <c r="E4703">
        <v>2.834E-4</v>
      </c>
    </row>
    <row r="4704" spans="1:5">
      <c r="A4704">
        <v>2021</v>
      </c>
      <c r="B4704" s="3" t="s">
        <v>786</v>
      </c>
      <c r="C4704" t="s">
        <v>1798</v>
      </c>
      <c r="D4704" s="9">
        <v>29688539</v>
      </c>
      <c r="E4704">
        <v>2.2668799999999999E-2</v>
      </c>
    </row>
    <row r="4705" spans="1:5">
      <c r="A4705">
        <v>2021</v>
      </c>
      <c r="B4705" s="3" t="s">
        <v>789</v>
      </c>
      <c r="C4705" t="s">
        <v>1799</v>
      </c>
      <c r="D4705" s="9">
        <v>4415106</v>
      </c>
      <c r="E4705">
        <v>3.3712E-3</v>
      </c>
    </row>
    <row r="4706" spans="1:5">
      <c r="A4706">
        <v>2021</v>
      </c>
      <c r="B4706" s="3" t="s">
        <v>444</v>
      </c>
      <c r="C4706" t="s">
        <v>1800</v>
      </c>
      <c r="D4706" s="9">
        <v>1265937</v>
      </c>
      <c r="E4706">
        <v>9.6659999999999997E-4</v>
      </c>
    </row>
    <row r="4707" spans="1:5">
      <c r="A4707">
        <v>2021</v>
      </c>
      <c r="B4707" s="3" t="s">
        <v>790</v>
      </c>
      <c r="C4707" t="s">
        <v>1801</v>
      </c>
      <c r="D4707" s="9"/>
    </row>
    <row r="4708" spans="1:5">
      <c r="A4708">
        <v>2021</v>
      </c>
      <c r="B4708" s="3" t="s">
        <v>777</v>
      </c>
      <c r="C4708" t="s">
        <v>1802</v>
      </c>
      <c r="D4708" s="9">
        <v>149920</v>
      </c>
      <c r="E4708">
        <v>1.145E-4</v>
      </c>
    </row>
    <row r="4709" spans="1:5">
      <c r="A4709">
        <v>2021</v>
      </c>
      <c r="B4709" s="3" t="s">
        <v>791</v>
      </c>
      <c r="C4709" t="s">
        <v>736</v>
      </c>
      <c r="D4709" s="9">
        <v>333452</v>
      </c>
      <c r="E4709">
        <v>2.5460000000000001E-4</v>
      </c>
    </row>
    <row r="4710" spans="1:5">
      <c r="A4710">
        <v>2021</v>
      </c>
      <c r="B4710" s="3" t="s">
        <v>792</v>
      </c>
      <c r="C4710" t="s">
        <v>1803</v>
      </c>
      <c r="D4710" s="9">
        <v>397537</v>
      </c>
      <c r="E4710">
        <v>3.035E-4</v>
      </c>
    </row>
    <row r="4711" spans="1:5">
      <c r="A4711">
        <v>2021</v>
      </c>
      <c r="B4711" s="3" t="s">
        <v>793</v>
      </c>
      <c r="C4711" t="s">
        <v>1804</v>
      </c>
      <c r="D4711" s="9">
        <v>159297</v>
      </c>
      <c r="E4711">
        <v>1.216E-4</v>
      </c>
    </row>
    <row r="4712" spans="1:5">
      <c r="A4712">
        <v>2021</v>
      </c>
      <c r="B4712" s="3" t="s">
        <v>794</v>
      </c>
      <c r="C4712" t="s">
        <v>1805</v>
      </c>
      <c r="D4712" s="9">
        <v>41314</v>
      </c>
      <c r="E4712">
        <v>3.15E-5</v>
      </c>
    </row>
    <row r="4713" spans="1:5">
      <c r="A4713">
        <v>2021</v>
      </c>
      <c r="B4713" s="3" t="s">
        <v>795</v>
      </c>
      <c r="C4713" t="s">
        <v>1806</v>
      </c>
      <c r="D4713" s="9">
        <v>43659193</v>
      </c>
      <c r="E4713">
        <v>3.33361E-2</v>
      </c>
    </row>
    <row r="4714" spans="1:5">
      <c r="A4714">
        <v>2021</v>
      </c>
      <c r="B4714" s="3" t="s">
        <v>445</v>
      </c>
      <c r="C4714" t="s">
        <v>1807</v>
      </c>
      <c r="D4714" s="9">
        <v>20767213</v>
      </c>
      <c r="E4714">
        <v>1.58569E-2</v>
      </c>
    </row>
    <row r="4715" spans="1:5">
      <c r="A4715">
        <v>2021</v>
      </c>
      <c r="B4715" s="3" t="s">
        <v>796</v>
      </c>
      <c r="C4715" t="s">
        <v>741</v>
      </c>
      <c r="D4715" s="9">
        <v>147164</v>
      </c>
      <c r="E4715">
        <v>1.1239999999999999E-4</v>
      </c>
    </row>
    <row r="4716" spans="1:5">
      <c r="A4716">
        <v>2021</v>
      </c>
      <c r="B4716" s="3" t="s">
        <v>797</v>
      </c>
      <c r="C4716" t="s">
        <v>1808</v>
      </c>
      <c r="D4716" s="9">
        <v>435911</v>
      </c>
      <c r="E4716">
        <v>3.3280000000000001E-4</v>
      </c>
    </row>
    <row r="4717" spans="1:5">
      <c r="A4717">
        <v>2021</v>
      </c>
      <c r="B4717" s="3" t="s">
        <v>798</v>
      </c>
      <c r="C4717" t="s">
        <v>743</v>
      </c>
      <c r="D4717" s="9">
        <v>118664</v>
      </c>
      <c r="E4717">
        <v>9.0600000000000007E-5</v>
      </c>
    </row>
    <row r="4718" spans="1:5">
      <c r="A4718">
        <v>2021</v>
      </c>
      <c r="B4718" s="3" t="s">
        <v>799</v>
      </c>
      <c r="C4718" t="s">
        <v>1809</v>
      </c>
      <c r="D4718" s="9">
        <v>547692</v>
      </c>
      <c r="E4718">
        <v>4.1819999999999997E-4</v>
      </c>
    </row>
    <row r="4719" spans="1:5">
      <c r="A4719">
        <v>2021</v>
      </c>
      <c r="B4719" s="3" t="s">
        <v>1235</v>
      </c>
      <c r="C4719" t="s">
        <v>1810</v>
      </c>
      <c r="D4719" s="9">
        <v>124857</v>
      </c>
      <c r="E4719">
        <v>9.5299999999999999E-5</v>
      </c>
    </row>
    <row r="4720" spans="1:5">
      <c r="A4720">
        <v>2021</v>
      </c>
      <c r="B4720" s="3" t="s">
        <v>800</v>
      </c>
      <c r="C4720" t="s">
        <v>745</v>
      </c>
      <c r="D4720" s="9">
        <v>91260</v>
      </c>
      <c r="E4720">
        <v>6.97E-5</v>
      </c>
    </row>
    <row r="4721" spans="1:5">
      <c r="A4721">
        <v>2021</v>
      </c>
      <c r="B4721" s="3" t="s">
        <v>801</v>
      </c>
      <c r="C4721" t="s">
        <v>1811</v>
      </c>
      <c r="D4721" s="9">
        <v>740019</v>
      </c>
      <c r="E4721">
        <v>5.6499999999999996E-4</v>
      </c>
    </row>
    <row r="4722" spans="1:5">
      <c r="A4722">
        <v>2021</v>
      </c>
      <c r="B4722" s="3" t="s">
        <v>802</v>
      </c>
      <c r="C4722" t="s">
        <v>1812</v>
      </c>
      <c r="D4722" s="9">
        <v>45886</v>
      </c>
      <c r="E4722">
        <v>3.4999999999999997E-5</v>
      </c>
    </row>
    <row r="4723" spans="1:5">
      <c r="A4723">
        <v>2021</v>
      </c>
      <c r="B4723" s="3" t="s">
        <v>803</v>
      </c>
      <c r="C4723" t="s">
        <v>748</v>
      </c>
      <c r="D4723" s="9">
        <v>254808</v>
      </c>
      <c r="E4723">
        <v>1.9459999999999999E-4</v>
      </c>
    </row>
    <row r="4724" spans="1:5">
      <c r="A4724">
        <v>2021</v>
      </c>
      <c r="B4724" s="3" t="s">
        <v>804</v>
      </c>
      <c r="C4724" t="s">
        <v>749</v>
      </c>
      <c r="D4724" s="9">
        <v>339783</v>
      </c>
      <c r="E4724">
        <v>2.5940000000000002E-4</v>
      </c>
    </row>
    <row r="4725" spans="1:5">
      <c r="A4725">
        <v>2021</v>
      </c>
      <c r="B4725" s="3" t="s">
        <v>805</v>
      </c>
      <c r="C4725" t="s">
        <v>750</v>
      </c>
      <c r="D4725" s="9">
        <v>1727365</v>
      </c>
      <c r="E4725">
        <v>1.3189E-3</v>
      </c>
    </row>
    <row r="4726" spans="1:5">
      <c r="A4726">
        <v>2021</v>
      </c>
      <c r="B4726" s="3" t="s">
        <v>806</v>
      </c>
      <c r="C4726" t="s">
        <v>751</v>
      </c>
      <c r="D4726" s="9">
        <v>4887275</v>
      </c>
      <c r="E4726">
        <v>3.7317000000000001E-3</v>
      </c>
    </row>
    <row r="4727" spans="1:5">
      <c r="A4727">
        <v>2021</v>
      </c>
      <c r="B4727" s="3" t="s">
        <v>807</v>
      </c>
      <c r="C4727" t="s">
        <v>752</v>
      </c>
      <c r="D4727" s="9">
        <v>95132</v>
      </c>
      <c r="E4727">
        <v>7.2600000000000003E-5</v>
      </c>
    </row>
    <row r="4728" spans="1:5">
      <c r="A4728">
        <v>2021</v>
      </c>
      <c r="B4728" s="3" t="s">
        <v>808</v>
      </c>
      <c r="C4728" t="s">
        <v>2430</v>
      </c>
      <c r="D4728" s="9"/>
    </row>
    <row r="4729" spans="1:5">
      <c r="A4729">
        <v>2021</v>
      </c>
      <c r="B4729" s="3" t="s">
        <v>2431</v>
      </c>
      <c r="C4729" t="s">
        <v>2430</v>
      </c>
      <c r="D4729" s="9">
        <v>191364</v>
      </c>
      <c r="E4729">
        <v>1.461E-4</v>
      </c>
    </row>
    <row r="4730" spans="1:5">
      <c r="A4730">
        <v>2021</v>
      </c>
      <c r="B4730" s="3" t="s">
        <v>809</v>
      </c>
      <c r="C4730" t="s">
        <v>1814</v>
      </c>
      <c r="D4730" s="9">
        <v>657169</v>
      </c>
      <c r="E4730">
        <v>5.0180000000000005E-4</v>
      </c>
    </row>
    <row r="4731" spans="1:5">
      <c r="A4731">
        <v>2021</v>
      </c>
      <c r="B4731" s="3" t="s">
        <v>1470</v>
      </c>
      <c r="C4731" t="s">
        <v>1815</v>
      </c>
      <c r="D4731" s="9">
        <v>17240</v>
      </c>
      <c r="E4731">
        <v>1.3200000000000001E-5</v>
      </c>
    </row>
    <row r="4732" spans="1:5">
      <c r="A4732">
        <v>2021</v>
      </c>
      <c r="B4732" s="3" t="s">
        <v>810</v>
      </c>
      <c r="C4732" t="s">
        <v>1816</v>
      </c>
      <c r="D4732" s="9">
        <v>116924</v>
      </c>
      <c r="E4732">
        <v>8.9300000000000002E-5</v>
      </c>
    </row>
    <row r="4733" spans="1:5">
      <c r="A4733">
        <v>2021</v>
      </c>
      <c r="B4733" s="3" t="s">
        <v>812</v>
      </c>
      <c r="C4733" t="s">
        <v>1818</v>
      </c>
      <c r="D4733" s="9">
        <v>1028695</v>
      </c>
      <c r="E4733">
        <v>7.8549999999999996E-4</v>
      </c>
    </row>
    <row r="4734" spans="1:5">
      <c r="A4734">
        <v>2021</v>
      </c>
      <c r="B4734" s="3" t="s">
        <v>813</v>
      </c>
      <c r="C4734" t="s">
        <v>1819</v>
      </c>
      <c r="D4734" s="9">
        <v>109892</v>
      </c>
      <c r="E4734">
        <v>8.3900000000000006E-5</v>
      </c>
    </row>
    <row r="4735" spans="1:5">
      <c r="A4735">
        <v>2021</v>
      </c>
      <c r="B4735" s="3" t="s">
        <v>814</v>
      </c>
      <c r="C4735" t="s">
        <v>1820</v>
      </c>
      <c r="D4735" s="9">
        <v>57777</v>
      </c>
      <c r="E4735">
        <v>4.4100000000000001E-5</v>
      </c>
    </row>
    <row r="4736" spans="1:5">
      <c r="A4736">
        <v>2021</v>
      </c>
      <c r="B4736" s="3" t="s">
        <v>815</v>
      </c>
      <c r="C4736" t="s">
        <v>760</v>
      </c>
      <c r="D4736" s="9">
        <v>45009</v>
      </c>
      <c r="E4736">
        <v>3.4400000000000003E-5</v>
      </c>
    </row>
    <row r="4737" spans="1:5">
      <c r="A4737">
        <v>2021</v>
      </c>
      <c r="B4737" s="3" t="s">
        <v>816</v>
      </c>
      <c r="C4737" t="s">
        <v>761</v>
      </c>
      <c r="D4737" s="9">
        <v>51004</v>
      </c>
      <c r="E4737">
        <v>3.8899999999999997E-5</v>
      </c>
    </row>
    <row r="4738" spans="1:5">
      <c r="A4738">
        <v>2021</v>
      </c>
      <c r="B4738" s="3" t="s">
        <v>817</v>
      </c>
      <c r="C4738" t="s">
        <v>762</v>
      </c>
      <c r="D4738" s="9">
        <v>107712</v>
      </c>
      <c r="E4738">
        <v>8.2200000000000006E-5</v>
      </c>
    </row>
    <row r="4739" spans="1:5">
      <c r="A4739">
        <v>2021</v>
      </c>
      <c r="B4739" s="3" t="s">
        <v>818</v>
      </c>
      <c r="C4739" t="s">
        <v>1821</v>
      </c>
      <c r="D4739" s="9">
        <v>16128</v>
      </c>
      <c r="E4739">
        <v>1.2300000000000001E-5</v>
      </c>
    </row>
    <row r="4740" spans="1:5">
      <c r="A4740">
        <v>2021</v>
      </c>
      <c r="B4740" s="3" t="s">
        <v>820</v>
      </c>
      <c r="C4740" t="s">
        <v>1822</v>
      </c>
      <c r="D4740" s="9">
        <v>827634</v>
      </c>
      <c r="E4740">
        <v>6.3190000000000002E-4</v>
      </c>
    </row>
    <row r="4741" spans="1:5">
      <c r="A4741">
        <v>2021</v>
      </c>
      <c r="B4741" s="3" t="s">
        <v>822</v>
      </c>
      <c r="C4741" t="s">
        <v>2406</v>
      </c>
      <c r="D4741" s="9">
        <v>145217</v>
      </c>
      <c r="E4741">
        <v>1.109E-4</v>
      </c>
    </row>
    <row r="4742" spans="1:5">
      <c r="A4742">
        <v>2021</v>
      </c>
      <c r="B4742" s="3" t="s">
        <v>880</v>
      </c>
      <c r="C4742" t="s">
        <v>2407</v>
      </c>
      <c r="D4742" s="9">
        <v>670599</v>
      </c>
      <c r="E4742">
        <v>5.1199999999999998E-4</v>
      </c>
    </row>
    <row r="4743" spans="1:5">
      <c r="A4743">
        <v>2021</v>
      </c>
      <c r="B4743" s="3" t="s">
        <v>884</v>
      </c>
      <c r="C4743" t="s">
        <v>829</v>
      </c>
      <c r="D4743" s="9">
        <v>2252771</v>
      </c>
      <c r="E4743">
        <v>1.7201E-3</v>
      </c>
    </row>
    <row r="4744" spans="1:5">
      <c r="A4744">
        <v>2021</v>
      </c>
      <c r="B4744" s="3" t="s">
        <v>881</v>
      </c>
      <c r="C4744" t="s">
        <v>1825</v>
      </c>
      <c r="D4744" s="9">
        <v>27403</v>
      </c>
      <c r="E4744">
        <v>2.09E-5</v>
      </c>
    </row>
    <row r="4745" spans="1:5">
      <c r="A4745">
        <v>2021</v>
      </c>
      <c r="B4745" s="3" t="s">
        <v>885</v>
      </c>
      <c r="C4745" t="s">
        <v>1828</v>
      </c>
      <c r="D4745" s="9">
        <v>145521</v>
      </c>
      <c r="E4745">
        <v>1.111E-4</v>
      </c>
    </row>
    <row r="4746" spans="1:5">
      <c r="A4746">
        <v>2021</v>
      </c>
      <c r="B4746" s="3" t="s">
        <v>886</v>
      </c>
      <c r="C4746" t="s">
        <v>1829</v>
      </c>
      <c r="D4746" s="9">
        <v>48003</v>
      </c>
      <c r="E4746">
        <v>3.6699999999999998E-5</v>
      </c>
    </row>
    <row r="4747" spans="1:5">
      <c r="A4747">
        <v>2021</v>
      </c>
      <c r="B4747" s="3" t="s">
        <v>887</v>
      </c>
      <c r="C4747" t="s">
        <v>1830</v>
      </c>
      <c r="D4747" s="9">
        <v>74593</v>
      </c>
      <c r="E4747">
        <v>5.7000000000000003E-5</v>
      </c>
    </row>
    <row r="4748" spans="1:5">
      <c r="A4748">
        <v>2021</v>
      </c>
      <c r="B4748" s="3" t="s">
        <v>888</v>
      </c>
      <c r="C4748" t="s">
        <v>1831</v>
      </c>
      <c r="D4748" s="9">
        <v>33017</v>
      </c>
      <c r="E4748">
        <v>2.5199999999999999E-5</v>
      </c>
    </row>
    <row r="4749" spans="1:5">
      <c r="A4749">
        <v>2021</v>
      </c>
      <c r="B4749" s="3" t="s">
        <v>890</v>
      </c>
      <c r="C4749" t="s">
        <v>1832</v>
      </c>
      <c r="D4749" s="9">
        <v>3139151</v>
      </c>
      <c r="E4749">
        <v>2.3969E-3</v>
      </c>
    </row>
    <row r="4750" spans="1:5">
      <c r="A4750">
        <v>2021</v>
      </c>
      <c r="B4750" s="3" t="s">
        <v>446</v>
      </c>
      <c r="C4750" t="s">
        <v>1833</v>
      </c>
      <c r="D4750" s="9">
        <v>721074</v>
      </c>
      <c r="E4750">
        <v>5.5060000000000005E-4</v>
      </c>
    </row>
    <row r="4751" spans="1:5">
      <c r="A4751">
        <v>2021</v>
      </c>
      <c r="B4751" s="3" t="s">
        <v>821</v>
      </c>
      <c r="C4751" t="s">
        <v>1834</v>
      </c>
      <c r="D4751" s="9">
        <v>141499</v>
      </c>
      <c r="E4751">
        <v>1.08E-4</v>
      </c>
    </row>
    <row r="4752" spans="1:5">
      <c r="A4752">
        <v>2021</v>
      </c>
      <c r="B4752" s="3" t="s">
        <v>891</v>
      </c>
      <c r="C4752" t="s">
        <v>1835</v>
      </c>
      <c r="D4752" s="9">
        <v>50027</v>
      </c>
      <c r="E4752">
        <v>3.82E-5</v>
      </c>
    </row>
    <row r="4753" spans="1:5">
      <c r="A4753">
        <v>2021</v>
      </c>
      <c r="B4753" s="3" t="s">
        <v>892</v>
      </c>
      <c r="C4753" t="s">
        <v>1836</v>
      </c>
      <c r="D4753" s="9">
        <v>79696</v>
      </c>
      <c r="E4753">
        <v>6.0900000000000003E-5</v>
      </c>
    </row>
    <row r="4754" spans="1:5">
      <c r="A4754">
        <v>2021</v>
      </c>
      <c r="B4754" s="3" t="s">
        <v>896</v>
      </c>
      <c r="C4754" t="s">
        <v>2257</v>
      </c>
      <c r="D4754" s="9">
        <v>51207</v>
      </c>
      <c r="E4754">
        <v>3.9100000000000002E-5</v>
      </c>
    </row>
    <row r="4755" spans="1:5">
      <c r="A4755">
        <v>2021</v>
      </c>
      <c r="B4755" s="3" t="s">
        <v>824</v>
      </c>
      <c r="C4755" t="s">
        <v>1839</v>
      </c>
      <c r="D4755" s="9">
        <v>417147</v>
      </c>
      <c r="E4755">
        <v>3.1849999999999999E-4</v>
      </c>
    </row>
    <row r="4756" spans="1:5">
      <c r="A4756">
        <v>2021</v>
      </c>
      <c r="B4756" s="3" t="s">
        <v>823</v>
      </c>
      <c r="C4756" t="s">
        <v>1840</v>
      </c>
      <c r="D4756" s="9">
        <v>960187</v>
      </c>
      <c r="E4756">
        <v>7.3320000000000004E-4</v>
      </c>
    </row>
    <row r="4757" spans="1:5">
      <c r="A4757">
        <v>2021</v>
      </c>
      <c r="B4757" s="3" t="s">
        <v>893</v>
      </c>
      <c r="C4757" t="s">
        <v>2432</v>
      </c>
      <c r="D4757" s="9">
        <v>6633</v>
      </c>
      <c r="E4757">
        <v>5.1000000000000003E-6</v>
      </c>
    </row>
    <row r="4758" spans="1:5">
      <c r="A4758">
        <v>2021</v>
      </c>
      <c r="B4758" s="3" t="s">
        <v>897</v>
      </c>
      <c r="C4758" t="s">
        <v>1841</v>
      </c>
      <c r="D4758" s="9">
        <v>614084</v>
      </c>
      <c r="E4758">
        <v>4.6890000000000001E-4</v>
      </c>
    </row>
    <row r="4759" spans="1:5">
      <c r="A4759">
        <v>2021</v>
      </c>
      <c r="B4759" s="3" t="s">
        <v>894</v>
      </c>
      <c r="C4759" t="s">
        <v>839</v>
      </c>
      <c r="D4759" s="9">
        <v>13909633</v>
      </c>
      <c r="E4759">
        <v>1.06207E-2</v>
      </c>
    </row>
    <row r="4760" spans="1:5">
      <c r="A4760">
        <v>2021</v>
      </c>
      <c r="B4760" s="3" t="s">
        <v>895</v>
      </c>
      <c r="C4760" t="s">
        <v>1842</v>
      </c>
      <c r="D4760" s="9">
        <v>41444</v>
      </c>
      <c r="E4760">
        <v>3.1600000000000002E-5</v>
      </c>
    </row>
    <row r="4761" spans="1:5">
      <c r="A4761">
        <v>2021</v>
      </c>
      <c r="B4761" s="3" t="s">
        <v>898</v>
      </c>
      <c r="C4761" t="s">
        <v>843</v>
      </c>
      <c r="D4761" s="9">
        <v>1556162</v>
      </c>
      <c r="E4761">
        <v>1.1881999999999999E-3</v>
      </c>
    </row>
    <row r="4762" spans="1:5">
      <c r="A4762">
        <v>2021</v>
      </c>
      <c r="B4762" s="3" t="s">
        <v>899</v>
      </c>
      <c r="C4762" t="s">
        <v>844</v>
      </c>
      <c r="D4762" s="9">
        <v>407043</v>
      </c>
      <c r="E4762">
        <v>3.1080000000000002E-4</v>
      </c>
    </row>
    <row r="4763" spans="1:5">
      <c r="A4763">
        <v>2021</v>
      </c>
      <c r="B4763" s="3" t="s">
        <v>900</v>
      </c>
      <c r="C4763" t="s">
        <v>845</v>
      </c>
      <c r="D4763" s="9">
        <v>328825</v>
      </c>
      <c r="E4763">
        <v>2.5109999999999998E-4</v>
      </c>
    </row>
    <row r="4764" spans="1:5">
      <c r="A4764">
        <v>2021</v>
      </c>
      <c r="B4764" s="3" t="s">
        <v>901</v>
      </c>
      <c r="C4764" t="s">
        <v>846</v>
      </c>
      <c r="D4764" s="9">
        <v>126854</v>
      </c>
      <c r="E4764">
        <v>9.6899999999999997E-5</v>
      </c>
    </row>
    <row r="4765" spans="1:5">
      <c r="A4765">
        <v>2021</v>
      </c>
      <c r="B4765" s="3" t="s">
        <v>902</v>
      </c>
      <c r="C4765" t="s">
        <v>1843</v>
      </c>
      <c r="D4765" s="9">
        <v>305146</v>
      </c>
      <c r="E4765">
        <v>2.33E-4</v>
      </c>
    </row>
    <row r="4766" spans="1:5">
      <c r="A4766">
        <v>2021</v>
      </c>
      <c r="B4766" s="3" t="s">
        <v>1236</v>
      </c>
      <c r="C4766" t="s">
        <v>1844</v>
      </c>
      <c r="D4766" s="9">
        <v>1582532</v>
      </c>
      <c r="E4766">
        <v>1.2083E-3</v>
      </c>
    </row>
    <row r="4767" spans="1:5">
      <c r="A4767">
        <v>2021</v>
      </c>
      <c r="B4767" s="3" t="s">
        <v>903</v>
      </c>
      <c r="C4767" t="s">
        <v>1845</v>
      </c>
      <c r="D4767" s="9">
        <v>2081694</v>
      </c>
      <c r="E4767">
        <v>1.5895E-3</v>
      </c>
    </row>
    <row r="4768" spans="1:5">
      <c r="A4768">
        <v>2021</v>
      </c>
      <c r="B4768" s="3" t="s">
        <v>904</v>
      </c>
      <c r="C4768" t="s">
        <v>1846</v>
      </c>
      <c r="D4768" s="9">
        <v>25245</v>
      </c>
      <c r="E4768">
        <v>1.9300000000000002E-5</v>
      </c>
    </row>
    <row r="4769" spans="1:5">
      <c r="A4769">
        <v>2021</v>
      </c>
      <c r="B4769" s="3" t="s">
        <v>905</v>
      </c>
      <c r="C4769" t="s">
        <v>1847</v>
      </c>
      <c r="D4769" s="9">
        <v>40495</v>
      </c>
      <c r="E4769">
        <v>3.0899999999999999E-5</v>
      </c>
    </row>
    <row r="4770" spans="1:5">
      <c r="A4770">
        <v>2021</v>
      </c>
      <c r="B4770" s="3" t="s">
        <v>906</v>
      </c>
      <c r="C4770" t="s">
        <v>1848</v>
      </c>
      <c r="D4770" s="9">
        <v>1690159</v>
      </c>
      <c r="E4770">
        <v>1.2905E-3</v>
      </c>
    </row>
    <row r="4771" spans="1:5">
      <c r="A4771">
        <v>2021</v>
      </c>
      <c r="B4771" s="3" t="s">
        <v>447</v>
      </c>
      <c r="C4771" t="s">
        <v>1849</v>
      </c>
      <c r="D4771" s="9">
        <v>702485</v>
      </c>
      <c r="E4771">
        <v>5.3640000000000003E-4</v>
      </c>
    </row>
    <row r="4772" spans="1:5">
      <c r="A4772">
        <v>2021</v>
      </c>
      <c r="B4772" s="3" t="s">
        <v>1034</v>
      </c>
      <c r="C4772" t="s">
        <v>1850</v>
      </c>
      <c r="D4772" s="9">
        <v>271763</v>
      </c>
      <c r="E4772">
        <v>2.075E-4</v>
      </c>
    </row>
    <row r="4773" spans="1:5">
      <c r="A4773">
        <v>2021</v>
      </c>
      <c r="B4773" s="3" t="s">
        <v>908</v>
      </c>
      <c r="C4773" t="s">
        <v>1851</v>
      </c>
      <c r="D4773" s="9">
        <v>309860</v>
      </c>
      <c r="E4773">
        <v>2.366E-4</v>
      </c>
    </row>
    <row r="4774" spans="1:5">
      <c r="A4774">
        <v>2021</v>
      </c>
      <c r="B4774" s="3" t="s">
        <v>909</v>
      </c>
      <c r="C4774" t="s">
        <v>1852</v>
      </c>
      <c r="D4774" s="9">
        <v>128790</v>
      </c>
      <c r="E4774">
        <v>9.8300000000000004E-5</v>
      </c>
    </row>
    <row r="4775" spans="1:5">
      <c r="A4775">
        <v>2021</v>
      </c>
      <c r="B4775" s="3" t="s">
        <v>910</v>
      </c>
      <c r="C4775" t="s">
        <v>1853</v>
      </c>
      <c r="D4775" s="9">
        <v>659546</v>
      </c>
      <c r="E4775">
        <v>5.0359999999999999E-4</v>
      </c>
    </row>
    <row r="4776" spans="1:5">
      <c r="A4776">
        <v>2021</v>
      </c>
      <c r="B4776" s="3" t="s">
        <v>912</v>
      </c>
      <c r="C4776" t="s">
        <v>2382</v>
      </c>
      <c r="D4776" s="9">
        <v>1399622</v>
      </c>
      <c r="E4776">
        <v>1.0686999999999999E-3</v>
      </c>
    </row>
    <row r="4777" spans="1:5">
      <c r="A4777">
        <v>2021</v>
      </c>
      <c r="B4777" s="3" t="s">
        <v>911</v>
      </c>
      <c r="C4777" t="s">
        <v>1855</v>
      </c>
      <c r="D4777" s="9">
        <v>20146129</v>
      </c>
      <c r="E4777">
        <v>1.53826E-2</v>
      </c>
    </row>
    <row r="4778" spans="1:5">
      <c r="A4778">
        <v>2021</v>
      </c>
      <c r="B4778" s="3" t="s">
        <v>1237</v>
      </c>
      <c r="C4778" t="s">
        <v>1856</v>
      </c>
      <c r="D4778" s="9">
        <v>640298</v>
      </c>
      <c r="E4778">
        <v>4.8890000000000001E-4</v>
      </c>
    </row>
    <row r="4779" spans="1:5">
      <c r="A4779">
        <v>2021</v>
      </c>
      <c r="B4779" s="3" t="s">
        <v>1474</v>
      </c>
      <c r="C4779" t="s">
        <v>1473</v>
      </c>
      <c r="D4779" s="9"/>
    </row>
    <row r="4780" spans="1:5">
      <c r="A4780">
        <v>2021</v>
      </c>
      <c r="B4780" s="3" t="s">
        <v>913</v>
      </c>
      <c r="C4780" t="s">
        <v>1857</v>
      </c>
      <c r="D4780" s="9">
        <v>96075</v>
      </c>
      <c r="E4780">
        <v>7.3399999999999995E-5</v>
      </c>
    </row>
    <row r="4781" spans="1:5">
      <c r="A4781">
        <v>2021</v>
      </c>
      <c r="B4781" s="3" t="s">
        <v>914</v>
      </c>
      <c r="C4781" t="s">
        <v>1858</v>
      </c>
      <c r="D4781" s="9">
        <v>64217</v>
      </c>
      <c r="E4781">
        <v>4.8999999999999998E-5</v>
      </c>
    </row>
    <row r="4782" spans="1:5">
      <c r="A4782">
        <v>2021</v>
      </c>
      <c r="B4782" s="3" t="s">
        <v>915</v>
      </c>
      <c r="C4782" t="s">
        <v>1859</v>
      </c>
      <c r="D4782" s="9">
        <v>1318586</v>
      </c>
      <c r="E4782">
        <v>1.0068E-3</v>
      </c>
    </row>
    <row r="4783" spans="1:5">
      <c r="A4783">
        <v>2021</v>
      </c>
      <c r="B4783" s="3" t="s">
        <v>1238</v>
      </c>
      <c r="C4783" t="s">
        <v>1860</v>
      </c>
      <c r="D4783" s="9">
        <v>189407</v>
      </c>
      <c r="E4783">
        <v>1.4459999999999999E-4</v>
      </c>
    </row>
    <row r="4784" spans="1:5">
      <c r="A4784">
        <v>2021</v>
      </c>
      <c r="B4784" s="3" t="s">
        <v>917</v>
      </c>
      <c r="C4784" t="s">
        <v>1861</v>
      </c>
      <c r="D4784" s="9">
        <v>64007</v>
      </c>
      <c r="E4784">
        <v>4.8900000000000003E-5</v>
      </c>
    </row>
    <row r="4785" spans="1:5">
      <c r="A4785">
        <v>2021</v>
      </c>
      <c r="B4785" s="3" t="s">
        <v>918</v>
      </c>
      <c r="C4785" t="s">
        <v>863</v>
      </c>
      <c r="D4785" s="9">
        <v>18435</v>
      </c>
      <c r="E4785">
        <v>1.4100000000000001E-5</v>
      </c>
    </row>
    <row r="4786" spans="1:5">
      <c r="A4786">
        <v>2021</v>
      </c>
      <c r="B4786" s="3" t="s">
        <v>919</v>
      </c>
      <c r="C4786" t="s">
        <v>1862</v>
      </c>
      <c r="D4786" s="9">
        <v>140162</v>
      </c>
      <c r="E4786">
        <v>1.07E-4</v>
      </c>
    </row>
    <row r="4787" spans="1:5">
      <c r="A4787">
        <v>2021</v>
      </c>
      <c r="B4787" s="3" t="s">
        <v>1239</v>
      </c>
      <c r="C4787" t="s">
        <v>1863</v>
      </c>
      <c r="D4787" s="9">
        <v>46074</v>
      </c>
      <c r="E4787">
        <v>3.5200000000000002E-5</v>
      </c>
    </row>
    <row r="4788" spans="1:5">
      <c r="A4788">
        <v>2021</v>
      </c>
      <c r="B4788" s="3" t="s">
        <v>1030</v>
      </c>
      <c r="C4788" t="s">
        <v>1864</v>
      </c>
      <c r="D4788" s="9">
        <v>52167</v>
      </c>
      <c r="E4788">
        <v>3.9799999999999998E-5</v>
      </c>
    </row>
    <row r="4789" spans="1:5">
      <c r="A4789">
        <v>2021</v>
      </c>
      <c r="B4789" s="3" t="s">
        <v>921</v>
      </c>
      <c r="C4789" t="s">
        <v>1865</v>
      </c>
      <c r="D4789" s="9">
        <v>1454476</v>
      </c>
      <c r="E4789">
        <v>1.1106E-3</v>
      </c>
    </row>
    <row r="4790" spans="1:5">
      <c r="A4790">
        <v>2021</v>
      </c>
      <c r="B4790" s="3" t="s">
        <v>1240</v>
      </c>
      <c r="C4790" t="s">
        <v>1866</v>
      </c>
      <c r="D4790" s="9">
        <v>690471</v>
      </c>
      <c r="E4790">
        <v>5.2720000000000002E-4</v>
      </c>
    </row>
    <row r="4791" spans="1:5">
      <c r="A4791">
        <v>2021</v>
      </c>
      <c r="B4791" s="3" t="s">
        <v>922</v>
      </c>
      <c r="C4791" t="s">
        <v>1867</v>
      </c>
      <c r="D4791" s="9">
        <v>130674</v>
      </c>
      <c r="E4791">
        <v>9.98E-5</v>
      </c>
    </row>
    <row r="4792" spans="1:5">
      <c r="A4792">
        <v>2021</v>
      </c>
      <c r="B4792" s="3" t="s">
        <v>923</v>
      </c>
      <c r="C4792" t="s">
        <v>868</v>
      </c>
      <c r="D4792" s="9">
        <v>85752</v>
      </c>
      <c r="E4792">
        <v>6.5500000000000006E-5</v>
      </c>
    </row>
    <row r="4793" spans="1:5">
      <c r="A4793">
        <v>2021</v>
      </c>
      <c r="B4793" s="3" t="s">
        <v>924</v>
      </c>
      <c r="C4793" t="s">
        <v>1868</v>
      </c>
      <c r="D4793" s="9">
        <v>100439</v>
      </c>
      <c r="E4793">
        <v>7.6699999999999994E-5</v>
      </c>
    </row>
    <row r="4794" spans="1:5">
      <c r="A4794">
        <v>2021</v>
      </c>
      <c r="B4794" s="3" t="s">
        <v>925</v>
      </c>
      <c r="C4794" t="s">
        <v>1869</v>
      </c>
      <c r="D4794" s="9">
        <v>4660050</v>
      </c>
      <c r="E4794">
        <v>3.5582000000000001E-3</v>
      </c>
    </row>
    <row r="4795" spans="1:5">
      <c r="A4795">
        <v>2021</v>
      </c>
      <c r="B4795" s="3" t="s">
        <v>926</v>
      </c>
      <c r="C4795" t="s">
        <v>1870</v>
      </c>
      <c r="D4795" s="9">
        <v>20762080</v>
      </c>
      <c r="E4795">
        <v>1.5852999999999999E-2</v>
      </c>
    </row>
    <row r="4796" spans="1:5">
      <c r="A4796">
        <v>2021</v>
      </c>
      <c r="B4796" s="3" t="s">
        <v>448</v>
      </c>
      <c r="C4796" t="s">
        <v>1871</v>
      </c>
      <c r="D4796" s="9">
        <v>6716286</v>
      </c>
      <c r="E4796">
        <v>5.1282000000000003E-3</v>
      </c>
    </row>
    <row r="4797" spans="1:5">
      <c r="A4797">
        <v>2021</v>
      </c>
      <c r="B4797" s="3" t="s">
        <v>927</v>
      </c>
      <c r="C4797" t="s">
        <v>1872</v>
      </c>
      <c r="D4797" s="9">
        <v>5258799</v>
      </c>
      <c r="E4797">
        <v>4.0153999999999997E-3</v>
      </c>
    </row>
    <row r="4798" spans="1:5">
      <c r="A4798">
        <v>2021</v>
      </c>
      <c r="B4798" s="3" t="s">
        <v>930</v>
      </c>
      <c r="C4798" t="s">
        <v>1873</v>
      </c>
      <c r="D4798" s="9">
        <v>48292</v>
      </c>
      <c r="E4798">
        <v>3.6900000000000002E-5</v>
      </c>
    </row>
    <row r="4799" spans="1:5">
      <c r="A4799">
        <v>2021</v>
      </c>
      <c r="B4799" s="3" t="s">
        <v>929</v>
      </c>
      <c r="C4799" t="s">
        <v>1874</v>
      </c>
      <c r="D4799" s="9">
        <v>21322941</v>
      </c>
      <c r="E4799">
        <v>1.6281199999999999E-2</v>
      </c>
    </row>
    <row r="4800" spans="1:5">
      <c r="A4800">
        <v>2021</v>
      </c>
      <c r="B4800" s="3" t="s">
        <v>928</v>
      </c>
      <c r="C4800" t="s">
        <v>1875</v>
      </c>
      <c r="D4800" s="9">
        <v>777064</v>
      </c>
      <c r="E4800">
        <v>5.9329999999999995E-4</v>
      </c>
    </row>
    <row r="4801" spans="1:5">
      <c r="A4801">
        <v>2021</v>
      </c>
      <c r="B4801" s="3" t="s">
        <v>931</v>
      </c>
      <c r="C4801" t="s">
        <v>1876</v>
      </c>
      <c r="D4801" s="9">
        <v>111081</v>
      </c>
      <c r="E4801">
        <v>8.4800000000000001E-5</v>
      </c>
    </row>
    <row r="4802" spans="1:5">
      <c r="A4802">
        <v>2021</v>
      </c>
      <c r="B4802" s="3" t="s">
        <v>932</v>
      </c>
      <c r="C4802" t="s">
        <v>1877</v>
      </c>
      <c r="D4802" s="9">
        <v>13110</v>
      </c>
      <c r="E4802">
        <v>1.0000000000000001E-5</v>
      </c>
    </row>
    <row r="4803" spans="1:5">
      <c r="A4803">
        <v>2021</v>
      </c>
      <c r="B4803" s="3" t="s">
        <v>933</v>
      </c>
      <c r="C4803" t="s">
        <v>1878</v>
      </c>
      <c r="D4803" s="9">
        <v>17227</v>
      </c>
      <c r="E4803">
        <v>1.3200000000000001E-5</v>
      </c>
    </row>
    <row r="4804" spans="1:5">
      <c r="A4804">
        <v>2021</v>
      </c>
      <c r="B4804" s="3" t="s">
        <v>992</v>
      </c>
      <c r="C4804" t="s">
        <v>1879</v>
      </c>
      <c r="D4804" s="9">
        <v>76379</v>
      </c>
      <c r="E4804">
        <v>5.8300000000000001E-5</v>
      </c>
    </row>
    <row r="4805" spans="1:5">
      <c r="A4805">
        <v>2021</v>
      </c>
      <c r="B4805" s="3" t="s">
        <v>934</v>
      </c>
      <c r="C4805" t="s">
        <v>1880</v>
      </c>
      <c r="D4805" s="9">
        <v>501514</v>
      </c>
      <c r="E4805">
        <v>3.8289999999999998E-4</v>
      </c>
    </row>
    <row r="4806" spans="1:5">
      <c r="A4806">
        <v>2021</v>
      </c>
      <c r="B4806" s="3" t="s">
        <v>990</v>
      </c>
      <c r="C4806" t="s">
        <v>935</v>
      </c>
      <c r="D4806" s="9">
        <v>8082984</v>
      </c>
      <c r="E4806">
        <v>6.1717999999999999E-3</v>
      </c>
    </row>
    <row r="4807" spans="1:5">
      <c r="A4807">
        <v>2021</v>
      </c>
      <c r="B4807" s="3" t="s">
        <v>991</v>
      </c>
      <c r="C4807" t="s">
        <v>936</v>
      </c>
      <c r="D4807" s="9">
        <v>28183595</v>
      </c>
      <c r="E4807">
        <v>2.1519699999999999E-2</v>
      </c>
    </row>
    <row r="4808" spans="1:5">
      <c r="A4808">
        <v>2021</v>
      </c>
      <c r="B4808" s="3" t="s">
        <v>993</v>
      </c>
      <c r="C4808" t="s">
        <v>1881</v>
      </c>
      <c r="D4808" s="9">
        <v>682536</v>
      </c>
      <c r="E4808">
        <v>5.2119999999999998E-4</v>
      </c>
    </row>
    <row r="4809" spans="1:5">
      <c r="A4809">
        <v>2021</v>
      </c>
      <c r="B4809" s="3" t="s">
        <v>1885</v>
      </c>
      <c r="C4809" t="s">
        <v>1882</v>
      </c>
      <c r="D4809" s="9"/>
    </row>
    <row r="4810" spans="1:5">
      <c r="A4810">
        <v>2021</v>
      </c>
      <c r="B4810" s="3" t="s">
        <v>994</v>
      </c>
      <c r="C4810" t="s">
        <v>939</v>
      </c>
      <c r="D4810" s="9">
        <v>3710</v>
      </c>
      <c r="E4810">
        <v>2.7999999999999999E-6</v>
      </c>
    </row>
    <row r="4811" spans="1:5">
      <c r="A4811">
        <v>2021</v>
      </c>
      <c r="B4811" s="3" t="s">
        <v>995</v>
      </c>
      <c r="C4811" t="s">
        <v>2434</v>
      </c>
      <c r="D4811" s="9">
        <v>65298</v>
      </c>
      <c r="E4811">
        <v>4.99E-5</v>
      </c>
    </row>
    <row r="4812" spans="1:5">
      <c r="A4812">
        <v>2021</v>
      </c>
      <c r="B4812" s="3" t="s">
        <v>996</v>
      </c>
      <c r="C4812" t="s">
        <v>2435</v>
      </c>
      <c r="D4812" s="9">
        <v>40267</v>
      </c>
      <c r="E4812">
        <v>3.0700000000000001E-5</v>
      </c>
    </row>
    <row r="4813" spans="1:5">
      <c r="A4813">
        <v>2021</v>
      </c>
      <c r="B4813" s="3" t="s">
        <v>997</v>
      </c>
      <c r="C4813" t="s">
        <v>2436</v>
      </c>
      <c r="D4813" s="9">
        <v>91172</v>
      </c>
      <c r="E4813">
        <v>6.9599999999999998E-5</v>
      </c>
    </row>
    <row r="4814" spans="1:5">
      <c r="A4814">
        <v>2021</v>
      </c>
      <c r="B4814" s="3" t="s">
        <v>999</v>
      </c>
      <c r="C4814" t="s">
        <v>1884</v>
      </c>
      <c r="D4814" s="9">
        <v>531673</v>
      </c>
      <c r="E4814">
        <v>4.06E-4</v>
      </c>
    </row>
    <row r="4815" spans="1:5">
      <c r="A4815">
        <v>2021</v>
      </c>
      <c r="B4815" s="3" t="s">
        <v>1241</v>
      </c>
      <c r="C4815" t="s">
        <v>1886</v>
      </c>
      <c r="D4815" s="9">
        <v>40376</v>
      </c>
      <c r="E4815">
        <v>3.0800000000000003E-5</v>
      </c>
    </row>
    <row r="4816" spans="1:5">
      <c r="A4816">
        <v>2021</v>
      </c>
      <c r="B4816" s="3" t="s">
        <v>1001</v>
      </c>
      <c r="C4816" t="s">
        <v>2433</v>
      </c>
      <c r="D4816" s="9">
        <v>32035</v>
      </c>
      <c r="E4816">
        <v>2.4499999999999999E-5</v>
      </c>
    </row>
    <row r="4817" spans="1:5">
      <c r="A4817">
        <v>2021</v>
      </c>
      <c r="B4817" s="3" t="s">
        <v>1000</v>
      </c>
      <c r="C4817" t="s">
        <v>2384</v>
      </c>
      <c r="D4817" s="9">
        <v>15228</v>
      </c>
      <c r="E4817">
        <v>1.1600000000000001E-5</v>
      </c>
    </row>
    <row r="4818" spans="1:5">
      <c r="A4818">
        <v>2021</v>
      </c>
      <c r="B4818" s="3" t="s">
        <v>1002</v>
      </c>
      <c r="C4818" t="s">
        <v>947</v>
      </c>
      <c r="D4818" s="9">
        <v>8690140</v>
      </c>
      <c r="E4818">
        <v>6.6353999999999996E-3</v>
      </c>
    </row>
    <row r="4819" spans="1:5">
      <c r="A4819">
        <v>2021</v>
      </c>
      <c r="B4819" s="3" t="s">
        <v>1003</v>
      </c>
      <c r="C4819" t="s">
        <v>1478</v>
      </c>
      <c r="D4819" s="9">
        <v>34078</v>
      </c>
      <c r="E4819">
        <v>2.5999999999999998E-5</v>
      </c>
    </row>
    <row r="4820" spans="1:5">
      <c r="A4820">
        <v>2021</v>
      </c>
      <c r="B4820" s="3" t="s">
        <v>1004</v>
      </c>
      <c r="C4820" t="s">
        <v>949</v>
      </c>
      <c r="D4820" s="9">
        <v>387055</v>
      </c>
      <c r="E4820">
        <v>2.9550000000000003E-4</v>
      </c>
    </row>
    <row r="4821" spans="1:5">
      <c r="A4821">
        <v>2021</v>
      </c>
      <c r="B4821" s="3" t="s">
        <v>1005</v>
      </c>
      <c r="C4821" t="s">
        <v>1888</v>
      </c>
      <c r="D4821" s="9">
        <v>114443</v>
      </c>
      <c r="E4821">
        <v>8.7399999999999997E-5</v>
      </c>
    </row>
    <row r="4822" spans="1:5">
      <c r="A4822">
        <v>2021</v>
      </c>
      <c r="B4822" s="3" t="s">
        <v>1006</v>
      </c>
      <c r="C4822" t="s">
        <v>1889</v>
      </c>
      <c r="D4822" s="9">
        <v>211947</v>
      </c>
      <c r="E4822">
        <v>1.618E-4</v>
      </c>
    </row>
    <row r="4823" spans="1:5">
      <c r="A4823">
        <v>2021</v>
      </c>
      <c r="B4823" s="3" t="s">
        <v>1007</v>
      </c>
      <c r="C4823" t="s">
        <v>1890</v>
      </c>
      <c r="D4823" s="9">
        <v>23305</v>
      </c>
      <c r="E4823">
        <v>1.7799999999999999E-5</v>
      </c>
    </row>
    <row r="4824" spans="1:5">
      <c r="A4824">
        <v>2021</v>
      </c>
      <c r="B4824" s="3" t="s">
        <v>1008</v>
      </c>
      <c r="C4824" t="s">
        <v>2286</v>
      </c>
      <c r="D4824" s="9">
        <v>134938</v>
      </c>
      <c r="E4824">
        <v>1.03E-4</v>
      </c>
    </row>
    <row r="4825" spans="1:5">
      <c r="A4825">
        <v>2021</v>
      </c>
      <c r="B4825" s="3" t="s">
        <v>1009</v>
      </c>
      <c r="C4825" t="s">
        <v>1892</v>
      </c>
      <c r="D4825" s="9">
        <v>28911</v>
      </c>
      <c r="E4825">
        <v>2.2099999999999998E-5</v>
      </c>
    </row>
    <row r="4826" spans="1:5">
      <c r="A4826">
        <v>2021</v>
      </c>
      <c r="B4826" s="3" t="s">
        <v>1010</v>
      </c>
      <c r="C4826" t="s">
        <v>1893</v>
      </c>
      <c r="D4826" s="9">
        <v>114048</v>
      </c>
      <c r="E4826">
        <v>8.7100000000000003E-5</v>
      </c>
    </row>
    <row r="4827" spans="1:5">
      <c r="A4827">
        <v>2021</v>
      </c>
      <c r="B4827" s="3" t="s">
        <v>1242</v>
      </c>
      <c r="C4827" t="s">
        <v>1894</v>
      </c>
      <c r="D4827" s="9">
        <v>224358</v>
      </c>
      <c r="E4827">
        <v>1.7129999999999999E-4</v>
      </c>
    </row>
    <row r="4828" spans="1:5">
      <c r="A4828">
        <v>2021</v>
      </c>
      <c r="B4828" s="3" t="s">
        <v>1011</v>
      </c>
      <c r="C4828" t="s">
        <v>2288</v>
      </c>
      <c r="D4828" s="9">
        <v>14416</v>
      </c>
      <c r="E4828">
        <v>1.1E-5</v>
      </c>
    </row>
    <row r="4829" spans="1:5">
      <c r="A4829">
        <v>2021</v>
      </c>
      <c r="B4829" s="3" t="s">
        <v>1012</v>
      </c>
      <c r="C4829" t="s">
        <v>957</v>
      </c>
      <c r="D4829" s="9">
        <v>103101</v>
      </c>
      <c r="E4829">
        <v>7.8700000000000002E-5</v>
      </c>
    </row>
    <row r="4830" spans="1:5">
      <c r="A4830">
        <v>2021</v>
      </c>
      <c r="B4830" s="3" t="s">
        <v>1013</v>
      </c>
      <c r="C4830" t="s">
        <v>2408</v>
      </c>
      <c r="D4830" s="9">
        <v>1116379</v>
      </c>
      <c r="E4830">
        <v>8.5240000000000001E-4</v>
      </c>
    </row>
    <row r="4831" spans="1:5">
      <c r="A4831">
        <v>2021</v>
      </c>
      <c r="B4831" s="3" t="s">
        <v>1016</v>
      </c>
      <c r="C4831" t="s">
        <v>1897</v>
      </c>
      <c r="D4831" s="9">
        <v>395302</v>
      </c>
      <c r="E4831">
        <v>3.0180000000000002E-4</v>
      </c>
    </row>
    <row r="4832" spans="1:5">
      <c r="A4832">
        <v>2021</v>
      </c>
      <c r="B4832" s="3" t="s">
        <v>1017</v>
      </c>
      <c r="C4832" t="s">
        <v>1898</v>
      </c>
      <c r="D4832" s="9">
        <v>79415</v>
      </c>
      <c r="E4832">
        <v>6.0600000000000003E-5</v>
      </c>
    </row>
    <row r="4833" spans="1:5">
      <c r="A4833">
        <v>2021</v>
      </c>
      <c r="B4833" s="3" t="s">
        <v>1018</v>
      </c>
      <c r="C4833" t="s">
        <v>1899</v>
      </c>
      <c r="D4833" s="9">
        <v>42461</v>
      </c>
      <c r="E4833">
        <v>3.2400000000000001E-5</v>
      </c>
    </row>
    <row r="4834" spans="1:5">
      <c r="A4834">
        <v>2021</v>
      </c>
      <c r="B4834" s="3" t="s">
        <v>1020</v>
      </c>
      <c r="C4834" t="s">
        <v>1900</v>
      </c>
      <c r="D4834" s="9">
        <v>2222063</v>
      </c>
      <c r="E4834">
        <v>1.6967E-3</v>
      </c>
    </row>
    <row r="4835" spans="1:5">
      <c r="A4835">
        <v>2021</v>
      </c>
      <c r="B4835" s="3" t="s">
        <v>1019</v>
      </c>
      <c r="C4835" t="s">
        <v>1901</v>
      </c>
      <c r="D4835" s="9">
        <v>55371</v>
      </c>
      <c r="E4835">
        <v>4.2299999999999998E-5</v>
      </c>
    </row>
    <row r="4836" spans="1:5">
      <c r="A4836">
        <v>2021</v>
      </c>
      <c r="B4836" s="3" t="s">
        <v>1021</v>
      </c>
      <c r="C4836" t="s">
        <v>1902</v>
      </c>
      <c r="D4836" s="9">
        <v>43823</v>
      </c>
      <c r="E4836">
        <v>3.3500000000000001E-5</v>
      </c>
    </row>
    <row r="4837" spans="1:5">
      <c r="A4837">
        <v>2021</v>
      </c>
      <c r="B4837" s="3" t="s">
        <v>449</v>
      </c>
      <c r="C4837" t="s">
        <v>1903</v>
      </c>
      <c r="D4837" s="9">
        <v>2477223</v>
      </c>
      <c r="E4837">
        <v>1.8915E-3</v>
      </c>
    </row>
    <row r="4838" spans="1:5">
      <c r="A4838">
        <v>2021</v>
      </c>
      <c r="B4838" s="3" t="s">
        <v>1022</v>
      </c>
      <c r="C4838" t="s">
        <v>1904</v>
      </c>
      <c r="D4838" s="9">
        <v>192861</v>
      </c>
      <c r="E4838">
        <v>1.473E-4</v>
      </c>
    </row>
    <row r="4839" spans="1:5">
      <c r="A4839">
        <v>2021</v>
      </c>
      <c r="B4839" s="3" t="s">
        <v>1023</v>
      </c>
      <c r="C4839" t="s">
        <v>1905</v>
      </c>
      <c r="D4839" s="9">
        <v>763553</v>
      </c>
      <c r="E4839">
        <v>5.8299999999999997E-4</v>
      </c>
    </row>
    <row r="4840" spans="1:5">
      <c r="A4840">
        <v>2021</v>
      </c>
      <c r="B4840" s="3" t="s">
        <v>1024</v>
      </c>
      <c r="C4840" t="s">
        <v>969</v>
      </c>
      <c r="D4840" s="9">
        <v>97552</v>
      </c>
      <c r="E4840">
        <v>7.4499999999999995E-5</v>
      </c>
    </row>
    <row r="4841" spans="1:5">
      <c r="A4841">
        <v>2021</v>
      </c>
      <c r="B4841" s="3" t="s">
        <v>1025</v>
      </c>
      <c r="C4841" t="s">
        <v>1906</v>
      </c>
      <c r="D4841" s="9">
        <v>113532</v>
      </c>
      <c r="E4841">
        <v>8.6700000000000007E-5</v>
      </c>
    </row>
    <row r="4842" spans="1:5">
      <c r="A4842">
        <v>2021</v>
      </c>
      <c r="B4842" s="3" t="s">
        <v>1026</v>
      </c>
      <c r="C4842" t="s">
        <v>1907</v>
      </c>
      <c r="D4842" s="9">
        <v>6061784</v>
      </c>
      <c r="E4842">
        <v>4.6284999999999998E-3</v>
      </c>
    </row>
    <row r="4843" spans="1:5">
      <c r="A4843">
        <v>2021</v>
      </c>
      <c r="B4843" s="3" t="s">
        <v>1243</v>
      </c>
      <c r="C4843" t="s">
        <v>1908</v>
      </c>
      <c r="D4843" s="9">
        <v>2213799</v>
      </c>
      <c r="E4843">
        <v>1.6904000000000001E-3</v>
      </c>
    </row>
    <row r="4844" spans="1:5">
      <c r="A4844">
        <v>2021</v>
      </c>
      <c r="B4844" s="3" t="s">
        <v>1027</v>
      </c>
      <c r="C4844" t="s">
        <v>1909</v>
      </c>
      <c r="D4844" s="9">
        <v>20772</v>
      </c>
      <c r="E4844">
        <v>1.59E-5</v>
      </c>
    </row>
    <row r="4845" spans="1:5">
      <c r="A4845">
        <v>2021</v>
      </c>
      <c r="B4845" s="3" t="s">
        <v>1028</v>
      </c>
      <c r="C4845" t="s">
        <v>973</v>
      </c>
      <c r="D4845" s="9">
        <v>10592</v>
      </c>
      <c r="E4845">
        <v>8.1000000000000004E-6</v>
      </c>
    </row>
    <row r="4846" spans="1:5">
      <c r="A4846">
        <v>2021</v>
      </c>
      <c r="B4846" s="3" t="s">
        <v>1029</v>
      </c>
      <c r="C4846" t="s">
        <v>2409</v>
      </c>
      <c r="D4846" s="9">
        <v>254046</v>
      </c>
      <c r="E4846">
        <v>1.94E-4</v>
      </c>
    </row>
    <row r="4847" spans="1:5">
      <c r="A4847">
        <v>2021</v>
      </c>
      <c r="B4847" s="3" t="s">
        <v>1031</v>
      </c>
      <c r="C4847" t="s">
        <v>1911</v>
      </c>
      <c r="D4847" s="9">
        <v>516715</v>
      </c>
      <c r="E4847">
        <v>3.9449999999999999E-4</v>
      </c>
    </row>
    <row r="4848" spans="1:5">
      <c r="A4848">
        <v>2021</v>
      </c>
      <c r="B4848" s="3" t="s">
        <v>1032</v>
      </c>
      <c r="C4848" t="s">
        <v>1912</v>
      </c>
      <c r="D4848" s="9">
        <v>226405</v>
      </c>
      <c r="E4848">
        <v>1.729E-4</v>
      </c>
    </row>
    <row r="4849" spans="1:5">
      <c r="A4849">
        <v>2021</v>
      </c>
      <c r="B4849" s="3" t="s">
        <v>920</v>
      </c>
      <c r="C4849" t="s">
        <v>1914</v>
      </c>
      <c r="D4849" s="9"/>
    </row>
    <row r="4850" spans="1:5">
      <c r="A4850">
        <v>2021</v>
      </c>
      <c r="B4850" s="3" t="s">
        <v>1037</v>
      </c>
      <c r="C4850" t="s">
        <v>1915</v>
      </c>
      <c r="D4850" s="9">
        <v>47605</v>
      </c>
      <c r="E4850">
        <v>3.6300000000000001E-5</v>
      </c>
    </row>
    <row r="4851" spans="1:5">
      <c r="A4851">
        <v>2021</v>
      </c>
      <c r="B4851" s="3" t="s">
        <v>1038</v>
      </c>
      <c r="C4851" t="s">
        <v>1916</v>
      </c>
      <c r="D4851" s="9">
        <v>694654</v>
      </c>
      <c r="E4851">
        <v>5.3039999999999999E-4</v>
      </c>
    </row>
    <row r="4852" spans="1:5">
      <c r="A4852">
        <v>2021</v>
      </c>
      <c r="B4852" s="3" t="s">
        <v>1039</v>
      </c>
      <c r="C4852" t="s">
        <v>1917</v>
      </c>
      <c r="D4852" s="9">
        <v>6517451</v>
      </c>
      <c r="E4852">
        <v>4.9763999999999997E-3</v>
      </c>
    </row>
    <row r="4853" spans="1:5">
      <c r="A4853">
        <v>2021</v>
      </c>
      <c r="B4853" s="3" t="s">
        <v>1040</v>
      </c>
      <c r="C4853" t="s">
        <v>985</v>
      </c>
      <c r="D4853" s="9">
        <v>189963</v>
      </c>
      <c r="E4853">
        <v>1.45E-4</v>
      </c>
    </row>
    <row r="4854" spans="1:5">
      <c r="A4854">
        <v>2021</v>
      </c>
      <c r="B4854" s="3" t="s">
        <v>998</v>
      </c>
      <c r="C4854" t="s">
        <v>1918</v>
      </c>
      <c r="D4854" s="9">
        <v>49352</v>
      </c>
      <c r="E4854">
        <v>3.7700000000000002E-5</v>
      </c>
    </row>
    <row r="4855" spans="1:5">
      <c r="A4855">
        <v>2021</v>
      </c>
      <c r="B4855" s="3" t="s">
        <v>1041</v>
      </c>
      <c r="C4855" t="s">
        <v>1919</v>
      </c>
      <c r="D4855" s="9">
        <v>801291</v>
      </c>
      <c r="E4855">
        <v>6.1180000000000002E-4</v>
      </c>
    </row>
    <row r="4856" spans="1:5">
      <c r="A4856">
        <v>2021</v>
      </c>
      <c r="B4856" s="3" t="s">
        <v>1042</v>
      </c>
      <c r="C4856" t="s">
        <v>2296</v>
      </c>
      <c r="D4856" s="9">
        <v>11650</v>
      </c>
      <c r="E4856">
        <v>8.8999999999999995E-6</v>
      </c>
    </row>
    <row r="4857" spans="1:5">
      <c r="A4857">
        <v>2021</v>
      </c>
      <c r="B4857" s="3" t="s">
        <v>1043</v>
      </c>
      <c r="C4857" t="s">
        <v>1921</v>
      </c>
      <c r="D4857" s="9">
        <v>573870</v>
      </c>
      <c r="E4857">
        <v>4.3820000000000003E-4</v>
      </c>
    </row>
    <row r="4858" spans="1:5">
      <c r="A4858">
        <v>2021</v>
      </c>
      <c r="B4858" s="3" t="s">
        <v>1044</v>
      </c>
      <c r="C4858" t="s">
        <v>1922</v>
      </c>
      <c r="D4858" s="9">
        <v>1371761</v>
      </c>
      <c r="E4858">
        <v>1.0474E-3</v>
      </c>
    </row>
    <row r="4859" spans="1:5">
      <c r="A4859">
        <v>2021</v>
      </c>
      <c r="B4859" s="3" t="s">
        <v>1100</v>
      </c>
      <c r="C4859" t="s">
        <v>1923</v>
      </c>
      <c r="D4859" s="9">
        <v>1736707</v>
      </c>
      <c r="E4859">
        <v>1.3261E-3</v>
      </c>
    </row>
    <row r="4860" spans="1:5">
      <c r="A4860">
        <v>2021</v>
      </c>
      <c r="B4860" s="3" t="s">
        <v>450</v>
      </c>
      <c r="C4860" t="s">
        <v>1924</v>
      </c>
      <c r="D4860" s="9">
        <v>727184</v>
      </c>
      <c r="E4860">
        <v>5.5520000000000005E-4</v>
      </c>
    </row>
    <row r="4861" spans="1:5">
      <c r="A4861">
        <v>2021</v>
      </c>
      <c r="B4861" s="3" t="s">
        <v>1101</v>
      </c>
      <c r="C4861" t="s">
        <v>1925</v>
      </c>
      <c r="D4861" s="9">
        <v>3992034</v>
      </c>
      <c r="E4861">
        <v>3.0481000000000002E-3</v>
      </c>
    </row>
    <row r="4862" spans="1:5">
      <c r="A4862">
        <v>2021</v>
      </c>
      <c r="B4862" s="3" t="s">
        <v>1244</v>
      </c>
      <c r="C4862" t="s">
        <v>1926</v>
      </c>
      <c r="D4862" s="9">
        <v>762438</v>
      </c>
      <c r="E4862">
        <v>5.8219999999999995E-4</v>
      </c>
    </row>
    <row r="4863" spans="1:5">
      <c r="A4863">
        <v>2021</v>
      </c>
      <c r="B4863" s="3" t="s">
        <v>1102</v>
      </c>
      <c r="C4863" t="s">
        <v>2386</v>
      </c>
      <c r="D4863" s="9">
        <v>80945</v>
      </c>
      <c r="E4863">
        <v>6.1799999999999998E-5</v>
      </c>
    </row>
    <row r="4864" spans="1:5">
      <c r="A4864">
        <v>2021</v>
      </c>
      <c r="B4864" s="3" t="s">
        <v>1134</v>
      </c>
      <c r="C4864" t="s">
        <v>1928</v>
      </c>
      <c r="D4864" s="9">
        <v>131368</v>
      </c>
      <c r="E4864">
        <v>1.003E-4</v>
      </c>
    </row>
    <row r="4865" spans="1:5">
      <c r="A4865">
        <v>2021</v>
      </c>
      <c r="B4865" s="3" t="s">
        <v>1103</v>
      </c>
      <c r="C4865" t="s">
        <v>1929</v>
      </c>
      <c r="D4865" s="9">
        <v>151910</v>
      </c>
      <c r="E4865">
        <v>1.16E-4</v>
      </c>
    </row>
    <row r="4866" spans="1:5">
      <c r="A4866">
        <v>2021</v>
      </c>
      <c r="B4866" s="3" t="s">
        <v>1104</v>
      </c>
      <c r="C4866" t="s">
        <v>1930</v>
      </c>
      <c r="D4866" s="9">
        <v>1367662</v>
      </c>
      <c r="E4866">
        <v>1.0443E-3</v>
      </c>
    </row>
    <row r="4867" spans="1:5">
      <c r="A4867">
        <v>2021</v>
      </c>
      <c r="B4867" s="3" t="s">
        <v>1105</v>
      </c>
      <c r="C4867" t="s">
        <v>1931</v>
      </c>
      <c r="D4867" s="9">
        <v>16471</v>
      </c>
      <c r="E4867">
        <v>1.26E-5</v>
      </c>
    </row>
    <row r="4868" spans="1:5">
      <c r="A4868">
        <v>2021</v>
      </c>
      <c r="B4868" s="3" t="s">
        <v>451</v>
      </c>
      <c r="C4868" t="s">
        <v>1932</v>
      </c>
      <c r="D4868" s="9">
        <v>897980</v>
      </c>
      <c r="E4868">
        <v>6.8570000000000002E-4</v>
      </c>
    </row>
    <row r="4869" spans="1:5">
      <c r="A4869">
        <v>2021</v>
      </c>
      <c r="B4869" s="3" t="s">
        <v>1106</v>
      </c>
      <c r="C4869" t="s">
        <v>1933</v>
      </c>
      <c r="D4869" s="9">
        <v>128341</v>
      </c>
      <c r="E4869">
        <v>9.7999999999999997E-5</v>
      </c>
    </row>
    <row r="4870" spans="1:5">
      <c r="A4870">
        <v>2021</v>
      </c>
      <c r="B4870" s="3" t="s">
        <v>1107</v>
      </c>
      <c r="C4870" t="s">
        <v>1934</v>
      </c>
      <c r="D4870" s="9">
        <v>609397</v>
      </c>
      <c r="E4870">
        <v>4.6529999999999998E-4</v>
      </c>
    </row>
    <row r="4871" spans="1:5">
      <c r="A4871">
        <v>2021</v>
      </c>
      <c r="B4871" s="3" t="s">
        <v>1108</v>
      </c>
      <c r="C4871" t="s">
        <v>1053</v>
      </c>
      <c r="D4871" s="9">
        <v>1147204</v>
      </c>
      <c r="E4871">
        <v>8.7600000000000004E-4</v>
      </c>
    </row>
    <row r="4872" spans="1:5">
      <c r="A4872">
        <v>2021</v>
      </c>
      <c r="B4872" s="3" t="s">
        <v>2390</v>
      </c>
      <c r="C4872" t="s">
        <v>2416</v>
      </c>
      <c r="D4872" s="9">
        <v>29376</v>
      </c>
      <c r="E4872">
        <v>2.2399999999999999E-5</v>
      </c>
    </row>
    <row r="4873" spans="1:5">
      <c r="A4873">
        <v>2021</v>
      </c>
      <c r="B4873" s="3" t="s">
        <v>1110</v>
      </c>
      <c r="C4873" t="s">
        <v>2410</v>
      </c>
      <c r="D4873" s="9">
        <v>1858721</v>
      </c>
      <c r="E4873">
        <v>1.4192E-3</v>
      </c>
    </row>
    <row r="4874" spans="1:5">
      <c r="A4874">
        <v>2021</v>
      </c>
      <c r="B4874" s="3" t="s">
        <v>1109</v>
      </c>
      <c r="C4874" t="s">
        <v>1936</v>
      </c>
      <c r="D4874" s="9">
        <v>253689</v>
      </c>
      <c r="E4874">
        <v>1.9369999999999999E-4</v>
      </c>
    </row>
    <row r="4875" spans="1:5">
      <c r="A4875">
        <v>2021</v>
      </c>
      <c r="B4875" s="3" t="s">
        <v>1111</v>
      </c>
      <c r="C4875" t="s">
        <v>1937</v>
      </c>
      <c r="D4875" s="9">
        <v>27873</v>
      </c>
      <c r="E4875">
        <v>2.1299999999999999E-5</v>
      </c>
    </row>
    <row r="4876" spans="1:5">
      <c r="A4876">
        <v>2021</v>
      </c>
      <c r="B4876" s="3" t="s">
        <v>1112</v>
      </c>
      <c r="C4876" t="s">
        <v>1938</v>
      </c>
      <c r="D4876" s="9">
        <v>15292543</v>
      </c>
      <c r="E4876">
        <v>1.16767E-2</v>
      </c>
    </row>
    <row r="4877" spans="1:5">
      <c r="A4877">
        <v>2021</v>
      </c>
      <c r="B4877" s="3" t="s">
        <v>452</v>
      </c>
      <c r="C4877" t="s">
        <v>1939</v>
      </c>
      <c r="D4877" s="9">
        <v>13219652</v>
      </c>
      <c r="E4877">
        <v>1.0093899999999999E-2</v>
      </c>
    </row>
    <row r="4878" spans="1:5">
      <c r="A4878">
        <v>2021</v>
      </c>
      <c r="B4878" s="3" t="s">
        <v>1113</v>
      </c>
      <c r="C4878" t="s">
        <v>1058</v>
      </c>
      <c r="D4878" s="9">
        <v>75969</v>
      </c>
      <c r="E4878">
        <v>5.8E-5</v>
      </c>
    </row>
    <row r="4879" spans="1:5">
      <c r="A4879">
        <v>2021</v>
      </c>
      <c r="B4879" s="3" t="s">
        <v>1481</v>
      </c>
      <c r="C4879" t="s">
        <v>1479</v>
      </c>
      <c r="D4879" s="9">
        <v>121663</v>
      </c>
      <c r="E4879">
        <v>9.2899999999999995E-5</v>
      </c>
    </row>
    <row r="4880" spans="1:5">
      <c r="A4880">
        <v>2021</v>
      </c>
      <c r="B4880" s="3" t="s">
        <v>453</v>
      </c>
      <c r="C4880" t="s">
        <v>1940</v>
      </c>
      <c r="D4880" s="9">
        <v>784230</v>
      </c>
      <c r="E4880">
        <v>5.9880000000000003E-4</v>
      </c>
    </row>
    <row r="4881" spans="1:5">
      <c r="A4881">
        <v>2021</v>
      </c>
      <c r="B4881" s="3" t="s">
        <v>1115</v>
      </c>
      <c r="C4881" t="s">
        <v>1941</v>
      </c>
      <c r="D4881" s="9">
        <v>58110</v>
      </c>
      <c r="E4881">
        <v>4.4400000000000002E-5</v>
      </c>
    </row>
    <row r="4882" spans="1:5">
      <c r="A4882">
        <v>2021</v>
      </c>
      <c r="B4882" s="3" t="s">
        <v>1114</v>
      </c>
      <c r="C4882" t="s">
        <v>1942</v>
      </c>
      <c r="D4882" s="9">
        <v>476931</v>
      </c>
      <c r="E4882">
        <v>3.6420000000000002E-4</v>
      </c>
    </row>
    <row r="4883" spans="1:5">
      <c r="A4883">
        <v>2021</v>
      </c>
      <c r="B4883" s="3" t="s">
        <v>1116</v>
      </c>
      <c r="C4883" t="s">
        <v>2388</v>
      </c>
      <c r="D4883" s="9">
        <v>100334</v>
      </c>
      <c r="E4883">
        <v>7.6600000000000005E-5</v>
      </c>
    </row>
    <row r="4884" spans="1:5">
      <c r="A4884">
        <v>2021</v>
      </c>
      <c r="B4884" s="3" t="s">
        <v>1117</v>
      </c>
      <c r="C4884" t="s">
        <v>1944</v>
      </c>
      <c r="D4884" s="9">
        <v>151960</v>
      </c>
      <c r="E4884">
        <v>1.16E-4</v>
      </c>
    </row>
    <row r="4885" spans="1:5">
      <c r="A4885">
        <v>2021</v>
      </c>
      <c r="B4885" s="3" t="s">
        <v>1118</v>
      </c>
      <c r="C4885" t="s">
        <v>2411</v>
      </c>
      <c r="D4885" s="9">
        <v>52176</v>
      </c>
      <c r="E4885">
        <v>3.9799999999999998E-5</v>
      </c>
    </row>
    <row r="4886" spans="1:5">
      <c r="A4886">
        <v>2021</v>
      </c>
      <c r="B4886" s="3" t="s">
        <v>1119</v>
      </c>
      <c r="C4886" t="s">
        <v>2412</v>
      </c>
      <c r="D4886" s="9">
        <v>1280988</v>
      </c>
      <c r="E4886">
        <v>9.7809999999999998E-4</v>
      </c>
    </row>
    <row r="4887" spans="1:5">
      <c r="A4887">
        <v>2021</v>
      </c>
      <c r="B4887" s="3" t="s">
        <v>454</v>
      </c>
      <c r="C4887" t="s">
        <v>1947</v>
      </c>
      <c r="D4887" s="9">
        <v>702988</v>
      </c>
      <c r="E4887">
        <v>5.3680000000000004E-4</v>
      </c>
    </row>
    <row r="4888" spans="1:5">
      <c r="A4888">
        <v>2021</v>
      </c>
      <c r="B4888" s="3" t="s">
        <v>1121</v>
      </c>
      <c r="C4888" t="s">
        <v>1949</v>
      </c>
      <c r="D4888" s="9">
        <v>2970168</v>
      </c>
      <c r="E4888">
        <v>2.2679000000000002E-3</v>
      </c>
    </row>
    <row r="4889" spans="1:5">
      <c r="A4889">
        <v>2021</v>
      </c>
      <c r="B4889" s="3" t="s">
        <v>455</v>
      </c>
      <c r="C4889" t="s">
        <v>1950</v>
      </c>
      <c r="D4889" s="9">
        <v>1476579</v>
      </c>
      <c r="E4889">
        <v>1.1274E-3</v>
      </c>
    </row>
    <row r="4890" spans="1:5">
      <c r="A4890">
        <v>2021</v>
      </c>
      <c r="B4890" s="3" t="s">
        <v>1122</v>
      </c>
      <c r="C4890" t="s">
        <v>1951</v>
      </c>
      <c r="D4890" s="9">
        <v>36199</v>
      </c>
      <c r="E4890">
        <v>2.76E-5</v>
      </c>
    </row>
    <row r="4891" spans="1:5">
      <c r="A4891">
        <v>2021</v>
      </c>
      <c r="B4891" s="3" t="s">
        <v>1123</v>
      </c>
      <c r="C4891" t="s">
        <v>1952</v>
      </c>
      <c r="D4891" s="9">
        <v>76937</v>
      </c>
      <c r="E4891">
        <v>5.8699999999999997E-5</v>
      </c>
    </row>
    <row r="4892" spans="1:5">
      <c r="A4892">
        <v>2021</v>
      </c>
      <c r="B4892" s="3" t="s">
        <v>1124</v>
      </c>
      <c r="C4892" t="s">
        <v>1953</v>
      </c>
      <c r="D4892" s="9">
        <v>135900</v>
      </c>
      <c r="E4892">
        <v>1.038E-4</v>
      </c>
    </row>
    <row r="4893" spans="1:5">
      <c r="A4893">
        <v>2021</v>
      </c>
      <c r="B4893" s="3" t="s">
        <v>1125</v>
      </c>
      <c r="C4893" t="s">
        <v>1954</v>
      </c>
      <c r="D4893" s="9">
        <v>1291003</v>
      </c>
      <c r="E4893">
        <v>9.8569999999999994E-4</v>
      </c>
    </row>
    <row r="4894" spans="1:5">
      <c r="A4894">
        <v>2021</v>
      </c>
      <c r="B4894" s="3" t="s">
        <v>1245</v>
      </c>
      <c r="C4894" t="s">
        <v>1955</v>
      </c>
      <c r="D4894" s="9">
        <v>163597</v>
      </c>
      <c r="E4894">
        <v>1.249E-4</v>
      </c>
    </row>
    <row r="4895" spans="1:5">
      <c r="A4895">
        <v>2021</v>
      </c>
      <c r="B4895" s="3" t="s">
        <v>1126</v>
      </c>
      <c r="C4895" t="s">
        <v>1956</v>
      </c>
      <c r="D4895" s="9">
        <v>117918</v>
      </c>
      <c r="E4895">
        <v>9.0000000000000006E-5</v>
      </c>
    </row>
    <row r="4896" spans="1:5">
      <c r="A4896">
        <v>2021</v>
      </c>
      <c r="B4896" s="3" t="s">
        <v>1127</v>
      </c>
      <c r="C4896" t="s">
        <v>2413</v>
      </c>
      <c r="D4896" s="9">
        <v>1710083</v>
      </c>
      <c r="E4896">
        <v>1.3056999999999999E-3</v>
      </c>
    </row>
    <row r="4897" spans="1:5">
      <c r="A4897">
        <v>2021</v>
      </c>
      <c r="B4897" s="3" t="s">
        <v>456</v>
      </c>
      <c r="C4897" t="s">
        <v>1958</v>
      </c>
      <c r="D4897" s="9">
        <v>373541</v>
      </c>
      <c r="E4897">
        <v>2.8519999999999999E-4</v>
      </c>
    </row>
    <row r="4898" spans="1:5">
      <c r="A4898">
        <v>2021</v>
      </c>
      <c r="B4898" s="3" t="s">
        <v>1128</v>
      </c>
      <c r="C4898" t="s">
        <v>1959</v>
      </c>
      <c r="D4898" s="9">
        <v>133150</v>
      </c>
      <c r="E4898">
        <v>1.0170000000000001E-4</v>
      </c>
    </row>
    <row r="4899" spans="1:5">
      <c r="A4899">
        <v>2021</v>
      </c>
      <c r="B4899" s="3" t="s">
        <v>1129</v>
      </c>
      <c r="C4899" t="s">
        <v>1074</v>
      </c>
      <c r="D4899" s="9">
        <v>9586</v>
      </c>
      <c r="E4899">
        <v>7.3000000000000004E-6</v>
      </c>
    </row>
    <row r="4900" spans="1:5">
      <c r="A4900">
        <v>2021</v>
      </c>
      <c r="B4900" s="3" t="s">
        <v>1130</v>
      </c>
      <c r="C4900" t="s">
        <v>1075</v>
      </c>
      <c r="D4900" s="9"/>
    </row>
    <row r="4901" spans="1:5">
      <c r="A4901">
        <v>2021</v>
      </c>
      <c r="B4901" s="3" t="s">
        <v>1131</v>
      </c>
      <c r="C4901" t="s">
        <v>1960</v>
      </c>
      <c r="D4901" s="9">
        <v>21560</v>
      </c>
      <c r="E4901">
        <v>1.6500000000000001E-5</v>
      </c>
    </row>
    <row r="4902" spans="1:5">
      <c r="A4902">
        <v>2021</v>
      </c>
      <c r="B4902" s="3" t="s">
        <v>457</v>
      </c>
      <c r="C4902" t="s">
        <v>1961</v>
      </c>
      <c r="D4902" s="9">
        <v>124382</v>
      </c>
      <c r="E4902">
        <v>9.5000000000000005E-5</v>
      </c>
    </row>
    <row r="4903" spans="1:5">
      <c r="A4903">
        <v>2021</v>
      </c>
      <c r="B4903" s="3" t="s">
        <v>1132</v>
      </c>
      <c r="C4903" t="s">
        <v>2389</v>
      </c>
      <c r="D4903" s="9">
        <v>91675</v>
      </c>
      <c r="E4903">
        <v>6.9999999999999994E-5</v>
      </c>
    </row>
    <row r="4904" spans="1:5">
      <c r="A4904">
        <v>2021</v>
      </c>
      <c r="B4904" s="3" t="s">
        <v>1133</v>
      </c>
      <c r="C4904" t="s">
        <v>1962</v>
      </c>
      <c r="D4904" s="9">
        <v>70904</v>
      </c>
      <c r="E4904">
        <v>5.41E-5</v>
      </c>
    </row>
    <row r="4905" spans="1:5">
      <c r="A4905">
        <v>2021</v>
      </c>
      <c r="B4905" s="3" t="s">
        <v>1994</v>
      </c>
      <c r="C4905" t="s">
        <v>1963</v>
      </c>
      <c r="D4905" s="9">
        <v>66830</v>
      </c>
      <c r="E4905">
        <v>5.1E-5</v>
      </c>
    </row>
    <row r="4906" spans="1:5">
      <c r="A4906">
        <v>2021</v>
      </c>
      <c r="B4906" s="3" t="s">
        <v>1246</v>
      </c>
      <c r="C4906" t="s">
        <v>1964</v>
      </c>
      <c r="D4906" s="9">
        <v>120331</v>
      </c>
      <c r="E4906">
        <v>9.1899999999999998E-5</v>
      </c>
    </row>
    <row r="4907" spans="1:5">
      <c r="A4907">
        <v>2021</v>
      </c>
      <c r="B4907" s="3" t="s">
        <v>1135</v>
      </c>
      <c r="C4907" t="s">
        <v>1965</v>
      </c>
      <c r="D4907" s="9">
        <v>248996</v>
      </c>
      <c r="E4907">
        <v>1.9010000000000001E-4</v>
      </c>
    </row>
    <row r="4908" spans="1:5">
      <c r="A4908">
        <v>2021</v>
      </c>
      <c r="B4908" s="3" t="s">
        <v>1136</v>
      </c>
      <c r="C4908" t="s">
        <v>1966</v>
      </c>
      <c r="D4908" s="9">
        <v>641265</v>
      </c>
      <c r="E4908">
        <v>4.8959999999999997E-4</v>
      </c>
    </row>
    <row r="4909" spans="1:5">
      <c r="A4909">
        <v>2021</v>
      </c>
      <c r="B4909" s="3" t="s">
        <v>458</v>
      </c>
      <c r="C4909" t="s">
        <v>1967</v>
      </c>
      <c r="D4909" s="9">
        <v>155688</v>
      </c>
      <c r="E4909">
        <v>1.189E-4</v>
      </c>
    </row>
    <row r="4910" spans="1:5">
      <c r="A4910">
        <v>2021</v>
      </c>
      <c r="B4910" s="3" t="s">
        <v>1137</v>
      </c>
      <c r="C4910" t="s">
        <v>1968</v>
      </c>
      <c r="D4910" s="9">
        <v>260120</v>
      </c>
      <c r="E4910">
        <v>1.986E-4</v>
      </c>
    </row>
    <row r="4911" spans="1:5">
      <c r="A4911">
        <v>2021</v>
      </c>
      <c r="B4911" s="3" t="s">
        <v>1247</v>
      </c>
      <c r="C4911" t="s">
        <v>1969</v>
      </c>
      <c r="D4911" s="9">
        <v>27935</v>
      </c>
      <c r="E4911">
        <v>2.1299999999999999E-5</v>
      </c>
    </row>
    <row r="4912" spans="1:5">
      <c r="A4912">
        <v>2021</v>
      </c>
      <c r="B4912" s="3" t="s">
        <v>1138</v>
      </c>
      <c r="C4912" t="s">
        <v>1083</v>
      </c>
      <c r="D4912" s="9"/>
    </row>
    <row r="4913" spans="1:5">
      <c r="A4913">
        <v>2021</v>
      </c>
      <c r="B4913" s="3" t="s">
        <v>96</v>
      </c>
      <c r="C4913" t="s">
        <v>1970</v>
      </c>
      <c r="D4913" s="9">
        <v>22050</v>
      </c>
      <c r="E4913">
        <v>1.6799999999999998E-5</v>
      </c>
    </row>
    <row r="4914" spans="1:5">
      <c r="A4914">
        <v>2021</v>
      </c>
      <c r="B4914" s="3" t="s">
        <v>1139</v>
      </c>
      <c r="C4914" t="s">
        <v>1084</v>
      </c>
      <c r="D4914" s="9">
        <v>42862</v>
      </c>
      <c r="E4914">
        <v>3.2700000000000002E-5</v>
      </c>
    </row>
    <row r="4915" spans="1:5">
      <c r="A4915">
        <v>2021</v>
      </c>
      <c r="B4915" s="3" t="s">
        <v>1141</v>
      </c>
      <c r="C4915" t="s">
        <v>1971</v>
      </c>
      <c r="D4915" s="9">
        <v>24853</v>
      </c>
      <c r="E4915">
        <v>1.9000000000000001E-5</v>
      </c>
    </row>
    <row r="4916" spans="1:5">
      <c r="A4916">
        <v>2021</v>
      </c>
      <c r="B4916" s="3" t="s">
        <v>1142</v>
      </c>
      <c r="C4916" t="s">
        <v>1087</v>
      </c>
      <c r="D4916" s="9">
        <v>212695</v>
      </c>
      <c r="E4916">
        <v>1.6239999999999999E-4</v>
      </c>
    </row>
    <row r="4917" spans="1:5">
      <c r="A4917">
        <v>2021</v>
      </c>
      <c r="B4917" s="3" t="s">
        <v>1143</v>
      </c>
      <c r="C4917" t="s">
        <v>1088</v>
      </c>
      <c r="D4917" s="9"/>
    </row>
    <row r="4918" spans="1:5">
      <c r="A4918">
        <v>2021</v>
      </c>
      <c r="B4918" s="3" t="s">
        <v>1144</v>
      </c>
      <c r="C4918" t="s">
        <v>1089</v>
      </c>
      <c r="D4918" s="9"/>
    </row>
    <row r="4919" spans="1:5">
      <c r="A4919">
        <v>2021</v>
      </c>
      <c r="B4919" s="3" t="s">
        <v>1146</v>
      </c>
      <c r="C4919" t="s">
        <v>1973</v>
      </c>
      <c r="D4919" s="9">
        <v>8733934</v>
      </c>
      <c r="E4919">
        <v>6.6687999999999999E-3</v>
      </c>
    </row>
    <row r="4920" spans="1:5">
      <c r="A4920">
        <v>2021</v>
      </c>
      <c r="B4920" s="3" t="s">
        <v>1147</v>
      </c>
      <c r="C4920" t="s">
        <v>1092</v>
      </c>
      <c r="D4920" s="9">
        <v>3804</v>
      </c>
      <c r="E4920">
        <v>2.9000000000000002E-6</v>
      </c>
    </row>
    <row r="4921" spans="1:5">
      <c r="A4921">
        <v>2021</v>
      </c>
      <c r="B4921" s="3" t="s">
        <v>1148</v>
      </c>
      <c r="C4921" t="s">
        <v>1974</v>
      </c>
      <c r="D4921" s="9">
        <v>228957</v>
      </c>
      <c r="E4921">
        <v>1.7479999999999999E-4</v>
      </c>
    </row>
    <row r="4922" spans="1:5">
      <c r="A4922">
        <v>2021</v>
      </c>
      <c r="B4922" s="3" t="s">
        <v>1248</v>
      </c>
      <c r="C4922" t="s">
        <v>1975</v>
      </c>
      <c r="D4922" s="9">
        <v>78372</v>
      </c>
      <c r="E4922">
        <v>5.9799999999999997E-5</v>
      </c>
    </row>
    <row r="4923" spans="1:5">
      <c r="A4923">
        <v>2021</v>
      </c>
      <c r="B4923" s="3" t="s">
        <v>1149</v>
      </c>
      <c r="C4923" t="s">
        <v>1094</v>
      </c>
      <c r="D4923" s="9">
        <v>269646</v>
      </c>
      <c r="E4923">
        <v>2.0589999999999999E-4</v>
      </c>
    </row>
    <row r="4924" spans="1:5">
      <c r="A4924">
        <v>2021</v>
      </c>
      <c r="B4924" s="3" t="s">
        <v>1150</v>
      </c>
      <c r="C4924" t="s">
        <v>2392</v>
      </c>
      <c r="D4924" s="9">
        <v>186166</v>
      </c>
      <c r="E4924">
        <v>1.4210000000000001E-4</v>
      </c>
    </row>
    <row r="4925" spans="1:5">
      <c r="A4925">
        <v>2021</v>
      </c>
      <c r="B4925" s="3" t="s">
        <v>459</v>
      </c>
      <c r="C4925" t="s">
        <v>1977</v>
      </c>
      <c r="D4925" s="9">
        <v>4950949</v>
      </c>
      <c r="E4925">
        <v>3.7802999999999999E-3</v>
      </c>
    </row>
    <row r="4926" spans="1:5">
      <c r="A4926">
        <v>2021</v>
      </c>
      <c r="B4926" s="3" t="s">
        <v>1152</v>
      </c>
      <c r="C4926" t="s">
        <v>1979</v>
      </c>
      <c r="D4926" s="9">
        <v>1225913</v>
      </c>
      <c r="E4926">
        <v>9.3599999999999998E-4</v>
      </c>
    </row>
    <row r="4927" spans="1:5">
      <c r="A4927">
        <v>2021</v>
      </c>
      <c r="B4927" s="3" t="s">
        <v>1249</v>
      </c>
      <c r="C4927" t="s">
        <v>1980</v>
      </c>
      <c r="D4927" s="9">
        <v>111739</v>
      </c>
      <c r="E4927">
        <v>8.53E-5</v>
      </c>
    </row>
    <row r="4928" spans="1:5">
      <c r="A4928">
        <v>2021</v>
      </c>
      <c r="B4928" s="3" t="s">
        <v>1153</v>
      </c>
      <c r="C4928" t="s">
        <v>1981</v>
      </c>
      <c r="D4928" s="9">
        <v>155028</v>
      </c>
      <c r="E4928">
        <v>1.184E-4</v>
      </c>
    </row>
    <row r="4929" spans="1:5">
      <c r="A4929">
        <v>2021</v>
      </c>
      <c r="B4929" s="3" t="s">
        <v>1154</v>
      </c>
      <c r="C4929" t="s">
        <v>1982</v>
      </c>
      <c r="D4929" s="9">
        <v>8832593</v>
      </c>
      <c r="E4929">
        <v>6.7441999999999997E-3</v>
      </c>
    </row>
    <row r="4930" spans="1:5">
      <c r="A4930">
        <v>2021</v>
      </c>
      <c r="B4930" s="3" t="s">
        <v>1209</v>
      </c>
      <c r="C4930" t="s">
        <v>1983</v>
      </c>
      <c r="D4930" s="9">
        <v>8863476</v>
      </c>
      <c r="E4930">
        <v>6.7676999999999998E-3</v>
      </c>
    </row>
    <row r="4931" spans="1:5">
      <c r="A4931">
        <v>2021</v>
      </c>
      <c r="B4931" s="3" t="s">
        <v>460</v>
      </c>
      <c r="C4931" t="s">
        <v>1984</v>
      </c>
      <c r="D4931" s="9">
        <v>9867453</v>
      </c>
      <c r="E4931">
        <v>7.5342999999999999E-3</v>
      </c>
    </row>
    <row r="4932" spans="1:5">
      <c r="A4932">
        <v>2021</v>
      </c>
      <c r="B4932" s="3" t="s">
        <v>1210</v>
      </c>
      <c r="C4932" t="s">
        <v>1985</v>
      </c>
      <c r="D4932" s="9">
        <v>896325</v>
      </c>
      <c r="E4932">
        <v>6.8440000000000005E-4</v>
      </c>
    </row>
    <row r="4933" spans="1:5">
      <c r="A4933">
        <v>2021</v>
      </c>
      <c r="B4933" s="3" t="s">
        <v>1250</v>
      </c>
      <c r="C4933" t="s">
        <v>1986</v>
      </c>
      <c r="D4933" s="9">
        <v>192785</v>
      </c>
      <c r="E4933">
        <v>1.472E-4</v>
      </c>
    </row>
    <row r="4934" spans="1:5">
      <c r="A4934">
        <v>2021</v>
      </c>
      <c r="B4934" s="3" t="s">
        <v>1211</v>
      </c>
      <c r="C4934" t="s">
        <v>1157</v>
      </c>
      <c r="D4934" s="9">
        <v>3883</v>
      </c>
      <c r="E4934">
        <v>3.0000000000000001E-6</v>
      </c>
    </row>
    <row r="4935" spans="1:5">
      <c r="A4935">
        <v>2021</v>
      </c>
      <c r="B4935" s="3" t="s">
        <v>1483</v>
      </c>
      <c r="C4935" t="s">
        <v>1482</v>
      </c>
      <c r="D4935" s="9">
        <v>80821</v>
      </c>
      <c r="E4935">
        <v>6.1699999999999995E-5</v>
      </c>
    </row>
    <row r="4936" spans="1:5">
      <c r="A4936">
        <v>2021</v>
      </c>
      <c r="B4936" s="3" t="s">
        <v>1212</v>
      </c>
      <c r="C4936" t="s">
        <v>1987</v>
      </c>
      <c r="D4936" s="9">
        <v>1851833</v>
      </c>
      <c r="E4936">
        <v>1.4139999999999999E-3</v>
      </c>
    </row>
    <row r="4937" spans="1:5">
      <c r="A4937">
        <v>2021</v>
      </c>
      <c r="B4937" s="3" t="s">
        <v>1213</v>
      </c>
      <c r="C4937" t="s">
        <v>1988</v>
      </c>
      <c r="D4937" s="9">
        <v>8219676</v>
      </c>
      <c r="E4937">
        <v>6.2762E-3</v>
      </c>
    </row>
    <row r="4938" spans="1:5">
      <c r="A4938">
        <v>2021</v>
      </c>
      <c r="B4938" s="3" t="s">
        <v>461</v>
      </c>
      <c r="C4938" t="s">
        <v>1989</v>
      </c>
      <c r="D4938" s="9">
        <v>1130590</v>
      </c>
      <c r="E4938">
        <v>8.633E-4</v>
      </c>
    </row>
    <row r="4939" spans="1:5">
      <c r="A4939">
        <v>2021</v>
      </c>
      <c r="B4939" s="3" t="s">
        <v>1214</v>
      </c>
      <c r="C4939" t="s">
        <v>1990</v>
      </c>
      <c r="D4939" s="9">
        <v>563088</v>
      </c>
      <c r="E4939">
        <v>4.2989999999999999E-4</v>
      </c>
    </row>
    <row r="4940" spans="1:5">
      <c r="A4940">
        <v>2021</v>
      </c>
      <c r="B4940" s="3" t="s">
        <v>1215</v>
      </c>
      <c r="C4940" t="s">
        <v>1991</v>
      </c>
      <c r="D4940" s="9">
        <v>547370</v>
      </c>
      <c r="E4940">
        <v>4.1790000000000002E-4</v>
      </c>
    </row>
    <row r="4941" spans="1:5">
      <c r="A4941">
        <v>2021</v>
      </c>
      <c r="B4941" s="3" t="s">
        <v>462</v>
      </c>
      <c r="C4941" t="s">
        <v>1992</v>
      </c>
      <c r="D4941" s="9">
        <v>79244</v>
      </c>
      <c r="E4941">
        <v>6.05E-5</v>
      </c>
    </row>
    <row r="4942" spans="1:5">
      <c r="A4942">
        <v>2021</v>
      </c>
      <c r="B4942" s="3" t="s">
        <v>1217</v>
      </c>
      <c r="C4942" t="s">
        <v>1993</v>
      </c>
      <c r="D4942" s="9">
        <v>99947</v>
      </c>
      <c r="E4942">
        <v>7.6299999999999998E-5</v>
      </c>
    </row>
    <row r="4943" spans="1:5">
      <c r="A4943">
        <v>2021</v>
      </c>
      <c r="B4943" s="3" t="s">
        <v>1218</v>
      </c>
      <c r="C4943" t="s">
        <v>1995</v>
      </c>
      <c r="D4943" s="9">
        <v>74494</v>
      </c>
      <c r="E4943">
        <v>5.6900000000000001E-5</v>
      </c>
    </row>
    <row r="4944" spans="1:5">
      <c r="A4944">
        <v>2021</v>
      </c>
      <c r="B4944" s="3" t="s">
        <v>1255</v>
      </c>
      <c r="C4944" t="s">
        <v>1201</v>
      </c>
      <c r="D4944" s="9">
        <v>7013</v>
      </c>
      <c r="E4944">
        <v>5.4E-6</v>
      </c>
    </row>
    <row r="4945" spans="1:5">
      <c r="A4945">
        <v>2021</v>
      </c>
      <c r="B4945" s="3" t="s">
        <v>1256</v>
      </c>
      <c r="C4945" t="s">
        <v>1202</v>
      </c>
      <c r="D4945" s="9">
        <v>52936</v>
      </c>
      <c r="E4945">
        <v>4.0399999999999999E-5</v>
      </c>
    </row>
    <row r="4946" spans="1:5">
      <c r="A4946">
        <v>2021</v>
      </c>
      <c r="B4946" s="3" t="s">
        <v>1257</v>
      </c>
      <c r="C4946" t="s">
        <v>1996</v>
      </c>
      <c r="D4946" s="9">
        <v>1317929</v>
      </c>
      <c r="E4946">
        <v>1.0062999999999999E-3</v>
      </c>
    </row>
    <row r="4947" spans="1:5">
      <c r="A4947">
        <v>2021</v>
      </c>
      <c r="B4947" s="3" t="s">
        <v>1258</v>
      </c>
      <c r="C4947" t="s">
        <v>1204</v>
      </c>
      <c r="D4947" s="9">
        <v>1316658</v>
      </c>
      <c r="E4947">
        <v>1.0053E-3</v>
      </c>
    </row>
    <row r="4948" spans="1:5">
      <c r="A4948">
        <v>2021</v>
      </c>
      <c r="B4948" s="3" t="s">
        <v>1259</v>
      </c>
      <c r="C4948" t="s">
        <v>1205</v>
      </c>
      <c r="D4948" s="9">
        <v>312155</v>
      </c>
      <c r="E4948">
        <v>2.3829999999999999E-4</v>
      </c>
    </row>
    <row r="4949" spans="1:5">
      <c r="A4949">
        <v>2021</v>
      </c>
      <c r="B4949" s="3" t="s">
        <v>1260</v>
      </c>
      <c r="C4949" t="s">
        <v>1206</v>
      </c>
      <c r="D4949" s="9">
        <v>79726</v>
      </c>
      <c r="E4949">
        <v>6.0900000000000003E-5</v>
      </c>
    </row>
    <row r="4950" spans="1:5">
      <c r="A4950">
        <v>2021</v>
      </c>
      <c r="B4950" s="3" t="s">
        <v>1261</v>
      </c>
      <c r="C4950" t="s">
        <v>1997</v>
      </c>
      <c r="D4950" s="9">
        <v>31058289</v>
      </c>
      <c r="E4950">
        <v>2.3714699999999998E-2</v>
      </c>
    </row>
    <row r="4951" spans="1:5">
      <c r="A4951">
        <v>2021</v>
      </c>
      <c r="B4951" s="3" t="s">
        <v>1262</v>
      </c>
      <c r="C4951" t="s">
        <v>1208</v>
      </c>
      <c r="D4951" s="9">
        <v>50036</v>
      </c>
      <c r="E4951">
        <v>3.82E-5</v>
      </c>
    </row>
    <row r="4952" spans="1:5">
      <c r="A4952">
        <v>2021</v>
      </c>
      <c r="B4952" s="3" t="s">
        <v>1251</v>
      </c>
      <c r="C4952" t="s">
        <v>1998</v>
      </c>
      <c r="D4952" s="9">
        <v>27894</v>
      </c>
      <c r="E4952">
        <v>2.1299999999999999E-5</v>
      </c>
    </row>
    <row r="4953" spans="1:5">
      <c r="A4953">
        <v>2021</v>
      </c>
      <c r="B4953" s="3" t="s">
        <v>1311</v>
      </c>
      <c r="C4953" t="s">
        <v>2414</v>
      </c>
      <c r="D4953" s="9">
        <v>957351</v>
      </c>
      <c r="E4953">
        <v>7.3099999999999999E-4</v>
      </c>
    </row>
    <row r="4954" spans="1:5">
      <c r="A4954">
        <v>2021</v>
      </c>
      <c r="B4954" s="3" t="s">
        <v>1312</v>
      </c>
      <c r="C4954" t="s">
        <v>2000</v>
      </c>
      <c r="D4954" s="9">
        <v>49360825</v>
      </c>
      <c r="E4954">
        <v>3.7689599999999997E-2</v>
      </c>
    </row>
    <row r="4955" spans="1:5">
      <c r="A4955">
        <v>2021</v>
      </c>
      <c r="B4955" s="3" t="s">
        <v>1313</v>
      </c>
      <c r="C4955" t="s">
        <v>2001</v>
      </c>
      <c r="D4955" s="9">
        <v>9086096</v>
      </c>
      <c r="E4955">
        <v>6.9376999999999998E-3</v>
      </c>
    </row>
    <row r="4956" spans="1:5">
      <c r="A4956">
        <v>2021</v>
      </c>
      <c r="B4956" s="3" t="s">
        <v>1314</v>
      </c>
      <c r="C4956" t="s">
        <v>2002</v>
      </c>
      <c r="D4956" s="9">
        <v>73641</v>
      </c>
      <c r="E4956">
        <v>5.6199999999999997E-5</v>
      </c>
    </row>
    <row r="4957" spans="1:5">
      <c r="A4957">
        <v>2021</v>
      </c>
      <c r="B4957" s="3" t="s">
        <v>1035</v>
      </c>
      <c r="C4957" t="s">
        <v>2003</v>
      </c>
      <c r="D4957" s="9">
        <v>321164</v>
      </c>
      <c r="E4957">
        <v>2.452E-4</v>
      </c>
    </row>
    <row r="4958" spans="1:5">
      <c r="A4958">
        <v>2021</v>
      </c>
      <c r="B4958" s="3" t="s">
        <v>1315</v>
      </c>
      <c r="C4958" t="s">
        <v>2394</v>
      </c>
      <c r="D4958" s="9">
        <v>54239</v>
      </c>
      <c r="E4958">
        <v>4.1399999999999997E-5</v>
      </c>
    </row>
    <row r="4959" spans="1:5">
      <c r="A4959">
        <v>2021</v>
      </c>
      <c r="B4959" s="3" t="s">
        <v>1033</v>
      </c>
      <c r="C4959" t="s">
        <v>2005</v>
      </c>
      <c r="D4959" s="9">
        <v>2953789</v>
      </c>
      <c r="E4959">
        <v>2.2553999999999999E-3</v>
      </c>
    </row>
    <row r="4960" spans="1:5">
      <c r="A4960">
        <v>2021</v>
      </c>
      <c r="B4960" s="3" t="s">
        <v>1316</v>
      </c>
      <c r="C4960" t="s">
        <v>2006</v>
      </c>
      <c r="D4960" s="9">
        <v>382247</v>
      </c>
      <c r="E4960">
        <v>2.9189999999999999E-4</v>
      </c>
    </row>
    <row r="4961" spans="1:5">
      <c r="A4961">
        <v>2021</v>
      </c>
      <c r="B4961" s="3" t="s">
        <v>1317</v>
      </c>
      <c r="C4961" t="s">
        <v>2007</v>
      </c>
      <c r="D4961" s="9">
        <v>110860</v>
      </c>
      <c r="E4961">
        <v>8.4599999999999996E-5</v>
      </c>
    </row>
    <row r="4962" spans="1:5">
      <c r="A4962">
        <v>2021</v>
      </c>
      <c r="B4962" s="3" t="s">
        <v>1319</v>
      </c>
      <c r="C4962" t="s">
        <v>1271</v>
      </c>
      <c r="D4962" s="9">
        <v>35433</v>
      </c>
      <c r="E4962">
        <v>2.7100000000000001E-5</v>
      </c>
    </row>
    <row r="4963" spans="1:5">
      <c r="A4963">
        <v>2021</v>
      </c>
      <c r="B4963" s="3" t="s">
        <v>1320</v>
      </c>
      <c r="C4963" t="s">
        <v>2009</v>
      </c>
      <c r="D4963" s="9">
        <v>124511</v>
      </c>
      <c r="E4963">
        <v>9.5099999999999994E-5</v>
      </c>
    </row>
    <row r="4964" spans="1:5">
      <c r="A4964">
        <v>2021</v>
      </c>
      <c r="B4964" s="3" t="s">
        <v>1321</v>
      </c>
      <c r="C4964" t="s">
        <v>1273</v>
      </c>
      <c r="D4964" s="9"/>
    </row>
    <row r="4965" spans="1:5">
      <c r="A4965">
        <v>2021</v>
      </c>
      <c r="B4965" s="3" t="s">
        <v>1323</v>
      </c>
      <c r="C4965" t="s">
        <v>2011</v>
      </c>
      <c r="D4965" s="9">
        <v>14995884</v>
      </c>
      <c r="E4965">
        <v>1.1450200000000001E-2</v>
      </c>
    </row>
    <row r="4966" spans="1:5">
      <c r="A4966">
        <v>2021</v>
      </c>
      <c r="B4966" s="3" t="s">
        <v>1325</v>
      </c>
      <c r="C4966" t="s">
        <v>2395</v>
      </c>
      <c r="D4966" s="9">
        <v>106041</v>
      </c>
      <c r="E4966">
        <v>8.1000000000000004E-5</v>
      </c>
    </row>
    <row r="4967" spans="1:5">
      <c r="A4967">
        <v>2021</v>
      </c>
      <c r="B4967" s="3" t="s">
        <v>1252</v>
      </c>
      <c r="C4967" t="s">
        <v>2013</v>
      </c>
      <c r="D4967" s="9">
        <v>139290</v>
      </c>
      <c r="E4967">
        <v>1.064E-4</v>
      </c>
    </row>
    <row r="4968" spans="1:5">
      <c r="A4968">
        <v>2021</v>
      </c>
      <c r="B4968" s="3" t="s">
        <v>1326</v>
      </c>
      <c r="C4968" t="s">
        <v>2014</v>
      </c>
      <c r="D4968" s="9">
        <v>100502</v>
      </c>
      <c r="E4968">
        <v>7.6699999999999994E-5</v>
      </c>
    </row>
    <row r="4969" spans="1:5">
      <c r="A4969">
        <v>2021</v>
      </c>
      <c r="B4969" s="3" t="s">
        <v>1327</v>
      </c>
      <c r="C4969" t="s">
        <v>1279</v>
      </c>
      <c r="D4969" s="9">
        <v>1143654</v>
      </c>
      <c r="E4969">
        <v>8.7319999999999997E-4</v>
      </c>
    </row>
    <row r="4970" spans="1:5">
      <c r="A4970">
        <v>2021</v>
      </c>
      <c r="B4970" s="3" t="s">
        <v>1328</v>
      </c>
      <c r="C4970" t="s">
        <v>1484</v>
      </c>
      <c r="D4970" s="9">
        <v>43664</v>
      </c>
      <c r="E4970">
        <v>3.3300000000000003E-5</v>
      </c>
    </row>
    <row r="4971" spans="1:5">
      <c r="A4971">
        <v>2021</v>
      </c>
      <c r="B4971" s="3" t="s">
        <v>1329</v>
      </c>
      <c r="C4971" t="s">
        <v>1485</v>
      </c>
      <c r="D4971" s="9">
        <v>1274216</v>
      </c>
      <c r="E4971">
        <v>9.7289999999999996E-4</v>
      </c>
    </row>
    <row r="4972" spans="1:5">
      <c r="A4972">
        <v>2021</v>
      </c>
      <c r="B4972" s="3" t="s">
        <v>1332</v>
      </c>
      <c r="C4972" t="s">
        <v>1284</v>
      </c>
      <c r="D4972" s="9">
        <v>19252</v>
      </c>
      <c r="E4972">
        <v>1.47E-5</v>
      </c>
    </row>
    <row r="4973" spans="1:5">
      <c r="A4973">
        <v>2021</v>
      </c>
      <c r="B4973" s="3" t="s">
        <v>1333</v>
      </c>
      <c r="C4973" t="s">
        <v>2396</v>
      </c>
      <c r="D4973" s="9">
        <v>6165</v>
      </c>
      <c r="E4973">
        <v>4.6999999999999999E-6</v>
      </c>
    </row>
    <row r="4974" spans="1:5">
      <c r="A4974">
        <v>2021</v>
      </c>
      <c r="B4974" s="3" t="s">
        <v>1334</v>
      </c>
      <c r="C4974" t="s">
        <v>2016</v>
      </c>
      <c r="D4974" s="9">
        <v>1579883</v>
      </c>
      <c r="E4974">
        <v>1.2063E-3</v>
      </c>
    </row>
    <row r="4975" spans="1:5">
      <c r="A4975">
        <v>2021</v>
      </c>
      <c r="B4975" s="3" t="s">
        <v>1335</v>
      </c>
      <c r="C4975" t="s">
        <v>2017</v>
      </c>
      <c r="D4975" s="9">
        <v>825046</v>
      </c>
      <c r="E4975">
        <v>6.3000000000000003E-4</v>
      </c>
    </row>
    <row r="4976" spans="1:5">
      <c r="A4976">
        <v>2021</v>
      </c>
      <c r="B4976" s="3" t="s">
        <v>1253</v>
      </c>
      <c r="C4976" t="s">
        <v>2018</v>
      </c>
      <c r="D4976" s="9">
        <v>370905</v>
      </c>
      <c r="E4976">
        <v>2.832E-4</v>
      </c>
    </row>
    <row r="4977" spans="1:5">
      <c r="A4977">
        <v>2021</v>
      </c>
      <c r="B4977" s="3" t="s">
        <v>1336</v>
      </c>
      <c r="C4977" t="s">
        <v>2019</v>
      </c>
      <c r="D4977" s="9">
        <v>630430</v>
      </c>
      <c r="E4977">
        <v>4.8139999999999999E-4</v>
      </c>
    </row>
    <row r="4978" spans="1:5">
      <c r="A4978">
        <v>2021</v>
      </c>
      <c r="B4978" s="3" t="s">
        <v>463</v>
      </c>
      <c r="C4978" t="s">
        <v>2020</v>
      </c>
      <c r="D4978" s="9">
        <v>188145</v>
      </c>
      <c r="E4978">
        <v>1.437E-4</v>
      </c>
    </row>
    <row r="4979" spans="1:5">
      <c r="A4979">
        <v>2021</v>
      </c>
      <c r="B4979" s="3" t="s">
        <v>1337</v>
      </c>
      <c r="C4979" t="s">
        <v>2021</v>
      </c>
      <c r="D4979" s="9">
        <v>462053</v>
      </c>
      <c r="E4979">
        <v>3.5280000000000001E-4</v>
      </c>
    </row>
    <row r="4980" spans="1:5">
      <c r="A4980">
        <v>2021</v>
      </c>
      <c r="B4980" s="3" t="s">
        <v>464</v>
      </c>
      <c r="C4980" t="s">
        <v>2022</v>
      </c>
      <c r="D4980" s="9">
        <v>312606</v>
      </c>
      <c r="E4980">
        <v>2.387E-4</v>
      </c>
    </row>
    <row r="4981" spans="1:5">
      <c r="A4981">
        <v>2021</v>
      </c>
      <c r="B4981" s="3" t="s">
        <v>1338</v>
      </c>
      <c r="C4981" t="s">
        <v>2023</v>
      </c>
      <c r="D4981" s="9">
        <v>2033</v>
      </c>
      <c r="E4981">
        <v>1.5999999999999999E-6</v>
      </c>
    </row>
    <row r="4982" spans="1:5">
      <c r="A4982">
        <v>2021</v>
      </c>
      <c r="B4982" s="3" t="s">
        <v>907</v>
      </c>
      <c r="C4982" t="s">
        <v>2024</v>
      </c>
      <c r="D4982" s="9">
        <v>43492</v>
      </c>
      <c r="E4982">
        <v>3.3200000000000001E-5</v>
      </c>
    </row>
    <row r="4983" spans="1:5">
      <c r="A4983">
        <v>2021</v>
      </c>
      <c r="B4983" s="3" t="s">
        <v>1339</v>
      </c>
      <c r="C4983" t="s">
        <v>2025</v>
      </c>
      <c r="D4983" s="9">
        <v>856646</v>
      </c>
      <c r="E4983">
        <v>6.5410000000000002E-4</v>
      </c>
    </row>
    <row r="4984" spans="1:5">
      <c r="A4984">
        <v>2021</v>
      </c>
      <c r="B4984" s="3" t="s">
        <v>1340</v>
      </c>
      <c r="C4984" t="s">
        <v>2026</v>
      </c>
      <c r="D4984" s="9">
        <v>1782796</v>
      </c>
      <c r="E4984">
        <v>1.3613E-3</v>
      </c>
    </row>
    <row r="4985" spans="1:5">
      <c r="A4985">
        <v>2021</v>
      </c>
      <c r="B4985" s="3" t="s">
        <v>1341</v>
      </c>
      <c r="C4985" t="s">
        <v>2027</v>
      </c>
      <c r="D4985" s="9">
        <v>1246141</v>
      </c>
      <c r="E4985">
        <v>9.5149999999999998E-4</v>
      </c>
    </row>
    <row r="4986" spans="1:5">
      <c r="A4986">
        <v>2021</v>
      </c>
      <c r="B4986" s="3" t="s">
        <v>465</v>
      </c>
      <c r="C4986" t="s">
        <v>2028</v>
      </c>
      <c r="D4986" s="9">
        <v>339567</v>
      </c>
      <c r="E4986">
        <v>2.5930000000000001E-4</v>
      </c>
    </row>
    <row r="4987" spans="1:5">
      <c r="A4987">
        <v>2021</v>
      </c>
      <c r="B4987" s="3" t="s">
        <v>1343</v>
      </c>
      <c r="C4987" t="s">
        <v>2029</v>
      </c>
      <c r="D4987" s="9">
        <v>47469</v>
      </c>
      <c r="E4987">
        <v>3.6199999999999999E-5</v>
      </c>
    </row>
    <row r="4988" spans="1:5">
      <c r="A4988">
        <v>2021</v>
      </c>
      <c r="B4988" s="3" t="s">
        <v>1344</v>
      </c>
      <c r="C4988" t="s">
        <v>2030</v>
      </c>
      <c r="D4988" s="9">
        <v>87675</v>
      </c>
      <c r="E4988">
        <v>6.69E-5</v>
      </c>
    </row>
    <row r="4989" spans="1:5">
      <c r="A4989">
        <v>2021</v>
      </c>
      <c r="B4989" s="3" t="s">
        <v>1346</v>
      </c>
      <c r="C4989" t="s">
        <v>1298</v>
      </c>
      <c r="D4989" s="9">
        <v>2588372</v>
      </c>
      <c r="E4989">
        <v>1.9764000000000001E-3</v>
      </c>
    </row>
    <row r="4990" spans="1:5">
      <c r="A4990">
        <v>2021</v>
      </c>
      <c r="B4990" s="3" t="s">
        <v>1347</v>
      </c>
      <c r="C4990" t="s">
        <v>1299</v>
      </c>
      <c r="D4990" s="9">
        <v>6838833</v>
      </c>
      <c r="E4990">
        <v>5.2218000000000004E-3</v>
      </c>
    </row>
    <row r="4991" spans="1:5">
      <c r="A4991">
        <v>2021</v>
      </c>
      <c r="B4991" s="3" t="s">
        <v>1348</v>
      </c>
      <c r="C4991" t="s">
        <v>2032</v>
      </c>
      <c r="D4991" s="9">
        <v>80014</v>
      </c>
      <c r="E4991">
        <v>6.1099999999999994E-5</v>
      </c>
    </row>
    <row r="4992" spans="1:5">
      <c r="A4992">
        <v>2021</v>
      </c>
      <c r="B4992" s="3" t="s">
        <v>1349</v>
      </c>
      <c r="C4992" t="s">
        <v>2033</v>
      </c>
      <c r="D4992" s="9">
        <v>251347</v>
      </c>
      <c r="E4992">
        <v>1.919E-4</v>
      </c>
    </row>
    <row r="4993" spans="1:5">
      <c r="A4993">
        <v>2021</v>
      </c>
      <c r="B4993" s="3" t="s">
        <v>1254</v>
      </c>
      <c r="C4993" t="s">
        <v>2034</v>
      </c>
      <c r="D4993" s="9">
        <v>89141</v>
      </c>
      <c r="E4993">
        <v>6.8100000000000002E-5</v>
      </c>
    </row>
    <row r="4994" spans="1:5">
      <c r="A4994">
        <v>2021</v>
      </c>
      <c r="B4994" s="3" t="s">
        <v>1350</v>
      </c>
      <c r="C4994" t="s">
        <v>2035</v>
      </c>
      <c r="D4994" s="9">
        <v>33226</v>
      </c>
      <c r="E4994">
        <v>2.5400000000000001E-5</v>
      </c>
    </row>
    <row r="4995" spans="1:5">
      <c r="A4995">
        <v>2021</v>
      </c>
      <c r="B4995" s="3" t="s">
        <v>1352</v>
      </c>
      <c r="C4995" t="s">
        <v>1304</v>
      </c>
      <c r="D4995" s="9">
        <v>5209601</v>
      </c>
      <c r="E4995">
        <v>3.9778000000000001E-3</v>
      </c>
    </row>
    <row r="4996" spans="1:5">
      <c r="A4996">
        <v>2021</v>
      </c>
      <c r="B4996" s="3" t="s">
        <v>1353</v>
      </c>
      <c r="C4996" t="s">
        <v>1305</v>
      </c>
      <c r="D4996" s="9">
        <v>176052</v>
      </c>
      <c r="E4996">
        <v>1.3439999999999999E-4</v>
      </c>
    </row>
    <row r="4997" spans="1:5">
      <c r="A4997">
        <v>2021</v>
      </c>
      <c r="B4997" s="3" t="s">
        <v>1351</v>
      </c>
      <c r="C4997" t="s">
        <v>2415</v>
      </c>
      <c r="D4997" s="9">
        <v>39751</v>
      </c>
      <c r="E4997">
        <v>3.04E-5</v>
      </c>
    </row>
    <row r="4998" spans="1:5">
      <c r="A4998">
        <v>2021</v>
      </c>
      <c r="B4998" s="3" t="s">
        <v>1354</v>
      </c>
      <c r="C4998" t="s">
        <v>2037</v>
      </c>
      <c r="D4998" s="9"/>
    </row>
    <row r="4999" spans="1:5">
      <c r="A4999">
        <v>2021</v>
      </c>
      <c r="B4999" s="3" t="s">
        <v>1355</v>
      </c>
      <c r="C4999" t="s">
        <v>2038</v>
      </c>
      <c r="D4999" s="9">
        <v>5039931</v>
      </c>
      <c r="E4999">
        <v>3.8482999999999998E-3</v>
      </c>
    </row>
    <row r="5000" spans="1:5">
      <c r="A5000">
        <v>2021</v>
      </c>
      <c r="B5000" s="3" t="s">
        <v>1357</v>
      </c>
      <c r="C5000" t="s">
        <v>2039</v>
      </c>
      <c r="D5000" s="9">
        <v>171523</v>
      </c>
      <c r="E5000">
        <v>1.3100000000000001E-4</v>
      </c>
    </row>
    <row r="5001" spans="1:5">
      <c r="A5001">
        <v>2021</v>
      </c>
      <c r="B5001" s="3" t="s">
        <v>2043</v>
      </c>
      <c r="C5001" t="s">
        <v>2040</v>
      </c>
      <c r="D5001" s="9">
        <v>36035</v>
      </c>
      <c r="E5001">
        <v>2.7500000000000001E-5</v>
      </c>
    </row>
    <row r="5002" spans="1:5">
      <c r="A5002">
        <v>2021</v>
      </c>
      <c r="B5002" s="3" t="s">
        <v>1358</v>
      </c>
      <c r="C5002" t="s">
        <v>2041</v>
      </c>
      <c r="D5002" s="9">
        <v>6100589</v>
      </c>
      <c r="E5002">
        <v>4.6581000000000001E-3</v>
      </c>
    </row>
    <row r="5003" spans="1:5">
      <c r="A5003">
        <v>2021</v>
      </c>
      <c r="B5003" s="3" t="s">
        <v>466</v>
      </c>
      <c r="C5003" t="s">
        <v>2042</v>
      </c>
      <c r="D5003" s="9">
        <v>3597404</v>
      </c>
      <c r="E5003">
        <v>2.7468000000000002E-3</v>
      </c>
    </row>
    <row r="5004" spans="1:5">
      <c r="A5004">
        <v>2022</v>
      </c>
      <c r="B5004" s="3" t="s">
        <v>59</v>
      </c>
      <c r="C5004" t="s">
        <v>6</v>
      </c>
      <c r="D5004" s="9" t="s">
        <v>2462</v>
      </c>
    </row>
    <row r="5005" spans="1:5">
      <c r="A5005">
        <v>2022</v>
      </c>
      <c r="B5005" s="3" t="s">
        <v>60</v>
      </c>
      <c r="C5005" t="s">
        <v>7</v>
      </c>
      <c r="D5005" s="9">
        <v>368671</v>
      </c>
      <c r="E5005">
        <v>2.5789999999999998E-4</v>
      </c>
    </row>
    <row r="5006" spans="1:5">
      <c r="A5006">
        <v>2022</v>
      </c>
      <c r="B5006" s="3" t="s">
        <v>61</v>
      </c>
      <c r="C5006" t="s">
        <v>1487</v>
      </c>
      <c r="D5006" s="9">
        <v>94214</v>
      </c>
      <c r="E5006">
        <v>6.5900000000000003E-5</v>
      </c>
    </row>
    <row r="5007" spans="1:5">
      <c r="A5007">
        <v>2022</v>
      </c>
      <c r="B5007" s="3" t="s">
        <v>62</v>
      </c>
      <c r="C5007" t="s">
        <v>9</v>
      </c>
      <c r="D5007" s="9">
        <v>94205</v>
      </c>
      <c r="E5007">
        <v>6.5900000000000003E-5</v>
      </c>
    </row>
    <row r="5008" spans="1:5">
      <c r="A5008">
        <v>2022</v>
      </c>
      <c r="B5008" s="3" t="s">
        <v>63</v>
      </c>
      <c r="C5008" t="s">
        <v>1488</v>
      </c>
      <c r="D5008" s="9">
        <v>171932</v>
      </c>
      <c r="E5008">
        <v>1.203E-4</v>
      </c>
    </row>
    <row r="5009" spans="1:5">
      <c r="A5009">
        <v>2022</v>
      </c>
      <c r="B5009" s="3" t="s">
        <v>64</v>
      </c>
      <c r="C5009" t="s">
        <v>1489</v>
      </c>
      <c r="D5009" s="9">
        <v>6615861</v>
      </c>
      <c r="E5009">
        <v>4.6274999999999997E-3</v>
      </c>
    </row>
    <row r="5010" spans="1:5">
      <c r="A5010">
        <v>2022</v>
      </c>
      <c r="B5010" s="3" t="s">
        <v>65</v>
      </c>
      <c r="C5010" t="s">
        <v>1490</v>
      </c>
      <c r="D5010" s="9">
        <v>116401</v>
      </c>
      <c r="E5010">
        <v>8.14E-5</v>
      </c>
    </row>
    <row r="5011" spans="1:5">
      <c r="A5011">
        <v>2022</v>
      </c>
      <c r="B5011" s="3" t="s">
        <v>66</v>
      </c>
      <c r="C5011" t="s">
        <v>1491</v>
      </c>
      <c r="D5011" s="9">
        <v>36173</v>
      </c>
      <c r="E5011">
        <v>2.5299999999999998E-5</v>
      </c>
    </row>
    <row r="5012" spans="1:5">
      <c r="A5012">
        <v>2022</v>
      </c>
      <c r="B5012" s="3" t="s">
        <v>67</v>
      </c>
      <c r="C5012" t="s">
        <v>1492</v>
      </c>
      <c r="D5012" s="9">
        <v>212680</v>
      </c>
      <c r="E5012">
        <v>1.4880000000000001E-4</v>
      </c>
    </row>
    <row r="5013" spans="1:5">
      <c r="A5013">
        <v>2022</v>
      </c>
      <c r="B5013" s="3" t="s">
        <v>68</v>
      </c>
      <c r="C5013" t="s">
        <v>1493</v>
      </c>
      <c r="D5013" s="9">
        <v>3752</v>
      </c>
      <c r="E5013">
        <v>2.6000000000000001E-6</v>
      </c>
    </row>
    <row r="5014" spans="1:5">
      <c r="A5014">
        <v>2022</v>
      </c>
      <c r="B5014" s="3" t="s">
        <v>69</v>
      </c>
      <c r="C5014" t="s">
        <v>1494</v>
      </c>
      <c r="D5014" s="9">
        <v>419053</v>
      </c>
      <c r="E5014">
        <v>2.9310000000000002E-4</v>
      </c>
    </row>
    <row r="5015" spans="1:5">
      <c r="A5015">
        <v>2022</v>
      </c>
      <c r="B5015" s="3" t="s">
        <v>70</v>
      </c>
      <c r="C5015" t="s">
        <v>1495</v>
      </c>
      <c r="D5015" s="9">
        <v>8716981</v>
      </c>
      <c r="E5015">
        <v>6.0971999999999997E-3</v>
      </c>
    </row>
    <row r="5016" spans="1:5">
      <c r="A5016">
        <v>2022</v>
      </c>
      <c r="B5016" s="3" t="s">
        <v>71</v>
      </c>
      <c r="C5016" t="s">
        <v>1496</v>
      </c>
      <c r="D5016" s="9">
        <v>80516</v>
      </c>
      <c r="E5016">
        <v>5.63E-5</v>
      </c>
    </row>
    <row r="5017" spans="1:5">
      <c r="A5017">
        <v>2022</v>
      </c>
      <c r="B5017" s="3" t="s">
        <v>72</v>
      </c>
      <c r="C5017" t="s">
        <v>1497</v>
      </c>
      <c r="D5017" s="9">
        <v>359355</v>
      </c>
      <c r="E5017">
        <v>2.5139999999999999E-4</v>
      </c>
    </row>
    <row r="5018" spans="1:5">
      <c r="A5018">
        <v>2022</v>
      </c>
      <c r="B5018" s="3" t="s">
        <v>74</v>
      </c>
      <c r="C5018" t="s">
        <v>1498</v>
      </c>
      <c r="D5018" s="9">
        <v>32237</v>
      </c>
      <c r="E5018">
        <v>2.2500000000000001E-5</v>
      </c>
    </row>
    <row r="5019" spans="1:5">
      <c r="A5019">
        <v>2022</v>
      </c>
      <c r="B5019" s="3" t="s">
        <v>75</v>
      </c>
      <c r="C5019" t="s">
        <v>1365</v>
      </c>
      <c r="D5019" s="9">
        <v>973</v>
      </c>
      <c r="E5019">
        <v>6.9999999999999997E-7</v>
      </c>
    </row>
    <row r="5020" spans="1:5">
      <c r="A5020">
        <v>2022</v>
      </c>
      <c r="B5020" s="3" t="s">
        <v>76</v>
      </c>
      <c r="C5020" t="s">
        <v>1499</v>
      </c>
      <c r="D5020" s="9">
        <v>9246219</v>
      </c>
      <c r="E5020">
        <v>6.4673999999999999E-3</v>
      </c>
    </row>
    <row r="5021" spans="1:5">
      <c r="A5021">
        <v>2022</v>
      </c>
      <c r="B5021" s="3" t="s">
        <v>77</v>
      </c>
      <c r="C5021" t="s">
        <v>1500</v>
      </c>
      <c r="D5021" s="9">
        <v>187353</v>
      </c>
      <c r="E5021">
        <v>1.3100000000000001E-4</v>
      </c>
    </row>
    <row r="5022" spans="1:5">
      <c r="A5022">
        <v>2022</v>
      </c>
      <c r="B5022" s="3" t="s">
        <v>78</v>
      </c>
      <c r="C5022" t="s">
        <v>25</v>
      </c>
      <c r="D5022" s="9">
        <v>1629631</v>
      </c>
      <c r="E5022">
        <v>1.1398999999999999E-3</v>
      </c>
    </row>
    <row r="5023" spans="1:5">
      <c r="A5023">
        <v>2022</v>
      </c>
      <c r="B5023" s="3" t="s">
        <v>79</v>
      </c>
      <c r="C5023" t="s">
        <v>1502</v>
      </c>
      <c r="D5023" s="9">
        <v>17018</v>
      </c>
      <c r="E5023">
        <v>1.19E-5</v>
      </c>
    </row>
    <row r="5024" spans="1:5">
      <c r="A5024">
        <v>2022</v>
      </c>
      <c r="B5024" s="3" t="s">
        <v>80</v>
      </c>
      <c r="C5024" t="s">
        <v>1503</v>
      </c>
      <c r="D5024" s="9">
        <v>2038294</v>
      </c>
      <c r="E5024">
        <v>1.4257E-3</v>
      </c>
    </row>
    <row r="5025" spans="1:5">
      <c r="A5025">
        <v>2022</v>
      </c>
      <c r="B5025" s="3" t="s">
        <v>1324</v>
      </c>
      <c r="C5025" t="s">
        <v>1504</v>
      </c>
      <c r="D5025" s="9">
        <v>111158</v>
      </c>
      <c r="E5025">
        <v>7.7799999999999994E-5</v>
      </c>
    </row>
    <row r="5026" spans="1:5">
      <c r="A5026">
        <v>2022</v>
      </c>
      <c r="B5026" s="3" t="s">
        <v>369</v>
      </c>
      <c r="C5026" t="s">
        <v>1505</v>
      </c>
      <c r="D5026" s="9">
        <v>1283556</v>
      </c>
      <c r="E5026">
        <v>8.9780000000000003E-4</v>
      </c>
    </row>
    <row r="5027" spans="1:5">
      <c r="A5027">
        <v>2022</v>
      </c>
      <c r="B5027" s="3" t="s">
        <v>81</v>
      </c>
      <c r="C5027" t="s">
        <v>1506</v>
      </c>
      <c r="D5027" s="9">
        <v>203810</v>
      </c>
      <c r="E5027">
        <v>1.426E-4</v>
      </c>
    </row>
    <row r="5028" spans="1:5">
      <c r="A5028">
        <v>2022</v>
      </c>
      <c r="B5028" s="3" t="s">
        <v>1371</v>
      </c>
      <c r="C5028" t="s">
        <v>1507</v>
      </c>
      <c r="D5028" s="9">
        <v>14412</v>
      </c>
      <c r="E5028">
        <v>1.01E-5</v>
      </c>
    </row>
    <row r="5029" spans="1:5">
      <c r="A5029">
        <v>2022</v>
      </c>
      <c r="B5029" s="3" t="s">
        <v>58</v>
      </c>
      <c r="C5029" t="s">
        <v>1508</v>
      </c>
      <c r="D5029" s="9">
        <v>791560</v>
      </c>
      <c r="E5029">
        <v>5.5369999999999996E-4</v>
      </c>
    </row>
    <row r="5030" spans="1:5">
      <c r="A5030">
        <v>2022</v>
      </c>
      <c r="B5030" s="3" t="s">
        <v>82</v>
      </c>
      <c r="C5030" t="s">
        <v>1509</v>
      </c>
      <c r="D5030" s="9">
        <v>48703</v>
      </c>
      <c r="E5030">
        <v>3.4100000000000002E-5</v>
      </c>
    </row>
    <row r="5031" spans="1:5">
      <c r="A5031">
        <v>2022</v>
      </c>
      <c r="B5031" s="3" t="s">
        <v>83</v>
      </c>
      <c r="C5031" t="s">
        <v>30</v>
      </c>
      <c r="D5031" s="9">
        <v>8420553</v>
      </c>
      <c r="E5031">
        <v>5.8899E-3</v>
      </c>
    </row>
    <row r="5032" spans="1:5">
      <c r="A5032">
        <v>2022</v>
      </c>
      <c r="B5032" s="3" t="s">
        <v>84</v>
      </c>
      <c r="C5032" t="s">
        <v>31</v>
      </c>
      <c r="D5032" s="9"/>
    </row>
    <row r="5033" spans="1:5">
      <c r="A5033">
        <v>2022</v>
      </c>
      <c r="B5033" s="3" t="s">
        <v>1426</v>
      </c>
      <c r="C5033" t="s">
        <v>1510</v>
      </c>
      <c r="D5033" s="9">
        <v>4854</v>
      </c>
      <c r="E5033">
        <v>3.4000000000000001E-6</v>
      </c>
    </row>
    <row r="5034" spans="1:5">
      <c r="A5034">
        <v>2022</v>
      </c>
      <c r="B5034" s="3" t="s">
        <v>91</v>
      </c>
      <c r="C5034" t="s">
        <v>1511</v>
      </c>
      <c r="D5034" s="9">
        <v>18489</v>
      </c>
      <c r="E5034">
        <v>1.29E-5</v>
      </c>
    </row>
    <row r="5035" spans="1:5">
      <c r="A5035">
        <v>2022</v>
      </c>
      <c r="B5035" s="3" t="s">
        <v>97</v>
      </c>
      <c r="C5035" t="s">
        <v>1512</v>
      </c>
      <c r="D5035" s="9">
        <v>71021</v>
      </c>
      <c r="E5035">
        <v>4.9700000000000002E-5</v>
      </c>
    </row>
    <row r="5036" spans="1:5">
      <c r="A5036">
        <v>2022</v>
      </c>
      <c r="B5036" s="3" t="s">
        <v>98</v>
      </c>
      <c r="C5036" t="s">
        <v>1513</v>
      </c>
      <c r="D5036" s="9">
        <v>39778</v>
      </c>
      <c r="E5036">
        <v>2.7800000000000001E-5</v>
      </c>
    </row>
    <row r="5037" spans="1:5">
      <c r="A5037">
        <v>2022</v>
      </c>
      <c r="B5037" s="3" t="s">
        <v>99</v>
      </c>
      <c r="C5037" t="s">
        <v>1514</v>
      </c>
      <c r="D5037" s="9">
        <v>16664</v>
      </c>
      <c r="E5037">
        <v>1.17E-5</v>
      </c>
    </row>
    <row r="5038" spans="1:5">
      <c r="A5038">
        <v>2022</v>
      </c>
      <c r="B5038" s="3" t="s">
        <v>210</v>
      </c>
      <c r="C5038" t="s">
        <v>1515</v>
      </c>
      <c r="D5038" s="9"/>
    </row>
    <row r="5039" spans="1:5">
      <c r="A5039">
        <v>2022</v>
      </c>
      <c r="B5039" s="3" t="s">
        <v>85</v>
      </c>
      <c r="C5039" t="s">
        <v>1516</v>
      </c>
      <c r="D5039" s="9">
        <v>27834</v>
      </c>
      <c r="E5039">
        <v>1.95E-5</v>
      </c>
    </row>
    <row r="5040" spans="1:5">
      <c r="A5040">
        <v>2022</v>
      </c>
      <c r="B5040" s="3" t="s">
        <v>102</v>
      </c>
      <c r="C5040" t="s">
        <v>1517</v>
      </c>
      <c r="D5040" s="9">
        <v>12881</v>
      </c>
      <c r="E5040">
        <v>9.0000000000000002E-6</v>
      </c>
    </row>
    <row r="5041" spans="1:5">
      <c r="A5041">
        <v>2022</v>
      </c>
      <c r="B5041" s="3" t="s">
        <v>104</v>
      </c>
      <c r="C5041" t="s">
        <v>1518</v>
      </c>
      <c r="D5041" s="9">
        <v>55758</v>
      </c>
      <c r="E5041">
        <v>3.8999999999999999E-5</v>
      </c>
    </row>
    <row r="5042" spans="1:5">
      <c r="A5042">
        <v>2022</v>
      </c>
      <c r="B5042" s="3" t="s">
        <v>106</v>
      </c>
      <c r="C5042" t="s">
        <v>1519</v>
      </c>
      <c r="D5042" s="9">
        <v>9539</v>
      </c>
      <c r="E5042">
        <v>6.7000000000000002E-6</v>
      </c>
    </row>
    <row r="5043" spans="1:5">
      <c r="A5043">
        <v>2022</v>
      </c>
      <c r="B5043" s="3" t="s">
        <v>107</v>
      </c>
      <c r="C5043" t="s">
        <v>1520</v>
      </c>
      <c r="D5043" s="9">
        <v>34607</v>
      </c>
      <c r="E5043">
        <v>2.4199999999999999E-5</v>
      </c>
    </row>
    <row r="5044" spans="1:5">
      <c r="A5044">
        <v>2022</v>
      </c>
      <c r="B5044" s="3" t="s">
        <v>108</v>
      </c>
      <c r="C5044" t="s">
        <v>1521</v>
      </c>
      <c r="D5044" s="9">
        <v>377508</v>
      </c>
      <c r="E5044">
        <v>2.6410000000000002E-4</v>
      </c>
    </row>
    <row r="5045" spans="1:5">
      <c r="A5045">
        <v>2022</v>
      </c>
      <c r="B5045" s="3" t="s">
        <v>109</v>
      </c>
      <c r="C5045" t="s">
        <v>1522</v>
      </c>
      <c r="D5045" s="9">
        <v>18274</v>
      </c>
      <c r="E5045">
        <v>1.2799999999999999E-5</v>
      </c>
    </row>
    <row r="5046" spans="1:5">
      <c r="A5046">
        <v>2022</v>
      </c>
      <c r="B5046" s="3" t="s">
        <v>1140</v>
      </c>
      <c r="C5046" t="s">
        <v>1525</v>
      </c>
      <c r="D5046" s="9">
        <v>544310</v>
      </c>
      <c r="E5046">
        <v>3.8069999999999998E-4</v>
      </c>
    </row>
    <row r="5047" spans="1:5">
      <c r="A5047">
        <v>2022</v>
      </c>
      <c r="B5047" s="3" t="s">
        <v>168</v>
      </c>
      <c r="C5047" t="s">
        <v>113</v>
      </c>
      <c r="D5047" s="9">
        <v>72708</v>
      </c>
      <c r="E5047">
        <v>5.0899999999999997E-5</v>
      </c>
    </row>
    <row r="5048" spans="1:5">
      <c r="A5048">
        <v>2022</v>
      </c>
      <c r="B5048" s="3" t="s">
        <v>170</v>
      </c>
      <c r="C5048" t="s">
        <v>1526</v>
      </c>
      <c r="D5048" s="9">
        <v>6391</v>
      </c>
      <c r="E5048">
        <v>4.5000000000000001E-6</v>
      </c>
    </row>
    <row r="5049" spans="1:5">
      <c r="A5049">
        <v>2022</v>
      </c>
      <c r="B5049" s="3" t="s">
        <v>169</v>
      </c>
      <c r="C5049" t="s">
        <v>1527</v>
      </c>
      <c r="D5049" s="9">
        <v>138972</v>
      </c>
      <c r="E5049">
        <v>9.7200000000000004E-5</v>
      </c>
    </row>
    <row r="5050" spans="1:5">
      <c r="A5050">
        <v>2022</v>
      </c>
      <c r="B5050" s="3" t="s">
        <v>1381</v>
      </c>
      <c r="C5050" t="s">
        <v>1528</v>
      </c>
      <c r="D5050" s="9">
        <v>8197</v>
      </c>
      <c r="E5050">
        <v>5.6999999999999996E-6</v>
      </c>
    </row>
    <row r="5051" spans="1:5">
      <c r="A5051">
        <v>2022</v>
      </c>
      <c r="B5051" s="3" t="s">
        <v>171</v>
      </c>
      <c r="C5051" t="s">
        <v>1529</v>
      </c>
      <c r="D5051" s="9">
        <v>71491</v>
      </c>
      <c r="E5051">
        <v>5.0000000000000002E-5</v>
      </c>
    </row>
    <row r="5052" spans="1:5">
      <c r="A5052">
        <v>2022</v>
      </c>
      <c r="B5052" s="3" t="s">
        <v>1427</v>
      </c>
      <c r="C5052" t="s">
        <v>1530</v>
      </c>
      <c r="D5052" s="9">
        <v>694531</v>
      </c>
      <c r="E5052">
        <v>4.8579999999999999E-4</v>
      </c>
    </row>
    <row r="5053" spans="1:5">
      <c r="A5053">
        <v>2022</v>
      </c>
      <c r="B5053" s="3" t="s">
        <v>172</v>
      </c>
      <c r="C5053" t="s">
        <v>117</v>
      </c>
      <c r="D5053" s="9">
        <v>1800499</v>
      </c>
      <c r="E5053">
        <v>1.2593999999999999E-3</v>
      </c>
    </row>
    <row r="5054" spans="1:5">
      <c r="A5054">
        <v>2022</v>
      </c>
      <c r="B5054" s="3" t="s">
        <v>173</v>
      </c>
      <c r="C5054" t="s">
        <v>1531</v>
      </c>
      <c r="D5054" s="9">
        <v>166140</v>
      </c>
      <c r="E5054">
        <v>1.1620000000000001E-4</v>
      </c>
    </row>
    <row r="5055" spans="1:5">
      <c r="A5055">
        <v>2022</v>
      </c>
      <c r="B5055" s="3" t="s">
        <v>174</v>
      </c>
      <c r="C5055" t="s">
        <v>119</v>
      </c>
      <c r="D5055" s="9">
        <v>100092</v>
      </c>
      <c r="E5055">
        <v>6.9999999999999994E-5</v>
      </c>
    </row>
    <row r="5056" spans="1:5">
      <c r="A5056">
        <v>2022</v>
      </c>
      <c r="B5056" s="3" t="s">
        <v>175</v>
      </c>
      <c r="C5056" t="s">
        <v>1532</v>
      </c>
      <c r="D5056" s="9">
        <v>536756</v>
      </c>
      <c r="E5056">
        <v>3.7540000000000002E-4</v>
      </c>
    </row>
    <row r="5057" spans="1:5">
      <c r="A5057">
        <v>2022</v>
      </c>
      <c r="B5057" s="3" t="s">
        <v>176</v>
      </c>
      <c r="C5057" t="s">
        <v>1533</v>
      </c>
      <c r="D5057" s="9">
        <v>228251</v>
      </c>
      <c r="E5057">
        <v>1.5970000000000001E-4</v>
      </c>
    </row>
    <row r="5058" spans="1:5">
      <c r="A5058">
        <v>2022</v>
      </c>
      <c r="B5058" s="3" t="s">
        <v>177</v>
      </c>
      <c r="C5058" t="s">
        <v>122</v>
      </c>
      <c r="D5058" s="9">
        <v>170486</v>
      </c>
      <c r="E5058">
        <v>1.192E-4</v>
      </c>
    </row>
    <row r="5059" spans="1:5">
      <c r="A5059">
        <v>2022</v>
      </c>
      <c r="B5059" s="3" t="s">
        <v>178</v>
      </c>
      <c r="C5059" t="s">
        <v>1534</v>
      </c>
      <c r="D5059" s="9">
        <v>4081015</v>
      </c>
      <c r="E5059">
        <v>2.8544999999999998E-3</v>
      </c>
    </row>
    <row r="5060" spans="1:5">
      <c r="A5060">
        <v>2022</v>
      </c>
      <c r="B5060" s="3" t="s">
        <v>181</v>
      </c>
      <c r="C5060" t="s">
        <v>1535</v>
      </c>
      <c r="D5060" s="9">
        <v>1434992</v>
      </c>
      <c r="E5060">
        <v>1.0036999999999999E-3</v>
      </c>
    </row>
    <row r="5061" spans="1:5">
      <c r="A5061">
        <v>2022</v>
      </c>
      <c r="B5061" s="3" t="s">
        <v>1382</v>
      </c>
      <c r="C5061" t="s">
        <v>1536</v>
      </c>
      <c r="D5061" s="9">
        <v>14350401</v>
      </c>
      <c r="E5061">
        <v>1.0037600000000001E-2</v>
      </c>
    </row>
    <row r="5062" spans="1:5">
      <c r="A5062">
        <v>2022</v>
      </c>
      <c r="B5062" s="3" t="s">
        <v>182</v>
      </c>
      <c r="C5062" t="s">
        <v>1537</v>
      </c>
      <c r="D5062" s="9">
        <v>7073465</v>
      </c>
      <c r="E5062">
        <v>4.9475999999999999E-3</v>
      </c>
    </row>
    <row r="5063" spans="1:5">
      <c r="A5063">
        <v>2022</v>
      </c>
      <c r="B5063" s="3" t="s">
        <v>183</v>
      </c>
      <c r="C5063" t="s">
        <v>1538</v>
      </c>
      <c r="D5063" s="9">
        <v>44241857</v>
      </c>
      <c r="E5063">
        <v>3.0945500000000001E-2</v>
      </c>
    </row>
    <row r="5064" spans="1:5">
      <c r="A5064">
        <v>2022</v>
      </c>
      <c r="B5064" s="3" t="s">
        <v>184</v>
      </c>
      <c r="C5064" t="s">
        <v>1539</v>
      </c>
      <c r="D5064" s="9">
        <v>4354981</v>
      </c>
      <c r="E5064">
        <v>3.0460999999999999E-3</v>
      </c>
    </row>
    <row r="5065" spans="1:5">
      <c r="A5065">
        <v>2022</v>
      </c>
      <c r="B5065" s="3" t="s">
        <v>185</v>
      </c>
      <c r="C5065" t="s">
        <v>1540</v>
      </c>
      <c r="D5065" s="9">
        <v>1971690</v>
      </c>
      <c r="E5065">
        <v>1.3791000000000001E-3</v>
      </c>
    </row>
    <row r="5066" spans="1:5">
      <c r="A5066">
        <v>2022</v>
      </c>
      <c r="B5066" s="3" t="s">
        <v>186</v>
      </c>
      <c r="C5066" t="s">
        <v>1541</v>
      </c>
      <c r="D5066" s="9">
        <v>3551761</v>
      </c>
      <c r="E5066">
        <v>2.4843E-3</v>
      </c>
    </row>
    <row r="5067" spans="1:5">
      <c r="A5067">
        <v>2022</v>
      </c>
      <c r="B5067" s="3" t="s">
        <v>187</v>
      </c>
      <c r="C5067" t="s">
        <v>1542</v>
      </c>
      <c r="D5067" s="9"/>
    </row>
    <row r="5068" spans="1:5">
      <c r="A5068">
        <v>2022</v>
      </c>
      <c r="B5068" s="3" t="s">
        <v>189</v>
      </c>
      <c r="C5068" t="s">
        <v>1544</v>
      </c>
      <c r="D5068" s="9">
        <v>716871</v>
      </c>
      <c r="E5068">
        <v>5.0140000000000004E-4</v>
      </c>
    </row>
    <row r="5069" spans="1:5">
      <c r="A5069">
        <v>2022</v>
      </c>
      <c r="B5069" s="3" t="s">
        <v>190</v>
      </c>
      <c r="C5069" t="s">
        <v>1546</v>
      </c>
      <c r="D5069" s="9">
        <v>10628444</v>
      </c>
      <c r="E5069">
        <v>7.4342000000000002E-3</v>
      </c>
    </row>
    <row r="5070" spans="1:5">
      <c r="A5070">
        <v>2022</v>
      </c>
      <c r="B5070" s="3" t="s">
        <v>191</v>
      </c>
      <c r="C5070" t="s">
        <v>1547</v>
      </c>
      <c r="D5070" s="9">
        <v>204143</v>
      </c>
      <c r="E5070">
        <v>1.428E-4</v>
      </c>
    </row>
    <row r="5071" spans="1:5">
      <c r="A5071">
        <v>2022</v>
      </c>
      <c r="B5071" s="3" t="s">
        <v>192</v>
      </c>
      <c r="C5071" t="s">
        <v>1548</v>
      </c>
      <c r="D5071" s="9">
        <v>559309</v>
      </c>
      <c r="E5071">
        <v>3.9120000000000002E-4</v>
      </c>
    </row>
    <row r="5072" spans="1:5">
      <c r="A5072">
        <v>2022</v>
      </c>
      <c r="B5072" s="3" t="s">
        <v>193</v>
      </c>
      <c r="C5072" t="s">
        <v>1549</v>
      </c>
      <c r="D5072" s="9">
        <v>1004125</v>
      </c>
      <c r="E5072">
        <v>7.0229999999999999E-4</v>
      </c>
    </row>
    <row r="5073" spans="1:5">
      <c r="A5073">
        <v>2022</v>
      </c>
      <c r="B5073" s="3" t="s">
        <v>194</v>
      </c>
      <c r="C5073" t="s">
        <v>1550</v>
      </c>
      <c r="D5073" s="9">
        <v>630941</v>
      </c>
      <c r="E5073">
        <v>4.4129999999999999E-4</v>
      </c>
    </row>
    <row r="5074" spans="1:5">
      <c r="A5074">
        <v>2022</v>
      </c>
      <c r="B5074" s="3" t="s">
        <v>196</v>
      </c>
      <c r="C5074" t="s">
        <v>1551</v>
      </c>
      <c r="D5074" s="9">
        <v>131044</v>
      </c>
      <c r="E5074">
        <v>9.1700000000000006E-5</v>
      </c>
    </row>
    <row r="5075" spans="1:5">
      <c r="A5075">
        <v>2022</v>
      </c>
      <c r="B5075" s="3" t="s">
        <v>197</v>
      </c>
      <c r="C5075" t="s">
        <v>1552</v>
      </c>
      <c r="D5075" s="9">
        <v>6364797</v>
      </c>
      <c r="E5075">
        <v>4.4519E-3</v>
      </c>
    </row>
    <row r="5076" spans="1:5">
      <c r="A5076">
        <v>2022</v>
      </c>
      <c r="B5076" s="3" t="s">
        <v>198</v>
      </c>
      <c r="C5076" t="s">
        <v>1553</v>
      </c>
      <c r="D5076" s="9">
        <v>145898</v>
      </c>
      <c r="E5076">
        <v>1.021E-4</v>
      </c>
    </row>
    <row r="5077" spans="1:5">
      <c r="A5077">
        <v>2022</v>
      </c>
      <c r="B5077" s="3" t="s">
        <v>199</v>
      </c>
      <c r="C5077" t="s">
        <v>1554</v>
      </c>
      <c r="D5077" s="9">
        <v>3772182</v>
      </c>
      <c r="E5077">
        <v>2.6384999999999998E-3</v>
      </c>
    </row>
    <row r="5078" spans="1:5">
      <c r="A5078">
        <v>2022</v>
      </c>
      <c r="B5078" s="3" t="s">
        <v>200</v>
      </c>
      <c r="C5078" t="s">
        <v>1555</v>
      </c>
      <c r="D5078" s="9">
        <v>23418166</v>
      </c>
      <c r="E5078">
        <v>1.6380100000000002E-2</v>
      </c>
    </row>
    <row r="5079" spans="1:5">
      <c r="A5079">
        <v>2022</v>
      </c>
      <c r="B5079" s="3" t="s">
        <v>201</v>
      </c>
      <c r="C5079" t="s">
        <v>1556</v>
      </c>
      <c r="D5079" s="9">
        <v>1873224</v>
      </c>
      <c r="E5079">
        <v>1.3102000000000001E-3</v>
      </c>
    </row>
    <row r="5080" spans="1:5">
      <c r="A5080">
        <v>2022</v>
      </c>
      <c r="B5080" s="3" t="s">
        <v>202</v>
      </c>
      <c r="C5080" t="s">
        <v>1557</v>
      </c>
      <c r="D5080" s="9">
        <v>1484237</v>
      </c>
      <c r="E5080">
        <v>1.0382E-3</v>
      </c>
    </row>
    <row r="5081" spans="1:5">
      <c r="A5081">
        <v>2022</v>
      </c>
      <c r="B5081" s="3" t="s">
        <v>204</v>
      </c>
      <c r="C5081" t="s">
        <v>1559</v>
      </c>
      <c r="D5081" s="9">
        <v>1111781</v>
      </c>
      <c r="E5081">
        <v>7.7760000000000004E-4</v>
      </c>
    </row>
    <row r="5082" spans="1:5">
      <c r="A5082">
        <v>2022</v>
      </c>
      <c r="B5082" s="3" t="s">
        <v>205</v>
      </c>
      <c r="C5082" t="s">
        <v>150</v>
      </c>
      <c r="D5082" s="9">
        <v>194942</v>
      </c>
      <c r="E5082">
        <v>1.3640000000000001E-4</v>
      </c>
    </row>
    <row r="5083" spans="1:5">
      <c r="A5083">
        <v>2022</v>
      </c>
      <c r="B5083" s="3" t="s">
        <v>1563</v>
      </c>
      <c r="C5083" t="s">
        <v>1560</v>
      </c>
      <c r="D5083" s="9">
        <v>126453</v>
      </c>
      <c r="E5083">
        <v>8.8399999999999994E-5</v>
      </c>
    </row>
    <row r="5084" spans="1:5">
      <c r="A5084">
        <v>2022</v>
      </c>
      <c r="B5084" s="3" t="s">
        <v>2088</v>
      </c>
      <c r="C5084" t="s">
        <v>2086</v>
      </c>
      <c r="D5084" s="9">
        <v>463226</v>
      </c>
      <c r="E5084">
        <v>3.2400000000000001E-4</v>
      </c>
    </row>
    <row r="5085" spans="1:5">
      <c r="A5085">
        <v>2022</v>
      </c>
      <c r="B5085" s="3" t="s">
        <v>188</v>
      </c>
      <c r="C5085" t="s">
        <v>1561</v>
      </c>
      <c r="D5085" s="9">
        <v>3081198</v>
      </c>
      <c r="E5085">
        <v>2.1551999999999999E-3</v>
      </c>
    </row>
    <row r="5086" spans="1:5">
      <c r="A5086">
        <v>2022</v>
      </c>
      <c r="B5086" s="3" t="s">
        <v>206</v>
      </c>
      <c r="C5086" t="s">
        <v>1562</v>
      </c>
      <c r="D5086" s="9"/>
    </row>
    <row r="5087" spans="1:5">
      <c r="A5087">
        <v>2022</v>
      </c>
      <c r="B5087" s="3" t="s">
        <v>207</v>
      </c>
      <c r="C5087" t="s">
        <v>152</v>
      </c>
      <c r="D5087" s="9">
        <v>984132</v>
      </c>
      <c r="E5087">
        <v>6.8840000000000004E-4</v>
      </c>
    </row>
    <row r="5088" spans="1:5">
      <c r="A5088">
        <v>2022</v>
      </c>
      <c r="B5088" s="3" t="s">
        <v>57</v>
      </c>
      <c r="C5088" t="s">
        <v>1564</v>
      </c>
      <c r="D5088" s="9">
        <v>7174993</v>
      </c>
      <c r="E5088">
        <v>5.0185999999999998E-3</v>
      </c>
    </row>
    <row r="5089" spans="1:5">
      <c r="A5089">
        <v>2022</v>
      </c>
      <c r="B5089" s="3" t="s">
        <v>208</v>
      </c>
      <c r="C5089" t="s">
        <v>153</v>
      </c>
      <c r="D5089" s="9"/>
    </row>
    <row r="5090" spans="1:5">
      <c r="A5090">
        <v>2022</v>
      </c>
      <c r="B5090" s="3" t="s">
        <v>209</v>
      </c>
      <c r="C5090" t="s">
        <v>154</v>
      </c>
      <c r="D5090" s="9">
        <v>179891</v>
      </c>
      <c r="E5090">
        <v>1.2579999999999999E-4</v>
      </c>
    </row>
    <row r="5091" spans="1:5">
      <c r="A5091">
        <v>2022</v>
      </c>
      <c r="B5091" s="3" t="s">
        <v>211</v>
      </c>
      <c r="C5091" t="s">
        <v>1565</v>
      </c>
      <c r="D5091" s="9">
        <v>918683</v>
      </c>
      <c r="E5091">
        <v>6.4260000000000001E-4</v>
      </c>
    </row>
    <row r="5092" spans="1:5">
      <c r="A5092">
        <v>2022</v>
      </c>
      <c r="B5092" s="3" t="s">
        <v>212</v>
      </c>
      <c r="C5092" t="s">
        <v>1566</v>
      </c>
      <c r="D5092" s="9">
        <v>50145</v>
      </c>
      <c r="E5092">
        <v>3.5099999999999999E-5</v>
      </c>
    </row>
    <row r="5093" spans="1:5">
      <c r="A5093">
        <v>2022</v>
      </c>
      <c r="B5093" s="3" t="s">
        <v>213</v>
      </c>
      <c r="C5093" t="s">
        <v>158</v>
      </c>
      <c r="D5093" s="9">
        <v>1188321</v>
      </c>
      <c r="E5093">
        <v>8.3120000000000004E-4</v>
      </c>
    </row>
    <row r="5094" spans="1:5">
      <c r="A5094">
        <v>2022</v>
      </c>
      <c r="B5094" s="3" t="s">
        <v>1597</v>
      </c>
      <c r="C5094" t="s">
        <v>1567</v>
      </c>
      <c r="D5094" s="9">
        <v>21219</v>
      </c>
      <c r="E5094">
        <v>1.4800000000000001E-5</v>
      </c>
    </row>
    <row r="5095" spans="1:5">
      <c r="A5095">
        <v>2022</v>
      </c>
      <c r="B5095" s="3" t="s">
        <v>214</v>
      </c>
      <c r="C5095" t="s">
        <v>159</v>
      </c>
      <c r="D5095" s="9">
        <v>230397</v>
      </c>
      <c r="E5095">
        <v>1.6119999999999999E-4</v>
      </c>
    </row>
    <row r="5096" spans="1:5">
      <c r="A5096">
        <v>2022</v>
      </c>
      <c r="B5096" s="3" t="s">
        <v>215</v>
      </c>
      <c r="C5096" t="s">
        <v>1568</v>
      </c>
      <c r="D5096" s="9">
        <v>219916</v>
      </c>
      <c r="E5096">
        <v>1.538E-4</v>
      </c>
    </row>
    <row r="5097" spans="1:5">
      <c r="A5097">
        <v>2022</v>
      </c>
      <c r="B5097" s="3" t="s">
        <v>217</v>
      </c>
      <c r="C5097" t="s">
        <v>162</v>
      </c>
      <c r="D5097" s="9">
        <v>452263</v>
      </c>
      <c r="E5097">
        <v>3.1629999999999999E-4</v>
      </c>
    </row>
    <row r="5098" spans="1:5">
      <c r="A5098">
        <v>2022</v>
      </c>
      <c r="B5098" s="3" t="s">
        <v>219</v>
      </c>
      <c r="C5098" t="s">
        <v>164</v>
      </c>
      <c r="D5098" s="9">
        <v>354861</v>
      </c>
      <c r="E5098">
        <v>2.4820000000000002E-4</v>
      </c>
    </row>
    <row r="5099" spans="1:5">
      <c r="A5099">
        <v>2022</v>
      </c>
      <c r="B5099" s="3" t="s">
        <v>73</v>
      </c>
      <c r="C5099" t="s">
        <v>2354</v>
      </c>
      <c r="D5099" s="9">
        <v>283580</v>
      </c>
      <c r="E5099">
        <v>1.984E-4</v>
      </c>
    </row>
    <row r="5100" spans="1:5">
      <c r="A5100">
        <v>2022</v>
      </c>
      <c r="B5100" s="3" t="s">
        <v>220</v>
      </c>
      <c r="C5100" t="s">
        <v>1571</v>
      </c>
      <c r="D5100" s="9">
        <v>78887</v>
      </c>
      <c r="E5100">
        <v>5.52E-5</v>
      </c>
    </row>
    <row r="5101" spans="1:5">
      <c r="A5101">
        <v>2022</v>
      </c>
      <c r="B5101" s="3" t="s">
        <v>1387</v>
      </c>
      <c r="C5101" t="s">
        <v>1572</v>
      </c>
      <c r="D5101" s="9">
        <v>8469</v>
      </c>
      <c r="E5101">
        <v>5.9000000000000003E-6</v>
      </c>
    </row>
    <row r="5102" spans="1:5">
      <c r="A5102">
        <v>2022</v>
      </c>
      <c r="B5102" s="3" t="s">
        <v>1388</v>
      </c>
      <c r="C5102" t="s">
        <v>1573</v>
      </c>
      <c r="D5102" s="9">
        <v>8501</v>
      </c>
      <c r="E5102">
        <v>5.9000000000000003E-6</v>
      </c>
    </row>
    <row r="5103" spans="1:5">
      <c r="A5103">
        <v>2022</v>
      </c>
      <c r="B5103" s="3" t="s">
        <v>1389</v>
      </c>
      <c r="C5103" t="s">
        <v>1574</v>
      </c>
      <c r="D5103" s="9">
        <v>113472</v>
      </c>
      <c r="E5103">
        <v>7.9400000000000006E-5</v>
      </c>
    </row>
    <row r="5104" spans="1:5">
      <c r="A5104">
        <v>2022</v>
      </c>
      <c r="B5104" s="3" t="s">
        <v>1598</v>
      </c>
      <c r="C5104" t="s">
        <v>1575</v>
      </c>
      <c r="D5104" s="9">
        <v>212875</v>
      </c>
      <c r="E5104">
        <v>1.4889999999999999E-4</v>
      </c>
    </row>
    <row r="5105" spans="1:5">
      <c r="A5105">
        <v>2022</v>
      </c>
      <c r="B5105" s="3" t="s">
        <v>1390</v>
      </c>
      <c r="C5105" t="s">
        <v>1578</v>
      </c>
      <c r="D5105" s="9">
        <v>1615279</v>
      </c>
      <c r="E5105">
        <v>1.1298E-3</v>
      </c>
    </row>
    <row r="5106" spans="1:5">
      <c r="A5106">
        <v>2022</v>
      </c>
      <c r="B5106" s="3" t="s">
        <v>1393</v>
      </c>
      <c r="C5106" t="s">
        <v>1579</v>
      </c>
      <c r="D5106" s="9">
        <v>201190</v>
      </c>
      <c r="E5106">
        <v>1.407E-4</v>
      </c>
    </row>
    <row r="5107" spans="1:5">
      <c r="A5107">
        <v>2022</v>
      </c>
      <c r="B5107" s="3" t="s">
        <v>1395</v>
      </c>
      <c r="C5107" t="s">
        <v>230</v>
      </c>
      <c r="D5107" s="9">
        <v>450029</v>
      </c>
      <c r="E5107">
        <v>3.1480000000000001E-4</v>
      </c>
    </row>
    <row r="5108" spans="1:5">
      <c r="A5108">
        <v>2022</v>
      </c>
      <c r="B5108" s="3" t="s">
        <v>1396</v>
      </c>
      <c r="C5108" t="s">
        <v>231</v>
      </c>
      <c r="D5108" s="9">
        <v>46807</v>
      </c>
      <c r="E5108">
        <v>3.2700000000000002E-5</v>
      </c>
    </row>
    <row r="5109" spans="1:5">
      <c r="A5109">
        <v>2022</v>
      </c>
      <c r="B5109" s="3" t="s">
        <v>1398</v>
      </c>
      <c r="C5109" t="s">
        <v>1580</v>
      </c>
      <c r="D5109" s="9">
        <v>36816</v>
      </c>
      <c r="E5109">
        <v>2.58E-5</v>
      </c>
    </row>
    <row r="5110" spans="1:5">
      <c r="A5110">
        <v>2022</v>
      </c>
      <c r="B5110" s="3" t="s">
        <v>1399</v>
      </c>
      <c r="C5110" t="s">
        <v>234</v>
      </c>
      <c r="D5110" s="9"/>
    </row>
    <row r="5111" spans="1:5">
      <c r="A5111">
        <v>2022</v>
      </c>
      <c r="B5111" s="3" t="s">
        <v>1400</v>
      </c>
      <c r="C5111" t="s">
        <v>1581</v>
      </c>
      <c r="D5111" s="9">
        <v>666866</v>
      </c>
      <c r="E5111">
        <v>4.6640000000000001E-4</v>
      </c>
    </row>
    <row r="5112" spans="1:5">
      <c r="A5112">
        <v>2022</v>
      </c>
      <c r="B5112" s="3" t="s">
        <v>1401</v>
      </c>
      <c r="C5112" t="s">
        <v>1582</v>
      </c>
      <c r="D5112" s="9">
        <v>78762</v>
      </c>
      <c r="E5112">
        <v>5.5099999999999998E-5</v>
      </c>
    </row>
    <row r="5113" spans="1:5">
      <c r="A5113">
        <v>2022</v>
      </c>
      <c r="B5113" s="3" t="s">
        <v>1402</v>
      </c>
      <c r="C5113" t="s">
        <v>237</v>
      </c>
      <c r="D5113" s="9">
        <v>89582</v>
      </c>
      <c r="E5113">
        <v>6.2700000000000006E-5</v>
      </c>
    </row>
    <row r="5114" spans="1:5">
      <c r="A5114">
        <v>2022</v>
      </c>
      <c r="B5114" s="3" t="s">
        <v>1403</v>
      </c>
      <c r="C5114" t="s">
        <v>1584</v>
      </c>
      <c r="D5114" s="9">
        <v>575576</v>
      </c>
      <c r="E5114">
        <v>4.0259999999999997E-4</v>
      </c>
    </row>
    <row r="5115" spans="1:5">
      <c r="A5115">
        <v>2022</v>
      </c>
      <c r="B5115" s="3" t="s">
        <v>1404</v>
      </c>
      <c r="C5115" t="s">
        <v>1585</v>
      </c>
      <c r="D5115" s="9">
        <v>827369</v>
      </c>
      <c r="E5115">
        <v>5.7870000000000003E-4</v>
      </c>
    </row>
    <row r="5116" spans="1:5">
      <c r="A5116">
        <v>2022</v>
      </c>
      <c r="B5116" s="3" t="s">
        <v>1405</v>
      </c>
      <c r="C5116" t="s">
        <v>1586</v>
      </c>
      <c r="D5116" s="9">
        <v>60487</v>
      </c>
      <c r="E5116">
        <v>4.2299999999999998E-5</v>
      </c>
    </row>
    <row r="5117" spans="1:5">
      <c r="A5117">
        <v>2022</v>
      </c>
      <c r="B5117" s="3" t="s">
        <v>1406</v>
      </c>
      <c r="C5117" t="s">
        <v>1587</v>
      </c>
      <c r="D5117" s="9">
        <v>122570</v>
      </c>
      <c r="E5117">
        <v>8.5699999999999996E-5</v>
      </c>
    </row>
    <row r="5118" spans="1:5">
      <c r="A5118">
        <v>2022</v>
      </c>
      <c r="B5118" s="3" t="s">
        <v>1397</v>
      </c>
      <c r="C5118" t="s">
        <v>1588</v>
      </c>
      <c r="D5118" s="9">
        <v>37926</v>
      </c>
      <c r="E5118">
        <v>2.65E-5</v>
      </c>
    </row>
    <row r="5119" spans="1:5">
      <c r="A5119">
        <v>2022</v>
      </c>
      <c r="B5119" s="3" t="s">
        <v>88</v>
      </c>
      <c r="C5119" t="s">
        <v>1589</v>
      </c>
      <c r="D5119" s="9">
        <v>88278</v>
      </c>
      <c r="E5119">
        <v>6.1699999999999995E-5</v>
      </c>
    </row>
    <row r="5120" spans="1:5">
      <c r="A5120">
        <v>2022</v>
      </c>
      <c r="B5120" s="3" t="s">
        <v>90</v>
      </c>
      <c r="C5120" t="s">
        <v>1590</v>
      </c>
      <c r="D5120" s="9">
        <v>7776</v>
      </c>
      <c r="E5120">
        <v>5.4E-6</v>
      </c>
    </row>
    <row r="5121" spans="1:5">
      <c r="A5121">
        <v>2022</v>
      </c>
      <c r="B5121" s="3" t="s">
        <v>87</v>
      </c>
      <c r="C5121" t="s">
        <v>1591</v>
      </c>
      <c r="D5121" s="9">
        <v>107181</v>
      </c>
      <c r="E5121">
        <v>7.4999999999999993E-5</v>
      </c>
    </row>
    <row r="5122" spans="1:5">
      <c r="A5122">
        <v>2022</v>
      </c>
      <c r="B5122" s="3" t="s">
        <v>92</v>
      </c>
      <c r="C5122" t="s">
        <v>2419</v>
      </c>
      <c r="D5122" s="9">
        <v>81662</v>
      </c>
      <c r="E5122">
        <v>5.7099999999999999E-5</v>
      </c>
    </row>
    <row r="5123" spans="1:5">
      <c r="A5123">
        <v>2022</v>
      </c>
      <c r="B5123" s="3" t="s">
        <v>93</v>
      </c>
      <c r="C5123" t="s">
        <v>1593</v>
      </c>
      <c r="D5123" s="9">
        <v>76496</v>
      </c>
      <c r="E5123">
        <v>5.3499999999999999E-5</v>
      </c>
    </row>
    <row r="5124" spans="1:5">
      <c r="A5124">
        <v>2022</v>
      </c>
      <c r="B5124" s="3" t="s">
        <v>94</v>
      </c>
      <c r="C5124" t="s">
        <v>2420</v>
      </c>
      <c r="D5124" s="9">
        <v>9936</v>
      </c>
      <c r="E5124">
        <v>6.9999999999999999E-6</v>
      </c>
    </row>
    <row r="5125" spans="1:5">
      <c r="A5125">
        <v>2022</v>
      </c>
      <c r="B5125" s="3" t="s">
        <v>95</v>
      </c>
      <c r="C5125" t="s">
        <v>1595</v>
      </c>
      <c r="D5125" s="9">
        <v>113498</v>
      </c>
      <c r="E5125">
        <v>7.9400000000000006E-5</v>
      </c>
    </row>
    <row r="5126" spans="1:5">
      <c r="A5126">
        <v>2022</v>
      </c>
      <c r="B5126" s="3" t="s">
        <v>100</v>
      </c>
      <c r="C5126" t="s">
        <v>1596</v>
      </c>
      <c r="D5126" s="9">
        <v>25660</v>
      </c>
      <c r="E5126">
        <v>1.7900000000000001E-5</v>
      </c>
    </row>
    <row r="5127" spans="1:5">
      <c r="A5127">
        <v>2022</v>
      </c>
      <c r="B5127" s="3" t="s">
        <v>101</v>
      </c>
      <c r="C5127" t="s">
        <v>1599</v>
      </c>
      <c r="D5127" s="9">
        <v>363406</v>
      </c>
      <c r="E5127">
        <v>2.542E-4</v>
      </c>
    </row>
    <row r="5128" spans="1:5">
      <c r="A5128">
        <v>2022</v>
      </c>
      <c r="B5128" s="3" t="s">
        <v>103</v>
      </c>
      <c r="C5128" t="s">
        <v>2421</v>
      </c>
      <c r="D5128" s="9">
        <v>14052</v>
      </c>
      <c r="E5128">
        <v>9.7999999999999993E-6</v>
      </c>
    </row>
    <row r="5129" spans="1:5">
      <c r="A5129">
        <v>2022</v>
      </c>
      <c r="B5129" s="3" t="s">
        <v>105</v>
      </c>
      <c r="C5129" t="s">
        <v>1601</v>
      </c>
      <c r="D5129" s="9">
        <v>215498</v>
      </c>
      <c r="E5129">
        <v>1.507E-4</v>
      </c>
    </row>
    <row r="5130" spans="1:5">
      <c r="A5130">
        <v>2022</v>
      </c>
      <c r="B5130" s="3" t="s">
        <v>166</v>
      </c>
      <c r="C5130" t="s">
        <v>1602</v>
      </c>
      <c r="D5130" s="9">
        <v>20590</v>
      </c>
      <c r="E5130">
        <v>1.4399999999999999E-5</v>
      </c>
    </row>
    <row r="5131" spans="1:5">
      <c r="A5131">
        <v>2022</v>
      </c>
      <c r="B5131" s="3" t="s">
        <v>86</v>
      </c>
      <c r="C5131" t="s">
        <v>1603</v>
      </c>
      <c r="D5131" s="9">
        <v>19738</v>
      </c>
      <c r="E5131">
        <v>1.38E-5</v>
      </c>
    </row>
    <row r="5132" spans="1:5">
      <c r="A5132">
        <v>2022</v>
      </c>
      <c r="B5132" s="3" t="s">
        <v>110</v>
      </c>
      <c r="C5132" t="s">
        <v>1604</v>
      </c>
      <c r="D5132" s="9">
        <v>113142</v>
      </c>
      <c r="E5132">
        <v>7.9099999999999998E-5</v>
      </c>
    </row>
    <row r="5133" spans="1:5">
      <c r="A5133">
        <v>2022</v>
      </c>
      <c r="B5133" s="3" t="s">
        <v>1409</v>
      </c>
      <c r="C5133" t="s">
        <v>1605</v>
      </c>
      <c r="D5133" s="9">
        <v>1014196</v>
      </c>
      <c r="E5133">
        <v>7.094E-4</v>
      </c>
    </row>
    <row r="5134" spans="1:5">
      <c r="A5134">
        <v>2022</v>
      </c>
      <c r="B5134" s="3" t="s">
        <v>195</v>
      </c>
      <c r="C5134" t="s">
        <v>1606</v>
      </c>
      <c r="D5134" s="9">
        <v>719546</v>
      </c>
      <c r="E5134">
        <v>5.0330000000000004E-4</v>
      </c>
    </row>
    <row r="5135" spans="1:5">
      <c r="A5135">
        <v>2022</v>
      </c>
      <c r="B5135" s="3" t="s">
        <v>218</v>
      </c>
      <c r="C5135" t="s">
        <v>1607</v>
      </c>
      <c r="D5135" s="9">
        <v>529152</v>
      </c>
      <c r="E5135">
        <v>3.701E-4</v>
      </c>
    </row>
    <row r="5136" spans="1:5">
      <c r="A5136">
        <v>2022</v>
      </c>
      <c r="B5136" s="3" t="s">
        <v>1410</v>
      </c>
      <c r="C5136" t="s">
        <v>243</v>
      </c>
      <c r="D5136" s="9">
        <v>88555</v>
      </c>
      <c r="E5136">
        <v>6.19E-5</v>
      </c>
    </row>
    <row r="5137" spans="1:5">
      <c r="A5137">
        <v>2022</v>
      </c>
      <c r="B5137" s="3" t="s">
        <v>1411</v>
      </c>
      <c r="C5137" t="s">
        <v>244</v>
      </c>
      <c r="D5137" s="9">
        <v>1140947</v>
      </c>
      <c r="E5137">
        <v>7.9799999999999999E-4</v>
      </c>
    </row>
    <row r="5138" spans="1:5">
      <c r="A5138">
        <v>2022</v>
      </c>
      <c r="B5138" s="3" t="s">
        <v>1394</v>
      </c>
      <c r="C5138" t="s">
        <v>1608</v>
      </c>
      <c r="D5138" s="9">
        <v>6846</v>
      </c>
      <c r="E5138">
        <v>4.7999999999999998E-6</v>
      </c>
    </row>
    <row r="5139" spans="1:5">
      <c r="A5139">
        <v>2022</v>
      </c>
      <c r="B5139" s="3" t="s">
        <v>1412</v>
      </c>
      <c r="C5139" t="s">
        <v>1609</v>
      </c>
      <c r="D5139" s="9">
        <v>3430124</v>
      </c>
      <c r="E5139">
        <v>2.3992000000000002E-3</v>
      </c>
    </row>
    <row r="5140" spans="1:5">
      <c r="A5140">
        <v>2022</v>
      </c>
      <c r="B5140" s="3" t="s">
        <v>1413</v>
      </c>
      <c r="C5140" t="s">
        <v>246</v>
      </c>
      <c r="D5140" s="9">
        <v>731340</v>
      </c>
      <c r="E5140">
        <v>5.1150000000000002E-4</v>
      </c>
    </row>
    <row r="5141" spans="1:5">
      <c r="A5141">
        <v>2022</v>
      </c>
      <c r="B5141" s="3" t="s">
        <v>1414</v>
      </c>
      <c r="C5141" t="s">
        <v>247</v>
      </c>
      <c r="D5141" s="9">
        <v>262843</v>
      </c>
      <c r="E5141">
        <v>1.838E-4</v>
      </c>
    </row>
    <row r="5142" spans="1:5">
      <c r="A5142">
        <v>2022</v>
      </c>
      <c r="B5142" s="3" t="s">
        <v>1415</v>
      </c>
      <c r="C5142" t="s">
        <v>248</v>
      </c>
      <c r="D5142" s="9">
        <v>54380801</v>
      </c>
      <c r="E5142">
        <v>3.8037300000000003E-2</v>
      </c>
    </row>
    <row r="5143" spans="1:5">
      <c r="A5143">
        <v>2022</v>
      </c>
      <c r="B5143" s="3" t="s">
        <v>1417</v>
      </c>
      <c r="C5143" t="s">
        <v>1610</v>
      </c>
      <c r="D5143" s="9">
        <v>32387</v>
      </c>
      <c r="E5143">
        <v>2.27E-5</v>
      </c>
    </row>
    <row r="5144" spans="1:5">
      <c r="A5144">
        <v>2022</v>
      </c>
      <c r="B5144" s="3" t="s">
        <v>1416</v>
      </c>
      <c r="C5144" t="s">
        <v>249</v>
      </c>
      <c r="D5144" s="9">
        <v>3669397</v>
      </c>
      <c r="E5144">
        <v>2.5666E-3</v>
      </c>
    </row>
    <row r="5145" spans="1:5">
      <c r="A5145">
        <v>2022</v>
      </c>
      <c r="B5145" s="3" t="s">
        <v>1418</v>
      </c>
      <c r="C5145" t="s">
        <v>1611</v>
      </c>
      <c r="D5145" s="9"/>
    </row>
    <row r="5146" spans="1:5">
      <c r="A5146">
        <v>2022</v>
      </c>
      <c r="B5146" s="3" t="s">
        <v>1419</v>
      </c>
      <c r="C5146" t="s">
        <v>252</v>
      </c>
      <c r="D5146" s="9">
        <v>3236692</v>
      </c>
      <c r="E5146">
        <v>2.2639000000000001E-3</v>
      </c>
    </row>
    <row r="5147" spans="1:5">
      <c r="A5147">
        <v>2022</v>
      </c>
      <c r="B5147" s="3" t="s">
        <v>1420</v>
      </c>
      <c r="C5147" t="s">
        <v>1612</v>
      </c>
      <c r="D5147" s="9">
        <v>236583</v>
      </c>
      <c r="E5147">
        <v>1.6550000000000001E-4</v>
      </c>
    </row>
    <row r="5148" spans="1:5">
      <c r="A5148">
        <v>2022</v>
      </c>
      <c r="B5148" s="3" t="s">
        <v>1015</v>
      </c>
      <c r="C5148" t="s">
        <v>1613</v>
      </c>
      <c r="D5148" s="9">
        <v>585221</v>
      </c>
      <c r="E5148">
        <v>4.0929999999999997E-4</v>
      </c>
    </row>
    <row r="5149" spans="1:5">
      <c r="A5149">
        <v>2022</v>
      </c>
      <c r="B5149" s="3" t="s">
        <v>1014</v>
      </c>
      <c r="C5149" t="s">
        <v>1614</v>
      </c>
      <c r="D5149" s="9"/>
    </row>
    <row r="5150" spans="1:5">
      <c r="A5150">
        <v>2022</v>
      </c>
      <c r="B5150" s="3" t="s">
        <v>1421</v>
      </c>
      <c r="C5150" t="s">
        <v>1615</v>
      </c>
      <c r="D5150" s="9">
        <v>38264</v>
      </c>
      <c r="E5150">
        <v>2.6800000000000001E-5</v>
      </c>
    </row>
    <row r="5151" spans="1:5">
      <c r="A5151">
        <v>2022</v>
      </c>
      <c r="B5151" s="3" t="s">
        <v>1422</v>
      </c>
      <c r="C5151" t="s">
        <v>1616</v>
      </c>
      <c r="D5151" s="9">
        <v>238849</v>
      </c>
      <c r="E5151">
        <v>1.671E-4</v>
      </c>
    </row>
    <row r="5152" spans="1:5">
      <c r="A5152">
        <v>2022</v>
      </c>
      <c r="B5152" s="3" t="s">
        <v>1423</v>
      </c>
      <c r="C5152" t="s">
        <v>256</v>
      </c>
      <c r="D5152" s="9">
        <v>4622242</v>
      </c>
      <c r="E5152">
        <v>3.2331E-3</v>
      </c>
    </row>
    <row r="5153" spans="1:5">
      <c r="A5153">
        <v>2022</v>
      </c>
      <c r="B5153" s="3" t="s">
        <v>1424</v>
      </c>
      <c r="C5153" t="s">
        <v>257</v>
      </c>
      <c r="D5153" s="9">
        <v>3882315</v>
      </c>
      <c r="E5153">
        <v>2.7155E-3</v>
      </c>
    </row>
    <row r="5154" spans="1:5">
      <c r="A5154">
        <v>2022</v>
      </c>
      <c r="B5154" s="3" t="s">
        <v>370</v>
      </c>
      <c r="C5154" t="s">
        <v>1617</v>
      </c>
      <c r="D5154" s="9">
        <v>3829183</v>
      </c>
      <c r="E5154">
        <v>2.6784000000000001E-3</v>
      </c>
    </row>
    <row r="5155" spans="1:5">
      <c r="A5155">
        <v>2022</v>
      </c>
      <c r="B5155" s="3" t="s">
        <v>1425</v>
      </c>
      <c r="C5155" t="s">
        <v>258</v>
      </c>
      <c r="D5155" s="9">
        <v>57967</v>
      </c>
      <c r="E5155">
        <v>4.0500000000000002E-5</v>
      </c>
    </row>
    <row r="5156" spans="1:5">
      <c r="A5156">
        <v>2022</v>
      </c>
      <c r="B5156" s="3" t="s">
        <v>1429</v>
      </c>
      <c r="C5156" t="s">
        <v>2422</v>
      </c>
      <c r="D5156" s="9">
        <v>1264533</v>
      </c>
      <c r="E5156">
        <v>8.8449999999999998E-4</v>
      </c>
    </row>
    <row r="5157" spans="1:5">
      <c r="A5157">
        <v>2022</v>
      </c>
      <c r="B5157" s="3" t="s">
        <v>1430</v>
      </c>
      <c r="C5157" t="s">
        <v>1619</v>
      </c>
      <c r="D5157" s="9">
        <v>464220</v>
      </c>
      <c r="E5157">
        <v>3.2469999999999998E-4</v>
      </c>
    </row>
    <row r="5158" spans="1:5">
      <c r="A5158">
        <v>2022</v>
      </c>
      <c r="B5158" s="3" t="s">
        <v>1431</v>
      </c>
      <c r="C5158" t="s">
        <v>264</v>
      </c>
      <c r="D5158" s="9">
        <v>384674</v>
      </c>
      <c r="E5158">
        <v>2.6909999999999998E-4</v>
      </c>
    </row>
    <row r="5159" spans="1:5">
      <c r="A5159">
        <v>2022</v>
      </c>
      <c r="B5159" s="3" t="s">
        <v>1432</v>
      </c>
      <c r="C5159" t="s">
        <v>265</v>
      </c>
      <c r="D5159" s="9">
        <v>383578</v>
      </c>
      <c r="E5159">
        <v>2.6830000000000002E-4</v>
      </c>
    </row>
    <row r="5160" spans="1:5">
      <c r="A5160">
        <v>2022</v>
      </c>
      <c r="B5160" s="3" t="s">
        <v>1433</v>
      </c>
      <c r="C5160" t="s">
        <v>266</v>
      </c>
      <c r="D5160" s="9">
        <v>242734</v>
      </c>
      <c r="E5160">
        <v>1.6980000000000001E-4</v>
      </c>
    </row>
    <row r="5161" spans="1:5">
      <c r="A5161">
        <v>2022</v>
      </c>
      <c r="B5161" s="3" t="s">
        <v>1434</v>
      </c>
      <c r="C5161" t="s">
        <v>1620</v>
      </c>
      <c r="D5161" s="9">
        <v>1730652</v>
      </c>
      <c r="E5161">
        <v>1.2105E-3</v>
      </c>
    </row>
    <row r="5162" spans="1:5">
      <c r="A5162">
        <v>2022</v>
      </c>
      <c r="B5162" s="3" t="s">
        <v>1435</v>
      </c>
      <c r="C5162" t="s">
        <v>2359</v>
      </c>
      <c r="D5162" s="9">
        <v>216887</v>
      </c>
      <c r="E5162">
        <v>1.517E-4</v>
      </c>
    </row>
    <row r="5163" spans="1:5">
      <c r="A5163">
        <v>2022</v>
      </c>
      <c r="B5163" s="3" t="s">
        <v>1436</v>
      </c>
      <c r="C5163" t="s">
        <v>269</v>
      </c>
      <c r="D5163" s="9">
        <v>227520</v>
      </c>
      <c r="E5163">
        <v>1.5909999999999999E-4</v>
      </c>
    </row>
    <row r="5164" spans="1:5">
      <c r="A5164">
        <v>2022</v>
      </c>
      <c r="B5164" s="3" t="s">
        <v>1437</v>
      </c>
      <c r="C5164" t="s">
        <v>270</v>
      </c>
      <c r="D5164" s="9">
        <v>1508493</v>
      </c>
      <c r="E5164">
        <v>1.0551E-3</v>
      </c>
    </row>
    <row r="5165" spans="1:5">
      <c r="A5165">
        <v>2022</v>
      </c>
      <c r="B5165" s="3" t="s">
        <v>1438</v>
      </c>
      <c r="C5165" t="s">
        <v>1622</v>
      </c>
      <c r="D5165" s="9">
        <v>990148</v>
      </c>
      <c r="E5165">
        <v>6.9260000000000003E-4</v>
      </c>
    </row>
    <row r="5166" spans="1:5">
      <c r="A5166">
        <v>2022</v>
      </c>
      <c r="B5166" s="3" t="s">
        <v>371</v>
      </c>
      <c r="C5166" t="s">
        <v>1623</v>
      </c>
      <c r="D5166" s="9">
        <v>283424</v>
      </c>
      <c r="E5166">
        <v>1.9819999999999999E-4</v>
      </c>
    </row>
    <row r="5167" spans="1:5">
      <c r="A5167">
        <v>2022</v>
      </c>
      <c r="B5167" s="3" t="s">
        <v>1439</v>
      </c>
      <c r="C5167" t="s">
        <v>1624</v>
      </c>
      <c r="D5167" s="9">
        <v>134089</v>
      </c>
      <c r="E5167">
        <v>9.3800000000000003E-5</v>
      </c>
    </row>
    <row r="5168" spans="1:5">
      <c r="A5168">
        <v>2022</v>
      </c>
      <c r="B5168" s="3" t="s">
        <v>1440</v>
      </c>
      <c r="C5168" t="s">
        <v>1625</v>
      </c>
      <c r="D5168" s="9">
        <v>490237</v>
      </c>
      <c r="E5168">
        <v>3.4289999999999999E-4</v>
      </c>
    </row>
    <row r="5169" spans="1:5">
      <c r="A5169">
        <v>2022</v>
      </c>
      <c r="B5169" s="3" t="s">
        <v>372</v>
      </c>
      <c r="C5169" t="s">
        <v>1626</v>
      </c>
      <c r="D5169" s="9">
        <v>223459</v>
      </c>
      <c r="E5169">
        <v>1.563E-4</v>
      </c>
    </row>
    <row r="5170" spans="1:5">
      <c r="A5170">
        <v>2022</v>
      </c>
      <c r="B5170" s="3" t="s">
        <v>1441</v>
      </c>
      <c r="C5170" t="s">
        <v>274</v>
      </c>
      <c r="D5170" s="9"/>
    </row>
    <row r="5171" spans="1:5">
      <c r="A5171">
        <v>2022</v>
      </c>
      <c r="B5171" s="3" t="s">
        <v>1442</v>
      </c>
      <c r="C5171" t="s">
        <v>1627</v>
      </c>
      <c r="D5171" s="9">
        <v>9624</v>
      </c>
      <c r="E5171">
        <v>6.7000000000000002E-6</v>
      </c>
    </row>
    <row r="5172" spans="1:5">
      <c r="A5172">
        <v>2022</v>
      </c>
      <c r="B5172" s="3" t="s">
        <v>1443</v>
      </c>
      <c r="C5172" t="s">
        <v>1628</v>
      </c>
      <c r="D5172" s="9">
        <v>1335382</v>
      </c>
      <c r="E5172">
        <v>9.3400000000000004E-4</v>
      </c>
    </row>
    <row r="5173" spans="1:5">
      <c r="A5173">
        <v>2022</v>
      </c>
      <c r="B5173" s="3" t="s">
        <v>332</v>
      </c>
      <c r="C5173" t="s">
        <v>1630</v>
      </c>
      <c r="D5173" s="9">
        <v>132181</v>
      </c>
      <c r="E5173">
        <v>9.2499999999999999E-5</v>
      </c>
    </row>
    <row r="5174" spans="1:5">
      <c r="A5174">
        <v>2022</v>
      </c>
      <c r="B5174" s="3" t="s">
        <v>333</v>
      </c>
      <c r="C5174" t="s">
        <v>1631</v>
      </c>
      <c r="D5174" s="9">
        <v>55210</v>
      </c>
      <c r="E5174">
        <v>3.8600000000000003E-5</v>
      </c>
    </row>
    <row r="5175" spans="1:5">
      <c r="A5175">
        <v>2022</v>
      </c>
      <c r="B5175" s="3" t="s">
        <v>334</v>
      </c>
      <c r="C5175" t="s">
        <v>1632</v>
      </c>
      <c r="D5175" s="9">
        <v>73699</v>
      </c>
      <c r="E5175">
        <v>5.1499999999999998E-5</v>
      </c>
    </row>
    <row r="5176" spans="1:5">
      <c r="A5176">
        <v>2022</v>
      </c>
      <c r="B5176" s="3" t="s">
        <v>335</v>
      </c>
      <c r="C5176" t="s">
        <v>1633</v>
      </c>
      <c r="D5176" s="9">
        <v>3696849</v>
      </c>
      <c r="E5176">
        <v>2.5858000000000001E-3</v>
      </c>
    </row>
    <row r="5177" spans="1:5">
      <c r="A5177">
        <v>2022</v>
      </c>
      <c r="B5177" s="3" t="s">
        <v>336</v>
      </c>
      <c r="C5177" t="s">
        <v>1634</v>
      </c>
      <c r="D5177" s="9">
        <v>3189214</v>
      </c>
      <c r="E5177">
        <v>2.2307E-3</v>
      </c>
    </row>
    <row r="5178" spans="1:5">
      <c r="A5178">
        <v>2022</v>
      </c>
      <c r="B5178" s="3" t="s">
        <v>337</v>
      </c>
      <c r="C5178" t="s">
        <v>283</v>
      </c>
      <c r="D5178" s="9">
        <v>251685</v>
      </c>
      <c r="E5178">
        <v>1.76E-4</v>
      </c>
    </row>
    <row r="5179" spans="1:5">
      <c r="A5179">
        <v>2022</v>
      </c>
      <c r="B5179" s="3" t="s">
        <v>338</v>
      </c>
      <c r="C5179" t="s">
        <v>1635</v>
      </c>
      <c r="D5179" s="9">
        <v>81733</v>
      </c>
      <c r="E5179">
        <v>5.7200000000000001E-5</v>
      </c>
    </row>
    <row r="5180" spans="1:5">
      <c r="A5180">
        <v>2022</v>
      </c>
      <c r="B5180" s="3" t="s">
        <v>373</v>
      </c>
      <c r="C5180" t="s">
        <v>1636</v>
      </c>
      <c r="D5180" s="9">
        <v>3527001</v>
      </c>
      <c r="E5180">
        <v>2.467E-3</v>
      </c>
    </row>
    <row r="5181" spans="1:5">
      <c r="A5181">
        <v>2022</v>
      </c>
      <c r="B5181" s="3" t="s">
        <v>339</v>
      </c>
      <c r="C5181" t="s">
        <v>1637</v>
      </c>
      <c r="D5181" s="9">
        <v>1422813</v>
      </c>
      <c r="E5181">
        <v>9.951999999999999E-4</v>
      </c>
    </row>
    <row r="5182" spans="1:5">
      <c r="A5182">
        <v>2022</v>
      </c>
      <c r="B5182" s="3" t="s">
        <v>340</v>
      </c>
      <c r="C5182" t="s">
        <v>286</v>
      </c>
      <c r="D5182" s="9">
        <v>147504</v>
      </c>
      <c r="E5182">
        <v>1.032E-4</v>
      </c>
    </row>
    <row r="5183" spans="1:5">
      <c r="A5183">
        <v>2022</v>
      </c>
      <c r="B5183" s="3" t="s">
        <v>342</v>
      </c>
      <c r="C5183" t="s">
        <v>1638</v>
      </c>
      <c r="D5183" s="9">
        <v>1104884</v>
      </c>
      <c r="E5183">
        <v>7.7280000000000003E-4</v>
      </c>
    </row>
    <row r="5184" spans="1:5">
      <c r="A5184">
        <v>2022</v>
      </c>
      <c r="B5184" s="3" t="s">
        <v>1219</v>
      </c>
      <c r="C5184" t="s">
        <v>1639</v>
      </c>
      <c r="D5184" s="9">
        <v>477960</v>
      </c>
      <c r="E5184">
        <v>3.3429999999999999E-4</v>
      </c>
    </row>
    <row r="5185" spans="1:5">
      <c r="A5185">
        <v>2022</v>
      </c>
      <c r="B5185" s="3" t="s">
        <v>343</v>
      </c>
      <c r="C5185" t="s">
        <v>1640</v>
      </c>
      <c r="D5185" s="9">
        <v>144703</v>
      </c>
      <c r="E5185">
        <v>1.0119999999999999E-4</v>
      </c>
    </row>
    <row r="5186" spans="1:5">
      <c r="A5186">
        <v>2022</v>
      </c>
      <c r="B5186" s="3" t="s">
        <v>344</v>
      </c>
      <c r="C5186" t="s">
        <v>290</v>
      </c>
      <c r="D5186" s="9">
        <v>66516</v>
      </c>
      <c r="E5186">
        <v>4.6499999999999999E-5</v>
      </c>
    </row>
    <row r="5187" spans="1:5">
      <c r="A5187">
        <v>2022</v>
      </c>
      <c r="B5187" s="3" t="s">
        <v>1220</v>
      </c>
      <c r="C5187" t="s">
        <v>1641</v>
      </c>
      <c r="D5187" s="9">
        <v>166618</v>
      </c>
      <c r="E5187">
        <v>1.165E-4</v>
      </c>
    </row>
    <row r="5188" spans="1:5">
      <c r="A5188">
        <v>2022</v>
      </c>
      <c r="B5188" s="3" t="s">
        <v>345</v>
      </c>
      <c r="C5188" t="s">
        <v>1642</v>
      </c>
      <c r="D5188" s="9">
        <v>72419</v>
      </c>
      <c r="E5188">
        <v>5.0699999999999999E-5</v>
      </c>
    </row>
    <row r="5189" spans="1:5">
      <c r="A5189">
        <v>2022</v>
      </c>
      <c r="B5189" s="3" t="s">
        <v>346</v>
      </c>
      <c r="C5189" t="s">
        <v>1643</v>
      </c>
      <c r="D5189" s="9">
        <v>12771484</v>
      </c>
      <c r="E5189">
        <v>8.9332000000000005E-3</v>
      </c>
    </row>
    <row r="5190" spans="1:5">
      <c r="A5190">
        <v>2022</v>
      </c>
      <c r="B5190" s="3" t="s">
        <v>347</v>
      </c>
      <c r="C5190" t="s">
        <v>1644</v>
      </c>
      <c r="D5190" s="9">
        <v>4409364</v>
      </c>
      <c r="E5190">
        <v>3.0842E-3</v>
      </c>
    </row>
    <row r="5191" spans="1:5">
      <c r="A5191">
        <v>2022</v>
      </c>
      <c r="B5191" s="3" t="s">
        <v>348</v>
      </c>
      <c r="C5191" t="s">
        <v>1645</v>
      </c>
      <c r="D5191" s="9">
        <v>2193550</v>
      </c>
      <c r="E5191">
        <v>1.5342999999999999E-3</v>
      </c>
    </row>
    <row r="5192" spans="1:5">
      <c r="A5192">
        <v>2022</v>
      </c>
      <c r="B5192" s="3" t="s">
        <v>374</v>
      </c>
      <c r="C5192" t="s">
        <v>1646</v>
      </c>
      <c r="D5192" s="9">
        <v>1823737</v>
      </c>
      <c r="E5192">
        <v>1.2756E-3</v>
      </c>
    </row>
    <row r="5193" spans="1:5">
      <c r="A5193">
        <v>2022</v>
      </c>
      <c r="B5193" s="3" t="s">
        <v>349</v>
      </c>
      <c r="C5193" t="s">
        <v>1647</v>
      </c>
      <c r="D5193" s="9">
        <v>3243082</v>
      </c>
      <c r="E5193">
        <v>2.2683999999999998E-3</v>
      </c>
    </row>
    <row r="5194" spans="1:5">
      <c r="A5194">
        <v>2022</v>
      </c>
      <c r="B5194" s="3" t="s">
        <v>350</v>
      </c>
      <c r="C5194" t="s">
        <v>1648</v>
      </c>
      <c r="D5194" s="9">
        <v>2935068</v>
      </c>
      <c r="E5194">
        <v>2.0530000000000001E-3</v>
      </c>
    </row>
    <row r="5195" spans="1:5">
      <c r="A5195">
        <v>2022</v>
      </c>
      <c r="B5195" s="3" t="s">
        <v>1221</v>
      </c>
      <c r="C5195" t="s">
        <v>1649</v>
      </c>
      <c r="D5195" s="9">
        <v>389363</v>
      </c>
      <c r="E5195">
        <v>2.7230000000000001E-4</v>
      </c>
    </row>
    <row r="5196" spans="1:5">
      <c r="A5196">
        <v>2022</v>
      </c>
      <c r="B5196" s="3" t="s">
        <v>351</v>
      </c>
      <c r="C5196" t="s">
        <v>297</v>
      </c>
      <c r="D5196" s="9">
        <v>27403</v>
      </c>
      <c r="E5196">
        <v>1.9199999999999999E-5</v>
      </c>
    </row>
    <row r="5197" spans="1:5">
      <c r="A5197">
        <v>2022</v>
      </c>
      <c r="B5197" s="3" t="s">
        <v>352</v>
      </c>
      <c r="C5197" t="s">
        <v>2398</v>
      </c>
      <c r="D5197" s="9">
        <v>195740</v>
      </c>
      <c r="E5197">
        <v>1.3689999999999999E-4</v>
      </c>
    </row>
    <row r="5198" spans="1:5">
      <c r="A5198">
        <v>2022</v>
      </c>
      <c r="B5198" s="3" t="s">
        <v>353</v>
      </c>
      <c r="C5198" t="s">
        <v>1650</v>
      </c>
      <c r="D5198" s="9">
        <v>48118</v>
      </c>
      <c r="E5198">
        <v>3.3699999999999999E-5</v>
      </c>
    </row>
    <row r="5199" spans="1:5">
      <c r="A5199">
        <v>2022</v>
      </c>
      <c r="B5199" s="3" t="s">
        <v>354</v>
      </c>
      <c r="C5199" t="s">
        <v>300</v>
      </c>
      <c r="D5199" s="9">
        <v>2757811</v>
      </c>
      <c r="E5199">
        <v>1.9289999999999999E-3</v>
      </c>
    </row>
    <row r="5200" spans="1:5">
      <c r="A5200">
        <v>2022</v>
      </c>
      <c r="B5200" s="3" t="s">
        <v>1659</v>
      </c>
      <c r="C5200" t="s">
        <v>1651</v>
      </c>
      <c r="D5200" s="9">
        <v>260579</v>
      </c>
      <c r="E5200">
        <v>1.8230000000000001E-4</v>
      </c>
    </row>
    <row r="5201" spans="1:5">
      <c r="A5201">
        <v>2022</v>
      </c>
      <c r="B5201" s="3" t="s">
        <v>355</v>
      </c>
      <c r="C5201" t="s">
        <v>2423</v>
      </c>
      <c r="D5201" s="9">
        <v>446909</v>
      </c>
      <c r="E5201">
        <v>3.1260000000000001E-4</v>
      </c>
    </row>
    <row r="5202" spans="1:5">
      <c r="A5202">
        <v>2022</v>
      </c>
      <c r="B5202" s="3" t="s">
        <v>356</v>
      </c>
      <c r="C5202" t="s">
        <v>1444</v>
      </c>
      <c r="D5202" s="9">
        <v>6739546</v>
      </c>
      <c r="E5202">
        <v>4.7140999999999997E-3</v>
      </c>
    </row>
    <row r="5203" spans="1:5">
      <c r="A5203">
        <v>2022</v>
      </c>
      <c r="B5203" s="3" t="s">
        <v>357</v>
      </c>
      <c r="C5203" t="s">
        <v>2424</v>
      </c>
      <c r="D5203" s="9">
        <v>224664</v>
      </c>
      <c r="E5203">
        <v>1.571E-4</v>
      </c>
    </row>
    <row r="5204" spans="1:5">
      <c r="A5204">
        <v>2022</v>
      </c>
      <c r="B5204" s="3" t="s">
        <v>358</v>
      </c>
      <c r="C5204" t="s">
        <v>304</v>
      </c>
      <c r="D5204" s="9"/>
    </row>
    <row r="5205" spans="1:5">
      <c r="A5205">
        <v>2022</v>
      </c>
      <c r="B5205" s="3" t="s">
        <v>359</v>
      </c>
      <c r="C5205" t="s">
        <v>305</v>
      </c>
      <c r="D5205" s="9">
        <v>260774</v>
      </c>
      <c r="E5205">
        <v>1.8239999999999999E-4</v>
      </c>
    </row>
    <row r="5206" spans="1:5">
      <c r="A5206">
        <v>2022</v>
      </c>
      <c r="B5206" s="3" t="s">
        <v>360</v>
      </c>
      <c r="C5206" t="s">
        <v>1653</v>
      </c>
      <c r="D5206" s="9">
        <v>33754240</v>
      </c>
      <c r="E5206">
        <v>2.36098E-2</v>
      </c>
    </row>
    <row r="5207" spans="1:5">
      <c r="A5207">
        <v>2022</v>
      </c>
      <c r="B5207" s="3" t="s">
        <v>375</v>
      </c>
      <c r="C5207" t="s">
        <v>1654</v>
      </c>
      <c r="D5207" s="9">
        <v>9646201</v>
      </c>
      <c r="E5207">
        <v>6.7470999999999998E-3</v>
      </c>
    </row>
    <row r="5208" spans="1:5">
      <c r="A5208">
        <v>2022</v>
      </c>
      <c r="B5208" s="3" t="s">
        <v>361</v>
      </c>
      <c r="C5208" t="s">
        <v>1655</v>
      </c>
      <c r="D5208" s="9">
        <v>204905</v>
      </c>
      <c r="E5208">
        <v>1.4329999999999999E-4</v>
      </c>
    </row>
    <row r="5209" spans="1:5">
      <c r="A5209">
        <v>2022</v>
      </c>
      <c r="B5209" s="3" t="s">
        <v>362</v>
      </c>
      <c r="C5209" t="s">
        <v>1656</v>
      </c>
      <c r="D5209" s="9">
        <v>9319</v>
      </c>
      <c r="E5209">
        <v>6.4999999999999996E-6</v>
      </c>
    </row>
    <row r="5210" spans="1:5">
      <c r="A5210">
        <v>2022</v>
      </c>
      <c r="B5210" s="3" t="s">
        <v>363</v>
      </c>
      <c r="C5210" t="s">
        <v>1657</v>
      </c>
      <c r="D5210" s="9">
        <v>3539715</v>
      </c>
      <c r="E5210">
        <v>2.4759000000000001E-3</v>
      </c>
    </row>
    <row r="5211" spans="1:5">
      <c r="A5211">
        <v>2022</v>
      </c>
      <c r="B5211" s="3" t="s">
        <v>364</v>
      </c>
      <c r="C5211" t="s">
        <v>310</v>
      </c>
      <c r="D5211" s="9"/>
    </row>
    <row r="5212" spans="1:5">
      <c r="A5212">
        <v>2022</v>
      </c>
      <c r="B5212" s="3" t="s">
        <v>365</v>
      </c>
      <c r="C5212" t="s">
        <v>1658</v>
      </c>
      <c r="D5212" s="9">
        <v>1370859</v>
      </c>
      <c r="E5212">
        <v>9.5890000000000005E-4</v>
      </c>
    </row>
    <row r="5213" spans="1:5">
      <c r="A5213">
        <v>2022</v>
      </c>
      <c r="B5213" s="3" t="s">
        <v>1222</v>
      </c>
      <c r="C5213" t="s">
        <v>1660</v>
      </c>
      <c r="D5213" s="9">
        <v>488768</v>
      </c>
      <c r="E5213">
        <v>3.4190000000000002E-4</v>
      </c>
    </row>
    <row r="5214" spans="1:5">
      <c r="A5214">
        <v>2022</v>
      </c>
      <c r="B5214" s="3" t="s">
        <v>366</v>
      </c>
      <c r="C5214" t="s">
        <v>312</v>
      </c>
      <c r="D5214" s="9">
        <v>5573</v>
      </c>
      <c r="E5214">
        <v>3.8999999999999999E-6</v>
      </c>
    </row>
    <row r="5215" spans="1:5">
      <c r="A5215">
        <v>2022</v>
      </c>
      <c r="B5215" s="3" t="s">
        <v>367</v>
      </c>
      <c r="C5215" t="s">
        <v>313</v>
      </c>
      <c r="D5215" s="9">
        <v>74389</v>
      </c>
      <c r="E5215">
        <v>5.1999999999999997E-5</v>
      </c>
    </row>
    <row r="5216" spans="1:5">
      <c r="A5216">
        <v>2022</v>
      </c>
      <c r="B5216" s="3" t="s">
        <v>368</v>
      </c>
      <c r="C5216" t="s">
        <v>1661</v>
      </c>
      <c r="D5216" s="9">
        <v>274008</v>
      </c>
      <c r="E5216">
        <v>1.917E-4</v>
      </c>
    </row>
    <row r="5217" spans="1:5">
      <c r="A5217">
        <v>2022</v>
      </c>
      <c r="B5217" s="3" t="s">
        <v>1223</v>
      </c>
      <c r="C5217" t="s">
        <v>1662</v>
      </c>
      <c r="D5217" s="9">
        <v>162293</v>
      </c>
      <c r="E5217">
        <v>1.1349999999999999E-4</v>
      </c>
    </row>
    <row r="5218" spans="1:5">
      <c r="A5218">
        <v>2022</v>
      </c>
      <c r="B5218" s="3" t="s">
        <v>468</v>
      </c>
      <c r="C5218" t="s">
        <v>1663</v>
      </c>
      <c r="D5218" s="9">
        <v>294155</v>
      </c>
      <c r="E5218">
        <v>2.0579999999999999E-4</v>
      </c>
    </row>
    <row r="5219" spans="1:5">
      <c r="A5219">
        <v>2022</v>
      </c>
      <c r="B5219" s="3" t="s">
        <v>1224</v>
      </c>
      <c r="C5219" t="s">
        <v>1665</v>
      </c>
      <c r="D5219" s="9">
        <v>99041</v>
      </c>
      <c r="E5219">
        <v>6.9300000000000004E-5</v>
      </c>
    </row>
    <row r="5220" spans="1:5">
      <c r="A5220">
        <v>2022</v>
      </c>
      <c r="B5220" s="3" t="s">
        <v>470</v>
      </c>
      <c r="C5220" t="s">
        <v>2361</v>
      </c>
      <c r="D5220" s="9">
        <v>30968</v>
      </c>
      <c r="E5220">
        <v>2.1699999999999999E-5</v>
      </c>
    </row>
    <row r="5221" spans="1:5">
      <c r="A5221">
        <v>2022</v>
      </c>
      <c r="B5221" s="3" t="s">
        <v>471</v>
      </c>
      <c r="C5221" t="s">
        <v>416</v>
      </c>
      <c r="D5221" s="9">
        <v>2448603</v>
      </c>
      <c r="E5221">
        <v>1.7126999999999999E-3</v>
      </c>
    </row>
    <row r="5222" spans="1:5">
      <c r="A5222">
        <v>2022</v>
      </c>
      <c r="B5222" s="3" t="s">
        <v>472</v>
      </c>
      <c r="C5222" t="s">
        <v>417</v>
      </c>
      <c r="D5222" s="9">
        <v>3489007</v>
      </c>
      <c r="E5222">
        <v>2.4404000000000001E-3</v>
      </c>
    </row>
    <row r="5223" spans="1:5">
      <c r="A5223">
        <v>2022</v>
      </c>
      <c r="B5223" s="3" t="s">
        <v>474</v>
      </c>
      <c r="C5223" t="s">
        <v>1666</v>
      </c>
      <c r="D5223" s="9">
        <v>110547</v>
      </c>
      <c r="E5223">
        <v>7.7299999999999995E-5</v>
      </c>
    </row>
    <row r="5224" spans="1:5">
      <c r="A5224">
        <v>2022</v>
      </c>
      <c r="B5224" s="3" t="s">
        <v>475</v>
      </c>
      <c r="C5224" t="s">
        <v>1667</v>
      </c>
      <c r="D5224" s="9">
        <v>27843</v>
      </c>
      <c r="E5224">
        <v>1.95E-5</v>
      </c>
    </row>
    <row r="5225" spans="1:5">
      <c r="A5225">
        <v>2022</v>
      </c>
      <c r="B5225" s="3" t="s">
        <v>476</v>
      </c>
      <c r="C5225" t="s">
        <v>421</v>
      </c>
      <c r="D5225" s="9">
        <v>5348546</v>
      </c>
      <c r="E5225">
        <v>3.7410999999999998E-3</v>
      </c>
    </row>
    <row r="5226" spans="1:5">
      <c r="A5226">
        <v>2022</v>
      </c>
      <c r="B5226" s="3" t="s">
        <v>477</v>
      </c>
      <c r="C5226" t="s">
        <v>422</v>
      </c>
      <c r="D5226" s="9">
        <v>1166116</v>
      </c>
      <c r="E5226">
        <v>8.1570000000000004E-4</v>
      </c>
    </row>
    <row r="5227" spans="1:5">
      <c r="A5227">
        <v>2022</v>
      </c>
      <c r="B5227" s="3" t="s">
        <v>478</v>
      </c>
      <c r="C5227" t="s">
        <v>2362</v>
      </c>
      <c r="D5227" s="9">
        <v>164179</v>
      </c>
      <c r="E5227">
        <v>1.148E-4</v>
      </c>
    </row>
    <row r="5228" spans="1:5">
      <c r="A5228">
        <v>2022</v>
      </c>
      <c r="B5228" s="3" t="s">
        <v>479</v>
      </c>
      <c r="C5228" t="s">
        <v>1669</v>
      </c>
      <c r="D5228" s="9">
        <v>470084</v>
      </c>
      <c r="E5228">
        <v>3.2880000000000002E-4</v>
      </c>
    </row>
    <row r="5229" spans="1:5">
      <c r="A5229">
        <v>2022</v>
      </c>
      <c r="B5229" s="3" t="s">
        <v>480</v>
      </c>
      <c r="C5229" t="s">
        <v>1670</v>
      </c>
      <c r="D5229" s="9">
        <v>62511</v>
      </c>
      <c r="E5229">
        <v>4.3699999999999998E-5</v>
      </c>
    </row>
    <row r="5230" spans="1:5">
      <c r="A5230">
        <v>2022</v>
      </c>
      <c r="B5230" s="3" t="s">
        <v>481</v>
      </c>
      <c r="C5230" t="s">
        <v>1671</v>
      </c>
      <c r="D5230" s="9">
        <v>870987</v>
      </c>
      <c r="E5230">
        <v>6.0919999999999995E-4</v>
      </c>
    </row>
    <row r="5231" spans="1:5">
      <c r="A5231">
        <v>2022</v>
      </c>
      <c r="B5231" s="3" t="s">
        <v>482</v>
      </c>
      <c r="C5231" t="s">
        <v>1672</v>
      </c>
      <c r="D5231" s="9">
        <v>201095</v>
      </c>
      <c r="E5231">
        <v>1.407E-4</v>
      </c>
    </row>
    <row r="5232" spans="1:5">
      <c r="A5232">
        <v>2022</v>
      </c>
      <c r="B5232" s="3" t="s">
        <v>483</v>
      </c>
      <c r="C5232" t="s">
        <v>1673</v>
      </c>
      <c r="D5232" s="9">
        <v>160972</v>
      </c>
      <c r="E5232">
        <v>1.126E-4</v>
      </c>
    </row>
    <row r="5233" spans="1:5">
      <c r="A5233">
        <v>2022</v>
      </c>
      <c r="B5233" s="3" t="s">
        <v>484</v>
      </c>
      <c r="C5233" t="s">
        <v>1674</v>
      </c>
      <c r="D5233" s="9">
        <v>483557</v>
      </c>
      <c r="E5233">
        <v>3.3819999999999998E-4</v>
      </c>
    </row>
    <row r="5234" spans="1:5">
      <c r="A5234">
        <v>2022</v>
      </c>
      <c r="B5234" s="3" t="s">
        <v>485</v>
      </c>
      <c r="C5234" t="s">
        <v>1675</v>
      </c>
      <c r="D5234" s="9">
        <v>1665315</v>
      </c>
      <c r="E5234">
        <v>1.1647999999999999E-3</v>
      </c>
    </row>
    <row r="5235" spans="1:5">
      <c r="A5235">
        <v>2022</v>
      </c>
      <c r="B5235" s="3" t="s">
        <v>376</v>
      </c>
      <c r="C5235" t="s">
        <v>1676</v>
      </c>
      <c r="D5235" s="9">
        <v>540487</v>
      </c>
      <c r="E5235">
        <v>3.7809999999999997E-4</v>
      </c>
    </row>
    <row r="5236" spans="1:5">
      <c r="A5236">
        <v>2022</v>
      </c>
      <c r="B5236" s="3" t="s">
        <v>1690</v>
      </c>
      <c r="C5236" t="s">
        <v>1677</v>
      </c>
      <c r="D5236" s="9"/>
    </row>
    <row r="5237" spans="1:5">
      <c r="A5237">
        <v>2022</v>
      </c>
      <c r="B5237" s="3" t="s">
        <v>2365</v>
      </c>
      <c r="C5237" t="s">
        <v>2363</v>
      </c>
      <c r="D5237" s="9">
        <v>48762</v>
      </c>
      <c r="E5237">
        <v>3.4100000000000002E-5</v>
      </c>
    </row>
    <row r="5238" spans="1:5">
      <c r="A5238">
        <v>2022</v>
      </c>
      <c r="B5238" s="3" t="s">
        <v>377</v>
      </c>
      <c r="C5238" t="s">
        <v>1678</v>
      </c>
      <c r="D5238" s="9">
        <v>1039383</v>
      </c>
      <c r="E5238">
        <v>7.27E-4</v>
      </c>
    </row>
    <row r="5239" spans="1:5">
      <c r="A5239">
        <v>2022</v>
      </c>
      <c r="B5239" s="3" t="s">
        <v>486</v>
      </c>
      <c r="C5239" t="s">
        <v>1679</v>
      </c>
      <c r="D5239" s="9">
        <v>1292483</v>
      </c>
      <c r="E5239">
        <v>9.0399999999999996E-4</v>
      </c>
    </row>
    <row r="5240" spans="1:5">
      <c r="A5240">
        <v>2022</v>
      </c>
      <c r="B5240" s="3" t="s">
        <v>487</v>
      </c>
      <c r="C5240" t="s">
        <v>432</v>
      </c>
      <c r="D5240" s="9"/>
    </row>
    <row r="5241" spans="1:5">
      <c r="A5241">
        <v>2022</v>
      </c>
      <c r="B5241" s="3" t="s">
        <v>488</v>
      </c>
      <c r="C5241" t="s">
        <v>1680</v>
      </c>
      <c r="D5241" s="9">
        <v>200190</v>
      </c>
      <c r="E5241">
        <v>1.3999999999999999E-4</v>
      </c>
    </row>
    <row r="5242" spans="1:5">
      <c r="A5242">
        <v>2022</v>
      </c>
      <c r="B5242" s="3" t="s">
        <v>489</v>
      </c>
      <c r="C5242" t="s">
        <v>434</v>
      </c>
      <c r="D5242" s="9">
        <v>71543</v>
      </c>
      <c r="E5242">
        <v>5.0000000000000002E-5</v>
      </c>
    </row>
    <row r="5243" spans="1:5">
      <c r="A5243">
        <v>2022</v>
      </c>
      <c r="B5243" s="3" t="s">
        <v>490</v>
      </c>
      <c r="C5243" t="s">
        <v>1681</v>
      </c>
      <c r="D5243" s="9">
        <v>3585713</v>
      </c>
      <c r="E5243">
        <v>2.5081000000000001E-3</v>
      </c>
    </row>
    <row r="5244" spans="1:5">
      <c r="A5244">
        <v>2022</v>
      </c>
      <c r="B5244" s="3" t="s">
        <v>491</v>
      </c>
      <c r="C5244" t="s">
        <v>1682</v>
      </c>
      <c r="D5244" s="9">
        <v>4178067</v>
      </c>
      <c r="E5244">
        <v>2.9223999999999999E-3</v>
      </c>
    </row>
    <row r="5245" spans="1:5">
      <c r="A5245">
        <v>2022</v>
      </c>
      <c r="B5245" s="3" t="s">
        <v>492</v>
      </c>
      <c r="C5245" t="s">
        <v>1683</v>
      </c>
      <c r="D5245" s="9">
        <v>9320</v>
      </c>
      <c r="E5245">
        <v>6.4999999999999996E-6</v>
      </c>
    </row>
    <row r="5246" spans="1:5">
      <c r="A5246">
        <v>2022</v>
      </c>
      <c r="B5246" s="3" t="s">
        <v>493</v>
      </c>
      <c r="C5246" t="s">
        <v>1684</v>
      </c>
      <c r="D5246" s="9">
        <v>23456</v>
      </c>
      <c r="E5246">
        <v>1.6399999999999999E-5</v>
      </c>
    </row>
    <row r="5247" spans="1:5">
      <c r="A5247">
        <v>2022</v>
      </c>
      <c r="B5247" s="3" t="s">
        <v>494</v>
      </c>
      <c r="C5247" t="s">
        <v>1685</v>
      </c>
      <c r="D5247" s="9"/>
    </row>
    <row r="5248" spans="1:5" ht="17" customHeight="1">
      <c r="A5248">
        <v>2022</v>
      </c>
      <c r="B5248" s="3" t="s">
        <v>550</v>
      </c>
      <c r="C5248" t="s">
        <v>1686</v>
      </c>
      <c r="D5248" s="9">
        <v>49293</v>
      </c>
      <c r="E5248">
        <v>3.4499999999999998E-5</v>
      </c>
    </row>
    <row r="5249" spans="1:5">
      <c r="A5249">
        <v>2022</v>
      </c>
      <c r="B5249" s="3" t="s">
        <v>551</v>
      </c>
      <c r="C5249" t="s">
        <v>1687</v>
      </c>
      <c r="D5249" s="9">
        <v>113482</v>
      </c>
      <c r="E5249">
        <v>7.9400000000000006E-5</v>
      </c>
    </row>
    <row r="5250" spans="1:5">
      <c r="A5250">
        <v>2022</v>
      </c>
      <c r="B5250" s="3" t="s">
        <v>552</v>
      </c>
      <c r="C5250" t="s">
        <v>1688</v>
      </c>
      <c r="D5250" s="9">
        <v>22349628</v>
      </c>
      <c r="E5250">
        <v>1.5632699999999999E-2</v>
      </c>
    </row>
    <row r="5251" spans="1:5">
      <c r="A5251">
        <v>2022</v>
      </c>
      <c r="B5251" s="3" t="s">
        <v>553</v>
      </c>
      <c r="C5251" t="s">
        <v>498</v>
      </c>
      <c r="D5251" s="9">
        <v>45520</v>
      </c>
      <c r="E5251">
        <v>3.18E-5</v>
      </c>
    </row>
    <row r="5252" spans="1:5">
      <c r="A5252">
        <v>2022</v>
      </c>
      <c r="B5252" s="3" t="s">
        <v>554</v>
      </c>
      <c r="C5252" t="s">
        <v>499</v>
      </c>
      <c r="D5252" s="9"/>
    </row>
    <row r="5253" spans="1:5">
      <c r="A5253">
        <v>2022</v>
      </c>
      <c r="B5253" s="3" t="s">
        <v>555</v>
      </c>
      <c r="C5253" t="s">
        <v>500</v>
      </c>
      <c r="D5253" s="9">
        <v>251268</v>
      </c>
      <c r="E5253">
        <v>1.7579999999999999E-4</v>
      </c>
    </row>
    <row r="5254" spans="1:5">
      <c r="A5254">
        <v>2022</v>
      </c>
      <c r="B5254" s="3" t="s">
        <v>556</v>
      </c>
      <c r="C5254" t="s">
        <v>501</v>
      </c>
      <c r="D5254" s="9"/>
    </row>
    <row r="5255" spans="1:5">
      <c r="A5255">
        <v>2022</v>
      </c>
      <c r="B5255" s="3" t="s">
        <v>557</v>
      </c>
      <c r="C5255" t="s">
        <v>502</v>
      </c>
      <c r="D5255" s="9">
        <v>72171</v>
      </c>
      <c r="E5255">
        <v>5.0500000000000001E-5</v>
      </c>
    </row>
    <row r="5256" spans="1:5">
      <c r="A5256">
        <v>2022</v>
      </c>
      <c r="B5256" s="3" t="s">
        <v>558</v>
      </c>
      <c r="C5256" t="s">
        <v>1691</v>
      </c>
      <c r="D5256" s="9">
        <v>29715</v>
      </c>
      <c r="E5256">
        <v>2.0800000000000001E-5</v>
      </c>
    </row>
    <row r="5257" spans="1:5">
      <c r="A5257">
        <v>2022</v>
      </c>
      <c r="B5257" s="3" t="s">
        <v>559</v>
      </c>
      <c r="C5257" t="s">
        <v>1692</v>
      </c>
      <c r="D5257" s="9">
        <v>2446068</v>
      </c>
      <c r="E5257">
        <v>1.7109E-3</v>
      </c>
    </row>
    <row r="5258" spans="1:5">
      <c r="A5258">
        <v>2022</v>
      </c>
      <c r="B5258" s="3" t="s">
        <v>378</v>
      </c>
      <c r="C5258" t="s">
        <v>1693</v>
      </c>
      <c r="D5258" s="9">
        <v>633061</v>
      </c>
      <c r="E5258">
        <v>4.4279999999999998E-4</v>
      </c>
    </row>
    <row r="5259" spans="1:5">
      <c r="A5259">
        <v>2022</v>
      </c>
      <c r="B5259" s="3" t="s">
        <v>560</v>
      </c>
      <c r="C5259" t="s">
        <v>505</v>
      </c>
      <c r="D5259" s="9">
        <v>146114</v>
      </c>
      <c r="E5259">
        <v>1.022E-4</v>
      </c>
    </row>
    <row r="5260" spans="1:5">
      <c r="A5260">
        <v>2022</v>
      </c>
      <c r="B5260" s="3" t="s">
        <v>561</v>
      </c>
      <c r="C5260" t="s">
        <v>1694</v>
      </c>
      <c r="D5260" s="9">
        <v>294296</v>
      </c>
      <c r="E5260">
        <v>2.0579999999999999E-4</v>
      </c>
    </row>
    <row r="5261" spans="1:5">
      <c r="A5261">
        <v>2022</v>
      </c>
      <c r="B5261" s="3" t="s">
        <v>1225</v>
      </c>
      <c r="C5261" t="s">
        <v>1695</v>
      </c>
      <c r="D5261" s="9">
        <v>24242</v>
      </c>
      <c r="E5261">
        <v>1.7E-5</v>
      </c>
    </row>
    <row r="5262" spans="1:5">
      <c r="A5262">
        <v>2022</v>
      </c>
      <c r="B5262" s="3" t="s">
        <v>562</v>
      </c>
      <c r="C5262" t="s">
        <v>2367</v>
      </c>
      <c r="D5262" s="9">
        <v>16213564</v>
      </c>
      <c r="E5262">
        <v>1.13408E-2</v>
      </c>
    </row>
    <row r="5263" spans="1:5">
      <c r="A5263">
        <v>2022</v>
      </c>
      <c r="B5263" s="3" t="s">
        <v>1226</v>
      </c>
      <c r="C5263" t="s">
        <v>1697</v>
      </c>
      <c r="D5263" s="9">
        <v>143577</v>
      </c>
      <c r="E5263">
        <v>1.004E-4</v>
      </c>
    </row>
    <row r="5264" spans="1:5">
      <c r="A5264">
        <v>2022</v>
      </c>
      <c r="B5264" s="3" t="s">
        <v>563</v>
      </c>
      <c r="C5264" t="s">
        <v>1698</v>
      </c>
      <c r="D5264" s="9"/>
    </row>
    <row r="5265" spans="1:5">
      <c r="A5265">
        <v>2022</v>
      </c>
      <c r="B5265" s="3" t="s">
        <v>564</v>
      </c>
      <c r="C5265" t="s">
        <v>509</v>
      </c>
      <c r="D5265" s="9">
        <v>1759533</v>
      </c>
      <c r="E5265">
        <v>1.2306999999999999E-3</v>
      </c>
    </row>
    <row r="5266" spans="1:5">
      <c r="A5266">
        <v>2022</v>
      </c>
      <c r="B5266" s="3" t="s">
        <v>565</v>
      </c>
      <c r="C5266" t="s">
        <v>510</v>
      </c>
      <c r="D5266" s="9">
        <v>2268412</v>
      </c>
      <c r="E5266">
        <v>1.5866999999999999E-3</v>
      </c>
    </row>
    <row r="5267" spans="1:5">
      <c r="A5267">
        <v>2022</v>
      </c>
      <c r="B5267" s="3" t="s">
        <v>566</v>
      </c>
      <c r="C5267" t="s">
        <v>1699</v>
      </c>
      <c r="D5267" s="9">
        <v>144302</v>
      </c>
      <c r="E5267">
        <v>1.009E-4</v>
      </c>
    </row>
    <row r="5268" spans="1:5">
      <c r="A5268">
        <v>2022</v>
      </c>
      <c r="B5268" s="3" t="s">
        <v>2400</v>
      </c>
      <c r="C5268" t="s">
        <v>2399</v>
      </c>
      <c r="D5268" s="9">
        <v>151106</v>
      </c>
      <c r="E5268">
        <v>1.0569999999999999E-4</v>
      </c>
    </row>
    <row r="5269" spans="1:5">
      <c r="A5269">
        <v>2022</v>
      </c>
      <c r="B5269" s="3" t="s">
        <v>569</v>
      </c>
      <c r="C5269" t="s">
        <v>1446</v>
      </c>
      <c r="D5269" s="9">
        <v>212694</v>
      </c>
      <c r="E5269">
        <v>1.4880000000000001E-4</v>
      </c>
    </row>
    <row r="5270" spans="1:5">
      <c r="A5270">
        <v>2022</v>
      </c>
      <c r="B5270" s="3" t="s">
        <v>567</v>
      </c>
      <c r="C5270" t="s">
        <v>1700</v>
      </c>
      <c r="D5270" s="9">
        <v>117009</v>
      </c>
      <c r="E5270">
        <v>8.1799999999999996E-5</v>
      </c>
    </row>
    <row r="5271" spans="1:5">
      <c r="A5271">
        <v>2022</v>
      </c>
      <c r="B5271" s="3" t="s">
        <v>568</v>
      </c>
      <c r="C5271" t="s">
        <v>2446</v>
      </c>
      <c r="D5271" s="9">
        <v>190808</v>
      </c>
      <c r="E5271">
        <v>1.3349999999999999E-4</v>
      </c>
    </row>
    <row r="5272" spans="1:5">
      <c r="A5272">
        <v>2022</v>
      </c>
      <c r="B5272" s="3" t="s">
        <v>570</v>
      </c>
      <c r="C5272" t="s">
        <v>515</v>
      </c>
      <c r="D5272" s="9">
        <v>414740</v>
      </c>
      <c r="E5272">
        <v>2.901E-4</v>
      </c>
    </row>
    <row r="5273" spans="1:5">
      <c r="A5273">
        <v>2022</v>
      </c>
      <c r="B5273" s="3" t="s">
        <v>571</v>
      </c>
      <c r="C5273" t="s">
        <v>516</v>
      </c>
      <c r="D5273" s="9">
        <v>1162536</v>
      </c>
      <c r="E5273">
        <v>8.1309999999999998E-4</v>
      </c>
    </row>
    <row r="5274" spans="1:5">
      <c r="A5274">
        <v>2022</v>
      </c>
      <c r="B5274" s="3" t="s">
        <v>572</v>
      </c>
      <c r="C5274" t="s">
        <v>517</v>
      </c>
      <c r="D5274" s="9">
        <v>1056777</v>
      </c>
      <c r="E5274">
        <v>7.3919999999999997E-4</v>
      </c>
    </row>
    <row r="5275" spans="1:5">
      <c r="A5275">
        <v>2022</v>
      </c>
      <c r="B5275" s="3" t="s">
        <v>573</v>
      </c>
      <c r="C5275" t="s">
        <v>518</v>
      </c>
      <c r="D5275" s="9">
        <v>349438</v>
      </c>
      <c r="E5275">
        <v>2.4439999999999998E-4</v>
      </c>
    </row>
    <row r="5276" spans="1:5">
      <c r="A5276">
        <v>2022</v>
      </c>
      <c r="B5276" s="3" t="s">
        <v>574</v>
      </c>
      <c r="C5276" t="s">
        <v>1702</v>
      </c>
      <c r="D5276" s="9">
        <v>137585</v>
      </c>
      <c r="E5276">
        <v>9.6199999999999994E-5</v>
      </c>
    </row>
    <row r="5277" spans="1:5">
      <c r="A5277">
        <v>2022</v>
      </c>
      <c r="B5277" s="3" t="s">
        <v>575</v>
      </c>
      <c r="C5277" t="s">
        <v>2437</v>
      </c>
      <c r="D5277" s="9">
        <v>168338</v>
      </c>
      <c r="E5277">
        <v>1.177E-4</v>
      </c>
    </row>
    <row r="5278" spans="1:5">
      <c r="A5278">
        <v>2022</v>
      </c>
      <c r="B5278" s="3" t="s">
        <v>576</v>
      </c>
      <c r="C5278" t="s">
        <v>521</v>
      </c>
      <c r="D5278" s="9">
        <v>262282</v>
      </c>
      <c r="E5278">
        <v>1.8349999999999999E-4</v>
      </c>
    </row>
    <row r="5279" spans="1:5">
      <c r="A5279">
        <v>2022</v>
      </c>
      <c r="B5279" s="3" t="s">
        <v>577</v>
      </c>
      <c r="C5279" t="s">
        <v>1704</v>
      </c>
      <c r="D5279" s="9">
        <v>39496</v>
      </c>
      <c r="E5279">
        <v>2.76E-5</v>
      </c>
    </row>
    <row r="5280" spans="1:5">
      <c r="A5280">
        <v>2022</v>
      </c>
      <c r="B5280" s="3" t="s">
        <v>578</v>
      </c>
      <c r="C5280" t="s">
        <v>1705</v>
      </c>
      <c r="D5280" s="9">
        <v>1722950</v>
      </c>
      <c r="E5280">
        <v>1.2051E-3</v>
      </c>
    </row>
    <row r="5281" spans="1:5">
      <c r="A5281">
        <v>2022</v>
      </c>
      <c r="B5281" s="3" t="s">
        <v>2371</v>
      </c>
      <c r="C5281" t="s">
        <v>2369</v>
      </c>
      <c r="D5281" s="9">
        <v>1549</v>
      </c>
      <c r="E5281">
        <v>1.1000000000000001E-6</v>
      </c>
    </row>
    <row r="5282" spans="1:5">
      <c r="A5282">
        <v>2022</v>
      </c>
      <c r="B5282" s="3" t="s">
        <v>379</v>
      </c>
      <c r="C5282" t="s">
        <v>1706</v>
      </c>
      <c r="D5282" s="9">
        <v>921587</v>
      </c>
      <c r="E5282">
        <v>6.4459999999999995E-4</v>
      </c>
    </row>
    <row r="5283" spans="1:5">
      <c r="A5283">
        <v>2022</v>
      </c>
      <c r="B5283" s="3" t="s">
        <v>580</v>
      </c>
      <c r="C5283" t="s">
        <v>1709</v>
      </c>
      <c r="D5283" s="9">
        <v>69908</v>
      </c>
      <c r="E5283">
        <v>4.8900000000000003E-5</v>
      </c>
    </row>
    <row r="5284" spans="1:5">
      <c r="A5284">
        <v>2022</v>
      </c>
      <c r="B5284" s="3" t="s">
        <v>581</v>
      </c>
      <c r="C5284" t="s">
        <v>526</v>
      </c>
      <c r="D5284" s="9">
        <v>15768</v>
      </c>
      <c r="E5284">
        <v>1.1E-5</v>
      </c>
    </row>
    <row r="5285" spans="1:5">
      <c r="A5285">
        <v>2022</v>
      </c>
      <c r="B5285" s="3" t="s">
        <v>582</v>
      </c>
      <c r="C5285" t="s">
        <v>1710</v>
      </c>
      <c r="D5285" s="9">
        <v>552023</v>
      </c>
      <c r="E5285">
        <v>3.8610000000000001E-4</v>
      </c>
    </row>
    <row r="5286" spans="1:5">
      <c r="A5286">
        <v>2022</v>
      </c>
      <c r="B5286" s="3" t="s">
        <v>583</v>
      </c>
      <c r="C5286" t="s">
        <v>1711</v>
      </c>
      <c r="D5286" s="9">
        <v>15184</v>
      </c>
      <c r="E5286">
        <v>1.06E-5</v>
      </c>
    </row>
    <row r="5287" spans="1:5">
      <c r="A5287">
        <v>2022</v>
      </c>
      <c r="B5287" s="3" t="s">
        <v>380</v>
      </c>
      <c r="C5287" t="s">
        <v>1712</v>
      </c>
      <c r="D5287" s="9">
        <v>592445</v>
      </c>
      <c r="E5287">
        <v>4.1439999999999999E-4</v>
      </c>
    </row>
    <row r="5288" spans="1:5">
      <c r="A5288">
        <v>2022</v>
      </c>
      <c r="B5288" s="3" t="s">
        <v>585</v>
      </c>
      <c r="C5288" t="s">
        <v>1713</v>
      </c>
      <c r="D5288" s="9">
        <v>121867</v>
      </c>
      <c r="E5288">
        <v>8.5199999999999997E-5</v>
      </c>
    </row>
    <row r="5289" spans="1:5">
      <c r="A5289">
        <v>2022</v>
      </c>
      <c r="B5289" s="3" t="s">
        <v>2426</v>
      </c>
      <c r="C5289" t="s">
        <v>2428</v>
      </c>
      <c r="D5289" s="9">
        <v>152198</v>
      </c>
      <c r="E5289">
        <v>1.065E-4</v>
      </c>
    </row>
    <row r="5290" spans="1:5">
      <c r="A5290">
        <v>2022</v>
      </c>
      <c r="B5290" s="3" t="s">
        <v>586</v>
      </c>
      <c r="C5290" t="s">
        <v>1714</v>
      </c>
      <c r="D5290" s="9">
        <v>214567</v>
      </c>
      <c r="E5290">
        <v>1.5009999999999999E-4</v>
      </c>
    </row>
    <row r="5291" spans="1:5">
      <c r="A5291">
        <v>2022</v>
      </c>
      <c r="B5291" s="3" t="s">
        <v>587</v>
      </c>
      <c r="C5291" t="s">
        <v>532</v>
      </c>
      <c r="D5291" s="9">
        <v>195637</v>
      </c>
      <c r="E5291">
        <v>1.3679999999999999E-4</v>
      </c>
    </row>
    <row r="5292" spans="1:5">
      <c r="A5292">
        <v>2022</v>
      </c>
      <c r="B5292" s="3" t="s">
        <v>588</v>
      </c>
      <c r="C5292" t="s">
        <v>533</v>
      </c>
      <c r="D5292" s="9">
        <v>195571</v>
      </c>
      <c r="E5292">
        <v>1.3679999999999999E-4</v>
      </c>
    </row>
    <row r="5293" spans="1:5">
      <c r="A5293">
        <v>2022</v>
      </c>
      <c r="B5293" s="3" t="s">
        <v>589</v>
      </c>
      <c r="C5293" t="s">
        <v>1715</v>
      </c>
      <c r="D5293" s="9">
        <v>7389826</v>
      </c>
      <c r="E5293">
        <v>5.1688999999999997E-3</v>
      </c>
    </row>
    <row r="5294" spans="1:5">
      <c r="A5294">
        <v>2022</v>
      </c>
      <c r="B5294" s="3" t="s">
        <v>381</v>
      </c>
      <c r="C5294" t="s">
        <v>1716</v>
      </c>
      <c r="D5294" s="9">
        <v>4182436</v>
      </c>
      <c r="E5294">
        <v>2.9255000000000001E-3</v>
      </c>
    </row>
    <row r="5295" spans="1:5">
      <c r="A5295">
        <v>2022</v>
      </c>
      <c r="B5295" s="3" t="s">
        <v>590</v>
      </c>
      <c r="C5295" t="s">
        <v>1717</v>
      </c>
      <c r="D5295" s="9">
        <v>6088811</v>
      </c>
      <c r="E5295">
        <v>4.2589000000000004E-3</v>
      </c>
    </row>
    <row r="5296" spans="1:5">
      <c r="A5296">
        <v>2022</v>
      </c>
      <c r="B5296" s="3" t="s">
        <v>1227</v>
      </c>
      <c r="C5296" t="s">
        <v>1718</v>
      </c>
      <c r="D5296" s="9">
        <v>705361</v>
      </c>
      <c r="E5296">
        <v>4.9339999999999996E-4</v>
      </c>
    </row>
    <row r="5297" spans="1:5">
      <c r="A5297">
        <v>2022</v>
      </c>
      <c r="B5297" s="3" t="s">
        <v>591</v>
      </c>
      <c r="C5297" t="s">
        <v>536</v>
      </c>
      <c r="D5297" s="9">
        <v>71013</v>
      </c>
      <c r="E5297">
        <v>4.9700000000000002E-5</v>
      </c>
    </row>
    <row r="5298" spans="1:5">
      <c r="A5298">
        <v>2022</v>
      </c>
      <c r="B5298" s="3" t="s">
        <v>592</v>
      </c>
      <c r="C5298" t="s">
        <v>1719</v>
      </c>
      <c r="D5298" s="9">
        <v>3763189</v>
      </c>
      <c r="E5298">
        <v>2.6321999999999999E-3</v>
      </c>
    </row>
    <row r="5299" spans="1:5">
      <c r="A5299">
        <v>2022</v>
      </c>
      <c r="B5299" s="3" t="s">
        <v>1456</v>
      </c>
      <c r="C5299" t="s">
        <v>1720</v>
      </c>
      <c r="D5299" s="9">
        <v>22783</v>
      </c>
      <c r="E5299">
        <v>1.59E-5</v>
      </c>
    </row>
    <row r="5300" spans="1:5">
      <c r="A5300">
        <v>2022</v>
      </c>
      <c r="B5300" s="3" t="s">
        <v>2440</v>
      </c>
      <c r="C5300" t="s">
        <v>2438</v>
      </c>
      <c r="D5300" s="9">
        <v>15727</v>
      </c>
      <c r="E5300">
        <v>1.1E-5</v>
      </c>
    </row>
    <row r="5301" spans="1:5">
      <c r="A5301">
        <v>2022</v>
      </c>
      <c r="B5301" s="3" t="s">
        <v>593</v>
      </c>
      <c r="C5301" t="s">
        <v>1721</v>
      </c>
      <c r="D5301" s="9">
        <v>831000</v>
      </c>
      <c r="E5301">
        <v>5.8129999999999998E-4</v>
      </c>
    </row>
    <row r="5302" spans="1:5">
      <c r="A5302">
        <v>2022</v>
      </c>
      <c r="B5302" s="3" t="s">
        <v>594</v>
      </c>
      <c r="C5302" t="s">
        <v>2190</v>
      </c>
      <c r="D5302" s="9">
        <v>31086</v>
      </c>
      <c r="E5302">
        <v>2.1699999999999999E-5</v>
      </c>
    </row>
    <row r="5303" spans="1:5">
      <c r="A5303">
        <v>2022</v>
      </c>
      <c r="B5303" s="3" t="s">
        <v>595</v>
      </c>
      <c r="C5303" t="s">
        <v>1722</v>
      </c>
      <c r="D5303" s="9">
        <v>791199</v>
      </c>
      <c r="E5303">
        <v>5.5340000000000001E-4</v>
      </c>
    </row>
    <row r="5304" spans="1:5">
      <c r="A5304">
        <v>2022</v>
      </c>
      <c r="B5304" s="3">
        <v>503810</v>
      </c>
      <c r="C5304" t="s">
        <v>2439</v>
      </c>
      <c r="D5304" s="9">
        <v>394630</v>
      </c>
      <c r="E5304">
        <v>2.7599999999999999E-4</v>
      </c>
    </row>
    <row r="5305" spans="1:5">
      <c r="A5305">
        <v>2022</v>
      </c>
      <c r="B5305" s="3" t="s">
        <v>596</v>
      </c>
      <c r="C5305" t="s">
        <v>1723</v>
      </c>
      <c r="D5305" s="9">
        <v>909002</v>
      </c>
      <c r="E5305">
        <v>6.3579999999999995E-4</v>
      </c>
    </row>
    <row r="5306" spans="1:5">
      <c r="A5306">
        <v>2022</v>
      </c>
      <c r="B5306" s="3" t="s">
        <v>597</v>
      </c>
      <c r="C5306" t="s">
        <v>1724</v>
      </c>
      <c r="D5306" s="9">
        <v>2542097</v>
      </c>
      <c r="E5306">
        <v>1.7780999999999999E-3</v>
      </c>
    </row>
    <row r="5307" spans="1:5">
      <c r="A5307">
        <v>2022</v>
      </c>
      <c r="B5307" s="3" t="s">
        <v>598</v>
      </c>
      <c r="C5307" t="s">
        <v>543</v>
      </c>
      <c r="D5307" s="9">
        <v>271110</v>
      </c>
      <c r="E5307">
        <v>1.896E-4</v>
      </c>
    </row>
    <row r="5308" spans="1:5">
      <c r="A5308">
        <v>2022</v>
      </c>
      <c r="B5308" s="3" t="s">
        <v>1228</v>
      </c>
      <c r="C5308" t="s">
        <v>1725</v>
      </c>
      <c r="D5308" s="9">
        <v>48548</v>
      </c>
      <c r="E5308">
        <v>3.4E-5</v>
      </c>
    </row>
    <row r="5309" spans="1:5">
      <c r="A5309">
        <v>2022</v>
      </c>
      <c r="B5309" s="3" t="s">
        <v>599</v>
      </c>
      <c r="C5309" t="s">
        <v>1726</v>
      </c>
      <c r="D5309" s="9">
        <v>171202</v>
      </c>
      <c r="E5309">
        <v>1.197E-4</v>
      </c>
    </row>
    <row r="5310" spans="1:5">
      <c r="A5310">
        <v>2022</v>
      </c>
      <c r="B5310" s="3" t="s">
        <v>2403</v>
      </c>
      <c r="C5310" t="s">
        <v>2401</v>
      </c>
      <c r="D5310" s="9">
        <v>25417</v>
      </c>
      <c r="E5310">
        <v>1.7799999999999999E-5</v>
      </c>
    </row>
    <row r="5311" spans="1:5">
      <c r="A5311">
        <v>2022</v>
      </c>
      <c r="B5311" s="3" t="s">
        <v>600</v>
      </c>
      <c r="C5311" t="s">
        <v>1727</v>
      </c>
      <c r="D5311" s="9">
        <v>3179223</v>
      </c>
      <c r="E5311">
        <v>2.2236999999999999E-3</v>
      </c>
    </row>
    <row r="5312" spans="1:5">
      <c r="A5312">
        <v>2022</v>
      </c>
      <c r="B5312" s="3" t="s">
        <v>601</v>
      </c>
      <c r="C5312" t="s">
        <v>1728</v>
      </c>
      <c r="D5312" s="9">
        <v>1143251</v>
      </c>
      <c r="E5312">
        <v>7.9969999999999998E-4</v>
      </c>
    </row>
    <row r="5313" spans="1:5">
      <c r="A5313">
        <v>2022</v>
      </c>
      <c r="B5313" s="3" t="s">
        <v>2404</v>
      </c>
      <c r="C5313" t="s">
        <v>2441</v>
      </c>
      <c r="D5313" s="9">
        <v>400979</v>
      </c>
      <c r="E5313">
        <v>2.8049999999999999E-4</v>
      </c>
    </row>
    <row r="5314" spans="1:5">
      <c r="A5314">
        <v>2022</v>
      </c>
      <c r="B5314" s="3" t="s">
        <v>602</v>
      </c>
      <c r="C5314" t="s">
        <v>547</v>
      </c>
      <c r="D5314" s="9">
        <v>75521</v>
      </c>
      <c r="E5314">
        <v>5.2800000000000003E-5</v>
      </c>
    </row>
    <row r="5315" spans="1:5">
      <c r="A5315">
        <v>2022</v>
      </c>
      <c r="B5315" s="3" t="s">
        <v>603</v>
      </c>
      <c r="C5315" t="s">
        <v>548</v>
      </c>
      <c r="D5315" s="9">
        <v>87881</v>
      </c>
      <c r="E5315">
        <v>6.1500000000000004E-5</v>
      </c>
    </row>
    <row r="5316" spans="1:5">
      <c r="A5316">
        <v>2022</v>
      </c>
      <c r="B5316" s="3" t="s">
        <v>604</v>
      </c>
      <c r="C5316" t="s">
        <v>1729</v>
      </c>
      <c r="D5316" s="9">
        <v>227467</v>
      </c>
      <c r="E5316">
        <v>1.5909999999999999E-4</v>
      </c>
    </row>
    <row r="5317" spans="1:5">
      <c r="A5317">
        <v>2022</v>
      </c>
      <c r="B5317" s="3" t="s">
        <v>1229</v>
      </c>
      <c r="C5317" t="s">
        <v>1730</v>
      </c>
      <c r="D5317" s="9">
        <v>170847</v>
      </c>
      <c r="E5317">
        <v>1.195E-4</v>
      </c>
    </row>
    <row r="5318" spans="1:5">
      <c r="A5318">
        <v>2022</v>
      </c>
      <c r="B5318" s="3" t="s">
        <v>660</v>
      </c>
      <c r="C5318" t="s">
        <v>605</v>
      </c>
      <c r="D5318" s="9">
        <v>2342590</v>
      </c>
      <c r="E5318">
        <v>1.6386E-3</v>
      </c>
    </row>
    <row r="5319" spans="1:5">
      <c r="A5319">
        <v>2022</v>
      </c>
      <c r="B5319" s="3" t="s">
        <v>661</v>
      </c>
      <c r="C5319" t="s">
        <v>1455</v>
      </c>
      <c r="D5319" s="9">
        <v>27547</v>
      </c>
      <c r="E5319">
        <v>1.9300000000000002E-5</v>
      </c>
    </row>
    <row r="5320" spans="1:5">
      <c r="A5320">
        <v>2022</v>
      </c>
      <c r="B5320" s="3" t="s">
        <v>662</v>
      </c>
      <c r="C5320" t="s">
        <v>607</v>
      </c>
      <c r="D5320" s="9">
        <v>20914</v>
      </c>
      <c r="E5320">
        <v>1.4600000000000001E-5</v>
      </c>
    </row>
    <row r="5321" spans="1:5">
      <c r="A5321">
        <v>2022</v>
      </c>
      <c r="B5321" s="3" t="s">
        <v>663</v>
      </c>
      <c r="C5321" t="s">
        <v>608</v>
      </c>
      <c r="D5321" s="9">
        <v>35046</v>
      </c>
      <c r="E5321">
        <v>2.4499999999999999E-5</v>
      </c>
    </row>
    <row r="5322" spans="1:5">
      <c r="A5322">
        <v>2022</v>
      </c>
      <c r="B5322" s="3" t="s">
        <v>664</v>
      </c>
      <c r="C5322" t="s">
        <v>609</v>
      </c>
      <c r="D5322" s="9">
        <v>24207655</v>
      </c>
      <c r="E5322">
        <v>1.6932300000000001E-2</v>
      </c>
    </row>
    <row r="5323" spans="1:5">
      <c r="A5323">
        <v>2022</v>
      </c>
      <c r="B5323" s="3" t="s">
        <v>1230</v>
      </c>
      <c r="C5323" t="s">
        <v>1731</v>
      </c>
      <c r="D5323" s="9">
        <v>7953309</v>
      </c>
      <c r="E5323">
        <v>5.5630000000000002E-3</v>
      </c>
    </row>
    <row r="5324" spans="1:5">
      <c r="A5324">
        <v>2022</v>
      </c>
      <c r="B5324" s="3" t="s">
        <v>665</v>
      </c>
      <c r="C5324" t="s">
        <v>1732</v>
      </c>
      <c r="D5324" s="9">
        <v>6521800</v>
      </c>
      <c r="E5324">
        <v>4.5618000000000004E-3</v>
      </c>
    </row>
    <row r="5325" spans="1:5">
      <c r="A5325">
        <v>2022</v>
      </c>
      <c r="B5325" s="3" t="s">
        <v>666</v>
      </c>
      <c r="C5325" t="s">
        <v>1733</v>
      </c>
      <c r="D5325" s="9">
        <v>12014752</v>
      </c>
      <c r="E5325">
        <v>8.4039000000000006E-3</v>
      </c>
    </row>
    <row r="5326" spans="1:5">
      <c r="A5326">
        <v>2022</v>
      </c>
      <c r="B5326" s="3" t="s">
        <v>382</v>
      </c>
      <c r="C5326" t="s">
        <v>1734</v>
      </c>
      <c r="D5326" s="9">
        <v>9750555</v>
      </c>
      <c r="E5326">
        <v>6.8200999999999999E-3</v>
      </c>
    </row>
    <row r="5327" spans="1:5">
      <c r="A5327">
        <v>2022</v>
      </c>
      <c r="B5327" s="3" t="s">
        <v>667</v>
      </c>
      <c r="C5327" t="s">
        <v>1735</v>
      </c>
      <c r="D5327" s="9">
        <v>958943</v>
      </c>
      <c r="E5327">
        <v>6.7069999999999999E-4</v>
      </c>
    </row>
    <row r="5328" spans="1:5">
      <c r="A5328">
        <v>2022</v>
      </c>
      <c r="B5328" s="3" t="s">
        <v>383</v>
      </c>
      <c r="C5328" t="s">
        <v>1736</v>
      </c>
      <c r="D5328" s="9">
        <v>375511</v>
      </c>
      <c r="E5328">
        <v>2.6269999999999999E-4</v>
      </c>
    </row>
    <row r="5329" spans="1:5">
      <c r="A5329">
        <v>2022</v>
      </c>
      <c r="B5329" s="3" t="s">
        <v>668</v>
      </c>
      <c r="C5329" t="s">
        <v>613</v>
      </c>
      <c r="D5329" s="9">
        <v>280030</v>
      </c>
      <c r="E5329">
        <v>1.9589999999999999E-4</v>
      </c>
    </row>
    <row r="5330" spans="1:5">
      <c r="A5330">
        <v>2022</v>
      </c>
      <c r="B5330" s="3" t="s">
        <v>384</v>
      </c>
      <c r="C5330" t="s">
        <v>1737</v>
      </c>
      <c r="D5330" s="9">
        <v>4395683</v>
      </c>
      <c r="E5330">
        <v>3.0745999999999998E-3</v>
      </c>
    </row>
    <row r="5331" spans="1:5">
      <c r="A5331">
        <v>2022</v>
      </c>
      <c r="B5331" s="3" t="s">
        <v>669</v>
      </c>
      <c r="C5331" t="s">
        <v>614</v>
      </c>
      <c r="D5331" s="9">
        <v>88351</v>
      </c>
      <c r="E5331">
        <v>6.1799999999999998E-5</v>
      </c>
    </row>
    <row r="5332" spans="1:5">
      <c r="A5332">
        <v>2022</v>
      </c>
      <c r="B5332" s="3" t="s">
        <v>670</v>
      </c>
      <c r="C5332" t="s">
        <v>615</v>
      </c>
      <c r="D5332" s="9">
        <v>904935</v>
      </c>
      <c r="E5332">
        <v>6.3299999999999999E-4</v>
      </c>
    </row>
    <row r="5333" spans="1:5">
      <c r="A5333">
        <v>2022</v>
      </c>
      <c r="B5333" s="3" t="s">
        <v>672</v>
      </c>
      <c r="C5333" t="s">
        <v>1739</v>
      </c>
      <c r="D5333" s="9">
        <v>334378</v>
      </c>
      <c r="E5333">
        <v>2.3389999999999999E-4</v>
      </c>
    </row>
    <row r="5334" spans="1:5">
      <c r="A5334">
        <v>2022</v>
      </c>
      <c r="B5334" s="3" t="s">
        <v>673</v>
      </c>
      <c r="C5334" t="s">
        <v>618</v>
      </c>
      <c r="D5334" s="9">
        <v>152195</v>
      </c>
      <c r="E5334">
        <v>1.065E-4</v>
      </c>
    </row>
    <row r="5335" spans="1:5">
      <c r="A5335">
        <v>2022</v>
      </c>
      <c r="B5335" s="3" t="s">
        <v>674</v>
      </c>
      <c r="C5335" t="s">
        <v>2429</v>
      </c>
      <c r="D5335" s="9">
        <v>53073</v>
      </c>
      <c r="E5335">
        <v>3.7100000000000001E-5</v>
      </c>
    </row>
    <row r="5336" spans="1:5">
      <c r="A5336">
        <v>2022</v>
      </c>
      <c r="B5336" s="3" t="s">
        <v>675</v>
      </c>
      <c r="C5336" t="s">
        <v>620</v>
      </c>
      <c r="D5336" s="9">
        <v>771521</v>
      </c>
      <c r="E5336">
        <v>5.396E-4</v>
      </c>
    </row>
    <row r="5337" spans="1:5">
      <c r="A5337">
        <v>2022</v>
      </c>
      <c r="B5337" s="3" t="s">
        <v>676</v>
      </c>
      <c r="C5337" t="s">
        <v>1740</v>
      </c>
      <c r="D5337" s="9"/>
    </row>
    <row r="5338" spans="1:5">
      <c r="A5338">
        <v>2022</v>
      </c>
      <c r="B5338" s="3" t="s">
        <v>677</v>
      </c>
      <c r="C5338" t="s">
        <v>622</v>
      </c>
      <c r="D5338" s="9"/>
    </row>
    <row r="5339" spans="1:5">
      <c r="A5339">
        <v>2022</v>
      </c>
      <c r="B5339" s="3" t="s">
        <v>1463</v>
      </c>
      <c r="C5339" t="s">
        <v>1741</v>
      </c>
      <c r="D5339" s="9">
        <v>70820</v>
      </c>
      <c r="E5339">
        <v>4.9499999999999997E-5</v>
      </c>
    </row>
    <row r="5340" spans="1:5">
      <c r="A5340">
        <v>2022</v>
      </c>
      <c r="B5340" s="3" t="s">
        <v>678</v>
      </c>
      <c r="C5340" t="s">
        <v>1458</v>
      </c>
      <c r="D5340" s="9"/>
    </row>
    <row r="5341" spans="1:5">
      <c r="A5341">
        <v>2022</v>
      </c>
      <c r="B5341" s="3" t="s">
        <v>1231</v>
      </c>
      <c r="C5341" t="s">
        <v>1742</v>
      </c>
      <c r="D5341" s="9">
        <v>97458</v>
      </c>
      <c r="E5341">
        <v>6.8200000000000004E-5</v>
      </c>
    </row>
    <row r="5342" spans="1:5">
      <c r="A5342">
        <v>2022</v>
      </c>
      <c r="B5342" s="3" t="s">
        <v>680</v>
      </c>
      <c r="C5342" t="s">
        <v>1743</v>
      </c>
      <c r="D5342" s="9">
        <v>60030</v>
      </c>
      <c r="E5342">
        <v>4.1999999999999998E-5</v>
      </c>
    </row>
    <row r="5343" spans="1:5">
      <c r="A5343">
        <v>2022</v>
      </c>
      <c r="B5343" s="3" t="s">
        <v>681</v>
      </c>
      <c r="C5343" t="s">
        <v>626</v>
      </c>
      <c r="D5343" s="9">
        <v>262517</v>
      </c>
      <c r="E5343">
        <v>1.8359999999999999E-4</v>
      </c>
    </row>
    <row r="5344" spans="1:5">
      <c r="A5344">
        <v>2022</v>
      </c>
      <c r="B5344" s="3" t="s">
        <v>682</v>
      </c>
      <c r="C5344" t="s">
        <v>1744</v>
      </c>
      <c r="D5344" s="9">
        <v>21600</v>
      </c>
      <c r="E5344">
        <v>1.5099999999999999E-5</v>
      </c>
    </row>
    <row r="5345" spans="1:5">
      <c r="A5345">
        <v>2022</v>
      </c>
      <c r="B5345" s="3" t="s">
        <v>1232</v>
      </c>
      <c r="C5345" t="s">
        <v>1745</v>
      </c>
      <c r="D5345" s="9">
        <v>70758</v>
      </c>
      <c r="E5345">
        <v>4.9499999999999997E-5</v>
      </c>
    </row>
    <row r="5346" spans="1:5">
      <c r="A5346">
        <v>2022</v>
      </c>
      <c r="B5346" s="3" t="s">
        <v>683</v>
      </c>
      <c r="C5346" t="s">
        <v>1746</v>
      </c>
      <c r="D5346" s="9">
        <v>314824</v>
      </c>
      <c r="E5346">
        <v>2.2020000000000001E-4</v>
      </c>
    </row>
    <row r="5347" spans="1:5">
      <c r="A5347">
        <v>2022</v>
      </c>
      <c r="B5347" s="3" t="s">
        <v>685</v>
      </c>
      <c r="C5347" t="s">
        <v>1461</v>
      </c>
      <c r="D5347" s="9">
        <v>32385</v>
      </c>
      <c r="E5347">
        <v>2.27E-5</v>
      </c>
    </row>
    <row r="5348" spans="1:5">
      <c r="A5348">
        <v>2022</v>
      </c>
      <c r="B5348" s="3" t="s">
        <v>686</v>
      </c>
      <c r="C5348" t="s">
        <v>1747</v>
      </c>
      <c r="D5348" s="9">
        <v>362770</v>
      </c>
      <c r="E5348">
        <v>2.5369999999999999E-4</v>
      </c>
    </row>
    <row r="5349" spans="1:5">
      <c r="A5349">
        <v>2022</v>
      </c>
      <c r="B5349" s="3" t="s">
        <v>2089</v>
      </c>
      <c r="C5349" t="s">
        <v>2087</v>
      </c>
      <c r="D5349" s="9">
        <v>8814</v>
      </c>
      <c r="E5349">
        <v>6.1999999999999999E-6</v>
      </c>
    </row>
    <row r="5350" spans="1:5">
      <c r="A5350">
        <v>2022</v>
      </c>
      <c r="B5350" s="3" t="s">
        <v>687</v>
      </c>
      <c r="C5350" t="s">
        <v>632</v>
      </c>
      <c r="D5350" s="9">
        <v>1578431</v>
      </c>
      <c r="E5350">
        <v>1.1041E-3</v>
      </c>
    </row>
    <row r="5351" spans="1:5">
      <c r="A5351">
        <v>2022</v>
      </c>
      <c r="B5351" s="3" t="s">
        <v>688</v>
      </c>
      <c r="C5351" t="s">
        <v>1748</v>
      </c>
      <c r="D5351" s="9">
        <v>49474</v>
      </c>
      <c r="E5351">
        <v>3.4600000000000001E-5</v>
      </c>
    </row>
    <row r="5352" spans="1:5">
      <c r="A5352">
        <v>2022</v>
      </c>
      <c r="B5352" s="3" t="s">
        <v>689</v>
      </c>
      <c r="C5352" t="s">
        <v>1749</v>
      </c>
      <c r="D5352" s="9">
        <v>8581683</v>
      </c>
      <c r="E5352">
        <v>6.0026000000000003E-3</v>
      </c>
    </row>
    <row r="5353" spans="1:5">
      <c r="A5353">
        <v>2022</v>
      </c>
      <c r="B5353" s="3" t="s">
        <v>690</v>
      </c>
      <c r="C5353" t="s">
        <v>1750</v>
      </c>
      <c r="D5353" s="9">
        <v>13227</v>
      </c>
      <c r="E5353">
        <v>9.3000000000000007E-6</v>
      </c>
    </row>
    <row r="5354" spans="1:5">
      <c r="A5354">
        <v>2022</v>
      </c>
      <c r="B5354" s="3" t="s">
        <v>691</v>
      </c>
      <c r="C5354" t="s">
        <v>1751</v>
      </c>
      <c r="D5354" s="9">
        <v>1621215</v>
      </c>
      <c r="E5354">
        <v>1.134E-3</v>
      </c>
    </row>
    <row r="5355" spans="1:5">
      <c r="A5355">
        <v>2022</v>
      </c>
      <c r="B5355" s="3" t="s">
        <v>440</v>
      </c>
      <c r="C5355" t="s">
        <v>1752</v>
      </c>
      <c r="D5355" s="9">
        <v>184284</v>
      </c>
      <c r="E5355">
        <v>1.2889999999999999E-4</v>
      </c>
    </row>
    <row r="5356" spans="1:5">
      <c r="A5356">
        <v>2022</v>
      </c>
      <c r="B5356" s="3" t="s">
        <v>1464</v>
      </c>
      <c r="C5356" t="s">
        <v>1753</v>
      </c>
      <c r="D5356" s="9">
        <v>458187</v>
      </c>
      <c r="E5356">
        <v>3.2049999999999998E-4</v>
      </c>
    </row>
    <row r="5357" spans="1:5">
      <c r="A5357">
        <v>2022</v>
      </c>
      <c r="B5357" s="3" t="s">
        <v>684</v>
      </c>
      <c r="C5357" t="s">
        <v>1754</v>
      </c>
      <c r="D5357" s="9">
        <v>507823</v>
      </c>
      <c r="E5357">
        <v>3.5520000000000001E-4</v>
      </c>
    </row>
    <row r="5358" spans="1:5">
      <c r="A5358">
        <v>2022</v>
      </c>
      <c r="B5358" s="3" t="s">
        <v>692</v>
      </c>
      <c r="C5358" t="s">
        <v>637</v>
      </c>
      <c r="D5358" s="9">
        <v>300241</v>
      </c>
      <c r="E5358">
        <v>2.1000000000000001E-4</v>
      </c>
    </row>
    <row r="5359" spans="1:5">
      <c r="A5359">
        <v>2022</v>
      </c>
      <c r="B5359" s="3" t="s">
        <v>1356</v>
      </c>
      <c r="C5359" t="s">
        <v>1755</v>
      </c>
      <c r="D5359" s="9">
        <v>222027</v>
      </c>
      <c r="E5359">
        <v>1.5530000000000001E-4</v>
      </c>
    </row>
    <row r="5360" spans="1:5">
      <c r="A5360">
        <v>2022</v>
      </c>
      <c r="B5360" s="3" t="s">
        <v>693</v>
      </c>
      <c r="C5360" t="s">
        <v>2442</v>
      </c>
      <c r="D5360" s="9">
        <v>148138</v>
      </c>
      <c r="E5360">
        <v>1.036E-4</v>
      </c>
    </row>
    <row r="5361" spans="1:5">
      <c r="A5361">
        <v>2022</v>
      </c>
      <c r="B5361" s="3" t="s">
        <v>694</v>
      </c>
      <c r="C5361" t="s">
        <v>1757</v>
      </c>
      <c r="D5361" s="9">
        <v>3622772</v>
      </c>
      <c r="E5361">
        <v>2.5339999999999998E-3</v>
      </c>
    </row>
    <row r="5362" spans="1:5">
      <c r="A5362">
        <v>2022</v>
      </c>
      <c r="B5362" s="3" t="s">
        <v>695</v>
      </c>
      <c r="C5362" t="s">
        <v>1758</v>
      </c>
      <c r="D5362" s="9">
        <v>136449</v>
      </c>
      <c r="E5362">
        <v>9.5400000000000001E-5</v>
      </c>
    </row>
    <row r="5363" spans="1:5">
      <c r="A5363">
        <v>2022</v>
      </c>
      <c r="B5363" s="3" t="s">
        <v>1781</v>
      </c>
      <c r="C5363" t="s">
        <v>1759</v>
      </c>
      <c r="D5363" s="9">
        <v>179709</v>
      </c>
      <c r="E5363">
        <v>1.2569999999999999E-4</v>
      </c>
    </row>
    <row r="5364" spans="1:5">
      <c r="A5364">
        <v>2022</v>
      </c>
      <c r="B5364" s="3" t="s">
        <v>916</v>
      </c>
      <c r="C5364" t="s">
        <v>2443</v>
      </c>
      <c r="D5364" s="9">
        <v>65463</v>
      </c>
      <c r="E5364">
        <v>4.5800000000000002E-5</v>
      </c>
    </row>
    <row r="5365" spans="1:5">
      <c r="A5365">
        <v>2022</v>
      </c>
      <c r="B5365" s="3" t="s">
        <v>696</v>
      </c>
      <c r="C5365" t="s">
        <v>641</v>
      </c>
      <c r="D5365" s="9">
        <v>35740</v>
      </c>
      <c r="E5365">
        <v>2.5000000000000001E-5</v>
      </c>
    </row>
    <row r="5366" spans="1:5">
      <c r="A5366">
        <v>2022</v>
      </c>
      <c r="B5366" s="3" t="s">
        <v>697</v>
      </c>
      <c r="C5366" t="s">
        <v>2373</v>
      </c>
      <c r="D5366" s="9">
        <v>187149</v>
      </c>
      <c r="E5366">
        <v>1.3090000000000001E-4</v>
      </c>
    </row>
    <row r="5367" spans="1:5">
      <c r="A5367">
        <v>2022</v>
      </c>
      <c r="B5367" s="3" t="s">
        <v>698</v>
      </c>
      <c r="C5367" t="s">
        <v>1762</v>
      </c>
      <c r="D5367" s="9">
        <v>4447804</v>
      </c>
      <c r="E5367">
        <v>3.1110999999999999E-3</v>
      </c>
    </row>
    <row r="5368" spans="1:5">
      <c r="A5368">
        <v>2022</v>
      </c>
      <c r="B5368" s="3" t="s">
        <v>699</v>
      </c>
      <c r="C5368" t="s">
        <v>1763</v>
      </c>
      <c r="D5368" s="9">
        <v>2871166</v>
      </c>
      <c r="E5368">
        <v>2.0083000000000002E-3</v>
      </c>
    </row>
    <row r="5369" spans="1:5">
      <c r="A5369">
        <v>2022</v>
      </c>
      <c r="B5369" s="3" t="s">
        <v>700</v>
      </c>
      <c r="C5369" t="s">
        <v>2374</v>
      </c>
      <c r="D5369" s="9">
        <v>17197</v>
      </c>
      <c r="E5369">
        <v>1.2E-5</v>
      </c>
    </row>
    <row r="5370" spans="1:5">
      <c r="A5370">
        <v>2022</v>
      </c>
      <c r="B5370" s="3" t="s">
        <v>701</v>
      </c>
      <c r="C5370" t="s">
        <v>2405</v>
      </c>
      <c r="D5370" s="9">
        <v>368665</v>
      </c>
      <c r="E5370">
        <v>2.5789999999999998E-4</v>
      </c>
    </row>
    <row r="5371" spans="1:5">
      <c r="A5371">
        <v>2022</v>
      </c>
      <c r="B5371" s="3" t="s">
        <v>702</v>
      </c>
      <c r="C5371" t="s">
        <v>1766</v>
      </c>
      <c r="D5371" s="9">
        <v>435073</v>
      </c>
      <c r="E5371">
        <v>3.0430000000000002E-4</v>
      </c>
    </row>
    <row r="5372" spans="1:5">
      <c r="A5372">
        <v>2022</v>
      </c>
      <c r="B5372" s="3" t="s">
        <v>703</v>
      </c>
      <c r="C5372" t="s">
        <v>1767</v>
      </c>
      <c r="D5372" s="9">
        <v>2057625</v>
      </c>
      <c r="E5372">
        <v>1.4392000000000001E-3</v>
      </c>
    </row>
    <row r="5373" spans="1:5">
      <c r="A5373">
        <v>2022</v>
      </c>
      <c r="B5373" s="3" t="s">
        <v>1233</v>
      </c>
      <c r="C5373" t="s">
        <v>1768</v>
      </c>
      <c r="D5373" s="9">
        <v>80826</v>
      </c>
      <c r="E5373">
        <v>5.6499999999999998E-5</v>
      </c>
    </row>
    <row r="5374" spans="1:5">
      <c r="A5374">
        <v>2022</v>
      </c>
      <c r="B5374" s="3" t="s">
        <v>704</v>
      </c>
      <c r="C5374" t="s">
        <v>1769</v>
      </c>
      <c r="D5374" s="9">
        <v>128713</v>
      </c>
      <c r="E5374">
        <v>9.0000000000000006E-5</v>
      </c>
    </row>
    <row r="5375" spans="1:5">
      <c r="A5375">
        <v>2022</v>
      </c>
      <c r="B5375" s="3" t="s">
        <v>705</v>
      </c>
      <c r="C5375" t="s">
        <v>1770</v>
      </c>
      <c r="D5375" s="9">
        <v>676570</v>
      </c>
      <c r="E5375">
        <v>4.7320000000000001E-4</v>
      </c>
    </row>
    <row r="5376" spans="1:5">
      <c r="A5376">
        <v>2022</v>
      </c>
      <c r="B5376" s="3" t="s">
        <v>706</v>
      </c>
      <c r="C5376" t="s">
        <v>1771</v>
      </c>
      <c r="D5376" s="9">
        <v>4232016</v>
      </c>
      <c r="E5376">
        <v>2.9600999999999998E-3</v>
      </c>
    </row>
    <row r="5377" spans="1:5">
      <c r="A5377">
        <v>2022</v>
      </c>
      <c r="B5377" s="3" t="s">
        <v>441</v>
      </c>
      <c r="C5377" t="s">
        <v>1772</v>
      </c>
      <c r="D5377" s="9">
        <v>1544221</v>
      </c>
      <c r="E5377">
        <v>1.0801000000000001E-3</v>
      </c>
    </row>
    <row r="5378" spans="1:5">
      <c r="A5378">
        <v>2022</v>
      </c>
      <c r="B5378" s="3" t="s">
        <v>707</v>
      </c>
      <c r="C5378" t="s">
        <v>1773</v>
      </c>
      <c r="D5378" s="9">
        <v>83190</v>
      </c>
      <c r="E5378">
        <v>5.8199999999999998E-5</v>
      </c>
    </row>
    <row r="5379" spans="1:5">
      <c r="A5379">
        <v>2022</v>
      </c>
      <c r="B5379" s="3" t="s">
        <v>708</v>
      </c>
      <c r="C5379" t="s">
        <v>1774</v>
      </c>
      <c r="D5379" s="9">
        <v>10890142</v>
      </c>
      <c r="E5379">
        <v>7.6172000000000002E-3</v>
      </c>
    </row>
    <row r="5380" spans="1:5">
      <c r="A5380">
        <v>2022</v>
      </c>
      <c r="B5380" s="3" t="s">
        <v>709</v>
      </c>
      <c r="C5380" t="s">
        <v>654</v>
      </c>
      <c r="D5380" s="9">
        <v>908678</v>
      </c>
      <c r="E5380">
        <v>6.3560000000000005E-4</v>
      </c>
    </row>
    <row r="5381" spans="1:5">
      <c r="A5381">
        <v>2022</v>
      </c>
      <c r="B5381" s="3" t="s">
        <v>710</v>
      </c>
      <c r="C5381" t="s">
        <v>1775</v>
      </c>
      <c r="D5381" s="9">
        <v>3144149</v>
      </c>
      <c r="E5381">
        <v>2.1992000000000001E-3</v>
      </c>
    </row>
    <row r="5382" spans="1:5">
      <c r="A5382">
        <v>2022</v>
      </c>
      <c r="B5382" s="3" t="s">
        <v>442</v>
      </c>
      <c r="C5382" t="s">
        <v>1776</v>
      </c>
      <c r="D5382" s="9">
        <v>2158282</v>
      </c>
      <c r="E5382">
        <v>1.5096E-3</v>
      </c>
    </row>
    <row r="5383" spans="1:5">
      <c r="A5383">
        <v>2022</v>
      </c>
      <c r="B5383" s="3" t="s">
        <v>712</v>
      </c>
      <c r="C5383" t="s">
        <v>1778</v>
      </c>
      <c r="D5383" s="9">
        <v>5141488</v>
      </c>
      <c r="E5383">
        <v>3.5963000000000002E-3</v>
      </c>
    </row>
    <row r="5384" spans="1:5">
      <c r="A5384">
        <v>2022</v>
      </c>
      <c r="B5384" s="3" t="s">
        <v>713</v>
      </c>
      <c r="C5384" t="s">
        <v>1779</v>
      </c>
      <c r="D5384" s="9">
        <v>179721</v>
      </c>
      <c r="E5384">
        <v>1.2569999999999999E-4</v>
      </c>
    </row>
    <row r="5385" spans="1:5">
      <c r="A5385">
        <v>2022</v>
      </c>
      <c r="B5385" s="3" t="s">
        <v>714</v>
      </c>
      <c r="C5385" t="s">
        <v>1780</v>
      </c>
      <c r="D5385" s="9">
        <v>2349863</v>
      </c>
      <c r="E5385">
        <v>1.6436000000000001E-3</v>
      </c>
    </row>
    <row r="5386" spans="1:5">
      <c r="A5386">
        <v>2022</v>
      </c>
      <c r="B5386" s="3" t="s">
        <v>770</v>
      </c>
      <c r="C5386" t="s">
        <v>715</v>
      </c>
      <c r="D5386" s="9">
        <v>49675</v>
      </c>
      <c r="E5386">
        <v>3.4700000000000003E-5</v>
      </c>
    </row>
    <row r="5387" spans="1:5">
      <c r="A5387">
        <v>2022</v>
      </c>
      <c r="B5387" s="3" t="s">
        <v>771</v>
      </c>
      <c r="C5387" t="s">
        <v>1782</v>
      </c>
      <c r="D5387" s="9"/>
    </row>
    <row r="5388" spans="1:5">
      <c r="A5388">
        <v>2022</v>
      </c>
      <c r="B5388" s="3" t="s">
        <v>773</v>
      </c>
      <c r="C5388" t="s">
        <v>1784</v>
      </c>
      <c r="D5388" s="9">
        <v>7103875</v>
      </c>
      <c r="E5388">
        <v>4.9689000000000001E-3</v>
      </c>
    </row>
    <row r="5389" spans="1:5">
      <c r="A5389">
        <v>2022</v>
      </c>
      <c r="B5389" s="3" t="s">
        <v>443</v>
      </c>
      <c r="C5389" t="s">
        <v>1785</v>
      </c>
      <c r="D5389" s="9">
        <v>297473</v>
      </c>
      <c r="E5389">
        <v>2.0809999999999999E-4</v>
      </c>
    </row>
    <row r="5390" spans="1:5">
      <c r="A5390">
        <v>2022</v>
      </c>
      <c r="B5390" s="3" t="s">
        <v>774</v>
      </c>
      <c r="C5390" t="s">
        <v>1786</v>
      </c>
      <c r="D5390" s="9">
        <v>285552</v>
      </c>
      <c r="E5390">
        <v>1.997E-4</v>
      </c>
    </row>
    <row r="5391" spans="1:5">
      <c r="A5391">
        <v>2022</v>
      </c>
      <c r="B5391" s="3" t="s">
        <v>775</v>
      </c>
      <c r="C5391" t="s">
        <v>1787</v>
      </c>
      <c r="D5391" s="9">
        <v>3768987</v>
      </c>
      <c r="E5391">
        <v>2.6362999999999998E-3</v>
      </c>
    </row>
    <row r="5392" spans="1:5">
      <c r="A5392">
        <v>2022</v>
      </c>
      <c r="B5392" s="3" t="s">
        <v>776</v>
      </c>
      <c r="C5392" t="s">
        <v>721</v>
      </c>
      <c r="D5392" s="9"/>
    </row>
    <row r="5393" spans="1:5">
      <c r="A5393">
        <v>2022</v>
      </c>
      <c r="B5393" s="3" t="s">
        <v>778</v>
      </c>
      <c r="C5393" t="s">
        <v>1788</v>
      </c>
      <c r="D5393" s="9">
        <v>4139946</v>
      </c>
      <c r="E5393">
        <v>2.8957000000000002E-3</v>
      </c>
    </row>
    <row r="5394" spans="1:5">
      <c r="A5394">
        <v>2022</v>
      </c>
      <c r="B5394" s="3" t="s">
        <v>779</v>
      </c>
      <c r="C5394" t="s">
        <v>1789</v>
      </c>
      <c r="D5394" s="9">
        <v>168972</v>
      </c>
      <c r="E5394">
        <v>1.182E-4</v>
      </c>
    </row>
    <row r="5395" spans="1:5">
      <c r="A5395">
        <v>2022</v>
      </c>
      <c r="B5395" s="3" t="s">
        <v>780</v>
      </c>
      <c r="C5395" t="s">
        <v>1790</v>
      </c>
      <c r="D5395" s="9">
        <v>385759</v>
      </c>
      <c r="E5395">
        <v>2.698E-4</v>
      </c>
    </row>
    <row r="5396" spans="1:5">
      <c r="A5396">
        <v>2022</v>
      </c>
      <c r="B5396" s="3" t="s">
        <v>781</v>
      </c>
      <c r="C5396" t="s">
        <v>1791</v>
      </c>
      <c r="D5396" s="9">
        <v>27657</v>
      </c>
      <c r="E5396">
        <v>1.9300000000000002E-5</v>
      </c>
    </row>
    <row r="5397" spans="1:5">
      <c r="A5397">
        <v>2022</v>
      </c>
      <c r="B5397" s="3" t="s">
        <v>782</v>
      </c>
      <c r="C5397" t="s">
        <v>1792</v>
      </c>
      <c r="D5397" s="9">
        <v>9484671</v>
      </c>
      <c r="E5397">
        <v>6.6341999999999998E-3</v>
      </c>
    </row>
    <row r="5398" spans="1:5">
      <c r="A5398">
        <v>2022</v>
      </c>
      <c r="B5398" s="3" t="s">
        <v>1234</v>
      </c>
      <c r="C5398" t="s">
        <v>1793</v>
      </c>
      <c r="D5398" s="9">
        <v>1992969</v>
      </c>
      <c r="E5398">
        <v>1.3940000000000001E-3</v>
      </c>
    </row>
    <row r="5399" spans="1:5">
      <c r="A5399">
        <v>2022</v>
      </c>
      <c r="B5399" s="3" t="s">
        <v>783</v>
      </c>
      <c r="C5399" t="s">
        <v>1794</v>
      </c>
      <c r="D5399" s="9">
        <v>1295507</v>
      </c>
      <c r="E5399">
        <v>9.0620000000000002E-4</v>
      </c>
    </row>
    <row r="5400" spans="1:5">
      <c r="A5400">
        <v>2022</v>
      </c>
      <c r="B5400" s="3" t="s">
        <v>787</v>
      </c>
      <c r="C5400" t="s">
        <v>732</v>
      </c>
      <c r="D5400" s="9">
        <v>69045858</v>
      </c>
      <c r="E5400">
        <v>4.8296199999999997E-2</v>
      </c>
    </row>
    <row r="5401" spans="1:5">
      <c r="A5401">
        <v>2022</v>
      </c>
      <c r="B5401" s="3" t="s">
        <v>784</v>
      </c>
      <c r="C5401" t="s">
        <v>1795</v>
      </c>
      <c r="D5401" s="9">
        <v>46768324</v>
      </c>
      <c r="E5401">
        <v>3.2712699999999997E-2</v>
      </c>
    </row>
    <row r="5402" spans="1:5">
      <c r="A5402">
        <v>2022</v>
      </c>
      <c r="B5402" s="3" t="s">
        <v>785</v>
      </c>
      <c r="C5402" t="s">
        <v>1796</v>
      </c>
      <c r="D5402" s="9">
        <v>576662</v>
      </c>
      <c r="E5402">
        <v>4.0339999999999999E-4</v>
      </c>
    </row>
    <row r="5403" spans="1:5">
      <c r="A5403">
        <v>2022</v>
      </c>
      <c r="B5403" s="3" t="s">
        <v>788</v>
      </c>
      <c r="C5403" t="s">
        <v>1797</v>
      </c>
      <c r="D5403" s="9">
        <v>363200</v>
      </c>
      <c r="E5403">
        <v>2.5399999999999999E-4</v>
      </c>
    </row>
    <row r="5404" spans="1:5">
      <c r="A5404">
        <v>2022</v>
      </c>
      <c r="B5404" s="3" t="s">
        <v>786</v>
      </c>
      <c r="C5404" t="s">
        <v>1798</v>
      </c>
      <c r="D5404" s="9">
        <v>32327927</v>
      </c>
      <c r="E5404">
        <v>2.26121E-2</v>
      </c>
    </row>
    <row r="5405" spans="1:5">
      <c r="A5405">
        <v>2022</v>
      </c>
      <c r="B5405" s="3" t="s">
        <v>789</v>
      </c>
      <c r="C5405" t="s">
        <v>1799</v>
      </c>
      <c r="D5405" s="9">
        <v>5140391</v>
      </c>
      <c r="E5405">
        <v>3.5955000000000002E-3</v>
      </c>
    </row>
    <row r="5406" spans="1:5">
      <c r="A5406">
        <v>2022</v>
      </c>
      <c r="B5406" s="3" t="s">
        <v>444</v>
      </c>
      <c r="C5406" t="s">
        <v>1800</v>
      </c>
      <c r="D5406" s="9">
        <v>1430899</v>
      </c>
      <c r="E5406">
        <v>1.0009000000000001E-3</v>
      </c>
    </row>
    <row r="5407" spans="1:5">
      <c r="A5407">
        <v>2022</v>
      </c>
      <c r="B5407" s="3" t="s">
        <v>790</v>
      </c>
      <c r="C5407" t="s">
        <v>1801</v>
      </c>
      <c r="D5407" s="9"/>
    </row>
    <row r="5408" spans="1:5">
      <c r="A5408">
        <v>2022</v>
      </c>
      <c r="B5408" s="3" t="s">
        <v>777</v>
      </c>
      <c r="C5408" t="s">
        <v>1802</v>
      </c>
      <c r="D5408" s="9">
        <v>168937</v>
      </c>
      <c r="E5408">
        <v>1.182E-4</v>
      </c>
    </row>
    <row r="5409" spans="1:5">
      <c r="A5409">
        <v>2022</v>
      </c>
      <c r="B5409" s="3" t="s">
        <v>791</v>
      </c>
      <c r="C5409" t="s">
        <v>736</v>
      </c>
      <c r="D5409" s="9">
        <v>327330</v>
      </c>
      <c r="E5409">
        <v>2.2900000000000001E-4</v>
      </c>
    </row>
    <row r="5410" spans="1:5">
      <c r="A5410">
        <v>2022</v>
      </c>
      <c r="B5410" s="3" t="s">
        <v>792</v>
      </c>
      <c r="C5410" t="s">
        <v>1803</v>
      </c>
      <c r="D5410" s="9">
        <v>495540</v>
      </c>
      <c r="E5410">
        <v>3.4660000000000002E-4</v>
      </c>
    </row>
    <row r="5411" spans="1:5">
      <c r="A5411">
        <v>2022</v>
      </c>
      <c r="B5411" s="3" t="s">
        <v>793</v>
      </c>
      <c r="C5411" t="s">
        <v>1804</v>
      </c>
      <c r="D5411" s="9">
        <v>166242</v>
      </c>
      <c r="E5411">
        <v>1.1629999999999999E-4</v>
      </c>
    </row>
    <row r="5412" spans="1:5">
      <c r="A5412">
        <v>2022</v>
      </c>
      <c r="B5412" s="3" t="s">
        <v>794</v>
      </c>
      <c r="C5412" t="s">
        <v>1805</v>
      </c>
      <c r="D5412" s="9">
        <v>51039</v>
      </c>
      <c r="E5412">
        <v>3.57E-5</v>
      </c>
    </row>
    <row r="5413" spans="1:5">
      <c r="A5413">
        <v>2022</v>
      </c>
      <c r="B5413" s="3" t="s">
        <v>795</v>
      </c>
      <c r="C5413" t="s">
        <v>1806</v>
      </c>
      <c r="D5413" s="9">
        <v>48535717</v>
      </c>
      <c r="E5413">
        <v>3.3948899999999997E-2</v>
      </c>
    </row>
    <row r="5414" spans="1:5">
      <c r="A5414">
        <v>2022</v>
      </c>
      <c r="B5414" s="3" t="s">
        <v>445</v>
      </c>
      <c r="C5414" t="s">
        <v>1807</v>
      </c>
      <c r="D5414" s="9">
        <v>23097039</v>
      </c>
      <c r="E5414">
        <v>1.61555E-2</v>
      </c>
    </row>
    <row r="5415" spans="1:5">
      <c r="A5415">
        <v>2022</v>
      </c>
      <c r="B5415" s="3" t="s">
        <v>796</v>
      </c>
      <c r="C5415" t="s">
        <v>741</v>
      </c>
      <c r="D5415" s="9">
        <v>154778</v>
      </c>
      <c r="E5415">
        <v>1.083E-4</v>
      </c>
    </row>
    <row r="5416" spans="1:5">
      <c r="A5416">
        <v>2022</v>
      </c>
      <c r="B5416" s="3" t="s">
        <v>797</v>
      </c>
      <c r="C5416" t="s">
        <v>1808</v>
      </c>
      <c r="D5416" s="9">
        <v>480503</v>
      </c>
      <c r="E5416">
        <v>3.3609999999999998E-4</v>
      </c>
    </row>
    <row r="5417" spans="1:5">
      <c r="A5417">
        <v>2022</v>
      </c>
      <c r="B5417" s="3" t="s">
        <v>798</v>
      </c>
      <c r="C5417" t="s">
        <v>743</v>
      </c>
      <c r="D5417" s="9">
        <v>125556</v>
      </c>
      <c r="E5417">
        <v>8.7800000000000006E-5</v>
      </c>
    </row>
    <row r="5418" spans="1:5">
      <c r="A5418">
        <v>2022</v>
      </c>
      <c r="B5418" s="3" t="s">
        <v>799</v>
      </c>
      <c r="C5418" t="s">
        <v>1809</v>
      </c>
      <c r="D5418" s="9">
        <v>620185</v>
      </c>
      <c r="E5418">
        <v>4.3379999999999997E-4</v>
      </c>
    </row>
    <row r="5419" spans="1:5">
      <c r="A5419">
        <v>2022</v>
      </c>
      <c r="B5419" s="3" t="s">
        <v>1235</v>
      </c>
      <c r="C5419" t="s">
        <v>1810</v>
      </c>
      <c r="D5419" s="9">
        <v>124739</v>
      </c>
      <c r="E5419">
        <v>8.7200000000000005E-5</v>
      </c>
    </row>
    <row r="5420" spans="1:5">
      <c r="A5420">
        <v>2022</v>
      </c>
      <c r="B5420" s="3" t="s">
        <v>800</v>
      </c>
      <c r="C5420" t="s">
        <v>745</v>
      </c>
      <c r="D5420" s="9">
        <v>93201</v>
      </c>
      <c r="E5420">
        <v>6.5199999999999999E-5</v>
      </c>
    </row>
    <row r="5421" spans="1:5">
      <c r="A5421">
        <v>2022</v>
      </c>
      <c r="B5421" s="3" t="s">
        <v>801</v>
      </c>
      <c r="C5421" t="s">
        <v>1811</v>
      </c>
      <c r="D5421" s="9">
        <v>862201</v>
      </c>
      <c r="E5421">
        <v>6.0309999999999997E-4</v>
      </c>
    </row>
    <row r="5422" spans="1:5">
      <c r="A5422">
        <v>2022</v>
      </c>
      <c r="B5422" s="3" t="s">
        <v>802</v>
      </c>
      <c r="C5422" t="s">
        <v>1812</v>
      </c>
      <c r="D5422" s="9">
        <v>46932</v>
      </c>
      <c r="E5422">
        <v>3.2799999999999998E-5</v>
      </c>
    </row>
    <row r="5423" spans="1:5">
      <c r="A5423">
        <v>2022</v>
      </c>
      <c r="B5423" s="3" t="s">
        <v>803</v>
      </c>
      <c r="C5423" t="s">
        <v>748</v>
      </c>
      <c r="D5423" s="9">
        <v>291151</v>
      </c>
      <c r="E5423">
        <v>2.0359999999999999E-4</v>
      </c>
    </row>
    <row r="5424" spans="1:5">
      <c r="A5424">
        <v>2022</v>
      </c>
      <c r="B5424" s="3" t="s">
        <v>804</v>
      </c>
      <c r="C5424" t="s">
        <v>749</v>
      </c>
      <c r="D5424" s="9">
        <v>379920</v>
      </c>
      <c r="E5424">
        <v>2.6570000000000001E-4</v>
      </c>
    </row>
    <row r="5425" spans="1:5">
      <c r="A5425">
        <v>2022</v>
      </c>
      <c r="B5425" s="3" t="s">
        <v>805</v>
      </c>
      <c r="C5425" t="s">
        <v>750</v>
      </c>
      <c r="D5425" s="9">
        <v>2034477</v>
      </c>
      <c r="E5425">
        <v>1.423E-3</v>
      </c>
    </row>
    <row r="5426" spans="1:5">
      <c r="A5426">
        <v>2022</v>
      </c>
      <c r="B5426" s="3" t="s">
        <v>806</v>
      </c>
      <c r="C5426" t="s">
        <v>751</v>
      </c>
      <c r="D5426" s="9">
        <v>5316823</v>
      </c>
      <c r="E5426">
        <v>3.7188999999999998E-3</v>
      </c>
    </row>
    <row r="5427" spans="1:5">
      <c r="A5427">
        <v>2022</v>
      </c>
      <c r="B5427" s="3" t="s">
        <v>807</v>
      </c>
      <c r="C5427" t="s">
        <v>752</v>
      </c>
      <c r="D5427" s="9">
        <v>103834</v>
      </c>
      <c r="E5427">
        <v>7.2600000000000003E-5</v>
      </c>
    </row>
    <row r="5428" spans="1:5">
      <c r="A5428">
        <v>2022</v>
      </c>
      <c r="B5428" s="3" t="s">
        <v>808</v>
      </c>
      <c r="C5428" t="s">
        <v>2430</v>
      </c>
      <c r="D5428" s="9"/>
    </row>
    <row r="5429" spans="1:5">
      <c r="A5429">
        <v>2022</v>
      </c>
      <c r="B5429" s="3" t="s">
        <v>2431</v>
      </c>
      <c r="C5429" t="s">
        <v>2430</v>
      </c>
      <c r="D5429" s="9">
        <v>194135</v>
      </c>
      <c r="E5429">
        <v>1.3579999999999999E-4</v>
      </c>
    </row>
    <row r="5430" spans="1:5">
      <c r="A5430">
        <v>2022</v>
      </c>
      <c r="B5430" s="3" t="s">
        <v>809</v>
      </c>
      <c r="C5430" t="s">
        <v>1814</v>
      </c>
      <c r="D5430" s="9">
        <v>726265</v>
      </c>
      <c r="E5430">
        <v>5.0799999999999999E-4</v>
      </c>
    </row>
    <row r="5431" spans="1:5">
      <c r="A5431">
        <v>2022</v>
      </c>
      <c r="B5431" s="3" t="s">
        <v>1470</v>
      </c>
      <c r="C5431" t="s">
        <v>1815</v>
      </c>
      <c r="D5431" s="9">
        <v>19215</v>
      </c>
      <c r="E5431">
        <v>1.34E-5</v>
      </c>
    </row>
    <row r="5432" spans="1:5">
      <c r="A5432">
        <v>2022</v>
      </c>
      <c r="B5432" s="3" t="s">
        <v>810</v>
      </c>
      <c r="C5432" t="s">
        <v>1816</v>
      </c>
      <c r="D5432" s="9">
        <v>143634</v>
      </c>
      <c r="E5432">
        <v>1.005E-4</v>
      </c>
    </row>
    <row r="5433" spans="1:5">
      <c r="A5433">
        <v>2022</v>
      </c>
      <c r="B5433" s="3" t="s">
        <v>812</v>
      </c>
      <c r="C5433" t="s">
        <v>1818</v>
      </c>
      <c r="D5433" s="9">
        <v>1098478</v>
      </c>
      <c r="E5433">
        <v>7.6829999999999997E-4</v>
      </c>
    </row>
    <row r="5434" spans="1:5">
      <c r="A5434">
        <v>2022</v>
      </c>
      <c r="B5434" s="3" t="s">
        <v>813</v>
      </c>
      <c r="C5434" t="s">
        <v>1819</v>
      </c>
      <c r="D5434" s="9">
        <v>127704</v>
      </c>
      <c r="E5434">
        <v>8.9300000000000002E-5</v>
      </c>
    </row>
    <row r="5435" spans="1:5">
      <c r="A5435">
        <v>2022</v>
      </c>
      <c r="B5435" s="3" t="s">
        <v>814</v>
      </c>
      <c r="C5435" t="s">
        <v>1820</v>
      </c>
      <c r="D5435" s="9">
        <v>64299</v>
      </c>
      <c r="E5435">
        <v>4.5000000000000003E-5</v>
      </c>
    </row>
    <row r="5436" spans="1:5">
      <c r="A5436">
        <v>2022</v>
      </c>
      <c r="B5436" s="3" t="s">
        <v>815</v>
      </c>
      <c r="C5436" t="s">
        <v>760</v>
      </c>
      <c r="D5436" s="9">
        <v>52054</v>
      </c>
      <c r="E5436">
        <v>3.6399999999999997E-5</v>
      </c>
    </row>
    <row r="5437" spans="1:5">
      <c r="A5437">
        <v>2022</v>
      </c>
      <c r="B5437" s="3" t="s">
        <v>816</v>
      </c>
      <c r="C5437" t="s">
        <v>761</v>
      </c>
      <c r="D5437" s="9">
        <v>54394</v>
      </c>
      <c r="E5437">
        <v>3.8000000000000002E-5</v>
      </c>
    </row>
    <row r="5438" spans="1:5">
      <c r="A5438">
        <v>2022</v>
      </c>
      <c r="B5438" s="3" t="s">
        <v>817</v>
      </c>
      <c r="C5438" t="s">
        <v>762</v>
      </c>
      <c r="D5438" s="9">
        <v>111742</v>
      </c>
      <c r="E5438">
        <v>7.8200000000000003E-5</v>
      </c>
    </row>
    <row r="5439" spans="1:5">
      <c r="A5439">
        <v>2022</v>
      </c>
      <c r="B5439" s="3" t="s">
        <v>818</v>
      </c>
      <c r="C5439" t="s">
        <v>2445</v>
      </c>
      <c r="D5439" s="9">
        <v>16433</v>
      </c>
      <c r="E5439">
        <v>1.15E-5</v>
      </c>
    </row>
    <row r="5440" spans="1:5">
      <c r="A5440">
        <v>2022</v>
      </c>
      <c r="B5440" s="3" t="s">
        <v>820</v>
      </c>
      <c r="C5440" t="s">
        <v>1822</v>
      </c>
      <c r="D5440" s="9">
        <v>889818</v>
      </c>
      <c r="E5440">
        <v>6.2239999999999995E-4</v>
      </c>
    </row>
    <row r="5441" spans="1:5">
      <c r="A5441">
        <v>2022</v>
      </c>
      <c r="B5441" s="3" t="s">
        <v>822</v>
      </c>
      <c r="C5441" t="s">
        <v>2406</v>
      </c>
      <c r="D5441" s="9">
        <v>200569</v>
      </c>
      <c r="E5441">
        <v>1.403E-4</v>
      </c>
    </row>
    <row r="5442" spans="1:5">
      <c r="A5442">
        <v>2022</v>
      </c>
      <c r="B5442" s="3" t="s">
        <v>880</v>
      </c>
      <c r="C5442" t="s">
        <v>2407</v>
      </c>
      <c r="D5442" s="9">
        <v>833858</v>
      </c>
      <c r="E5442">
        <v>5.8330000000000003E-4</v>
      </c>
    </row>
    <row r="5443" spans="1:5">
      <c r="A5443">
        <v>2022</v>
      </c>
      <c r="B5443" s="3" t="s">
        <v>884</v>
      </c>
      <c r="C5443" t="s">
        <v>829</v>
      </c>
      <c r="D5443" s="9">
        <v>2428108</v>
      </c>
      <c r="E5443">
        <v>1.6984000000000001E-3</v>
      </c>
    </row>
    <row r="5444" spans="1:5">
      <c r="A5444">
        <v>2022</v>
      </c>
      <c r="B5444" s="3" t="s">
        <v>881</v>
      </c>
      <c r="C5444" t="s">
        <v>1825</v>
      </c>
      <c r="D5444" s="9">
        <v>31761</v>
      </c>
      <c r="E5444">
        <v>2.2200000000000001E-5</v>
      </c>
    </row>
    <row r="5445" spans="1:5">
      <c r="A5445">
        <v>2022</v>
      </c>
      <c r="B5445" s="3" t="s">
        <v>885</v>
      </c>
      <c r="C5445" t="s">
        <v>1828</v>
      </c>
      <c r="D5445" s="9">
        <v>152698</v>
      </c>
      <c r="E5445">
        <v>1.0679999999999999E-4</v>
      </c>
    </row>
    <row r="5446" spans="1:5">
      <c r="A5446">
        <v>2022</v>
      </c>
      <c r="B5446" s="3" t="s">
        <v>886</v>
      </c>
      <c r="C5446" t="s">
        <v>1829</v>
      </c>
      <c r="D5446" s="9">
        <v>47267</v>
      </c>
      <c r="E5446">
        <v>3.3099999999999998E-5</v>
      </c>
    </row>
    <row r="5447" spans="1:5">
      <c r="A5447">
        <v>2022</v>
      </c>
      <c r="B5447" s="3" t="s">
        <v>887</v>
      </c>
      <c r="C5447" t="s">
        <v>1830</v>
      </c>
      <c r="D5447" s="9">
        <v>99258</v>
      </c>
      <c r="E5447">
        <v>6.9400000000000006E-5</v>
      </c>
    </row>
    <row r="5448" spans="1:5">
      <c r="A5448">
        <v>2022</v>
      </c>
      <c r="B5448" s="3" t="s">
        <v>888</v>
      </c>
      <c r="C5448" t="s">
        <v>1831</v>
      </c>
      <c r="D5448" s="9">
        <v>33367</v>
      </c>
      <c r="E5448">
        <v>2.3300000000000001E-5</v>
      </c>
    </row>
    <row r="5449" spans="1:5">
      <c r="A5449">
        <v>2022</v>
      </c>
      <c r="B5449" s="3" t="s">
        <v>890</v>
      </c>
      <c r="C5449" t="s">
        <v>1832</v>
      </c>
      <c r="D5449" s="9">
        <v>3446954</v>
      </c>
      <c r="E5449">
        <v>2.4109999999999999E-3</v>
      </c>
    </row>
    <row r="5450" spans="1:5">
      <c r="A5450">
        <v>2022</v>
      </c>
      <c r="B5450" s="3" t="s">
        <v>446</v>
      </c>
      <c r="C5450" t="s">
        <v>1833</v>
      </c>
      <c r="D5450" s="9">
        <v>836016</v>
      </c>
      <c r="E5450">
        <v>5.8480000000000001E-4</v>
      </c>
    </row>
    <row r="5451" spans="1:5">
      <c r="A5451">
        <v>2022</v>
      </c>
      <c r="B5451" s="3" t="s">
        <v>821</v>
      </c>
      <c r="C5451" t="s">
        <v>1834</v>
      </c>
      <c r="D5451" s="9">
        <v>182080</v>
      </c>
      <c r="E5451">
        <v>1.2740000000000001E-4</v>
      </c>
    </row>
    <row r="5452" spans="1:5">
      <c r="A5452">
        <v>2022</v>
      </c>
      <c r="B5452" s="3" t="s">
        <v>891</v>
      </c>
      <c r="C5452" t="s">
        <v>1835</v>
      </c>
      <c r="D5452" s="9">
        <v>60827</v>
      </c>
      <c r="E5452">
        <v>4.2500000000000003E-5</v>
      </c>
    </row>
    <row r="5453" spans="1:5">
      <c r="A5453">
        <v>2022</v>
      </c>
      <c r="B5453" s="3" t="s">
        <v>892</v>
      </c>
      <c r="C5453" t="s">
        <v>1836</v>
      </c>
      <c r="D5453" s="9">
        <v>72227</v>
      </c>
      <c r="E5453">
        <v>5.0500000000000001E-5</v>
      </c>
    </row>
    <row r="5454" spans="1:5">
      <c r="A5454">
        <v>2022</v>
      </c>
      <c r="B5454" s="3" t="s">
        <v>896</v>
      </c>
      <c r="C5454" t="s">
        <v>1837</v>
      </c>
      <c r="D5454" s="9">
        <v>60141</v>
      </c>
      <c r="E5454">
        <v>4.21E-5</v>
      </c>
    </row>
    <row r="5455" spans="1:5">
      <c r="A5455">
        <v>2022</v>
      </c>
      <c r="B5455" s="3" t="s">
        <v>824</v>
      </c>
      <c r="C5455" t="s">
        <v>1839</v>
      </c>
      <c r="D5455" s="9">
        <v>442889</v>
      </c>
      <c r="E5455">
        <v>3.098E-4</v>
      </c>
    </row>
    <row r="5456" spans="1:5">
      <c r="A5456">
        <v>2022</v>
      </c>
      <c r="B5456" s="3" t="s">
        <v>823</v>
      </c>
      <c r="C5456" t="s">
        <v>1840</v>
      </c>
      <c r="D5456" s="9">
        <v>1054235</v>
      </c>
      <c r="E5456">
        <v>7.3740000000000003E-4</v>
      </c>
    </row>
    <row r="5457" spans="1:5">
      <c r="A5457">
        <v>2022</v>
      </c>
      <c r="B5457" s="3" t="s">
        <v>893</v>
      </c>
      <c r="C5457" t="s">
        <v>2432</v>
      </c>
      <c r="D5457" s="9">
        <v>7094</v>
      </c>
      <c r="E5457">
        <v>5.0000000000000004E-6</v>
      </c>
    </row>
    <row r="5458" spans="1:5">
      <c r="A5458">
        <v>2022</v>
      </c>
      <c r="B5458" s="3" t="s">
        <v>897</v>
      </c>
      <c r="C5458" t="s">
        <v>1841</v>
      </c>
      <c r="D5458" s="9">
        <v>696646</v>
      </c>
      <c r="E5458">
        <v>4.8730000000000003E-4</v>
      </c>
    </row>
    <row r="5459" spans="1:5">
      <c r="A5459">
        <v>2022</v>
      </c>
      <c r="B5459" s="3" t="s">
        <v>894</v>
      </c>
      <c r="C5459" t="s">
        <v>839</v>
      </c>
      <c r="D5459" s="9">
        <v>15222292</v>
      </c>
      <c r="E5459">
        <v>1.06474E-2</v>
      </c>
    </row>
    <row r="5460" spans="1:5">
      <c r="A5460">
        <v>2022</v>
      </c>
      <c r="B5460" s="3" t="s">
        <v>895</v>
      </c>
      <c r="C5460" t="s">
        <v>1842</v>
      </c>
      <c r="D5460" s="9">
        <v>42582</v>
      </c>
      <c r="E5460">
        <v>2.9799999999999999E-5</v>
      </c>
    </row>
    <row r="5461" spans="1:5">
      <c r="A5461">
        <v>2022</v>
      </c>
      <c r="B5461" s="3" t="s">
        <v>898</v>
      </c>
      <c r="C5461" t="s">
        <v>843</v>
      </c>
      <c r="D5461" s="9">
        <v>1667028</v>
      </c>
      <c r="E5461">
        <v>1.1659999999999999E-3</v>
      </c>
    </row>
    <row r="5462" spans="1:5">
      <c r="A5462">
        <v>2022</v>
      </c>
      <c r="B5462" s="3" t="s">
        <v>899</v>
      </c>
      <c r="C5462" t="s">
        <v>844</v>
      </c>
      <c r="D5462" s="9">
        <v>426415</v>
      </c>
      <c r="E5462">
        <v>2.9829999999999999E-4</v>
      </c>
    </row>
    <row r="5463" spans="1:5">
      <c r="A5463">
        <v>2022</v>
      </c>
      <c r="B5463" s="3" t="s">
        <v>900</v>
      </c>
      <c r="C5463" t="s">
        <v>845</v>
      </c>
      <c r="D5463" s="9">
        <v>390320</v>
      </c>
      <c r="E5463">
        <v>2.7300000000000002E-4</v>
      </c>
    </row>
    <row r="5464" spans="1:5">
      <c r="A5464">
        <v>2022</v>
      </c>
      <c r="B5464" s="3" t="s">
        <v>901</v>
      </c>
      <c r="C5464" t="s">
        <v>846</v>
      </c>
      <c r="D5464" s="9">
        <v>146084</v>
      </c>
      <c r="E5464">
        <v>1.022E-4</v>
      </c>
    </row>
    <row r="5465" spans="1:5">
      <c r="A5465">
        <v>2022</v>
      </c>
      <c r="B5465" s="3" t="s">
        <v>902</v>
      </c>
      <c r="C5465" t="s">
        <v>1843</v>
      </c>
      <c r="D5465" s="9">
        <v>360912</v>
      </c>
      <c r="E5465">
        <v>2.5240000000000001E-4</v>
      </c>
    </row>
    <row r="5466" spans="1:5">
      <c r="A5466">
        <v>2022</v>
      </c>
      <c r="B5466" s="3" t="s">
        <v>1236</v>
      </c>
      <c r="C5466" t="s">
        <v>1844</v>
      </c>
      <c r="D5466" s="9">
        <v>1744485</v>
      </c>
      <c r="E5466">
        <v>1.2202000000000001E-3</v>
      </c>
    </row>
    <row r="5467" spans="1:5">
      <c r="A5467">
        <v>2022</v>
      </c>
      <c r="B5467" s="3" t="s">
        <v>903</v>
      </c>
      <c r="C5467" t="s">
        <v>1845</v>
      </c>
      <c r="D5467" s="9">
        <v>2373877</v>
      </c>
      <c r="E5467">
        <v>1.6604E-3</v>
      </c>
    </row>
    <row r="5468" spans="1:5">
      <c r="A5468">
        <v>2022</v>
      </c>
      <c r="B5468" s="3" t="s">
        <v>904</v>
      </c>
      <c r="C5468" t="s">
        <v>1846</v>
      </c>
      <c r="D5468" s="9">
        <v>24177</v>
      </c>
      <c r="E5468">
        <v>1.6900000000000001E-5</v>
      </c>
    </row>
    <row r="5469" spans="1:5">
      <c r="A5469">
        <v>2022</v>
      </c>
      <c r="B5469" s="3" t="s">
        <v>905</v>
      </c>
      <c r="C5469" t="s">
        <v>1847</v>
      </c>
      <c r="D5469" s="9">
        <v>60124</v>
      </c>
      <c r="E5469">
        <v>4.21E-5</v>
      </c>
    </row>
    <row r="5470" spans="1:5">
      <c r="A5470">
        <v>2022</v>
      </c>
      <c r="B5470" s="3" t="s">
        <v>906</v>
      </c>
      <c r="C5470" t="s">
        <v>1848</v>
      </c>
      <c r="D5470" s="9">
        <v>1714494</v>
      </c>
      <c r="E5470">
        <v>1.1992000000000001E-3</v>
      </c>
    </row>
    <row r="5471" spans="1:5">
      <c r="A5471">
        <v>2022</v>
      </c>
      <c r="B5471" s="3" t="s">
        <v>447</v>
      </c>
      <c r="C5471" t="s">
        <v>1849</v>
      </c>
      <c r="D5471" s="9">
        <v>828411</v>
      </c>
      <c r="E5471">
        <v>5.7939999999999999E-4</v>
      </c>
    </row>
    <row r="5472" spans="1:5">
      <c r="A5472">
        <v>2022</v>
      </c>
      <c r="B5472" s="3" t="s">
        <v>1034</v>
      </c>
      <c r="C5472" t="s">
        <v>1850</v>
      </c>
      <c r="D5472" s="9">
        <v>262314</v>
      </c>
      <c r="E5472">
        <v>1.8349999999999999E-4</v>
      </c>
    </row>
    <row r="5473" spans="1:5">
      <c r="A5473">
        <v>2022</v>
      </c>
      <c r="B5473" s="3" t="s">
        <v>908</v>
      </c>
      <c r="C5473" t="s">
        <v>1851</v>
      </c>
      <c r="D5473" s="9">
        <v>352079</v>
      </c>
      <c r="E5473">
        <v>2.4630000000000002E-4</v>
      </c>
    </row>
    <row r="5474" spans="1:5">
      <c r="A5474">
        <v>2022</v>
      </c>
      <c r="B5474" s="3" t="s">
        <v>909</v>
      </c>
      <c r="C5474" t="s">
        <v>1852</v>
      </c>
      <c r="D5474" s="9">
        <v>147352</v>
      </c>
      <c r="E5474">
        <v>1.031E-4</v>
      </c>
    </row>
    <row r="5475" spans="1:5">
      <c r="A5475">
        <v>2022</v>
      </c>
      <c r="B5475" s="3" t="s">
        <v>910</v>
      </c>
      <c r="C5475" t="s">
        <v>1853</v>
      </c>
      <c r="D5475" s="9">
        <v>657016</v>
      </c>
      <c r="E5475">
        <v>4.596E-4</v>
      </c>
    </row>
    <row r="5476" spans="1:5">
      <c r="A5476">
        <v>2022</v>
      </c>
      <c r="B5476" s="3" t="s">
        <v>912</v>
      </c>
      <c r="C5476" t="s">
        <v>1854</v>
      </c>
      <c r="D5476" s="9">
        <v>1482376</v>
      </c>
      <c r="E5476">
        <v>1.0369000000000001E-3</v>
      </c>
    </row>
    <row r="5477" spans="1:5">
      <c r="A5477">
        <v>2022</v>
      </c>
      <c r="B5477" s="3" t="s">
        <v>911</v>
      </c>
      <c r="C5477" t="s">
        <v>1855</v>
      </c>
      <c r="D5477" s="9">
        <v>22256385</v>
      </c>
      <c r="E5477">
        <v>1.55675E-2</v>
      </c>
    </row>
    <row r="5478" spans="1:5">
      <c r="A5478">
        <v>2022</v>
      </c>
      <c r="B5478" s="3" t="s">
        <v>1237</v>
      </c>
      <c r="C5478" t="s">
        <v>1856</v>
      </c>
      <c r="D5478" s="9">
        <v>675619</v>
      </c>
      <c r="E5478">
        <v>4.7259999999999999E-4</v>
      </c>
    </row>
    <row r="5479" spans="1:5">
      <c r="A5479">
        <v>2022</v>
      </c>
      <c r="B5479" s="3" t="s">
        <v>1474</v>
      </c>
      <c r="C5479" t="s">
        <v>1473</v>
      </c>
      <c r="D5479" s="9"/>
    </row>
    <row r="5480" spans="1:5">
      <c r="A5480">
        <v>2022</v>
      </c>
      <c r="B5480" s="3" t="s">
        <v>913</v>
      </c>
      <c r="C5480" t="s">
        <v>1857</v>
      </c>
      <c r="D5480" s="9">
        <v>102744</v>
      </c>
      <c r="E5480">
        <v>7.1899999999999999E-5</v>
      </c>
    </row>
    <row r="5481" spans="1:5">
      <c r="A5481">
        <v>2022</v>
      </c>
      <c r="B5481" s="3" t="s">
        <v>914</v>
      </c>
      <c r="C5481" t="s">
        <v>1858</v>
      </c>
      <c r="D5481" s="9">
        <v>56609</v>
      </c>
      <c r="E5481">
        <v>3.96E-5</v>
      </c>
    </row>
    <row r="5482" spans="1:5">
      <c r="A5482">
        <v>2022</v>
      </c>
      <c r="B5482" s="3" t="s">
        <v>915</v>
      </c>
      <c r="C5482" t="s">
        <v>1859</v>
      </c>
      <c r="D5482" s="9">
        <v>1371388</v>
      </c>
      <c r="E5482">
        <v>9.592E-4</v>
      </c>
    </row>
    <row r="5483" spans="1:5">
      <c r="A5483">
        <v>2022</v>
      </c>
      <c r="B5483" s="3" t="s">
        <v>1238</v>
      </c>
      <c r="C5483" t="s">
        <v>1860</v>
      </c>
      <c r="D5483" s="9">
        <v>194320</v>
      </c>
      <c r="E5483">
        <v>1.359E-4</v>
      </c>
    </row>
    <row r="5484" spans="1:5">
      <c r="A5484">
        <v>2022</v>
      </c>
      <c r="B5484" s="3" t="s">
        <v>917</v>
      </c>
      <c r="C5484" t="s">
        <v>1861</v>
      </c>
      <c r="D5484" s="9">
        <v>68909</v>
      </c>
      <c r="E5484">
        <v>4.8199999999999999E-5</v>
      </c>
    </row>
    <row r="5485" spans="1:5">
      <c r="A5485">
        <v>2022</v>
      </c>
      <c r="B5485" s="3" t="s">
        <v>918</v>
      </c>
      <c r="C5485" t="s">
        <v>863</v>
      </c>
      <c r="D5485" s="9">
        <v>24053</v>
      </c>
      <c r="E5485">
        <v>1.6799999999999998E-5</v>
      </c>
    </row>
    <row r="5486" spans="1:5">
      <c r="A5486">
        <v>2022</v>
      </c>
      <c r="B5486" s="3" t="s">
        <v>919</v>
      </c>
      <c r="C5486" t="s">
        <v>1862</v>
      </c>
      <c r="D5486" s="9">
        <v>158973</v>
      </c>
      <c r="E5486">
        <v>1.1120000000000001E-4</v>
      </c>
    </row>
    <row r="5487" spans="1:5">
      <c r="A5487">
        <v>2022</v>
      </c>
      <c r="B5487" s="3" t="s">
        <v>1239</v>
      </c>
      <c r="C5487" t="s">
        <v>1863</v>
      </c>
      <c r="D5487" s="9">
        <v>44888</v>
      </c>
      <c r="E5487">
        <v>3.1399999999999998E-5</v>
      </c>
    </row>
    <row r="5488" spans="1:5">
      <c r="A5488">
        <v>2022</v>
      </c>
      <c r="B5488" s="3" t="s">
        <v>1030</v>
      </c>
      <c r="C5488" t="s">
        <v>1864</v>
      </c>
      <c r="D5488" s="9">
        <v>53029</v>
      </c>
      <c r="E5488">
        <v>3.7100000000000001E-5</v>
      </c>
    </row>
    <row r="5489" spans="1:5">
      <c r="A5489">
        <v>2022</v>
      </c>
      <c r="B5489" s="3" t="s">
        <v>921</v>
      </c>
      <c r="C5489" t="s">
        <v>1865</v>
      </c>
      <c r="D5489" s="9">
        <v>1576006</v>
      </c>
      <c r="E5489">
        <v>1.1023999999999999E-3</v>
      </c>
    </row>
    <row r="5490" spans="1:5">
      <c r="A5490">
        <v>2022</v>
      </c>
      <c r="B5490" s="3" t="s">
        <v>1240</v>
      </c>
      <c r="C5490" t="s">
        <v>1866</v>
      </c>
      <c r="D5490" s="9">
        <v>771054</v>
      </c>
      <c r="E5490">
        <v>5.3930000000000004E-4</v>
      </c>
    </row>
    <row r="5491" spans="1:5">
      <c r="A5491">
        <v>2022</v>
      </c>
      <c r="B5491" s="3" t="s">
        <v>922</v>
      </c>
      <c r="C5491" t="s">
        <v>1867</v>
      </c>
      <c r="D5491" s="9">
        <v>244083</v>
      </c>
      <c r="E5491">
        <v>1.707E-4</v>
      </c>
    </row>
    <row r="5492" spans="1:5">
      <c r="A5492">
        <v>2022</v>
      </c>
      <c r="B5492" s="3" t="s">
        <v>923</v>
      </c>
      <c r="C5492" t="s">
        <v>868</v>
      </c>
      <c r="D5492" s="9">
        <v>93988</v>
      </c>
      <c r="E5492">
        <v>6.5699999999999998E-5</v>
      </c>
    </row>
    <row r="5493" spans="1:5">
      <c r="A5493">
        <v>2022</v>
      </c>
      <c r="B5493" s="3" t="s">
        <v>924</v>
      </c>
      <c r="C5493" t="s">
        <v>1868</v>
      </c>
      <c r="D5493" s="9">
        <v>116015</v>
      </c>
      <c r="E5493">
        <v>8.1100000000000006E-5</v>
      </c>
    </row>
    <row r="5494" spans="1:5">
      <c r="A5494">
        <v>2022</v>
      </c>
      <c r="B5494" s="3" t="s">
        <v>925</v>
      </c>
      <c r="C5494" t="s">
        <v>1869</v>
      </c>
      <c r="D5494" s="9">
        <v>5167805</v>
      </c>
      <c r="E5494">
        <v>3.6147000000000002E-3</v>
      </c>
    </row>
    <row r="5495" spans="1:5">
      <c r="A5495">
        <v>2022</v>
      </c>
      <c r="B5495" s="3" t="s">
        <v>926</v>
      </c>
      <c r="C5495" t="s">
        <v>1870</v>
      </c>
      <c r="D5495" s="9">
        <v>22464490</v>
      </c>
      <c r="E5495">
        <v>1.5713100000000001E-2</v>
      </c>
    </row>
    <row r="5496" spans="1:5">
      <c r="A5496">
        <v>2022</v>
      </c>
      <c r="B5496" s="3" t="s">
        <v>448</v>
      </c>
      <c r="C5496" t="s">
        <v>1871</v>
      </c>
      <c r="D5496" s="9">
        <v>7351653</v>
      </c>
      <c r="E5496">
        <v>5.1422000000000004E-3</v>
      </c>
    </row>
    <row r="5497" spans="1:5">
      <c r="A5497">
        <v>2022</v>
      </c>
      <c r="B5497" s="3" t="s">
        <v>927</v>
      </c>
      <c r="C5497" t="s">
        <v>1872</v>
      </c>
      <c r="D5497" s="9">
        <v>5639253</v>
      </c>
      <c r="E5497">
        <v>3.9443999999999998E-3</v>
      </c>
    </row>
    <row r="5498" spans="1:5">
      <c r="A5498">
        <v>2022</v>
      </c>
      <c r="B5498" s="3" t="s">
        <v>930</v>
      </c>
      <c r="C5498" t="s">
        <v>1873</v>
      </c>
      <c r="D5498" s="9">
        <v>58058</v>
      </c>
      <c r="E5498">
        <v>4.0599999999999998E-5</v>
      </c>
    </row>
    <row r="5499" spans="1:5">
      <c r="A5499">
        <v>2022</v>
      </c>
      <c r="B5499" s="3" t="s">
        <v>929</v>
      </c>
      <c r="C5499" t="s">
        <v>1874</v>
      </c>
      <c r="D5499" s="9">
        <v>23182262</v>
      </c>
      <c r="E5499">
        <v>1.62151E-2</v>
      </c>
    </row>
    <row r="5500" spans="1:5">
      <c r="A5500">
        <v>2022</v>
      </c>
      <c r="B5500" s="3" t="s">
        <v>928</v>
      </c>
      <c r="C5500" t="s">
        <v>1875</v>
      </c>
      <c r="D5500" s="9">
        <v>854389</v>
      </c>
      <c r="E5500">
        <v>5.976E-4</v>
      </c>
    </row>
    <row r="5501" spans="1:5">
      <c r="A5501">
        <v>2022</v>
      </c>
      <c r="B5501" s="3" t="s">
        <v>931</v>
      </c>
      <c r="C5501" t="s">
        <v>1876</v>
      </c>
      <c r="D5501" s="9">
        <v>114413</v>
      </c>
      <c r="E5501">
        <v>8.0000000000000007E-5</v>
      </c>
    </row>
    <row r="5502" spans="1:5">
      <c r="A5502">
        <v>2022</v>
      </c>
      <c r="B5502" s="3" t="s">
        <v>932</v>
      </c>
      <c r="C5502" t="s">
        <v>1877</v>
      </c>
      <c r="D5502" s="9">
        <v>9005</v>
      </c>
      <c r="E5502">
        <v>6.2999999999999998E-6</v>
      </c>
    </row>
    <row r="5503" spans="1:5">
      <c r="A5503">
        <v>2022</v>
      </c>
      <c r="B5503" s="3" t="s">
        <v>933</v>
      </c>
      <c r="C5503" t="s">
        <v>1878</v>
      </c>
      <c r="D5503" s="9">
        <v>17611</v>
      </c>
      <c r="E5503">
        <v>1.2300000000000001E-5</v>
      </c>
    </row>
    <row r="5504" spans="1:5">
      <c r="A5504">
        <v>2022</v>
      </c>
      <c r="B5504" s="3" t="s">
        <v>992</v>
      </c>
      <c r="C5504" t="s">
        <v>1879</v>
      </c>
      <c r="D5504" s="9">
        <v>77127</v>
      </c>
      <c r="E5504">
        <v>5.3900000000000002E-5</v>
      </c>
    </row>
    <row r="5505" spans="1:5">
      <c r="A5505">
        <v>2022</v>
      </c>
      <c r="B5505" s="3" t="s">
        <v>934</v>
      </c>
      <c r="C5505" t="s">
        <v>1880</v>
      </c>
      <c r="D5505" s="9">
        <v>503613</v>
      </c>
      <c r="E5505">
        <v>3.523E-4</v>
      </c>
    </row>
    <row r="5506" spans="1:5">
      <c r="A5506">
        <v>2022</v>
      </c>
      <c r="B5506" s="3" t="s">
        <v>990</v>
      </c>
      <c r="C5506" t="s">
        <v>935</v>
      </c>
      <c r="D5506" s="9">
        <v>8527343</v>
      </c>
      <c r="E5506">
        <v>5.9645999999999996E-3</v>
      </c>
    </row>
    <row r="5507" spans="1:5">
      <c r="A5507">
        <v>2022</v>
      </c>
      <c r="B5507" s="3" t="s">
        <v>991</v>
      </c>
      <c r="C5507" t="s">
        <v>936</v>
      </c>
      <c r="D5507" s="9">
        <v>30167635</v>
      </c>
      <c r="E5507">
        <v>2.1101100000000001E-2</v>
      </c>
    </row>
    <row r="5508" spans="1:5">
      <c r="A5508">
        <v>2022</v>
      </c>
      <c r="B5508" s="3" t="s">
        <v>993</v>
      </c>
      <c r="C5508" t="s">
        <v>1881</v>
      </c>
      <c r="D5508" s="9">
        <v>735750</v>
      </c>
      <c r="E5508">
        <v>5.1460000000000004E-4</v>
      </c>
    </row>
    <row r="5509" spans="1:5">
      <c r="A5509">
        <v>2022</v>
      </c>
      <c r="B5509" s="3" t="s">
        <v>1885</v>
      </c>
      <c r="C5509" t="s">
        <v>1882</v>
      </c>
      <c r="D5509" s="9"/>
    </row>
    <row r="5510" spans="1:5">
      <c r="A5510">
        <v>2022</v>
      </c>
      <c r="B5510" s="3" t="s">
        <v>994</v>
      </c>
      <c r="C5510" t="s">
        <v>939</v>
      </c>
      <c r="D5510" s="9">
        <v>7484</v>
      </c>
      <c r="E5510">
        <v>5.2000000000000002E-6</v>
      </c>
    </row>
    <row r="5511" spans="1:5">
      <c r="A5511">
        <v>2022</v>
      </c>
      <c r="B5511" s="3" t="s">
        <v>995</v>
      </c>
      <c r="C5511" t="s">
        <v>2434</v>
      </c>
      <c r="D5511" s="9">
        <v>82987</v>
      </c>
      <c r="E5511">
        <v>5.8E-5</v>
      </c>
    </row>
    <row r="5512" spans="1:5" ht="17" customHeight="1">
      <c r="A5512">
        <v>2022</v>
      </c>
      <c r="B5512" s="3" t="s">
        <v>996</v>
      </c>
      <c r="C5512" t="s">
        <v>2435</v>
      </c>
      <c r="D5512" s="9">
        <v>46711</v>
      </c>
      <c r="E5512">
        <v>3.2700000000000002E-5</v>
      </c>
    </row>
    <row r="5513" spans="1:5">
      <c r="A5513">
        <v>2022</v>
      </c>
      <c r="B5513" s="3" t="s">
        <v>997</v>
      </c>
      <c r="C5513" t="s">
        <v>2436</v>
      </c>
      <c r="D5513" s="9">
        <v>96256</v>
      </c>
      <c r="E5513">
        <v>6.7299999999999996E-5</v>
      </c>
    </row>
    <row r="5514" spans="1:5">
      <c r="A5514">
        <v>2022</v>
      </c>
      <c r="B5514" s="3" t="s">
        <v>999</v>
      </c>
      <c r="C5514" t="s">
        <v>1884</v>
      </c>
      <c r="D5514" s="9">
        <v>620330</v>
      </c>
      <c r="E5514">
        <v>4.3389999999999998E-4</v>
      </c>
    </row>
    <row r="5515" spans="1:5">
      <c r="A5515">
        <v>2022</v>
      </c>
      <c r="B5515" s="3" t="s">
        <v>1241</v>
      </c>
      <c r="C5515" t="s">
        <v>1886</v>
      </c>
      <c r="D5515" s="9">
        <v>49758</v>
      </c>
      <c r="E5515">
        <v>3.4799999999999999E-5</v>
      </c>
    </row>
    <row r="5516" spans="1:5">
      <c r="A5516">
        <v>2022</v>
      </c>
      <c r="B5516" s="3" t="s">
        <v>1001</v>
      </c>
      <c r="C5516" t="s">
        <v>2433</v>
      </c>
      <c r="D5516" s="9">
        <v>29790</v>
      </c>
      <c r="E5516">
        <v>2.0800000000000001E-5</v>
      </c>
    </row>
    <row r="5517" spans="1:5">
      <c r="A5517">
        <v>2022</v>
      </c>
      <c r="B5517" s="3" t="s">
        <v>1000</v>
      </c>
      <c r="C5517" t="s">
        <v>2384</v>
      </c>
      <c r="D5517" s="9">
        <v>21269</v>
      </c>
      <c r="E5517">
        <v>1.49E-5</v>
      </c>
    </row>
    <row r="5518" spans="1:5">
      <c r="A5518">
        <v>2022</v>
      </c>
      <c r="B5518" s="3" t="s">
        <v>1002</v>
      </c>
      <c r="C5518" t="s">
        <v>947</v>
      </c>
      <c r="D5518" s="9">
        <v>9606071</v>
      </c>
      <c r="E5518">
        <v>6.7191000000000004E-3</v>
      </c>
    </row>
    <row r="5519" spans="1:5">
      <c r="A5519">
        <v>2022</v>
      </c>
      <c r="B5519" s="3" t="s">
        <v>1003</v>
      </c>
      <c r="C5519" t="s">
        <v>1478</v>
      </c>
      <c r="D5519" s="9">
        <v>37229</v>
      </c>
      <c r="E5519">
        <v>2.5999999999999998E-5</v>
      </c>
    </row>
    <row r="5520" spans="1:5">
      <c r="A5520">
        <v>2022</v>
      </c>
      <c r="B5520" s="3" t="s">
        <v>1004</v>
      </c>
      <c r="C5520" t="s">
        <v>949</v>
      </c>
      <c r="D5520" s="9">
        <v>401758</v>
      </c>
      <c r="E5520">
        <v>2.81E-4</v>
      </c>
    </row>
    <row r="5521" spans="1:5">
      <c r="A5521">
        <v>2022</v>
      </c>
      <c r="B5521" s="3" t="s">
        <v>1005</v>
      </c>
      <c r="C5521" t="s">
        <v>1888</v>
      </c>
      <c r="D5521" s="9">
        <v>132297</v>
      </c>
      <c r="E5521">
        <v>9.2499999999999999E-5</v>
      </c>
    </row>
    <row r="5522" spans="1:5">
      <c r="A5522">
        <v>2022</v>
      </c>
      <c r="B5522" s="3" t="s">
        <v>1006</v>
      </c>
      <c r="C5522" t="s">
        <v>1889</v>
      </c>
      <c r="D5522" s="9">
        <v>267543</v>
      </c>
      <c r="E5522">
        <v>1.8709999999999999E-4</v>
      </c>
    </row>
    <row r="5523" spans="1:5">
      <c r="A5523">
        <v>2022</v>
      </c>
      <c r="B5523" s="3" t="s">
        <v>1007</v>
      </c>
      <c r="C5523" t="s">
        <v>1890</v>
      </c>
      <c r="D5523" s="9">
        <v>26923</v>
      </c>
      <c r="E5523">
        <v>1.88E-5</v>
      </c>
    </row>
    <row r="5524" spans="1:5">
      <c r="A5524">
        <v>2022</v>
      </c>
      <c r="B5524" s="3" t="s">
        <v>1008</v>
      </c>
      <c r="C5524" t="s">
        <v>2286</v>
      </c>
      <c r="D5524" s="9">
        <v>132320</v>
      </c>
      <c r="E5524">
        <v>9.2600000000000001E-5</v>
      </c>
    </row>
    <row r="5525" spans="1:5">
      <c r="A5525">
        <v>2022</v>
      </c>
      <c r="B5525" s="3" t="s">
        <v>1009</v>
      </c>
      <c r="C5525" t="s">
        <v>1892</v>
      </c>
      <c r="D5525" s="9">
        <v>36266</v>
      </c>
      <c r="E5525">
        <v>2.5400000000000001E-5</v>
      </c>
    </row>
    <row r="5526" spans="1:5">
      <c r="A5526">
        <v>2022</v>
      </c>
      <c r="B5526" s="3" t="s">
        <v>1010</v>
      </c>
      <c r="C5526" t="s">
        <v>1893</v>
      </c>
      <c r="D5526" s="9">
        <v>124352</v>
      </c>
      <c r="E5526">
        <v>8.7000000000000001E-5</v>
      </c>
    </row>
    <row r="5527" spans="1:5">
      <c r="A5527">
        <v>2022</v>
      </c>
      <c r="B5527" s="3" t="s">
        <v>1242</v>
      </c>
      <c r="C5527" t="s">
        <v>1894</v>
      </c>
      <c r="D5527" s="9">
        <v>283800</v>
      </c>
      <c r="E5527">
        <v>1.985E-4</v>
      </c>
    </row>
    <row r="5528" spans="1:5">
      <c r="A5528">
        <v>2022</v>
      </c>
      <c r="B5528" s="3" t="s">
        <v>1011</v>
      </c>
      <c r="C5528" t="s">
        <v>2288</v>
      </c>
      <c r="D5528" s="9">
        <v>13500</v>
      </c>
      <c r="E5528">
        <v>9.3999999999999998E-6</v>
      </c>
    </row>
    <row r="5529" spans="1:5">
      <c r="A5529">
        <v>2022</v>
      </c>
      <c r="B5529" s="3" t="s">
        <v>1012</v>
      </c>
      <c r="C5529" t="s">
        <v>957</v>
      </c>
      <c r="D5529" s="9">
        <v>87575</v>
      </c>
      <c r="E5529">
        <v>6.1299999999999999E-5</v>
      </c>
    </row>
    <row r="5530" spans="1:5">
      <c r="A5530">
        <v>2022</v>
      </c>
      <c r="B5530" s="3" t="s">
        <v>1013</v>
      </c>
      <c r="C5530" t="s">
        <v>2408</v>
      </c>
      <c r="D5530" s="9">
        <v>1245526</v>
      </c>
      <c r="E5530">
        <v>8.7120000000000003E-4</v>
      </c>
    </row>
    <row r="5531" spans="1:5">
      <c r="A5531">
        <v>2022</v>
      </c>
      <c r="B5531" s="3" t="s">
        <v>1016</v>
      </c>
      <c r="C5531" t="s">
        <v>1897</v>
      </c>
      <c r="D5531" s="9">
        <v>437333</v>
      </c>
      <c r="E5531">
        <v>3.0590000000000001E-4</v>
      </c>
    </row>
    <row r="5532" spans="1:5">
      <c r="A5532">
        <v>2022</v>
      </c>
      <c r="B5532" s="3" t="s">
        <v>1017</v>
      </c>
      <c r="C5532" t="s">
        <v>1898</v>
      </c>
      <c r="D5532" s="9">
        <v>96985</v>
      </c>
      <c r="E5532">
        <v>6.7799999999999995E-5</v>
      </c>
    </row>
    <row r="5533" spans="1:5">
      <c r="A5533">
        <v>2022</v>
      </c>
      <c r="B5533" s="3" t="s">
        <v>1018</v>
      </c>
      <c r="C5533" t="s">
        <v>2444</v>
      </c>
      <c r="D5533" s="9">
        <v>42556</v>
      </c>
      <c r="E5533">
        <v>2.9799999999999999E-5</v>
      </c>
    </row>
    <row r="5534" spans="1:5">
      <c r="A5534">
        <v>2022</v>
      </c>
      <c r="B5534" s="3" t="s">
        <v>1020</v>
      </c>
      <c r="C5534" t="s">
        <v>1900</v>
      </c>
      <c r="D5534" s="9">
        <v>2496368</v>
      </c>
      <c r="E5534">
        <v>1.7461E-3</v>
      </c>
    </row>
    <row r="5535" spans="1:5">
      <c r="A5535">
        <v>2022</v>
      </c>
      <c r="B5535" s="3" t="s">
        <v>1019</v>
      </c>
      <c r="C5535" t="s">
        <v>1901</v>
      </c>
      <c r="D5535" s="9">
        <v>56578</v>
      </c>
      <c r="E5535">
        <v>3.96E-5</v>
      </c>
    </row>
    <row r="5536" spans="1:5">
      <c r="A5536">
        <v>2022</v>
      </c>
      <c r="B5536" s="3" t="s">
        <v>1021</v>
      </c>
      <c r="C5536" t="s">
        <v>1902</v>
      </c>
      <c r="D5536" s="9">
        <v>42843</v>
      </c>
      <c r="E5536">
        <v>3.0000000000000001E-5</v>
      </c>
    </row>
    <row r="5537" spans="1:5">
      <c r="A5537">
        <v>2022</v>
      </c>
      <c r="B5537" s="3" t="s">
        <v>449</v>
      </c>
      <c r="C5537" t="s">
        <v>1903</v>
      </c>
      <c r="D5537" s="9">
        <v>2693068</v>
      </c>
      <c r="E5537">
        <v>1.8837000000000001E-3</v>
      </c>
    </row>
    <row r="5538" spans="1:5">
      <c r="A5538">
        <v>2022</v>
      </c>
      <c r="B5538" s="3" t="s">
        <v>1022</v>
      </c>
      <c r="C5538" t="s">
        <v>1904</v>
      </c>
      <c r="D5538" s="9">
        <v>221445</v>
      </c>
      <c r="E5538">
        <v>1.549E-4</v>
      </c>
    </row>
    <row r="5539" spans="1:5">
      <c r="A5539">
        <v>2022</v>
      </c>
      <c r="B5539" s="3" t="s">
        <v>1023</v>
      </c>
      <c r="C5539" t="s">
        <v>1905</v>
      </c>
      <c r="D5539" s="9">
        <v>854186</v>
      </c>
      <c r="E5539">
        <v>5.9750000000000005E-4</v>
      </c>
    </row>
    <row r="5540" spans="1:5">
      <c r="A5540">
        <v>2022</v>
      </c>
      <c r="B5540" s="3" t="s">
        <v>1024</v>
      </c>
      <c r="C5540" t="s">
        <v>969</v>
      </c>
      <c r="D5540" s="9">
        <v>96839</v>
      </c>
      <c r="E5540">
        <v>6.7700000000000006E-5</v>
      </c>
    </row>
    <row r="5541" spans="1:5">
      <c r="A5541">
        <v>2022</v>
      </c>
      <c r="B5541" s="3" t="s">
        <v>1025</v>
      </c>
      <c r="C5541" t="s">
        <v>1906</v>
      </c>
      <c r="D5541" s="9">
        <v>109946</v>
      </c>
      <c r="E5541">
        <v>7.6899999999999999E-5</v>
      </c>
    </row>
    <row r="5542" spans="1:5">
      <c r="A5542">
        <v>2022</v>
      </c>
      <c r="B5542" s="3" t="s">
        <v>1026</v>
      </c>
      <c r="C5542" t="s">
        <v>1907</v>
      </c>
      <c r="D5542" s="9">
        <v>7647134</v>
      </c>
      <c r="E5542">
        <v>5.3489000000000002E-3</v>
      </c>
    </row>
    <row r="5543" spans="1:5">
      <c r="A5543">
        <v>2022</v>
      </c>
      <c r="B5543" s="3" t="s">
        <v>1243</v>
      </c>
      <c r="C5543" t="s">
        <v>1908</v>
      </c>
      <c r="D5543" s="9">
        <v>2584310</v>
      </c>
      <c r="E5543">
        <v>1.8075999999999999E-3</v>
      </c>
    </row>
    <row r="5544" spans="1:5">
      <c r="A5544">
        <v>2022</v>
      </c>
      <c r="B5544" s="3" t="s">
        <v>1027</v>
      </c>
      <c r="C5544" t="s">
        <v>1909</v>
      </c>
      <c r="D5544" s="9">
        <v>23526</v>
      </c>
      <c r="E5544">
        <v>1.6500000000000001E-5</v>
      </c>
    </row>
    <row r="5545" spans="1:5">
      <c r="A5545">
        <v>2022</v>
      </c>
      <c r="B5545" s="3" t="s">
        <v>1028</v>
      </c>
      <c r="C5545" t="s">
        <v>973</v>
      </c>
      <c r="D5545" s="9">
        <v>12006</v>
      </c>
      <c r="E5545">
        <v>8.3999999999999992E-6</v>
      </c>
    </row>
    <row r="5546" spans="1:5">
      <c r="A5546">
        <v>2022</v>
      </c>
      <c r="B5546" s="3" t="s">
        <v>1029</v>
      </c>
      <c r="C5546" t="s">
        <v>2409</v>
      </c>
      <c r="D5546" s="9">
        <v>290040</v>
      </c>
      <c r="E5546">
        <v>2.029E-4</v>
      </c>
    </row>
    <row r="5547" spans="1:5">
      <c r="A5547">
        <v>2022</v>
      </c>
      <c r="B5547" s="3" t="s">
        <v>1031</v>
      </c>
      <c r="C5547" t="s">
        <v>1911</v>
      </c>
      <c r="D5547" s="9">
        <v>609051</v>
      </c>
      <c r="E5547">
        <v>4.26E-4</v>
      </c>
    </row>
    <row r="5548" spans="1:5">
      <c r="A5548">
        <v>2022</v>
      </c>
      <c r="B5548" s="3" t="s">
        <v>1032</v>
      </c>
      <c r="C5548" t="s">
        <v>1912</v>
      </c>
      <c r="D5548" s="9">
        <v>291257</v>
      </c>
      <c r="E5548">
        <v>2.0369999999999999E-4</v>
      </c>
    </row>
    <row r="5549" spans="1:5">
      <c r="A5549">
        <v>2022</v>
      </c>
      <c r="B5549" s="3" t="s">
        <v>920</v>
      </c>
      <c r="C5549" t="s">
        <v>1914</v>
      </c>
      <c r="D5549" s="9"/>
    </row>
    <row r="5550" spans="1:5">
      <c r="A5550">
        <v>2022</v>
      </c>
      <c r="B5550" s="3" t="s">
        <v>1037</v>
      </c>
      <c r="C5550" t="s">
        <v>1915</v>
      </c>
      <c r="D5550" s="9">
        <v>49759</v>
      </c>
      <c r="E5550">
        <v>3.4799999999999999E-5</v>
      </c>
    </row>
    <row r="5551" spans="1:5">
      <c r="A5551">
        <v>2022</v>
      </c>
      <c r="B5551" s="3" t="s">
        <v>1038</v>
      </c>
      <c r="C5551" t="s">
        <v>1916</v>
      </c>
      <c r="D5551" s="9">
        <v>617413</v>
      </c>
      <c r="E5551">
        <v>4.3189999999999998E-4</v>
      </c>
    </row>
    <row r="5552" spans="1:5">
      <c r="A5552">
        <v>2022</v>
      </c>
      <c r="B5552" s="3" t="s">
        <v>1039</v>
      </c>
      <c r="C5552" t="s">
        <v>1917</v>
      </c>
      <c r="D5552" s="9">
        <v>6826701</v>
      </c>
      <c r="E5552">
        <v>4.7749999999999997E-3</v>
      </c>
    </row>
    <row r="5553" spans="1:5">
      <c r="A5553">
        <v>2022</v>
      </c>
      <c r="B5553" s="3" t="s">
        <v>1040</v>
      </c>
      <c r="C5553" t="s">
        <v>985</v>
      </c>
      <c r="D5553" s="9">
        <v>204585</v>
      </c>
      <c r="E5553">
        <v>1.4310000000000001E-4</v>
      </c>
    </row>
    <row r="5554" spans="1:5">
      <c r="A5554">
        <v>2022</v>
      </c>
      <c r="B5554" s="3" t="s">
        <v>998</v>
      </c>
      <c r="C5554" t="s">
        <v>1918</v>
      </c>
      <c r="D5554" s="9">
        <v>42232</v>
      </c>
      <c r="E5554">
        <v>2.9499999999999999E-5</v>
      </c>
    </row>
    <row r="5555" spans="1:5">
      <c r="A5555">
        <v>2022</v>
      </c>
      <c r="B5555" s="3" t="s">
        <v>1041</v>
      </c>
      <c r="C5555" t="s">
        <v>1919</v>
      </c>
      <c r="D5555" s="9">
        <v>956589</v>
      </c>
      <c r="E5555">
        <v>6.6909999999999995E-4</v>
      </c>
    </row>
    <row r="5556" spans="1:5">
      <c r="A5556">
        <v>2022</v>
      </c>
      <c r="B5556" s="3" t="s">
        <v>1042</v>
      </c>
      <c r="C5556" t="s">
        <v>2296</v>
      </c>
      <c r="D5556" s="9"/>
    </row>
    <row r="5557" spans="1:5">
      <c r="A5557">
        <v>2022</v>
      </c>
      <c r="B5557" s="3" t="s">
        <v>1043</v>
      </c>
      <c r="C5557" t="s">
        <v>1921</v>
      </c>
      <c r="D5557" s="9">
        <v>609402</v>
      </c>
      <c r="E5557">
        <v>4.2630000000000001E-4</v>
      </c>
    </row>
    <row r="5558" spans="1:5">
      <c r="A5558">
        <v>2022</v>
      </c>
      <c r="B5558" s="3" t="s">
        <v>1044</v>
      </c>
      <c r="C5558" t="s">
        <v>1922</v>
      </c>
      <c r="D5558" s="9">
        <v>1615575</v>
      </c>
      <c r="E5558">
        <v>1.1299999999999999E-3</v>
      </c>
    </row>
    <row r="5559" spans="1:5">
      <c r="A5559">
        <v>2022</v>
      </c>
      <c r="B5559" s="3" t="s">
        <v>1100</v>
      </c>
      <c r="C5559" t="s">
        <v>1923</v>
      </c>
      <c r="D5559" s="9">
        <v>1809857</v>
      </c>
      <c r="E5559">
        <v>1.2658999999999999E-3</v>
      </c>
    </row>
    <row r="5560" spans="1:5">
      <c r="A5560">
        <v>2022</v>
      </c>
      <c r="B5560" s="3" t="s">
        <v>450</v>
      </c>
      <c r="C5560" t="s">
        <v>1924</v>
      </c>
      <c r="D5560" s="9">
        <v>748068</v>
      </c>
      <c r="E5560">
        <v>5.2320000000000003E-4</v>
      </c>
    </row>
    <row r="5561" spans="1:5">
      <c r="A5561">
        <v>2022</v>
      </c>
      <c r="B5561" s="3" t="s">
        <v>1101</v>
      </c>
      <c r="C5561" t="s">
        <v>1925</v>
      </c>
      <c r="D5561" s="9">
        <v>4055860</v>
      </c>
      <c r="E5561">
        <v>2.8368999999999998E-3</v>
      </c>
    </row>
    <row r="5562" spans="1:5">
      <c r="A5562">
        <v>2022</v>
      </c>
      <c r="B5562" s="3" t="s">
        <v>1244</v>
      </c>
      <c r="C5562" t="s">
        <v>1926</v>
      </c>
      <c r="D5562" s="9">
        <v>834911</v>
      </c>
      <c r="E5562">
        <v>5.8399999999999999E-4</v>
      </c>
    </row>
    <row r="5563" spans="1:5">
      <c r="A5563">
        <v>2022</v>
      </c>
      <c r="B5563" s="3" t="s">
        <v>1102</v>
      </c>
      <c r="C5563" t="s">
        <v>2386</v>
      </c>
      <c r="D5563" s="9">
        <v>95204</v>
      </c>
      <c r="E5563">
        <v>6.6600000000000006E-5</v>
      </c>
    </row>
    <row r="5564" spans="1:5">
      <c r="A5564">
        <v>2022</v>
      </c>
      <c r="B5564" s="3" t="s">
        <v>1134</v>
      </c>
      <c r="C5564" t="s">
        <v>1928</v>
      </c>
      <c r="D5564" s="9">
        <v>120739</v>
      </c>
      <c r="E5564">
        <v>8.4499999999999994E-5</v>
      </c>
    </row>
    <row r="5565" spans="1:5">
      <c r="A5565">
        <v>2022</v>
      </c>
      <c r="B5565" s="3" t="s">
        <v>1103</v>
      </c>
      <c r="C5565" t="s">
        <v>1929</v>
      </c>
      <c r="D5565" s="9">
        <v>151580</v>
      </c>
      <c r="E5565">
        <v>1.06E-4</v>
      </c>
    </row>
    <row r="5566" spans="1:5">
      <c r="A5566">
        <v>2022</v>
      </c>
      <c r="B5566" s="3" t="s">
        <v>1104</v>
      </c>
      <c r="C5566" t="s">
        <v>1930</v>
      </c>
      <c r="D5566" s="9">
        <v>1476494</v>
      </c>
      <c r="E5566">
        <v>1.0328E-3</v>
      </c>
    </row>
    <row r="5567" spans="1:5">
      <c r="A5567">
        <v>2022</v>
      </c>
      <c r="B5567" s="3" t="s">
        <v>1105</v>
      </c>
      <c r="C5567" t="s">
        <v>1931</v>
      </c>
      <c r="D5567" s="9">
        <v>21049</v>
      </c>
      <c r="E5567">
        <v>1.47E-5</v>
      </c>
    </row>
    <row r="5568" spans="1:5">
      <c r="A5568">
        <v>2022</v>
      </c>
      <c r="B5568" s="3" t="s">
        <v>451</v>
      </c>
      <c r="C5568" t="s">
        <v>1932</v>
      </c>
      <c r="D5568" s="9">
        <v>1005584</v>
      </c>
      <c r="E5568">
        <v>7.0339999999999997E-4</v>
      </c>
    </row>
    <row r="5569" spans="1:5">
      <c r="A5569">
        <v>2022</v>
      </c>
      <c r="B5569" s="3" t="s">
        <v>1106</v>
      </c>
      <c r="C5569" t="s">
        <v>1933</v>
      </c>
      <c r="D5569" s="9">
        <v>141691</v>
      </c>
      <c r="E5569">
        <v>9.9099999999999996E-5</v>
      </c>
    </row>
    <row r="5570" spans="1:5">
      <c r="A5570">
        <v>2022</v>
      </c>
      <c r="B5570" s="3" t="s">
        <v>1107</v>
      </c>
      <c r="C5570" t="s">
        <v>1934</v>
      </c>
      <c r="D5570" s="9">
        <v>735225</v>
      </c>
      <c r="E5570">
        <v>5.1429999999999998E-4</v>
      </c>
    </row>
    <row r="5571" spans="1:5">
      <c r="A5571">
        <v>2022</v>
      </c>
      <c r="B5571" s="3" t="s">
        <v>1108</v>
      </c>
      <c r="C5571" t="s">
        <v>1053</v>
      </c>
      <c r="D5571" s="9">
        <v>1281586</v>
      </c>
      <c r="E5571">
        <v>8.964E-4</v>
      </c>
    </row>
    <row r="5572" spans="1:5">
      <c r="A5572">
        <v>2022</v>
      </c>
      <c r="B5572" s="3" t="s">
        <v>2390</v>
      </c>
      <c r="C5572" t="s">
        <v>2387</v>
      </c>
      <c r="D5572" s="9">
        <v>13030</v>
      </c>
      <c r="E5572">
        <v>9.0999999999999993E-6</v>
      </c>
    </row>
    <row r="5573" spans="1:5">
      <c r="A5573">
        <v>2022</v>
      </c>
      <c r="B5573" s="3" t="s">
        <v>1110</v>
      </c>
      <c r="C5573" t="s">
        <v>2410</v>
      </c>
      <c r="D5573" s="9">
        <v>2103783</v>
      </c>
      <c r="E5573">
        <v>1.4714999999999999E-3</v>
      </c>
    </row>
    <row r="5574" spans="1:5">
      <c r="A5574">
        <v>2022</v>
      </c>
      <c r="B5574" s="3" t="s">
        <v>1109</v>
      </c>
      <c r="C5574" t="s">
        <v>1936</v>
      </c>
      <c r="D5574" s="9">
        <v>268769</v>
      </c>
      <c r="E5574">
        <v>1.8799999999999999E-4</v>
      </c>
    </row>
    <row r="5575" spans="1:5">
      <c r="A5575">
        <v>2022</v>
      </c>
      <c r="B5575" s="3" t="s">
        <v>1111</v>
      </c>
      <c r="C5575" t="s">
        <v>1937</v>
      </c>
      <c r="D5575" s="9">
        <v>31439</v>
      </c>
      <c r="E5575">
        <v>2.1999999999999999E-5</v>
      </c>
    </row>
    <row r="5576" spans="1:5">
      <c r="A5576">
        <v>2022</v>
      </c>
      <c r="B5576" s="3" t="s">
        <v>1112</v>
      </c>
      <c r="C5576" t="s">
        <v>1938</v>
      </c>
      <c r="D5576" s="9">
        <v>15966730</v>
      </c>
      <c r="E5576">
        <v>1.11681E-2</v>
      </c>
    </row>
    <row r="5577" spans="1:5">
      <c r="A5577">
        <v>2022</v>
      </c>
      <c r="B5577" s="3" t="s">
        <v>452</v>
      </c>
      <c r="C5577" t="s">
        <v>1939</v>
      </c>
      <c r="D5577" s="9">
        <v>14868592</v>
      </c>
      <c r="E5577">
        <v>1.04E-2</v>
      </c>
    </row>
    <row r="5578" spans="1:5">
      <c r="A5578">
        <v>2022</v>
      </c>
      <c r="B5578" s="3" t="s">
        <v>1113</v>
      </c>
      <c r="C5578" t="s">
        <v>1058</v>
      </c>
      <c r="D5578" s="9">
        <v>90796</v>
      </c>
      <c r="E5578">
        <v>6.3499999999999999E-5</v>
      </c>
    </row>
    <row r="5579" spans="1:5">
      <c r="A5579">
        <v>2022</v>
      </c>
      <c r="B5579" s="3" t="s">
        <v>1481</v>
      </c>
      <c r="C5579" t="s">
        <v>1479</v>
      </c>
      <c r="D5579" s="9">
        <v>115063</v>
      </c>
      <c r="E5579">
        <v>8.0500000000000005E-5</v>
      </c>
    </row>
    <row r="5580" spans="1:5">
      <c r="A5580">
        <v>2022</v>
      </c>
      <c r="B5580" s="3" t="s">
        <v>453</v>
      </c>
      <c r="C5580" t="s">
        <v>1940</v>
      </c>
      <c r="D5580" s="9">
        <v>926221</v>
      </c>
      <c r="E5580">
        <v>6.4789999999999997E-4</v>
      </c>
    </row>
    <row r="5581" spans="1:5">
      <c r="A5581">
        <v>2022</v>
      </c>
      <c r="B5581" s="3" t="s">
        <v>1115</v>
      </c>
      <c r="C5581" t="s">
        <v>1941</v>
      </c>
      <c r="D5581" s="9">
        <v>74032</v>
      </c>
      <c r="E5581">
        <v>5.1799999999999999E-5</v>
      </c>
    </row>
    <row r="5582" spans="1:5">
      <c r="A5582">
        <v>2022</v>
      </c>
      <c r="B5582" s="3" t="s">
        <v>1114</v>
      </c>
      <c r="C5582" t="s">
        <v>1942</v>
      </c>
      <c r="D5582" s="9">
        <v>560027</v>
      </c>
      <c r="E5582">
        <v>3.9169999999999998E-4</v>
      </c>
    </row>
    <row r="5583" spans="1:5">
      <c r="A5583">
        <v>2022</v>
      </c>
      <c r="B5583" s="3" t="s">
        <v>1116</v>
      </c>
      <c r="C5583" t="s">
        <v>2388</v>
      </c>
      <c r="D5583" s="9">
        <v>98318</v>
      </c>
      <c r="E5583">
        <v>6.8800000000000005E-5</v>
      </c>
    </row>
    <row r="5584" spans="1:5">
      <c r="A5584">
        <v>2022</v>
      </c>
      <c r="B5584" s="3" t="s">
        <v>1117</v>
      </c>
      <c r="C5584" t="s">
        <v>1944</v>
      </c>
      <c r="D5584" s="9">
        <v>177256</v>
      </c>
      <c r="E5584">
        <v>1.2400000000000001E-4</v>
      </c>
    </row>
    <row r="5585" spans="1:5">
      <c r="A5585">
        <v>2022</v>
      </c>
      <c r="B5585" s="3" t="s">
        <v>1118</v>
      </c>
      <c r="C5585" t="s">
        <v>2411</v>
      </c>
      <c r="D5585" s="9">
        <v>70620</v>
      </c>
      <c r="E5585">
        <v>4.9400000000000001E-5</v>
      </c>
    </row>
    <row r="5586" spans="1:5">
      <c r="A5586">
        <v>2022</v>
      </c>
      <c r="B5586" s="3" t="s">
        <v>1119</v>
      </c>
      <c r="C5586" t="s">
        <v>2412</v>
      </c>
      <c r="D5586" s="9">
        <v>1456875</v>
      </c>
      <c r="E5586">
        <v>1.0189999999999999E-3</v>
      </c>
    </row>
    <row r="5587" spans="1:5">
      <c r="A5587">
        <v>2022</v>
      </c>
      <c r="B5587" s="3" t="s">
        <v>454</v>
      </c>
      <c r="C5587" t="s">
        <v>1947</v>
      </c>
      <c r="D5587" s="9">
        <v>758408</v>
      </c>
      <c r="E5587">
        <v>5.3050000000000005E-4</v>
      </c>
    </row>
    <row r="5588" spans="1:5">
      <c r="A5588">
        <v>2022</v>
      </c>
      <c r="B5588" s="3" t="s">
        <v>1121</v>
      </c>
      <c r="C5588" t="s">
        <v>1949</v>
      </c>
      <c r="D5588" s="9">
        <v>2984081</v>
      </c>
      <c r="E5588">
        <v>2.0872999999999998E-3</v>
      </c>
    </row>
    <row r="5589" spans="1:5">
      <c r="A5589">
        <v>2022</v>
      </c>
      <c r="B5589" s="3" t="s">
        <v>455</v>
      </c>
      <c r="C5589" t="s">
        <v>1950</v>
      </c>
      <c r="D5589" s="9">
        <v>1575217</v>
      </c>
      <c r="E5589">
        <v>1.1018E-3</v>
      </c>
    </row>
    <row r="5590" spans="1:5">
      <c r="A5590">
        <v>2022</v>
      </c>
      <c r="B5590" s="3" t="s">
        <v>1122</v>
      </c>
      <c r="C5590" t="s">
        <v>1951</v>
      </c>
      <c r="D5590" s="9">
        <v>50587</v>
      </c>
      <c r="E5590">
        <v>3.54E-5</v>
      </c>
    </row>
    <row r="5591" spans="1:5">
      <c r="A5591">
        <v>2022</v>
      </c>
      <c r="B5591" s="3" t="s">
        <v>1123</v>
      </c>
      <c r="C5591" t="s">
        <v>1952</v>
      </c>
      <c r="D5591" s="9">
        <v>93993</v>
      </c>
      <c r="E5591">
        <v>6.5699999999999998E-5</v>
      </c>
    </row>
    <row r="5592" spans="1:5">
      <c r="A5592">
        <v>2022</v>
      </c>
      <c r="B5592" s="3" t="s">
        <v>1124</v>
      </c>
      <c r="C5592" t="s">
        <v>1953</v>
      </c>
      <c r="D5592" s="9">
        <v>139467</v>
      </c>
      <c r="E5592">
        <v>9.7600000000000001E-5</v>
      </c>
    </row>
    <row r="5593" spans="1:5">
      <c r="A5593">
        <v>2022</v>
      </c>
      <c r="B5593" s="3" t="s">
        <v>1125</v>
      </c>
      <c r="C5593" t="s">
        <v>1954</v>
      </c>
      <c r="D5593" s="9">
        <v>1358334</v>
      </c>
      <c r="E5593">
        <v>9.5009999999999995E-4</v>
      </c>
    </row>
    <row r="5594" spans="1:5">
      <c r="A5594">
        <v>2022</v>
      </c>
      <c r="B5594" s="3" t="s">
        <v>1245</v>
      </c>
      <c r="C5594" t="s">
        <v>1955</v>
      </c>
      <c r="D5594" s="9">
        <v>190413</v>
      </c>
      <c r="E5594">
        <v>1.3320000000000001E-4</v>
      </c>
    </row>
    <row r="5595" spans="1:5">
      <c r="A5595">
        <v>2022</v>
      </c>
      <c r="B5595" s="3" t="s">
        <v>1126</v>
      </c>
      <c r="C5595" t="s">
        <v>1956</v>
      </c>
      <c r="D5595" s="9">
        <v>136049</v>
      </c>
      <c r="E5595">
        <v>9.5199999999999997E-5</v>
      </c>
    </row>
    <row r="5596" spans="1:5">
      <c r="A5596">
        <v>2022</v>
      </c>
      <c r="B5596" s="3" t="s">
        <v>1127</v>
      </c>
      <c r="C5596" t="s">
        <v>2413</v>
      </c>
      <c r="D5596" s="9">
        <v>2206714</v>
      </c>
      <c r="E5596">
        <v>1.5435E-3</v>
      </c>
    </row>
    <row r="5597" spans="1:5">
      <c r="A5597">
        <v>2022</v>
      </c>
      <c r="B5597" s="3" t="s">
        <v>456</v>
      </c>
      <c r="C5597" t="s">
        <v>1958</v>
      </c>
      <c r="D5597" s="9">
        <v>432123</v>
      </c>
      <c r="E5597">
        <v>3.0229999999999998E-4</v>
      </c>
    </row>
    <row r="5598" spans="1:5">
      <c r="A5598">
        <v>2022</v>
      </c>
      <c r="B5598" s="3" t="s">
        <v>1128</v>
      </c>
      <c r="C5598" t="s">
        <v>1959</v>
      </c>
      <c r="D5598" s="9">
        <v>138785</v>
      </c>
      <c r="E5598">
        <v>9.7100000000000002E-5</v>
      </c>
    </row>
    <row r="5599" spans="1:5">
      <c r="A5599">
        <v>2022</v>
      </c>
      <c r="B5599" s="3" t="s">
        <v>1129</v>
      </c>
      <c r="C5599" t="s">
        <v>1074</v>
      </c>
      <c r="D5599" s="9"/>
    </row>
    <row r="5600" spans="1:5">
      <c r="A5600">
        <v>2022</v>
      </c>
      <c r="B5600" s="3" t="s">
        <v>1130</v>
      </c>
      <c r="C5600" t="s">
        <v>1075</v>
      </c>
      <c r="D5600" s="9"/>
    </row>
    <row r="5601" spans="1:5">
      <c r="A5601">
        <v>2022</v>
      </c>
      <c r="B5601" s="3" t="s">
        <v>1131</v>
      </c>
      <c r="C5601" t="s">
        <v>1960</v>
      </c>
      <c r="D5601" s="9">
        <v>16582</v>
      </c>
      <c r="E5601">
        <v>1.1600000000000001E-5</v>
      </c>
    </row>
    <row r="5602" spans="1:5">
      <c r="A5602">
        <v>2022</v>
      </c>
      <c r="B5602" s="3" t="s">
        <v>457</v>
      </c>
      <c r="C5602" t="s">
        <v>1961</v>
      </c>
      <c r="D5602" s="9">
        <v>136358</v>
      </c>
      <c r="E5602">
        <v>9.5400000000000001E-5</v>
      </c>
    </row>
    <row r="5603" spans="1:5">
      <c r="A5603">
        <v>2022</v>
      </c>
      <c r="B5603" s="3" t="s">
        <v>1132</v>
      </c>
      <c r="C5603" t="s">
        <v>2389</v>
      </c>
      <c r="D5603" s="9">
        <v>104354</v>
      </c>
      <c r="E5603">
        <v>7.2999999999999999E-5</v>
      </c>
    </row>
    <row r="5604" spans="1:5">
      <c r="A5604">
        <v>2022</v>
      </c>
      <c r="B5604" s="3" t="s">
        <v>1133</v>
      </c>
      <c r="C5604" t="s">
        <v>1962</v>
      </c>
      <c r="D5604" s="9">
        <v>76838</v>
      </c>
      <c r="E5604">
        <v>5.3699999999999997E-5</v>
      </c>
    </row>
    <row r="5605" spans="1:5">
      <c r="A5605">
        <v>2022</v>
      </c>
      <c r="B5605" s="3" t="s">
        <v>1994</v>
      </c>
      <c r="C5605" t="s">
        <v>1963</v>
      </c>
      <c r="D5605" s="9">
        <v>73670</v>
      </c>
      <c r="E5605">
        <v>5.1499999999999998E-5</v>
      </c>
    </row>
    <row r="5606" spans="1:5">
      <c r="A5606">
        <v>2022</v>
      </c>
      <c r="B5606" s="3" t="s">
        <v>1246</v>
      </c>
      <c r="C5606" t="s">
        <v>1964</v>
      </c>
      <c r="D5606" s="9">
        <v>131763</v>
      </c>
      <c r="E5606">
        <v>9.2200000000000005E-5</v>
      </c>
    </row>
    <row r="5607" spans="1:5">
      <c r="A5607">
        <v>2022</v>
      </c>
      <c r="B5607" s="3" t="s">
        <v>1135</v>
      </c>
      <c r="C5607" t="s">
        <v>1965</v>
      </c>
      <c r="D5607" s="9">
        <v>291422</v>
      </c>
      <c r="E5607">
        <v>2.0379999999999999E-4</v>
      </c>
    </row>
    <row r="5608" spans="1:5">
      <c r="A5608">
        <v>2022</v>
      </c>
      <c r="B5608" s="3" t="s">
        <v>1136</v>
      </c>
      <c r="C5608" t="s">
        <v>1966</v>
      </c>
      <c r="D5608" s="9">
        <v>647216</v>
      </c>
      <c r="E5608">
        <v>4.527E-4</v>
      </c>
    </row>
    <row r="5609" spans="1:5">
      <c r="A5609">
        <v>2022</v>
      </c>
      <c r="B5609" s="3" t="s">
        <v>458</v>
      </c>
      <c r="C5609" t="s">
        <v>1967</v>
      </c>
      <c r="D5609" s="9">
        <v>160856</v>
      </c>
      <c r="E5609">
        <v>1.125E-4</v>
      </c>
    </row>
    <row r="5610" spans="1:5">
      <c r="A5610">
        <v>2022</v>
      </c>
      <c r="B5610" s="3" t="s">
        <v>1137</v>
      </c>
      <c r="C5610" t="s">
        <v>1968</v>
      </c>
      <c r="D5610" s="9">
        <v>254758</v>
      </c>
      <c r="E5610">
        <v>1.7819999999999999E-4</v>
      </c>
    </row>
    <row r="5611" spans="1:5">
      <c r="A5611">
        <v>2022</v>
      </c>
      <c r="B5611" s="3" t="s">
        <v>1247</v>
      </c>
      <c r="C5611" t="s">
        <v>1969</v>
      </c>
      <c r="D5611" s="9">
        <v>35181</v>
      </c>
      <c r="E5611">
        <v>2.4600000000000002E-5</v>
      </c>
    </row>
    <row r="5612" spans="1:5">
      <c r="A5612">
        <v>2022</v>
      </c>
      <c r="B5612" s="3" t="s">
        <v>1138</v>
      </c>
      <c r="C5612" t="s">
        <v>1083</v>
      </c>
      <c r="D5612" s="9"/>
    </row>
    <row r="5613" spans="1:5">
      <c r="A5613">
        <v>2022</v>
      </c>
      <c r="B5613" s="3" t="s">
        <v>96</v>
      </c>
      <c r="C5613" t="s">
        <v>1970</v>
      </c>
      <c r="D5613" s="9">
        <v>22795</v>
      </c>
      <c r="E5613">
        <v>1.59E-5</v>
      </c>
    </row>
    <row r="5614" spans="1:5">
      <c r="A5614">
        <v>2022</v>
      </c>
      <c r="B5614" s="3" t="s">
        <v>1139</v>
      </c>
      <c r="C5614" t="s">
        <v>1084</v>
      </c>
      <c r="D5614" s="9">
        <v>56172</v>
      </c>
      <c r="E5614">
        <v>3.93E-5</v>
      </c>
    </row>
    <row r="5615" spans="1:5">
      <c r="A5615">
        <v>2022</v>
      </c>
      <c r="B5615" s="3" t="s">
        <v>1141</v>
      </c>
      <c r="C5615" t="s">
        <v>1971</v>
      </c>
      <c r="D5615" s="9">
        <v>22886</v>
      </c>
      <c r="E5615">
        <v>1.5999999999999999E-5</v>
      </c>
    </row>
    <row r="5616" spans="1:5">
      <c r="A5616">
        <v>2022</v>
      </c>
      <c r="B5616" s="3" t="s">
        <v>1142</v>
      </c>
      <c r="C5616" t="s">
        <v>1087</v>
      </c>
      <c r="D5616" s="9">
        <v>230378</v>
      </c>
      <c r="E5616">
        <v>1.6110000000000001E-4</v>
      </c>
    </row>
    <row r="5617" spans="1:5">
      <c r="A5617">
        <v>2022</v>
      </c>
      <c r="B5617" s="3" t="s">
        <v>1143</v>
      </c>
      <c r="C5617" t="s">
        <v>1088</v>
      </c>
      <c r="D5617" s="9"/>
    </row>
    <row r="5618" spans="1:5">
      <c r="A5618">
        <v>2022</v>
      </c>
      <c r="B5618" s="3" t="s">
        <v>1144</v>
      </c>
      <c r="C5618" t="s">
        <v>1089</v>
      </c>
      <c r="D5618" s="9"/>
    </row>
    <row r="5619" spans="1:5">
      <c r="A5619">
        <v>2022</v>
      </c>
      <c r="B5619" s="3" t="s">
        <v>1146</v>
      </c>
      <c r="C5619" t="s">
        <v>1973</v>
      </c>
      <c r="D5619" s="9">
        <v>10494124</v>
      </c>
      <c r="E5619">
        <v>7.3401999999999998E-3</v>
      </c>
    </row>
    <row r="5620" spans="1:5">
      <c r="A5620">
        <v>2022</v>
      </c>
      <c r="B5620" s="3" t="s">
        <v>1147</v>
      </c>
      <c r="C5620" t="s">
        <v>1092</v>
      </c>
      <c r="D5620" s="9">
        <v>4871</v>
      </c>
      <c r="E5620">
        <v>3.4000000000000001E-6</v>
      </c>
    </row>
    <row r="5621" spans="1:5">
      <c r="A5621">
        <v>2022</v>
      </c>
      <c r="B5621" s="3" t="s">
        <v>1148</v>
      </c>
      <c r="C5621" t="s">
        <v>1974</v>
      </c>
      <c r="D5621" s="9">
        <v>257546</v>
      </c>
      <c r="E5621">
        <v>1.8009999999999999E-4</v>
      </c>
    </row>
    <row r="5622" spans="1:5">
      <c r="A5622">
        <v>2022</v>
      </c>
      <c r="B5622" s="3" t="s">
        <v>1248</v>
      </c>
      <c r="C5622" t="s">
        <v>1975</v>
      </c>
      <c r="D5622" s="9">
        <v>82539</v>
      </c>
      <c r="E5622">
        <v>5.77E-5</v>
      </c>
    </row>
    <row r="5623" spans="1:5">
      <c r="A5623">
        <v>2022</v>
      </c>
      <c r="B5623" s="3" t="s">
        <v>1149</v>
      </c>
      <c r="C5623" t="s">
        <v>1094</v>
      </c>
      <c r="D5623" s="9">
        <v>304617</v>
      </c>
      <c r="E5623">
        <v>2.131E-4</v>
      </c>
    </row>
    <row r="5624" spans="1:5">
      <c r="A5624">
        <v>2022</v>
      </c>
      <c r="B5624" s="3" t="s">
        <v>1150</v>
      </c>
      <c r="C5624" t="s">
        <v>1976</v>
      </c>
      <c r="D5624" s="9">
        <v>208925</v>
      </c>
      <c r="E5624">
        <v>1.461E-4</v>
      </c>
    </row>
    <row r="5625" spans="1:5">
      <c r="A5625">
        <v>2022</v>
      </c>
      <c r="B5625" s="3" t="s">
        <v>459</v>
      </c>
      <c r="C5625" t="s">
        <v>1977</v>
      </c>
      <c r="D5625" s="9">
        <v>5714770</v>
      </c>
      <c r="E5625">
        <v>3.9972999999999996E-3</v>
      </c>
    </row>
    <row r="5626" spans="1:5">
      <c r="A5626">
        <v>2022</v>
      </c>
      <c r="B5626" s="3" t="s">
        <v>1152</v>
      </c>
      <c r="C5626" t="s">
        <v>1979</v>
      </c>
      <c r="D5626" s="9">
        <v>1394542</v>
      </c>
      <c r="E5626">
        <v>9.7539999999999996E-4</v>
      </c>
    </row>
    <row r="5627" spans="1:5">
      <c r="A5627">
        <v>2022</v>
      </c>
      <c r="B5627" s="3" t="s">
        <v>1249</v>
      </c>
      <c r="C5627" t="s">
        <v>1980</v>
      </c>
      <c r="D5627" s="9">
        <v>132147</v>
      </c>
      <c r="E5627">
        <v>9.2399999999999996E-5</v>
      </c>
    </row>
    <row r="5628" spans="1:5">
      <c r="A5628">
        <v>2022</v>
      </c>
      <c r="B5628" s="3" t="s">
        <v>1153</v>
      </c>
      <c r="C5628" t="s">
        <v>1981</v>
      </c>
      <c r="D5628" s="9">
        <v>181902</v>
      </c>
      <c r="E5628">
        <v>1.272E-4</v>
      </c>
    </row>
    <row r="5629" spans="1:5">
      <c r="A5629">
        <v>2022</v>
      </c>
      <c r="B5629" s="3" t="s">
        <v>1154</v>
      </c>
      <c r="C5629" t="s">
        <v>1982</v>
      </c>
      <c r="D5629" s="9">
        <v>9979282</v>
      </c>
      <c r="E5629">
        <v>6.9801000000000004E-3</v>
      </c>
    </row>
    <row r="5630" spans="1:5">
      <c r="A5630">
        <v>2022</v>
      </c>
      <c r="B5630" s="3" t="s">
        <v>1209</v>
      </c>
      <c r="C5630" t="s">
        <v>1983</v>
      </c>
      <c r="D5630" s="9">
        <v>9208837</v>
      </c>
      <c r="E5630">
        <v>6.4412000000000002E-3</v>
      </c>
    </row>
    <row r="5631" spans="1:5">
      <c r="A5631">
        <v>2022</v>
      </c>
      <c r="B5631" s="3" t="s">
        <v>460</v>
      </c>
      <c r="C5631" t="s">
        <v>1984</v>
      </c>
      <c r="D5631" s="9">
        <v>10697562</v>
      </c>
      <c r="E5631">
        <v>7.4824999999999996E-3</v>
      </c>
    </row>
    <row r="5632" spans="1:5">
      <c r="A5632">
        <v>2022</v>
      </c>
      <c r="B5632" s="3" t="s">
        <v>1210</v>
      </c>
      <c r="C5632" t="s">
        <v>1985</v>
      </c>
      <c r="D5632" s="9">
        <v>1001630</v>
      </c>
      <c r="E5632">
        <v>7.0060000000000001E-4</v>
      </c>
    </row>
    <row r="5633" spans="1:5">
      <c r="A5633">
        <v>2022</v>
      </c>
      <c r="B5633" s="3" t="s">
        <v>1250</v>
      </c>
      <c r="C5633" t="s">
        <v>1986</v>
      </c>
      <c r="D5633" s="9">
        <v>227258</v>
      </c>
      <c r="E5633">
        <v>1.5899999999999999E-4</v>
      </c>
    </row>
    <row r="5634" spans="1:5">
      <c r="A5634">
        <v>2022</v>
      </c>
      <c r="B5634" s="3" t="s">
        <v>1211</v>
      </c>
      <c r="C5634" t="s">
        <v>1157</v>
      </c>
      <c r="D5634" s="9">
        <v>4097</v>
      </c>
      <c r="E5634">
        <v>2.9000000000000002E-6</v>
      </c>
    </row>
    <row r="5635" spans="1:5">
      <c r="A5635">
        <v>2022</v>
      </c>
      <c r="B5635" s="3" t="s">
        <v>1483</v>
      </c>
      <c r="C5635" t="s">
        <v>1482</v>
      </c>
      <c r="D5635" s="9">
        <v>92312</v>
      </c>
      <c r="E5635">
        <v>6.4599999999999998E-5</v>
      </c>
    </row>
    <row r="5636" spans="1:5">
      <c r="A5636">
        <v>2022</v>
      </c>
      <c r="B5636" s="3" t="s">
        <v>1212</v>
      </c>
      <c r="C5636" t="s">
        <v>1987</v>
      </c>
      <c r="D5636" s="9">
        <v>1907209</v>
      </c>
      <c r="E5636">
        <v>1.3339999999999999E-3</v>
      </c>
    </row>
    <row r="5637" spans="1:5">
      <c r="A5637">
        <v>2022</v>
      </c>
      <c r="B5637" s="3" t="s">
        <v>1213</v>
      </c>
      <c r="C5637" t="s">
        <v>1988</v>
      </c>
      <c r="D5637" s="9">
        <v>9487241</v>
      </c>
      <c r="E5637">
        <v>6.6360000000000004E-3</v>
      </c>
    </row>
    <row r="5638" spans="1:5">
      <c r="A5638">
        <v>2022</v>
      </c>
      <c r="B5638" s="3" t="s">
        <v>461</v>
      </c>
      <c r="C5638" t="s">
        <v>1989</v>
      </c>
      <c r="D5638" s="9">
        <v>1242271</v>
      </c>
      <c r="E5638">
        <v>8.6890000000000003E-4</v>
      </c>
    </row>
    <row r="5639" spans="1:5">
      <c r="A5639">
        <v>2022</v>
      </c>
      <c r="B5639" s="3" t="s">
        <v>1214</v>
      </c>
      <c r="C5639" t="s">
        <v>1990</v>
      </c>
      <c r="D5639" s="9">
        <v>661280</v>
      </c>
      <c r="E5639">
        <v>4.6250000000000002E-4</v>
      </c>
    </row>
    <row r="5640" spans="1:5">
      <c r="A5640">
        <v>2022</v>
      </c>
      <c r="B5640" s="3" t="s">
        <v>1215</v>
      </c>
      <c r="C5640" t="s">
        <v>2393</v>
      </c>
      <c r="D5640" s="9">
        <v>636273</v>
      </c>
      <c r="E5640">
        <v>4.4499999999999997E-4</v>
      </c>
    </row>
    <row r="5641" spans="1:5">
      <c r="A5641">
        <v>2022</v>
      </c>
      <c r="B5641" s="3" t="s">
        <v>462</v>
      </c>
      <c r="C5641" t="s">
        <v>1992</v>
      </c>
      <c r="D5641" s="9">
        <v>95420</v>
      </c>
      <c r="E5641">
        <v>6.6699999999999995E-5</v>
      </c>
    </row>
    <row r="5642" spans="1:5">
      <c r="A5642">
        <v>2022</v>
      </c>
      <c r="B5642" s="3" t="s">
        <v>1217</v>
      </c>
      <c r="C5642" t="s">
        <v>1993</v>
      </c>
      <c r="D5642" s="9">
        <v>105862</v>
      </c>
      <c r="E5642">
        <v>7.3999999999999996E-5</v>
      </c>
    </row>
    <row r="5643" spans="1:5">
      <c r="A5643">
        <v>2022</v>
      </c>
      <c r="B5643" s="3" t="s">
        <v>1218</v>
      </c>
      <c r="C5643" t="s">
        <v>1995</v>
      </c>
      <c r="D5643" s="9">
        <v>109984</v>
      </c>
      <c r="E5643">
        <v>7.6899999999999999E-5</v>
      </c>
    </row>
    <row r="5644" spans="1:5">
      <c r="A5644">
        <v>2022</v>
      </c>
      <c r="B5644" s="3" t="s">
        <v>1255</v>
      </c>
      <c r="C5644" t="s">
        <v>1201</v>
      </c>
      <c r="D5644" s="9">
        <v>7542</v>
      </c>
      <c r="E5644">
        <v>5.3000000000000001E-6</v>
      </c>
    </row>
    <row r="5645" spans="1:5">
      <c r="A5645">
        <v>2022</v>
      </c>
      <c r="B5645" s="3" t="s">
        <v>1256</v>
      </c>
      <c r="C5645" t="s">
        <v>1202</v>
      </c>
      <c r="D5645" s="9">
        <v>54849</v>
      </c>
      <c r="E5645">
        <v>3.8399999999999998E-5</v>
      </c>
    </row>
    <row r="5646" spans="1:5">
      <c r="A5646">
        <v>2022</v>
      </c>
      <c r="B5646" s="3" t="s">
        <v>1257</v>
      </c>
      <c r="C5646" t="s">
        <v>1996</v>
      </c>
      <c r="D5646" s="9">
        <v>1461232</v>
      </c>
      <c r="E5646">
        <v>1.0221E-3</v>
      </c>
    </row>
    <row r="5647" spans="1:5">
      <c r="A5647">
        <v>2022</v>
      </c>
      <c r="B5647" s="3" t="s">
        <v>1258</v>
      </c>
      <c r="C5647" t="s">
        <v>1204</v>
      </c>
      <c r="D5647" s="9">
        <v>1480036</v>
      </c>
      <c r="E5647">
        <v>1.0352E-3</v>
      </c>
    </row>
    <row r="5648" spans="1:5">
      <c r="A5648">
        <v>2022</v>
      </c>
      <c r="B5648" s="3" t="s">
        <v>1259</v>
      </c>
      <c r="C5648" t="s">
        <v>1205</v>
      </c>
      <c r="D5648" s="9">
        <v>350747</v>
      </c>
      <c r="E5648">
        <v>2.453E-4</v>
      </c>
    </row>
    <row r="5649" spans="1:5">
      <c r="A5649">
        <v>2022</v>
      </c>
      <c r="B5649" s="3" t="s">
        <v>1260</v>
      </c>
      <c r="C5649" t="s">
        <v>1206</v>
      </c>
      <c r="D5649" s="9">
        <v>82395</v>
      </c>
      <c r="E5649">
        <v>5.7599999999999997E-5</v>
      </c>
    </row>
    <row r="5650" spans="1:5">
      <c r="A5650">
        <v>2022</v>
      </c>
      <c r="B5650" s="3" t="s">
        <v>1261</v>
      </c>
      <c r="C5650" t="s">
        <v>1997</v>
      </c>
      <c r="D5650" s="9">
        <v>35281996</v>
      </c>
      <c r="E5650">
        <v>2.46784E-2</v>
      </c>
    </row>
    <row r="5651" spans="1:5">
      <c r="A5651">
        <v>2022</v>
      </c>
      <c r="B5651" s="3" t="s">
        <v>1262</v>
      </c>
      <c r="C5651" t="s">
        <v>1208</v>
      </c>
      <c r="D5651" s="9">
        <v>63676</v>
      </c>
      <c r="E5651">
        <v>4.4499999999999997E-5</v>
      </c>
    </row>
    <row r="5652" spans="1:5">
      <c r="A5652">
        <v>2022</v>
      </c>
      <c r="B5652" s="3" t="s">
        <v>1251</v>
      </c>
      <c r="C5652" t="s">
        <v>1998</v>
      </c>
      <c r="D5652" s="9">
        <v>28375</v>
      </c>
      <c r="E5652">
        <v>1.98E-5</v>
      </c>
    </row>
    <row r="5653" spans="1:5">
      <c r="A5653">
        <v>2022</v>
      </c>
      <c r="B5653" s="3" t="s">
        <v>1311</v>
      </c>
      <c r="C5653" t="s">
        <v>2414</v>
      </c>
      <c r="D5653" s="9">
        <v>1082370</v>
      </c>
      <c r="E5653">
        <v>7.5710000000000003E-4</v>
      </c>
    </row>
    <row r="5654" spans="1:5">
      <c r="A5654">
        <v>2022</v>
      </c>
      <c r="B5654" s="3" t="s">
        <v>1312</v>
      </c>
      <c r="C5654" t="s">
        <v>2000</v>
      </c>
      <c r="D5654" s="9">
        <v>53581442</v>
      </c>
      <c r="E5654">
        <v>3.7478200000000003E-2</v>
      </c>
    </row>
    <row r="5655" spans="1:5">
      <c r="A5655">
        <v>2022</v>
      </c>
      <c r="B5655" s="3" t="s">
        <v>1313</v>
      </c>
      <c r="C5655" t="s">
        <v>2001</v>
      </c>
      <c r="D5655" s="9">
        <v>10515302</v>
      </c>
      <c r="E5655">
        <v>7.3550999999999998E-3</v>
      </c>
    </row>
    <row r="5656" spans="1:5">
      <c r="A5656">
        <v>2022</v>
      </c>
      <c r="B5656" s="3" t="s">
        <v>1314</v>
      </c>
      <c r="C5656" t="s">
        <v>2002</v>
      </c>
      <c r="D5656" s="9">
        <v>80631</v>
      </c>
      <c r="E5656">
        <v>5.6400000000000002E-5</v>
      </c>
    </row>
    <row r="5657" spans="1:5">
      <c r="A5657">
        <v>2022</v>
      </c>
      <c r="B5657" s="3" t="s">
        <v>1035</v>
      </c>
      <c r="C5657" t="s">
        <v>2003</v>
      </c>
      <c r="D5657" s="9">
        <v>331252</v>
      </c>
      <c r="E5657">
        <v>2.3169999999999999E-4</v>
      </c>
    </row>
    <row r="5658" spans="1:5">
      <c r="A5658">
        <v>2022</v>
      </c>
      <c r="B5658" s="3" t="s">
        <v>1315</v>
      </c>
      <c r="C5658" t="s">
        <v>2394</v>
      </c>
      <c r="D5658" s="9">
        <v>48186</v>
      </c>
      <c r="E5658">
        <v>3.3699999999999999E-5</v>
      </c>
    </row>
    <row r="5659" spans="1:5">
      <c r="A5659">
        <v>2022</v>
      </c>
      <c r="B5659" s="3" t="s">
        <v>1033</v>
      </c>
      <c r="C5659" t="s">
        <v>2005</v>
      </c>
      <c r="D5659" s="9">
        <v>3325423</v>
      </c>
      <c r="E5659">
        <v>2.3259999999999999E-3</v>
      </c>
    </row>
    <row r="5660" spans="1:5">
      <c r="A5660">
        <v>2022</v>
      </c>
      <c r="B5660" s="3" t="s">
        <v>1316</v>
      </c>
      <c r="C5660" t="s">
        <v>2006</v>
      </c>
      <c r="D5660" s="9">
        <v>422441</v>
      </c>
      <c r="E5660">
        <v>2.9550000000000003E-4</v>
      </c>
    </row>
    <row r="5661" spans="1:5">
      <c r="A5661">
        <v>2022</v>
      </c>
      <c r="B5661" s="3" t="s">
        <v>1317</v>
      </c>
      <c r="C5661" t="s">
        <v>2007</v>
      </c>
      <c r="D5661" s="9">
        <v>127210</v>
      </c>
      <c r="E5661">
        <v>8.8999999999999995E-5</v>
      </c>
    </row>
    <row r="5662" spans="1:5">
      <c r="A5662">
        <v>2022</v>
      </c>
      <c r="B5662" s="3" t="s">
        <v>1319</v>
      </c>
      <c r="C5662" t="s">
        <v>1271</v>
      </c>
      <c r="D5662" s="9">
        <v>41130</v>
      </c>
      <c r="E5662">
        <v>2.8799999999999999E-5</v>
      </c>
    </row>
    <row r="5663" spans="1:5">
      <c r="A5663">
        <v>2022</v>
      </c>
      <c r="B5663" s="3" t="s">
        <v>1320</v>
      </c>
      <c r="C5663" t="s">
        <v>2009</v>
      </c>
      <c r="D5663" s="9">
        <v>134327</v>
      </c>
      <c r="E5663">
        <v>9.3999999999999994E-5</v>
      </c>
    </row>
    <row r="5664" spans="1:5">
      <c r="A5664">
        <v>2022</v>
      </c>
      <c r="B5664" s="3" t="s">
        <v>1321</v>
      </c>
      <c r="C5664" t="s">
        <v>1273</v>
      </c>
      <c r="D5664" s="9" t="s">
        <v>2462</v>
      </c>
    </row>
    <row r="5665" spans="1:5">
      <c r="A5665">
        <v>2022</v>
      </c>
      <c r="B5665" s="3" t="s">
        <v>1323</v>
      </c>
      <c r="C5665" t="s">
        <v>2011</v>
      </c>
      <c r="D5665" s="9">
        <v>15614309</v>
      </c>
      <c r="E5665">
        <v>1.09216E-2</v>
      </c>
    </row>
    <row r="5666" spans="1:5">
      <c r="A5666">
        <v>2022</v>
      </c>
      <c r="B5666" s="3" t="s">
        <v>1325</v>
      </c>
      <c r="C5666" t="s">
        <v>2395</v>
      </c>
      <c r="D5666" s="9">
        <v>150171</v>
      </c>
      <c r="E5666">
        <v>1.05E-4</v>
      </c>
    </row>
    <row r="5667" spans="1:5">
      <c r="A5667">
        <v>2022</v>
      </c>
      <c r="B5667" s="3" t="s">
        <v>1252</v>
      </c>
      <c r="C5667" t="s">
        <v>2013</v>
      </c>
      <c r="D5667" s="9">
        <v>138728</v>
      </c>
      <c r="E5667">
        <v>9.7E-5</v>
      </c>
    </row>
    <row r="5668" spans="1:5">
      <c r="A5668">
        <v>2022</v>
      </c>
      <c r="B5668" s="3" t="s">
        <v>1326</v>
      </c>
      <c r="C5668" t="s">
        <v>2014</v>
      </c>
      <c r="D5668" s="9">
        <v>108770</v>
      </c>
      <c r="E5668">
        <v>7.6100000000000007E-5</v>
      </c>
    </row>
    <row r="5669" spans="1:5">
      <c r="A5669">
        <v>2022</v>
      </c>
      <c r="B5669" s="3" t="s">
        <v>1327</v>
      </c>
      <c r="C5669" t="s">
        <v>1279</v>
      </c>
      <c r="D5669" s="9">
        <v>1212405</v>
      </c>
      <c r="E5669">
        <v>8.4800000000000001E-4</v>
      </c>
    </row>
    <row r="5670" spans="1:5">
      <c r="A5670">
        <v>2022</v>
      </c>
      <c r="B5670" s="3" t="s">
        <v>1328</v>
      </c>
      <c r="C5670" t="s">
        <v>1484</v>
      </c>
      <c r="D5670" s="9">
        <v>49615</v>
      </c>
      <c r="E5670">
        <v>3.4700000000000003E-5</v>
      </c>
    </row>
    <row r="5671" spans="1:5">
      <c r="A5671">
        <v>2022</v>
      </c>
      <c r="B5671" s="3" t="s">
        <v>1329</v>
      </c>
      <c r="C5671" t="s">
        <v>1485</v>
      </c>
      <c r="D5671" s="9">
        <v>1378250</v>
      </c>
      <c r="E5671">
        <v>9.6400000000000001E-4</v>
      </c>
    </row>
    <row r="5672" spans="1:5">
      <c r="A5672">
        <v>2022</v>
      </c>
      <c r="B5672" s="3" t="s">
        <v>1332</v>
      </c>
      <c r="C5672" t="s">
        <v>1284</v>
      </c>
      <c r="D5672" s="9">
        <v>21880</v>
      </c>
      <c r="E5672">
        <v>1.5299999999999999E-5</v>
      </c>
    </row>
    <row r="5673" spans="1:5">
      <c r="A5673">
        <v>2022</v>
      </c>
      <c r="B5673" s="3" t="s">
        <v>1333</v>
      </c>
      <c r="C5673" t="s">
        <v>2396</v>
      </c>
      <c r="D5673" s="9">
        <v>6488</v>
      </c>
      <c r="E5673">
        <v>4.5000000000000001E-6</v>
      </c>
    </row>
    <row r="5674" spans="1:5">
      <c r="A5674">
        <v>2022</v>
      </c>
      <c r="B5674" s="3" t="s">
        <v>1334</v>
      </c>
      <c r="C5674" t="s">
        <v>2016</v>
      </c>
      <c r="D5674" s="9">
        <v>1679780</v>
      </c>
      <c r="E5674">
        <v>1.1749E-3</v>
      </c>
    </row>
    <row r="5675" spans="1:5">
      <c r="A5675">
        <v>2022</v>
      </c>
      <c r="B5675" s="3" t="s">
        <v>1335</v>
      </c>
      <c r="C5675" t="s">
        <v>2017</v>
      </c>
      <c r="D5675" s="9">
        <v>836811</v>
      </c>
      <c r="E5675">
        <v>5.8529999999999997E-4</v>
      </c>
    </row>
    <row r="5676" spans="1:5">
      <c r="A5676">
        <v>2022</v>
      </c>
      <c r="B5676" s="3" t="s">
        <v>1253</v>
      </c>
      <c r="C5676" t="s">
        <v>2018</v>
      </c>
      <c r="D5676" s="9">
        <v>409774</v>
      </c>
      <c r="E5676">
        <v>2.8659999999999997E-4</v>
      </c>
    </row>
    <row r="5677" spans="1:5">
      <c r="A5677">
        <v>2022</v>
      </c>
      <c r="B5677" s="3" t="s">
        <v>1336</v>
      </c>
      <c r="C5677" t="s">
        <v>2019</v>
      </c>
      <c r="D5677" s="9">
        <v>803609</v>
      </c>
      <c r="E5677">
        <v>5.6209999999999995E-4</v>
      </c>
    </row>
    <row r="5678" spans="1:5">
      <c r="A5678">
        <v>2022</v>
      </c>
      <c r="B5678" s="3" t="s">
        <v>463</v>
      </c>
      <c r="C5678" t="s">
        <v>2020</v>
      </c>
      <c r="D5678" s="9">
        <v>223872</v>
      </c>
      <c r="E5678">
        <v>1.5660000000000001E-4</v>
      </c>
    </row>
    <row r="5679" spans="1:5">
      <c r="A5679">
        <v>2022</v>
      </c>
      <c r="B5679" s="3" t="s">
        <v>1337</v>
      </c>
      <c r="C5679" t="s">
        <v>2021</v>
      </c>
      <c r="D5679" s="9">
        <v>538911</v>
      </c>
      <c r="E5679">
        <v>3.769E-4</v>
      </c>
    </row>
    <row r="5680" spans="1:5">
      <c r="A5680">
        <v>2022</v>
      </c>
      <c r="B5680" s="3" t="s">
        <v>464</v>
      </c>
      <c r="C5680" t="s">
        <v>2022</v>
      </c>
      <c r="D5680" s="9">
        <v>357127</v>
      </c>
      <c r="E5680">
        <v>2.498E-4</v>
      </c>
    </row>
    <row r="5681" spans="1:5">
      <c r="A5681">
        <v>2022</v>
      </c>
      <c r="B5681" s="3" t="s">
        <v>1338</v>
      </c>
      <c r="C5681" t="s">
        <v>2023</v>
      </c>
      <c r="D5681" s="9">
        <v>4133</v>
      </c>
      <c r="E5681">
        <v>2.9000000000000002E-6</v>
      </c>
    </row>
    <row r="5682" spans="1:5">
      <c r="A5682">
        <v>2022</v>
      </c>
      <c r="B5682" s="3" t="s">
        <v>907</v>
      </c>
      <c r="C5682" t="s">
        <v>2024</v>
      </c>
      <c r="D5682" s="9">
        <v>38611</v>
      </c>
      <c r="E5682">
        <v>2.6999999999999999E-5</v>
      </c>
    </row>
    <row r="5683" spans="1:5">
      <c r="A5683">
        <v>2022</v>
      </c>
      <c r="B5683" s="3" t="s">
        <v>1339</v>
      </c>
      <c r="C5683" t="s">
        <v>2025</v>
      </c>
      <c r="D5683" s="9">
        <v>930778</v>
      </c>
      <c r="E5683">
        <v>6.5099999999999999E-4</v>
      </c>
    </row>
    <row r="5684" spans="1:5">
      <c r="A5684">
        <v>2022</v>
      </c>
      <c r="B5684" s="3" t="s">
        <v>1340</v>
      </c>
      <c r="C5684" t="s">
        <v>2026</v>
      </c>
      <c r="D5684" s="9">
        <v>1716985</v>
      </c>
      <c r="E5684">
        <v>1.201E-3</v>
      </c>
    </row>
    <row r="5685" spans="1:5">
      <c r="A5685">
        <v>2022</v>
      </c>
      <c r="B5685" s="3" t="s">
        <v>1341</v>
      </c>
      <c r="C5685" t="s">
        <v>2027</v>
      </c>
      <c r="D5685" s="9">
        <v>1339011</v>
      </c>
      <c r="E5685">
        <v>9.366E-4</v>
      </c>
    </row>
    <row r="5686" spans="1:5">
      <c r="A5686">
        <v>2022</v>
      </c>
      <c r="B5686" s="3" t="s">
        <v>465</v>
      </c>
      <c r="C5686" t="s">
        <v>2028</v>
      </c>
      <c r="D5686" s="9">
        <v>439833</v>
      </c>
      <c r="E5686">
        <v>3.076E-4</v>
      </c>
    </row>
    <row r="5687" spans="1:5">
      <c r="A5687">
        <v>2022</v>
      </c>
      <c r="B5687" s="3" t="s">
        <v>1343</v>
      </c>
      <c r="C5687" t="s">
        <v>2029</v>
      </c>
      <c r="D5687" s="9">
        <v>60901</v>
      </c>
      <c r="E5687">
        <v>4.2599999999999999E-5</v>
      </c>
    </row>
    <row r="5688" spans="1:5">
      <c r="A5688">
        <v>2022</v>
      </c>
      <c r="B5688" s="3" t="s">
        <v>1344</v>
      </c>
      <c r="C5688" t="s">
        <v>2030</v>
      </c>
      <c r="D5688" s="9">
        <v>91698</v>
      </c>
      <c r="E5688">
        <v>6.41E-5</v>
      </c>
    </row>
    <row r="5689" spans="1:5">
      <c r="A5689">
        <v>2022</v>
      </c>
      <c r="B5689" s="3" t="s">
        <v>1346</v>
      </c>
      <c r="C5689" t="s">
        <v>1298</v>
      </c>
      <c r="D5689" s="9">
        <v>2862161</v>
      </c>
      <c r="E5689">
        <v>2.0019999999999999E-3</v>
      </c>
    </row>
    <row r="5690" spans="1:5">
      <c r="A5690">
        <v>2022</v>
      </c>
      <c r="B5690" s="3" t="s">
        <v>1347</v>
      </c>
      <c r="C5690" t="s">
        <v>1299</v>
      </c>
      <c r="D5690" s="9">
        <v>7270519</v>
      </c>
      <c r="E5690">
        <v>5.0854999999999997E-3</v>
      </c>
    </row>
    <row r="5691" spans="1:5">
      <c r="A5691">
        <v>2022</v>
      </c>
      <c r="B5691" s="3" t="s">
        <v>1348</v>
      </c>
      <c r="C5691" t="s">
        <v>2032</v>
      </c>
      <c r="D5691" s="9">
        <v>93430</v>
      </c>
      <c r="E5691">
        <v>6.5400000000000004E-5</v>
      </c>
    </row>
    <row r="5692" spans="1:5">
      <c r="A5692">
        <v>2022</v>
      </c>
      <c r="B5692" s="3" t="s">
        <v>1349</v>
      </c>
      <c r="C5692" t="s">
        <v>2033</v>
      </c>
      <c r="D5692" s="9">
        <v>269850</v>
      </c>
      <c r="E5692">
        <v>1.8870000000000001E-4</v>
      </c>
    </row>
    <row r="5693" spans="1:5">
      <c r="A5693">
        <v>2022</v>
      </c>
      <c r="B5693" s="3" t="s">
        <v>1254</v>
      </c>
      <c r="C5693" t="s">
        <v>2034</v>
      </c>
      <c r="D5693" s="9">
        <v>98340</v>
      </c>
      <c r="E5693">
        <v>6.8800000000000005E-5</v>
      </c>
    </row>
    <row r="5694" spans="1:5">
      <c r="A5694">
        <v>2022</v>
      </c>
      <c r="B5694" s="3" t="s">
        <v>1350</v>
      </c>
      <c r="C5694" t="s">
        <v>2035</v>
      </c>
      <c r="D5694" s="9">
        <v>40735</v>
      </c>
      <c r="E5694">
        <v>2.8500000000000002E-5</v>
      </c>
    </row>
    <row r="5695" spans="1:5">
      <c r="A5695">
        <v>2022</v>
      </c>
      <c r="B5695" s="3" t="s">
        <v>1352</v>
      </c>
      <c r="C5695" t="s">
        <v>1304</v>
      </c>
      <c r="D5695" s="9">
        <v>5455423</v>
      </c>
      <c r="E5695">
        <v>3.8159000000000001E-3</v>
      </c>
    </row>
    <row r="5696" spans="1:5">
      <c r="A5696">
        <v>2022</v>
      </c>
      <c r="B5696" s="3" t="s">
        <v>1353</v>
      </c>
      <c r="C5696" t="s">
        <v>1305</v>
      </c>
      <c r="D5696" s="9">
        <v>177844</v>
      </c>
      <c r="E5696">
        <v>1.2439999999999999E-4</v>
      </c>
    </row>
    <row r="5697" spans="1:5">
      <c r="A5697">
        <v>2022</v>
      </c>
      <c r="B5697" s="3" t="s">
        <v>1351</v>
      </c>
      <c r="C5697" t="s">
        <v>2415</v>
      </c>
      <c r="D5697" s="9">
        <v>40091</v>
      </c>
      <c r="E5697">
        <v>2.8E-5</v>
      </c>
    </row>
    <row r="5698" spans="1:5">
      <c r="A5698">
        <v>2022</v>
      </c>
      <c r="B5698" s="3" t="s">
        <v>1354</v>
      </c>
      <c r="C5698" t="s">
        <v>2037</v>
      </c>
      <c r="D5698" s="9"/>
    </row>
    <row r="5699" spans="1:5">
      <c r="A5699">
        <v>2022</v>
      </c>
      <c r="B5699" s="3" t="s">
        <v>1355</v>
      </c>
      <c r="C5699" t="s">
        <v>2038</v>
      </c>
      <c r="D5699" s="9">
        <v>6100139</v>
      </c>
      <c r="E5699">
        <v>4.2668000000000003E-3</v>
      </c>
    </row>
    <row r="5700" spans="1:5">
      <c r="A5700">
        <v>2022</v>
      </c>
      <c r="B5700" s="3" t="s">
        <v>1357</v>
      </c>
      <c r="C5700" t="s">
        <v>2039</v>
      </c>
      <c r="D5700" s="9">
        <v>177047</v>
      </c>
      <c r="E5700">
        <v>1.238E-4</v>
      </c>
    </row>
    <row r="5701" spans="1:5">
      <c r="A5701">
        <v>2022</v>
      </c>
      <c r="B5701" s="3" t="s">
        <v>2043</v>
      </c>
      <c r="C5701" t="s">
        <v>2040</v>
      </c>
      <c r="D5701" s="9">
        <v>37927</v>
      </c>
      <c r="E5701">
        <v>2.65E-5</v>
      </c>
    </row>
    <row r="5702" spans="1:5">
      <c r="A5702">
        <v>2022</v>
      </c>
      <c r="B5702" s="3" t="s">
        <v>1358</v>
      </c>
      <c r="C5702" t="s">
        <v>2041</v>
      </c>
      <c r="D5702" s="9">
        <v>7373652</v>
      </c>
      <c r="E5702">
        <v>5.1576E-3</v>
      </c>
    </row>
    <row r="5703" spans="1:5">
      <c r="A5703">
        <v>2022</v>
      </c>
      <c r="B5703" s="3" t="s">
        <v>466</v>
      </c>
      <c r="C5703" t="s">
        <v>2042</v>
      </c>
      <c r="D5703" s="9">
        <v>4100499</v>
      </c>
      <c r="E5703">
        <v>2.8681000000000002E-3</v>
      </c>
    </row>
    <row r="5704" spans="1:5">
      <c r="A5704">
        <v>2023</v>
      </c>
      <c r="B5704" s="3" t="s">
        <v>59</v>
      </c>
      <c r="C5704" t="s">
        <v>6</v>
      </c>
      <c r="D5704" s="9" t="s">
        <v>2462</v>
      </c>
    </row>
    <row r="5705" spans="1:5">
      <c r="A5705">
        <v>2023</v>
      </c>
      <c r="B5705" s="3" t="s">
        <v>60</v>
      </c>
      <c r="C5705" t="s">
        <v>7</v>
      </c>
      <c r="D5705" s="9">
        <v>359121</v>
      </c>
      <c r="E5705">
        <v>2.308E-4</v>
      </c>
    </row>
    <row r="5706" spans="1:5">
      <c r="A5706">
        <v>2023</v>
      </c>
      <c r="B5706" s="3" t="s">
        <v>61</v>
      </c>
      <c r="C5706" t="s">
        <v>1487</v>
      </c>
      <c r="D5706" s="9"/>
    </row>
    <row r="5707" spans="1:5">
      <c r="A5707">
        <v>2023</v>
      </c>
      <c r="B5707" s="3" t="s">
        <v>62</v>
      </c>
      <c r="C5707" t="s">
        <v>9</v>
      </c>
      <c r="D5707" s="9">
        <v>103145</v>
      </c>
      <c r="E5707">
        <v>6.6299999999999999E-5</v>
      </c>
    </row>
    <row r="5708" spans="1:5">
      <c r="A5708">
        <v>2023</v>
      </c>
      <c r="B5708" s="3" t="s">
        <v>63</v>
      </c>
      <c r="C5708" t="s">
        <v>1488</v>
      </c>
      <c r="D5708" s="9">
        <v>158368</v>
      </c>
      <c r="E5708">
        <v>1.0179999999999999E-4</v>
      </c>
    </row>
    <row r="5709" spans="1:5">
      <c r="A5709">
        <v>2023</v>
      </c>
      <c r="B5709" s="3" t="s">
        <v>64</v>
      </c>
      <c r="C5709" t="s">
        <v>1489</v>
      </c>
      <c r="D5709" s="9">
        <v>7066127</v>
      </c>
      <c r="E5709">
        <v>4.5411999999999996E-3</v>
      </c>
    </row>
    <row r="5710" spans="1:5">
      <c r="A5710">
        <v>2023</v>
      </c>
      <c r="B5710" s="3" t="s">
        <v>65</v>
      </c>
      <c r="C5710" t="s">
        <v>1490</v>
      </c>
      <c r="D5710" s="9">
        <v>132764</v>
      </c>
      <c r="E5710">
        <v>8.53E-5</v>
      </c>
    </row>
    <row r="5711" spans="1:5">
      <c r="A5711">
        <v>2023</v>
      </c>
      <c r="B5711" s="3" t="s">
        <v>66</v>
      </c>
      <c r="C5711" t="s">
        <v>1491</v>
      </c>
      <c r="D5711" s="9">
        <v>39385</v>
      </c>
      <c r="E5711">
        <v>2.5299999999999998E-5</v>
      </c>
    </row>
    <row r="5712" spans="1:5">
      <c r="A5712">
        <v>2023</v>
      </c>
      <c r="B5712" s="3" t="s">
        <v>67</v>
      </c>
      <c r="C5712" t="s">
        <v>1492</v>
      </c>
      <c r="D5712" s="9">
        <v>233216</v>
      </c>
      <c r="E5712">
        <v>1.4990000000000001E-4</v>
      </c>
    </row>
    <row r="5713" spans="1:5">
      <c r="A5713">
        <v>2023</v>
      </c>
      <c r="B5713" s="3" t="s">
        <v>68</v>
      </c>
      <c r="C5713" t="s">
        <v>1493</v>
      </c>
      <c r="D5713" s="9">
        <v>4074</v>
      </c>
      <c r="E5713">
        <v>2.6000000000000001E-6</v>
      </c>
    </row>
    <row r="5714" spans="1:5">
      <c r="A5714">
        <v>2023</v>
      </c>
      <c r="B5714" s="3" t="s">
        <v>69</v>
      </c>
      <c r="C5714" t="s">
        <v>1494</v>
      </c>
      <c r="D5714" s="9">
        <v>365781</v>
      </c>
      <c r="E5714">
        <v>2.351E-4</v>
      </c>
    </row>
    <row r="5715" spans="1:5">
      <c r="A5715">
        <v>2023</v>
      </c>
      <c r="B5715" s="3" t="s">
        <v>70</v>
      </c>
      <c r="C5715" t="s">
        <v>1495</v>
      </c>
      <c r="D5715" s="9">
        <v>9382965</v>
      </c>
      <c r="E5715">
        <v>6.0302000000000003E-3</v>
      </c>
    </row>
    <row r="5716" spans="1:5">
      <c r="A5716">
        <v>2023</v>
      </c>
      <c r="B5716" s="3" t="s">
        <v>71</v>
      </c>
      <c r="C5716" t="s">
        <v>1496</v>
      </c>
      <c r="D5716" s="9">
        <v>76896</v>
      </c>
      <c r="E5716">
        <v>4.9400000000000001E-5</v>
      </c>
    </row>
    <row r="5717" spans="1:5">
      <c r="A5717">
        <v>2023</v>
      </c>
      <c r="B5717" s="3" t="s">
        <v>72</v>
      </c>
      <c r="C5717" t="s">
        <v>1497</v>
      </c>
      <c r="D5717" s="9">
        <v>332680</v>
      </c>
      <c r="E5717">
        <v>2.1379999999999999E-4</v>
      </c>
    </row>
    <row r="5718" spans="1:5">
      <c r="A5718">
        <v>2023</v>
      </c>
      <c r="B5718" s="3" t="s">
        <v>74</v>
      </c>
      <c r="C5718" t="s">
        <v>1498</v>
      </c>
      <c r="D5718" s="9">
        <v>13573</v>
      </c>
      <c r="E5718">
        <v>8.6999999999999997E-6</v>
      </c>
    </row>
    <row r="5719" spans="1:5">
      <c r="A5719">
        <v>2023</v>
      </c>
      <c r="B5719" s="3" t="s">
        <v>75</v>
      </c>
      <c r="C5719" t="s">
        <v>1365</v>
      </c>
      <c r="D5719" s="9"/>
    </row>
    <row r="5720" spans="1:5">
      <c r="A5720">
        <v>2023</v>
      </c>
      <c r="B5720" s="3" t="s">
        <v>76</v>
      </c>
      <c r="C5720" t="s">
        <v>1499</v>
      </c>
      <c r="D5720" s="9">
        <v>9600467</v>
      </c>
      <c r="E5720">
        <v>6.1698999999999999E-3</v>
      </c>
    </row>
    <row r="5721" spans="1:5">
      <c r="A5721">
        <v>2023</v>
      </c>
      <c r="B5721" s="3" t="s">
        <v>77</v>
      </c>
      <c r="C5721" t="s">
        <v>1500</v>
      </c>
      <c r="D5721" s="9">
        <v>153679</v>
      </c>
      <c r="E5721">
        <v>9.8800000000000003E-5</v>
      </c>
    </row>
    <row r="5722" spans="1:5">
      <c r="A5722">
        <v>2023</v>
      </c>
      <c r="B5722" s="3" t="s">
        <v>78</v>
      </c>
      <c r="C5722" t="s">
        <v>25</v>
      </c>
      <c r="D5722" s="9">
        <v>1684494</v>
      </c>
      <c r="E5722">
        <v>1.0826E-3</v>
      </c>
    </row>
    <row r="5723" spans="1:5">
      <c r="A5723">
        <v>2023</v>
      </c>
      <c r="B5723" s="3" t="s">
        <v>79</v>
      </c>
      <c r="C5723" t="s">
        <v>1502</v>
      </c>
      <c r="D5723" s="9">
        <v>16771</v>
      </c>
      <c r="E5723">
        <v>1.08E-5</v>
      </c>
    </row>
    <row r="5724" spans="1:5">
      <c r="A5724">
        <v>2023</v>
      </c>
      <c r="B5724" s="3" t="s">
        <v>80</v>
      </c>
      <c r="C5724" t="s">
        <v>1503</v>
      </c>
      <c r="D5724" s="9">
        <v>2234438</v>
      </c>
      <c r="E5724">
        <v>1.436E-3</v>
      </c>
    </row>
    <row r="5725" spans="1:5">
      <c r="A5725">
        <v>2023</v>
      </c>
      <c r="B5725" s="3" t="s">
        <v>1324</v>
      </c>
      <c r="C5725" t="s">
        <v>1504</v>
      </c>
      <c r="D5725" s="9">
        <v>112435</v>
      </c>
      <c r="E5725">
        <v>7.2299999999999996E-5</v>
      </c>
    </row>
    <row r="5726" spans="1:5">
      <c r="A5726">
        <v>2023</v>
      </c>
      <c r="B5726" s="3" t="s">
        <v>369</v>
      </c>
      <c r="C5726" t="s">
        <v>1505</v>
      </c>
      <c r="D5726" s="9">
        <v>1538622</v>
      </c>
      <c r="E5726">
        <v>9.8879999999999997E-4</v>
      </c>
    </row>
    <row r="5727" spans="1:5">
      <c r="A5727">
        <v>2023</v>
      </c>
      <c r="B5727" s="3" t="s">
        <v>81</v>
      </c>
      <c r="C5727" t="s">
        <v>1506</v>
      </c>
      <c r="D5727" s="9">
        <v>204582</v>
      </c>
      <c r="E5727">
        <v>1.315E-4</v>
      </c>
    </row>
    <row r="5728" spans="1:5">
      <c r="A5728">
        <v>2023</v>
      </c>
      <c r="B5728" s="3" t="s">
        <v>1371</v>
      </c>
      <c r="C5728" t="s">
        <v>1507</v>
      </c>
      <c r="D5728" s="9">
        <v>15639</v>
      </c>
      <c r="E5728">
        <v>1.01E-5</v>
      </c>
    </row>
    <row r="5729" spans="1:5">
      <c r="A5729">
        <v>2023</v>
      </c>
      <c r="B5729" s="3" t="s">
        <v>58</v>
      </c>
      <c r="C5729" t="s">
        <v>1508</v>
      </c>
      <c r="D5729" s="9">
        <v>853710</v>
      </c>
      <c r="E5729">
        <v>5.4869999999999995E-4</v>
      </c>
    </row>
    <row r="5730" spans="1:5">
      <c r="A5730">
        <v>2023</v>
      </c>
      <c r="B5730" s="3" t="s">
        <v>82</v>
      </c>
      <c r="C5730" t="s">
        <v>1509</v>
      </c>
      <c r="D5730" s="9">
        <v>44758</v>
      </c>
      <c r="E5730">
        <v>2.8799999999999999E-5</v>
      </c>
    </row>
    <row r="5731" spans="1:5">
      <c r="A5731">
        <v>2023</v>
      </c>
      <c r="B5731" s="3" t="s">
        <v>83</v>
      </c>
      <c r="C5731" t="s">
        <v>30</v>
      </c>
      <c r="D5731" s="9">
        <v>9005744</v>
      </c>
      <c r="E5731">
        <v>5.7876999999999998E-3</v>
      </c>
    </row>
    <row r="5732" spans="1:5">
      <c r="A5732">
        <v>2023</v>
      </c>
      <c r="B5732" s="3" t="s">
        <v>84</v>
      </c>
      <c r="C5732" t="s">
        <v>31</v>
      </c>
      <c r="D5732" s="9"/>
    </row>
    <row r="5733" spans="1:5">
      <c r="A5733">
        <v>2023</v>
      </c>
      <c r="B5733" s="3" t="s">
        <v>1426</v>
      </c>
      <c r="C5733" t="s">
        <v>1510</v>
      </c>
      <c r="D5733" s="9">
        <v>5347</v>
      </c>
      <c r="E5733">
        <v>3.4000000000000001E-6</v>
      </c>
    </row>
    <row r="5734" spans="1:5">
      <c r="A5734">
        <v>2023</v>
      </c>
      <c r="B5734" s="3" t="s">
        <v>91</v>
      </c>
      <c r="C5734" t="s">
        <v>1511</v>
      </c>
      <c r="D5734" s="9">
        <v>26765</v>
      </c>
      <c r="E5734">
        <v>1.7200000000000001E-5</v>
      </c>
    </row>
    <row r="5735" spans="1:5">
      <c r="A5735">
        <v>2023</v>
      </c>
      <c r="B5735" s="3" t="s">
        <v>97</v>
      </c>
      <c r="C5735" t="s">
        <v>1512</v>
      </c>
      <c r="D5735" s="9">
        <v>79780</v>
      </c>
      <c r="E5735">
        <v>5.13E-5</v>
      </c>
    </row>
    <row r="5736" spans="1:5">
      <c r="A5736">
        <v>2023</v>
      </c>
      <c r="B5736" s="3" t="s">
        <v>98</v>
      </c>
      <c r="C5736" t="s">
        <v>1513</v>
      </c>
      <c r="D5736" s="9">
        <v>41468</v>
      </c>
      <c r="E5736">
        <v>2.6699999999999998E-5</v>
      </c>
    </row>
    <row r="5737" spans="1:5">
      <c r="A5737">
        <v>2023</v>
      </c>
      <c r="B5737" s="3" t="s">
        <v>99</v>
      </c>
      <c r="C5737" t="s">
        <v>1514</v>
      </c>
      <c r="D5737" s="9">
        <v>26042</v>
      </c>
      <c r="E5737">
        <v>1.6699999999999999E-5</v>
      </c>
    </row>
    <row r="5738" spans="1:5" ht="17" customHeight="1">
      <c r="A5738">
        <v>2023</v>
      </c>
      <c r="B5738" s="3" t="s">
        <v>210</v>
      </c>
      <c r="C5738" t="s">
        <v>1515</v>
      </c>
      <c r="D5738" s="9"/>
    </row>
    <row r="5739" spans="1:5">
      <c r="A5739">
        <v>2023</v>
      </c>
      <c r="B5739" s="3" t="s">
        <v>85</v>
      </c>
      <c r="C5739" t="s">
        <v>1516</v>
      </c>
      <c r="D5739" s="9">
        <v>28275</v>
      </c>
      <c r="E5739">
        <v>1.8199999999999999E-5</v>
      </c>
    </row>
    <row r="5740" spans="1:5">
      <c r="A5740">
        <v>2023</v>
      </c>
      <c r="B5740" s="3" t="s">
        <v>102</v>
      </c>
      <c r="C5740" t="s">
        <v>1517</v>
      </c>
      <c r="D5740" s="9">
        <v>17130</v>
      </c>
      <c r="E5740">
        <v>1.1E-5</v>
      </c>
    </row>
    <row r="5741" spans="1:5">
      <c r="A5741">
        <v>2023</v>
      </c>
      <c r="B5741" s="3" t="s">
        <v>104</v>
      </c>
      <c r="C5741" t="s">
        <v>1518</v>
      </c>
      <c r="D5741" s="9">
        <v>64814</v>
      </c>
      <c r="E5741">
        <v>4.1699999999999997E-5</v>
      </c>
    </row>
    <row r="5742" spans="1:5">
      <c r="A5742">
        <v>2023</v>
      </c>
      <c r="B5742" s="3" t="s">
        <v>106</v>
      </c>
      <c r="C5742" t="s">
        <v>1519</v>
      </c>
      <c r="D5742" s="9">
        <v>12413</v>
      </c>
      <c r="E5742">
        <v>7.9999999999999996E-6</v>
      </c>
    </row>
    <row r="5743" spans="1:5">
      <c r="A5743">
        <v>2023</v>
      </c>
      <c r="B5743" s="3" t="s">
        <v>107</v>
      </c>
      <c r="C5743" t="s">
        <v>1520</v>
      </c>
      <c r="D5743" s="9">
        <v>37356</v>
      </c>
      <c r="E5743">
        <v>2.4000000000000001E-5</v>
      </c>
    </row>
    <row r="5744" spans="1:5">
      <c r="A5744">
        <v>2023</v>
      </c>
      <c r="B5744" s="3" t="s">
        <v>108</v>
      </c>
      <c r="C5744" t="s">
        <v>1521</v>
      </c>
      <c r="D5744" s="9">
        <v>429762</v>
      </c>
      <c r="E5744">
        <v>2.7619999999999999E-4</v>
      </c>
    </row>
    <row r="5745" spans="1:5">
      <c r="A5745">
        <v>2023</v>
      </c>
      <c r="B5745" s="3" t="s">
        <v>109</v>
      </c>
      <c r="C5745" t="s">
        <v>1522</v>
      </c>
      <c r="D5745" s="9">
        <v>19797</v>
      </c>
      <c r="E5745">
        <v>1.27E-5</v>
      </c>
    </row>
    <row r="5746" spans="1:5">
      <c r="A5746">
        <v>2023</v>
      </c>
      <c r="B5746" s="3" t="s">
        <v>1140</v>
      </c>
      <c r="C5746" t="s">
        <v>1525</v>
      </c>
      <c r="D5746" s="9">
        <v>630190</v>
      </c>
      <c r="E5746">
        <v>4.0499999999999998E-4</v>
      </c>
    </row>
    <row r="5747" spans="1:5">
      <c r="A5747">
        <v>2023</v>
      </c>
      <c r="B5747" s="3" t="s">
        <v>168</v>
      </c>
      <c r="C5747" t="s">
        <v>113</v>
      </c>
      <c r="D5747" s="9">
        <v>74113</v>
      </c>
      <c r="E5747">
        <v>4.7599999999999998E-5</v>
      </c>
    </row>
    <row r="5748" spans="1:5">
      <c r="A5748">
        <v>2023</v>
      </c>
      <c r="B5748" s="3" t="s">
        <v>170</v>
      </c>
      <c r="C5748" t="s">
        <v>1526</v>
      </c>
      <c r="D5748" s="9" t="s">
        <v>2462</v>
      </c>
    </row>
    <row r="5749" spans="1:5">
      <c r="A5749">
        <v>2023</v>
      </c>
      <c r="B5749" s="3" t="s">
        <v>169</v>
      </c>
      <c r="C5749" t="s">
        <v>1527</v>
      </c>
      <c r="D5749" s="9">
        <v>162365</v>
      </c>
      <c r="E5749">
        <v>1.043E-4</v>
      </c>
    </row>
    <row r="5750" spans="1:5">
      <c r="A5750">
        <v>2023</v>
      </c>
      <c r="B5750" s="3" t="s">
        <v>1381</v>
      </c>
      <c r="C5750" t="s">
        <v>1528</v>
      </c>
      <c r="D5750" s="9">
        <v>8689</v>
      </c>
      <c r="E5750">
        <v>5.5999999999999997E-6</v>
      </c>
    </row>
    <row r="5751" spans="1:5">
      <c r="A5751">
        <v>2023</v>
      </c>
      <c r="B5751" s="3" t="s">
        <v>171</v>
      </c>
      <c r="C5751" t="s">
        <v>1529</v>
      </c>
      <c r="D5751" s="9">
        <v>86900</v>
      </c>
      <c r="E5751">
        <v>5.5800000000000001E-5</v>
      </c>
    </row>
    <row r="5752" spans="1:5">
      <c r="A5752">
        <v>2023</v>
      </c>
      <c r="B5752" s="3" t="s">
        <v>1427</v>
      </c>
      <c r="C5752" t="s">
        <v>1530</v>
      </c>
      <c r="D5752" s="9">
        <v>1167274</v>
      </c>
      <c r="E5752">
        <v>7.5020000000000002E-4</v>
      </c>
    </row>
    <row r="5753" spans="1:5">
      <c r="A5753">
        <v>2023</v>
      </c>
      <c r="B5753" s="3" t="s">
        <v>172</v>
      </c>
      <c r="C5753" t="s">
        <v>117</v>
      </c>
      <c r="D5753" s="9">
        <v>2008934</v>
      </c>
      <c r="E5753">
        <v>1.2911000000000001E-3</v>
      </c>
    </row>
    <row r="5754" spans="1:5">
      <c r="A5754">
        <v>2023</v>
      </c>
      <c r="B5754" s="3" t="s">
        <v>173</v>
      </c>
      <c r="C5754" t="s">
        <v>1531</v>
      </c>
      <c r="D5754" s="9">
        <v>164447</v>
      </c>
      <c r="E5754">
        <v>1.0569999999999999E-4</v>
      </c>
    </row>
    <row r="5755" spans="1:5">
      <c r="A5755">
        <v>2023</v>
      </c>
      <c r="B5755" s="3" t="s">
        <v>174</v>
      </c>
      <c r="C5755" t="s">
        <v>119</v>
      </c>
      <c r="D5755" s="9">
        <v>106947</v>
      </c>
      <c r="E5755">
        <v>6.8700000000000003E-5</v>
      </c>
    </row>
    <row r="5756" spans="1:5">
      <c r="A5756">
        <v>2023</v>
      </c>
      <c r="B5756" s="3" t="s">
        <v>175</v>
      </c>
      <c r="C5756" t="s">
        <v>1532</v>
      </c>
      <c r="D5756" s="9">
        <v>606180</v>
      </c>
      <c r="E5756">
        <v>3.8959999999999998E-4</v>
      </c>
    </row>
    <row r="5757" spans="1:5">
      <c r="A5757">
        <v>2023</v>
      </c>
      <c r="B5757" s="3" t="s">
        <v>176</v>
      </c>
      <c r="C5757" t="s">
        <v>1533</v>
      </c>
      <c r="D5757" s="9">
        <v>279134</v>
      </c>
      <c r="E5757">
        <v>1.794E-4</v>
      </c>
    </row>
    <row r="5758" spans="1:5">
      <c r="A5758">
        <v>2023</v>
      </c>
      <c r="B5758" s="3" t="s">
        <v>177</v>
      </c>
      <c r="C5758" t="s">
        <v>122</v>
      </c>
      <c r="D5758" s="9">
        <v>185626</v>
      </c>
      <c r="E5758">
        <v>1.193E-4</v>
      </c>
    </row>
    <row r="5759" spans="1:5">
      <c r="A5759">
        <v>2023</v>
      </c>
      <c r="B5759" s="3" t="s">
        <v>178</v>
      </c>
      <c r="C5759" t="s">
        <v>1534</v>
      </c>
      <c r="D5759" s="9">
        <v>5043498</v>
      </c>
      <c r="E5759">
        <v>3.2412999999999999E-3</v>
      </c>
    </row>
    <row r="5760" spans="1:5">
      <c r="A5760">
        <v>2023</v>
      </c>
      <c r="B5760" s="3" t="s">
        <v>181</v>
      </c>
      <c r="C5760" t="s">
        <v>1535</v>
      </c>
      <c r="D5760" s="9">
        <v>1772381</v>
      </c>
      <c r="E5760">
        <v>1.1391000000000001E-3</v>
      </c>
    </row>
    <row r="5761" spans="1:5">
      <c r="A5761">
        <v>2023</v>
      </c>
      <c r="B5761" s="3" t="s">
        <v>1382</v>
      </c>
      <c r="C5761" t="s">
        <v>1536</v>
      </c>
      <c r="D5761" s="9">
        <v>16087711</v>
      </c>
      <c r="E5761">
        <v>1.03391E-2</v>
      </c>
    </row>
    <row r="5762" spans="1:5">
      <c r="A5762">
        <v>2023</v>
      </c>
      <c r="B5762" s="3" t="s">
        <v>182</v>
      </c>
      <c r="C5762" t="s">
        <v>1537</v>
      </c>
      <c r="D5762" s="9">
        <v>8241737</v>
      </c>
      <c r="E5762">
        <v>5.2966999999999997E-3</v>
      </c>
    </row>
    <row r="5763" spans="1:5">
      <c r="A5763">
        <v>2023</v>
      </c>
      <c r="B5763" s="3" t="s">
        <v>183</v>
      </c>
      <c r="C5763" t="s">
        <v>1538</v>
      </c>
      <c r="D5763" s="9">
        <v>50819810</v>
      </c>
      <c r="E5763">
        <v>3.2660399999999999E-2</v>
      </c>
    </row>
    <row r="5764" spans="1:5">
      <c r="A5764">
        <v>2023</v>
      </c>
      <c r="B5764" s="3" t="s">
        <v>184</v>
      </c>
      <c r="C5764" t="s">
        <v>1539</v>
      </c>
      <c r="D5764" s="9">
        <v>4891836</v>
      </c>
      <c r="E5764">
        <v>3.1438E-3</v>
      </c>
    </row>
    <row r="5765" spans="1:5">
      <c r="A5765">
        <v>2023</v>
      </c>
      <c r="B5765" s="3" t="s">
        <v>185</v>
      </c>
      <c r="C5765" t="s">
        <v>1540</v>
      </c>
      <c r="D5765" s="9">
        <v>2084088</v>
      </c>
      <c r="E5765">
        <v>1.3393999999999999E-3</v>
      </c>
    </row>
    <row r="5766" spans="1:5">
      <c r="A5766">
        <v>2023</v>
      </c>
      <c r="B5766" s="3" t="s">
        <v>186</v>
      </c>
      <c r="C5766" t="s">
        <v>1541</v>
      </c>
      <c r="D5766" s="9">
        <v>4019639</v>
      </c>
      <c r="E5766">
        <v>2.5833000000000002E-3</v>
      </c>
    </row>
    <row r="5767" spans="1:5">
      <c r="A5767">
        <v>2023</v>
      </c>
      <c r="B5767" s="3" t="s">
        <v>187</v>
      </c>
      <c r="C5767" t="s">
        <v>1542</v>
      </c>
      <c r="D5767" s="9"/>
    </row>
    <row r="5768" spans="1:5">
      <c r="A5768">
        <v>2023</v>
      </c>
      <c r="B5768" s="3" t="s">
        <v>189</v>
      </c>
      <c r="C5768" t="s">
        <v>1544</v>
      </c>
      <c r="D5768" s="9">
        <v>858554</v>
      </c>
      <c r="E5768">
        <v>5.5179999999999997E-4</v>
      </c>
    </row>
    <row r="5769" spans="1:5">
      <c r="A5769">
        <v>2023</v>
      </c>
      <c r="B5769" s="3" t="s">
        <v>190</v>
      </c>
      <c r="C5769" t="s">
        <v>1546</v>
      </c>
      <c r="D5769" s="9">
        <v>12507983</v>
      </c>
      <c r="E5769">
        <v>8.0385000000000005E-3</v>
      </c>
    </row>
    <row r="5770" spans="1:5">
      <c r="A5770">
        <v>2023</v>
      </c>
      <c r="B5770" s="3" t="s">
        <v>191</v>
      </c>
      <c r="C5770" t="s">
        <v>1547</v>
      </c>
      <c r="D5770" s="9">
        <v>244408</v>
      </c>
      <c r="E5770">
        <v>1.571E-4</v>
      </c>
    </row>
    <row r="5771" spans="1:5">
      <c r="A5771">
        <v>2023</v>
      </c>
      <c r="B5771" s="3" t="s">
        <v>192</v>
      </c>
      <c r="C5771" t="s">
        <v>1548</v>
      </c>
      <c r="D5771" s="9">
        <v>653330</v>
      </c>
      <c r="E5771">
        <v>4.1990000000000001E-4</v>
      </c>
    </row>
    <row r="5772" spans="1:5">
      <c r="A5772">
        <v>2023</v>
      </c>
      <c r="B5772" s="3" t="s">
        <v>193</v>
      </c>
      <c r="C5772" t="s">
        <v>1549</v>
      </c>
      <c r="D5772" s="9">
        <v>1112680</v>
      </c>
      <c r="E5772">
        <v>7.1509999999999998E-4</v>
      </c>
    </row>
    <row r="5773" spans="1:5">
      <c r="A5773">
        <v>2023</v>
      </c>
      <c r="B5773" s="3" t="s">
        <v>194</v>
      </c>
      <c r="C5773" t="s">
        <v>1550</v>
      </c>
      <c r="D5773" s="9">
        <v>722153</v>
      </c>
      <c r="E5773">
        <v>4.6410000000000001E-4</v>
      </c>
    </row>
    <row r="5774" spans="1:5">
      <c r="A5774">
        <v>2023</v>
      </c>
      <c r="B5774" s="3" t="s">
        <v>196</v>
      </c>
      <c r="C5774" t="s">
        <v>1551</v>
      </c>
      <c r="D5774" s="9">
        <v>218442</v>
      </c>
      <c r="E5774">
        <v>1.404E-4</v>
      </c>
    </row>
    <row r="5775" spans="1:5">
      <c r="A5775">
        <v>2023</v>
      </c>
      <c r="B5775" s="3" t="s">
        <v>197</v>
      </c>
      <c r="C5775" t="s">
        <v>1552</v>
      </c>
      <c r="D5775" s="9">
        <v>7225976</v>
      </c>
      <c r="E5775">
        <v>4.6439000000000003E-3</v>
      </c>
    </row>
    <row r="5776" spans="1:5">
      <c r="A5776">
        <v>2023</v>
      </c>
      <c r="B5776" s="3" t="s">
        <v>198</v>
      </c>
      <c r="C5776" t="s">
        <v>1553</v>
      </c>
      <c r="D5776" s="9">
        <v>162693</v>
      </c>
      <c r="E5776">
        <v>1.0459999999999999E-4</v>
      </c>
    </row>
    <row r="5777" spans="1:5">
      <c r="A5777">
        <v>2023</v>
      </c>
      <c r="B5777" s="3" t="s">
        <v>199</v>
      </c>
      <c r="C5777" t="s">
        <v>1554</v>
      </c>
      <c r="D5777" s="9">
        <v>4126847</v>
      </c>
      <c r="E5777">
        <v>2.6522E-3</v>
      </c>
    </row>
    <row r="5778" spans="1:5">
      <c r="A5778">
        <v>2023</v>
      </c>
      <c r="B5778" s="3" t="s">
        <v>200</v>
      </c>
      <c r="C5778" t="s">
        <v>1555</v>
      </c>
      <c r="D5778" s="9">
        <v>25652267</v>
      </c>
      <c r="E5778">
        <v>1.6485900000000001E-2</v>
      </c>
    </row>
    <row r="5779" spans="1:5">
      <c r="A5779">
        <v>2023</v>
      </c>
      <c r="B5779" s="3" t="s">
        <v>201</v>
      </c>
      <c r="C5779" t="s">
        <v>1556</v>
      </c>
      <c r="D5779" s="9">
        <v>1955655</v>
      </c>
      <c r="E5779">
        <v>1.2568E-3</v>
      </c>
    </row>
    <row r="5780" spans="1:5">
      <c r="A5780">
        <v>2023</v>
      </c>
      <c r="B5780" s="3" t="s">
        <v>202</v>
      </c>
      <c r="C5780" t="s">
        <v>1557</v>
      </c>
      <c r="D5780" s="9">
        <v>1780945</v>
      </c>
      <c r="E5780">
        <v>1.1446E-3</v>
      </c>
    </row>
    <row r="5781" spans="1:5">
      <c r="A5781">
        <v>2023</v>
      </c>
      <c r="B5781" s="3" t="s">
        <v>204</v>
      </c>
      <c r="C5781" t="s">
        <v>1559</v>
      </c>
      <c r="D5781" s="9">
        <v>1185776</v>
      </c>
      <c r="E5781">
        <v>7.6210000000000004E-4</v>
      </c>
    </row>
    <row r="5782" spans="1:5">
      <c r="A5782">
        <v>2023</v>
      </c>
      <c r="B5782" s="3" t="s">
        <v>205</v>
      </c>
      <c r="C5782" t="s">
        <v>150</v>
      </c>
      <c r="D5782" s="9">
        <v>296795</v>
      </c>
      <c r="E5782">
        <v>1.907E-4</v>
      </c>
    </row>
    <row r="5783" spans="1:5">
      <c r="A5783">
        <v>2023</v>
      </c>
      <c r="B5783" s="3" t="s">
        <v>1563</v>
      </c>
      <c r="C5783" t="s">
        <v>1560</v>
      </c>
      <c r="D5783" s="9">
        <v>177263</v>
      </c>
      <c r="E5783">
        <v>1.139E-4</v>
      </c>
    </row>
    <row r="5784" spans="1:5">
      <c r="A5784">
        <v>2023</v>
      </c>
      <c r="B5784" s="3" t="s">
        <v>2088</v>
      </c>
      <c r="C5784" t="s">
        <v>2086</v>
      </c>
      <c r="D5784" s="9">
        <v>545716</v>
      </c>
      <c r="E5784">
        <v>3.5070000000000001E-4</v>
      </c>
    </row>
    <row r="5785" spans="1:5">
      <c r="A5785">
        <v>2023</v>
      </c>
      <c r="B5785" s="3" t="s">
        <v>188</v>
      </c>
      <c r="C5785" t="s">
        <v>1561</v>
      </c>
      <c r="D5785" s="9">
        <v>3292532</v>
      </c>
      <c r="E5785">
        <v>2.1159999999999998E-3</v>
      </c>
    </row>
    <row r="5786" spans="1:5">
      <c r="A5786">
        <v>2023</v>
      </c>
      <c r="B5786" s="3" t="s">
        <v>206</v>
      </c>
      <c r="C5786" t="s">
        <v>1562</v>
      </c>
      <c r="D5786" s="9"/>
    </row>
    <row r="5787" spans="1:5">
      <c r="A5787">
        <v>2023</v>
      </c>
      <c r="B5787" s="3" t="s">
        <v>207</v>
      </c>
      <c r="C5787" t="s">
        <v>152</v>
      </c>
      <c r="D5787" s="9">
        <v>1034084</v>
      </c>
      <c r="E5787">
        <v>6.646E-4</v>
      </c>
    </row>
    <row r="5788" spans="1:5">
      <c r="A5788">
        <v>2023</v>
      </c>
      <c r="B5788" s="3" t="s">
        <v>57</v>
      </c>
      <c r="C5788" t="s">
        <v>1564</v>
      </c>
      <c r="D5788" s="9">
        <v>8267260</v>
      </c>
      <c r="E5788">
        <v>5.3131000000000003E-3</v>
      </c>
    </row>
    <row r="5789" spans="1:5">
      <c r="A5789">
        <v>2023</v>
      </c>
      <c r="B5789" s="3" t="s">
        <v>208</v>
      </c>
      <c r="C5789" t="s">
        <v>153</v>
      </c>
      <c r="D5789" s="9"/>
    </row>
    <row r="5790" spans="1:5">
      <c r="A5790">
        <v>2023</v>
      </c>
      <c r="B5790" s="3" t="s">
        <v>209</v>
      </c>
      <c r="C5790" t="s">
        <v>154</v>
      </c>
      <c r="D5790" s="9">
        <v>202348</v>
      </c>
      <c r="E5790">
        <v>1.2999999999999999E-4</v>
      </c>
    </row>
    <row r="5791" spans="1:5">
      <c r="A5791">
        <v>2023</v>
      </c>
      <c r="B5791" s="3" t="s">
        <v>211</v>
      </c>
      <c r="C5791" t="s">
        <v>1565</v>
      </c>
      <c r="D5791" s="9">
        <v>1111665</v>
      </c>
      <c r="E5791">
        <v>7.1440000000000002E-4</v>
      </c>
    </row>
    <row r="5792" spans="1:5">
      <c r="A5792">
        <v>2023</v>
      </c>
      <c r="B5792" s="3" t="s">
        <v>212</v>
      </c>
      <c r="C5792" t="s">
        <v>1566</v>
      </c>
      <c r="D5792" s="9">
        <v>35187</v>
      </c>
      <c r="E5792">
        <v>2.26E-5</v>
      </c>
    </row>
    <row r="5793" spans="1:5">
      <c r="A5793">
        <v>2023</v>
      </c>
      <c r="B5793" s="3" t="s">
        <v>213</v>
      </c>
      <c r="C5793" t="s">
        <v>158</v>
      </c>
      <c r="D5793" s="9">
        <v>1297665</v>
      </c>
      <c r="E5793">
        <v>8.34E-4</v>
      </c>
    </row>
    <row r="5794" spans="1:5">
      <c r="A5794">
        <v>2023</v>
      </c>
      <c r="B5794" s="3" t="s">
        <v>1597</v>
      </c>
      <c r="C5794" t="s">
        <v>1567</v>
      </c>
      <c r="D5794" s="9">
        <v>25724</v>
      </c>
      <c r="E5794">
        <v>1.6500000000000001E-5</v>
      </c>
    </row>
    <row r="5795" spans="1:5">
      <c r="A5795">
        <v>2023</v>
      </c>
      <c r="B5795" s="3" t="s">
        <v>214</v>
      </c>
      <c r="C5795" t="s">
        <v>159</v>
      </c>
      <c r="D5795" s="9">
        <v>246441</v>
      </c>
      <c r="E5795">
        <v>1.584E-4</v>
      </c>
    </row>
    <row r="5796" spans="1:5">
      <c r="A5796">
        <v>2023</v>
      </c>
      <c r="B5796" s="3" t="s">
        <v>215</v>
      </c>
      <c r="C5796" t="s">
        <v>1568</v>
      </c>
      <c r="D5796" s="9">
        <v>225270</v>
      </c>
      <c r="E5796">
        <v>1.448E-4</v>
      </c>
    </row>
    <row r="5797" spans="1:5">
      <c r="A5797">
        <v>2023</v>
      </c>
      <c r="B5797" s="3" t="s">
        <v>217</v>
      </c>
      <c r="C5797" t="s">
        <v>162</v>
      </c>
      <c r="D5797" s="9">
        <v>485972</v>
      </c>
      <c r="E5797">
        <v>3.123E-4</v>
      </c>
    </row>
    <row r="5798" spans="1:5">
      <c r="A5798">
        <v>2023</v>
      </c>
      <c r="B5798" s="3" t="s">
        <v>219</v>
      </c>
      <c r="C5798" t="s">
        <v>164</v>
      </c>
      <c r="D5798" s="9">
        <v>385967</v>
      </c>
      <c r="E5798">
        <v>2.4800000000000001E-4</v>
      </c>
    </row>
    <row r="5799" spans="1:5">
      <c r="A5799">
        <v>2023</v>
      </c>
      <c r="B5799" s="3" t="s">
        <v>73</v>
      </c>
      <c r="C5799" t="s">
        <v>2354</v>
      </c>
      <c r="D5799" s="9">
        <v>208512</v>
      </c>
      <c r="E5799">
        <v>1.34E-4</v>
      </c>
    </row>
    <row r="5800" spans="1:5">
      <c r="A5800">
        <v>2023</v>
      </c>
      <c r="B5800" s="3" t="s">
        <v>220</v>
      </c>
      <c r="C5800" t="s">
        <v>1571</v>
      </c>
      <c r="D5800" s="9">
        <v>77648</v>
      </c>
      <c r="E5800">
        <v>4.99E-5</v>
      </c>
    </row>
    <row r="5801" spans="1:5">
      <c r="A5801">
        <v>2023</v>
      </c>
      <c r="B5801" s="3" t="s">
        <v>1387</v>
      </c>
      <c r="C5801" t="s">
        <v>1572</v>
      </c>
      <c r="D5801" s="9">
        <v>9676</v>
      </c>
      <c r="E5801">
        <v>6.1999999999999999E-6</v>
      </c>
    </row>
    <row r="5802" spans="1:5">
      <c r="A5802">
        <v>2023</v>
      </c>
      <c r="B5802" s="3" t="s">
        <v>1388</v>
      </c>
      <c r="C5802" t="s">
        <v>1573</v>
      </c>
      <c r="D5802" s="9">
        <v>9939</v>
      </c>
      <c r="E5802">
        <v>6.3999999999999997E-6</v>
      </c>
    </row>
    <row r="5803" spans="1:5">
      <c r="A5803">
        <v>2023</v>
      </c>
      <c r="B5803" s="3" t="s">
        <v>1389</v>
      </c>
      <c r="C5803" t="s">
        <v>1574</v>
      </c>
      <c r="D5803" s="9">
        <v>118002</v>
      </c>
      <c r="E5803">
        <v>7.5799999999999999E-5</v>
      </c>
    </row>
    <row r="5804" spans="1:5">
      <c r="A5804">
        <v>2023</v>
      </c>
      <c r="B5804" s="3" t="s">
        <v>1598</v>
      </c>
      <c r="C5804" t="s">
        <v>1575</v>
      </c>
      <c r="D5804" s="9">
        <v>257457</v>
      </c>
      <c r="E5804">
        <v>1.6550000000000001E-4</v>
      </c>
    </row>
    <row r="5805" spans="1:5">
      <c r="A5805">
        <v>2023</v>
      </c>
      <c r="B5805" s="3" t="s">
        <v>1390</v>
      </c>
      <c r="C5805" t="s">
        <v>1578</v>
      </c>
      <c r="D5805" s="9">
        <v>1547691</v>
      </c>
      <c r="E5805">
        <v>9.9470000000000005E-4</v>
      </c>
    </row>
    <row r="5806" spans="1:5">
      <c r="A5806">
        <v>2023</v>
      </c>
      <c r="B5806" s="3" t="s">
        <v>1393</v>
      </c>
      <c r="C5806" t="s">
        <v>1579</v>
      </c>
      <c r="D5806" s="9">
        <v>217715</v>
      </c>
      <c r="E5806">
        <v>1.3990000000000001E-4</v>
      </c>
    </row>
    <row r="5807" spans="1:5">
      <c r="A5807">
        <v>2023</v>
      </c>
      <c r="B5807" s="3" t="s">
        <v>2448</v>
      </c>
      <c r="C5807" t="s">
        <v>2447</v>
      </c>
      <c r="D5807" s="9">
        <v>95561</v>
      </c>
      <c r="E5807">
        <v>6.1400000000000002E-5</v>
      </c>
    </row>
    <row r="5808" spans="1:5">
      <c r="A5808">
        <v>2023</v>
      </c>
      <c r="B5808" s="3" t="s">
        <v>1395</v>
      </c>
      <c r="C5808" t="s">
        <v>230</v>
      </c>
      <c r="D5808" s="9">
        <v>430988</v>
      </c>
      <c r="E5808">
        <v>2.7700000000000001E-4</v>
      </c>
    </row>
    <row r="5809" spans="1:5">
      <c r="A5809">
        <v>2023</v>
      </c>
      <c r="B5809" s="3" t="s">
        <v>1396</v>
      </c>
      <c r="C5809" t="s">
        <v>231</v>
      </c>
      <c r="D5809" s="9">
        <v>67628</v>
      </c>
      <c r="E5809">
        <v>4.35E-5</v>
      </c>
    </row>
    <row r="5810" spans="1:5">
      <c r="A5810">
        <v>2023</v>
      </c>
      <c r="B5810" s="3" t="s">
        <v>1398</v>
      </c>
      <c r="C5810" t="s">
        <v>1580</v>
      </c>
      <c r="D5810" s="9">
        <v>48948</v>
      </c>
      <c r="E5810">
        <v>3.15E-5</v>
      </c>
    </row>
    <row r="5811" spans="1:5">
      <c r="A5811">
        <v>2023</v>
      </c>
      <c r="B5811" s="3" t="s">
        <v>1399</v>
      </c>
      <c r="C5811" t="s">
        <v>234</v>
      </c>
      <c r="D5811" s="9"/>
    </row>
    <row r="5812" spans="1:5">
      <c r="A5812">
        <v>2023</v>
      </c>
      <c r="B5812" s="3" t="s">
        <v>1400</v>
      </c>
      <c r="C5812" t="s">
        <v>1581</v>
      </c>
      <c r="D5812" s="9">
        <v>721634</v>
      </c>
      <c r="E5812">
        <v>4.638E-4</v>
      </c>
    </row>
    <row r="5813" spans="1:5">
      <c r="A5813">
        <v>2023</v>
      </c>
      <c r="B5813" s="3" t="s">
        <v>1401</v>
      </c>
      <c r="C5813" t="s">
        <v>1582</v>
      </c>
      <c r="D5813" s="9">
        <v>79962</v>
      </c>
      <c r="E5813">
        <v>5.1400000000000003E-5</v>
      </c>
    </row>
    <row r="5814" spans="1:5">
      <c r="A5814">
        <v>2023</v>
      </c>
      <c r="B5814" s="3" t="s">
        <v>1402</v>
      </c>
      <c r="C5814" t="s">
        <v>237</v>
      </c>
      <c r="D5814" s="9"/>
    </row>
    <row r="5815" spans="1:5">
      <c r="A5815">
        <v>2023</v>
      </c>
      <c r="B5815" s="3" t="s">
        <v>1403</v>
      </c>
      <c r="C5815" t="s">
        <v>1584</v>
      </c>
      <c r="D5815" s="9">
        <v>556145</v>
      </c>
      <c r="E5815">
        <v>3.5740000000000001E-4</v>
      </c>
    </row>
    <row r="5816" spans="1:5">
      <c r="A5816">
        <v>2023</v>
      </c>
      <c r="B5816" s="3" t="s">
        <v>1404</v>
      </c>
      <c r="C5816" t="s">
        <v>1585</v>
      </c>
      <c r="D5816" s="9">
        <v>826005</v>
      </c>
      <c r="E5816">
        <v>5.308E-4</v>
      </c>
    </row>
    <row r="5817" spans="1:5">
      <c r="A5817">
        <v>2023</v>
      </c>
      <c r="B5817" s="3" t="s">
        <v>1405</v>
      </c>
      <c r="C5817" t="s">
        <v>1586</v>
      </c>
      <c r="D5817" s="9">
        <v>67522</v>
      </c>
      <c r="E5817">
        <v>4.3399999999999998E-5</v>
      </c>
    </row>
    <row r="5818" spans="1:5">
      <c r="A5818">
        <v>2023</v>
      </c>
      <c r="B5818" s="3" t="s">
        <v>1406</v>
      </c>
      <c r="C5818" t="s">
        <v>1587</v>
      </c>
      <c r="D5818" s="9">
        <v>142222</v>
      </c>
      <c r="E5818">
        <v>9.1399999999999999E-5</v>
      </c>
    </row>
    <row r="5819" spans="1:5">
      <c r="A5819">
        <v>2023</v>
      </c>
      <c r="B5819" s="3" t="s">
        <v>1397</v>
      </c>
      <c r="C5819" t="s">
        <v>2356</v>
      </c>
      <c r="D5819" s="9">
        <v>45307</v>
      </c>
      <c r="E5819">
        <v>2.9099999999999999E-5</v>
      </c>
    </row>
    <row r="5820" spans="1:5">
      <c r="A5820">
        <v>2023</v>
      </c>
      <c r="B5820" s="3" t="s">
        <v>88</v>
      </c>
      <c r="C5820" t="s">
        <v>1589</v>
      </c>
      <c r="D5820" s="9">
        <v>95503</v>
      </c>
      <c r="E5820">
        <v>6.1400000000000002E-5</v>
      </c>
    </row>
    <row r="5821" spans="1:5">
      <c r="A5821">
        <v>2023</v>
      </c>
      <c r="B5821" s="3" t="s">
        <v>90</v>
      </c>
      <c r="C5821" t="s">
        <v>1590</v>
      </c>
      <c r="D5821" s="9"/>
    </row>
    <row r="5822" spans="1:5">
      <c r="A5822">
        <v>2023</v>
      </c>
      <c r="B5822" s="3" t="s">
        <v>87</v>
      </c>
      <c r="C5822" t="s">
        <v>2357</v>
      </c>
      <c r="D5822" s="9">
        <v>126983</v>
      </c>
      <c r="E5822">
        <v>8.1600000000000005E-5</v>
      </c>
    </row>
    <row r="5823" spans="1:5">
      <c r="A5823">
        <v>2023</v>
      </c>
      <c r="B5823" s="3" t="s">
        <v>92</v>
      </c>
      <c r="C5823" t="s">
        <v>2419</v>
      </c>
      <c r="D5823" s="9">
        <v>138536</v>
      </c>
      <c r="E5823">
        <v>8.8999999999999995E-5</v>
      </c>
    </row>
    <row r="5824" spans="1:5">
      <c r="A5824">
        <v>2023</v>
      </c>
      <c r="B5824" s="3" t="s">
        <v>93</v>
      </c>
      <c r="C5824" t="s">
        <v>1593</v>
      </c>
      <c r="D5824" s="9">
        <v>86288</v>
      </c>
      <c r="E5824">
        <v>5.5500000000000001E-5</v>
      </c>
    </row>
    <row r="5825" spans="1:5">
      <c r="A5825">
        <v>2023</v>
      </c>
      <c r="B5825" s="3" t="s">
        <v>94</v>
      </c>
      <c r="C5825" t="s">
        <v>2420</v>
      </c>
      <c r="D5825" s="9">
        <v>10852</v>
      </c>
      <c r="E5825">
        <v>6.9999999999999999E-6</v>
      </c>
    </row>
    <row r="5826" spans="1:5">
      <c r="A5826">
        <v>2023</v>
      </c>
      <c r="B5826" s="3" t="s">
        <v>95</v>
      </c>
      <c r="C5826" t="s">
        <v>1595</v>
      </c>
      <c r="D5826" s="9">
        <v>166015</v>
      </c>
      <c r="E5826">
        <v>1.0670000000000001E-4</v>
      </c>
    </row>
    <row r="5827" spans="1:5">
      <c r="A5827">
        <v>2023</v>
      </c>
      <c r="B5827" s="3" t="s">
        <v>100</v>
      </c>
      <c r="C5827" t="s">
        <v>1596</v>
      </c>
      <c r="D5827" s="9">
        <v>30481</v>
      </c>
      <c r="E5827">
        <v>1.9599999999999999E-5</v>
      </c>
    </row>
    <row r="5828" spans="1:5">
      <c r="A5828">
        <v>2023</v>
      </c>
      <c r="B5828" s="3" t="s">
        <v>101</v>
      </c>
      <c r="C5828" t="s">
        <v>1599</v>
      </c>
      <c r="D5828" s="9">
        <v>416017</v>
      </c>
      <c r="E5828">
        <v>2.6739999999999999E-4</v>
      </c>
    </row>
    <row r="5829" spans="1:5">
      <c r="A5829">
        <v>2023</v>
      </c>
      <c r="B5829" s="3" t="s">
        <v>103</v>
      </c>
      <c r="C5829" t="s">
        <v>2421</v>
      </c>
      <c r="D5829" s="9">
        <v>15289</v>
      </c>
      <c r="E5829">
        <v>9.7999999999999993E-6</v>
      </c>
    </row>
    <row r="5830" spans="1:5">
      <c r="A5830">
        <v>2023</v>
      </c>
      <c r="B5830" s="3" t="s">
        <v>105</v>
      </c>
      <c r="C5830" t="s">
        <v>1601</v>
      </c>
      <c r="D5830" s="9">
        <v>281477</v>
      </c>
      <c r="E5830">
        <v>1.8090000000000001E-4</v>
      </c>
    </row>
    <row r="5831" spans="1:5">
      <c r="A5831">
        <v>2023</v>
      </c>
      <c r="B5831" s="3" t="s">
        <v>166</v>
      </c>
      <c r="C5831" t="s">
        <v>1602</v>
      </c>
      <c r="D5831" s="9">
        <v>23529</v>
      </c>
      <c r="E5831">
        <v>1.5099999999999999E-5</v>
      </c>
    </row>
    <row r="5832" spans="1:5">
      <c r="A5832">
        <v>2023</v>
      </c>
      <c r="B5832" s="3" t="s">
        <v>86</v>
      </c>
      <c r="C5832" t="s">
        <v>1603</v>
      </c>
      <c r="D5832" s="9">
        <v>21664</v>
      </c>
      <c r="E5832">
        <v>1.3900000000000001E-5</v>
      </c>
    </row>
    <row r="5833" spans="1:5">
      <c r="A5833">
        <v>2023</v>
      </c>
      <c r="B5833" s="3" t="s">
        <v>110</v>
      </c>
      <c r="C5833" t="s">
        <v>1604</v>
      </c>
      <c r="D5833" s="9">
        <v>137542</v>
      </c>
      <c r="E5833">
        <v>8.8399999999999994E-5</v>
      </c>
    </row>
    <row r="5834" spans="1:5">
      <c r="A5834">
        <v>2023</v>
      </c>
      <c r="B5834" s="3" t="s">
        <v>1409</v>
      </c>
      <c r="C5834" t="s">
        <v>1605</v>
      </c>
      <c r="D5834" s="9">
        <v>1401763</v>
      </c>
      <c r="E5834">
        <v>9.0090000000000005E-4</v>
      </c>
    </row>
    <row r="5835" spans="1:5">
      <c r="A5835">
        <v>2023</v>
      </c>
      <c r="B5835" s="3" t="s">
        <v>195</v>
      </c>
      <c r="C5835" t="s">
        <v>1606</v>
      </c>
      <c r="D5835" s="9">
        <v>809838</v>
      </c>
      <c r="E5835">
        <v>5.2050000000000002E-4</v>
      </c>
    </row>
    <row r="5836" spans="1:5">
      <c r="A5836">
        <v>2023</v>
      </c>
      <c r="B5836" s="3" t="s">
        <v>218</v>
      </c>
      <c r="C5836" t="s">
        <v>1607</v>
      </c>
      <c r="D5836" s="9">
        <v>541452</v>
      </c>
      <c r="E5836">
        <v>3.48E-4</v>
      </c>
    </row>
    <row r="5837" spans="1:5">
      <c r="A5837">
        <v>2023</v>
      </c>
      <c r="B5837" s="3" t="s">
        <v>1410</v>
      </c>
      <c r="C5837" t="s">
        <v>243</v>
      </c>
      <c r="D5837" s="9">
        <v>107874</v>
      </c>
      <c r="E5837">
        <v>6.9300000000000004E-5</v>
      </c>
    </row>
    <row r="5838" spans="1:5">
      <c r="A5838">
        <v>2023</v>
      </c>
      <c r="B5838" s="3" t="s">
        <v>1411</v>
      </c>
      <c r="C5838" t="s">
        <v>244</v>
      </c>
      <c r="D5838" s="9">
        <v>1366124</v>
      </c>
      <c r="E5838">
        <v>8.7799999999999998E-4</v>
      </c>
    </row>
    <row r="5839" spans="1:5">
      <c r="A5839">
        <v>2023</v>
      </c>
      <c r="B5839" s="3" t="s">
        <v>1394</v>
      </c>
      <c r="C5839" t="s">
        <v>1608</v>
      </c>
      <c r="D5839" s="9">
        <v>6083</v>
      </c>
      <c r="E5839">
        <v>3.8999999999999999E-6</v>
      </c>
    </row>
    <row r="5840" spans="1:5">
      <c r="A5840">
        <v>2023</v>
      </c>
      <c r="B5840" s="3" t="s">
        <v>1412</v>
      </c>
      <c r="C5840" t="s">
        <v>1609</v>
      </c>
      <c r="D5840" s="9">
        <v>3632629</v>
      </c>
      <c r="E5840">
        <v>2.3346E-3</v>
      </c>
    </row>
    <row r="5841" spans="1:5">
      <c r="A5841">
        <v>2023</v>
      </c>
      <c r="B5841" s="3" t="s">
        <v>1413</v>
      </c>
      <c r="C5841" t="s">
        <v>246</v>
      </c>
      <c r="D5841" s="9">
        <v>866623</v>
      </c>
      <c r="E5841">
        <v>5.5699999999999999E-4</v>
      </c>
    </row>
    <row r="5842" spans="1:5">
      <c r="A5842">
        <v>2023</v>
      </c>
      <c r="B5842" s="3" t="s">
        <v>1414</v>
      </c>
      <c r="C5842" t="s">
        <v>247</v>
      </c>
      <c r="D5842" s="9">
        <v>297109</v>
      </c>
      <c r="E5842">
        <v>1.9090000000000001E-4</v>
      </c>
    </row>
    <row r="5843" spans="1:5">
      <c r="A5843">
        <v>2023</v>
      </c>
      <c r="B5843" s="3" t="s">
        <v>1415</v>
      </c>
      <c r="C5843" t="s">
        <v>248</v>
      </c>
      <c r="D5843" s="9">
        <v>60617178</v>
      </c>
      <c r="E5843">
        <v>3.8956900000000003E-2</v>
      </c>
    </row>
    <row r="5844" spans="1:5">
      <c r="A5844">
        <v>2023</v>
      </c>
      <c r="B5844" s="3" t="s">
        <v>1417</v>
      </c>
      <c r="C5844" t="s">
        <v>1610</v>
      </c>
      <c r="D5844" s="9">
        <v>32195</v>
      </c>
      <c r="E5844">
        <v>2.0699999999999998E-5</v>
      </c>
    </row>
    <row r="5845" spans="1:5">
      <c r="A5845">
        <v>2023</v>
      </c>
      <c r="B5845" s="3" t="s">
        <v>1416</v>
      </c>
      <c r="C5845" t="s">
        <v>249</v>
      </c>
      <c r="D5845" s="9">
        <v>4187131</v>
      </c>
      <c r="E5845">
        <v>2.6909E-3</v>
      </c>
    </row>
    <row r="5846" spans="1:5">
      <c r="A5846">
        <v>2023</v>
      </c>
      <c r="B5846" s="3" t="s">
        <v>1418</v>
      </c>
      <c r="C5846" t="s">
        <v>1611</v>
      </c>
      <c r="D5846" s="9"/>
    </row>
    <row r="5847" spans="1:5">
      <c r="A5847">
        <v>2023</v>
      </c>
      <c r="B5847" s="3" t="s">
        <v>1419</v>
      </c>
      <c r="C5847" t="s">
        <v>252</v>
      </c>
      <c r="D5847" s="9">
        <v>3401932</v>
      </c>
      <c r="E5847">
        <v>2.1863E-3</v>
      </c>
    </row>
    <row r="5848" spans="1:5">
      <c r="A5848">
        <v>2023</v>
      </c>
      <c r="B5848" s="3" t="s">
        <v>1420</v>
      </c>
      <c r="C5848" t="s">
        <v>1612</v>
      </c>
      <c r="D5848" s="9">
        <v>244740</v>
      </c>
      <c r="E5848">
        <v>1.573E-4</v>
      </c>
    </row>
    <row r="5849" spans="1:5">
      <c r="A5849">
        <v>2023</v>
      </c>
      <c r="B5849" s="3" t="s">
        <v>1015</v>
      </c>
      <c r="C5849" t="s">
        <v>1613</v>
      </c>
      <c r="D5849" s="9">
        <v>534040</v>
      </c>
      <c r="E5849">
        <v>3.4319999999999999E-4</v>
      </c>
    </row>
    <row r="5850" spans="1:5">
      <c r="A5850">
        <v>2023</v>
      </c>
      <c r="B5850" s="3" t="s">
        <v>1014</v>
      </c>
      <c r="C5850" t="s">
        <v>1614</v>
      </c>
      <c r="D5850" s="9"/>
    </row>
    <row r="5851" spans="1:5">
      <c r="A5851">
        <v>2023</v>
      </c>
      <c r="B5851" s="3" t="s">
        <v>1421</v>
      </c>
      <c r="C5851" t="s">
        <v>1615</v>
      </c>
      <c r="D5851" s="9">
        <v>36204</v>
      </c>
      <c r="E5851">
        <v>2.3300000000000001E-5</v>
      </c>
    </row>
    <row r="5852" spans="1:5">
      <c r="A5852">
        <v>2023</v>
      </c>
      <c r="B5852" s="3" t="s">
        <v>1422</v>
      </c>
      <c r="C5852" t="s">
        <v>1616</v>
      </c>
      <c r="D5852" s="9">
        <v>230463</v>
      </c>
      <c r="E5852">
        <v>1.4809999999999999E-4</v>
      </c>
    </row>
    <row r="5853" spans="1:5">
      <c r="A5853">
        <v>2023</v>
      </c>
      <c r="B5853" s="3" t="s">
        <v>1423</v>
      </c>
      <c r="C5853" t="s">
        <v>256</v>
      </c>
      <c r="D5853" s="9">
        <v>5128221</v>
      </c>
      <c r="E5853">
        <v>3.2958000000000002E-3</v>
      </c>
    </row>
    <row r="5854" spans="1:5">
      <c r="A5854">
        <v>2023</v>
      </c>
      <c r="B5854" s="3" t="s">
        <v>1424</v>
      </c>
      <c r="C5854" t="s">
        <v>257</v>
      </c>
      <c r="D5854" s="9">
        <v>4147687</v>
      </c>
      <c r="E5854">
        <v>2.6656000000000002E-3</v>
      </c>
    </row>
    <row r="5855" spans="1:5">
      <c r="A5855">
        <v>2023</v>
      </c>
      <c r="B5855" s="3" t="s">
        <v>370</v>
      </c>
      <c r="C5855" t="s">
        <v>1617</v>
      </c>
      <c r="D5855" s="9">
        <v>4129540</v>
      </c>
      <c r="E5855">
        <v>2.6538999999999998E-3</v>
      </c>
    </row>
    <row r="5856" spans="1:5">
      <c r="A5856">
        <v>2023</v>
      </c>
      <c r="B5856" s="3" t="s">
        <v>1425</v>
      </c>
      <c r="C5856" t="s">
        <v>258</v>
      </c>
      <c r="D5856" s="9">
        <v>59235</v>
      </c>
      <c r="E5856">
        <v>3.8099999999999998E-5</v>
      </c>
    </row>
    <row r="5857" spans="1:5">
      <c r="A5857">
        <v>2023</v>
      </c>
      <c r="B5857" s="3" t="s">
        <v>1429</v>
      </c>
      <c r="C5857" t="s">
        <v>2422</v>
      </c>
      <c r="D5857" s="9">
        <v>1350733</v>
      </c>
      <c r="E5857">
        <v>8.6810000000000001E-4</v>
      </c>
    </row>
    <row r="5858" spans="1:5">
      <c r="A5858">
        <v>2023</v>
      </c>
      <c r="B5858" s="3" t="s">
        <v>1430</v>
      </c>
      <c r="C5858" t="s">
        <v>1619</v>
      </c>
      <c r="D5858" s="9">
        <v>488301</v>
      </c>
      <c r="E5858">
        <v>3.1379999999999998E-4</v>
      </c>
    </row>
    <row r="5859" spans="1:5">
      <c r="A5859">
        <v>2023</v>
      </c>
      <c r="B5859" s="3" t="s">
        <v>1431</v>
      </c>
      <c r="C5859" t="s">
        <v>264</v>
      </c>
      <c r="D5859" s="9">
        <v>397689</v>
      </c>
      <c r="E5859">
        <v>2.5559999999999998E-4</v>
      </c>
    </row>
    <row r="5860" spans="1:5">
      <c r="A5860">
        <v>2023</v>
      </c>
      <c r="B5860" s="3" t="s">
        <v>1432</v>
      </c>
      <c r="C5860" t="s">
        <v>265</v>
      </c>
      <c r="D5860" s="9">
        <v>408428</v>
      </c>
      <c r="E5860">
        <v>2.6249999999999998E-4</v>
      </c>
    </row>
    <row r="5861" spans="1:5">
      <c r="A5861">
        <v>2023</v>
      </c>
      <c r="B5861" s="3" t="s">
        <v>1433</v>
      </c>
      <c r="C5861" t="s">
        <v>266</v>
      </c>
      <c r="D5861" s="9">
        <v>258144</v>
      </c>
      <c r="E5861">
        <v>1.6589999999999999E-4</v>
      </c>
    </row>
    <row r="5862" spans="1:5">
      <c r="A5862">
        <v>2023</v>
      </c>
      <c r="B5862" s="3" t="s">
        <v>1434</v>
      </c>
      <c r="C5862" t="s">
        <v>1620</v>
      </c>
      <c r="D5862" s="9">
        <v>2051789</v>
      </c>
      <c r="E5862">
        <v>1.3186000000000001E-3</v>
      </c>
    </row>
    <row r="5863" spans="1:5">
      <c r="A5863">
        <v>2023</v>
      </c>
      <c r="B5863" s="3" t="s">
        <v>1435</v>
      </c>
      <c r="C5863" t="s">
        <v>2359</v>
      </c>
      <c r="D5863" s="9">
        <v>229555</v>
      </c>
      <c r="E5863">
        <v>1.4750000000000001E-4</v>
      </c>
    </row>
    <row r="5864" spans="1:5">
      <c r="A5864">
        <v>2023</v>
      </c>
      <c r="B5864" s="3" t="s">
        <v>1436</v>
      </c>
      <c r="C5864" t="s">
        <v>269</v>
      </c>
      <c r="D5864" s="9">
        <v>254652</v>
      </c>
      <c r="E5864">
        <v>1.6369999999999999E-4</v>
      </c>
    </row>
    <row r="5865" spans="1:5">
      <c r="A5865">
        <v>2023</v>
      </c>
      <c r="B5865" s="3" t="s">
        <v>1437</v>
      </c>
      <c r="C5865" t="s">
        <v>270</v>
      </c>
      <c r="D5865" s="9">
        <v>1660616</v>
      </c>
      <c r="E5865">
        <v>1.0671999999999999E-3</v>
      </c>
    </row>
    <row r="5866" spans="1:5">
      <c r="A5866">
        <v>2023</v>
      </c>
      <c r="B5866" s="3" t="s">
        <v>1438</v>
      </c>
      <c r="C5866" t="s">
        <v>1622</v>
      </c>
      <c r="D5866" s="9">
        <v>1041655</v>
      </c>
      <c r="E5866">
        <v>6.6940000000000001E-4</v>
      </c>
    </row>
    <row r="5867" spans="1:5">
      <c r="A5867">
        <v>2023</v>
      </c>
      <c r="B5867" s="3" t="s">
        <v>371</v>
      </c>
      <c r="C5867" t="s">
        <v>1623</v>
      </c>
      <c r="D5867" s="9">
        <v>325877</v>
      </c>
      <c r="E5867">
        <v>2.0939999999999999E-4</v>
      </c>
    </row>
    <row r="5868" spans="1:5">
      <c r="A5868">
        <v>2023</v>
      </c>
      <c r="B5868" s="3" t="s">
        <v>1439</v>
      </c>
      <c r="C5868" t="s">
        <v>1624</v>
      </c>
      <c r="D5868" s="9">
        <v>127811</v>
      </c>
      <c r="E5868">
        <v>8.2100000000000003E-5</v>
      </c>
    </row>
    <row r="5869" spans="1:5">
      <c r="A5869">
        <v>2023</v>
      </c>
      <c r="B5869" s="3" t="s">
        <v>1440</v>
      </c>
      <c r="C5869" t="s">
        <v>1625</v>
      </c>
      <c r="D5869" s="9">
        <v>478882</v>
      </c>
      <c r="E5869">
        <v>3.078E-4</v>
      </c>
    </row>
    <row r="5870" spans="1:5">
      <c r="A5870">
        <v>2023</v>
      </c>
      <c r="B5870" s="3" t="s">
        <v>372</v>
      </c>
      <c r="C5870" t="s">
        <v>1626</v>
      </c>
      <c r="D5870" s="9">
        <v>240180</v>
      </c>
      <c r="E5870">
        <v>1.5440000000000001E-4</v>
      </c>
    </row>
    <row r="5871" spans="1:5">
      <c r="A5871">
        <v>2023</v>
      </c>
      <c r="B5871" s="3" t="s">
        <v>1441</v>
      </c>
      <c r="C5871" t="s">
        <v>274</v>
      </c>
      <c r="D5871" s="9"/>
    </row>
    <row r="5872" spans="1:5">
      <c r="A5872">
        <v>2023</v>
      </c>
      <c r="B5872" s="3" t="s">
        <v>1442</v>
      </c>
      <c r="C5872" t="s">
        <v>1627</v>
      </c>
      <c r="D5872" s="9">
        <v>10432</v>
      </c>
      <c r="E5872">
        <v>6.7000000000000002E-6</v>
      </c>
    </row>
    <row r="5873" spans="1:5">
      <c r="A5873">
        <v>2023</v>
      </c>
      <c r="B5873" s="3" t="s">
        <v>1443</v>
      </c>
      <c r="C5873" t="s">
        <v>1628</v>
      </c>
      <c r="D5873" s="9">
        <v>1398733</v>
      </c>
      <c r="E5873">
        <v>8.989E-4</v>
      </c>
    </row>
    <row r="5874" spans="1:5">
      <c r="A5874">
        <v>2023</v>
      </c>
      <c r="B5874" s="3" t="s">
        <v>332</v>
      </c>
      <c r="C5874" t="s">
        <v>1630</v>
      </c>
      <c r="D5874" s="9">
        <v>132712</v>
      </c>
      <c r="E5874">
        <v>8.53E-5</v>
      </c>
    </row>
    <row r="5875" spans="1:5">
      <c r="A5875">
        <v>2023</v>
      </c>
      <c r="B5875" s="3" t="s">
        <v>333</v>
      </c>
      <c r="C5875" t="s">
        <v>1631</v>
      </c>
      <c r="D5875" s="9">
        <v>65762</v>
      </c>
      <c r="E5875">
        <v>4.2299999999999998E-5</v>
      </c>
    </row>
    <row r="5876" spans="1:5">
      <c r="A5876">
        <v>2023</v>
      </c>
      <c r="B5876" s="3" t="s">
        <v>334</v>
      </c>
      <c r="C5876" t="s">
        <v>1632</v>
      </c>
      <c r="D5876" s="9">
        <v>65745</v>
      </c>
      <c r="E5876">
        <v>4.2299999999999998E-5</v>
      </c>
    </row>
    <row r="5877" spans="1:5">
      <c r="A5877">
        <v>2023</v>
      </c>
      <c r="B5877" s="3" t="s">
        <v>335</v>
      </c>
      <c r="C5877" t="s">
        <v>1633</v>
      </c>
      <c r="D5877" s="9">
        <v>3767371</v>
      </c>
      <c r="E5877">
        <v>2.4212000000000001E-3</v>
      </c>
    </row>
    <row r="5878" spans="1:5">
      <c r="A5878">
        <v>2023</v>
      </c>
      <c r="B5878" s="3" t="s">
        <v>336</v>
      </c>
      <c r="C5878" t="s">
        <v>1634</v>
      </c>
      <c r="D5878" s="9">
        <v>3416825</v>
      </c>
      <c r="E5878">
        <v>2.1959000000000002E-3</v>
      </c>
    </row>
    <row r="5879" spans="1:5">
      <c r="A5879">
        <v>2023</v>
      </c>
      <c r="B5879" s="3" t="s">
        <v>337</v>
      </c>
      <c r="C5879" t="s">
        <v>283</v>
      </c>
      <c r="D5879" s="9">
        <v>297681</v>
      </c>
      <c r="E5879">
        <v>1.9129999999999999E-4</v>
      </c>
    </row>
    <row r="5880" spans="1:5">
      <c r="A5880">
        <v>2023</v>
      </c>
      <c r="B5880" s="3" t="s">
        <v>338</v>
      </c>
      <c r="C5880" t="s">
        <v>1635</v>
      </c>
      <c r="D5880" s="9">
        <v>97132</v>
      </c>
      <c r="E5880">
        <v>6.2399999999999999E-5</v>
      </c>
    </row>
    <row r="5881" spans="1:5">
      <c r="A5881">
        <v>2023</v>
      </c>
      <c r="B5881" s="3" t="s">
        <v>373</v>
      </c>
      <c r="C5881" t="s">
        <v>1636</v>
      </c>
      <c r="D5881" s="9">
        <v>4222916</v>
      </c>
      <c r="E5881">
        <v>2.7139E-3</v>
      </c>
    </row>
    <row r="5882" spans="1:5">
      <c r="A5882">
        <v>2023</v>
      </c>
      <c r="B5882" s="3" t="s">
        <v>339</v>
      </c>
      <c r="C5882" t="s">
        <v>1637</v>
      </c>
      <c r="D5882" s="9">
        <v>1348171</v>
      </c>
      <c r="E5882">
        <v>8.6640000000000003E-4</v>
      </c>
    </row>
    <row r="5883" spans="1:5">
      <c r="A5883">
        <v>2023</v>
      </c>
      <c r="B5883" s="3" t="s">
        <v>340</v>
      </c>
      <c r="C5883" t="s">
        <v>286</v>
      </c>
      <c r="D5883" s="9">
        <v>155950</v>
      </c>
      <c r="E5883">
        <v>1.002E-4</v>
      </c>
    </row>
    <row r="5884" spans="1:5">
      <c r="A5884">
        <v>2023</v>
      </c>
      <c r="B5884" s="3" t="s">
        <v>342</v>
      </c>
      <c r="C5884" t="s">
        <v>1638</v>
      </c>
      <c r="D5884" s="9">
        <v>1171451</v>
      </c>
      <c r="E5884">
        <v>7.5290000000000003E-4</v>
      </c>
    </row>
    <row r="5885" spans="1:5">
      <c r="A5885">
        <v>2023</v>
      </c>
      <c r="B5885" s="3" t="s">
        <v>1219</v>
      </c>
      <c r="C5885" t="s">
        <v>1639</v>
      </c>
      <c r="D5885" s="9">
        <v>574932</v>
      </c>
      <c r="E5885">
        <v>3.6949999999999998E-4</v>
      </c>
    </row>
    <row r="5886" spans="1:5">
      <c r="A5886">
        <v>2023</v>
      </c>
      <c r="B5886" s="3" t="s">
        <v>343</v>
      </c>
      <c r="C5886" t="s">
        <v>1640</v>
      </c>
      <c r="D5886" s="9">
        <v>152232</v>
      </c>
      <c r="E5886">
        <v>9.7800000000000006E-5</v>
      </c>
    </row>
    <row r="5887" spans="1:5">
      <c r="A5887">
        <v>2023</v>
      </c>
      <c r="B5887" s="3" t="s">
        <v>344</v>
      </c>
      <c r="C5887" t="s">
        <v>290</v>
      </c>
      <c r="D5887" s="9">
        <v>60257</v>
      </c>
      <c r="E5887">
        <v>3.8699999999999999E-5</v>
      </c>
    </row>
    <row r="5888" spans="1:5">
      <c r="A5888">
        <v>2023</v>
      </c>
      <c r="B5888" s="3" t="s">
        <v>1220</v>
      </c>
      <c r="C5888" t="s">
        <v>1641</v>
      </c>
      <c r="D5888" s="9">
        <v>174930</v>
      </c>
      <c r="E5888">
        <v>1.1239999999999999E-4</v>
      </c>
    </row>
    <row r="5889" spans="1:5">
      <c r="A5889">
        <v>2023</v>
      </c>
      <c r="B5889" s="3" t="s">
        <v>345</v>
      </c>
      <c r="C5889" t="s">
        <v>1642</v>
      </c>
      <c r="D5889" s="9">
        <v>75095</v>
      </c>
      <c r="E5889">
        <v>4.8300000000000002E-5</v>
      </c>
    </row>
    <row r="5890" spans="1:5">
      <c r="A5890">
        <v>2023</v>
      </c>
      <c r="B5890" s="3" t="s">
        <v>346</v>
      </c>
      <c r="C5890" t="s">
        <v>1643</v>
      </c>
      <c r="D5890" s="9">
        <v>11838004</v>
      </c>
      <c r="E5890">
        <v>7.6078999999999999E-3</v>
      </c>
    </row>
    <row r="5891" spans="1:5">
      <c r="A5891">
        <v>2023</v>
      </c>
      <c r="B5891" s="3" t="s">
        <v>347</v>
      </c>
      <c r="C5891" t="s">
        <v>1644</v>
      </c>
      <c r="D5891" s="9">
        <v>4551042</v>
      </c>
      <c r="E5891">
        <v>2.9248E-3</v>
      </c>
    </row>
    <row r="5892" spans="1:5">
      <c r="A5892">
        <v>2023</v>
      </c>
      <c r="B5892" s="3" t="s">
        <v>348</v>
      </c>
      <c r="C5892" t="s">
        <v>1645</v>
      </c>
      <c r="D5892" s="9">
        <v>2595610</v>
      </c>
      <c r="E5892">
        <v>1.6681000000000001E-3</v>
      </c>
    </row>
    <row r="5893" spans="1:5">
      <c r="A5893">
        <v>2023</v>
      </c>
      <c r="B5893" s="3" t="s">
        <v>374</v>
      </c>
      <c r="C5893" t="s">
        <v>1646</v>
      </c>
      <c r="D5893" s="9">
        <v>1995448</v>
      </c>
      <c r="E5893">
        <v>1.2823999999999999E-3</v>
      </c>
    </row>
    <row r="5894" spans="1:5">
      <c r="A5894">
        <v>2023</v>
      </c>
      <c r="B5894" s="3" t="s">
        <v>349</v>
      </c>
      <c r="C5894" t="s">
        <v>1647</v>
      </c>
      <c r="D5894" s="9">
        <v>3481242</v>
      </c>
      <c r="E5894">
        <v>2.2372999999999998E-3</v>
      </c>
    </row>
    <row r="5895" spans="1:5">
      <c r="A5895">
        <v>2023</v>
      </c>
      <c r="B5895" s="3" t="s">
        <v>350</v>
      </c>
      <c r="C5895" t="s">
        <v>1648</v>
      </c>
      <c r="D5895" s="9">
        <v>3062825</v>
      </c>
      <c r="E5895">
        <v>1.9683999999999999E-3</v>
      </c>
    </row>
    <row r="5896" spans="1:5">
      <c r="A5896">
        <v>2023</v>
      </c>
      <c r="B5896" s="3" t="s">
        <v>1221</v>
      </c>
      <c r="C5896" t="s">
        <v>1649</v>
      </c>
      <c r="D5896" s="9">
        <v>429865</v>
      </c>
      <c r="E5896">
        <v>2.7629999999999999E-4</v>
      </c>
    </row>
    <row r="5897" spans="1:5">
      <c r="A5897">
        <v>2023</v>
      </c>
      <c r="B5897" s="3" t="s">
        <v>351</v>
      </c>
      <c r="C5897" t="s">
        <v>297</v>
      </c>
      <c r="D5897" s="9">
        <v>27925</v>
      </c>
      <c r="E5897">
        <v>1.7900000000000001E-5</v>
      </c>
    </row>
    <row r="5898" spans="1:5">
      <c r="A5898">
        <v>2023</v>
      </c>
      <c r="B5898" s="3" t="s">
        <v>352</v>
      </c>
      <c r="C5898" t="s">
        <v>2398</v>
      </c>
      <c r="D5898" s="9">
        <v>227765</v>
      </c>
      <c r="E5898">
        <v>1.4640000000000001E-4</v>
      </c>
    </row>
    <row r="5899" spans="1:5">
      <c r="A5899">
        <v>2023</v>
      </c>
      <c r="B5899" s="3" t="s">
        <v>353</v>
      </c>
      <c r="C5899" t="s">
        <v>1650</v>
      </c>
      <c r="D5899" s="9">
        <v>64045</v>
      </c>
      <c r="E5899">
        <v>4.1199999999999999E-5</v>
      </c>
    </row>
    <row r="5900" spans="1:5">
      <c r="A5900">
        <v>2023</v>
      </c>
      <c r="B5900" s="3" t="s">
        <v>354</v>
      </c>
      <c r="C5900" t="s">
        <v>300</v>
      </c>
      <c r="D5900" s="9">
        <v>2730132</v>
      </c>
      <c r="E5900">
        <v>1.7546E-3</v>
      </c>
    </row>
    <row r="5901" spans="1:5">
      <c r="A5901">
        <v>2023</v>
      </c>
      <c r="B5901" s="3" t="s">
        <v>1659</v>
      </c>
      <c r="C5901" t="s">
        <v>1651</v>
      </c>
      <c r="D5901" s="9">
        <v>267169</v>
      </c>
      <c r="E5901">
        <v>1.717E-4</v>
      </c>
    </row>
    <row r="5902" spans="1:5">
      <c r="A5902">
        <v>2023</v>
      </c>
      <c r="B5902" s="3" t="s">
        <v>355</v>
      </c>
      <c r="C5902" t="s">
        <v>2423</v>
      </c>
      <c r="D5902" s="9">
        <v>450453</v>
      </c>
      <c r="E5902">
        <v>2.8949999999999999E-4</v>
      </c>
    </row>
    <row r="5903" spans="1:5">
      <c r="A5903">
        <v>2023</v>
      </c>
      <c r="B5903" s="3" t="s">
        <v>356</v>
      </c>
      <c r="C5903" t="s">
        <v>1444</v>
      </c>
      <c r="D5903" s="9">
        <v>7119424</v>
      </c>
      <c r="E5903">
        <v>4.5754000000000003E-3</v>
      </c>
    </row>
    <row r="5904" spans="1:5">
      <c r="A5904">
        <v>2023</v>
      </c>
      <c r="B5904" s="3" t="s">
        <v>357</v>
      </c>
      <c r="C5904" t="s">
        <v>2424</v>
      </c>
      <c r="D5904" s="9">
        <v>226756</v>
      </c>
      <c r="E5904">
        <v>1.4569999999999999E-4</v>
      </c>
    </row>
    <row r="5905" spans="1:5">
      <c r="A5905">
        <v>2023</v>
      </c>
      <c r="B5905" s="3" t="s">
        <v>358</v>
      </c>
      <c r="C5905" t="s">
        <v>304</v>
      </c>
      <c r="D5905" s="9"/>
    </row>
    <row r="5906" spans="1:5">
      <c r="A5906">
        <v>2023</v>
      </c>
      <c r="B5906" s="3" t="s">
        <v>359</v>
      </c>
      <c r="C5906" t="s">
        <v>305</v>
      </c>
      <c r="D5906" s="9">
        <v>258912</v>
      </c>
      <c r="E5906">
        <v>1.6640000000000001E-4</v>
      </c>
    </row>
    <row r="5907" spans="1:5">
      <c r="A5907">
        <v>2023</v>
      </c>
      <c r="B5907" s="3" t="s">
        <v>360</v>
      </c>
      <c r="C5907" t="s">
        <v>1653</v>
      </c>
      <c r="D5907" s="9">
        <v>35419976</v>
      </c>
      <c r="E5907">
        <v>2.27634E-2</v>
      </c>
    </row>
    <row r="5908" spans="1:5">
      <c r="A5908">
        <v>2023</v>
      </c>
      <c r="B5908" s="3" t="s">
        <v>375</v>
      </c>
      <c r="C5908" t="s">
        <v>1654</v>
      </c>
      <c r="D5908" s="9">
        <v>10614612</v>
      </c>
      <c r="E5908">
        <v>6.8217E-3</v>
      </c>
    </row>
    <row r="5909" spans="1:5">
      <c r="A5909">
        <v>2023</v>
      </c>
      <c r="B5909" s="3" t="s">
        <v>361</v>
      </c>
      <c r="C5909" t="s">
        <v>1655</v>
      </c>
      <c r="D5909" s="9">
        <v>193999</v>
      </c>
      <c r="E5909">
        <v>1.247E-4</v>
      </c>
    </row>
    <row r="5910" spans="1:5">
      <c r="A5910">
        <v>2023</v>
      </c>
      <c r="B5910" s="3" t="s">
        <v>362</v>
      </c>
      <c r="C5910" t="s">
        <v>1656</v>
      </c>
      <c r="D5910" s="9">
        <v>17605</v>
      </c>
      <c r="E5910">
        <v>1.13E-5</v>
      </c>
    </row>
    <row r="5911" spans="1:5">
      <c r="A5911">
        <v>2023</v>
      </c>
      <c r="B5911" s="3" t="s">
        <v>363</v>
      </c>
      <c r="C5911" t="s">
        <v>1657</v>
      </c>
      <c r="D5911" s="9">
        <v>3915103</v>
      </c>
      <c r="E5911">
        <v>2.5160999999999998E-3</v>
      </c>
    </row>
    <row r="5912" spans="1:5">
      <c r="A5912">
        <v>2023</v>
      </c>
      <c r="B5912" s="3" t="s">
        <v>364</v>
      </c>
      <c r="C5912" t="s">
        <v>310</v>
      </c>
      <c r="D5912" s="9"/>
    </row>
    <row r="5913" spans="1:5">
      <c r="A5913">
        <v>2023</v>
      </c>
      <c r="B5913" s="3" t="s">
        <v>365</v>
      </c>
      <c r="C5913" t="s">
        <v>1658</v>
      </c>
      <c r="D5913" s="9">
        <v>1606549</v>
      </c>
      <c r="E5913">
        <v>1.0325E-3</v>
      </c>
    </row>
    <row r="5914" spans="1:5">
      <c r="A5914">
        <v>2023</v>
      </c>
      <c r="B5914" s="3" t="s">
        <v>1222</v>
      </c>
      <c r="C5914" t="s">
        <v>1660</v>
      </c>
      <c r="D5914" s="9">
        <v>560484</v>
      </c>
      <c r="E5914">
        <v>3.6019999999999997E-4</v>
      </c>
    </row>
    <row r="5915" spans="1:5">
      <c r="A5915">
        <v>2023</v>
      </c>
      <c r="B5915" s="3" t="s">
        <v>366</v>
      </c>
      <c r="C5915" t="s">
        <v>312</v>
      </c>
      <c r="D5915" s="9">
        <v>5809</v>
      </c>
      <c r="E5915">
        <v>3.7000000000000002E-6</v>
      </c>
    </row>
    <row r="5916" spans="1:5">
      <c r="A5916">
        <v>2023</v>
      </c>
      <c r="B5916" s="3" t="s">
        <v>367</v>
      </c>
      <c r="C5916" t="s">
        <v>313</v>
      </c>
      <c r="D5916" s="9">
        <v>76753</v>
      </c>
      <c r="E5916">
        <v>4.9299999999999999E-5</v>
      </c>
    </row>
    <row r="5917" spans="1:5">
      <c r="A5917">
        <v>2023</v>
      </c>
      <c r="B5917" s="3" t="s">
        <v>368</v>
      </c>
      <c r="C5917" t="s">
        <v>1661</v>
      </c>
      <c r="D5917" s="9">
        <v>288963</v>
      </c>
      <c r="E5917">
        <v>1.8569999999999999E-4</v>
      </c>
    </row>
    <row r="5918" spans="1:5">
      <c r="A5918">
        <v>2023</v>
      </c>
      <c r="B5918" s="3" t="s">
        <v>1223</v>
      </c>
      <c r="C5918" t="s">
        <v>1662</v>
      </c>
      <c r="D5918" s="9">
        <v>207548</v>
      </c>
      <c r="E5918">
        <v>1.3339999999999999E-4</v>
      </c>
    </row>
    <row r="5919" spans="1:5">
      <c r="A5919">
        <v>2023</v>
      </c>
      <c r="B5919" s="3" t="s">
        <v>468</v>
      </c>
      <c r="C5919" t="s">
        <v>1663</v>
      </c>
      <c r="D5919" s="9">
        <v>321467</v>
      </c>
      <c r="E5919">
        <v>2.0660000000000001E-4</v>
      </c>
    </row>
    <row r="5920" spans="1:5">
      <c r="A5920">
        <v>2023</v>
      </c>
      <c r="B5920" s="3" t="s">
        <v>1224</v>
      </c>
      <c r="C5920" t="s">
        <v>1665</v>
      </c>
      <c r="D5920" s="9">
        <v>101857</v>
      </c>
      <c r="E5920">
        <v>6.5500000000000006E-5</v>
      </c>
    </row>
    <row r="5921" spans="1:5">
      <c r="A5921">
        <v>2023</v>
      </c>
      <c r="B5921" s="3" t="s">
        <v>470</v>
      </c>
      <c r="C5921" t="s">
        <v>2361</v>
      </c>
      <c r="D5921" s="9">
        <v>38709</v>
      </c>
      <c r="E5921">
        <v>2.4899999999999999E-5</v>
      </c>
    </row>
    <row r="5922" spans="1:5">
      <c r="A5922">
        <v>2023</v>
      </c>
      <c r="B5922" s="3" t="s">
        <v>471</v>
      </c>
      <c r="C5922" t="s">
        <v>416</v>
      </c>
      <c r="D5922" s="9">
        <v>2687666</v>
      </c>
      <c r="E5922">
        <v>1.7273E-3</v>
      </c>
    </row>
    <row r="5923" spans="1:5">
      <c r="A5923">
        <v>2023</v>
      </c>
      <c r="B5923" s="3" t="s">
        <v>472</v>
      </c>
      <c r="C5923" t="s">
        <v>417</v>
      </c>
      <c r="D5923" s="9">
        <v>3662910</v>
      </c>
      <c r="E5923">
        <v>2.3540000000000002E-3</v>
      </c>
    </row>
    <row r="5924" spans="1:5">
      <c r="A5924">
        <v>2023</v>
      </c>
      <c r="B5924" s="3" t="s">
        <v>2451</v>
      </c>
      <c r="C5924" t="s">
        <v>2449</v>
      </c>
      <c r="D5924" s="9">
        <v>5945</v>
      </c>
      <c r="E5924">
        <v>3.8E-6</v>
      </c>
    </row>
    <row r="5925" spans="1:5">
      <c r="A5925">
        <v>2023</v>
      </c>
      <c r="B5925" s="3" t="s">
        <v>474</v>
      </c>
      <c r="C5925" t="s">
        <v>1666</v>
      </c>
      <c r="D5925" s="9">
        <v>84055</v>
      </c>
      <c r="E5925">
        <v>5.3999999999999998E-5</v>
      </c>
    </row>
    <row r="5926" spans="1:5">
      <c r="A5926">
        <v>2023</v>
      </c>
      <c r="B5926" s="3" t="s">
        <v>475</v>
      </c>
      <c r="C5926" t="s">
        <v>1667</v>
      </c>
      <c r="D5926" s="9">
        <v>31092</v>
      </c>
      <c r="E5926">
        <v>2.0000000000000002E-5</v>
      </c>
    </row>
    <row r="5927" spans="1:5">
      <c r="A5927">
        <v>2023</v>
      </c>
      <c r="B5927" s="3" t="s">
        <v>476</v>
      </c>
      <c r="C5927" t="s">
        <v>421</v>
      </c>
      <c r="D5927" s="9">
        <v>6206782</v>
      </c>
      <c r="E5927">
        <v>3.9889000000000001E-3</v>
      </c>
    </row>
    <row r="5928" spans="1:5">
      <c r="A5928">
        <v>2023</v>
      </c>
      <c r="B5928" s="3" t="s">
        <v>477</v>
      </c>
      <c r="C5928" t="s">
        <v>422</v>
      </c>
      <c r="D5928" s="9">
        <v>1285479</v>
      </c>
      <c r="E5928">
        <v>8.2609999999999997E-4</v>
      </c>
    </row>
    <row r="5929" spans="1:5">
      <c r="A5929">
        <v>2023</v>
      </c>
      <c r="B5929" s="3" t="s">
        <v>478</v>
      </c>
      <c r="C5929" t="s">
        <v>1668</v>
      </c>
      <c r="D5929" s="9">
        <v>168837</v>
      </c>
      <c r="E5929">
        <v>1.0849999999999999E-4</v>
      </c>
    </row>
    <row r="5930" spans="1:5">
      <c r="A5930">
        <v>2023</v>
      </c>
      <c r="B5930" s="3" t="s">
        <v>479</v>
      </c>
      <c r="C5930" t="s">
        <v>1669</v>
      </c>
      <c r="D5930" s="9">
        <v>510952</v>
      </c>
      <c r="E5930">
        <v>3.2840000000000001E-4</v>
      </c>
    </row>
    <row r="5931" spans="1:5">
      <c r="A5931">
        <v>2023</v>
      </c>
      <c r="B5931" s="3" t="s">
        <v>480</v>
      </c>
      <c r="C5931" t="s">
        <v>1670</v>
      </c>
      <c r="D5931" s="9">
        <v>63995</v>
      </c>
      <c r="E5931">
        <v>4.1100000000000003E-5</v>
      </c>
    </row>
    <row r="5932" spans="1:5">
      <c r="A5932">
        <v>2023</v>
      </c>
      <c r="B5932" s="3" t="s">
        <v>481</v>
      </c>
      <c r="C5932" t="s">
        <v>1671</v>
      </c>
      <c r="D5932" s="9">
        <v>1037056</v>
      </c>
      <c r="E5932">
        <v>6.6649999999999999E-4</v>
      </c>
    </row>
    <row r="5933" spans="1:5">
      <c r="A5933">
        <v>2023</v>
      </c>
      <c r="B5933" s="3" t="s">
        <v>482</v>
      </c>
      <c r="C5933" t="s">
        <v>1672</v>
      </c>
      <c r="D5933" s="9">
        <v>220482</v>
      </c>
      <c r="E5933">
        <v>1.417E-4</v>
      </c>
    </row>
    <row r="5934" spans="1:5">
      <c r="A5934">
        <v>2023</v>
      </c>
      <c r="B5934" s="3" t="s">
        <v>483</v>
      </c>
      <c r="C5934" t="s">
        <v>1673</v>
      </c>
      <c r="D5934" s="9">
        <v>168963</v>
      </c>
      <c r="E5934">
        <v>1.086E-4</v>
      </c>
    </row>
    <row r="5935" spans="1:5">
      <c r="A5935">
        <v>2023</v>
      </c>
      <c r="B5935" s="3" t="s">
        <v>484</v>
      </c>
      <c r="C5935" t="s">
        <v>1674</v>
      </c>
      <c r="D5935" s="9">
        <v>469509</v>
      </c>
      <c r="E5935">
        <v>3.0170000000000002E-4</v>
      </c>
    </row>
    <row r="5936" spans="1:5">
      <c r="A5936">
        <v>2023</v>
      </c>
      <c r="B5936" s="3" t="s">
        <v>485</v>
      </c>
      <c r="C5936" t="s">
        <v>1675</v>
      </c>
      <c r="D5936" s="9">
        <v>1868373</v>
      </c>
      <c r="E5936">
        <v>1.2007000000000001E-3</v>
      </c>
    </row>
    <row r="5937" spans="1:5">
      <c r="A5937">
        <v>2023</v>
      </c>
      <c r="B5937" s="3" t="s">
        <v>376</v>
      </c>
      <c r="C5937" t="s">
        <v>1676</v>
      </c>
      <c r="D5937" s="9">
        <v>625716</v>
      </c>
      <c r="E5937">
        <v>4.0210000000000002E-4</v>
      </c>
    </row>
    <row r="5938" spans="1:5">
      <c r="A5938">
        <v>2023</v>
      </c>
      <c r="B5938" s="3" t="s">
        <v>2365</v>
      </c>
      <c r="C5938" t="s">
        <v>2363</v>
      </c>
      <c r="D5938" s="9">
        <v>46510</v>
      </c>
      <c r="E5938">
        <v>2.9899999999999998E-5</v>
      </c>
    </row>
    <row r="5939" spans="1:5">
      <c r="A5939">
        <v>2023</v>
      </c>
      <c r="B5939" s="3" t="s">
        <v>1690</v>
      </c>
      <c r="C5939" t="s">
        <v>1677</v>
      </c>
      <c r="D5939" s="9"/>
    </row>
    <row r="5940" spans="1:5">
      <c r="A5940">
        <v>2023</v>
      </c>
      <c r="B5940" s="3" t="s">
        <v>377</v>
      </c>
      <c r="C5940" t="s">
        <v>1678</v>
      </c>
      <c r="D5940" s="9">
        <v>1174423</v>
      </c>
      <c r="E5940">
        <v>7.5480000000000002E-4</v>
      </c>
    </row>
    <row r="5941" spans="1:5">
      <c r="A5941">
        <v>2023</v>
      </c>
      <c r="B5941" s="3" t="s">
        <v>486</v>
      </c>
      <c r="C5941" t="s">
        <v>1679</v>
      </c>
      <c r="D5941" s="9">
        <v>1372023</v>
      </c>
      <c r="E5941">
        <v>8.8179999999999997E-4</v>
      </c>
    </row>
    <row r="5942" spans="1:5">
      <c r="A5942">
        <v>2023</v>
      </c>
      <c r="B5942" s="3" t="s">
        <v>487</v>
      </c>
      <c r="C5942" t="s">
        <v>432</v>
      </c>
      <c r="D5942" s="9"/>
    </row>
    <row r="5943" spans="1:5">
      <c r="A5943">
        <v>2023</v>
      </c>
      <c r="B5943" s="3" t="s">
        <v>488</v>
      </c>
      <c r="C5943" t="s">
        <v>1680</v>
      </c>
      <c r="D5943" s="9">
        <v>179530</v>
      </c>
      <c r="E5943">
        <v>1.154E-4</v>
      </c>
    </row>
    <row r="5944" spans="1:5">
      <c r="A5944">
        <v>2023</v>
      </c>
      <c r="B5944" s="3" t="s">
        <v>489</v>
      </c>
      <c r="C5944" t="s">
        <v>434</v>
      </c>
      <c r="D5944" s="9">
        <v>77591</v>
      </c>
      <c r="E5944">
        <v>4.99E-5</v>
      </c>
    </row>
    <row r="5945" spans="1:5">
      <c r="A5945">
        <v>2023</v>
      </c>
      <c r="B5945" s="3" t="s">
        <v>490</v>
      </c>
      <c r="C5945" t="s">
        <v>1681</v>
      </c>
      <c r="D5945" s="9">
        <v>3968304</v>
      </c>
      <c r="E5945">
        <v>2.5503000000000001E-3</v>
      </c>
    </row>
    <row r="5946" spans="1:5">
      <c r="A5946">
        <v>2023</v>
      </c>
      <c r="B5946" s="3" t="s">
        <v>491</v>
      </c>
      <c r="C5946" t="s">
        <v>1682</v>
      </c>
      <c r="D5946" s="9">
        <v>4795668</v>
      </c>
      <c r="E5946">
        <v>3.0820000000000001E-3</v>
      </c>
    </row>
    <row r="5947" spans="1:5">
      <c r="A5947">
        <v>2023</v>
      </c>
      <c r="B5947" s="3" t="s">
        <v>492</v>
      </c>
      <c r="C5947" t="s">
        <v>1683</v>
      </c>
      <c r="D5947" s="9">
        <v>13779</v>
      </c>
      <c r="E5947">
        <v>8.8999999999999995E-6</v>
      </c>
    </row>
    <row r="5948" spans="1:5">
      <c r="A5948">
        <v>2023</v>
      </c>
      <c r="B5948" s="3" t="s">
        <v>493</v>
      </c>
      <c r="C5948" t="s">
        <v>1684</v>
      </c>
      <c r="D5948" s="9">
        <v>26902</v>
      </c>
      <c r="E5948">
        <v>1.73E-5</v>
      </c>
    </row>
    <row r="5949" spans="1:5">
      <c r="A5949">
        <v>2023</v>
      </c>
      <c r="B5949" s="3" t="s">
        <v>494</v>
      </c>
      <c r="C5949" t="s">
        <v>1685</v>
      </c>
      <c r="D5949" s="9"/>
    </row>
    <row r="5950" spans="1:5">
      <c r="A5950">
        <v>2023</v>
      </c>
      <c r="B5950" s="3" t="s">
        <v>550</v>
      </c>
      <c r="C5950" t="s">
        <v>1686</v>
      </c>
      <c r="D5950" s="9">
        <v>44032</v>
      </c>
      <c r="E5950">
        <v>2.83E-5</v>
      </c>
    </row>
    <row r="5951" spans="1:5">
      <c r="A5951">
        <v>2023</v>
      </c>
      <c r="B5951" s="3" t="s">
        <v>551</v>
      </c>
      <c r="C5951" t="s">
        <v>1687</v>
      </c>
      <c r="D5951" s="9">
        <v>116617</v>
      </c>
      <c r="E5951">
        <v>7.4900000000000005E-5</v>
      </c>
    </row>
    <row r="5952" spans="1:5">
      <c r="A5952">
        <v>2023</v>
      </c>
      <c r="B5952" s="3" t="s">
        <v>552</v>
      </c>
      <c r="C5952" t="s">
        <v>1688</v>
      </c>
      <c r="D5952" s="9">
        <v>24526610</v>
      </c>
      <c r="E5952">
        <v>1.5762499999999999E-2</v>
      </c>
    </row>
    <row r="5953" spans="1:5">
      <c r="A5953">
        <v>2023</v>
      </c>
      <c r="B5953" s="3" t="s">
        <v>553</v>
      </c>
      <c r="C5953" t="s">
        <v>498</v>
      </c>
      <c r="D5953" s="9">
        <v>49654</v>
      </c>
      <c r="E5953">
        <v>3.1900000000000003E-5</v>
      </c>
    </row>
    <row r="5954" spans="1:5">
      <c r="A5954">
        <v>2023</v>
      </c>
      <c r="B5954" s="3" t="s">
        <v>2452</v>
      </c>
      <c r="C5954" t="s">
        <v>2450</v>
      </c>
      <c r="D5954" s="9">
        <v>34440</v>
      </c>
      <c r="E5954">
        <v>2.2099999999999998E-5</v>
      </c>
    </row>
    <row r="5955" spans="1:5">
      <c r="A5955">
        <v>2023</v>
      </c>
      <c r="B5955" s="3" t="s">
        <v>554</v>
      </c>
      <c r="C5955" t="s">
        <v>499</v>
      </c>
      <c r="D5955" s="9"/>
    </row>
    <row r="5956" spans="1:5">
      <c r="A5956">
        <v>2023</v>
      </c>
      <c r="B5956" s="3" t="s">
        <v>555</v>
      </c>
      <c r="C5956" t="s">
        <v>500</v>
      </c>
      <c r="D5956" s="9">
        <v>252766</v>
      </c>
      <c r="E5956">
        <v>1.6239999999999999E-4</v>
      </c>
    </row>
    <row r="5957" spans="1:5">
      <c r="A5957">
        <v>2023</v>
      </c>
      <c r="B5957" s="3" t="s">
        <v>556</v>
      </c>
      <c r="C5957" t="s">
        <v>501</v>
      </c>
      <c r="D5957" s="9"/>
    </row>
    <row r="5958" spans="1:5">
      <c r="A5958">
        <v>2023</v>
      </c>
      <c r="B5958" s="3" t="s">
        <v>557</v>
      </c>
      <c r="C5958" t="s">
        <v>502</v>
      </c>
      <c r="D5958" s="9">
        <v>74498</v>
      </c>
      <c r="E5958">
        <v>4.7899999999999999E-5</v>
      </c>
    </row>
    <row r="5959" spans="1:5">
      <c r="A5959">
        <v>2023</v>
      </c>
      <c r="B5959" s="3" t="s">
        <v>558</v>
      </c>
      <c r="C5959" t="s">
        <v>1691</v>
      </c>
      <c r="D5959" s="9">
        <v>32358</v>
      </c>
      <c r="E5959">
        <v>2.0800000000000001E-5</v>
      </c>
    </row>
    <row r="5960" spans="1:5">
      <c r="A5960">
        <v>2023</v>
      </c>
      <c r="B5960" s="3" t="s">
        <v>559</v>
      </c>
      <c r="C5960" t="s">
        <v>1692</v>
      </c>
      <c r="D5960" s="9">
        <v>2930389</v>
      </c>
      <c r="E5960">
        <v>1.8833000000000001E-3</v>
      </c>
    </row>
    <row r="5961" spans="1:5">
      <c r="A5961">
        <v>2023</v>
      </c>
      <c r="B5961" s="3" t="s">
        <v>378</v>
      </c>
      <c r="C5961" t="s">
        <v>1693</v>
      </c>
      <c r="D5961" s="9">
        <v>644570</v>
      </c>
      <c r="E5961">
        <v>4.1419999999999998E-4</v>
      </c>
    </row>
    <row r="5962" spans="1:5">
      <c r="A5962">
        <v>2023</v>
      </c>
      <c r="B5962" s="3" t="s">
        <v>560</v>
      </c>
      <c r="C5962" t="s">
        <v>505</v>
      </c>
      <c r="D5962" s="9">
        <v>135787</v>
      </c>
      <c r="E5962">
        <v>8.7299999999999994E-5</v>
      </c>
    </row>
    <row r="5963" spans="1:5">
      <c r="A5963">
        <v>2023</v>
      </c>
      <c r="B5963" s="3" t="s">
        <v>561</v>
      </c>
      <c r="C5963" t="s">
        <v>1694</v>
      </c>
      <c r="D5963" s="9">
        <v>277896</v>
      </c>
      <c r="E5963">
        <v>1.786E-4</v>
      </c>
    </row>
    <row r="5964" spans="1:5">
      <c r="A5964">
        <v>2023</v>
      </c>
      <c r="B5964" s="3" t="s">
        <v>1225</v>
      </c>
      <c r="C5964" t="s">
        <v>1695</v>
      </c>
      <c r="D5964" s="9">
        <v>32140</v>
      </c>
      <c r="E5964">
        <v>2.0699999999999998E-5</v>
      </c>
    </row>
    <row r="5965" spans="1:5">
      <c r="A5965">
        <v>2023</v>
      </c>
      <c r="B5965" s="3" t="s">
        <v>562</v>
      </c>
      <c r="C5965" t="s">
        <v>2367</v>
      </c>
      <c r="D5965" s="9">
        <v>16867240</v>
      </c>
      <c r="E5965">
        <v>1.08401E-2</v>
      </c>
    </row>
    <row r="5966" spans="1:5">
      <c r="A5966">
        <v>2023</v>
      </c>
      <c r="B5966" s="3" t="s">
        <v>1226</v>
      </c>
      <c r="C5966" t="s">
        <v>1697</v>
      </c>
      <c r="D5966" s="9">
        <v>160074</v>
      </c>
      <c r="E5966">
        <v>1.0289999999999999E-4</v>
      </c>
    </row>
    <row r="5967" spans="1:5">
      <c r="A5967">
        <v>2023</v>
      </c>
      <c r="B5967" s="3" t="s">
        <v>563</v>
      </c>
      <c r="C5967" t="s">
        <v>1698</v>
      </c>
      <c r="D5967" s="9"/>
    </row>
    <row r="5968" spans="1:5">
      <c r="A5968">
        <v>2023</v>
      </c>
      <c r="B5968" s="3" t="s">
        <v>564</v>
      </c>
      <c r="C5968" t="s">
        <v>509</v>
      </c>
      <c r="D5968" s="9">
        <v>2007241</v>
      </c>
      <c r="E5968">
        <v>1.2899999999999999E-3</v>
      </c>
    </row>
    <row r="5969" spans="1:5">
      <c r="A5969">
        <v>2023</v>
      </c>
      <c r="B5969" s="3" t="s">
        <v>565</v>
      </c>
      <c r="C5969" t="s">
        <v>510</v>
      </c>
      <c r="D5969" s="9">
        <v>2491599</v>
      </c>
      <c r="E5969">
        <v>1.6012999999999999E-3</v>
      </c>
    </row>
    <row r="5970" spans="1:5">
      <c r="A5970">
        <v>2023</v>
      </c>
      <c r="B5970" s="3" t="s">
        <v>566</v>
      </c>
      <c r="C5970" t="s">
        <v>1699</v>
      </c>
      <c r="D5970" s="9">
        <v>143144</v>
      </c>
      <c r="E5970">
        <v>9.2E-5</v>
      </c>
    </row>
    <row r="5971" spans="1:5">
      <c r="A5971">
        <v>2023</v>
      </c>
      <c r="B5971" s="3" t="s">
        <v>2400</v>
      </c>
      <c r="C5971" t="s">
        <v>2399</v>
      </c>
      <c r="D5971" s="9">
        <v>169892</v>
      </c>
      <c r="E5971">
        <v>1.092E-4</v>
      </c>
    </row>
    <row r="5972" spans="1:5">
      <c r="A5972">
        <v>2023</v>
      </c>
      <c r="B5972" s="3" t="s">
        <v>569</v>
      </c>
      <c r="C5972" t="s">
        <v>1446</v>
      </c>
      <c r="D5972" s="9">
        <v>223806</v>
      </c>
      <c r="E5972">
        <v>1.438E-4</v>
      </c>
    </row>
    <row r="5973" spans="1:5">
      <c r="A5973">
        <v>2023</v>
      </c>
      <c r="B5973" s="3" t="s">
        <v>567</v>
      </c>
      <c r="C5973" t="s">
        <v>1700</v>
      </c>
      <c r="D5973" s="9">
        <v>93428</v>
      </c>
      <c r="E5973">
        <v>6.0000000000000002E-5</v>
      </c>
    </row>
    <row r="5974" spans="1:5">
      <c r="A5974">
        <v>2023</v>
      </c>
      <c r="B5974" s="3" t="s">
        <v>568</v>
      </c>
      <c r="C5974" t="s">
        <v>2446</v>
      </c>
      <c r="D5974" s="9">
        <v>180042</v>
      </c>
      <c r="E5974">
        <v>1.1569999999999999E-4</v>
      </c>
    </row>
    <row r="5975" spans="1:5">
      <c r="A5975">
        <v>2023</v>
      </c>
      <c r="B5975" s="3" t="s">
        <v>570</v>
      </c>
      <c r="C5975" t="s">
        <v>515</v>
      </c>
      <c r="D5975" s="9">
        <v>429691</v>
      </c>
      <c r="E5975">
        <v>2.7609999999999999E-4</v>
      </c>
    </row>
    <row r="5976" spans="1:5">
      <c r="A5976">
        <v>2023</v>
      </c>
      <c r="B5976" s="3" t="s">
        <v>571</v>
      </c>
      <c r="C5976" t="s">
        <v>516</v>
      </c>
      <c r="D5976" s="9">
        <v>1220852</v>
      </c>
      <c r="E5976">
        <v>7.8459999999999999E-4</v>
      </c>
    </row>
    <row r="5977" spans="1:5">
      <c r="A5977">
        <v>2023</v>
      </c>
      <c r="B5977" s="3" t="s">
        <v>572</v>
      </c>
      <c r="C5977" t="s">
        <v>517</v>
      </c>
      <c r="D5977" s="9">
        <v>1160608</v>
      </c>
      <c r="E5977">
        <v>7.4589999999999997E-4</v>
      </c>
    </row>
    <row r="5978" spans="1:5">
      <c r="A5978">
        <v>2023</v>
      </c>
      <c r="B5978" s="3" t="s">
        <v>573</v>
      </c>
      <c r="C5978" t="s">
        <v>518</v>
      </c>
      <c r="D5978" s="9">
        <v>398069</v>
      </c>
      <c r="E5978">
        <v>2.5579999999999998E-4</v>
      </c>
    </row>
    <row r="5979" spans="1:5">
      <c r="A5979">
        <v>2023</v>
      </c>
      <c r="B5979" s="3" t="s">
        <v>574</v>
      </c>
      <c r="C5979" t="s">
        <v>1702</v>
      </c>
      <c r="D5979" s="9">
        <v>113300</v>
      </c>
      <c r="E5979">
        <v>7.2799999999999994E-5</v>
      </c>
    </row>
    <row r="5980" spans="1:5">
      <c r="A5980">
        <v>2023</v>
      </c>
      <c r="B5980" s="3" t="s">
        <v>575</v>
      </c>
      <c r="C5980" t="s">
        <v>2437</v>
      </c>
      <c r="D5980" s="9">
        <v>170025</v>
      </c>
      <c r="E5980">
        <v>1.093E-4</v>
      </c>
    </row>
    <row r="5981" spans="1:5">
      <c r="A5981">
        <v>2023</v>
      </c>
      <c r="B5981" s="3" t="s">
        <v>576</v>
      </c>
      <c r="C5981" t="s">
        <v>521</v>
      </c>
      <c r="D5981" s="9">
        <v>237658</v>
      </c>
      <c r="E5981">
        <v>1.527E-4</v>
      </c>
    </row>
    <row r="5982" spans="1:5">
      <c r="A5982">
        <v>2023</v>
      </c>
      <c r="B5982" s="3" t="s">
        <v>577</v>
      </c>
      <c r="C5982" t="s">
        <v>1704</v>
      </c>
      <c r="D5982" s="9"/>
    </row>
    <row r="5983" spans="1:5">
      <c r="A5983">
        <v>2023</v>
      </c>
      <c r="B5983" s="3" t="s">
        <v>578</v>
      </c>
      <c r="C5983" t="s">
        <v>1705</v>
      </c>
      <c r="D5983" s="9">
        <v>1828568</v>
      </c>
      <c r="E5983">
        <v>1.1751999999999999E-3</v>
      </c>
    </row>
    <row r="5984" spans="1:5">
      <c r="A5984">
        <v>2023</v>
      </c>
      <c r="B5984" s="3" t="s">
        <v>2371</v>
      </c>
      <c r="C5984" t="s">
        <v>2369</v>
      </c>
      <c r="D5984" s="9"/>
    </row>
    <row r="5985" spans="1:5">
      <c r="A5985">
        <v>2023</v>
      </c>
      <c r="B5985" s="3" t="s">
        <v>379</v>
      </c>
      <c r="C5985" t="s">
        <v>1706</v>
      </c>
      <c r="D5985" s="9">
        <v>1004308</v>
      </c>
      <c r="E5985">
        <v>6.4539999999999997E-4</v>
      </c>
    </row>
    <row r="5986" spans="1:5">
      <c r="A5986">
        <v>2023</v>
      </c>
      <c r="B5986" s="3" t="s">
        <v>580</v>
      </c>
      <c r="C5986" t="s">
        <v>1709</v>
      </c>
      <c r="D5986" s="9">
        <v>56399</v>
      </c>
      <c r="E5986">
        <v>3.6199999999999999E-5</v>
      </c>
    </row>
    <row r="5987" spans="1:5">
      <c r="A5987">
        <v>2023</v>
      </c>
      <c r="B5987" s="3" t="s">
        <v>581</v>
      </c>
      <c r="C5987" t="s">
        <v>526</v>
      </c>
      <c r="D5987" s="9">
        <v>9267</v>
      </c>
      <c r="E5987">
        <v>6.0000000000000002E-6</v>
      </c>
    </row>
    <row r="5988" spans="1:5">
      <c r="A5988">
        <v>2023</v>
      </c>
      <c r="B5988" s="3" t="s">
        <v>582</v>
      </c>
      <c r="C5988" t="s">
        <v>1710</v>
      </c>
      <c r="D5988" s="9">
        <v>628542</v>
      </c>
      <c r="E5988">
        <v>4.0390000000000001E-4</v>
      </c>
    </row>
    <row r="5989" spans="1:5">
      <c r="A5989">
        <v>2023</v>
      </c>
      <c r="B5989" s="3" t="s">
        <v>583</v>
      </c>
      <c r="C5989" t="s">
        <v>1711</v>
      </c>
      <c r="D5989" s="9">
        <v>14108</v>
      </c>
      <c r="E5989">
        <v>9.0999999999999993E-6</v>
      </c>
    </row>
    <row r="5990" spans="1:5">
      <c r="A5990">
        <v>2023</v>
      </c>
      <c r="B5990" s="3" t="s">
        <v>380</v>
      </c>
      <c r="C5990" t="s">
        <v>1712</v>
      </c>
      <c r="D5990" s="9">
        <v>612769</v>
      </c>
      <c r="E5990">
        <v>3.9379999999999998E-4</v>
      </c>
    </row>
    <row r="5991" spans="1:5">
      <c r="A5991">
        <v>2023</v>
      </c>
      <c r="B5991" s="3" t="s">
        <v>585</v>
      </c>
      <c r="C5991" t="s">
        <v>1713</v>
      </c>
      <c r="D5991" s="9">
        <v>111296</v>
      </c>
      <c r="E5991">
        <v>7.1500000000000003E-5</v>
      </c>
    </row>
    <row r="5992" spans="1:5">
      <c r="A5992">
        <v>2023</v>
      </c>
      <c r="B5992" s="3" t="s">
        <v>2426</v>
      </c>
      <c r="C5992" t="s">
        <v>2428</v>
      </c>
      <c r="D5992" s="9">
        <v>152833</v>
      </c>
      <c r="E5992">
        <v>9.8200000000000002E-5</v>
      </c>
    </row>
    <row r="5993" spans="1:5">
      <c r="A5993">
        <v>2023</v>
      </c>
      <c r="B5993" s="3" t="s">
        <v>586</v>
      </c>
      <c r="C5993" t="s">
        <v>1714</v>
      </c>
      <c r="D5993" s="9">
        <v>250469</v>
      </c>
      <c r="E5993">
        <v>1.6100000000000001E-4</v>
      </c>
    </row>
    <row r="5994" spans="1:5">
      <c r="A5994">
        <v>2023</v>
      </c>
      <c r="B5994" s="3" t="s">
        <v>587</v>
      </c>
      <c r="C5994" t="s">
        <v>532</v>
      </c>
      <c r="D5994" s="9">
        <v>197625</v>
      </c>
      <c r="E5994">
        <v>1.27E-4</v>
      </c>
    </row>
    <row r="5995" spans="1:5">
      <c r="A5995">
        <v>2023</v>
      </c>
      <c r="B5995" s="3" t="s">
        <v>588</v>
      </c>
      <c r="C5995" t="s">
        <v>533</v>
      </c>
      <c r="D5995" s="9">
        <v>218434</v>
      </c>
      <c r="E5995">
        <v>1.404E-4</v>
      </c>
    </row>
    <row r="5996" spans="1:5">
      <c r="A5996">
        <v>2023</v>
      </c>
      <c r="B5996" s="3" t="s">
        <v>589</v>
      </c>
      <c r="C5996" t="s">
        <v>1715</v>
      </c>
      <c r="D5996" s="9">
        <v>7451445</v>
      </c>
      <c r="E5996">
        <v>4.7888000000000002E-3</v>
      </c>
    </row>
    <row r="5997" spans="1:5">
      <c r="A5997">
        <v>2023</v>
      </c>
      <c r="B5997" s="3" t="s">
        <v>381</v>
      </c>
      <c r="C5997" t="s">
        <v>1716</v>
      </c>
      <c r="D5997" s="9">
        <v>4357700</v>
      </c>
      <c r="E5997">
        <v>2.8005999999999999E-3</v>
      </c>
    </row>
    <row r="5998" spans="1:5">
      <c r="A5998">
        <v>2023</v>
      </c>
      <c r="B5998" s="3" t="s">
        <v>590</v>
      </c>
      <c r="C5998" t="s">
        <v>1717</v>
      </c>
      <c r="D5998" s="9">
        <v>6614104</v>
      </c>
      <c r="E5998">
        <v>4.2506999999999996E-3</v>
      </c>
    </row>
    <row r="5999" spans="1:5">
      <c r="A5999">
        <v>2023</v>
      </c>
      <c r="B5999" s="3" t="s">
        <v>1227</v>
      </c>
      <c r="C5999" t="s">
        <v>1718</v>
      </c>
      <c r="D5999" s="9">
        <v>735708</v>
      </c>
      <c r="E5999">
        <v>4.728E-4</v>
      </c>
    </row>
    <row r="6000" spans="1:5">
      <c r="A6000">
        <v>2023</v>
      </c>
      <c r="B6000" s="3" t="s">
        <v>591</v>
      </c>
      <c r="C6000" t="s">
        <v>536</v>
      </c>
      <c r="D6000" s="9">
        <v>58894</v>
      </c>
      <c r="E6000">
        <v>3.7799999999999997E-5</v>
      </c>
    </row>
    <row r="6001" spans="1:5">
      <c r="A6001">
        <v>2023</v>
      </c>
      <c r="B6001" s="3" t="s">
        <v>592</v>
      </c>
      <c r="C6001" t="s">
        <v>1719</v>
      </c>
      <c r="D6001" s="9">
        <v>4145783</v>
      </c>
      <c r="E6001">
        <v>2.6643999999999999E-3</v>
      </c>
    </row>
    <row r="6002" spans="1:5">
      <c r="A6002">
        <v>2023</v>
      </c>
      <c r="B6002" s="3" t="s">
        <v>1456</v>
      </c>
      <c r="C6002" t="s">
        <v>1720</v>
      </c>
      <c r="D6002" s="9">
        <v>26096</v>
      </c>
      <c r="E6002">
        <v>1.6799999999999998E-5</v>
      </c>
    </row>
    <row r="6003" spans="1:5">
      <c r="A6003">
        <v>2023</v>
      </c>
      <c r="B6003" s="3" t="s">
        <v>2440</v>
      </c>
      <c r="C6003" t="s">
        <v>2438</v>
      </c>
      <c r="D6003" s="9">
        <v>15971</v>
      </c>
      <c r="E6003">
        <v>1.03E-5</v>
      </c>
    </row>
    <row r="6004" spans="1:5">
      <c r="A6004">
        <v>2023</v>
      </c>
      <c r="B6004" s="3" t="s">
        <v>593</v>
      </c>
      <c r="C6004" t="s">
        <v>1721</v>
      </c>
      <c r="D6004" s="9">
        <v>837583</v>
      </c>
      <c r="E6004">
        <v>5.3830000000000002E-4</v>
      </c>
    </row>
    <row r="6005" spans="1:5">
      <c r="A6005">
        <v>2023</v>
      </c>
      <c r="B6005" s="3" t="s">
        <v>594</v>
      </c>
      <c r="C6005" t="s">
        <v>2190</v>
      </c>
      <c r="D6005" s="9">
        <v>31436</v>
      </c>
      <c r="E6005">
        <v>2.02E-5</v>
      </c>
    </row>
    <row r="6006" spans="1:5">
      <c r="A6006">
        <v>2023</v>
      </c>
      <c r="B6006" s="3" t="s">
        <v>595</v>
      </c>
      <c r="C6006" t="s">
        <v>1722</v>
      </c>
      <c r="D6006" s="9">
        <v>804622</v>
      </c>
      <c r="E6006">
        <v>5.1710000000000005E-4</v>
      </c>
    </row>
    <row r="6007" spans="1:5">
      <c r="A6007">
        <v>2023</v>
      </c>
      <c r="B6007" s="3" t="s">
        <v>2453</v>
      </c>
      <c r="C6007" t="s">
        <v>2439</v>
      </c>
      <c r="D6007" s="9">
        <v>423361</v>
      </c>
      <c r="E6007">
        <v>2.721E-4</v>
      </c>
    </row>
    <row r="6008" spans="1:5">
      <c r="A6008">
        <v>2023</v>
      </c>
      <c r="B6008" s="3" t="s">
        <v>596</v>
      </c>
      <c r="C6008" t="s">
        <v>1723</v>
      </c>
      <c r="D6008" s="9">
        <v>963236</v>
      </c>
      <c r="E6008">
        <v>6.1899999999999998E-4</v>
      </c>
    </row>
    <row r="6009" spans="1:5">
      <c r="A6009">
        <v>2023</v>
      </c>
      <c r="B6009" s="3" t="s">
        <v>597</v>
      </c>
      <c r="C6009" t="s">
        <v>1724</v>
      </c>
      <c r="D6009" s="9">
        <v>2608497</v>
      </c>
      <c r="E6009">
        <v>1.6764E-3</v>
      </c>
    </row>
    <row r="6010" spans="1:5">
      <c r="A6010">
        <v>2023</v>
      </c>
      <c r="B6010" s="3" t="s">
        <v>598</v>
      </c>
      <c r="C6010" t="s">
        <v>543</v>
      </c>
      <c r="D6010" s="9">
        <v>311433</v>
      </c>
      <c r="E6010">
        <v>2.0010000000000001E-4</v>
      </c>
    </row>
    <row r="6011" spans="1:5">
      <c r="A6011">
        <v>2023</v>
      </c>
      <c r="B6011" s="3" t="s">
        <v>1228</v>
      </c>
      <c r="C6011" t="s">
        <v>1725</v>
      </c>
      <c r="D6011" s="9">
        <v>52190</v>
      </c>
      <c r="E6011">
        <v>3.3500000000000001E-5</v>
      </c>
    </row>
    <row r="6012" spans="1:5">
      <c r="A6012">
        <v>2023</v>
      </c>
      <c r="B6012" s="3" t="s">
        <v>599</v>
      </c>
      <c r="C6012" t="s">
        <v>1726</v>
      </c>
      <c r="D6012" s="9">
        <v>192815</v>
      </c>
      <c r="E6012">
        <v>1.239E-4</v>
      </c>
    </row>
    <row r="6013" spans="1:5">
      <c r="A6013">
        <v>2023</v>
      </c>
      <c r="B6013" s="3" t="s">
        <v>2403</v>
      </c>
      <c r="C6013" t="s">
        <v>2401</v>
      </c>
      <c r="D6013" s="9">
        <v>33935</v>
      </c>
      <c r="E6013">
        <v>2.1800000000000001E-5</v>
      </c>
    </row>
    <row r="6014" spans="1:5">
      <c r="A6014">
        <v>2023</v>
      </c>
      <c r="B6014" s="3" t="s">
        <v>600</v>
      </c>
      <c r="C6014" t="s">
        <v>1727</v>
      </c>
      <c r="D6014" s="9">
        <v>3297482</v>
      </c>
      <c r="E6014">
        <v>2.1191999999999999E-3</v>
      </c>
    </row>
    <row r="6015" spans="1:5">
      <c r="A6015">
        <v>2023</v>
      </c>
      <c r="B6015" s="3" t="s">
        <v>601</v>
      </c>
      <c r="C6015" t="s">
        <v>1728</v>
      </c>
      <c r="D6015" s="9">
        <v>1060666</v>
      </c>
      <c r="E6015">
        <v>6.8170000000000004E-4</v>
      </c>
    </row>
    <row r="6016" spans="1:5">
      <c r="A6016">
        <v>2023</v>
      </c>
      <c r="B6016" s="3" t="s">
        <v>2404</v>
      </c>
      <c r="C6016" t="s">
        <v>2441</v>
      </c>
      <c r="D6016" s="9">
        <v>434703</v>
      </c>
      <c r="E6016">
        <v>2.7940000000000002E-4</v>
      </c>
    </row>
    <row r="6017" spans="1:5">
      <c r="A6017">
        <v>2023</v>
      </c>
      <c r="B6017" s="3" t="s">
        <v>602</v>
      </c>
      <c r="C6017" t="s">
        <v>547</v>
      </c>
      <c r="D6017" s="9">
        <v>63497</v>
      </c>
      <c r="E6017">
        <v>4.0800000000000002E-5</v>
      </c>
    </row>
    <row r="6018" spans="1:5">
      <c r="A6018">
        <v>2023</v>
      </c>
      <c r="B6018" s="3" t="s">
        <v>603</v>
      </c>
      <c r="C6018" t="s">
        <v>548</v>
      </c>
      <c r="D6018" s="9">
        <v>98894</v>
      </c>
      <c r="E6018">
        <v>6.3600000000000001E-5</v>
      </c>
    </row>
    <row r="6019" spans="1:5">
      <c r="A6019">
        <v>2023</v>
      </c>
      <c r="B6019" s="3" t="s">
        <v>604</v>
      </c>
      <c r="C6019" t="s">
        <v>1729</v>
      </c>
      <c r="D6019" s="9">
        <v>229384</v>
      </c>
      <c r="E6019">
        <v>1.474E-4</v>
      </c>
    </row>
    <row r="6020" spans="1:5">
      <c r="A6020">
        <v>2023</v>
      </c>
      <c r="B6020" s="3" t="s">
        <v>1229</v>
      </c>
      <c r="C6020" t="s">
        <v>1730</v>
      </c>
      <c r="D6020" s="9">
        <v>178445</v>
      </c>
      <c r="E6020">
        <v>1.147E-4</v>
      </c>
    </row>
    <row r="6021" spans="1:5">
      <c r="A6021">
        <v>2023</v>
      </c>
      <c r="B6021" s="3" t="s">
        <v>660</v>
      </c>
      <c r="C6021" t="s">
        <v>605</v>
      </c>
      <c r="D6021" s="9">
        <v>2523645</v>
      </c>
      <c r="E6021">
        <v>1.6218999999999999E-3</v>
      </c>
    </row>
    <row r="6022" spans="1:5">
      <c r="A6022">
        <v>2023</v>
      </c>
      <c r="B6022" s="3" t="s">
        <v>661</v>
      </c>
      <c r="C6022" t="s">
        <v>1455</v>
      </c>
      <c r="D6022" s="9">
        <v>24423</v>
      </c>
      <c r="E6022">
        <v>1.5699999999999999E-5</v>
      </c>
    </row>
    <row r="6023" spans="1:5">
      <c r="A6023">
        <v>2023</v>
      </c>
      <c r="B6023" s="3" t="s">
        <v>662</v>
      </c>
      <c r="C6023" t="s">
        <v>607</v>
      </c>
      <c r="D6023" s="9">
        <v>23752</v>
      </c>
      <c r="E6023">
        <v>1.5299999999999999E-5</v>
      </c>
    </row>
    <row r="6024" spans="1:5">
      <c r="A6024">
        <v>2023</v>
      </c>
      <c r="B6024" s="3" t="s">
        <v>663</v>
      </c>
      <c r="C6024" t="s">
        <v>608</v>
      </c>
      <c r="D6024" s="9">
        <v>32416</v>
      </c>
      <c r="E6024">
        <v>2.0800000000000001E-5</v>
      </c>
    </row>
    <row r="6025" spans="1:5">
      <c r="A6025">
        <v>2023</v>
      </c>
      <c r="B6025" s="3" t="s">
        <v>664</v>
      </c>
      <c r="C6025" t="s">
        <v>609</v>
      </c>
      <c r="D6025" s="9">
        <v>26797881</v>
      </c>
      <c r="E6025">
        <v>1.72222E-2</v>
      </c>
    </row>
    <row r="6026" spans="1:5">
      <c r="A6026">
        <v>2023</v>
      </c>
      <c r="B6026" s="3" t="s">
        <v>1230</v>
      </c>
      <c r="C6026" t="s">
        <v>1731</v>
      </c>
      <c r="D6026" s="9">
        <v>9095511</v>
      </c>
      <c r="E6026">
        <v>5.8453999999999997E-3</v>
      </c>
    </row>
    <row r="6027" spans="1:5">
      <c r="A6027">
        <v>2023</v>
      </c>
      <c r="B6027" s="3" t="s">
        <v>665</v>
      </c>
      <c r="C6027" t="s">
        <v>1732</v>
      </c>
      <c r="D6027" s="9">
        <v>5639858</v>
      </c>
      <c r="E6027">
        <v>3.6246E-3</v>
      </c>
    </row>
    <row r="6028" spans="1:5">
      <c r="A6028">
        <v>2023</v>
      </c>
      <c r="B6028" s="3" t="s">
        <v>666</v>
      </c>
      <c r="C6028" t="s">
        <v>1733</v>
      </c>
      <c r="D6028" s="9">
        <v>13339334</v>
      </c>
      <c r="E6028">
        <v>8.5728000000000002E-3</v>
      </c>
    </row>
    <row r="6029" spans="1:5">
      <c r="A6029">
        <v>2023</v>
      </c>
      <c r="B6029" s="3" t="s">
        <v>382</v>
      </c>
      <c r="C6029" t="s">
        <v>1734</v>
      </c>
      <c r="D6029" s="9">
        <v>10776634</v>
      </c>
      <c r="E6029">
        <v>6.9258000000000002E-3</v>
      </c>
    </row>
    <row r="6030" spans="1:5">
      <c r="A6030">
        <v>2023</v>
      </c>
      <c r="B6030" s="3" t="s">
        <v>667</v>
      </c>
      <c r="C6030" t="s">
        <v>1735</v>
      </c>
      <c r="D6030" s="9">
        <v>1021890</v>
      </c>
      <c r="E6030">
        <v>6.5669999999999997E-4</v>
      </c>
    </row>
    <row r="6031" spans="1:5">
      <c r="A6031">
        <v>2023</v>
      </c>
      <c r="B6031" s="3" t="s">
        <v>383</v>
      </c>
      <c r="C6031" t="s">
        <v>1736</v>
      </c>
      <c r="D6031" s="9">
        <v>449718</v>
      </c>
      <c r="E6031">
        <v>2.8899999999999998E-4</v>
      </c>
    </row>
    <row r="6032" spans="1:5">
      <c r="A6032">
        <v>2023</v>
      </c>
      <c r="B6032" s="3" t="s">
        <v>668</v>
      </c>
      <c r="C6032" t="s">
        <v>613</v>
      </c>
      <c r="D6032" s="9">
        <v>316382</v>
      </c>
      <c r="E6032">
        <v>2.0330000000000001E-4</v>
      </c>
    </row>
    <row r="6033" spans="1:5">
      <c r="A6033">
        <v>2023</v>
      </c>
      <c r="B6033" s="3" t="s">
        <v>384</v>
      </c>
      <c r="C6033" t="s">
        <v>1737</v>
      </c>
      <c r="D6033" s="9">
        <v>4959178</v>
      </c>
      <c r="E6033">
        <v>3.1871E-3</v>
      </c>
    </row>
    <row r="6034" spans="1:5">
      <c r="A6034">
        <v>2023</v>
      </c>
      <c r="B6034" s="3" t="s">
        <v>669</v>
      </c>
      <c r="C6034" t="s">
        <v>614</v>
      </c>
      <c r="D6034" s="9">
        <v>90206</v>
      </c>
      <c r="E6034">
        <v>5.8E-5</v>
      </c>
    </row>
    <row r="6035" spans="1:5">
      <c r="A6035">
        <v>2023</v>
      </c>
      <c r="B6035" s="3" t="s">
        <v>670</v>
      </c>
      <c r="C6035" t="s">
        <v>615</v>
      </c>
      <c r="D6035" s="9">
        <v>978227</v>
      </c>
      <c r="E6035">
        <v>6.2870000000000005E-4</v>
      </c>
    </row>
    <row r="6036" spans="1:5">
      <c r="A6036">
        <v>2023</v>
      </c>
      <c r="B6036" s="3" t="s">
        <v>672</v>
      </c>
      <c r="C6036" t="s">
        <v>1739</v>
      </c>
      <c r="D6036" s="9">
        <v>359789</v>
      </c>
      <c r="E6036">
        <v>2.3120000000000001E-4</v>
      </c>
    </row>
    <row r="6037" spans="1:5">
      <c r="A6037">
        <v>2023</v>
      </c>
      <c r="B6037" s="3" t="s">
        <v>673</v>
      </c>
      <c r="C6037" t="s">
        <v>618</v>
      </c>
      <c r="D6037" s="9">
        <v>159513</v>
      </c>
      <c r="E6037">
        <v>1.025E-4</v>
      </c>
    </row>
    <row r="6038" spans="1:5">
      <c r="A6038">
        <v>2023</v>
      </c>
      <c r="B6038" s="3" t="s">
        <v>674</v>
      </c>
      <c r="C6038" t="s">
        <v>2429</v>
      </c>
      <c r="D6038" s="9">
        <v>58654</v>
      </c>
      <c r="E6038">
        <v>3.7700000000000002E-5</v>
      </c>
    </row>
    <row r="6039" spans="1:5">
      <c r="A6039">
        <v>2023</v>
      </c>
      <c r="B6039" s="3" t="s">
        <v>675</v>
      </c>
      <c r="C6039" t="s">
        <v>620</v>
      </c>
      <c r="D6039" s="9">
        <v>764883</v>
      </c>
      <c r="E6039">
        <v>4.9160000000000002E-4</v>
      </c>
    </row>
    <row r="6040" spans="1:5">
      <c r="A6040">
        <v>2023</v>
      </c>
      <c r="B6040" s="3" t="s">
        <v>676</v>
      </c>
      <c r="C6040" t="s">
        <v>1740</v>
      </c>
      <c r="D6040" s="9"/>
    </row>
    <row r="6041" spans="1:5">
      <c r="A6041">
        <v>2023</v>
      </c>
      <c r="B6041" s="3" t="s">
        <v>677</v>
      </c>
      <c r="C6041" t="s">
        <v>622</v>
      </c>
      <c r="D6041" s="9"/>
    </row>
    <row r="6042" spans="1:5" ht="17" customHeight="1">
      <c r="A6042">
        <v>2023</v>
      </c>
      <c r="B6042" s="3" t="s">
        <v>1463</v>
      </c>
      <c r="C6042" t="s">
        <v>1741</v>
      </c>
      <c r="D6042" s="9">
        <v>73855</v>
      </c>
      <c r="E6042">
        <v>4.7500000000000003E-5</v>
      </c>
    </row>
    <row r="6043" spans="1:5">
      <c r="A6043">
        <v>2023</v>
      </c>
      <c r="B6043" s="3" t="s">
        <v>1231</v>
      </c>
      <c r="C6043" t="s">
        <v>1742</v>
      </c>
      <c r="D6043" s="9">
        <v>100922</v>
      </c>
      <c r="E6043">
        <v>6.4900000000000005E-5</v>
      </c>
    </row>
    <row r="6044" spans="1:5">
      <c r="A6044">
        <v>2023</v>
      </c>
      <c r="B6044" s="3" t="s">
        <v>680</v>
      </c>
      <c r="C6044" t="s">
        <v>1743</v>
      </c>
      <c r="D6044" s="9">
        <v>55342</v>
      </c>
      <c r="E6044">
        <v>3.5599999999999998E-5</v>
      </c>
    </row>
    <row r="6045" spans="1:5">
      <c r="A6045">
        <v>2023</v>
      </c>
      <c r="B6045" s="3" t="s">
        <v>681</v>
      </c>
      <c r="C6045" t="s">
        <v>626</v>
      </c>
      <c r="D6045" s="9">
        <v>257128</v>
      </c>
      <c r="E6045">
        <v>1.652E-4</v>
      </c>
    </row>
    <row r="6046" spans="1:5">
      <c r="A6046">
        <v>2023</v>
      </c>
      <c r="B6046" s="3" t="s">
        <v>682</v>
      </c>
      <c r="C6046" t="s">
        <v>1744</v>
      </c>
      <c r="D6046" s="9">
        <v>12889</v>
      </c>
      <c r="E6046">
        <v>8.3000000000000002E-6</v>
      </c>
    </row>
    <row r="6047" spans="1:5">
      <c r="A6047">
        <v>2023</v>
      </c>
      <c r="B6047" s="3" t="s">
        <v>1232</v>
      </c>
      <c r="C6047" t="s">
        <v>1745</v>
      </c>
      <c r="D6047" s="9">
        <v>63294</v>
      </c>
      <c r="E6047">
        <v>4.07E-5</v>
      </c>
    </row>
    <row r="6048" spans="1:5">
      <c r="A6048">
        <v>2023</v>
      </c>
      <c r="B6048" s="3" t="s">
        <v>683</v>
      </c>
      <c r="C6048" t="s">
        <v>1746</v>
      </c>
      <c r="D6048" s="9">
        <v>273926</v>
      </c>
      <c r="E6048">
        <v>1.76E-4</v>
      </c>
    </row>
    <row r="6049" spans="1:5">
      <c r="A6049">
        <v>2023</v>
      </c>
      <c r="B6049" s="3" t="s">
        <v>685</v>
      </c>
      <c r="C6049" t="s">
        <v>1461</v>
      </c>
      <c r="D6049" s="9">
        <v>33140</v>
      </c>
      <c r="E6049">
        <v>2.1299999999999999E-5</v>
      </c>
    </row>
    <row r="6050" spans="1:5">
      <c r="A6050">
        <v>2023</v>
      </c>
      <c r="B6050" s="3" t="s">
        <v>686</v>
      </c>
      <c r="C6050" t="s">
        <v>1747</v>
      </c>
      <c r="D6050" s="9">
        <v>377882</v>
      </c>
      <c r="E6050">
        <v>2.429E-4</v>
      </c>
    </row>
    <row r="6051" spans="1:5">
      <c r="A6051">
        <v>2023</v>
      </c>
      <c r="B6051" s="3" t="s">
        <v>2089</v>
      </c>
      <c r="C6051" t="s">
        <v>2087</v>
      </c>
      <c r="D6051" s="9">
        <v>10253</v>
      </c>
      <c r="E6051">
        <v>6.6000000000000003E-6</v>
      </c>
    </row>
    <row r="6052" spans="1:5">
      <c r="A6052">
        <v>2023</v>
      </c>
      <c r="B6052" s="3" t="s">
        <v>687</v>
      </c>
      <c r="C6052" t="s">
        <v>632</v>
      </c>
      <c r="D6052" s="9">
        <v>2037655</v>
      </c>
      <c r="E6052">
        <v>1.3094999999999999E-3</v>
      </c>
    </row>
    <row r="6053" spans="1:5">
      <c r="A6053">
        <v>2023</v>
      </c>
      <c r="B6053" s="3" t="s">
        <v>688</v>
      </c>
      <c r="C6053" t="s">
        <v>1748</v>
      </c>
      <c r="D6053" s="9">
        <v>47331</v>
      </c>
      <c r="E6053">
        <v>3.04E-5</v>
      </c>
    </row>
    <row r="6054" spans="1:5">
      <c r="A6054">
        <v>2023</v>
      </c>
      <c r="B6054" s="3" t="s">
        <v>689</v>
      </c>
      <c r="C6054" t="s">
        <v>1749</v>
      </c>
      <c r="D6054" s="9">
        <v>9534044</v>
      </c>
      <c r="E6054">
        <v>6.1272000000000002E-3</v>
      </c>
    </row>
    <row r="6055" spans="1:5">
      <c r="A6055">
        <v>2023</v>
      </c>
      <c r="B6055" s="3" t="s">
        <v>690</v>
      </c>
      <c r="C6055" t="s">
        <v>1750</v>
      </c>
      <c r="D6055" s="9">
        <v>11989</v>
      </c>
      <c r="E6055">
        <v>7.7000000000000008E-6</v>
      </c>
    </row>
    <row r="6056" spans="1:5">
      <c r="A6056">
        <v>2023</v>
      </c>
      <c r="B6056" s="3" t="s">
        <v>691</v>
      </c>
      <c r="C6056" t="s">
        <v>1751</v>
      </c>
      <c r="D6056" s="9">
        <v>1666837</v>
      </c>
      <c r="E6056">
        <v>1.0712E-3</v>
      </c>
    </row>
    <row r="6057" spans="1:5">
      <c r="A6057">
        <v>2023</v>
      </c>
      <c r="B6057" s="3" t="s">
        <v>440</v>
      </c>
      <c r="C6057" t="s">
        <v>1752</v>
      </c>
      <c r="D6057" s="9">
        <v>174448</v>
      </c>
      <c r="E6057">
        <v>1.121E-4</v>
      </c>
    </row>
    <row r="6058" spans="1:5">
      <c r="A6058">
        <v>2023</v>
      </c>
      <c r="B6058" s="3" t="s">
        <v>1464</v>
      </c>
      <c r="C6058" t="s">
        <v>1753</v>
      </c>
      <c r="D6058" s="9">
        <v>485389</v>
      </c>
      <c r="E6058">
        <v>3.1189999999999999E-4</v>
      </c>
    </row>
    <row r="6059" spans="1:5">
      <c r="A6059">
        <v>2023</v>
      </c>
      <c r="B6059" s="3" t="s">
        <v>684</v>
      </c>
      <c r="C6059" t="s">
        <v>1754</v>
      </c>
      <c r="D6059" s="9">
        <v>532838</v>
      </c>
      <c r="E6059">
        <v>3.4239999999999997E-4</v>
      </c>
    </row>
    <row r="6060" spans="1:5">
      <c r="A6060">
        <v>2023</v>
      </c>
      <c r="B6060" s="3" t="s">
        <v>692</v>
      </c>
      <c r="C6060" t="s">
        <v>637</v>
      </c>
      <c r="D6060" s="9">
        <v>279784</v>
      </c>
      <c r="E6060">
        <v>1.7980000000000001E-4</v>
      </c>
    </row>
    <row r="6061" spans="1:5">
      <c r="A6061">
        <v>2023</v>
      </c>
      <c r="B6061" s="3" t="s">
        <v>1356</v>
      </c>
      <c r="C6061" t="s">
        <v>1755</v>
      </c>
      <c r="D6061" s="9">
        <v>268630</v>
      </c>
      <c r="E6061">
        <v>1.7259999999999999E-4</v>
      </c>
    </row>
    <row r="6062" spans="1:5">
      <c r="A6062">
        <v>2023</v>
      </c>
      <c r="B6062" s="3" t="s">
        <v>693</v>
      </c>
      <c r="C6062" t="s">
        <v>2442</v>
      </c>
      <c r="D6062" s="9">
        <v>147943</v>
      </c>
      <c r="E6062">
        <v>9.5099999999999994E-5</v>
      </c>
    </row>
    <row r="6063" spans="1:5">
      <c r="A6063">
        <v>2023</v>
      </c>
      <c r="B6063" s="3" t="s">
        <v>694</v>
      </c>
      <c r="C6063" t="s">
        <v>1757</v>
      </c>
      <c r="D6063" s="9">
        <v>3606406</v>
      </c>
      <c r="E6063">
        <v>2.3176999999999998E-3</v>
      </c>
    </row>
    <row r="6064" spans="1:5">
      <c r="A6064">
        <v>2023</v>
      </c>
      <c r="B6064" s="3" t="s">
        <v>695</v>
      </c>
      <c r="C6064" t="s">
        <v>1758</v>
      </c>
      <c r="D6064" s="9">
        <v>139821</v>
      </c>
      <c r="E6064">
        <v>8.9900000000000003E-5</v>
      </c>
    </row>
    <row r="6065" spans="1:5">
      <c r="A6065">
        <v>2023</v>
      </c>
      <c r="B6065" s="3" t="s">
        <v>1781</v>
      </c>
      <c r="C6065" t="s">
        <v>1759</v>
      </c>
      <c r="D6065" s="9">
        <v>206335</v>
      </c>
      <c r="E6065">
        <v>1.326E-4</v>
      </c>
    </row>
    <row r="6066" spans="1:5">
      <c r="A6066">
        <v>2023</v>
      </c>
      <c r="B6066" s="3" t="s">
        <v>916</v>
      </c>
      <c r="C6066" t="s">
        <v>2443</v>
      </c>
      <c r="D6066" s="9">
        <v>62716</v>
      </c>
      <c r="E6066">
        <v>4.0299999999999997E-5</v>
      </c>
    </row>
    <row r="6067" spans="1:5">
      <c r="A6067">
        <v>2023</v>
      </c>
      <c r="B6067" s="3" t="s">
        <v>696</v>
      </c>
      <c r="C6067" t="s">
        <v>641</v>
      </c>
      <c r="D6067" s="9">
        <v>33177</v>
      </c>
      <c r="E6067">
        <v>2.1299999999999999E-5</v>
      </c>
    </row>
    <row r="6068" spans="1:5">
      <c r="A6068">
        <v>2023</v>
      </c>
      <c r="B6068" s="3" t="s">
        <v>697</v>
      </c>
      <c r="C6068" t="s">
        <v>1761</v>
      </c>
      <c r="D6068" s="9">
        <v>174555</v>
      </c>
      <c r="E6068">
        <v>1.122E-4</v>
      </c>
    </row>
    <row r="6069" spans="1:5">
      <c r="A6069">
        <v>2023</v>
      </c>
      <c r="B6069" s="3" t="s">
        <v>698</v>
      </c>
      <c r="C6069" t="s">
        <v>1762</v>
      </c>
      <c r="D6069" s="9">
        <v>4644457</v>
      </c>
      <c r="E6069">
        <v>2.9849E-3</v>
      </c>
    </row>
    <row r="6070" spans="1:5">
      <c r="A6070">
        <v>2023</v>
      </c>
      <c r="B6070" s="3" t="s">
        <v>699</v>
      </c>
      <c r="C6070" t="s">
        <v>1763</v>
      </c>
      <c r="D6070" s="9">
        <v>2921642</v>
      </c>
      <c r="E6070">
        <v>1.8776999999999999E-3</v>
      </c>
    </row>
    <row r="6071" spans="1:5">
      <c r="A6071">
        <v>2023</v>
      </c>
      <c r="B6071" s="3" t="s">
        <v>700</v>
      </c>
      <c r="C6071" t="s">
        <v>2374</v>
      </c>
      <c r="D6071" s="9">
        <v>17235</v>
      </c>
      <c r="E6071">
        <v>1.11E-5</v>
      </c>
    </row>
    <row r="6072" spans="1:5">
      <c r="A6072">
        <v>2023</v>
      </c>
      <c r="B6072" s="3" t="s">
        <v>701</v>
      </c>
      <c r="C6072" t="s">
        <v>2405</v>
      </c>
      <c r="D6072" s="9">
        <v>390573</v>
      </c>
      <c r="E6072">
        <v>2.5099999999999998E-4</v>
      </c>
    </row>
    <row r="6073" spans="1:5">
      <c r="A6073">
        <v>2023</v>
      </c>
      <c r="B6073" s="3" t="s">
        <v>702</v>
      </c>
      <c r="C6073" t="s">
        <v>1766</v>
      </c>
      <c r="D6073" s="9">
        <v>437920</v>
      </c>
      <c r="E6073">
        <v>2.8140000000000001E-4</v>
      </c>
    </row>
    <row r="6074" spans="1:5">
      <c r="A6074">
        <v>2023</v>
      </c>
      <c r="B6074" s="3" t="s">
        <v>2454</v>
      </c>
      <c r="C6074" t="s">
        <v>2461</v>
      </c>
      <c r="D6074" s="9">
        <v>59388</v>
      </c>
      <c r="E6074">
        <v>3.82E-5</v>
      </c>
    </row>
    <row r="6075" spans="1:5">
      <c r="A6075">
        <v>2023</v>
      </c>
      <c r="B6075" s="3" t="s">
        <v>703</v>
      </c>
      <c r="C6075" t="s">
        <v>1767</v>
      </c>
      <c r="D6075" s="9">
        <v>2323591</v>
      </c>
      <c r="E6075">
        <v>1.4932999999999999E-3</v>
      </c>
    </row>
    <row r="6076" spans="1:5">
      <c r="A6076">
        <v>2023</v>
      </c>
      <c r="B6076" s="3" t="s">
        <v>1233</v>
      </c>
      <c r="C6076" t="s">
        <v>1768</v>
      </c>
      <c r="D6076" s="9">
        <v>74163</v>
      </c>
      <c r="E6076">
        <v>4.7700000000000001E-5</v>
      </c>
    </row>
    <row r="6077" spans="1:5">
      <c r="A6077">
        <v>2023</v>
      </c>
      <c r="B6077" s="3" t="s">
        <v>704</v>
      </c>
      <c r="C6077" t="s">
        <v>1769</v>
      </c>
      <c r="D6077" s="9">
        <v>153893</v>
      </c>
      <c r="E6077">
        <v>9.8900000000000005E-5</v>
      </c>
    </row>
    <row r="6078" spans="1:5">
      <c r="A6078">
        <v>2023</v>
      </c>
      <c r="B6078" s="3" t="s">
        <v>705</v>
      </c>
      <c r="C6078" t="s">
        <v>1770</v>
      </c>
      <c r="D6078" s="9">
        <v>727075</v>
      </c>
      <c r="E6078">
        <v>4.6729999999999997E-4</v>
      </c>
    </row>
    <row r="6079" spans="1:5">
      <c r="A6079">
        <v>2023</v>
      </c>
      <c r="B6079" s="3" t="s">
        <v>706</v>
      </c>
      <c r="C6079" t="s">
        <v>1771</v>
      </c>
      <c r="D6079" s="9">
        <v>4227777</v>
      </c>
      <c r="E6079">
        <v>2.7171000000000001E-3</v>
      </c>
    </row>
    <row r="6080" spans="1:5">
      <c r="A6080">
        <v>2023</v>
      </c>
      <c r="B6080" s="3" t="s">
        <v>441</v>
      </c>
      <c r="C6080" t="s">
        <v>1772</v>
      </c>
      <c r="D6080" s="9">
        <v>1701165</v>
      </c>
      <c r="E6080">
        <v>1.0933E-3</v>
      </c>
    </row>
    <row r="6081" spans="1:5">
      <c r="A6081">
        <v>2023</v>
      </c>
      <c r="B6081" s="3" t="s">
        <v>707</v>
      </c>
      <c r="C6081" t="s">
        <v>1773</v>
      </c>
      <c r="D6081" s="9">
        <v>93184</v>
      </c>
      <c r="E6081">
        <v>5.9899999999999999E-5</v>
      </c>
    </row>
    <row r="6082" spans="1:5">
      <c r="A6082">
        <v>2023</v>
      </c>
      <c r="B6082" s="3" t="s">
        <v>708</v>
      </c>
      <c r="C6082" t="s">
        <v>1774</v>
      </c>
      <c r="D6082" s="9">
        <v>11186506</v>
      </c>
      <c r="E6082">
        <v>7.1891999999999998E-3</v>
      </c>
    </row>
    <row r="6083" spans="1:5">
      <c r="A6083">
        <v>2023</v>
      </c>
      <c r="B6083" s="3" t="s">
        <v>709</v>
      </c>
      <c r="C6083" t="s">
        <v>654</v>
      </c>
      <c r="D6083" s="9">
        <v>991688</v>
      </c>
      <c r="E6083">
        <v>6.3730000000000004E-4</v>
      </c>
    </row>
    <row r="6084" spans="1:5">
      <c r="A6084">
        <v>2023</v>
      </c>
      <c r="B6084" s="3" t="s">
        <v>710</v>
      </c>
      <c r="C6084" t="s">
        <v>1775</v>
      </c>
      <c r="D6084" s="9">
        <v>3152959</v>
      </c>
      <c r="E6084">
        <v>2.0263E-3</v>
      </c>
    </row>
    <row r="6085" spans="1:5">
      <c r="A6085">
        <v>2023</v>
      </c>
      <c r="B6085" s="3" t="s">
        <v>442</v>
      </c>
      <c r="C6085" t="s">
        <v>1776</v>
      </c>
      <c r="D6085" s="9">
        <v>2420285</v>
      </c>
      <c r="E6085">
        <v>1.5554E-3</v>
      </c>
    </row>
    <row r="6086" spans="1:5">
      <c r="A6086">
        <v>2023</v>
      </c>
      <c r="B6086" s="3" t="s">
        <v>712</v>
      </c>
      <c r="C6086" t="s">
        <v>1778</v>
      </c>
      <c r="D6086" s="9">
        <v>5634444</v>
      </c>
      <c r="E6086">
        <v>3.6210999999999999E-3</v>
      </c>
    </row>
    <row r="6087" spans="1:5">
      <c r="A6087">
        <v>2023</v>
      </c>
      <c r="B6087" s="3" t="s">
        <v>713</v>
      </c>
      <c r="C6087" t="s">
        <v>1779</v>
      </c>
      <c r="D6087" s="9">
        <v>182993</v>
      </c>
      <c r="E6087">
        <v>1.176E-4</v>
      </c>
    </row>
    <row r="6088" spans="1:5">
      <c r="A6088">
        <v>2023</v>
      </c>
      <c r="B6088" s="3" t="s">
        <v>714</v>
      </c>
      <c r="C6088" t="s">
        <v>1780</v>
      </c>
      <c r="D6088" s="9">
        <v>2832309</v>
      </c>
      <c r="E6088">
        <v>1.8201999999999999E-3</v>
      </c>
    </row>
    <row r="6089" spans="1:5">
      <c r="A6089">
        <v>2023</v>
      </c>
      <c r="B6089" s="3" t="s">
        <v>770</v>
      </c>
      <c r="C6089" t="s">
        <v>715</v>
      </c>
      <c r="D6089" s="9">
        <v>52112</v>
      </c>
      <c r="E6089">
        <v>3.3500000000000001E-5</v>
      </c>
    </row>
    <row r="6090" spans="1:5">
      <c r="A6090">
        <v>2023</v>
      </c>
      <c r="B6090" s="3" t="s">
        <v>771</v>
      </c>
      <c r="C6090" t="s">
        <v>1782</v>
      </c>
      <c r="D6090" s="9"/>
    </row>
    <row r="6091" spans="1:5">
      <c r="A6091">
        <v>2023</v>
      </c>
      <c r="B6091" s="3" t="s">
        <v>773</v>
      </c>
      <c r="C6091" t="s">
        <v>1784</v>
      </c>
      <c r="D6091" s="9">
        <v>7864518</v>
      </c>
      <c r="E6091">
        <v>5.0543000000000003E-3</v>
      </c>
    </row>
    <row r="6092" spans="1:5">
      <c r="A6092">
        <v>2023</v>
      </c>
      <c r="B6092" s="3" t="s">
        <v>443</v>
      </c>
      <c r="C6092" t="s">
        <v>1785</v>
      </c>
      <c r="D6092" s="9">
        <v>364303</v>
      </c>
      <c r="E6092">
        <v>2.341E-4</v>
      </c>
    </row>
    <row r="6093" spans="1:5">
      <c r="A6093">
        <v>2023</v>
      </c>
      <c r="B6093" s="3" t="s">
        <v>774</v>
      </c>
      <c r="C6093" t="s">
        <v>1786</v>
      </c>
      <c r="D6093" s="9">
        <v>287790</v>
      </c>
      <c r="E6093">
        <v>1.85E-4</v>
      </c>
    </row>
    <row r="6094" spans="1:5">
      <c r="A6094">
        <v>2023</v>
      </c>
      <c r="B6094" s="3" t="s">
        <v>775</v>
      </c>
      <c r="C6094" t="s">
        <v>1787</v>
      </c>
      <c r="D6094" s="9">
        <v>3799249</v>
      </c>
      <c r="E6094">
        <v>2.4417000000000002E-3</v>
      </c>
    </row>
    <row r="6095" spans="1:5">
      <c r="A6095">
        <v>2023</v>
      </c>
      <c r="B6095" s="3" t="s">
        <v>776</v>
      </c>
      <c r="C6095" t="s">
        <v>721</v>
      </c>
      <c r="D6095" s="9"/>
    </row>
    <row r="6096" spans="1:5">
      <c r="A6096">
        <v>2023</v>
      </c>
      <c r="B6096" s="3" t="s">
        <v>778</v>
      </c>
      <c r="C6096" t="s">
        <v>1788</v>
      </c>
      <c r="D6096" s="9">
        <v>4135161</v>
      </c>
      <c r="E6096">
        <v>2.6575000000000001E-3</v>
      </c>
    </row>
    <row r="6097" spans="1:5">
      <c r="A6097">
        <v>2023</v>
      </c>
      <c r="B6097" s="3" t="s">
        <v>779</v>
      </c>
      <c r="C6097" t="s">
        <v>1789</v>
      </c>
      <c r="D6097" s="9">
        <v>196601</v>
      </c>
      <c r="E6097">
        <v>1.2630000000000001E-4</v>
      </c>
    </row>
    <row r="6098" spans="1:5">
      <c r="A6098">
        <v>2023</v>
      </c>
      <c r="B6098" s="3" t="s">
        <v>780</v>
      </c>
      <c r="C6098" t="s">
        <v>1790</v>
      </c>
      <c r="D6098" s="9">
        <v>406263</v>
      </c>
      <c r="E6098">
        <v>2.611E-4</v>
      </c>
    </row>
    <row r="6099" spans="1:5">
      <c r="A6099">
        <v>2023</v>
      </c>
      <c r="B6099" s="3" t="s">
        <v>781</v>
      </c>
      <c r="C6099" t="s">
        <v>1791</v>
      </c>
      <c r="D6099" s="9">
        <v>34237</v>
      </c>
      <c r="E6099">
        <v>2.1999999999999999E-5</v>
      </c>
    </row>
    <row r="6100" spans="1:5">
      <c r="A6100">
        <v>2023</v>
      </c>
      <c r="B6100" s="3" t="s">
        <v>782</v>
      </c>
      <c r="C6100" t="s">
        <v>1792</v>
      </c>
      <c r="D6100" s="9">
        <v>10093293</v>
      </c>
      <c r="E6100">
        <v>6.4866999999999998E-3</v>
      </c>
    </row>
    <row r="6101" spans="1:5">
      <c r="A6101">
        <v>2023</v>
      </c>
      <c r="B6101" s="3" t="s">
        <v>1234</v>
      </c>
      <c r="C6101" t="s">
        <v>1793</v>
      </c>
      <c r="D6101" s="9">
        <v>2312757</v>
      </c>
      <c r="E6101">
        <v>1.4863000000000001E-3</v>
      </c>
    </row>
    <row r="6102" spans="1:5">
      <c r="A6102">
        <v>2023</v>
      </c>
      <c r="B6102" s="3" t="s">
        <v>783</v>
      </c>
      <c r="C6102" t="s">
        <v>1794</v>
      </c>
      <c r="D6102" s="9">
        <v>1409694</v>
      </c>
      <c r="E6102">
        <v>9.0600000000000001E-4</v>
      </c>
    </row>
    <row r="6103" spans="1:5">
      <c r="A6103">
        <v>2023</v>
      </c>
      <c r="B6103" s="3" t="s">
        <v>787</v>
      </c>
      <c r="C6103" t="s">
        <v>732</v>
      </c>
      <c r="D6103" s="9">
        <v>78066770</v>
      </c>
      <c r="E6103">
        <v>5.0171500000000001E-2</v>
      </c>
    </row>
    <row r="6104" spans="1:5">
      <c r="A6104">
        <v>2023</v>
      </c>
      <c r="B6104" s="3" t="s">
        <v>784</v>
      </c>
      <c r="C6104" t="s">
        <v>1795</v>
      </c>
      <c r="D6104" s="9">
        <v>48721245</v>
      </c>
      <c r="E6104">
        <v>3.1311699999999998E-2</v>
      </c>
    </row>
    <row r="6105" spans="1:5">
      <c r="A6105">
        <v>2023</v>
      </c>
      <c r="B6105" s="3" t="s">
        <v>785</v>
      </c>
      <c r="C6105" t="s">
        <v>1796</v>
      </c>
      <c r="D6105" s="9">
        <v>649736</v>
      </c>
      <c r="E6105">
        <v>4.1760000000000001E-4</v>
      </c>
    </row>
    <row r="6106" spans="1:5">
      <c r="A6106">
        <v>2023</v>
      </c>
      <c r="B6106" s="3" t="s">
        <v>788</v>
      </c>
      <c r="C6106" t="s">
        <v>1797</v>
      </c>
      <c r="D6106" s="9">
        <v>206992</v>
      </c>
      <c r="E6106">
        <v>1.3300000000000001E-4</v>
      </c>
    </row>
    <row r="6107" spans="1:5">
      <c r="A6107">
        <v>2023</v>
      </c>
      <c r="B6107" s="3" t="s">
        <v>789</v>
      </c>
      <c r="C6107" t="s">
        <v>1799</v>
      </c>
      <c r="D6107" s="9">
        <v>5686077</v>
      </c>
      <c r="E6107">
        <v>3.6543000000000001E-3</v>
      </c>
    </row>
    <row r="6108" spans="1:5">
      <c r="A6108">
        <v>2023</v>
      </c>
      <c r="B6108" s="3" t="s">
        <v>444</v>
      </c>
      <c r="C6108" t="s">
        <v>1800</v>
      </c>
      <c r="D6108" s="9">
        <v>1612699</v>
      </c>
      <c r="E6108">
        <v>1.0364E-3</v>
      </c>
    </row>
    <row r="6109" spans="1:5">
      <c r="A6109">
        <v>2023</v>
      </c>
      <c r="B6109" s="3" t="s">
        <v>790</v>
      </c>
      <c r="C6109" t="s">
        <v>1801</v>
      </c>
      <c r="D6109" s="9"/>
    </row>
    <row r="6110" spans="1:5">
      <c r="A6110">
        <v>2023</v>
      </c>
      <c r="B6110" s="3" t="s">
        <v>777</v>
      </c>
      <c r="C6110" t="s">
        <v>1802</v>
      </c>
      <c r="D6110" s="9">
        <v>181409</v>
      </c>
      <c r="E6110">
        <v>1.166E-4</v>
      </c>
    </row>
    <row r="6111" spans="1:5">
      <c r="A6111">
        <v>2023</v>
      </c>
      <c r="B6111" s="3" t="s">
        <v>791</v>
      </c>
      <c r="C6111" t="s">
        <v>736</v>
      </c>
      <c r="D6111" s="9">
        <v>376467</v>
      </c>
      <c r="E6111">
        <v>2.419E-4</v>
      </c>
    </row>
    <row r="6112" spans="1:5">
      <c r="A6112">
        <v>2023</v>
      </c>
      <c r="B6112" s="3" t="s">
        <v>792</v>
      </c>
      <c r="C6112" t="s">
        <v>1803</v>
      </c>
      <c r="D6112" s="9">
        <v>482954</v>
      </c>
      <c r="E6112">
        <v>3.1040000000000001E-4</v>
      </c>
    </row>
    <row r="6113" spans="1:5">
      <c r="A6113">
        <v>2023</v>
      </c>
      <c r="B6113" s="3" t="s">
        <v>793</v>
      </c>
      <c r="C6113" t="s">
        <v>1804</v>
      </c>
      <c r="D6113" s="9">
        <v>177186</v>
      </c>
      <c r="E6113">
        <v>1.139E-4</v>
      </c>
    </row>
    <row r="6114" spans="1:5">
      <c r="A6114">
        <v>2023</v>
      </c>
      <c r="B6114" s="3" t="s">
        <v>794</v>
      </c>
      <c r="C6114" t="s">
        <v>1805</v>
      </c>
      <c r="D6114" s="9">
        <v>48845</v>
      </c>
      <c r="E6114">
        <v>3.1399999999999998E-5</v>
      </c>
    </row>
    <row r="6115" spans="1:5">
      <c r="A6115">
        <v>2023</v>
      </c>
      <c r="B6115" s="3" t="s">
        <v>795</v>
      </c>
      <c r="C6115" t="s">
        <v>1806</v>
      </c>
      <c r="D6115" s="9">
        <v>53704555</v>
      </c>
      <c r="E6115">
        <v>3.4514299999999998E-2</v>
      </c>
    </row>
    <row r="6116" spans="1:5">
      <c r="A6116">
        <v>2023</v>
      </c>
      <c r="B6116" s="3" t="s">
        <v>445</v>
      </c>
      <c r="C6116" t="s">
        <v>1807</v>
      </c>
      <c r="D6116" s="9">
        <v>25127621</v>
      </c>
      <c r="E6116">
        <v>1.6148800000000001E-2</v>
      </c>
    </row>
    <row r="6117" spans="1:5">
      <c r="A6117">
        <v>2023</v>
      </c>
      <c r="B6117" s="3" t="s">
        <v>796</v>
      </c>
      <c r="C6117" t="s">
        <v>741</v>
      </c>
      <c r="D6117" s="9">
        <v>165818</v>
      </c>
      <c r="E6117">
        <v>1.066E-4</v>
      </c>
    </row>
    <row r="6118" spans="1:5">
      <c r="A6118">
        <v>2023</v>
      </c>
      <c r="B6118" s="3" t="s">
        <v>797</v>
      </c>
      <c r="C6118" t="s">
        <v>1808</v>
      </c>
      <c r="D6118" s="9">
        <v>514970</v>
      </c>
      <c r="E6118">
        <v>3.3100000000000002E-4</v>
      </c>
    </row>
    <row r="6119" spans="1:5">
      <c r="A6119">
        <v>2023</v>
      </c>
      <c r="B6119" s="3" t="s">
        <v>798</v>
      </c>
      <c r="C6119" t="s">
        <v>743</v>
      </c>
      <c r="D6119" s="9">
        <v>117773</v>
      </c>
      <c r="E6119">
        <v>7.5699999999999997E-5</v>
      </c>
    </row>
    <row r="6120" spans="1:5">
      <c r="A6120">
        <v>2023</v>
      </c>
      <c r="B6120" s="3" t="s">
        <v>799</v>
      </c>
      <c r="C6120" t="s">
        <v>1809</v>
      </c>
      <c r="D6120" s="9">
        <v>590718</v>
      </c>
      <c r="E6120">
        <v>3.7960000000000001E-4</v>
      </c>
    </row>
    <row r="6121" spans="1:5">
      <c r="A6121">
        <v>2023</v>
      </c>
      <c r="B6121" s="3" t="s">
        <v>1235</v>
      </c>
      <c r="C6121" t="s">
        <v>1810</v>
      </c>
      <c r="D6121" s="9">
        <v>118481</v>
      </c>
      <c r="E6121">
        <v>7.6100000000000007E-5</v>
      </c>
    </row>
    <row r="6122" spans="1:5">
      <c r="A6122">
        <v>2023</v>
      </c>
      <c r="B6122" s="3" t="s">
        <v>800</v>
      </c>
      <c r="C6122" t="s">
        <v>745</v>
      </c>
      <c r="D6122" s="9">
        <v>120425</v>
      </c>
      <c r="E6122">
        <v>7.7399999999999998E-5</v>
      </c>
    </row>
    <row r="6123" spans="1:5">
      <c r="A6123">
        <v>2023</v>
      </c>
      <c r="B6123" s="3" t="s">
        <v>801</v>
      </c>
      <c r="C6123" t="s">
        <v>1811</v>
      </c>
      <c r="D6123" s="9">
        <v>957946</v>
      </c>
      <c r="E6123">
        <v>6.156E-4</v>
      </c>
    </row>
    <row r="6124" spans="1:5">
      <c r="A6124">
        <v>2023</v>
      </c>
      <c r="B6124" s="3" t="s">
        <v>802</v>
      </c>
      <c r="C6124" t="s">
        <v>1812</v>
      </c>
      <c r="D6124" s="9">
        <v>45457</v>
      </c>
      <c r="E6124">
        <v>2.9200000000000002E-5</v>
      </c>
    </row>
    <row r="6125" spans="1:5">
      <c r="A6125">
        <v>2023</v>
      </c>
      <c r="B6125" s="3" t="s">
        <v>803</v>
      </c>
      <c r="C6125" t="s">
        <v>748</v>
      </c>
      <c r="D6125" s="9">
        <v>319141</v>
      </c>
      <c r="E6125">
        <v>2.051E-4</v>
      </c>
    </row>
    <row r="6126" spans="1:5">
      <c r="A6126">
        <v>2023</v>
      </c>
      <c r="B6126" s="3" t="s">
        <v>804</v>
      </c>
      <c r="C6126" t="s">
        <v>749</v>
      </c>
      <c r="D6126" s="9">
        <v>419539</v>
      </c>
      <c r="E6126">
        <v>2.6959999999999999E-4</v>
      </c>
    </row>
    <row r="6127" spans="1:5">
      <c r="A6127">
        <v>2023</v>
      </c>
      <c r="B6127" s="3" t="s">
        <v>805</v>
      </c>
      <c r="C6127" t="s">
        <v>750</v>
      </c>
      <c r="D6127" s="9">
        <v>2173915</v>
      </c>
      <c r="E6127">
        <v>1.3971000000000001E-3</v>
      </c>
    </row>
    <row r="6128" spans="1:5">
      <c r="A6128">
        <v>2023</v>
      </c>
      <c r="B6128" s="3" t="s">
        <v>806</v>
      </c>
      <c r="C6128" t="s">
        <v>751</v>
      </c>
      <c r="D6128" s="9">
        <v>6054463</v>
      </c>
      <c r="E6128">
        <v>3.8909999999999999E-3</v>
      </c>
    </row>
    <row r="6129" spans="1:5">
      <c r="A6129">
        <v>2023</v>
      </c>
      <c r="B6129" s="3" t="s">
        <v>807</v>
      </c>
      <c r="C6129" t="s">
        <v>752</v>
      </c>
      <c r="D6129" s="9">
        <v>106606</v>
      </c>
      <c r="E6129">
        <v>6.8499999999999998E-5</v>
      </c>
    </row>
    <row r="6130" spans="1:5">
      <c r="A6130">
        <v>2023</v>
      </c>
      <c r="B6130" s="3" t="s">
        <v>2431</v>
      </c>
      <c r="C6130" t="s">
        <v>2430</v>
      </c>
      <c r="D6130" s="9">
        <v>204963</v>
      </c>
      <c r="E6130">
        <v>1.317E-4</v>
      </c>
    </row>
    <row r="6131" spans="1:5">
      <c r="A6131">
        <v>2023</v>
      </c>
      <c r="B6131" s="3" t="s">
        <v>808</v>
      </c>
      <c r="C6131" t="s">
        <v>2430</v>
      </c>
      <c r="D6131" s="9"/>
    </row>
    <row r="6132" spans="1:5">
      <c r="A6132">
        <v>2023</v>
      </c>
      <c r="B6132" s="3" t="s">
        <v>809</v>
      </c>
      <c r="C6132" t="s">
        <v>1814</v>
      </c>
      <c r="D6132" s="9">
        <v>777088</v>
      </c>
      <c r="E6132">
        <v>4.994E-4</v>
      </c>
    </row>
    <row r="6133" spans="1:5">
      <c r="A6133">
        <v>2023</v>
      </c>
      <c r="B6133" s="3" t="s">
        <v>1470</v>
      </c>
      <c r="C6133" t="s">
        <v>1815</v>
      </c>
      <c r="D6133" s="9">
        <v>19836</v>
      </c>
      <c r="E6133">
        <v>1.27E-5</v>
      </c>
    </row>
    <row r="6134" spans="1:5">
      <c r="A6134">
        <v>2023</v>
      </c>
      <c r="B6134" s="3" t="s">
        <v>810</v>
      </c>
      <c r="C6134" t="s">
        <v>1816</v>
      </c>
      <c r="D6134" s="9">
        <v>157907</v>
      </c>
      <c r="E6134">
        <v>1.015E-4</v>
      </c>
    </row>
    <row r="6135" spans="1:5">
      <c r="A6135">
        <v>2023</v>
      </c>
      <c r="B6135" s="3" t="s">
        <v>812</v>
      </c>
      <c r="C6135" t="s">
        <v>1818</v>
      </c>
      <c r="D6135" s="9">
        <v>1207280</v>
      </c>
      <c r="E6135">
        <v>7.7590000000000005E-4</v>
      </c>
    </row>
    <row r="6136" spans="1:5">
      <c r="A6136">
        <v>2023</v>
      </c>
      <c r="B6136" s="3" t="s">
        <v>813</v>
      </c>
      <c r="C6136" t="s">
        <v>1819</v>
      </c>
      <c r="D6136" s="9">
        <v>138936</v>
      </c>
      <c r="E6136">
        <v>8.9300000000000002E-5</v>
      </c>
    </row>
    <row r="6137" spans="1:5">
      <c r="A6137">
        <v>2023</v>
      </c>
      <c r="B6137" s="3" t="s">
        <v>818</v>
      </c>
      <c r="C6137" t="s">
        <v>2445</v>
      </c>
      <c r="D6137" s="9">
        <v>12821</v>
      </c>
      <c r="E6137">
        <v>8.1999999999999994E-6</v>
      </c>
    </row>
    <row r="6138" spans="1:5">
      <c r="A6138">
        <v>2023</v>
      </c>
      <c r="B6138" s="3" t="s">
        <v>814</v>
      </c>
      <c r="C6138" t="s">
        <v>1820</v>
      </c>
      <c r="D6138" s="9">
        <v>74560</v>
      </c>
      <c r="E6138">
        <v>4.7899999999999999E-5</v>
      </c>
    </row>
    <row r="6139" spans="1:5">
      <c r="A6139">
        <v>2023</v>
      </c>
      <c r="B6139" s="3" t="s">
        <v>815</v>
      </c>
      <c r="C6139" t="s">
        <v>760</v>
      </c>
      <c r="D6139" s="9">
        <v>66559</v>
      </c>
      <c r="E6139">
        <v>4.2799999999999997E-5</v>
      </c>
    </row>
    <row r="6140" spans="1:5">
      <c r="A6140">
        <v>2023</v>
      </c>
      <c r="B6140" s="3" t="s">
        <v>816</v>
      </c>
      <c r="C6140" t="s">
        <v>761</v>
      </c>
      <c r="D6140" s="9">
        <v>49814</v>
      </c>
      <c r="E6140">
        <v>3.1999999999999999E-5</v>
      </c>
    </row>
    <row r="6141" spans="1:5">
      <c r="A6141">
        <v>2023</v>
      </c>
      <c r="B6141" s="3" t="s">
        <v>817</v>
      </c>
      <c r="C6141" t="s">
        <v>762</v>
      </c>
      <c r="D6141" s="9">
        <v>134973</v>
      </c>
      <c r="E6141">
        <v>8.6700000000000007E-5</v>
      </c>
    </row>
    <row r="6142" spans="1:5">
      <c r="A6142">
        <v>2023</v>
      </c>
      <c r="B6142" s="3" t="s">
        <v>820</v>
      </c>
      <c r="C6142" t="s">
        <v>1822</v>
      </c>
      <c r="D6142" s="9">
        <v>841534</v>
      </c>
      <c r="E6142">
        <v>5.4080000000000003E-4</v>
      </c>
    </row>
    <row r="6143" spans="1:5">
      <c r="A6143">
        <v>2023</v>
      </c>
      <c r="B6143" s="3" t="s">
        <v>822</v>
      </c>
      <c r="C6143" t="s">
        <v>2406</v>
      </c>
      <c r="D6143" s="9">
        <v>175205</v>
      </c>
      <c r="E6143">
        <v>1.126E-4</v>
      </c>
    </row>
    <row r="6144" spans="1:5">
      <c r="A6144">
        <v>2023</v>
      </c>
      <c r="B6144" s="3" t="s">
        <v>880</v>
      </c>
      <c r="C6144" t="s">
        <v>2407</v>
      </c>
      <c r="D6144" s="9">
        <v>1081574</v>
      </c>
      <c r="E6144">
        <v>6.9510000000000004E-4</v>
      </c>
    </row>
    <row r="6145" spans="1:5">
      <c r="A6145">
        <v>2023</v>
      </c>
      <c r="B6145" s="3" t="s">
        <v>884</v>
      </c>
      <c r="C6145" t="s">
        <v>829</v>
      </c>
      <c r="D6145" s="9">
        <v>2693458</v>
      </c>
      <c r="E6145">
        <v>1.7309999999999999E-3</v>
      </c>
    </row>
    <row r="6146" spans="1:5">
      <c r="A6146">
        <v>2023</v>
      </c>
      <c r="B6146" s="3" t="s">
        <v>881</v>
      </c>
      <c r="C6146" t="s">
        <v>1825</v>
      </c>
      <c r="D6146" s="9">
        <v>31418</v>
      </c>
      <c r="E6146">
        <v>2.02E-5</v>
      </c>
    </row>
    <row r="6147" spans="1:5">
      <c r="A6147">
        <v>2023</v>
      </c>
      <c r="B6147" s="3" t="s">
        <v>885</v>
      </c>
      <c r="C6147" t="s">
        <v>1828</v>
      </c>
      <c r="D6147" s="9">
        <v>128234</v>
      </c>
      <c r="E6147">
        <v>8.2399999999999997E-5</v>
      </c>
    </row>
    <row r="6148" spans="1:5">
      <c r="A6148">
        <v>2023</v>
      </c>
      <c r="B6148" s="3" t="s">
        <v>886</v>
      </c>
      <c r="C6148" t="s">
        <v>1829</v>
      </c>
      <c r="D6148" s="9">
        <v>47979</v>
      </c>
      <c r="E6148">
        <v>3.0800000000000003E-5</v>
      </c>
    </row>
    <row r="6149" spans="1:5">
      <c r="A6149">
        <v>2023</v>
      </c>
      <c r="B6149" s="3" t="s">
        <v>887</v>
      </c>
      <c r="C6149" t="s">
        <v>1830</v>
      </c>
      <c r="D6149" s="9">
        <v>88531</v>
      </c>
      <c r="E6149">
        <v>5.6900000000000001E-5</v>
      </c>
    </row>
    <row r="6150" spans="1:5">
      <c r="A6150">
        <v>2023</v>
      </c>
      <c r="B6150" s="3" t="s">
        <v>888</v>
      </c>
      <c r="C6150" t="s">
        <v>1831</v>
      </c>
      <c r="D6150" s="9">
        <v>29434</v>
      </c>
      <c r="E6150">
        <v>1.8899999999999999E-5</v>
      </c>
    </row>
    <row r="6151" spans="1:5">
      <c r="A6151">
        <v>2023</v>
      </c>
      <c r="B6151" s="3" t="s">
        <v>890</v>
      </c>
      <c r="C6151" t="s">
        <v>1832</v>
      </c>
      <c r="D6151" s="9">
        <v>3239638</v>
      </c>
      <c r="E6151">
        <v>2.0820000000000001E-3</v>
      </c>
    </row>
    <row r="6152" spans="1:5">
      <c r="A6152">
        <v>2023</v>
      </c>
      <c r="B6152" s="3" t="s">
        <v>446</v>
      </c>
      <c r="C6152" t="s">
        <v>1833</v>
      </c>
      <c r="D6152" s="9">
        <v>901364</v>
      </c>
      <c r="E6152">
        <v>5.7930000000000004E-4</v>
      </c>
    </row>
    <row r="6153" spans="1:5">
      <c r="A6153">
        <v>2023</v>
      </c>
      <c r="B6153" s="3" t="s">
        <v>821</v>
      </c>
      <c r="C6153" t="s">
        <v>1834</v>
      </c>
      <c r="D6153" s="9">
        <v>197645</v>
      </c>
      <c r="E6153">
        <v>1.27E-4</v>
      </c>
    </row>
    <row r="6154" spans="1:5">
      <c r="A6154">
        <v>2023</v>
      </c>
      <c r="B6154" s="3" t="s">
        <v>891</v>
      </c>
      <c r="C6154" t="s">
        <v>1835</v>
      </c>
      <c r="D6154" s="9">
        <v>78836</v>
      </c>
      <c r="E6154">
        <v>5.0699999999999999E-5</v>
      </c>
    </row>
    <row r="6155" spans="1:5">
      <c r="A6155">
        <v>2023</v>
      </c>
      <c r="B6155" s="3" t="s">
        <v>892</v>
      </c>
      <c r="C6155" t="s">
        <v>1836</v>
      </c>
      <c r="D6155" s="9">
        <v>65004</v>
      </c>
      <c r="E6155">
        <v>4.18E-5</v>
      </c>
    </row>
    <row r="6156" spans="1:5">
      <c r="A6156">
        <v>2023</v>
      </c>
      <c r="B6156" s="3" t="s">
        <v>896</v>
      </c>
      <c r="C6156" t="s">
        <v>1837</v>
      </c>
      <c r="D6156" s="9">
        <v>65217</v>
      </c>
      <c r="E6156">
        <v>4.1900000000000002E-5</v>
      </c>
    </row>
    <row r="6157" spans="1:5">
      <c r="A6157">
        <v>2023</v>
      </c>
      <c r="B6157" s="3" t="s">
        <v>824</v>
      </c>
      <c r="C6157" t="s">
        <v>1839</v>
      </c>
      <c r="D6157" s="9">
        <v>475677</v>
      </c>
      <c r="E6157">
        <v>3.057E-4</v>
      </c>
    </row>
    <row r="6158" spans="1:5">
      <c r="A6158">
        <v>2023</v>
      </c>
      <c r="B6158" s="3" t="s">
        <v>823</v>
      </c>
      <c r="C6158" t="s">
        <v>1840</v>
      </c>
      <c r="D6158" s="9">
        <v>1095916</v>
      </c>
      <c r="E6158">
        <v>7.0430000000000004E-4</v>
      </c>
    </row>
    <row r="6159" spans="1:5">
      <c r="A6159">
        <v>2023</v>
      </c>
      <c r="B6159" s="3" t="s">
        <v>893</v>
      </c>
      <c r="C6159" t="s">
        <v>2432</v>
      </c>
      <c r="D6159" s="9">
        <v>6406</v>
      </c>
      <c r="E6159">
        <v>4.0999999999999997E-6</v>
      </c>
    </row>
    <row r="6160" spans="1:5">
      <c r="A6160">
        <v>2023</v>
      </c>
      <c r="B6160" s="3" t="s">
        <v>897</v>
      </c>
      <c r="C6160" t="s">
        <v>1841</v>
      </c>
      <c r="D6160" s="9">
        <v>743611</v>
      </c>
      <c r="E6160">
        <v>4.7790000000000002E-4</v>
      </c>
    </row>
    <row r="6161" spans="1:5">
      <c r="A6161">
        <v>2023</v>
      </c>
      <c r="B6161" s="3" t="s">
        <v>894</v>
      </c>
      <c r="C6161" t="s">
        <v>839</v>
      </c>
      <c r="D6161" s="9">
        <v>16573196</v>
      </c>
      <c r="E6161">
        <v>1.06511E-2</v>
      </c>
    </row>
    <row r="6162" spans="1:5">
      <c r="A6162">
        <v>2023</v>
      </c>
      <c r="B6162" s="3" t="s">
        <v>895</v>
      </c>
      <c r="C6162" t="s">
        <v>1842</v>
      </c>
      <c r="D6162" s="9">
        <v>33741</v>
      </c>
      <c r="E6162">
        <v>2.1699999999999999E-5</v>
      </c>
    </row>
    <row r="6163" spans="1:5">
      <c r="A6163">
        <v>2023</v>
      </c>
      <c r="B6163" s="3" t="s">
        <v>898</v>
      </c>
      <c r="C6163" t="s">
        <v>843</v>
      </c>
      <c r="D6163" s="9">
        <v>1896486</v>
      </c>
      <c r="E6163">
        <v>1.2187999999999999E-3</v>
      </c>
    </row>
    <row r="6164" spans="1:5">
      <c r="A6164">
        <v>2023</v>
      </c>
      <c r="B6164" s="3" t="s">
        <v>899</v>
      </c>
      <c r="C6164" t="s">
        <v>844</v>
      </c>
      <c r="D6164" s="9">
        <v>469167</v>
      </c>
      <c r="E6164">
        <v>3.0150000000000001E-4</v>
      </c>
    </row>
    <row r="6165" spans="1:5">
      <c r="A6165">
        <v>2023</v>
      </c>
      <c r="B6165" s="3" t="s">
        <v>900</v>
      </c>
      <c r="C6165" t="s">
        <v>845</v>
      </c>
      <c r="D6165" s="9">
        <v>424331</v>
      </c>
      <c r="E6165">
        <v>2.7270000000000001E-4</v>
      </c>
    </row>
    <row r="6166" spans="1:5">
      <c r="A6166">
        <v>2023</v>
      </c>
      <c r="B6166" s="3" t="s">
        <v>901</v>
      </c>
      <c r="C6166" t="s">
        <v>846</v>
      </c>
      <c r="D6166" s="9">
        <v>175774</v>
      </c>
      <c r="E6166">
        <v>1.13E-4</v>
      </c>
    </row>
    <row r="6167" spans="1:5">
      <c r="A6167">
        <v>2023</v>
      </c>
      <c r="B6167" s="3" t="s">
        <v>902</v>
      </c>
      <c r="C6167" t="s">
        <v>1843</v>
      </c>
      <c r="D6167" s="9">
        <v>338723</v>
      </c>
      <c r="E6167">
        <v>2.1770000000000001E-4</v>
      </c>
    </row>
    <row r="6168" spans="1:5">
      <c r="A6168">
        <v>2023</v>
      </c>
      <c r="B6168" s="3" t="s">
        <v>1236</v>
      </c>
      <c r="C6168" t="s">
        <v>1844</v>
      </c>
      <c r="D6168" s="9">
        <v>1890060</v>
      </c>
      <c r="E6168">
        <v>1.2147E-3</v>
      </c>
    </row>
    <row r="6169" spans="1:5">
      <c r="A6169">
        <v>2023</v>
      </c>
      <c r="B6169" s="3" t="s">
        <v>903</v>
      </c>
      <c r="C6169" t="s">
        <v>1845</v>
      </c>
      <c r="D6169" s="9">
        <v>2397694</v>
      </c>
      <c r="E6169">
        <v>1.5409E-3</v>
      </c>
    </row>
    <row r="6170" spans="1:5">
      <c r="A6170">
        <v>2023</v>
      </c>
      <c r="B6170" s="3" t="s">
        <v>904</v>
      </c>
      <c r="C6170" t="s">
        <v>1846</v>
      </c>
      <c r="D6170" s="9">
        <v>30643</v>
      </c>
      <c r="E6170">
        <v>1.9700000000000001E-5</v>
      </c>
    </row>
    <row r="6171" spans="1:5">
      <c r="A6171">
        <v>2023</v>
      </c>
      <c r="B6171" s="3" t="s">
        <v>905</v>
      </c>
      <c r="C6171" t="s">
        <v>1847</v>
      </c>
      <c r="D6171" s="9">
        <v>57198</v>
      </c>
      <c r="E6171">
        <v>3.68E-5</v>
      </c>
    </row>
    <row r="6172" spans="1:5">
      <c r="A6172">
        <v>2023</v>
      </c>
      <c r="B6172" s="3" t="s">
        <v>906</v>
      </c>
      <c r="C6172" t="s">
        <v>1848</v>
      </c>
      <c r="D6172" s="9">
        <v>1637656</v>
      </c>
      <c r="E6172">
        <v>1.0525000000000001E-3</v>
      </c>
    </row>
    <row r="6173" spans="1:5">
      <c r="A6173">
        <v>2023</v>
      </c>
      <c r="B6173" s="3" t="s">
        <v>447</v>
      </c>
      <c r="C6173" t="s">
        <v>1849</v>
      </c>
      <c r="D6173" s="9">
        <v>939063</v>
      </c>
      <c r="E6173">
        <v>6.0349999999999998E-4</v>
      </c>
    </row>
    <row r="6174" spans="1:5">
      <c r="A6174">
        <v>2023</v>
      </c>
      <c r="B6174" s="3" t="s">
        <v>1034</v>
      </c>
      <c r="C6174" t="s">
        <v>1850</v>
      </c>
      <c r="D6174" s="9">
        <v>264819</v>
      </c>
      <c r="E6174">
        <v>1.7019999999999999E-4</v>
      </c>
    </row>
    <row r="6175" spans="1:5">
      <c r="A6175">
        <v>2023</v>
      </c>
      <c r="B6175" s="3" t="s">
        <v>908</v>
      </c>
      <c r="C6175" t="s">
        <v>1851</v>
      </c>
      <c r="D6175" s="9">
        <v>365065</v>
      </c>
      <c r="E6175">
        <v>2.3460000000000001E-4</v>
      </c>
    </row>
    <row r="6176" spans="1:5">
      <c r="A6176">
        <v>2023</v>
      </c>
      <c r="B6176" s="3" t="s">
        <v>909</v>
      </c>
      <c r="C6176" t="s">
        <v>1852</v>
      </c>
      <c r="D6176" s="9">
        <v>131684</v>
      </c>
      <c r="E6176">
        <v>8.4599999999999996E-5</v>
      </c>
    </row>
    <row r="6177" spans="1:5">
      <c r="A6177">
        <v>2023</v>
      </c>
      <c r="B6177" s="3" t="s">
        <v>910</v>
      </c>
      <c r="C6177" t="s">
        <v>1853</v>
      </c>
      <c r="D6177" s="9">
        <v>684734</v>
      </c>
      <c r="E6177">
        <v>4.4010000000000002E-4</v>
      </c>
    </row>
    <row r="6178" spans="1:5">
      <c r="A6178">
        <v>2023</v>
      </c>
      <c r="B6178" s="3" t="s">
        <v>912</v>
      </c>
      <c r="C6178" t="s">
        <v>1854</v>
      </c>
      <c r="D6178" s="9">
        <v>1546820</v>
      </c>
      <c r="E6178">
        <v>9.9409999999999993E-4</v>
      </c>
    </row>
    <row r="6179" spans="1:5">
      <c r="A6179">
        <v>2023</v>
      </c>
      <c r="B6179" s="3" t="s">
        <v>911</v>
      </c>
      <c r="C6179" t="s">
        <v>1855</v>
      </c>
      <c r="D6179" s="9">
        <v>23011988</v>
      </c>
      <c r="E6179">
        <v>1.4789099999999999E-2</v>
      </c>
    </row>
    <row r="6180" spans="1:5">
      <c r="A6180">
        <v>2023</v>
      </c>
      <c r="B6180" s="3" t="s">
        <v>1237</v>
      </c>
      <c r="C6180" t="s">
        <v>1856</v>
      </c>
      <c r="D6180" s="9">
        <v>742081</v>
      </c>
      <c r="E6180">
        <v>4.7689999999999999E-4</v>
      </c>
    </row>
    <row r="6181" spans="1:5">
      <c r="A6181">
        <v>2023</v>
      </c>
      <c r="B6181" s="3" t="s">
        <v>1474</v>
      </c>
      <c r="C6181" t="s">
        <v>1473</v>
      </c>
      <c r="D6181" s="9"/>
    </row>
    <row r="6182" spans="1:5">
      <c r="A6182">
        <v>2023</v>
      </c>
      <c r="B6182" s="3" t="s">
        <v>913</v>
      </c>
      <c r="C6182" t="s">
        <v>1857</v>
      </c>
      <c r="D6182" s="9"/>
    </row>
    <row r="6183" spans="1:5">
      <c r="A6183">
        <v>2023</v>
      </c>
      <c r="B6183" s="3" t="s">
        <v>914</v>
      </c>
      <c r="C6183" t="s">
        <v>1858</v>
      </c>
      <c r="D6183" s="9"/>
    </row>
    <row r="6184" spans="1:5">
      <c r="A6184">
        <v>2023</v>
      </c>
      <c r="B6184" s="3" t="s">
        <v>915</v>
      </c>
      <c r="C6184" t="s">
        <v>1859</v>
      </c>
      <c r="D6184" s="9">
        <v>1363438</v>
      </c>
      <c r="E6184">
        <v>8.7620000000000005E-4</v>
      </c>
    </row>
    <row r="6185" spans="1:5">
      <c r="A6185">
        <v>2023</v>
      </c>
      <c r="B6185" s="3" t="s">
        <v>1238</v>
      </c>
      <c r="C6185" t="s">
        <v>1860</v>
      </c>
      <c r="D6185" s="9">
        <v>221209</v>
      </c>
      <c r="E6185">
        <v>1.4219999999999999E-4</v>
      </c>
    </row>
    <row r="6186" spans="1:5">
      <c r="A6186">
        <v>2023</v>
      </c>
      <c r="B6186" s="3" t="s">
        <v>917</v>
      </c>
      <c r="C6186" t="s">
        <v>1861</v>
      </c>
      <c r="D6186" s="9">
        <v>68810</v>
      </c>
      <c r="E6186">
        <v>4.4199999999999997E-5</v>
      </c>
    </row>
    <row r="6187" spans="1:5">
      <c r="A6187">
        <v>2023</v>
      </c>
      <c r="B6187" s="3" t="s">
        <v>918</v>
      </c>
      <c r="C6187" t="s">
        <v>863</v>
      </c>
      <c r="D6187" s="9">
        <v>24292</v>
      </c>
      <c r="E6187">
        <v>1.56E-5</v>
      </c>
    </row>
    <row r="6188" spans="1:5">
      <c r="A6188">
        <v>2023</v>
      </c>
      <c r="B6188" s="3" t="s">
        <v>919</v>
      </c>
      <c r="C6188" t="s">
        <v>1862</v>
      </c>
      <c r="D6188" s="9">
        <v>163586</v>
      </c>
      <c r="E6188">
        <v>1.0509999999999999E-4</v>
      </c>
    </row>
    <row r="6189" spans="1:5">
      <c r="A6189">
        <v>2023</v>
      </c>
      <c r="B6189" s="3" t="s">
        <v>1239</v>
      </c>
      <c r="C6189" t="s">
        <v>1863</v>
      </c>
      <c r="D6189" s="9">
        <v>48654</v>
      </c>
      <c r="E6189">
        <v>3.1300000000000002E-5</v>
      </c>
    </row>
    <row r="6190" spans="1:5">
      <c r="A6190">
        <v>2023</v>
      </c>
      <c r="B6190" s="3" t="s">
        <v>1030</v>
      </c>
      <c r="C6190" t="s">
        <v>1864</v>
      </c>
      <c r="D6190" s="9">
        <v>56205</v>
      </c>
      <c r="E6190">
        <v>3.6100000000000003E-5</v>
      </c>
    </row>
    <row r="6191" spans="1:5">
      <c r="A6191">
        <v>2023</v>
      </c>
      <c r="B6191" s="3" t="s">
        <v>921</v>
      </c>
      <c r="C6191" t="s">
        <v>1865</v>
      </c>
      <c r="D6191" s="9">
        <v>1713699</v>
      </c>
      <c r="E6191">
        <v>1.1012999999999999E-3</v>
      </c>
    </row>
    <row r="6192" spans="1:5">
      <c r="A6192">
        <v>2023</v>
      </c>
      <c r="B6192" s="3" t="s">
        <v>1240</v>
      </c>
      <c r="C6192" t="s">
        <v>1866</v>
      </c>
      <c r="D6192" s="9">
        <v>873319</v>
      </c>
      <c r="E6192">
        <v>5.6130000000000004E-4</v>
      </c>
    </row>
    <row r="6193" spans="1:5">
      <c r="A6193">
        <v>2023</v>
      </c>
      <c r="B6193" s="3" t="s">
        <v>922</v>
      </c>
      <c r="C6193" t="s">
        <v>1867</v>
      </c>
      <c r="D6193" s="9">
        <v>338959</v>
      </c>
      <c r="E6193">
        <v>2.1780000000000001E-4</v>
      </c>
    </row>
    <row r="6194" spans="1:5">
      <c r="A6194">
        <v>2023</v>
      </c>
      <c r="B6194" s="3" t="s">
        <v>923</v>
      </c>
      <c r="C6194" t="s">
        <v>868</v>
      </c>
      <c r="D6194" s="9">
        <v>5866</v>
      </c>
      <c r="E6194">
        <v>3.8E-6</v>
      </c>
    </row>
    <row r="6195" spans="1:5">
      <c r="A6195">
        <v>2023</v>
      </c>
      <c r="B6195" s="3" t="s">
        <v>924</v>
      </c>
      <c r="C6195" t="s">
        <v>1868</v>
      </c>
      <c r="D6195" s="9">
        <v>126012</v>
      </c>
      <c r="E6195">
        <v>8.1000000000000004E-5</v>
      </c>
    </row>
    <row r="6196" spans="1:5">
      <c r="A6196">
        <v>2023</v>
      </c>
      <c r="B6196" s="3" t="s">
        <v>925</v>
      </c>
      <c r="C6196" t="s">
        <v>1869</v>
      </c>
      <c r="D6196" s="9">
        <v>5284474</v>
      </c>
      <c r="E6196">
        <v>3.3961999999999998E-3</v>
      </c>
    </row>
    <row r="6197" spans="1:5">
      <c r="A6197">
        <v>2023</v>
      </c>
      <c r="B6197" s="3" t="s">
        <v>926</v>
      </c>
      <c r="C6197" t="s">
        <v>1870</v>
      </c>
      <c r="D6197" s="9">
        <v>24273902</v>
      </c>
      <c r="E6197">
        <v>1.56001E-2</v>
      </c>
    </row>
    <row r="6198" spans="1:5">
      <c r="A6198">
        <v>2023</v>
      </c>
      <c r="B6198" s="3" t="s">
        <v>448</v>
      </c>
      <c r="C6198" t="s">
        <v>1871</v>
      </c>
      <c r="D6198" s="9">
        <v>7844830</v>
      </c>
      <c r="E6198">
        <v>5.0416000000000002E-3</v>
      </c>
    </row>
    <row r="6199" spans="1:5">
      <c r="A6199">
        <v>2023</v>
      </c>
      <c r="B6199" s="3" t="s">
        <v>927</v>
      </c>
      <c r="C6199" t="s">
        <v>1872</v>
      </c>
      <c r="D6199" s="9">
        <v>5634893</v>
      </c>
      <c r="E6199">
        <v>3.6213999999999999E-3</v>
      </c>
    </row>
    <row r="6200" spans="1:5">
      <c r="A6200">
        <v>2023</v>
      </c>
      <c r="B6200" s="3" t="s">
        <v>930</v>
      </c>
      <c r="C6200" t="s">
        <v>1873</v>
      </c>
      <c r="D6200" s="9">
        <v>71142</v>
      </c>
      <c r="E6200">
        <v>4.57E-5</v>
      </c>
    </row>
    <row r="6201" spans="1:5">
      <c r="A6201">
        <v>2023</v>
      </c>
      <c r="B6201" s="3" t="s">
        <v>929</v>
      </c>
      <c r="C6201" t="s">
        <v>1874</v>
      </c>
      <c r="D6201" s="9">
        <v>25762857</v>
      </c>
      <c r="E6201">
        <v>1.6556999999999999E-2</v>
      </c>
    </row>
    <row r="6202" spans="1:5">
      <c r="A6202">
        <v>2023</v>
      </c>
      <c r="B6202" s="3" t="s">
        <v>928</v>
      </c>
      <c r="C6202" t="s">
        <v>1875</v>
      </c>
      <c r="D6202" s="9">
        <v>918945</v>
      </c>
      <c r="E6202">
        <v>5.9060000000000004E-4</v>
      </c>
    </row>
    <row r="6203" spans="1:5">
      <c r="A6203">
        <v>2023</v>
      </c>
      <c r="B6203" s="3" t="s">
        <v>931</v>
      </c>
      <c r="C6203" t="s">
        <v>1876</v>
      </c>
      <c r="D6203" s="9">
        <v>117166</v>
      </c>
      <c r="E6203">
        <v>7.5300000000000001E-5</v>
      </c>
    </row>
    <row r="6204" spans="1:5">
      <c r="A6204">
        <v>2023</v>
      </c>
      <c r="B6204" s="3" t="s">
        <v>932</v>
      </c>
      <c r="C6204" t="s">
        <v>1877</v>
      </c>
      <c r="D6204" s="9">
        <v>9735</v>
      </c>
      <c r="E6204">
        <v>6.2999999999999998E-6</v>
      </c>
    </row>
    <row r="6205" spans="1:5">
      <c r="A6205">
        <v>2023</v>
      </c>
      <c r="B6205" s="3" t="s">
        <v>933</v>
      </c>
      <c r="C6205" t="s">
        <v>1878</v>
      </c>
      <c r="D6205" s="9">
        <v>14453</v>
      </c>
      <c r="E6205">
        <v>9.3000000000000007E-6</v>
      </c>
    </row>
    <row r="6206" spans="1:5">
      <c r="A6206">
        <v>2023</v>
      </c>
      <c r="B6206" s="3" t="s">
        <v>992</v>
      </c>
      <c r="C6206" t="s">
        <v>1879</v>
      </c>
      <c r="D6206" s="9">
        <v>81556</v>
      </c>
      <c r="E6206">
        <v>5.24E-5</v>
      </c>
    </row>
    <row r="6207" spans="1:5">
      <c r="A6207">
        <v>2023</v>
      </c>
      <c r="B6207" s="3" t="s">
        <v>934</v>
      </c>
      <c r="C6207" t="s">
        <v>1880</v>
      </c>
      <c r="D6207" s="9">
        <v>502589</v>
      </c>
      <c r="E6207">
        <v>3.2299999999999999E-4</v>
      </c>
    </row>
    <row r="6208" spans="1:5">
      <c r="A6208">
        <v>2023</v>
      </c>
      <c r="B6208" s="3" t="s">
        <v>990</v>
      </c>
      <c r="C6208" t="s">
        <v>935</v>
      </c>
      <c r="D6208" s="9">
        <v>10212093</v>
      </c>
      <c r="E6208">
        <v>6.5630000000000003E-3</v>
      </c>
    </row>
    <row r="6209" spans="1:5">
      <c r="A6209">
        <v>2023</v>
      </c>
      <c r="B6209" s="3" t="s">
        <v>991</v>
      </c>
      <c r="C6209" t="s">
        <v>936</v>
      </c>
      <c r="D6209" s="9">
        <v>32533825</v>
      </c>
      <c r="E6209">
        <v>2.09085E-2</v>
      </c>
    </row>
    <row r="6210" spans="1:5">
      <c r="A6210">
        <v>2023</v>
      </c>
      <c r="B6210" s="3" t="s">
        <v>993</v>
      </c>
      <c r="C6210" t="s">
        <v>1881</v>
      </c>
      <c r="D6210" s="9">
        <v>772591</v>
      </c>
      <c r="E6210">
        <v>4.9649999999999998E-4</v>
      </c>
    </row>
    <row r="6211" spans="1:5">
      <c r="A6211">
        <v>2023</v>
      </c>
      <c r="B6211" s="3" t="s">
        <v>1885</v>
      </c>
      <c r="C6211" t="s">
        <v>1882</v>
      </c>
      <c r="D6211" s="9"/>
    </row>
    <row r="6212" spans="1:5">
      <c r="A6212">
        <v>2023</v>
      </c>
      <c r="B6212" s="3" t="s">
        <v>994</v>
      </c>
      <c r="C6212" t="s">
        <v>939</v>
      </c>
      <c r="D6212" s="9">
        <v>8505</v>
      </c>
      <c r="E6212">
        <v>5.4999999999999999E-6</v>
      </c>
    </row>
    <row r="6213" spans="1:5" ht="17" customHeight="1">
      <c r="A6213">
        <v>2023</v>
      </c>
      <c r="B6213" s="3" t="s">
        <v>995</v>
      </c>
      <c r="C6213" t="s">
        <v>2434</v>
      </c>
      <c r="D6213" s="9">
        <v>83401</v>
      </c>
      <c r="E6213">
        <v>5.3600000000000002E-5</v>
      </c>
    </row>
    <row r="6214" spans="1:5">
      <c r="A6214">
        <v>2023</v>
      </c>
      <c r="B6214" s="3" t="s">
        <v>996</v>
      </c>
      <c r="C6214" t="s">
        <v>2435</v>
      </c>
      <c r="D6214" s="9">
        <v>57428</v>
      </c>
      <c r="E6214">
        <v>3.6900000000000002E-5</v>
      </c>
    </row>
    <row r="6215" spans="1:5">
      <c r="A6215">
        <v>2023</v>
      </c>
      <c r="B6215" s="3" t="s">
        <v>997</v>
      </c>
      <c r="C6215" t="s">
        <v>2436</v>
      </c>
      <c r="D6215" s="9">
        <v>86412</v>
      </c>
      <c r="E6215">
        <v>5.5500000000000001E-5</v>
      </c>
    </row>
    <row r="6216" spans="1:5">
      <c r="A6216">
        <v>2023</v>
      </c>
      <c r="B6216" s="3" t="s">
        <v>999</v>
      </c>
      <c r="C6216" t="s">
        <v>1884</v>
      </c>
      <c r="D6216" s="9">
        <v>666679</v>
      </c>
      <c r="E6216">
        <v>4.2850000000000001E-4</v>
      </c>
    </row>
    <row r="6217" spans="1:5">
      <c r="A6217">
        <v>2023</v>
      </c>
      <c r="B6217" s="3" t="s">
        <v>1241</v>
      </c>
      <c r="C6217" t="s">
        <v>1886</v>
      </c>
      <c r="D6217" s="9">
        <v>44806</v>
      </c>
      <c r="E6217">
        <v>2.8799999999999999E-5</v>
      </c>
    </row>
    <row r="6218" spans="1:5">
      <c r="A6218">
        <v>2023</v>
      </c>
      <c r="B6218" s="3" t="s">
        <v>1002</v>
      </c>
      <c r="C6218" t="s">
        <v>947</v>
      </c>
      <c r="D6218" s="9">
        <v>10285019</v>
      </c>
      <c r="E6218">
        <v>6.6099000000000002E-3</v>
      </c>
    </row>
    <row r="6219" spans="1:5">
      <c r="A6219">
        <v>2023</v>
      </c>
      <c r="B6219" s="3" t="s">
        <v>1001</v>
      </c>
      <c r="C6219" t="s">
        <v>2433</v>
      </c>
      <c r="D6219" s="9">
        <v>28759</v>
      </c>
      <c r="E6219">
        <v>1.8499999999999999E-5</v>
      </c>
    </row>
    <row r="6220" spans="1:5">
      <c r="A6220">
        <v>2023</v>
      </c>
      <c r="B6220" s="3" t="s">
        <v>1003</v>
      </c>
      <c r="C6220" t="s">
        <v>1478</v>
      </c>
      <c r="D6220" s="9">
        <v>38709</v>
      </c>
      <c r="E6220">
        <v>2.4899999999999999E-5</v>
      </c>
    </row>
    <row r="6221" spans="1:5">
      <c r="A6221">
        <v>2023</v>
      </c>
      <c r="B6221" s="3" t="s">
        <v>1004</v>
      </c>
      <c r="C6221" t="s">
        <v>949</v>
      </c>
      <c r="D6221" s="9">
        <v>394771</v>
      </c>
      <c r="E6221">
        <v>2.5369999999999999E-4</v>
      </c>
    </row>
    <row r="6222" spans="1:5">
      <c r="A6222">
        <v>2023</v>
      </c>
      <c r="B6222" s="3" t="s">
        <v>1000</v>
      </c>
      <c r="C6222" t="s">
        <v>2384</v>
      </c>
      <c r="D6222" s="9">
        <v>20343</v>
      </c>
      <c r="E6222">
        <v>1.31E-5</v>
      </c>
    </row>
    <row r="6223" spans="1:5">
      <c r="A6223">
        <v>2023</v>
      </c>
      <c r="B6223" s="3" t="s">
        <v>1005</v>
      </c>
      <c r="C6223" t="s">
        <v>1888</v>
      </c>
      <c r="D6223" s="9">
        <v>151528</v>
      </c>
      <c r="E6223">
        <v>9.7399999999999996E-5</v>
      </c>
    </row>
    <row r="6224" spans="1:5">
      <c r="A6224">
        <v>2023</v>
      </c>
      <c r="B6224" s="3" t="s">
        <v>1006</v>
      </c>
      <c r="C6224" t="s">
        <v>1889</v>
      </c>
      <c r="D6224" s="9">
        <v>235183</v>
      </c>
      <c r="E6224">
        <v>1.5109999999999999E-4</v>
      </c>
    </row>
    <row r="6225" spans="1:5">
      <c r="A6225">
        <v>2023</v>
      </c>
      <c r="B6225" s="3" t="s">
        <v>1007</v>
      </c>
      <c r="C6225" t="s">
        <v>1890</v>
      </c>
      <c r="D6225" s="9">
        <v>14767</v>
      </c>
      <c r="E6225">
        <v>9.5000000000000005E-6</v>
      </c>
    </row>
    <row r="6226" spans="1:5">
      <c r="A6226">
        <v>2023</v>
      </c>
      <c r="B6226" s="3" t="s">
        <v>1008</v>
      </c>
      <c r="C6226" t="s">
        <v>2286</v>
      </c>
      <c r="D6226" s="9">
        <v>113465</v>
      </c>
      <c r="E6226">
        <v>7.2899999999999997E-5</v>
      </c>
    </row>
    <row r="6227" spans="1:5">
      <c r="A6227">
        <v>2023</v>
      </c>
      <c r="B6227" s="3" t="s">
        <v>1009</v>
      </c>
      <c r="C6227" t="s">
        <v>1892</v>
      </c>
      <c r="D6227" s="9">
        <v>36700</v>
      </c>
      <c r="E6227">
        <v>2.3600000000000001E-5</v>
      </c>
    </row>
    <row r="6228" spans="1:5">
      <c r="A6228">
        <v>2023</v>
      </c>
      <c r="B6228" s="3" t="s">
        <v>1010</v>
      </c>
      <c r="C6228" t="s">
        <v>1893</v>
      </c>
      <c r="D6228" s="9">
        <v>130162</v>
      </c>
      <c r="E6228">
        <v>8.3700000000000002E-5</v>
      </c>
    </row>
    <row r="6229" spans="1:5">
      <c r="A6229">
        <v>2023</v>
      </c>
      <c r="B6229" s="3" t="s">
        <v>1242</v>
      </c>
      <c r="C6229" t="s">
        <v>1894</v>
      </c>
      <c r="D6229" s="9">
        <v>361778</v>
      </c>
      <c r="E6229">
        <v>2.3250000000000001E-4</v>
      </c>
    </row>
    <row r="6230" spans="1:5">
      <c r="A6230">
        <v>2023</v>
      </c>
      <c r="B6230" s="3" t="s">
        <v>1011</v>
      </c>
      <c r="C6230" t="s">
        <v>2288</v>
      </c>
      <c r="D6230" s="9">
        <v>15450</v>
      </c>
      <c r="E6230">
        <v>9.9000000000000001E-6</v>
      </c>
    </row>
    <row r="6231" spans="1:5">
      <c r="A6231">
        <v>2023</v>
      </c>
      <c r="B6231" s="3" t="s">
        <v>1012</v>
      </c>
      <c r="C6231" t="s">
        <v>957</v>
      </c>
      <c r="D6231" s="9">
        <v>89170</v>
      </c>
      <c r="E6231">
        <v>5.7299999999999997E-5</v>
      </c>
    </row>
    <row r="6232" spans="1:5">
      <c r="A6232">
        <v>2023</v>
      </c>
      <c r="B6232" s="3" t="s">
        <v>1013</v>
      </c>
      <c r="C6232" t="s">
        <v>2408</v>
      </c>
      <c r="D6232" s="9">
        <v>1247624</v>
      </c>
      <c r="E6232">
        <v>8.0179999999999997E-4</v>
      </c>
    </row>
    <row r="6233" spans="1:5">
      <c r="A6233">
        <v>2023</v>
      </c>
      <c r="B6233" s="3" t="s">
        <v>1016</v>
      </c>
      <c r="C6233" t="s">
        <v>1897</v>
      </c>
      <c r="D6233" s="9">
        <v>374433</v>
      </c>
      <c r="E6233">
        <v>2.4059999999999999E-4</v>
      </c>
    </row>
    <row r="6234" spans="1:5">
      <c r="A6234">
        <v>2023</v>
      </c>
      <c r="B6234" s="3" t="s">
        <v>1017</v>
      </c>
      <c r="C6234" t="s">
        <v>1898</v>
      </c>
      <c r="D6234" s="9">
        <v>92180</v>
      </c>
      <c r="E6234">
        <v>5.9200000000000002E-5</v>
      </c>
    </row>
    <row r="6235" spans="1:5">
      <c r="A6235">
        <v>2023</v>
      </c>
      <c r="B6235" s="3" t="s">
        <v>1018</v>
      </c>
      <c r="C6235" t="s">
        <v>1899</v>
      </c>
      <c r="D6235" s="9">
        <v>48874</v>
      </c>
      <c r="E6235">
        <v>3.1399999999999998E-5</v>
      </c>
    </row>
    <row r="6236" spans="1:5">
      <c r="A6236">
        <v>2023</v>
      </c>
      <c r="B6236" s="3" t="s">
        <v>1020</v>
      </c>
      <c r="C6236" t="s">
        <v>1900</v>
      </c>
      <c r="D6236" s="9">
        <v>2620612</v>
      </c>
      <c r="E6236">
        <v>1.6842000000000001E-3</v>
      </c>
    </row>
    <row r="6237" spans="1:5">
      <c r="A6237">
        <v>2023</v>
      </c>
      <c r="B6237" s="3" t="s">
        <v>1019</v>
      </c>
      <c r="C6237" t="s">
        <v>1901</v>
      </c>
      <c r="D6237" s="9">
        <v>57811</v>
      </c>
      <c r="E6237">
        <v>3.7200000000000003E-5</v>
      </c>
    </row>
    <row r="6238" spans="1:5">
      <c r="A6238">
        <v>2023</v>
      </c>
      <c r="B6238" s="3" t="s">
        <v>1021</v>
      </c>
      <c r="C6238" t="s">
        <v>1902</v>
      </c>
      <c r="D6238" s="9">
        <v>42028</v>
      </c>
      <c r="E6238">
        <v>2.6999999999999999E-5</v>
      </c>
    </row>
    <row r="6239" spans="1:5">
      <c r="A6239">
        <v>2023</v>
      </c>
      <c r="B6239" s="3" t="s">
        <v>2457</v>
      </c>
      <c r="C6239" t="s">
        <v>2455</v>
      </c>
      <c r="D6239" s="9">
        <v>1202082</v>
      </c>
      <c r="E6239">
        <v>7.7249999999999997E-4</v>
      </c>
    </row>
    <row r="6240" spans="1:5">
      <c r="A6240">
        <v>2023</v>
      </c>
      <c r="B6240" s="3" t="s">
        <v>449</v>
      </c>
      <c r="C6240" t="s">
        <v>1903</v>
      </c>
      <c r="D6240" s="9">
        <v>3002619</v>
      </c>
      <c r="E6240">
        <v>1.9296999999999999E-3</v>
      </c>
    </row>
    <row r="6241" spans="1:5">
      <c r="A6241">
        <v>2023</v>
      </c>
      <c r="B6241" s="3" t="s">
        <v>1022</v>
      </c>
      <c r="C6241" t="s">
        <v>1904</v>
      </c>
      <c r="D6241" s="9">
        <v>219793</v>
      </c>
      <c r="E6241">
        <v>1.4129999999999999E-4</v>
      </c>
    </row>
    <row r="6242" spans="1:5">
      <c r="A6242">
        <v>2023</v>
      </c>
      <c r="B6242" s="3" t="s">
        <v>1023</v>
      </c>
      <c r="C6242" t="s">
        <v>1905</v>
      </c>
      <c r="D6242" s="9">
        <v>1047192</v>
      </c>
      <c r="E6242">
        <v>6.7299999999999999E-4</v>
      </c>
    </row>
    <row r="6243" spans="1:5">
      <c r="A6243">
        <v>2023</v>
      </c>
      <c r="B6243" s="3" t="s">
        <v>1024</v>
      </c>
      <c r="C6243" t="s">
        <v>969</v>
      </c>
      <c r="D6243" s="9">
        <v>107795</v>
      </c>
      <c r="E6243">
        <v>6.9300000000000004E-5</v>
      </c>
    </row>
    <row r="6244" spans="1:5">
      <c r="A6244">
        <v>2023</v>
      </c>
      <c r="B6244" s="3" t="s">
        <v>1025</v>
      </c>
      <c r="C6244" t="s">
        <v>1906</v>
      </c>
      <c r="D6244" s="9">
        <v>122162</v>
      </c>
      <c r="E6244">
        <v>7.8499999999999997E-5</v>
      </c>
    </row>
    <row r="6245" spans="1:5">
      <c r="A6245">
        <v>2023</v>
      </c>
      <c r="B6245" s="3" t="s">
        <v>2458</v>
      </c>
      <c r="C6245" t="s">
        <v>2456</v>
      </c>
      <c r="D6245" s="9">
        <v>206301</v>
      </c>
      <c r="E6245">
        <v>1.326E-4</v>
      </c>
    </row>
    <row r="6246" spans="1:5">
      <c r="A6246">
        <v>2023</v>
      </c>
      <c r="B6246" s="3" t="s">
        <v>1026</v>
      </c>
      <c r="C6246" t="s">
        <v>1907</v>
      </c>
      <c r="D6246" s="9">
        <v>9101887</v>
      </c>
      <c r="E6246">
        <v>5.8494999999999997E-3</v>
      </c>
    </row>
    <row r="6247" spans="1:5">
      <c r="A6247">
        <v>2023</v>
      </c>
      <c r="B6247" s="3" t="s">
        <v>1243</v>
      </c>
      <c r="C6247" t="s">
        <v>1908</v>
      </c>
      <c r="D6247" s="9">
        <v>3083768</v>
      </c>
      <c r="E6247">
        <v>1.9818000000000001E-3</v>
      </c>
    </row>
    <row r="6248" spans="1:5">
      <c r="A6248">
        <v>2023</v>
      </c>
      <c r="B6248" s="3" t="s">
        <v>1027</v>
      </c>
      <c r="C6248" t="s">
        <v>1909</v>
      </c>
      <c r="D6248" s="9">
        <v>26969</v>
      </c>
      <c r="E6248">
        <v>1.73E-5</v>
      </c>
    </row>
    <row r="6249" spans="1:5">
      <c r="A6249">
        <v>2023</v>
      </c>
      <c r="B6249" s="3" t="s">
        <v>1028</v>
      </c>
      <c r="C6249" t="s">
        <v>973</v>
      </c>
      <c r="D6249" s="9">
        <v>12653</v>
      </c>
      <c r="E6249">
        <v>8.1000000000000004E-6</v>
      </c>
    </row>
    <row r="6250" spans="1:5">
      <c r="A6250">
        <v>2023</v>
      </c>
      <c r="B6250" s="3" t="s">
        <v>1029</v>
      </c>
      <c r="C6250" t="s">
        <v>2409</v>
      </c>
      <c r="D6250" s="9">
        <v>284962</v>
      </c>
      <c r="E6250">
        <v>1.8310000000000001E-4</v>
      </c>
    </row>
    <row r="6251" spans="1:5">
      <c r="A6251">
        <v>2023</v>
      </c>
      <c r="B6251" s="3" t="s">
        <v>1031</v>
      </c>
      <c r="C6251" t="s">
        <v>1911</v>
      </c>
      <c r="D6251" s="9">
        <v>656115</v>
      </c>
      <c r="E6251">
        <v>4.217E-4</v>
      </c>
    </row>
    <row r="6252" spans="1:5">
      <c r="A6252">
        <v>2023</v>
      </c>
      <c r="B6252" s="3" t="s">
        <v>1032</v>
      </c>
      <c r="C6252" t="s">
        <v>1912</v>
      </c>
      <c r="D6252" s="9">
        <v>347255</v>
      </c>
      <c r="E6252">
        <v>2.232E-4</v>
      </c>
    </row>
    <row r="6253" spans="1:5">
      <c r="A6253">
        <v>2023</v>
      </c>
      <c r="B6253" s="3" t="s">
        <v>920</v>
      </c>
      <c r="C6253" t="s">
        <v>1914</v>
      </c>
      <c r="D6253" s="9"/>
    </row>
    <row r="6254" spans="1:5">
      <c r="A6254">
        <v>2023</v>
      </c>
      <c r="B6254" s="3" t="s">
        <v>1037</v>
      </c>
      <c r="C6254" t="s">
        <v>1915</v>
      </c>
      <c r="D6254" s="9">
        <v>53889</v>
      </c>
      <c r="E6254">
        <v>3.4600000000000001E-5</v>
      </c>
    </row>
    <row r="6255" spans="1:5">
      <c r="A6255">
        <v>2023</v>
      </c>
      <c r="B6255" s="3" t="s">
        <v>1038</v>
      </c>
      <c r="C6255" t="s">
        <v>1916</v>
      </c>
      <c r="D6255" s="9">
        <v>663890</v>
      </c>
      <c r="E6255">
        <v>4.2670000000000002E-4</v>
      </c>
    </row>
    <row r="6256" spans="1:5">
      <c r="A6256">
        <v>2023</v>
      </c>
      <c r="B6256" s="3" t="s">
        <v>1039</v>
      </c>
      <c r="C6256" t="s">
        <v>1917</v>
      </c>
      <c r="D6256" s="9">
        <v>6854988</v>
      </c>
      <c r="E6256">
        <v>4.4054999999999997E-3</v>
      </c>
    </row>
    <row r="6257" spans="1:5">
      <c r="A6257">
        <v>2023</v>
      </c>
      <c r="B6257" s="3" t="s">
        <v>1040</v>
      </c>
      <c r="C6257" t="s">
        <v>985</v>
      </c>
      <c r="D6257" s="9">
        <v>226969</v>
      </c>
      <c r="E6257">
        <v>1.459E-4</v>
      </c>
    </row>
    <row r="6258" spans="1:5">
      <c r="A6258">
        <v>2023</v>
      </c>
      <c r="B6258" s="3" t="s">
        <v>998</v>
      </c>
      <c r="C6258" t="s">
        <v>1918</v>
      </c>
      <c r="D6258" s="9">
        <v>52680</v>
      </c>
      <c r="E6258">
        <v>3.3899999999999997E-5</v>
      </c>
    </row>
    <row r="6259" spans="1:5">
      <c r="A6259">
        <v>2023</v>
      </c>
      <c r="B6259" s="3" t="s">
        <v>1041</v>
      </c>
      <c r="C6259" t="s">
        <v>1919</v>
      </c>
      <c r="D6259" s="9">
        <v>921494</v>
      </c>
      <c r="E6259">
        <v>5.9219999999999997E-4</v>
      </c>
    </row>
    <row r="6260" spans="1:5">
      <c r="A6260">
        <v>2023</v>
      </c>
      <c r="B6260" s="3" t="s">
        <v>1042</v>
      </c>
      <c r="C6260" t="s">
        <v>2296</v>
      </c>
      <c r="D6260" s="9"/>
    </row>
    <row r="6261" spans="1:5">
      <c r="A6261">
        <v>2023</v>
      </c>
      <c r="B6261" s="3" t="s">
        <v>1043</v>
      </c>
      <c r="C6261" t="s">
        <v>1921</v>
      </c>
      <c r="D6261" s="9">
        <v>794322</v>
      </c>
      <c r="E6261">
        <v>5.1049999999999999E-4</v>
      </c>
    </row>
    <row r="6262" spans="1:5">
      <c r="A6262">
        <v>2023</v>
      </c>
      <c r="B6262" s="3" t="s">
        <v>1044</v>
      </c>
      <c r="C6262" t="s">
        <v>1922</v>
      </c>
      <c r="D6262" s="9">
        <v>2132093</v>
      </c>
      <c r="E6262">
        <v>1.3702E-3</v>
      </c>
    </row>
    <row r="6263" spans="1:5">
      <c r="A6263">
        <v>2023</v>
      </c>
      <c r="B6263" s="3" t="s">
        <v>1100</v>
      </c>
      <c r="C6263" t="s">
        <v>1923</v>
      </c>
      <c r="D6263" s="9">
        <v>1903891</v>
      </c>
      <c r="E6263">
        <v>1.2236E-3</v>
      </c>
    </row>
    <row r="6264" spans="1:5">
      <c r="A6264">
        <v>2023</v>
      </c>
      <c r="B6264" s="3" t="s">
        <v>450</v>
      </c>
      <c r="C6264" t="s">
        <v>1924</v>
      </c>
      <c r="D6264" s="9">
        <v>870074</v>
      </c>
      <c r="E6264">
        <v>5.5920000000000004E-4</v>
      </c>
    </row>
    <row r="6265" spans="1:5">
      <c r="A6265">
        <v>2023</v>
      </c>
      <c r="B6265" s="3" t="s">
        <v>1101</v>
      </c>
      <c r="C6265" t="s">
        <v>1925</v>
      </c>
      <c r="D6265" s="9">
        <v>4134426</v>
      </c>
      <c r="E6265">
        <v>2.6570999999999999E-3</v>
      </c>
    </row>
    <row r="6266" spans="1:5">
      <c r="A6266">
        <v>2023</v>
      </c>
      <c r="B6266" s="3" t="s">
        <v>1244</v>
      </c>
      <c r="C6266" t="s">
        <v>1926</v>
      </c>
      <c r="D6266" s="9">
        <v>924673</v>
      </c>
      <c r="E6266">
        <v>5.9429999999999997E-4</v>
      </c>
    </row>
    <row r="6267" spans="1:5">
      <c r="A6267">
        <v>2023</v>
      </c>
      <c r="B6267" s="3" t="s">
        <v>1102</v>
      </c>
      <c r="C6267" t="s">
        <v>1927</v>
      </c>
      <c r="D6267" s="9">
        <v>115114</v>
      </c>
      <c r="E6267">
        <v>7.3999999999999996E-5</v>
      </c>
    </row>
    <row r="6268" spans="1:5">
      <c r="A6268">
        <v>2023</v>
      </c>
      <c r="B6268" s="3" t="s">
        <v>1134</v>
      </c>
      <c r="C6268" t="s">
        <v>1928</v>
      </c>
      <c r="D6268" s="9">
        <v>115183</v>
      </c>
      <c r="E6268">
        <v>7.3999999999999996E-5</v>
      </c>
    </row>
    <row r="6269" spans="1:5">
      <c r="A6269">
        <v>2023</v>
      </c>
      <c r="B6269" s="3" t="s">
        <v>1103</v>
      </c>
      <c r="C6269" t="s">
        <v>1929</v>
      </c>
      <c r="D6269" s="9">
        <v>151273</v>
      </c>
      <c r="E6269">
        <v>9.7200000000000004E-5</v>
      </c>
    </row>
    <row r="6270" spans="1:5">
      <c r="A6270">
        <v>2023</v>
      </c>
      <c r="B6270" s="3" t="s">
        <v>1104</v>
      </c>
      <c r="C6270" t="s">
        <v>1930</v>
      </c>
      <c r="D6270" s="9">
        <v>1487809</v>
      </c>
      <c r="E6270">
        <v>9.5620000000000004E-4</v>
      </c>
    </row>
    <row r="6271" spans="1:5">
      <c r="A6271">
        <v>2023</v>
      </c>
      <c r="B6271" s="3" t="s">
        <v>1105</v>
      </c>
      <c r="C6271" t="s">
        <v>1931</v>
      </c>
      <c r="D6271" s="9">
        <v>18505</v>
      </c>
      <c r="E6271">
        <v>1.19E-5</v>
      </c>
    </row>
    <row r="6272" spans="1:5">
      <c r="A6272">
        <v>2023</v>
      </c>
      <c r="B6272" s="3" t="s">
        <v>451</v>
      </c>
      <c r="C6272" t="s">
        <v>1932</v>
      </c>
      <c r="D6272" s="9">
        <v>1151171</v>
      </c>
      <c r="E6272">
        <v>7.3979999999999998E-4</v>
      </c>
    </row>
    <row r="6273" spans="1:5">
      <c r="A6273">
        <v>2023</v>
      </c>
      <c r="B6273" s="3" t="s">
        <v>1106</v>
      </c>
      <c r="C6273" t="s">
        <v>1933</v>
      </c>
      <c r="D6273" s="9">
        <v>129020</v>
      </c>
      <c r="E6273">
        <v>8.2899999999999996E-5</v>
      </c>
    </row>
    <row r="6274" spans="1:5">
      <c r="A6274">
        <v>2023</v>
      </c>
      <c r="B6274" s="3" t="s">
        <v>1107</v>
      </c>
      <c r="C6274" t="s">
        <v>1934</v>
      </c>
      <c r="D6274" s="9">
        <v>680926</v>
      </c>
      <c r="E6274">
        <v>4.3760000000000001E-4</v>
      </c>
    </row>
    <row r="6275" spans="1:5">
      <c r="A6275">
        <v>2023</v>
      </c>
      <c r="B6275" s="3" t="s">
        <v>1108</v>
      </c>
      <c r="C6275" t="s">
        <v>1053</v>
      </c>
      <c r="D6275" s="9">
        <v>1392130</v>
      </c>
      <c r="E6275">
        <v>8.9470000000000001E-4</v>
      </c>
    </row>
    <row r="6276" spans="1:5">
      <c r="A6276">
        <v>2023</v>
      </c>
      <c r="B6276" s="3" t="s">
        <v>2390</v>
      </c>
      <c r="C6276" t="s">
        <v>2387</v>
      </c>
      <c r="D6276" s="9">
        <v>13891</v>
      </c>
      <c r="E6276">
        <v>8.8999999999999995E-6</v>
      </c>
    </row>
    <row r="6277" spans="1:5">
      <c r="A6277">
        <v>2023</v>
      </c>
      <c r="B6277" s="3" t="s">
        <v>1110</v>
      </c>
      <c r="C6277" t="s">
        <v>2410</v>
      </c>
      <c r="D6277" s="9">
        <v>2085473</v>
      </c>
      <c r="E6277">
        <v>1.3403E-3</v>
      </c>
    </row>
    <row r="6278" spans="1:5">
      <c r="A6278">
        <v>2023</v>
      </c>
      <c r="B6278" s="3" t="s">
        <v>1109</v>
      </c>
      <c r="C6278" t="s">
        <v>1936</v>
      </c>
      <c r="D6278" s="9">
        <v>246597</v>
      </c>
      <c r="E6278">
        <v>1.585E-4</v>
      </c>
    </row>
    <row r="6279" spans="1:5">
      <c r="A6279">
        <v>2023</v>
      </c>
      <c r="B6279" s="3" t="s">
        <v>1111</v>
      </c>
      <c r="C6279" t="s">
        <v>1937</v>
      </c>
      <c r="D6279" s="9">
        <v>30549</v>
      </c>
      <c r="E6279">
        <v>1.9599999999999999E-5</v>
      </c>
    </row>
    <row r="6280" spans="1:5">
      <c r="A6280">
        <v>2023</v>
      </c>
      <c r="B6280" s="3" t="s">
        <v>1112</v>
      </c>
      <c r="C6280" t="s">
        <v>1938</v>
      </c>
      <c r="D6280" s="9">
        <v>17518781</v>
      </c>
      <c r="E6280">
        <v>1.1258799999999999E-2</v>
      </c>
    </row>
    <row r="6281" spans="1:5">
      <c r="A6281">
        <v>2023</v>
      </c>
      <c r="B6281" s="3" t="s">
        <v>452</v>
      </c>
      <c r="C6281" t="s">
        <v>1939</v>
      </c>
      <c r="D6281" s="9">
        <v>15499045</v>
      </c>
      <c r="E6281">
        <v>9.9608000000000006E-3</v>
      </c>
    </row>
    <row r="6282" spans="1:5">
      <c r="A6282">
        <v>2023</v>
      </c>
      <c r="B6282" s="3" t="s">
        <v>1113</v>
      </c>
      <c r="C6282" t="s">
        <v>1058</v>
      </c>
      <c r="D6282" s="9">
        <v>91914</v>
      </c>
      <c r="E6282">
        <v>5.91E-5</v>
      </c>
    </row>
    <row r="6283" spans="1:5">
      <c r="A6283">
        <v>2023</v>
      </c>
      <c r="B6283" s="3" t="s">
        <v>1481</v>
      </c>
      <c r="C6283" t="s">
        <v>1479</v>
      </c>
      <c r="D6283" s="9">
        <v>115129</v>
      </c>
      <c r="E6283">
        <v>7.3999999999999996E-5</v>
      </c>
    </row>
    <row r="6284" spans="1:5">
      <c r="A6284">
        <v>2023</v>
      </c>
      <c r="B6284" s="3" t="s">
        <v>453</v>
      </c>
      <c r="C6284" t="s">
        <v>1940</v>
      </c>
      <c r="D6284" s="9">
        <v>1037348</v>
      </c>
      <c r="E6284">
        <v>6.667E-4</v>
      </c>
    </row>
    <row r="6285" spans="1:5">
      <c r="A6285">
        <v>2023</v>
      </c>
      <c r="B6285" s="3" t="s">
        <v>1115</v>
      </c>
      <c r="C6285" t="s">
        <v>1941</v>
      </c>
      <c r="D6285" s="9">
        <v>87304</v>
      </c>
      <c r="E6285">
        <v>5.6100000000000002E-5</v>
      </c>
    </row>
    <row r="6286" spans="1:5">
      <c r="A6286">
        <v>2023</v>
      </c>
      <c r="B6286" s="3" t="s">
        <v>1114</v>
      </c>
      <c r="C6286" t="s">
        <v>1942</v>
      </c>
      <c r="D6286" s="9">
        <v>560602</v>
      </c>
      <c r="E6286">
        <v>3.6029999999999998E-4</v>
      </c>
    </row>
    <row r="6287" spans="1:5">
      <c r="A6287">
        <v>2023</v>
      </c>
      <c r="B6287" s="3" t="s">
        <v>1116</v>
      </c>
      <c r="C6287" t="s">
        <v>2388</v>
      </c>
      <c r="D6287" s="9">
        <v>108411</v>
      </c>
      <c r="E6287">
        <v>6.97E-5</v>
      </c>
    </row>
    <row r="6288" spans="1:5">
      <c r="A6288">
        <v>2023</v>
      </c>
      <c r="B6288" s="3" t="s">
        <v>1117</v>
      </c>
      <c r="C6288" t="s">
        <v>1944</v>
      </c>
      <c r="D6288" s="9">
        <v>247359</v>
      </c>
      <c r="E6288">
        <v>1.5899999999999999E-4</v>
      </c>
    </row>
    <row r="6289" spans="1:5">
      <c r="A6289">
        <v>2023</v>
      </c>
      <c r="B6289" s="3" t="s">
        <v>1118</v>
      </c>
      <c r="C6289" t="s">
        <v>2411</v>
      </c>
      <c r="D6289" s="9">
        <v>68426</v>
      </c>
      <c r="E6289">
        <v>4.3999999999999999E-5</v>
      </c>
    </row>
    <row r="6290" spans="1:5">
      <c r="A6290">
        <v>2023</v>
      </c>
      <c r="B6290" s="3" t="s">
        <v>1119</v>
      </c>
      <c r="C6290" t="s">
        <v>2412</v>
      </c>
      <c r="D6290" s="9">
        <v>1483033</v>
      </c>
      <c r="E6290">
        <v>9.5310000000000002E-4</v>
      </c>
    </row>
    <row r="6291" spans="1:5">
      <c r="A6291">
        <v>2023</v>
      </c>
      <c r="B6291" s="3" t="s">
        <v>454</v>
      </c>
      <c r="C6291" t="s">
        <v>1947</v>
      </c>
      <c r="D6291" s="9">
        <v>838808</v>
      </c>
      <c r="E6291">
        <v>5.3910000000000004E-4</v>
      </c>
    </row>
    <row r="6292" spans="1:5">
      <c r="A6292">
        <v>2023</v>
      </c>
      <c r="B6292" s="3" t="s">
        <v>1121</v>
      </c>
      <c r="C6292" t="s">
        <v>1949</v>
      </c>
      <c r="D6292" s="9">
        <v>3230844</v>
      </c>
      <c r="E6292">
        <v>2.0763999999999999E-3</v>
      </c>
    </row>
    <row r="6293" spans="1:5">
      <c r="A6293">
        <v>2023</v>
      </c>
      <c r="B6293" s="3" t="s">
        <v>455</v>
      </c>
      <c r="C6293" t="s">
        <v>1950</v>
      </c>
      <c r="D6293" s="9">
        <v>1750184</v>
      </c>
      <c r="E6293">
        <v>1.1248E-3</v>
      </c>
    </row>
    <row r="6294" spans="1:5">
      <c r="A6294">
        <v>2023</v>
      </c>
      <c r="B6294" s="3" t="s">
        <v>1122</v>
      </c>
      <c r="C6294" t="s">
        <v>1951</v>
      </c>
      <c r="D6294" s="9">
        <v>55471</v>
      </c>
      <c r="E6294">
        <v>3.5599999999999998E-5</v>
      </c>
    </row>
    <row r="6295" spans="1:5">
      <c r="A6295">
        <v>2023</v>
      </c>
      <c r="B6295" s="3" t="s">
        <v>1123</v>
      </c>
      <c r="C6295" t="s">
        <v>1952</v>
      </c>
      <c r="D6295" s="9">
        <v>117617</v>
      </c>
      <c r="E6295">
        <v>7.5599999999999994E-5</v>
      </c>
    </row>
    <row r="6296" spans="1:5">
      <c r="A6296">
        <v>2023</v>
      </c>
      <c r="B6296" s="3" t="s">
        <v>1124</v>
      </c>
      <c r="C6296" t="s">
        <v>1953</v>
      </c>
      <c r="D6296" s="9">
        <v>137538</v>
      </c>
      <c r="E6296">
        <v>8.8399999999999994E-5</v>
      </c>
    </row>
    <row r="6297" spans="1:5">
      <c r="A6297">
        <v>2023</v>
      </c>
      <c r="B6297" s="3" t="s">
        <v>1125</v>
      </c>
      <c r="C6297" t="s">
        <v>1954</v>
      </c>
      <c r="D6297" s="9">
        <v>1436477</v>
      </c>
      <c r="E6297">
        <v>9.232E-4</v>
      </c>
    </row>
    <row r="6298" spans="1:5">
      <c r="A6298">
        <v>2023</v>
      </c>
      <c r="B6298" s="3" t="s">
        <v>1245</v>
      </c>
      <c r="C6298" t="s">
        <v>1955</v>
      </c>
      <c r="D6298" s="9">
        <v>188006</v>
      </c>
      <c r="E6298">
        <v>1.208E-4</v>
      </c>
    </row>
    <row r="6299" spans="1:5">
      <c r="A6299">
        <v>2023</v>
      </c>
      <c r="B6299" s="3" t="s">
        <v>1126</v>
      </c>
      <c r="C6299" t="s">
        <v>1956</v>
      </c>
      <c r="D6299" s="9">
        <v>134486</v>
      </c>
      <c r="E6299">
        <v>8.6399999999999999E-5</v>
      </c>
    </row>
    <row r="6300" spans="1:5">
      <c r="A6300">
        <v>2023</v>
      </c>
      <c r="B6300" s="3" t="s">
        <v>1127</v>
      </c>
      <c r="C6300" t="s">
        <v>2413</v>
      </c>
      <c r="D6300" s="9">
        <v>2365307</v>
      </c>
      <c r="E6300">
        <v>1.5200999999999999E-3</v>
      </c>
    </row>
    <row r="6301" spans="1:5">
      <c r="A6301">
        <v>2023</v>
      </c>
      <c r="B6301" s="3" t="s">
        <v>456</v>
      </c>
      <c r="C6301" t="s">
        <v>1958</v>
      </c>
      <c r="D6301" s="9">
        <v>436818</v>
      </c>
      <c r="E6301">
        <v>2.8069999999999999E-4</v>
      </c>
    </row>
    <row r="6302" spans="1:5">
      <c r="A6302">
        <v>2023</v>
      </c>
      <c r="B6302" s="3" t="s">
        <v>1128</v>
      </c>
      <c r="C6302" t="s">
        <v>1959</v>
      </c>
      <c r="D6302" s="9">
        <v>151982</v>
      </c>
      <c r="E6302">
        <v>9.7700000000000003E-5</v>
      </c>
    </row>
    <row r="6303" spans="1:5">
      <c r="A6303">
        <v>2023</v>
      </c>
      <c r="B6303" s="3" t="s">
        <v>1129</v>
      </c>
      <c r="C6303" t="s">
        <v>1074</v>
      </c>
      <c r="D6303" s="9"/>
    </row>
    <row r="6304" spans="1:5">
      <c r="A6304">
        <v>2023</v>
      </c>
      <c r="B6304" s="3" t="s">
        <v>1130</v>
      </c>
      <c r="C6304" t="s">
        <v>1075</v>
      </c>
      <c r="D6304" s="9"/>
    </row>
    <row r="6305" spans="1:5">
      <c r="A6305">
        <v>2023</v>
      </c>
      <c r="B6305" s="3" t="s">
        <v>1131</v>
      </c>
      <c r="C6305" t="s">
        <v>1960</v>
      </c>
      <c r="D6305" s="9">
        <v>10472</v>
      </c>
      <c r="E6305">
        <v>6.7000000000000002E-6</v>
      </c>
    </row>
    <row r="6306" spans="1:5">
      <c r="A6306">
        <v>2023</v>
      </c>
      <c r="B6306" s="3" t="s">
        <v>457</v>
      </c>
      <c r="C6306" t="s">
        <v>1961</v>
      </c>
      <c r="D6306" s="9">
        <v>148802</v>
      </c>
      <c r="E6306">
        <v>9.5600000000000006E-5</v>
      </c>
    </row>
    <row r="6307" spans="1:5">
      <c r="A6307">
        <v>2023</v>
      </c>
      <c r="B6307" s="3" t="s">
        <v>1132</v>
      </c>
      <c r="C6307" t="s">
        <v>2389</v>
      </c>
      <c r="D6307" s="9">
        <v>110298</v>
      </c>
      <c r="E6307">
        <v>7.0900000000000002E-5</v>
      </c>
    </row>
    <row r="6308" spans="1:5">
      <c r="A6308">
        <v>2023</v>
      </c>
      <c r="B6308" s="3" t="s">
        <v>1133</v>
      </c>
      <c r="C6308" t="s">
        <v>1962</v>
      </c>
      <c r="D6308" s="9">
        <v>71339</v>
      </c>
      <c r="E6308">
        <v>4.5800000000000002E-5</v>
      </c>
    </row>
    <row r="6309" spans="1:5">
      <c r="A6309">
        <v>2023</v>
      </c>
      <c r="B6309" s="3" t="s">
        <v>1994</v>
      </c>
      <c r="C6309" t="s">
        <v>1963</v>
      </c>
      <c r="D6309" s="9">
        <v>99778</v>
      </c>
      <c r="E6309">
        <v>6.41E-5</v>
      </c>
    </row>
    <row r="6310" spans="1:5">
      <c r="A6310">
        <v>2023</v>
      </c>
      <c r="B6310" s="3" t="s">
        <v>1246</v>
      </c>
      <c r="C6310" t="s">
        <v>1964</v>
      </c>
      <c r="D6310" s="9">
        <v>140252</v>
      </c>
      <c r="E6310">
        <v>9.0099999999999995E-5</v>
      </c>
    </row>
    <row r="6311" spans="1:5">
      <c r="A6311">
        <v>2023</v>
      </c>
      <c r="B6311" s="3" t="s">
        <v>1135</v>
      </c>
      <c r="C6311" t="s">
        <v>1965</v>
      </c>
      <c r="D6311" s="9">
        <v>319721</v>
      </c>
      <c r="E6311">
        <v>2.0550000000000001E-4</v>
      </c>
    </row>
    <row r="6312" spans="1:5">
      <c r="A6312">
        <v>2023</v>
      </c>
      <c r="B6312" s="3" t="s">
        <v>1136</v>
      </c>
      <c r="C6312" t="s">
        <v>1966</v>
      </c>
      <c r="D6312" s="9">
        <v>693338</v>
      </c>
      <c r="E6312">
        <v>4.4559999999999999E-4</v>
      </c>
    </row>
    <row r="6313" spans="1:5">
      <c r="A6313">
        <v>2023</v>
      </c>
      <c r="B6313" s="3" t="s">
        <v>458</v>
      </c>
      <c r="C6313" t="s">
        <v>1967</v>
      </c>
      <c r="D6313" s="9">
        <v>183191</v>
      </c>
      <c r="E6313">
        <v>1.177E-4</v>
      </c>
    </row>
    <row r="6314" spans="1:5">
      <c r="A6314">
        <v>2023</v>
      </c>
      <c r="B6314" s="3" t="s">
        <v>1137</v>
      </c>
      <c r="C6314" t="s">
        <v>1968</v>
      </c>
      <c r="D6314" s="9">
        <v>291449</v>
      </c>
      <c r="E6314">
        <v>1.873E-4</v>
      </c>
    </row>
    <row r="6315" spans="1:5">
      <c r="A6315">
        <v>2023</v>
      </c>
      <c r="B6315" s="3" t="s">
        <v>1247</v>
      </c>
      <c r="C6315" t="s">
        <v>1969</v>
      </c>
      <c r="D6315" s="9">
        <v>35977</v>
      </c>
      <c r="E6315">
        <v>2.3099999999999999E-5</v>
      </c>
    </row>
    <row r="6316" spans="1:5">
      <c r="A6316">
        <v>2023</v>
      </c>
      <c r="B6316" s="3" t="s">
        <v>1138</v>
      </c>
      <c r="C6316" t="s">
        <v>1083</v>
      </c>
      <c r="D6316" s="9"/>
    </row>
    <row r="6317" spans="1:5">
      <c r="A6317">
        <v>2023</v>
      </c>
      <c r="B6317" s="3" t="s">
        <v>96</v>
      </c>
      <c r="C6317" t="s">
        <v>1970</v>
      </c>
      <c r="D6317" s="9">
        <v>26339</v>
      </c>
      <c r="E6317">
        <v>1.6900000000000001E-5</v>
      </c>
    </row>
    <row r="6318" spans="1:5">
      <c r="A6318">
        <v>2023</v>
      </c>
      <c r="B6318" s="3" t="s">
        <v>1139</v>
      </c>
      <c r="C6318" t="s">
        <v>1084</v>
      </c>
      <c r="D6318" s="9">
        <v>62369</v>
      </c>
      <c r="E6318">
        <v>4.0099999999999999E-5</v>
      </c>
    </row>
    <row r="6319" spans="1:5">
      <c r="A6319">
        <v>2023</v>
      </c>
      <c r="B6319" s="3" t="s">
        <v>1141</v>
      </c>
      <c r="C6319" t="s">
        <v>1971</v>
      </c>
      <c r="D6319" s="9">
        <v>26566</v>
      </c>
      <c r="E6319">
        <v>1.7099999999999999E-5</v>
      </c>
    </row>
    <row r="6320" spans="1:5">
      <c r="A6320">
        <v>2023</v>
      </c>
      <c r="B6320" s="3" t="s">
        <v>1142</v>
      </c>
      <c r="C6320" t="s">
        <v>1087</v>
      </c>
      <c r="D6320" s="9">
        <v>255197</v>
      </c>
      <c r="E6320">
        <v>1.64E-4</v>
      </c>
    </row>
    <row r="6321" spans="1:5">
      <c r="A6321">
        <v>2023</v>
      </c>
      <c r="B6321" s="3" t="s">
        <v>1143</v>
      </c>
      <c r="C6321" t="s">
        <v>1088</v>
      </c>
      <c r="D6321" s="9"/>
    </row>
    <row r="6322" spans="1:5">
      <c r="A6322">
        <v>2023</v>
      </c>
      <c r="B6322" s="3" t="s">
        <v>1144</v>
      </c>
      <c r="C6322" t="s">
        <v>1089</v>
      </c>
      <c r="D6322" s="9"/>
    </row>
    <row r="6323" spans="1:5">
      <c r="A6323">
        <v>2023</v>
      </c>
      <c r="B6323" s="3" t="s">
        <v>1146</v>
      </c>
      <c r="C6323" t="s">
        <v>1973</v>
      </c>
      <c r="D6323" s="9">
        <v>10857712</v>
      </c>
      <c r="E6323">
        <v>6.9779000000000004E-3</v>
      </c>
    </row>
    <row r="6324" spans="1:5">
      <c r="A6324">
        <v>2023</v>
      </c>
      <c r="B6324" s="3" t="s">
        <v>1147</v>
      </c>
      <c r="C6324" t="s">
        <v>1092</v>
      </c>
      <c r="D6324" s="9">
        <v>4273</v>
      </c>
      <c r="E6324">
        <v>2.7E-6</v>
      </c>
    </row>
    <row r="6325" spans="1:5">
      <c r="A6325">
        <v>2023</v>
      </c>
      <c r="B6325" s="3" t="s">
        <v>1148</v>
      </c>
      <c r="C6325" t="s">
        <v>1974</v>
      </c>
      <c r="D6325" s="9">
        <v>263030</v>
      </c>
      <c r="E6325">
        <v>1.6899999999999999E-4</v>
      </c>
    </row>
    <row r="6326" spans="1:5">
      <c r="A6326">
        <v>2023</v>
      </c>
      <c r="B6326" s="3" t="s">
        <v>1248</v>
      </c>
      <c r="C6326" t="s">
        <v>1975</v>
      </c>
      <c r="D6326" s="9">
        <v>83455</v>
      </c>
      <c r="E6326">
        <v>5.3600000000000002E-5</v>
      </c>
    </row>
    <row r="6327" spans="1:5">
      <c r="A6327">
        <v>2023</v>
      </c>
      <c r="B6327" s="3" t="s">
        <v>1149</v>
      </c>
      <c r="C6327" t="s">
        <v>1094</v>
      </c>
      <c r="D6327" s="9">
        <v>336694</v>
      </c>
      <c r="E6327">
        <v>2.164E-4</v>
      </c>
    </row>
    <row r="6328" spans="1:5">
      <c r="A6328">
        <v>2023</v>
      </c>
      <c r="B6328" s="3" t="s">
        <v>1150</v>
      </c>
      <c r="C6328" t="s">
        <v>1976</v>
      </c>
      <c r="D6328" s="9">
        <v>232405</v>
      </c>
      <c r="E6328">
        <v>1.494E-4</v>
      </c>
    </row>
    <row r="6329" spans="1:5">
      <c r="A6329">
        <v>2023</v>
      </c>
      <c r="B6329" s="3" t="s">
        <v>459</v>
      </c>
      <c r="C6329" t="s">
        <v>1977</v>
      </c>
      <c r="D6329" s="9">
        <v>6174743</v>
      </c>
      <c r="E6329">
        <v>3.9683000000000001E-3</v>
      </c>
    </row>
    <row r="6330" spans="1:5">
      <c r="A6330">
        <v>2023</v>
      </c>
      <c r="B6330" s="3" t="s">
        <v>1152</v>
      </c>
      <c r="C6330" t="s">
        <v>1979</v>
      </c>
      <c r="D6330" s="9">
        <v>1572319</v>
      </c>
      <c r="E6330">
        <v>1.0104999999999999E-3</v>
      </c>
    </row>
    <row r="6331" spans="1:5">
      <c r="A6331">
        <v>2023</v>
      </c>
      <c r="B6331" s="3" t="s">
        <v>1249</v>
      </c>
      <c r="C6331" t="s">
        <v>1980</v>
      </c>
      <c r="D6331" s="9">
        <v>127939</v>
      </c>
      <c r="E6331">
        <v>8.2200000000000006E-5</v>
      </c>
    </row>
    <row r="6332" spans="1:5">
      <c r="A6332">
        <v>2023</v>
      </c>
      <c r="B6332" s="3" t="s">
        <v>1153</v>
      </c>
      <c r="C6332" t="s">
        <v>1981</v>
      </c>
      <c r="D6332" s="9">
        <v>228228</v>
      </c>
      <c r="E6332">
        <v>1.4669999999999999E-4</v>
      </c>
    </row>
    <row r="6333" spans="1:5">
      <c r="A6333">
        <v>2023</v>
      </c>
      <c r="B6333" s="3" t="s">
        <v>1154</v>
      </c>
      <c r="C6333" t="s">
        <v>1982</v>
      </c>
      <c r="D6333" s="9">
        <v>9755973</v>
      </c>
      <c r="E6333">
        <v>6.2699000000000001E-3</v>
      </c>
    </row>
    <row r="6334" spans="1:5">
      <c r="A6334">
        <v>2023</v>
      </c>
      <c r="B6334" s="3" t="s">
        <v>1209</v>
      </c>
      <c r="C6334" t="s">
        <v>1983</v>
      </c>
      <c r="D6334" s="9">
        <v>10375873</v>
      </c>
      <c r="E6334">
        <v>6.6683000000000003E-3</v>
      </c>
    </row>
    <row r="6335" spans="1:5">
      <c r="A6335">
        <v>2023</v>
      </c>
      <c r="B6335" s="3" t="s">
        <v>460</v>
      </c>
      <c r="C6335" t="s">
        <v>1984</v>
      </c>
      <c r="D6335" s="9">
        <v>11465254</v>
      </c>
      <c r="E6335">
        <v>7.3683999999999998E-3</v>
      </c>
    </row>
    <row r="6336" spans="1:5">
      <c r="A6336">
        <v>2023</v>
      </c>
      <c r="B6336" s="3" t="s">
        <v>1210</v>
      </c>
      <c r="C6336" t="s">
        <v>1985</v>
      </c>
      <c r="D6336" s="9">
        <v>1058204</v>
      </c>
      <c r="E6336">
        <v>6.801E-4</v>
      </c>
    </row>
    <row r="6337" spans="1:5">
      <c r="A6337">
        <v>2023</v>
      </c>
      <c r="B6337" s="3" t="s">
        <v>1250</v>
      </c>
      <c r="C6337" t="s">
        <v>1986</v>
      </c>
      <c r="D6337" s="9">
        <v>234671</v>
      </c>
      <c r="E6337">
        <v>1.5080000000000001E-4</v>
      </c>
    </row>
    <row r="6338" spans="1:5">
      <c r="A6338">
        <v>2023</v>
      </c>
      <c r="B6338" s="3" t="s">
        <v>1211</v>
      </c>
      <c r="C6338" t="s">
        <v>1157</v>
      </c>
      <c r="D6338" s="9">
        <v>5153</v>
      </c>
      <c r="E6338">
        <v>3.3000000000000002E-6</v>
      </c>
    </row>
    <row r="6339" spans="1:5">
      <c r="A6339">
        <v>2023</v>
      </c>
      <c r="B6339" s="3" t="s">
        <v>1483</v>
      </c>
      <c r="C6339" t="s">
        <v>1482</v>
      </c>
      <c r="D6339" s="9">
        <v>114305</v>
      </c>
      <c r="E6339">
        <v>7.3499999999999998E-5</v>
      </c>
    </row>
    <row r="6340" spans="1:5">
      <c r="A6340">
        <v>2023</v>
      </c>
      <c r="B6340" s="3" t="s">
        <v>1212</v>
      </c>
      <c r="C6340" t="s">
        <v>1987</v>
      </c>
      <c r="D6340" s="9">
        <v>2045782</v>
      </c>
      <c r="E6340">
        <v>1.3148000000000001E-3</v>
      </c>
    </row>
    <row r="6341" spans="1:5">
      <c r="A6341">
        <v>2023</v>
      </c>
      <c r="B6341" s="3" t="s">
        <v>1213</v>
      </c>
      <c r="C6341" t="s">
        <v>1988</v>
      </c>
      <c r="D6341" s="9">
        <v>10897465</v>
      </c>
      <c r="E6341">
        <v>7.0035000000000002E-3</v>
      </c>
    </row>
    <row r="6342" spans="1:5">
      <c r="A6342">
        <v>2023</v>
      </c>
      <c r="B6342" s="3" t="s">
        <v>461</v>
      </c>
      <c r="C6342" t="s">
        <v>1989</v>
      </c>
      <c r="D6342" s="9">
        <v>1521533</v>
      </c>
      <c r="E6342">
        <v>9.7780000000000002E-4</v>
      </c>
    </row>
    <row r="6343" spans="1:5">
      <c r="A6343">
        <v>2023</v>
      </c>
      <c r="B6343" s="3" t="s">
        <v>1214</v>
      </c>
      <c r="C6343" t="s">
        <v>1990</v>
      </c>
      <c r="D6343" s="9">
        <v>674940</v>
      </c>
      <c r="E6343">
        <v>4.3379999999999997E-4</v>
      </c>
    </row>
    <row r="6344" spans="1:5">
      <c r="A6344">
        <v>2023</v>
      </c>
      <c r="B6344" s="3" t="s">
        <v>1215</v>
      </c>
      <c r="C6344" t="s">
        <v>1991</v>
      </c>
      <c r="D6344" s="9">
        <v>686845</v>
      </c>
      <c r="E6344">
        <v>4.414E-4</v>
      </c>
    </row>
    <row r="6345" spans="1:5">
      <c r="A6345">
        <v>2023</v>
      </c>
      <c r="B6345" s="3" t="s">
        <v>462</v>
      </c>
      <c r="C6345" t="s">
        <v>1992</v>
      </c>
      <c r="D6345" s="9">
        <v>116602</v>
      </c>
      <c r="E6345">
        <v>7.4900000000000005E-5</v>
      </c>
    </row>
    <row r="6346" spans="1:5">
      <c r="A6346">
        <v>2023</v>
      </c>
      <c r="B6346" s="3" t="s">
        <v>1217</v>
      </c>
      <c r="C6346" t="s">
        <v>1993</v>
      </c>
      <c r="D6346" s="9">
        <v>100794</v>
      </c>
      <c r="E6346">
        <v>6.4800000000000003E-5</v>
      </c>
    </row>
    <row r="6347" spans="1:5">
      <c r="A6347">
        <v>2023</v>
      </c>
      <c r="B6347" s="3" t="s">
        <v>1218</v>
      </c>
      <c r="C6347" t="s">
        <v>1995</v>
      </c>
      <c r="D6347" s="9">
        <v>105028</v>
      </c>
      <c r="E6347">
        <v>6.7500000000000001E-5</v>
      </c>
    </row>
    <row r="6348" spans="1:5">
      <c r="A6348">
        <v>2023</v>
      </c>
      <c r="B6348" s="3" t="s">
        <v>1255</v>
      </c>
      <c r="C6348" t="s">
        <v>1201</v>
      </c>
      <c r="D6348" s="9">
        <v>8080</v>
      </c>
      <c r="E6348">
        <v>5.2000000000000002E-6</v>
      </c>
    </row>
    <row r="6349" spans="1:5">
      <c r="A6349">
        <v>2023</v>
      </c>
      <c r="B6349" s="3" t="s">
        <v>1256</v>
      </c>
      <c r="C6349" t="s">
        <v>1202</v>
      </c>
      <c r="D6349" s="9">
        <v>66476</v>
      </c>
      <c r="E6349">
        <v>4.2700000000000001E-5</v>
      </c>
    </row>
    <row r="6350" spans="1:5">
      <c r="A6350">
        <v>2023</v>
      </c>
      <c r="B6350" s="3" t="s">
        <v>1257</v>
      </c>
      <c r="C6350" t="s">
        <v>1996</v>
      </c>
      <c r="D6350" s="9">
        <v>1461657</v>
      </c>
      <c r="E6350">
        <v>9.3939999999999996E-4</v>
      </c>
    </row>
    <row r="6351" spans="1:5">
      <c r="A6351">
        <v>2023</v>
      </c>
      <c r="B6351" s="3" t="s">
        <v>1258</v>
      </c>
      <c r="C6351" t="s">
        <v>1204</v>
      </c>
      <c r="D6351" s="9">
        <v>1638683</v>
      </c>
      <c r="E6351">
        <v>1.0531E-3</v>
      </c>
    </row>
    <row r="6352" spans="1:5">
      <c r="A6352">
        <v>2023</v>
      </c>
      <c r="B6352" s="3" t="s">
        <v>1259</v>
      </c>
      <c r="C6352" t="s">
        <v>1205</v>
      </c>
      <c r="D6352" s="9">
        <v>388111</v>
      </c>
      <c r="E6352">
        <v>2.4939999999999999E-4</v>
      </c>
    </row>
    <row r="6353" spans="1:5">
      <c r="A6353">
        <v>2023</v>
      </c>
      <c r="B6353" s="3" t="s">
        <v>1260</v>
      </c>
      <c r="C6353" t="s">
        <v>1206</v>
      </c>
      <c r="D6353" s="9">
        <v>83874</v>
      </c>
      <c r="E6353">
        <v>5.3900000000000002E-5</v>
      </c>
    </row>
    <row r="6354" spans="1:5">
      <c r="A6354">
        <v>2023</v>
      </c>
      <c r="B6354" s="3" t="s">
        <v>1261</v>
      </c>
      <c r="C6354" t="s">
        <v>1997</v>
      </c>
      <c r="D6354" s="9">
        <v>41323938</v>
      </c>
      <c r="E6354">
        <v>2.65577E-2</v>
      </c>
    </row>
    <row r="6355" spans="1:5">
      <c r="A6355">
        <v>2023</v>
      </c>
      <c r="B6355" s="3" t="s">
        <v>1262</v>
      </c>
      <c r="C6355" t="s">
        <v>1208</v>
      </c>
      <c r="D6355" s="9">
        <v>68353</v>
      </c>
      <c r="E6355">
        <v>4.3900000000000003E-5</v>
      </c>
    </row>
    <row r="6356" spans="1:5">
      <c r="A6356">
        <v>2023</v>
      </c>
      <c r="B6356" s="3" t="s">
        <v>1251</v>
      </c>
      <c r="C6356" t="s">
        <v>1998</v>
      </c>
      <c r="D6356" s="9">
        <v>29867</v>
      </c>
      <c r="E6356">
        <v>1.9199999999999999E-5</v>
      </c>
    </row>
    <row r="6357" spans="1:5">
      <c r="A6357">
        <v>2023</v>
      </c>
      <c r="B6357" s="3" t="s">
        <v>1311</v>
      </c>
      <c r="C6357" t="s">
        <v>2414</v>
      </c>
      <c r="D6357" s="9">
        <v>1138714</v>
      </c>
      <c r="E6357">
        <v>7.3180000000000001E-4</v>
      </c>
    </row>
    <row r="6358" spans="1:5">
      <c r="A6358">
        <v>2023</v>
      </c>
      <c r="B6358" s="3" t="s">
        <v>1312</v>
      </c>
      <c r="C6358" t="s">
        <v>2000</v>
      </c>
      <c r="D6358" s="9">
        <v>59023609</v>
      </c>
      <c r="E6358">
        <v>3.79327E-2</v>
      </c>
    </row>
    <row r="6359" spans="1:5">
      <c r="A6359">
        <v>2023</v>
      </c>
      <c r="B6359" s="3" t="s">
        <v>1313</v>
      </c>
      <c r="C6359" t="s">
        <v>2001</v>
      </c>
      <c r="D6359" s="9">
        <v>11717714</v>
      </c>
      <c r="E6359">
        <v>7.5306000000000001E-3</v>
      </c>
    </row>
    <row r="6360" spans="1:5">
      <c r="A6360">
        <v>2023</v>
      </c>
      <c r="B6360" s="3" t="s">
        <v>1314</v>
      </c>
      <c r="C6360" t="s">
        <v>2002</v>
      </c>
      <c r="D6360" s="9">
        <v>90353</v>
      </c>
      <c r="E6360">
        <v>5.8100000000000003E-5</v>
      </c>
    </row>
    <row r="6361" spans="1:5">
      <c r="A6361">
        <v>2023</v>
      </c>
      <c r="B6361" s="3" t="s">
        <v>1035</v>
      </c>
      <c r="C6361" t="s">
        <v>2003</v>
      </c>
      <c r="D6361" s="9">
        <v>354047</v>
      </c>
      <c r="E6361">
        <v>2.275E-4</v>
      </c>
    </row>
    <row r="6362" spans="1:5">
      <c r="A6362">
        <v>2023</v>
      </c>
      <c r="B6362" s="3" t="s">
        <v>1315</v>
      </c>
      <c r="C6362" t="s">
        <v>2394</v>
      </c>
      <c r="D6362" s="9">
        <v>33775</v>
      </c>
      <c r="E6362">
        <v>2.1699999999999999E-5</v>
      </c>
    </row>
    <row r="6363" spans="1:5">
      <c r="A6363">
        <v>2023</v>
      </c>
      <c r="B6363" s="3" t="s">
        <v>1033</v>
      </c>
      <c r="C6363" t="s">
        <v>2005</v>
      </c>
      <c r="D6363" s="9">
        <v>3622966</v>
      </c>
      <c r="E6363">
        <v>2.3284E-3</v>
      </c>
    </row>
    <row r="6364" spans="1:5">
      <c r="A6364">
        <v>2023</v>
      </c>
      <c r="B6364" s="3" t="s">
        <v>1316</v>
      </c>
      <c r="C6364" t="s">
        <v>2459</v>
      </c>
      <c r="D6364" s="9">
        <v>456017</v>
      </c>
      <c r="E6364">
        <v>2.9310000000000002E-4</v>
      </c>
    </row>
    <row r="6365" spans="1:5">
      <c r="A6365">
        <v>2023</v>
      </c>
      <c r="B6365" s="3" t="s">
        <v>1317</v>
      </c>
      <c r="C6365" t="s">
        <v>2007</v>
      </c>
      <c r="D6365" s="9">
        <v>131513</v>
      </c>
      <c r="E6365">
        <v>8.4499999999999994E-5</v>
      </c>
    </row>
    <row r="6366" spans="1:5">
      <c r="A6366">
        <v>2023</v>
      </c>
      <c r="B6366" s="3" t="s">
        <v>786</v>
      </c>
      <c r="C6366" t="s">
        <v>2460</v>
      </c>
      <c r="D6366" s="9">
        <v>34441696</v>
      </c>
      <c r="E6366">
        <v>2.21347E-2</v>
      </c>
    </row>
    <row r="6367" spans="1:5">
      <c r="A6367">
        <v>2023</v>
      </c>
      <c r="B6367" s="3" t="s">
        <v>1319</v>
      </c>
      <c r="C6367" t="s">
        <v>1271</v>
      </c>
      <c r="D6367" s="9">
        <v>47303</v>
      </c>
      <c r="E6367">
        <v>3.04E-5</v>
      </c>
    </row>
    <row r="6368" spans="1:5">
      <c r="A6368">
        <v>2023</v>
      </c>
      <c r="B6368" s="3" t="s">
        <v>1320</v>
      </c>
      <c r="C6368" t="s">
        <v>2009</v>
      </c>
      <c r="D6368" s="9">
        <v>139786</v>
      </c>
      <c r="E6368">
        <v>8.9800000000000001E-5</v>
      </c>
    </row>
    <row r="6369" spans="1:5">
      <c r="A6369">
        <v>2023</v>
      </c>
      <c r="B6369" s="3" t="s">
        <v>1323</v>
      </c>
      <c r="C6369" t="s">
        <v>2011</v>
      </c>
      <c r="D6369" s="9">
        <v>16073263</v>
      </c>
      <c r="E6369">
        <v>1.03298E-2</v>
      </c>
    </row>
    <row r="6370" spans="1:5">
      <c r="A6370">
        <v>2023</v>
      </c>
      <c r="B6370" s="3" t="s">
        <v>1325</v>
      </c>
      <c r="C6370" t="s">
        <v>2395</v>
      </c>
      <c r="D6370" s="9">
        <v>127971</v>
      </c>
      <c r="E6370">
        <v>8.2200000000000006E-5</v>
      </c>
    </row>
    <row r="6371" spans="1:5">
      <c r="A6371">
        <v>2023</v>
      </c>
      <c r="B6371" s="3" t="s">
        <v>1252</v>
      </c>
      <c r="C6371" t="s">
        <v>2013</v>
      </c>
      <c r="D6371" s="9">
        <v>139709</v>
      </c>
      <c r="E6371">
        <v>8.9800000000000001E-5</v>
      </c>
    </row>
    <row r="6372" spans="1:5">
      <c r="A6372">
        <v>2023</v>
      </c>
      <c r="B6372" s="3" t="s">
        <v>1326</v>
      </c>
      <c r="C6372" t="s">
        <v>2014</v>
      </c>
      <c r="D6372" s="9">
        <v>101777</v>
      </c>
      <c r="E6372">
        <v>6.5400000000000004E-5</v>
      </c>
    </row>
    <row r="6373" spans="1:5">
      <c r="A6373">
        <v>2023</v>
      </c>
      <c r="B6373" s="3" t="s">
        <v>1327</v>
      </c>
      <c r="C6373" t="s">
        <v>1279</v>
      </c>
      <c r="D6373" s="9">
        <v>1523298</v>
      </c>
      <c r="E6373">
        <v>9.7900000000000005E-4</v>
      </c>
    </row>
    <row r="6374" spans="1:5">
      <c r="A6374">
        <v>2023</v>
      </c>
      <c r="B6374" s="3" t="s">
        <v>1328</v>
      </c>
      <c r="C6374" t="s">
        <v>1484</v>
      </c>
      <c r="D6374" s="9">
        <v>58640</v>
      </c>
      <c r="E6374">
        <v>3.7700000000000002E-5</v>
      </c>
    </row>
    <row r="6375" spans="1:5">
      <c r="A6375">
        <v>2023</v>
      </c>
      <c r="B6375" s="3" t="s">
        <v>1329</v>
      </c>
      <c r="C6375" t="s">
        <v>1485</v>
      </c>
      <c r="D6375" s="9">
        <v>1605828</v>
      </c>
      <c r="E6375">
        <v>1.0319999999999999E-3</v>
      </c>
    </row>
    <row r="6376" spans="1:5">
      <c r="A6376">
        <v>2023</v>
      </c>
      <c r="B6376" s="3" t="s">
        <v>1332</v>
      </c>
      <c r="C6376" t="s">
        <v>1284</v>
      </c>
      <c r="D6376" s="9">
        <v>14763</v>
      </c>
      <c r="E6376">
        <v>9.5000000000000005E-6</v>
      </c>
    </row>
    <row r="6377" spans="1:5">
      <c r="A6377">
        <v>2023</v>
      </c>
      <c r="B6377" s="3" t="s">
        <v>1333</v>
      </c>
      <c r="C6377" t="s">
        <v>2015</v>
      </c>
      <c r="D6377" s="9">
        <v>6623</v>
      </c>
      <c r="E6377">
        <v>4.3000000000000003E-6</v>
      </c>
    </row>
    <row r="6378" spans="1:5">
      <c r="A6378">
        <v>2023</v>
      </c>
      <c r="B6378" s="3" t="s">
        <v>1334</v>
      </c>
      <c r="C6378" t="s">
        <v>2016</v>
      </c>
      <c r="D6378" s="9">
        <v>1636313</v>
      </c>
      <c r="E6378">
        <v>1.0516E-3</v>
      </c>
    </row>
    <row r="6379" spans="1:5">
      <c r="A6379">
        <v>2023</v>
      </c>
      <c r="B6379" s="3" t="s">
        <v>1335</v>
      </c>
      <c r="C6379" t="s">
        <v>2017</v>
      </c>
      <c r="D6379" s="9">
        <v>905362</v>
      </c>
      <c r="E6379">
        <v>5.8180000000000005E-4</v>
      </c>
    </row>
    <row r="6380" spans="1:5">
      <c r="A6380">
        <v>2023</v>
      </c>
      <c r="B6380" s="3" t="s">
        <v>1253</v>
      </c>
      <c r="C6380" t="s">
        <v>2018</v>
      </c>
      <c r="D6380" s="9">
        <v>484998</v>
      </c>
      <c r="E6380">
        <v>3.1169999999999999E-4</v>
      </c>
    </row>
    <row r="6381" spans="1:5">
      <c r="A6381">
        <v>2023</v>
      </c>
      <c r="B6381" s="3" t="s">
        <v>1336</v>
      </c>
      <c r="C6381" t="s">
        <v>2019</v>
      </c>
      <c r="D6381" s="9">
        <v>881823</v>
      </c>
      <c r="E6381">
        <v>5.6669999999999995E-4</v>
      </c>
    </row>
    <row r="6382" spans="1:5">
      <c r="A6382">
        <v>2023</v>
      </c>
      <c r="B6382" s="3" t="s">
        <v>463</v>
      </c>
      <c r="C6382" t="s">
        <v>2020</v>
      </c>
      <c r="D6382" s="9">
        <v>242228</v>
      </c>
      <c r="E6382">
        <v>1.5569999999999999E-4</v>
      </c>
    </row>
    <row r="6383" spans="1:5">
      <c r="A6383">
        <v>2023</v>
      </c>
      <c r="B6383" s="3" t="s">
        <v>1337</v>
      </c>
      <c r="C6383" t="s">
        <v>2021</v>
      </c>
      <c r="D6383" s="9">
        <v>608911</v>
      </c>
      <c r="E6383">
        <v>3.9130000000000002E-4</v>
      </c>
    </row>
    <row r="6384" spans="1:5">
      <c r="A6384">
        <v>2023</v>
      </c>
      <c r="B6384" s="3" t="s">
        <v>464</v>
      </c>
      <c r="C6384" t="s">
        <v>2022</v>
      </c>
      <c r="D6384" s="9">
        <v>400625</v>
      </c>
      <c r="E6384">
        <v>2.5750000000000002E-4</v>
      </c>
    </row>
    <row r="6385" spans="1:5">
      <c r="A6385">
        <v>2023</v>
      </c>
      <c r="B6385" s="3" t="s">
        <v>1338</v>
      </c>
      <c r="C6385" t="s">
        <v>2023</v>
      </c>
      <c r="D6385" s="9">
        <v>4095</v>
      </c>
      <c r="E6385">
        <v>2.6000000000000001E-6</v>
      </c>
    </row>
    <row r="6386" spans="1:5">
      <c r="A6386">
        <v>2023</v>
      </c>
      <c r="B6386" s="3" t="s">
        <v>907</v>
      </c>
      <c r="C6386" t="s">
        <v>2024</v>
      </c>
      <c r="D6386" s="9">
        <v>50282</v>
      </c>
      <c r="E6386">
        <v>3.2299999999999999E-5</v>
      </c>
    </row>
    <row r="6387" spans="1:5">
      <c r="A6387">
        <v>2023</v>
      </c>
      <c r="B6387" s="3" t="s">
        <v>1339</v>
      </c>
      <c r="C6387" t="s">
        <v>2025</v>
      </c>
      <c r="D6387" s="9">
        <v>836485</v>
      </c>
      <c r="E6387">
        <v>5.3759999999999995E-4</v>
      </c>
    </row>
    <row r="6388" spans="1:5">
      <c r="A6388">
        <v>2023</v>
      </c>
      <c r="B6388" s="3" t="s">
        <v>1340</v>
      </c>
      <c r="C6388" t="s">
        <v>2026</v>
      </c>
      <c r="D6388" s="9">
        <v>1574698</v>
      </c>
      <c r="E6388">
        <v>1.0120000000000001E-3</v>
      </c>
    </row>
    <row r="6389" spans="1:5">
      <c r="A6389">
        <v>2023</v>
      </c>
      <c r="B6389" s="3" t="s">
        <v>1341</v>
      </c>
      <c r="C6389" t="s">
        <v>2027</v>
      </c>
      <c r="D6389" s="9">
        <v>1488580</v>
      </c>
      <c r="E6389">
        <v>9.567E-4</v>
      </c>
    </row>
    <row r="6390" spans="1:5">
      <c r="A6390">
        <v>2023</v>
      </c>
      <c r="B6390" s="3" t="s">
        <v>465</v>
      </c>
      <c r="C6390" t="s">
        <v>2028</v>
      </c>
      <c r="D6390" s="9">
        <v>439013</v>
      </c>
      <c r="E6390">
        <v>2.8210000000000003E-4</v>
      </c>
    </row>
    <row r="6391" spans="1:5">
      <c r="A6391">
        <v>2023</v>
      </c>
      <c r="B6391" s="3" t="s">
        <v>1343</v>
      </c>
      <c r="C6391" t="s">
        <v>2029</v>
      </c>
      <c r="D6391" s="9">
        <v>64803</v>
      </c>
      <c r="E6391">
        <v>4.1600000000000002E-5</v>
      </c>
    </row>
    <row r="6392" spans="1:5">
      <c r="A6392">
        <v>2023</v>
      </c>
      <c r="B6392" s="3" t="s">
        <v>1344</v>
      </c>
      <c r="C6392" t="s">
        <v>2030</v>
      </c>
      <c r="D6392" s="9">
        <v>90679</v>
      </c>
      <c r="E6392">
        <v>5.8300000000000001E-5</v>
      </c>
    </row>
    <row r="6393" spans="1:5">
      <c r="A6393">
        <v>2023</v>
      </c>
      <c r="B6393" s="3" t="s">
        <v>1346</v>
      </c>
      <c r="C6393" t="s">
        <v>1298</v>
      </c>
      <c r="D6393" s="9">
        <v>3214931</v>
      </c>
      <c r="E6393">
        <v>2.0661E-3</v>
      </c>
    </row>
    <row r="6394" spans="1:5">
      <c r="A6394">
        <v>2023</v>
      </c>
      <c r="B6394" s="3" t="s">
        <v>1347</v>
      </c>
      <c r="C6394" t="s">
        <v>1299</v>
      </c>
      <c r="D6394" s="9">
        <v>7930862</v>
      </c>
      <c r="E6394">
        <v>5.0968999999999997E-3</v>
      </c>
    </row>
    <row r="6395" spans="1:5">
      <c r="A6395">
        <v>2023</v>
      </c>
      <c r="B6395" s="3" t="s">
        <v>1348</v>
      </c>
      <c r="C6395" t="s">
        <v>2032</v>
      </c>
      <c r="D6395" s="9">
        <v>94910</v>
      </c>
      <c r="E6395">
        <v>6.0999999999999999E-5</v>
      </c>
    </row>
    <row r="6396" spans="1:5">
      <c r="A6396">
        <v>2023</v>
      </c>
      <c r="B6396" s="3" t="s">
        <v>1349</v>
      </c>
      <c r="C6396" t="s">
        <v>2033</v>
      </c>
      <c r="D6396" s="9">
        <v>247754</v>
      </c>
      <c r="E6396">
        <v>1.5919999999999999E-4</v>
      </c>
    </row>
    <row r="6397" spans="1:5">
      <c r="A6397">
        <v>2023</v>
      </c>
      <c r="B6397" s="3" t="s">
        <v>1254</v>
      </c>
      <c r="C6397" t="s">
        <v>2034</v>
      </c>
      <c r="D6397" s="9">
        <v>104171</v>
      </c>
      <c r="E6397">
        <v>6.69E-5</v>
      </c>
    </row>
    <row r="6398" spans="1:5">
      <c r="A6398">
        <v>2023</v>
      </c>
      <c r="B6398" s="3" t="s">
        <v>1350</v>
      </c>
      <c r="C6398" t="s">
        <v>2035</v>
      </c>
      <c r="D6398" s="9">
        <v>47606</v>
      </c>
      <c r="E6398">
        <v>3.0599999999999998E-5</v>
      </c>
    </row>
    <row r="6399" spans="1:5">
      <c r="A6399">
        <v>2023</v>
      </c>
      <c r="B6399" s="3" t="s">
        <v>1352</v>
      </c>
      <c r="C6399" t="s">
        <v>1304</v>
      </c>
      <c r="D6399" s="9">
        <v>5716825</v>
      </c>
      <c r="E6399">
        <v>3.6740000000000002E-3</v>
      </c>
    </row>
    <row r="6400" spans="1:5">
      <c r="A6400">
        <v>2023</v>
      </c>
      <c r="B6400" s="3" t="s">
        <v>1353</v>
      </c>
      <c r="C6400" t="s">
        <v>1305</v>
      </c>
      <c r="D6400" s="9">
        <v>191630</v>
      </c>
      <c r="E6400">
        <v>1.2320000000000001E-4</v>
      </c>
    </row>
    <row r="6401" spans="1:5">
      <c r="A6401">
        <v>2023</v>
      </c>
      <c r="B6401" s="3" t="s">
        <v>1351</v>
      </c>
      <c r="C6401" t="s">
        <v>2415</v>
      </c>
      <c r="D6401" s="9">
        <v>38001</v>
      </c>
      <c r="E6401">
        <v>2.44E-5</v>
      </c>
    </row>
    <row r="6402" spans="1:5">
      <c r="A6402">
        <v>2023</v>
      </c>
      <c r="B6402" s="3" t="s">
        <v>1354</v>
      </c>
      <c r="C6402" t="s">
        <v>2037</v>
      </c>
      <c r="D6402" s="9"/>
    </row>
    <row r="6403" spans="1:5">
      <c r="A6403">
        <v>2023</v>
      </c>
      <c r="B6403" s="3" t="s">
        <v>1355</v>
      </c>
      <c r="C6403" t="s">
        <v>2038</v>
      </c>
      <c r="D6403" s="9">
        <v>6472801</v>
      </c>
      <c r="E6403">
        <v>4.1599000000000002E-3</v>
      </c>
    </row>
    <row r="6404" spans="1:5">
      <c r="A6404">
        <v>2023</v>
      </c>
      <c r="B6404" s="3" t="s">
        <v>1357</v>
      </c>
      <c r="C6404" t="s">
        <v>2039</v>
      </c>
      <c r="D6404" s="9">
        <v>174300</v>
      </c>
      <c r="E6404">
        <v>1.12E-4</v>
      </c>
    </row>
    <row r="6405" spans="1:5">
      <c r="A6405">
        <v>2023</v>
      </c>
      <c r="B6405" s="3" t="s">
        <v>2043</v>
      </c>
      <c r="C6405" t="s">
        <v>2040</v>
      </c>
      <c r="D6405" s="9">
        <v>41328</v>
      </c>
      <c r="E6405">
        <v>2.6599999999999999E-5</v>
      </c>
    </row>
    <row r="6406" spans="1:5">
      <c r="A6406">
        <v>2023</v>
      </c>
      <c r="B6406" s="3" t="s">
        <v>1358</v>
      </c>
      <c r="C6406" t="s">
        <v>2041</v>
      </c>
      <c r="D6406" s="9">
        <v>7827466</v>
      </c>
      <c r="E6406">
        <v>5.0305000000000002E-3</v>
      </c>
    </row>
    <row r="6407" spans="1:5">
      <c r="A6407">
        <v>2023</v>
      </c>
      <c r="B6407" s="3" t="s">
        <v>466</v>
      </c>
      <c r="C6407" t="s">
        <v>2042</v>
      </c>
      <c r="D6407" s="9">
        <v>4604217</v>
      </c>
      <c r="E6407">
        <v>2.9589999999999998E-3</v>
      </c>
    </row>
  </sheetData>
  <autoFilter ref="A1:E6407" xr:uid="{8CFF89B4-1DDE-1445-9850-C734DC084C5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0283-F33A-9346-8C0D-E83E066148B7}">
  <sheetPr>
    <tabColor theme="0" tint="-0.249977111117893"/>
  </sheetPr>
  <dimension ref="A1:F6407"/>
  <sheetViews>
    <sheetView workbookViewId="0">
      <selection activeCell="C23" sqref="C23"/>
    </sheetView>
  </sheetViews>
  <sheetFormatPr baseColWidth="10" defaultRowHeight="16"/>
  <cols>
    <col min="1" max="1" width="5.1640625" bestFit="1" customWidth="1"/>
    <col min="2" max="2" width="13.5" bestFit="1" customWidth="1"/>
    <col min="3" max="4" width="72.33203125" bestFit="1" customWidth="1"/>
    <col min="5" max="5" width="19.6640625" bestFit="1" customWidth="1"/>
    <col min="6" max="6" width="19.5" style="12" bestFit="1" customWidth="1"/>
  </cols>
  <sheetData>
    <row r="1" spans="1:6" s="1" customFormat="1">
      <c r="A1" s="1" t="s">
        <v>0</v>
      </c>
      <c r="B1" s="1" t="s">
        <v>1</v>
      </c>
      <c r="C1" s="1" t="s">
        <v>2463</v>
      </c>
      <c r="D1" s="1" t="s">
        <v>2</v>
      </c>
      <c r="E1" s="1" t="s">
        <v>3</v>
      </c>
      <c r="F1" s="11" t="s">
        <v>221</v>
      </c>
    </row>
    <row r="2" spans="1:6">
      <c r="A2" s="10">
        <v>2015</v>
      </c>
      <c r="B2" t="s">
        <v>57</v>
      </c>
      <c r="C2" t="s">
        <v>1564</v>
      </c>
      <c r="D2" t="s">
        <v>4</v>
      </c>
      <c r="E2" s="10">
        <v>4565257</v>
      </c>
      <c r="F2" s="12">
        <v>4.5515E-3</v>
      </c>
    </row>
    <row r="3" spans="1:6">
      <c r="A3" s="10">
        <v>2015</v>
      </c>
      <c r="B3" t="s">
        <v>58</v>
      </c>
      <c r="C3" t="s">
        <v>1508</v>
      </c>
      <c r="D3" t="s">
        <v>5</v>
      </c>
      <c r="E3" s="10">
        <v>478197</v>
      </c>
      <c r="F3" s="12">
        <v>4.7679999999999999E-4</v>
      </c>
    </row>
    <row r="4" spans="1:6">
      <c r="A4" s="10">
        <v>2015</v>
      </c>
      <c r="B4" t="s">
        <v>59</v>
      </c>
      <c r="C4" t="s">
        <v>6</v>
      </c>
      <c r="D4" t="s">
        <v>6</v>
      </c>
      <c r="E4" s="10">
        <v>28397</v>
      </c>
      <c r="F4" s="12">
        <v>2.83E-5</v>
      </c>
    </row>
    <row r="5" spans="1:6">
      <c r="A5" s="10">
        <v>2015</v>
      </c>
      <c r="B5" t="s">
        <v>60</v>
      </c>
      <c r="C5" t="s">
        <v>7</v>
      </c>
      <c r="D5" t="s">
        <v>7</v>
      </c>
      <c r="E5" s="10">
        <v>263201</v>
      </c>
      <c r="F5" s="12">
        <v>2.6239999999999998E-4</v>
      </c>
    </row>
    <row r="6" spans="1:6">
      <c r="A6" s="10">
        <v>2015</v>
      </c>
      <c r="B6" t="s">
        <v>61</v>
      </c>
      <c r="C6" t="s">
        <v>1487</v>
      </c>
      <c r="D6" t="s">
        <v>8</v>
      </c>
      <c r="E6" s="10">
        <v>66764</v>
      </c>
      <c r="F6" s="12">
        <v>6.6600000000000006E-5</v>
      </c>
    </row>
    <row r="7" spans="1:6">
      <c r="A7" s="10">
        <v>2015</v>
      </c>
      <c r="B7" t="s">
        <v>62</v>
      </c>
      <c r="C7" t="s">
        <v>9</v>
      </c>
      <c r="D7" t="s">
        <v>9</v>
      </c>
      <c r="E7" s="10">
        <v>77520</v>
      </c>
      <c r="F7" s="12">
        <v>7.7299999999999995E-5</v>
      </c>
    </row>
    <row r="8" spans="1:6">
      <c r="A8" s="10">
        <v>2015</v>
      </c>
      <c r="B8" t="s">
        <v>63</v>
      </c>
      <c r="C8" t="s">
        <v>1488</v>
      </c>
      <c r="D8" t="s">
        <v>10</v>
      </c>
      <c r="E8" s="10">
        <v>134215</v>
      </c>
      <c r="F8" s="12">
        <v>1.338E-4</v>
      </c>
    </row>
    <row r="9" spans="1:6">
      <c r="A9" s="10">
        <v>2015</v>
      </c>
      <c r="B9" t="s">
        <v>64</v>
      </c>
      <c r="C9" t="s">
        <v>1489</v>
      </c>
      <c r="D9" t="s">
        <v>11</v>
      </c>
      <c r="E9" s="10">
        <v>3407931</v>
      </c>
      <c r="F9" s="12">
        <v>3.3976000000000002E-3</v>
      </c>
    </row>
    <row r="10" spans="1:6">
      <c r="A10" s="10">
        <v>2015</v>
      </c>
      <c r="B10" t="s">
        <v>65</v>
      </c>
      <c r="C10" t="s">
        <v>1490</v>
      </c>
      <c r="D10" t="s">
        <v>12</v>
      </c>
      <c r="E10" s="10">
        <v>98855</v>
      </c>
      <c r="F10" s="12">
        <v>9.8599999999999998E-5</v>
      </c>
    </row>
    <row r="11" spans="1:6">
      <c r="A11" s="10">
        <v>2015</v>
      </c>
      <c r="B11" t="s">
        <v>66</v>
      </c>
      <c r="C11" t="s">
        <v>1491</v>
      </c>
      <c r="D11" t="s">
        <v>13</v>
      </c>
      <c r="E11" s="10">
        <v>70606</v>
      </c>
      <c r="F11" s="12">
        <v>7.0400000000000004E-5</v>
      </c>
    </row>
    <row r="12" spans="1:6">
      <c r="A12" s="10">
        <v>2015</v>
      </c>
      <c r="B12" t="s">
        <v>67</v>
      </c>
      <c r="C12" t="s">
        <v>1492</v>
      </c>
      <c r="D12" t="s">
        <v>14</v>
      </c>
      <c r="E12" s="10">
        <v>212251</v>
      </c>
      <c r="F12" s="12">
        <v>2.1159999999999999E-4</v>
      </c>
    </row>
    <row r="13" spans="1:6">
      <c r="A13" s="10">
        <v>2015</v>
      </c>
      <c r="B13" t="s">
        <v>68</v>
      </c>
      <c r="C13" t="s">
        <v>1493</v>
      </c>
      <c r="D13" t="s">
        <v>15</v>
      </c>
      <c r="E13" s="10">
        <v>24816</v>
      </c>
      <c r="F13" s="12">
        <v>2.4700000000000001E-5</v>
      </c>
    </row>
    <row r="14" spans="1:6">
      <c r="A14" s="10">
        <v>2015</v>
      </c>
      <c r="B14" t="s">
        <v>69</v>
      </c>
      <c r="C14" t="s">
        <v>1494</v>
      </c>
      <c r="D14" t="s">
        <v>16</v>
      </c>
      <c r="E14" s="10">
        <v>319835</v>
      </c>
      <c r="F14" s="12">
        <v>3.189E-4</v>
      </c>
    </row>
    <row r="15" spans="1:6">
      <c r="A15" s="10">
        <v>2015</v>
      </c>
      <c r="B15" t="s">
        <v>70</v>
      </c>
      <c r="C15" t="s">
        <v>1495</v>
      </c>
      <c r="D15" t="s">
        <v>17</v>
      </c>
      <c r="E15" s="10">
        <v>6539212</v>
      </c>
      <c r="F15" s="12">
        <v>6.5195000000000001E-3</v>
      </c>
    </row>
    <row r="16" spans="1:6">
      <c r="A16" s="10">
        <v>2015</v>
      </c>
      <c r="B16" t="s">
        <v>71</v>
      </c>
      <c r="C16" t="s">
        <v>1496</v>
      </c>
      <c r="D16" t="s">
        <v>18</v>
      </c>
      <c r="E16" s="10">
        <v>54805</v>
      </c>
      <c r="F16" s="12">
        <v>5.4599999999999999E-5</v>
      </c>
    </row>
    <row r="17" spans="1:6">
      <c r="A17" s="10">
        <v>2015</v>
      </c>
      <c r="B17" t="s">
        <v>72</v>
      </c>
      <c r="C17" t="s">
        <v>1497</v>
      </c>
      <c r="D17" t="s">
        <v>19</v>
      </c>
      <c r="E17" s="10">
        <v>319595</v>
      </c>
      <c r="F17" s="12">
        <v>3.1859999999999999E-4</v>
      </c>
    </row>
    <row r="18" spans="1:6">
      <c r="A18" s="10">
        <v>2015</v>
      </c>
      <c r="B18" t="s">
        <v>73</v>
      </c>
      <c r="C18" t="s">
        <v>2354</v>
      </c>
      <c r="D18" t="s">
        <v>20</v>
      </c>
      <c r="E18" s="10">
        <v>51434</v>
      </c>
      <c r="F18" s="12">
        <v>5.13E-5</v>
      </c>
    </row>
    <row r="19" spans="1:6">
      <c r="A19" s="10">
        <v>2015</v>
      </c>
      <c r="B19" t="s">
        <v>74</v>
      </c>
      <c r="C19" t="s">
        <v>1498</v>
      </c>
      <c r="D19" t="s">
        <v>21</v>
      </c>
      <c r="E19" s="10">
        <v>52516</v>
      </c>
      <c r="F19" s="12">
        <v>5.24E-5</v>
      </c>
    </row>
    <row r="20" spans="1:6">
      <c r="A20" s="10">
        <v>2015</v>
      </c>
      <c r="B20" t="s">
        <v>75</v>
      </c>
      <c r="C20" t="s">
        <v>1365</v>
      </c>
      <c r="D20" t="s">
        <v>22</v>
      </c>
      <c r="E20" s="10">
        <v>44520</v>
      </c>
      <c r="F20" s="12">
        <v>4.4400000000000002E-5</v>
      </c>
    </row>
    <row r="21" spans="1:6">
      <c r="A21" s="10">
        <v>2015</v>
      </c>
      <c r="B21" t="s">
        <v>76</v>
      </c>
      <c r="C21" t="s">
        <v>1499</v>
      </c>
      <c r="D21" t="s">
        <v>23</v>
      </c>
      <c r="E21" s="10">
        <v>7321963</v>
      </c>
      <c r="F21" s="12">
        <v>7.2998000000000004E-3</v>
      </c>
    </row>
    <row r="22" spans="1:6">
      <c r="A22" s="10">
        <v>2015</v>
      </c>
      <c r="B22" t="s">
        <v>77</v>
      </c>
      <c r="C22" t="s">
        <v>1500</v>
      </c>
      <c r="D22" t="s">
        <v>24</v>
      </c>
      <c r="E22" s="10">
        <v>211863</v>
      </c>
      <c r="F22" s="12">
        <v>2.1120000000000001E-4</v>
      </c>
    </row>
    <row r="23" spans="1:6">
      <c r="A23" s="10">
        <v>2015</v>
      </c>
      <c r="B23" t="s">
        <v>78</v>
      </c>
      <c r="C23" t="s">
        <v>25</v>
      </c>
      <c r="D23" t="s">
        <v>25</v>
      </c>
      <c r="E23" s="10">
        <v>1083072</v>
      </c>
      <c r="F23" s="12">
        <v>1.0797999999999999E-3</v>
      </c>
    </row>
    <row r="24" spans="1:6">
      <c r="A24" s="10">
        <v>2015</v>
      </c>
      <c r="B24" t="s">
        <v>79</v>
      </c>
      <c r="C24" t="s">
        <v>1502</v>
      </c>
      <c r="D24" t="s">
        <v>26</v>
      </c>
      <c r="E24" s="10">
        <v>12061</v>
      </c>
      <c r="F24" s="12">
        <v>1.2E-5</v>
      </c>
    </row>
    <row r="25" spans="1:6">
      <c r="A25" s="10">
        <v>2015</v>
      </c>
      <c r="B25" t="s">
        <v>80</v>
      </c>
      <c r="C25" t="s">
        <v>1503</v>
      </c>
      <c r="D25" t="s">
        <v>27</v>
      </c>
      <c r="E25" s="10">
        <v>2048087</v>
      </c>
      <c r="F25" s="12">
        <v>2.0419000000000001E-3</v>
      </c>
    </row>
    <row r="26" spans="1:6">
      <c r="A26" s="10">
        <v>2015</v>
      </c>
      <c r="B26" t="s">
        <v>81</v>
      </c>
      <c r="C26" t="s">
        <v>1506</v>
      </c>
      <c r="D26" t="s">
        <v>28</v>
      </c>
      <c r="E26" s="10">
        <v>103869</v>
      </c>
      <c r="F26" s="12">
        <v>1.036E-4</v>
      </c>
    </row>
    <row r="27" spans="1:6">
      <c r="A27" s="10">
        <v>2015</v>
      </c>
      <c r="B27" t="s">
        <v>82</v>
      </c>
      <c r="C27" t="s">
        <v>1509</v>
      </c>
      <c r="D27" t="s">
        <v>29</v>
      </c>
      <c r="E27" s="10">
        <v>34884</v>
      </c>
      <c r="F27" s="12">
        <v>3.4799999999999999E-5</v>
      </c>
    </row>
    <row r="28" spans="1:6">
      <c r="A28" s="10">
        <v>2015</v>
      </c>
      <c r="B28" t="s">
        <v>83</v>
      </c>
      <c r="C28" t="s">
        <v>30</v>
      </c>
      <c r="D28" t="s">
        <v>30</v>
      </c>
      <c r="E28" s="10">
        <v>4308228</v>
      </c>
      <c r="F28" s="12">
        <v>4.2951999999999999E-3</v>
      </c>
    </row>
    <row r="29" spans="1:6">
      <c r="A29" s="10">
        <v>2015</v>
      </c>
      <c r="B29" t="s">
        <v>84</v>
      </c>
      <c r="C29" t="s">
        <v>31</v>
      </c>
      <c r="D29" t="s">
        <v>31</v>
      </c>
      <c r="E29" s="10">
        <v>21985</v>
      </c>
      <c r="F29" s="12">
        <v>2.19E-5</v>
      </c>
    </row>
    <row r="30" spans="1:6">
      <c r="A30" s="10">
        <v>2015</v>
      </c>
      <c r="B30" t="s">
        <v>85</v>
      </c>
      <c r="C30" t="s">
        <v>1516</v>
      </c>
      <c r="D30" t="s">
        <v>32</v>
      </c>
      <c r="E30" s="10">
        <v>25251</v>
      </c>
      <c r="F30" s="12">
        <v>2.5199999999999999E-5</v>
      </c>
    </row>
    <row r="31" spans="1:6">
      <c r="A31" s="10">
        <v>2015</v>
      </c>
      <c r="B31" t="s">
        <v>86</v>
      </c>
      <c r="C31" t="s">
        <v>1603</v>
      </c>
      <c r="D31" t="s">
        <v>33</v>
      </c>
      <c r="E31" s="10">
        <v>16644</v>
      </c>
      <c r="F31" s="12">
        <v>1.66E-5</v>
      </c>
    </row>
    <row r="32" spans="1:6">
      <c r="A32" s="10">
        <v>2015</v>
      </c>
      <c r="B32" t="s">
        <v>87</v>
      </c>
      <c r="C32" t="s">
        <v>2357</v>
      </c>
      <c r="D32" t="s">
        <v>34</v>
      </c>
      <c r="E32" s="10">
        <v>72885</v>
      </c>
      <c r="F32" s="12">
        <v>7.2700000000000005E-5</v>
      </c>
    </row>
    <row r="33" spans="1:6">
      <c r="A33" s="10">
        <v>2015</v>
      </c>
      <c r="B33" t="s">
        <v>88</v>
      </c>
      <c r="C33" t="s">
        <v>1589</v>
      </c>
      <c r="D33" t="s">
        <v>35</v>
      </c>
      <c r="E33" s="10">
        <v>62765</v>
      </c>
      <c r="F33" s="12">
        <v>6.2600000000000004E-5</v>
      </c>
    </row>
    <row r="34" spans="1:6">
      <c r="A34" s="10">
        <v>2015</v>
      </c>
      <c r="B34" t="s">
        <v>89</v>
      </c>
      <c r="C34" t="s">
        <v>36</v>
      </c>
      <c r="D34" t="s">
        <v>36</v>
      </c>
      <c r="E34" s="10">
        <v>33410</v>
      </c>
      <c r="F34" s="12">
        <v>3.3300000000000003E-5</v>
      </c>
    </row>
    <row r="35" spans="1:6">
      <c r="A35" s="10">
        <v>2015</v>
      </c>
      <c r="B35" t="s">
        <v>90</v>
      </c>
      <c r="C35" t="s">
        <v>1590</v>
      </c>
      <c r="D35" t="s">
        <v>37</v>
      </c>
      <c r="E35" s="10">
        <v>18895</v>
      </c>
      <c r="F35" s="12">
        <v>1.88E-5</v>
      </c>
    </row>
    <row r="36" spans="1:6">
      <c r="A36" s="10">
        <v>2015</v>
      </c>
      <c r="B36" t="s">
        <v>91</v>
      </c>
      <c r="C36" t="s">
        <v>1511</v>
      </c>
      <c r="D36" t="s">
        <v>38</v>
      </c>
      <c r="E36" s="10">
        <v>17475</v>
      </c>
      <c r="F36" s="12">
        <v>1.7399999999999999E-5</v>
      </c>
    </row>
    <row r="37" spans="1:6">
      <c r="A37" s="10">
        <v>2015</v>
      </c>
      <c r="B37" t="s">
        <v>92</v>
      </c>
      <c r="C37" t="s">
        <v>2419</v>
      </c>
      <c r="D37" t="s">
        <v>39</v>
      </c>
      <c r="E37" s="10">
        <v>78339</v>
      </c>
      <c r="F37" s="12">
        <v>7.8100000000000001E-5</v>
      </c>
    </row>
    <row r="38" spans="1:6">
      <c r="A38" s="10">
        <v>2015</v>
      </c>
      <c r="B38" t="s">
        <v>93</v>
      </c>
      <c r="C38" t="s">
        <v>1593</v>
      </c>
      <c r="D38" t="s">
        <v>40</v>
      </c>
      <c r="E38" s="10">
        <v>51991</v>
      </c>
      <c r="F38" s="12">
        <v>5.1799999999999999E-5</v>
      </c>
    </row>
    <row r="39" spans="1:6">
      <c r="A39" s="10">
        <v>2015</v>
      </c>
      <c r="B39" t="s">
        <v>94</v>
      </c>
      <c r="C39" t="s">
        <v>2420</v>
      </c>
      <c r="D39" t="s">
        <v>41</v>
      </c>
      <c r="E39" s="10">
        <v>6950</v>
      </c>
      <c r="F39" s="12">
        <v>6.9E-6</v>
      </c>
    </row>
    <row r="40" spans="1:6">
      <c r="A40" s="10">
        <v>2015</v>
      </c>
      <c r="B40" t="s">
        <v>95</v>
      </c>
      <c r="C40" t="s">
        <v>1595</v>
      </c>
      <c r="D40" t="s">
        <v>42</v>
      </c>
      <c r="E40" s="10">
        <v>45831</v>
      </c>
      <c r="F40" s="12">
        <v>4.57E-5</v>
      </c>
    </row>
    <row r="41" spans="1:6">
      <c r="A41" s="10">
        <v>2015</v>
      </c>
      <c r="B41" t="s">
        <v>96</v>
      </c>
      <c r="C41" t="s">
        <v>1970</v>
      </c>
      <c r="D41" t="s">
        <v>43</v>
      </c>
      <c r="E41" s="10">
        <v>17500</v>
      </c>
      <c r="F41" s="12">
        <v>1.7399999999999999E-5</v>
      </c>
    </row>
    <row r="42" spans="1:6">
      <c r="A42" s="10">
        <v>2015</v>
      </c>
      <c r="B42" t="s">
        <v>97</v>
      </c>
      <c r="C42" t="s">
        <v>1512</v>
      </c>
      <c r="D42" t="s">
        <v>1370</v>
      </c>
      <c r="E42" s="10">
        <v>47042</v>
      </c>
      <c r="F42" s="12">
        <v>4.6900000000000002E-5</v>
      </c>
    </row>
    <row r="43" spans="1:6">
      <c r="A43" s="10">
        <v>2015</v>
      </c>
      <c r="B43" t="s">
        <v>98</v>
      </c>
      <c r="C43" t="s">
        <v>1513</v>
      </c>
      <c r="D43" t="s">
        <v>44</v>
      </c>
      <c r="E43" s="10">
        <v>31850</v>
      </c>
      <c r="F43" s="12">
        <v>3.18E-5</v>
      </c>
    </row>
    <row r="44" spans="1:6">
      <c r="A44" s="10">
        <v>2015</v>
      </c>
      <c r="B44" t="s">
        <v>99</v>
      </c>
      <c r="C44" t="s">
        <v>1514</v>
      </c>
      <c r="D44" t="s">
        <v>45</v>
      </c>
      <c r="E44" s="10">
        <v>10634</v>
      </c>
      <c r="F44" s="12">
        <v>1.06E-5</v>
      </c>
    </row>
    <row r="45" spans="1:6">
      <c r="A45" s="10">
        <v>2015</v>
      </c>
      <c r="B45" t="s">
        <v>100</v>
      </c>
      <c r="C45" t="s">
        <v>1596</v>
      </c>
      <c r="D45" t="s">
        <v>46</v>
      </c>
      <c r="E45" s="10">
        <v>23409</v>
      </c>
      <c r="F45" s="12">
        <v>2.3300000000000001E-5</v>
      </c>
    </row>
    <row r="46" spans="1:6">
      <c r="A46" s="10">
        <v>2015</v>
      </c>
      <c r="B46" t="s">
        <v>101</v>
      </c>
      <c r="C46" t="s">
        <v>1599</v>
      </c>
      <c r="D46" t="s">
        <v>47</v>
      </c>
      <c r="E46" s="10">
        <v>272412</v>
      </c>
      <c r="F46" s="12">
        <v>2.7159999999999999E-4</v>
      </c>
    </row>
    <row r="47" spans="1:6">
      <c r="A47" s="10">
        <v>2015</v>
      </c>
      <c r="B47" t="s">
        <v>102</v>
      </c>
      <c r="C47" t="s">
        <v>1517</v>
      </c>
      <c r="D47" t="s">
        <v>48</v>
      </c>
      <c r="E47" s="10">
        <v>13309</v>
      </c>
      <c r="F47" s="12">
        <v>1.33E-5</v>
      </c>
    </row>
    <row r="48" spans="1:6">
      <c r="A48" s="10">
        <v>2015</v>
      </c>
      <c r="B48" t="s">
        <v>103</v>
      </c>
      <c r="C48" t="s">
        <v>2421</v>
      </c>
      <c r="D48" t="s">
        <v>49</v>
      </c>
      <c r="E48" s="10">
        <v>12118</v>
      </c>
      <c r="F48" s="12">
        <v>1.2099999999999999E-5</v>
      </c>
    </row>
    <row r="49" spans="1:6">
      <c r="A49" s="10">
        <v>2015</v>
      </c>
      <c r="B49" t="s">
        <v>104</v>
      </c>
      <c r="C49" t="s">
        <v>1518</v>
      </c>
      <c r="D49" t="s">
        <v>50</v>
      </c>
      <c r="E49" s="10">
        <v>35044</v>
      </c>
      <c r="F49" s="12">
        <v>3.4900000000000001E-5</v>
      </c>
    </row>
    <row r="50" spans="1:6">
      <c r="A50" s="10">
        <v>2015</v>
      </c>
      <c r="B50" t="s">
        <v>105</v>
      </c>
      <c r="C50" t="s">
        <v>1601</v>
      </c>
      <c r="D50" t="s">
        <v>51</v>
      </c>
      <c r="E50" s="10">
        <v>135512</v>
      </c>
      <c r="F50" s="12">
        <v>1.351E-4</v>
      </c>
    </row>
    <row r="51" spans="1:6">
      <c r="A51" s="10">
        <v>2015</v>
      </c>
      <c r="B51" t="s">
        <v>106</v>
      </c>
      <c r="C51" t="s">
        <v>1519</v>
      </c>
      <c r="D51" t="s">
        <v>52</v>
      </c>
      <c r="E51" s="10">
        <v>6429</v>
      </c>
      <c r="F51" s="12">
        <v>6.3999999999999997E-6</v>
      </c>
    </row>
    <row r="52" spans="1:6">
      <c r="A52" s="10">
        <v>2015</v>
      </c>
      <c r="B52" t="s">
        <v>107</v>
      </c>
      <c r="C52" t="s">
        <v>1520</v>
      </c>
      <c r="D52" t="s">
        <v>53</v>
      </c>
      <c r="E52" s="10">
        <v>20367</v>
      </c>
      <c r="F52" s="12">
        <v>2.0299999999999999E-5</v>
      </c>
    </row>
    <row r="53" spans="1:6">
      <c r="A53" s="10">
        <v>2015</v>
      </c>
      <c r="B53" t="s">
        <v>108</v>
      </c>
      <c r="C53" t="s">
        <v>1521</v>
      </c>
      <c r="D53" t="s">
        <v>54</v>
      </c>
      <c r="E53" s="10">
        <v>204861</v>
      </c>
      <c r="F53" s="12">
        <v>2.042E-4</v>
      </c>
    </row>
    <row r="54" spans="1:6">
      <c r="A54" s="10">
        <v>2015</v>
      </c>
      <c r="B54" t="s">
        <v>109</v>
      </c>
      <c r="C54" t="s">
        <v>1522</v>
      </c>
      <c r="D54" t="s">
        <v>55</v>
      </c>
      <c r="E54" s="10">
        <v>18373</v>
      </c>
      <c r="F54" s="12">
        <v>1.8300000000000001E-5</v>
      </c>
    </row>
    <row r="55" spans="1:6">
      <c r="A55" s="10">
        <v>2015</v>
      </c>
      <c r="B55" t="s">
        <v>110</v>
      </c>
      <c r="C55" t="s">
        <v>1604</v>
      </c>
      <c r="D55" t="s">
        <v>56</v>
      </c>
      <c r="E55" s="10">
        <v>89213</v>
      </c>
      <c r="F55" s="12">
        <v>8.8900000000000006E-5</v>
      </c>
    </row>
    <row r="56" spans="1:6">
      <c r="A56" s="10">
        <v>2015</v>
      </c>
      <c r="B56" t="s">
        <v>166</v>
      </c>
      <c r="C56" t="s">
        <v>1602</v>
      </c>
      <c r="D56" t="s">
        <v>111</v>
      </c>
      <c r="E56" s="10">
        <v>20761</v>
      </c>
      <c r="F56" s="12">
        <v>2.0699999999999998E-5</v>
      </c>
    </row>
    <row r="57" spans="1:6">
      <c r="A57" s="10">
        <v>2015</v>
      </c>
      <c r="B57" t="s">
        <v>167</v>
      </c>
      <c r="C57" t="s">
        <v>2062</v>
      </c>
      <c r="D57" t="s">
        <v>112</v>
      </c>
      <c r="E57" s="10"/>
      <c r="F57" s="12">
        <v>0</v>
      </c>
    </row>
    <row r="58" spans="1:6">
      <c r="A58" s="10">
        <v>2015</v>
      </c>
      <c r="B58" t="s">
        <v>168</v>
      </c>
      <c r="C58" t="s">
        <v>113</v>
      </c>
      <c r="D58" t="s">
        <v>113</v>
      </c>
      <c r="E58" s="10">
        <v>58187</v>
      </c>
      <c r="F58" s="12">
        <v>5.8E-5</v>
      </c>
    </row>
    <row r="59" spans="1:6">
      <c r="A59" s="10">
        <v>2015</v>
      </c>
      <c r="B59" t="s">
        <v>169</v>
      </c>
      <c r="C59" t="s">
        <v>1527</v>
      </c>
      <c r="D59" t="s">
        <v>114</v>
      </c>
      <c r="E59" s="10">
        <v>87962</v>
      </c>
      <c r="F59" s="12">
        <v>8.7700000000000004E-5</v>
      </c>
    </row>
    <row r="60" spans="1:6">
      <c r="A60" s="10">
        <v>2015</v>
      </c>
      <c r="B60" t="s">
        <v>170</v>
      </c>
      <c r="C60" t="s">
        <v>1526</v>
      </c>
      <c r="D60" t="s">
        <v>115</v>
      </c>
      <c r="E60" s="10">
        <v>36425</v>
      </c>
      <c r="F60" s="12">
        <v>3.6300000000000001E-5</v>
      </c>
    </row>
    <row r="61" spans="1:6">
      <c r="A61" s="10">
        <v>2015</v>
      </c>
      <c r="B61" t="s">
        <v>171</v>
      </c>
      <c r="C61" t="s">
        <v>1529</v>
      </c>
      <c r="D61" t="s">
        <v>116</v>
      </c>
      <c r="E61" s="10">
        <v>56835</v>
      </c>
      <c r="F61" s="12">
        <v>5.6700000000000003E-5</v>
      </c>
    </row>
    <row r="62" spans="1:6">
      <c r="A62" s="10">
        <v>2015</v>
      </c>
      <c r="B62" t="s">
        <v>172</v>
      </c>
      <c r="C62" t="s">
        <v>117</v>
      </c>
      <c r="D62" t="s">
        <v>117</v>
      </c>
      <c r="E62" s="10">
        <v>1632964</v>
      </c>
      <c r="F62" s="12">
        <v>1.6280000000000001E-3</v>
      </c>
    </row>
    <row r="63" spans="1:6">
      <c r="A63" s="10">
        <v>2015</v>
      </c>
      <c r="B63" t="s">
        <v>173</v>
      </c>
      <c r="C63" t="s">
        <v>1531</v>
      </c>
      <c r="D63" t="s">
        <v>118</v>
      </c>
      <c r="E63" s="10">
        <v>105805</v>
      </c>
      <c r="F63" s="12">
        <v>1.055E-4</v>
      </c>
    </row>
    <row r="64" spans="1:6">
      <c r="A64" s="10">
        <v>2015</v>
      </c>
      <c r="B64" t="s">
        <v>174</v>
      </c>
      <c r="C64" t="s">
        <v>119</v>
      </c>
      <c r="D64" t="s">
        <v>119</v>
      </c>
      <c r="E64" s="10">
        <v>89528</v>
      </c>
      <c r="F64" s="12">
        <v>8.9300000000000002E-5</v>
      </c>
    </row>
    <row r="65" spans="1:6">
      <c r="A65" s="10">
        <v>2015</v>
      </c>
      <c r="B65" t="s">
        <v>175</v>
      </c>
      <c r="C65" t="s">
        <v>1532</v>
      </c>
      <c r="D65" t="s">
        <v>120</v>
      </c>
      <c r="E65" s="10">
        <v>348019</v>
      </c>
      <c r="F65" s="12">
        <v>3.4699999999999998E-4</v>
      </c>
    </row>
    <row r="66" spans="1:6">
      <c r="A66" s="10">
        <v>2015</v>
      </c>
      <c r="B66" t="s">
        <v>176</v>
      </c>
      <c r="C66" t="s">
        <v>1533</v>
      </c>
      <c r="D66" t="s">
        <v>121</v>
      </c>
      <c r="E66" s="10">
        <v>161378</v>
      </c>
      <c r="F66" s="12">
        <v>1.6090000000000001E-4</v>
      </c>
    </row>
    <row r="67" spans="1:6">
      <c r="A67" s="10">
        <v>2015</v>
      </c>
      <c r="B67" t="s">
        <v>177</v>
      </c>
      <c r="C67" t="s">
        <v>122</v>
      </c>
      <c r="D67" t="s">
        <v>122</v>
      </c>
      <c r="E67" s="10">
        <v>151115</v>
      </c>
      <c r="F67" s="12">
        <v>1.507E-4</v>
      </c>
    </row>
    <row r="68" spans="1:6">
      <c r="A68" s="10">
        <v>2015</v>
      </c>
      <c r="B68" t="s">
        <v>178</v>
      </c>
      <c r="C68" t="s">
        <v>1534</v>
      </c>
      <c r="D68" t="s">
        <v>123</v>
      </c>
      <c r="E68" s="10">
        <v>3731576</v>
      </c>
      <c r="F68" s="12">
        <v>3.7203000000000002E-3</v>
      </c>
    </row>
    <row r="69" spans="1:6">
      <c r="A69" s="10">
        <v>2015</v>
      </c>
      <c r="B69" t="s">
        <v>179</v>
      </c>
      <c r="C69" t="s">
        <v>1545</v>
      </c>
      <c r="D69" t="s">
        <v>124</v>
      </c>
      <c r="E69" s="10">
        <v>143598</v>
      </c>
      <c r="F69" s="12">
        <v>1.4320000000000001E-4</v>
      </c>
    </row>
    <row r="70" spans="1:6">
      <c r="A70" s="10">
        <v>2015</v>
      </c>
      <c r="B70" t="s">
        <v>180</v>
      </c>
      <c r="C70" t="s">
        <v>1543</v>
      </c>
      <c r="D70" t="s">
        <v>125</v>
      </c>
      <c r="E70" s="10">
        <v>134830</v>
      </c>
      <c r="F70" s="12">
        <v>1.3439999999999999E-4</v>
      </c>
    </row>
    <row r="71" spans="1:6">
      <c r="A71" s="10">
        <v>2015</v>
      </c>
      <c r="B71" t="s">
        <v>181</v>
      </c>
      <c r="C71" t="s">
        <v>1535</v>
      </c>
      <c r="D71" t="s">
        <v>126</v>
      </c>
      <c r="E71" s="10">
        <v>869767</v>
      </c>
      <c r="F71" s="12">
        <v>8.6709999999999999E-4</v>
      </c>
    </row>
    <row r="72" spans="1:6">
      <c r="A72" s="10">
        <v>2015</v>
      </c>
      <c r="B72" t="s">
        <v>182</v>
      </c>
      <c r="C72" t="s">
        <v>1537</v>
      </c>
      <c r="D72" t="s">
        <v>127</v>
      </c>
      <c r="E72" s="10">
        <v>4926885</v>
      </c>
      <c r="F72" s="12">
        <v>4.9119999999999997E-3</v>
      </c>
    </row>
    <row r="73" spans="1:6">
      <c r="A73" s="10">
        <v>2015</v>
      </c>
      <c r="B73" t="s">
        <v>183</v>
      </c>
      <c r="C73" t="s">
        <v>1538</v>
      </c>
      <c r="D73" t="s">
        <v>128</v>
      </c>
      <c r="E73" s="10">
        <v>42188482</v>
      </c>
      <c r="F73" s="12">
        <v>4.2061000000000001E-2</v>
      </c>
    </row>
    <row r="74" spans="1:6">
      <c r="A74" s="10">
        <v>2015</v>
      </c>
      <c r="B74" t="s">
        <v>184</v>
      </c>
      <c r="C74" t="s">
        <v>1539</v>
      </c>
      <c r="D74" t="s">
        <v>129</v>
      </c>
      <c r="E74" s="10">
        <v>3473565</v>
      </c>
      <c r="F74" s="12">
        <v>3.4631000000000002E-3</v>
      </c>
    </row>
    <row r="75" spans="1:6">
      <c r="A75" s="10">
        <v>2015</v>
      </c>
      <c r="B75" t="s">
        <v>185</v>
      </c>
      <c r="C75" t="s">
        <v>1540</v>
      </c>
      <c r="D75" t="s">
        <v>130</v>
      </c>
      <c r="E75" s="10">
        <v>1731251</v>
      </c>
      <c r="F75" s="12">
        <v>1.7260000000000001E-3</v>
      </c>
    </row>
    <row r="76" spans="1:6">
      <c r="A76" s="10">
        <v>2015</v>
      </c>
      <c r="B76" t="s">
        <v>186</v>
      </c>
      <c r="C76" t="s">
        <v>1541</v>
      </c>
      <c r="D76" t="s">
        <v>131</v>
      </c>
      <c r="E76" s="10">
        <v>2405362</v>
      </c>
      <c r="F76" s="12">
        <v>2.3980999999999998E-3</v>
      </c>
    </row>
    <row r="77" spans="1:6">
      <c r="A77" s="10">
        <v>2015</v>
      </c>
      <c r="B77" t="s">
        <v>187</v>
      </c>
      <c r="C77" t="s">
        <v>1542</v>
      </c>
      <c r="D77" t="s">
        <v>132</v>
      </c>
      <c r="E77" s="10">
        <v>249707</v>
      </c>
      <c r="F77" s="12">
        <v>2.4899999999999998E-4</v>
      </c>
    </row>
    <row r="78" spans="1:6">
      <c r="A78" s="10">
        <v>2015</v>
      </c>
      <c r="B78" t="s">
        <v>188</v>
      </c>
      <c r="C78" t="s">
        <v>1561</v>
      </c>
      <c r="D78" t="s">
        <v>133</v>
      </c>
      <c r="E78" s="10">
        <v>2617769</v>
      </c>
      <c r="F78" s="12">
        <v>2.6099000000000001E-3</v>
      </c>
    </row>
    <row r="79" spans="1:6">
      <c r="A79" s="10">
        <v>2015</v>
      </c>
      <c r="B79" t="s">
        <v>189</v>
      </c>
      <c r="C79" t="s">
        <v>1544</v>
      </c>
      <c r="D79" t="s">
        <v>134</v>
      </c>
      <c r="E79" s="10">
        <v>594468</v>
      </c>
      <c r="F79" s="12">
        <v>5.9270000000000004E-4</v>
      </c>
    </row>
    <row r="80" spans="1:6">
      <c r="A80" s="10">
        <v>2015</v>
      </c>
      <c r="B80" t="s">
        <v>190</v>
      </c>
      <c r="C80" t="s">
        <v>1546</v>
      </c>
      <c r="D80" t="s">
        <v>135</v>
      </c>
      <c r="E80" s="10">
        <v>8506139</v>
      </c>
      <c r="F80" s="12">
        <v>8.4804000000000008E-3</v>
      </c>
    </row>
    <row r="81" spans="1:6">
      <c r="A81" s="10">
        <v>2015</v>
      </c>
      <c r="B81" t="s">
        <v>191</v>
      </c>
      <c r="C81" t="s">
        <v>1547</v>
      </c>
      <c r="D81" t="s">
        <v>136</v>
      </c>
      <c r="E81" s="10">
        <v>89189</v>
      </c>
      <c r="F81" s="12">
        <v>8.8900000000000006E-5</v>
      </c>
    </row>
    <row r="82" spans="1:6">
      <c r="A82" s="10">
        <v>2015</v>
      </c>
      <c r="B82" t="s">
        <v>192</v>
      </c>
      <c r="C82" t="s">
        <v>1548</v>
      </c>
      <c r="D82" t="s">
        <v>137</v>
      </c>
      <c r="E82" s="10">
        <v>367358</v>
      </c>
      <c r="F82" s="12">
        <v>3.6620000000000001E-4</v>
      </c>
    </row>
    <row r="83" spans="1:6">
      <c r="A83" s="10">
        <v>2015</v>
      </c>
      <c r="B83" t="s">
        <v>193</v>
      </c>
      <c r="C83" t="s">
        <v>1549</v>
      </c>
      <c r="D83" t="s">
        <v>138</v>
      </c>
      <c r="E83" s="10">
        <v>487082</v>
      </c>
      <c r="F83" s="12">
        <v>4.8559999999999999E-4</v>
      </c>
    </row>
    <row r="84" spans="1:6">
      <c r="A84" s="10">
        <v>2015</v>
      </c>
      <c r="B84" t="s">
        <v>194</v>
      </c>
      <c r="C84" t="s">
        <v>1550</v>
      </c>
      <c r="D84" t="s">
        <v>139</v>
      </c>
      <c r="E84" s="10">
        <v>572647</v>
      </c>
      <c r="F84" s="12">
        <v>5.7090000000000005E-4</v>
      </c>
    </row>
    <row r="85" spans="1:6">
      <c r="A85" s="10">
        <v>2015</v>
      </c>
      <c r="B85" t="s">
        <v>195</v>
      </c>
      <c r="C85" t="s">
        <v>1606</v>
      </c>
      <c r="D85" t="s">
        <v>140</v>
      </c>
      <c r="E85" s="10">
        <v>684728</v>
      </c>
      <c r="F85" s="12">
        <v>6.8269999999999995E-4</v>
      </c>
    </row>
    <row r="86" spans="1:6">
      <c r="A86" s="10">
        <v>2015</v>
      </c>
      <c r="B86" t="s">
        <v>196</v>
      </c>
      <c r="C86" t="s">
        <v>1551</v>
      </c>
      <c r="D86" t="s">
        <v>141</v>
      </c>
      <c r="E86" s="10">
        <v>147223</v>
      </c>
      <c r="F86" s="12">
        <v>1.4679999999999999E-4</v>
      </c>
    </row>
    <row r="87" spans="1:6">
      <c r="A87" s="10">
        <v>2015</v>
      </c>
      <c r="B87" t="s">
        <v>197</v>
      </c>
      <c r="C87" t="s">
        <v>1552</v>
      </c>
      <c r="D87" t="s">
        <v>142</v>
      </c>
      <c r="E87" s="10">
        <v>4311449</v>
      </c>
      <c r="F87" s="12">
        <v>4.2984E-3</v>
      </c>
    </row>
    <row r="88" spans="1:6">
      <c r="A88" s="10">
        <v>2015</v>
      </c>
      <c r="B88" t="s">
        <v>198</v>
      </c>
      <c r="C88" t="s">
        <v>1553</v>
      </c>
      <c r="D88" t="s">
        <v>143</v>
      </c>
      <c r="E88" s="10">
        <v>140949</v>
      </c>
      <c r="F88" s="12">
        <v>1.405E-4</v>
      </c>
    </row>
    <row r="89" spans="1:6">
      <c r="A89" s="10">
        <v>2015</v>
      </c>
      <c r="B89" t="s">
        <v>199</v>
      </c>
      <c r="C89" t="s">
        <v>1554</v>
      </c>
      <c r="D89" t="s">
        <v>144</v>
      </c>
      <c r="E89" s="10">
        <v>3650012</v>
      </c>
      <c r="F89" s="12">
        <v>3.6389999999999999E-3</v>
      </c>
    </row>
    <row r="90" spans="1:6">
      <c r="A90" s="10">
        <v>2015</v>
      </c>
      <c r="B90" t="s">
        <v>200</v>
      </c>
      <c r="C90" t="s">
        <v>1555</v>
      </c>
      <c r="D90" t="s">
        <v>145</v>
      </c>
      <c r="E90" s="10">
        <v>20736712</v>
      </c>
      <c r="F90" s="12">
        <v>2.0674100000000001E-2</v>
      </c>
    </row>
    <row r="91" spans="1:6">
      <c r="A91" s="10">
        <v>2015</v>
      </c>
      <c r="B91" t="s">
        <v>201</v>
      </c>
      <c r="C91" t="s">
        <v>1556</v>
      </c>
      <c r="D91" t="s">
        <v>146</v>
      </c>
      <c r="E91" s="10">
        <v>1619143</v>
      </c>
      <c r="F91" s="12">
        <v>1.6142000000000001E-3</v>
      </c>
    </row>
    <row r="92" spans="1:6">
      <c r="A92" s="10">
        <v>2015</v>
      </c>
      <c r="B92" t="s">
        <v>202</v>
      </c>
      <c r="C92" t="s">
        <v>1557</v>
      </c>
      <c r="D92" t="s">
        <v>147</v>
      </c>
      <c r="E92" s="10">
        <v>746822</v>
      </c>
      <c r="F92" s="12">
        <v>7.4459999999999999E-4</v>
      </c>
    </row>
    <row r="93" spans="1:6">
      <c r="A93" s="10">
        <v>2015</v>
      </c>
      <c r="B93" t="s">
        <v>203</v>
      </c>
      <c r="C93" t="s">
        <v>1558</v>
      </c>
      <c r="D93" t="s">
        <v>148</v>
      </c>
      <c r="E93" s="10">
        <v>142388</v>
      </c>
      <c r="F93" s="12">
        <v>1.4200000000000001E-4</v>
      </c>
    </row>
    <row r="94" spans="1:6">
      <c r="A94" s="10">
        <v>2015</v>
      </c>
      <c r="B94" t="s">
        <v>204</v>
      </c>
      <c r="C94" t="s">
        <v>1559</v>
      </c>
      <c r="D94" t="s">
        <v>149</v>
      </c>
      <c r="E94" s="10">
        <v>951972</v>
      </c>
      <c r="F94" s="12">
        <v>9.4910000000000003E-4</v>
      </c>
    </row>
    <row r="95" spans="1:6">
      <c r="A95" s="10">
        <v>2015</v>
      </c>
      <c r="B95" t="s">
        <v>205</v>
      </c>
      <c r="C95" t="s">
        <v>150</v>
      </c>
      <c r="D95" t="s">
        <v>150</v>
      </c>
      <c r="E95" s="10">
        <v>193310</v>
      </c>
      <c r="F95" s="12">
        <v>1.9269999999999999E-4</v>
      </c>
    </row>
    <row r="96" spans="1:6">
      <c r="A96" s="10">
        <v>2015</v>
      </c>
      <c r="B96" t="s">
        <v>206</v>
      </c>
      <c r="C96" t="s">
        <v>1562</v>
      </c>
      <c r="D96" t="s">
        <v>151</v>
      </c>
      <c r="E96" s="10">
        <v>198090</v>
      </c>
      <c r="F96" s="12">
        <v>1.975E-4</v>
      </c>
    </row>
    <row r="97" spans="1:6">
      <c r="A97" s="10">
        <v>2015</v>
      </c>
      <c r="B97" t="s">
        <v>207</v>
      </c>
      <c r="C97" t="s">
        <v>152</v>
      </c>
      <c r="D97" t="s">
        <v>152</v>
      </c>
      <c r="E97" s="10">
        <v>746406</v>
      </c>
      <c r="F97" s="12">
        <v>7.4410000000000003E-4</v>
      </c>
    </row>
    <row r="98" spans="1:6">
      <c r="A98" s="10">
        <v>2015</v>
      </c>
      <c r="B98" t="s">
        <v>208</v>
      </c>
      <c r="C98" t="s">
        <v>153</v>
      </c>
      <c r="D98" t="s">
        <v>153</v>
      </c>
      <c r="E98" s="10">
        <v>39081</v>
      </c>
      <c r="F98" s="12">
        <v>3.8999999999999999E-5</v>
      </c>
    </row>
    <row r="99" spans="1:6">
      <c r="A99" s="10">
        <v>2015</v>
      </c>
      <c r="B99" t="s">
        <v>209</v>
      </c>
      <c r="C99" t="s">
        <v>154</v>
      </c>
      <c r="D99" t="s">
        <v>154</v>
      </c>
      <c r="E99" s="10">
        <v>173717</v>
      </c>
      <c r="F99" s="12">
        <v>1.7320000000000001E-4</v>
      </c>
    </row>
    <row r="100" spans="1:6">
      <c r="A100" s="10">
        <v>2015</v>
      </c>
      <c r="B100" t="s">
        <v>210</v>
      </c>
      <c r="C100" t="s">
        <v>1515</v>
      </c>
      <c r="D100" t="s">
        <v>155</v>
      </c>
      <c r="E100" s="10"/>
      <c r="F100" s="12">
        <v>0</v>
      </c>
    </row>
    <row r="101" spans="1:6">
      <c r="A101" s="10">
        <v>2015</v>
      </c>
      <c r="B101" t="s">
        <v>211</v>
      </c>
      <c r="C101" t="s">
        <v>1565</v>
      </c>
      <c r="D101" t="s">
        <v>156</v>
      </c>
      <c r="E101" s="10">
        <v>650833</v>
      </c>
      <c r="F101" s="12">
        <v>6.489E-4</v>
      </c>
    </row>
    <row r="102" spans="1:6">
      <c r="A102" s="10">
        <v>2015</v>
      </c>
      <c r="B102" t="s">
        <v>212</v>
      </c>
      <c r="C102" t="s">
        <v>1566</v>
      </c>
      <c r="D102" t="s">
        <v>157</v>
      </c>
      <c r="E102" s="10">
        <v>27218</v>
      </c>
      <c r="F102" s="12">
        <v>2.7100000000000001E-5</v>
      </c>
    </row>
    <row r="103" spans="1:6">
      <c r="A103" s="10">
        <v>2015</v>
      </c>
      <c r="B103" t="s">
        <v>213</v>
      </c>
      <c r="C103" t="s">
        <v>158</v>
      </c>
      <c r="D103" t="s">
        <v>158</v>
      </c>
      <c r="E103" s="10">
        <v>1134350</v>
      </c>
      <c r="F103" s="12">
        <v>1.1309E-3</v>
      </c>
    </row>
    <row r="104" spans="1:6">
      <c r="A104" s="10">
        <v>2015</v>
      </c>
      <c r="B104" t="s">
        <v>214</v>
      </c>
      <c r="C104" t="s">
        <v>159</v>
      </c>
      <c r="D104" t="s">
        <v>159</v>
      </c>
      <c r="E104" s="10">
        <v>148014</v>
      </c>
      <c r="F104" s="12">
        <v>1.4760000000000001E-4</v>
      </c>
    </row>
    <row r="105" spans="1:6">
      <c r="A105" s="10">
        <v>2015</v>
      </c>
      <c r="B105" t="s">
        <v>215</v>
      </c>
      <c r="C105" t="s">
        <v>1568</v>
      </c>
      <c r="D105" t="s">
        <v>160</v>
      </c>
      <c r="E105" s="10">
        <v>161433</v>
      </c>
      <c r="F105" s="12">
        <v>1.6090000000000001E-4</v>
      </c>
    </row>
    <row r="106" spans="1:6">
      <c r="A106" s="10">
        <v>2015</v>
      </c>
      <c r="B106" t="s">
        <v>216</v>
      </c>
      <c r="C106" t="s">
        <v>2094</v>
      </c>
      <c r="D106" t="s">
        <v>161</v>
      </c>
      <c r="E106" s="10"/>
      <c r="F106" s="12">
        <v>0</v>
      </c>
    </row>
    <row r="107" spans="1:6">
      <c r="A107" s="10">
        <v>2015</v>
      </c>
      <c r="B107" t="s">
        <v>217</v>
      </c>
      <c r="C107" t="s">
        <v>162</v>
      </c>
      <c r="D107" t="s">
        <v>162</v>
      </c>
      <c r="E107" s="10">
        <v>335529</v>
      </c>
      <c r="F107" s="12">
        <v>3.345E-4</v>
      </c>
    </row>
    <row r="108" spans="1:6">
      <c r="A108" s="10">
        <v>2015</v>
      </c>
      <c r="B108" t="s">
        <v>218</v>
      </c>
      <c r="C108" t="s">
        <v>1607</v>
      </c>
      <c r="D108" t="s">
        <v>163</v>
      </c>
      <c r="E108" s="10">
        <v>421061</v>
      </c>
      <c r="F108" s="12">
        <v>4.1980000000000001E-4</v>
      </c>
    </row>
    <row r="109" spans="1:6">
      <c r="A109" s="10">
        <v>2015</v>
      </c>
      <c r="B109" t="s">
        <v>219</v>
      </c>
      <c r="C109" t="s">
        <v>164</v>
      </c>
      <c r="D109" t="s">
        <v>164</v>
      </c>
      <c r="E109" s="10">
        <v>263790</v>
      </c>
      <c r="F109" s="12">
        <v>2.63E-4</v>
      </c>
    </row>
    <row r="110" spans="1:6">
      <c r="A110" s="10">
        <v>2015</v>
      </c>
      <c r="B110" t="s">
        <v>220</v>
      </c>
      <c r="C110" t="s">
        <v>1571</v>
      </c>
      <c r="D110" t="s">
        <v>165</v>
      </c>
      <c r="E110" s="10">
        <v>59547</v>
      </c>
      <c r="F110" s="12">
        <v>5.94E-5</v>
      </c>
    </row>
    <row r="111" spans="1:6">
      <c r="A111" s="10">
        <v>2015</v>
      </c>
      <c r="B111" t="s">
        <v>1387</v>
      </c>
      <c r="C111" t="s">
        <v>1572</v>
      </c>
      <c r="D111" t="s">
        <v>222</v>
      </c>
      <c r="E111" s="10">
        <v>8905</v>
      </c>
      <c r="F111" s="12">
        <v>8.8999999999999995E-6</v>
      </c>
    </row>
    <row r="112" spans="1:6">
      <c r="A112" s="10">
        <v>2015</v>
      </c>
      <c r="B112" t="s">
        <v>1388</v>
      </c>
      <c r="C112" t="s">
        <v>1573</v>
      </c>
      <c r="D112" t="s">
        <v>223</v>
      </c>
      <c r="E112" s="10">
        <v>7708</v>
      </c>
      <c r="F112" s="12">
        <v>7.7000000000000008E-6</v>
      </c>
    </row>
    <row r="113" spans="1:6">
      <c r="A113" s="10">
        <v>2015</v>
      </c>
      <c r="B113" t="s">
        <v>1390</v>
      </c>
      <c r="C113" t="s">
        <v>1578</v>
      </c>
      <c r="D113" t="s">
        <v>224</v>
      </c>
      <c r="E113" s="10">
        <v>1376489</v>
      </c>
      <c r="F113" s="12">
        <v>1.3722999999999999E-3</v>
      </c>
    </row>
    <row r="114" spans="1:6">
      <c r="A114" s="10">
        <v>2015</v>
      </c>
      <c r="B114" t="s">
        <v>1391</v>
      </c>
      <c r="C114" t="s">
        <v>1576</v>
      </c>
      <c r="D114" t="s">
        <v>225</v>
      </c>
      <c r="E114" s="10"/>
      <c r="F114" s="12">
        <v>0</v>
      </c>
    </row>
    <row r="115" spans="1:6">
      <c r="A115" s="10">
        <v>2015</v>
      </c>
      <c r="B115" t="s">
        <v>1392</v>
      </c>
      <c r="C115" t="s">
        <v>1577</v>
      </c>
      <c r="D115" t="s">
        <v>226</v>
      </c>
      <c r="E115" s="10">
        <v>77743</v>
      </c>
      <c r="F115" s="12">
        <v>7.75E-5</v>
      </c>
    </row>
    <row r="116" spans="1:6">
      <c r="A116" s="10">
        <v>2015</v>
      </c>
      <c r="B116" t="s">
        <v>1393</v>
      </c>
      <c r="C116" t="s">
        <v>1579</v>
      </c>
      <c r="D116" t="s">
        <v>227</v>
      </c>
      <c r="E116" s="10">
        <v>183598</v>
      </c>
      <c r="F116" s="12">
        <v>1.83E-4</v>
      </c>
    </row>
    <row r="117" spans="1:6">
      <c r="A117" s="10">
        <v>2015</v>
      </c>
      <c r="B117" t="s">
        <v>1389</v>
      </c>
      <c r="C117" t="s">
        <v>1574</v>
      </c>
      <c r="D117" t="s">
        <v>228</v>
      </c>
      <c r="E117" s="10">
        <v>106558</v>
      </c>
      <c r="F117" s="12">
        <v>1.0620000000000001E-4</v>
      </c>
    </row>
    <row r="118" spans="1:6">
      <c r="A118" s="10">
        <v>2015</v>
      </c>
      <c r="B118" t="s">
        <v>1394</v>
      </c>
      <c r="C118" t="s">
        <v>1608</v>
      </c>
      <c r="D118" t="s">
        <v>229</v>
      </c>
      <c r="E118" s="10">
        <v>11736</v>
      </c>
      <c r="F118" s="12">
        <v>1.17E-5</v>
      </c>
    </row>
    <row r="119" spans="1:6">
      <c r="A119" s="10">
        <v>2015</v>
      </c>
      <c r="B119" t="s">
        <v>1395</v>
      </c>
      <c r="C119" t="s">
        <v>230</v>
      </c>
      <c r="D119" t="s">
        <v>230</v>
      </c>
      <c r="E119" s="10">
        <v>322297</v>
      </c>
      <c r="F119" s="12">
        <v>3.213E-4</v>
      </c>
    </row>
    <row r="120" spans="1:6">
      <c r="A120" s="10">
        <v>2015</v>
      </c>
      <c r="B120" t="s">
        <v>1396</v>
      </c>
      <c r="C120" t="s">
        <v>231</v>
      </c>
      <c r="D120" t="s">
        <v>231</v>
      </c>
      <c r="E120" s="10">
        <v>59443</v>
      </c>
      <c r="F120" s="12">
        <v>5.9299999999999998E-5</v>
      </c>
    </row>
    <row r="121" spans="1:6">
      <c r="A121" s="10">
        <v>2015</v>
      </c>
      <c r="B121" t="s">
        <v>1397</v>
      </c>
      <c r="C121" t="s">
        <v>2356</v>
      </c>
      <c r="D121" t="s">
        <v>232</v>
      </c>
      <c r="E121" s="10">
        <v>28092</v>
      </c>
      <c r="F121" s="12">
        <v>2.8E-5</v>
      </c>
    </row>
    <row r="122" spans="1:6">
      <c r="A122" s="10">
        <v>2015</v>
      </c>
      <c r="B122" t="s">
        <v>1398</v>
      </c>
      <c r="C122" t="s">
        <v>1580</v>
      </c>
      <c r="D122" t="s">
        <v>233</v>
      </c>
      <c r="E122" s="10">
        <v>42349</v>
      </c>
      <c r="F122" s="12">
        <v>4.2200000000000003E-5</v>
      </c>
    </row>
    <row r="123" spans="1:6">
      <c r="A123" s="10">
        <v>2015</v>
      </c>
      <c r="B123" t="s">
        <v>1399</v>
      </c>
      <c r="C123" t="s">
        <v>234</v>
      </c>
      <c r="D123" t="s">
        <v>234</v>
      </c>
      <c r="E123" s="10">
        <v>134783</v>
      </c>
      <c r="F123" s="12">
        <v>1.3439999999999999E-4</v>
      </c>
    </row>
    <row r="124" spans="1:6">
      <c r="A124" s="10">
        <v>2015</v>
      </c>
      <c r="B124" t="s">
        <v>1400</v>
      </c>
      <c r="C124" t="s">
        <v>1581</v>
      </c>
      <c r="D124" t="s">
        <v>235</v>
      </c>
      <c r="E124" s="10">
        <v>467809</v>
      </c>
      <c r="F124" s="12">
        <v>4.6640000000000001E-4</v>
      </c>
    </row>
    <row r="125" spans="1:6">
      <c r="A125" s="10">
        <v>2015</v>
      </c>
      <c r="B125" t="s">
        <v>1401</v>
      </c>
      <c r="C125" t="s">
        <v>1582</v>
      </c>
      <c r="D125" t="s">
        <v>236</v>
      </c>
      <c r="E125" s="10">
        <v>56288</v>
      </c>
      <c r="F125" s="12">
        <v>5.6100000000000002E-5</v>
      </c>
    </row>
    <row r="126" spans="1:6">
      <c r="A126" s="10">
        <v>2015</v>
      </c>
      <c r="B126" t="s">
        <v>1402</v>
      </c>
      <c r="C126" t="s">
        <v>237</v>
      </c>
      <c r="D126" t="s">
        <v>237</v>
      </c>
      <c r="E126" s="10">
        <v>100148</v>
      </c>
      <c r="F126" s="12">
        <v>9.98E-5</v>
      </c>
    </row>
    <row r="127" spans="1:6">
      <c r="A127" s="10">
        <v>2015</v>
      </c>
      <c r="B127" t="s">
        <v>1403</v>
      </c>
      <c r="C127" t="s">
        <v>1584</v>
      </c>
      <c r="D127" t="s">
        <v>238</v>
      </c>
      <c r="E127" s="10">
        <v>322471</v>
      </c>
      <c r="F127" s="12">
        <v>3.2150000000000001E-4</v>
      </c>
    </row>
    <row r="128" spans="1:6">
      <c r="A128" s="10">
        <v>2015</v>
      </c>
      <c r="B128" t="s">
        <v>1404</v>
      </c>
      <c r="C128" t="s">
        <v>1585</v>
      </c>
      <c r="D128" t="s">
        <v>239</v>
      </c>
      <c r="E128" s="10">
        <v>640078</v>
      </c>
      <c r="F128" s="12">
        <v>6.3809999999999995E-4</v>
      </c>
    </row>
    <row r="129" spans="1:6">
      <c r="A129" s="10">
        <v>2015</v>
      </c>
      <c r="B129" t="s">
        <v>1405</v>
      </c>
      <c r="C129" t="s">
        <v>1586</v>
      </c>
      <c r="D129" t="s">
        <v>240</v>
      </c>
      <c r="E129" s="10">
        <v>49901</v>
      </c>
      <c r="F129" s="12">
        <v>4.9700000000000002E-5</v>
      </c>
    </row>
    <row r="130" spans="1:6">
      <c r="A130" s="10">
        <v>2015</v>
      </c>
      <c r="B130" t="s">
        <v>1406</v>
      </c>
      <c r="C130" t="s">
        <v>1587</v>
      </c>
      <c r="D130" t="s">
        <v>241</v>
      </c>
      <c r="E130" s="10">
        <v>42061</v>
      </c>
      <c r="F130" s="12">
        <v>4.1900000000000002E-5</v>
      </c>
    </row>
    <row r="131" spans="1:6">
      <c r="A131" s="10">
        <v>2015</v>
      </c>
      <c r="B131" t="s">
        <v>1409</v>
      </c>
      <c r="C131" t="s">
        <v>1605</v>
      </c>
      <c r="D131" t="s">
        <v>242</v>
      </c>
      <c r="E131" s="10">
        <v>331595</v>
      </c>
      <c r="F131" s="12">
        <v>3.3060000000000001E-4</v>
      </c>
    </row>
    <row r="132" spans="1:6">
      <c r="A132" s="10">
        <v>2015</v>
      </c>
      <c r="B132" t="s">
        <v>1410</v>
      </c>
      <c r="C132" t="s">
        <v>243</v>
      </c>
      <c r="D132" t="s">
        <v>243</v>
      </c>
      <c r="E132" s="10">
        <v>79395</v>
      </c>
      <c r="F132" s="12">
        <v>7.9200000000000001E-5</v>
      </c>
    </row>
    <row r="133" spans="1:6">
      <c r="A133" s="10">
        <v>2015</v>
      </c>
      <c r="B133" t="s">
        <v>1411</v>
      </c>
      <c r="C133" t="s">
        <v>244</v>
      </c>
      <c r="D133" t="s">
        <v>244</v>
      </c>
      <c r="E133" s="10">
        <v>703131</v>
      </c>
      <c r="F133" s="12">
        <v>7.0100000000000002E-4</v>
      </c>
    </row>
    <row r="134" spans="1:6">
      <c r="A134" s="10">
        <v>2015</v>
      </c>
      <c r="B134" t="s">
        <v>1412</v>
      </c>
      <c r="C134" t="s">
        <v>1609</v>
      </c>
      <c r="D134" t="s">
        <v>245</v>
      </c>
      <c r="E134" s="10">
        <v>2752019</v>
      </c>
      <c r="F134" s="12">
        <v>2.7437E-3</v>
      </c>
    </row>
    <row r="135" spans="1:6">
      <c r="A135" s="10">
        <v>2015</v>
      </c>
      <c r="B135" t="s">
        <v>1413</v>
      </c>
      <c r="C135" t="s">
        <v>246</v>
      </c>
      <c r="D135" t="s">
        <v>246</v>
      </c>
      <c r="E135" s="10">
        <v>454238</v>
      </c>
      <c r="F135" s="12">
        <v>4.529E-4</v>
      </c>
    </row>
    <row r="136" spans="1:6">
      <c r="A136" s="10">
        <v>2015</v>
      </c>
      <c r="B136" t="s">
        <v>1414</v>
      </c>
      <c r="C136" t="s">
        <v>247</v>
      </c>
      <c r="D136" t="s">
        <v>247</v>
      </c>
      <c r="E136" s="10">
        <v>138676</v>
      </c>
      <c r="F136" s="12">
        <v>1.383E-4</v>
      </c>
    </row>
    <row r="137" spans="1:6">
      <c r="A137" s="10">
        <v>2015</v>
      </c>
      <c r="B137" t="s">
        <v>1415</v>
      </c>
      <c r="C137" t="s">
        <v>248</v>
      </c>
      <c r="D137" t="s">
        <v>248</v>
      </c>
      <c r="E137" s="10">
        <v>32026446</v>
      </c>
      <c r="F137" s="12">
        <v>3.1929699999999998E-2</v>
      </c>
    </row>
    <row r="138" spans="1:6">
      <c r="A138" s="10">
        <v>2015</v>
      </c>
      <c r="B138" t="s">
        <v>1416</v>
      </c>
      <c r="C138" t="s">
        <v>249</v>
      </c>
      <c r="D138" t="s">
        <v>249</v>
      </c>
      <c r="E138" s="10">
        <v>2617136</v>
      </c>
      <c r="F138" s="12">
        <v>2.6091999999999999E-3</v>
      </c>
    </row>
    <row r="139" spans="1:6">
      <c r="A139" s="10">
        <v>2015</v>
      </c>
      <c r="B139" t="s">
        <v>1417</v>
      </c>
      <c r="C139" t="s">
        <v>1610</v>
      </c>
      <c r="D139" t="s">
        <v>250</v>
      </c>
      <c r="E139" s="10">
        <v>28049</v>
      </c>
      <c r="F139" s="12">
        <v>2.8E-5</v>
      </c>
    </row>
    <row r="140" spans="1:6">
      <c r="A140" s="10">
        <v>2015</v>
      </c>
      <c r="B140" t="s">
        <v>1418</v>
      </c>
      <c r="C140" t="s">
        <v>1611</v>
      </c>
      <c r="D140" t="s">
        <v>251</v>
      </c>
      <c r="E140" s="10">
        <v>125030</v>
      </c>
      <c r="F140" s="12">
        <v>1.247E-4</v>
      </c>
    </row>
    <row r="141" spans="1:6">
      <c r="A141" s="10">
        <v>2015</v>
      </c>
      <c r="B141" t="s">
        <v>1419</v>
      </c>
      <c r="C141" t="s">
        <v>252</v>
      </c>
      <c r="D141" t="s">
        <v>252</v>
      </c>
      <c r="E141" s="10">
        <v>2589676</v>
      </c>
      <c r="F141" s="12">
        <v>2.5818E-3</v>
      </c>
    </row>
    <row r="142" spans="1:6">
      <c r="A142" s="10">
        <v>2015</v>
      </c>
      <c r="B142" t="s">
        <v>1420</v>
      </c>
      <c r="C142" t="s">
        <v>1612</v>
      </c>
      <c r="D142" t="s">
        <v>253</v>
      </c>
      <c r="E142" s="10">
        <v>158707</v>
      </c>
      <c r="F142" s="12">
        <v>1.582E-4</v>
      </c>
    </row>
    <row r="143" spans="1:6">
      <c r="A143" s="10">
        <v>2015</v>
      </c>
      <c r="B143" t="s">
        <v>1421</v>
      </c>
      <c r="C143" t="s">
        <v>1615</v>
      </c>
      <c r="D143" t="s">
        <v>254</v>
      </c>
      <c r="E143" s="10">
        <v>24521</v>
      </c>
      <c r="F143" s="12">
        <v>2.44E-5</v>
      </c>
    </row>
    <row r="144" spans="1:6">
      <c r="A144" s="10">
        <v>2015</v>
      </c>
      <c r="B144" t="s">
        <v>1422</v>
      </c>
      <c r="C144" t="s">
        <v>1616</v>
      </c>
      <c r="D144" t="s">
        <v>255</v>
      </c>
      <c r="E144" s="10">
        <v>171464</v>
      </c>
      <c r="F144" s="12">
        <v>1.7090000000000001E-4</v>
      </c>
    </row>
    <row r="145" spans="1:6">
      <c r="A145" s="10">
        <v>2015</v>
      </c>
      <c r="B145" t="s">
        <v>1423</v>
      </c>
      <c r="C145" t="s">
        <v>256</v>
      </c>
      <c r="D145" t="s">
        <v>256</v>
      </c>
      <c r="E145" s="10">
        <v>883056</v>
      </c>
      <c r="F145" s="12">
        <v>8.8040000000000004E-4</v>
      </c>
    </row>
    <row r="146" spans="1:6">
      <c r="A146" s="10">
        <v>2015</v>
      </c>
      <c r="B146" t="s">
        <v>1424</v>
      </c>
      <c r="C146" t="s">
        <v>257</v>
      </c>
      <c r="D146" t="s">
        <v>257</v>
      </c>
      <c r="E146" s="10">
        <v>2435173</v>
      </c>
      <c r="F146" s="12">
        <v>2.4277999999999999E-3</v>
      </c>
    </row>
    <row r="147" spans="1:6">
      <c r="A147" s="10">
        <v>2015</v>
      </c>
      <c r="B147" t="s">
        <v>1425</v>
      </c>
      <c r="C147" t="s">
        <v>258</v>
      </c>
      <c r="D147" t="s">
        <v>258</v>
      </c>
      <c r="E147" s="10">
        <v>23568</v>
      </c>
      <c r="F147" s="12">
        <v>2.3499999999999999E-5</v>
      </c>
    </row>
    <row r="148" spans="1:6">
      <c r="A148" s="10">
        <v>2015</v>
      </c>
      <c r="B148" t="s">
        <v>1426</v>
      </c>
      <c r="C148" t="s">
        <v>1510</v>
      </c>
      <c r="D148" t="s">
        <v>259</v>
      </c>
      <c r="E148" s="10">
        <v>2195</v>
      </c>
      <c r="F148" s="12">
        <v>2.2000000000000001E-6</v>
      </c>
    </row>
    <row r="149" spans="1:6">
      <c r="A149" s="10">
        <v>2015</v>
      </c>
      <c r="B149" t="s">
        <v>1427</v>
      </c>
      <c r="C149" t="s">
        <v>1530</v>
      </c>
      <c r="D149" t="s">
        <v>260</v>
      </c>
      <c r="E149" s="10">
        <v>621590</v>
      </c>
      <c r="F149" s="12">
        <v>6.1970000000000005E-4</v>
      </c>
    </row>
    <row r="150" spans="1:6">
      <c r="A150" s="10">
        <v>2015</v>
      </c>
      <c r="B150" t="s">
        <v>1428</v>
      </c>
      <c r="C150" t="s">
        <v>2104</v>
      </c>
      <c r="D150" t="s">
        <v>261</v>
      </c>
      <c r="E150" s="10"/>
      <c r="F150" s="12">
        <v>0</v>
      </c>
    </row>
    <row r="151" spans="1:6">
      <c r="A151" s="10">
        <v>2015</v>
      </c>
      <c r="B151" t="s">
        <v>1429</v>
      </c>
      <c r="C151" t="s">
        <v>2422</v>
      </c>
      <c r="D151" t="s">
        <v>262</v>
      </c>
      <c r="E151" s="10">
        <v>996612</v>
      </c>
      <c r="F151" s="12">
        <v>9.9360000000000008E-4</v>
      </c>
    </row>
    <row r="152" spans="1:6">
      <c r="A152" s="10">
        <v>2015</v>
      </c>
      <c r="B152" t="s">
        <v>1430</v>
      </c>
      <c r="C152" t="s">
        <v>1619</v>
      </c>
      <c r="D152" t="s">
        <v>263</v>
      </c>
      <c r="E152" s="10">
        <v>306384</v>
      </c>
      <c r="F152" s="12">
        <v>3.055E-4</v>
      </c>
    </row>
    <row r="153" spans="1:6">
      <c r="A153" s="10">
        <v>2015</v>
      </c>
      <c r="B153" t="s">
        <v>1431</v>
      </c>
      <c r="C153" t="s">
        <v>264</v>
      </c>
      <c r="D153" t="s">
        <v>264</v>
      </c>
      <c r="E153" s="10">
        <v>272049</v>
      </c>
      <c r="F153" s="12">
        <v>2.7119999999999998E-4</v>
      </c>
    </row>
    <row r="154" spans="1:6">
      <c r="A154" s="10">
        <v>2015</v>
      </c>
      <c r="B154" t="s">
        <v>1432</v>
      </c>
      <c r="C154" t="s">
        <v>265</v>
      </c>
      <c r="D154" t="s">
        <v>265</v>
      </c>
      <c r="E154" s="10">
        <v>257980</v>
      </c>
      <c r="F154" s="12">
        <v>2.5720000000000002E-4</v>
      </c>
    </row>
    <row r="155" spans="1:6">
      <c r="A155" s="10">
        <v>2015</v>
      </c>
      <c r="B155" t="s">
        <v>1433</v>
      </c>
      <c r="C155" t="s">
        <v>266</v>
      </c>
      <c r="D155" t="s">
        <v>266</v>
      </c>
      <c r="E155" s="10">
        <v>155883</v>
      </c>
      <c r="F155" s="12">
        <v>1.5540000000000001E-4</v>
      </c>
    </row>
    <row r="156" spans="1:6">
      <c r="A156" s="10">
        <v>2015</v>
      </c>
      <c r="B156" t="s">
        <v>1434</v>
      </c>
      <c r="C156" t="s">
        <v>1620</v>
      </c>
      <c r="D156" t="s">
        <v>267</v>
      </c>
      <c r="E156" s="10">
        <v>1288350</v>
      </c>
      <c r="F156" s="12">
        <v>1.2845000000000001E-3</v>
      </c>
    </row>
    <row r="157" spans="1:6">
      <c r="A157" s="10">
        <v>2015</v>
      </c>
      <c r="B157" t="s">
        <v>1435</v>
      </c>
      <c r="C157" t="s">
        <v>2359</v>
      </c>
      <c r="D157" t="s">
        <v>268</v>
      </c>
      <c r="E157" s="10">
        <v>168086</v>
      </c>
      <c r="F157" s="12">
        <v>1.6760000000000001E-4</v>
      </c>
    </row>
    <row r="158" spans="1:6">
      <c r="A158" s="10">
        <v>2015</v>
      </c>
      <c r="B158" t="s">
        <v>1436</v>
      </c>
      <c r="C158" t="s">
        <v>269</v>
      </c>
      <c r="D158" t="s">
        <v>269</v>
      </c>
      <c r="E158" s="10">
        <v>146810</v>
      </c>
      <c r="F158" s="12">
        <v>1.4640000000000001E-4</v>
      </c>
    </row>
    <row r="159" spans="1:6">
      <c r="A159" s="10">
        <v>2015</v>
      </c>
      <c r="B159" t="s">
        <v>1437</v>
      </c>
      <c r="C159" t="s">
        <v>270</v>
      </c>
      <c r="D159" t="s">
        <v>270</v>
      </c>
      <c r="E159" s="10">
        <v>807684</v>
      </c>
      <c r="F159" s="12">
        <v>8.0519999999999995E-4</v>
      </c>
    </row>
    <row r="160" spans="1:6">
      <c r="A160" s="10">
        <v>2015</v>
      </c>
      <c r="B160" t="s">
        <v>1438</v>
      </c>
      <c r="C160" t="s">
        <v>1622</v>
      </c>
      <c r="D160" t="s">
        <v>271</v>
      </c>
      <c r="E160" s="10">
        <v>585808</v>
      </c>
      <c r="F160" s="12">
        <v>5.8399999999999999E-4</v>
      </c>
    </row>
    <row r="161" spans="1:6">
      <c r="A161" s="10">
        <v>2015</v>
      </c>
      <c r="B161" t="s">
        <v>1439</v>
      </c>
      <c r="C161" t="s">
        <v>1624</v>
      </c>
      <c r="D161" t="s">
        <v>272</v>
      </c>
      <c r="E161" s="10">
        <v>110538</v>
      </c>
      <c r="F161" s="12">
        <v>1.102E-4</v>
      </c>
    </row>
    <row r="162" spans="1:6">
      <c r="A162" s="10">
        <v>2015</v>
      </c>
      <c r="B162" t="s">
        <v>1440</v>
      </c>
      <c r="C162" t="s">
        <v>1625</v>
      </c>
      <c r="D162" t="s">
        <v>273</v>
      </c>
      <c r="E162" s="10">
        <v>436870</v>
      </c>
      <c r="F162" s="12">
        <v>4.3550000000000001E-4</v>
      </c>
    </row>
    <row r="163" spans="1:6">
      <c r="A163" s="10">
        <v>2015</v>
      </c>
      <c r="B163" t="s">
        <v>1441</v>
      </c>
      <c r="C163" t="s">
        <v>274</v>
      </c>
      <c r="D163" t="s">
        <v>274</v>
      </c>
      <c r="E163" s="10">
        <v>9181</v>
      </c>
      <c r="F163" s="12">
        <v>9.2E-6</v>
      </c>
    </row>
    <row r="164" spans="1:6">
      <c r="A164" s="10">
        <v>2015</v>
      </c>
      <c r="B164" t="s">
        <v>1442</v>
      </c>
      <c r="C164" t="s">
        <v>1627</v>
      </c>
      <c r="D164" t="s">
        <v>275</v>
      </c>
      <c r="E164" s="10">
        <v>5700</v>
      </c>
      <c r="F164" s="12">
        <v>5.6999999999999996E-6</v>
      </c>
    </row>
    <row r="165" spans="1:6">
      <c r="A165" s="10">
        <v>2015</v>
      </c>
      <c r="B165" t="s">
        <v>1443</v>
      </c>
      <c r="C165" t="s">
        <v>1628</v>
      </c>
      <c r="D165" t="s">
        <v>276</v>
      </c>
      <c r="E165" s="10">
        <v>858732</v>
      </c>
      <c r="F165" s="12">
        <v>8.5610000000000005E-4</v>
      </c>
    </row>
    <row r="166" spans="1:6">
      <c r="A166" s="10">
        <v>2015</v>
      </c>
      <c r="B166" t="s">
        <v>331</v>
      </c>
      <c r="C166" t="s">
        <v>1629</v>
      </c>
      <c r="D166" t="s">
        <v>277</v>
      </c>
      <c r="E166" s="10">
        <v>38489</v>
      </c>
      <c r="F166" s="12">
        <v>3.8399999999999998E-5</v>
      </c>
    </row>
    <row r="167" spans="1:6">
      <c r="A167" s="10">
        <v>2015</v>
      </c>
      <c r="B167" t="s">
        <v>332</v>
      </c>
      <c r="C167" t="s">
        <v>1630</v>
      </c>
      <c r="D167" t="s">
        <v>278</v>
      </c>
      <c r="E167" s="10">
        <v>98866</v>
      </c>
      <c r="F167" s="12">
        <v>9.8599999999999998E-5</v>
      </c>
    </row>
    <row r="168" spans="1:6">
      <c r="A168" s="10">
        <v>2015</v>
      </c>
      <c r="B168" t="s">
        <v>333</v>
      </c>
      <c r="C168" t="s">
        <v>1631</v>
      </c>
      <c r="D168" t="s">
        <v>279</v>
      </c>
      <c r="E168" s="10">
        <v>46414</v>
      </c>
      <c r="F168" s="12">
        <v>4.6300000000000001E-5</v>
      </c>
    </row>
    <row r="169" spans="1:6">
      <c r="A169" s="10">
        <v>2015</v>
      </c>
      <c r="B169" t="s">
        <v>334</v>
      </c>
      <c r="C169" t="s">
        <v>1632</v>
      </c>
      <c r="D169" t="s">
        <v>280</v>
      </c>
      <c r="E169" s="10">
        <v>55923</v>
      </c>
      <c r="F169" s="12">
        <v>5.5800000000000001E-5</v>
      </c>
    </row>
    <row r="170" spans="1:6">
      <c r="A170" s="10">
        <v>2015</v>
      </c>
      <c r="B170" t="s">
        <v>335</v>
      </c>
      <c r="C170" t="s">
        <v>1633</v>
      </c>
      <c r="D170" t="s">
        <v>281</v>
      </c>
      <c r="E170" s="10">
        <v>1940952</v>
      </c>
      <c r="F170" s="12">
        <v>1.9350999999999999E-3</v>
      </c>
    </row>
    <row r="171" spans="1:6">
      <c r="A171" s="10">
        <v>2015</v>
      </c>
      <c r="B171" t="s">
        <v>336</v>
      </c>
      <c r="C171" t="s">
        <v>1634</v>
      </c>
      <c r="D171" t="s">
        <v>282</v>
      </c>
      <c r="E171" s="10">
        <v>1744191</v>
      </c>
      <c r="F171" s="12">
        <v>1.7389E-3</v>
      </c>
    </row>
    <row r="172" spans="1:6">
      <c r="A172" s="10">
        <v>2015</v>
      </c>
      <c r="B172" t="s">
        <v>337</v>
      </c>
      <c r="C172" t="s">
        <v>283</v>
      </c>
      <c r="D172" t="s">
        <v>283</v>
      </c>
      <c r="E172" s="10">
        <v>77103</v>
      </c>
      <c r="F172" s="12">
        <v>7.6899999999999999E-5</v>
      </c>
    </row>
    <row r="173" spans="1:6">
      <c r="A173" s="10">
        <v>2015</v>
      </c>
      <c r="B173" t="s">
        <v>338</v>
      </c>
      <c r="C173" t="s">
        <v>1635</v>
      </c>
      <c r="D173" t="s">
        <v>284</v>
      </c>
      <c r="E173" s="10">
        <v>56474</v>
      </c>
      <c r="F173" s="12">
        <v>5.63E-5</v>
      </c>
    </row>
    <row r="174" spans="1:6">
      <c r="A174" s="10">
        <v>2015</v>
      </c>
      <c r="B174" t="s">
        <v>339</v>
      </c>
      <c r="C174" t="s">
        <v>1637</v>
      </c>
      <c r="D174" t="s">
        <v>285</v>
      </c>
      <c r="E174" s="10">
        <v>1188659</v>
      </c>
      <c r="F174" s="12">
        <v>1.1850999999999999E-3</v>
      </c>
    </row>
    <row r="175" spans="1:6">
      <c r="A175" s="10">
        <v>2015</v>
      </c>
      <c r="B175" t="s">
        <v>340</v>
      </c>
      <c r="C175" t="s">
        <v>286</v>
      </c>
      <c r="D175" t="s">
        <v>286</v>
      </c>
      <c r="E175" s="10">
        <v>126860</v>
      </c>
      <c r="F175" s="12">
        <v>1.2650000000000001E-4</v>
      </c>
    </row>
    <row r="176" spans="1:6">
      <c r="A176" s="10">
        <v>2015</v>
      </c>
      <c r="B176" t="s">
        <v>341</v>
      </c>
      <c r="C176" t="s">
        <v>287</v>
      </c>
      <c r="D176" t="s">
        <v>287</v>
      </c>
      <c r="E176" s="10">
        <v>31176</v>
      </c>
      <c r="F176" s="12">
        <v>3.1099999999999997E-5</v>
      </c>
    </row>
    <row r="177" spans="1:6">
      <c r="A177" s="10">
        <v>2015</v>
      </c>
      <c r="B177" t="s">
        <v>342</v>
      </c>
      <c r="C177" t="s">
        <v>1638</v>
      </c>
      <c r="D177" t="s">
        <v>288</v>
      </c>
      <c r="E177" s="10">
        <v>732070</v>
      </c>
      <c r="F177" s="12">
        <v>7.2990000000000001E-4</v>
      </c>
    </row>
    <row r="178" spans="1:6">
      <c r="A178" s="10">
        <v>2015</v>
      </c>
      <c r="B178" t="s">
        <v>343</v>
      </c>
      <c r="C178" t="s">
        <v>1640</v>
      </c>
      <c r="D178" t="s">
        <v>289</v>
      </c>
      <c r="E178" s="10">
        <v>77069</v>
      </c>
      <c r="F178" s="12">
        <v>7.6799999999999997E-5</v>
      </c>
    </row>
    <row r="179" spans="1:6">
      <c r="A179" s="10">
        <v>2015</v>
      </c>
      <c r="B179" t="s">
        <v>344</v>
      </c>
      <c r="C179" t="s">
        <v>290</v>
      </c>
      <c r="D179" t="s">
        <v>290</v>
      </c>
      <c r="E179" s="10">
        <v>54638</v>
      </c>
      <c r="F179" s="12">
        <v>5.4500000000000003E-5</v>
      </c>
    </row>
    <row r="180" spans="1:6">
      <c r="A180" s="10">
        <v>2015</v>
      </c>
      <c r="B180" t="s">
        <v>345</v>
      </c>
      <c r="C180" t="s">
        <v>1642</v>
      </c>
      <c r="D180" t="s">
        <v>291</v>
      </c>
      <c r="E180" s="10">
        <v>136162</v>
      </c>
      <c r="F180" s="12">
        <v>1.3569999999999999E-4</v>
      </c>
    </row>
    <row r="181" spans="1:6">
      <c r="A181" s="10">
        <v>2015</v>
      </c>
      <c r="B181" t="s">
        <v>346</v>
      </c>
      <c r="C181" t="s">
        <v>1643</v>
      </c>
      <c r="D181" t="s">
        <v>292</v>
      </c>
      <c r="E181" s="10">
        <v>8128685</v>
      </c>
      <c r="F181" s="12">
        <v>8.1040999999999995E-3</v>
      </c>
    </row>
    <row r="182" spans="1:6">
      <c r="A182" s="10">
        <v>2015</v>
      </c>
      <c r="B182" t="s">
        <v>347</v>
      </c>
      <c r="C182" t="s">
        <v>1644</v>
      </c>
      <c r="D182" t="s">
        <v>293</v>
      </c>
      <c r="E182" s="10">
        <v>3144173</v>
      </c>
      <c r="F182" s="12">
        <v>3.1346999999999998E-3</v>
      </c>
    </row>
    <row r="183" spans="1:6">
      <c r="A183" s="10">
        <v>2015</v>
      </c>
      <c r="B183" t="s">
        <v>348</v>
      </c>
      <c r="C183" t="s">
        <v>1645</v>
      </c>
      <c r="D183" t="s">
        <v>294</v>
      </c>
      <c r="E183" s="10">
        <v>1423363</v>
      </c>
      <c r="F183" s="12">
        <v>1.4191E-3</v>
      </c>
    </row>
    <row r="184" spans="1:6">
      <c r="A184" s="10">
        <v>2015</v>
      </c>
      <c r="B184" t="s">
        <v>349</v>
      </c>
      <c r="C184" t="s">
        <v>1647</v>
      </c>
      <c r="D184" t="s">
        <v>295</v>
      </c>
      <c r="E184" s="10">
        <v>2363271</v>
      </c>
      <c r="F184" s="12">
        <v>2.3560999999999999E-3</v>
      </c>
    </row>
    <row r="185" spans="1:6">
      <c r="A185" s="10">
        <v>2015</v>
      </c>
      <c r="B185" t="s">
        <v>350</v>
      </c>
      <c r="C185" t="s">
        <v>1648</v>
      </c>
      <c r="D185" t="s">
        <v>296</v>
      </c>
      <c r="E185" s="10">
        <v>2508260</v>
      </c>
      <c r="F185" s="12">
        <v>2.5006999999999998E-3</v>
      </c>
    </row>
    <row r="186" spans="1:6">
      <c r="A186" s="10">
        <v>2015</v>
      </c>
      <c r="B186" t="s">
        <v>351</v>
      </c>
      <c r="C186" t="s">
        <v>297</v>
      </c>
      <c r="D186" t="s">
        <v>297</v>
      </c>
      <c r="E186" s="10">
        <v>27420</v>
      </c>
      <c r="F186" s="12">
        <v>2.73E-5</v>
      </c>
    </row>
    <row r="187" spans="1:6">
      <c r="A187" s="10">
        <v>2015</v>
      </c>
      <c r="B187" t="s">
        <v>352</v>
      </c>
      <c r="C187" t="s">
        <v>2398</v>
      </c>
      <c r="D187" t="s">
        <v>298</v>
      </c>
      <c r="E187" s="10">
        <v>175662</v>
      </c>
      <c r="F187" s="12">
        <v>1.751E-4</v>
      </c>
    </row>
    <row r="188" spans="1:6">
      <c r="A188" s="10">
        <v>2015</v>
      </c>
      <c r="B188" t="s">
        <v>353</v>
      </c>
      <c r="C188" t="s">
        <v>1650</v>
      </c>
      <c r="D188" t="s">
        <v>299</v>
      </c>
      <c r="E188" s="10">
        <v>83126</v>
      </c>
      <c r="F188" s="12">
        <v>8.2899999999999996E-5</v>
      </c>
    </row>
    <row r="189" spans="1:6">
      <c r="A189" s="10">
        <v>2015</v>
      </c>
      <c r="B189" t="s">
        <v>354</v>
      </c>
      <c r="C189" t="s">
        <v>300</v>
      </c>
      <c r="D189" t="s">
        <v>300</v>
      </c>
      <c r="E189" s="10">
        <v>2151135</v>
      </c>
      <c r="F189" s="12">
        <v>2.1446E-3</v>
      </c>
    </row>
    <row r="190" spans="1:6">
      <c r="A190" s="10">
        <v>2015</v>
      </c>
      <c r="B190" t="s">
        <v>355</v>
      </c>
      <c r="C190" t="s">
        <v>2423</v>
      </c>
      <c r="D190" t="s">
        <v>301</v>
      </c>
      <c r="E190" s="10">
        <v>306008</v>
      </c>
      <c r="F190" s="12">
        <v>3.0509999999999999E-4</v>
      </c>
    </row>
    <row r="191" spans="1:6">
      <c r="A191" s="10">
        <v>2015</v>
      </c>
      <c r="B191" t="s">
        <v>356</v>
      </c>
      <c r="C191" t="s">
        <v>1444</v>
      </c>
      <c r="D191" t="s">
        <v>302</v>
      </c>
      <c r="E191" s="10">
        <v>4953179</v>
      </c>
      <c r="F191" s="12">
        <v>4.9382000000000002E-3</v>
      </c>
    </row>
    <row r="192" spans="1:6">
      <c r="A192" s="10">
        <v>2015</v>
      </c>
      <c r="B192" t="s">
        <v>357</v>
      </c>
      <c r="C192" t="s">
        <v>2424</v>
      </c>
      <c r="D192" t="s">
        <v>303</v>
      </c>
      <c r="E192" s="10">
        <v>131768</v>
      </c>
      <c r="F192" s="12">
        <v>1.314E-4</v>
      </c>
    </row>
    <row r="193" spans="1:6">
      <c r="A193" s="10">
        <v>2015</v>
      </c>
      <c r="B193" t="s">
        <v>358</v>
      </c>
      <c r="C193" t="s">
        <v>304</v>
      </c>
      <c r="D193" t="s">
        <v>304</v>
      </c>
      <c r="E193" s="10">
        <v>124594</v>
      </c>
      <c r="F193" s="12">
        <v>1.2420000000000001E-4</v>
      </c>
    </row>
    <row r="194" spans="1:6">
      <c r="A194" s="10">
        <v>2015</v>
      </c>
      <c r="B194" t="s">
        <v>359</v>
      </c>
      <c r="C194" t="s">
        <v>305</v>
      </c>
      <c r="D194" t="s">
        <v>305</v>
      </c>
      <c r="E194" s="10">
        <v>203952</v>
      </c>
      <c r="F194" s="12">
        <v>2.0330000000000001E-4</v>
      </c>
    </row>
    <row r="195" spans="1:6">
      <c r="A195" s="10">
        <v>2015</v>
      </c>
      <c r="B195" t="s">
        <v>360</v>
      </c>
      <c r="C195" t="s">
        <v>1653</v>
      </c>
      <c r="D195" t="s">
        <v>306</v>
      </c>
      <c r="E195" s="10">
        <v>19473225</v>
      </c>
      <c r="F195" s="12">
        <v>1.9414399999999998E-2</v>
      </c>
    </row>
    <row r="196" spans="1:6">
      <c r="A196" s="10">
        <v>2015</v>
      </c>
      <c r="B196" t="s">
        <v>361</v>
      </c>
      <c r="C196" t="s">
        <v>1655</v>
      </c>
      <c r="D196" t="s">
        <v>307</v>
      </c>
      <c r="E196" s="10">
        <v>123479</v>
      </c>
      <c r="F196" s="12">
        <v>1.2310000000000001E-4</v>
      </c>
    </row>
    <row r="197" spans="1:6">
      <c r="A197" s="10">
        <v>2015</v>
      </c>
      <c r="B197" t="s">
        <v>362</v>
      </c>
      <c r="C197" t="s">
        <v>1656</v>
      </c>
      <c r="D197" t="s">
        <v>308</v>
      </c>
      <c r="E197" s="10">
        <v>6667</v>
      </c>
      <c r="F197" s="12">
        <v>6.6000000000000003E-6</v>
      </c>
    </row>
    <row r="198" spans="1:6">
      <c r="A198" s="10">
        <v>2015</v>
      </c>
      <c r="B198" t="s">
        <v>363</v>
      </c>
      <c r="C198" t="s">
        <v>1657</v>
      </c>
      <c r="D198" t="s">
        <v>309</v>
      </c>
      <c r="E198" s="10">
        <v>2799576</v>
      </c>
      <c r="F198" s="12">
        <v>2.7910999999999999E-3</v>
      </c>
    </row>
    <row r="199" spans="1:6">
      <c r="A199" s="10">
        <v>2015</v>
      </c>
      <c r="B199" t="s">
        <v>364</v>
      </c>
      <c r="C199" t="s">
        <v>310</v>
      </c>
      <c r="D199" t="s">
        <v>310</v>
      </c>
      <c r="E199" s="10">
        <v>8893</v>
      </c>
      <c r="F199" s="12">
        <v>8.8999999999999995E-6</v>
      </c>
    </row>
    <row r="200" spans="1:6">
      <c r="A200" s="10">
        <v>2015</v>
      </c>
      <c r="B200" t="s">
        <v>365</v>
      </c>
      <c r="C200" t="s">
        <v>1658</v>
      </c>
      <c r="D200" t="s">
        <v>311</v>
      </c>
      <c r="E200" s="10">
        <v>850576</v>
      </c>
      <c r="F200" s="12">
        <v>8.4800000000000001E-4</v>
      </c>
    </row>
    <row r="201" spans="1:6">
      <c r="A201" s="10">
        <v>2015</v>
      </c>
      <c r="B201" t="s">
        <v>366</v>
      </c>
      <c r="C201" t="s">
        <v>312</v>
      </c>
      <c r="D201" t="s">
        <v>312</v>
      </c>
      <c r="E201" s="10">
        <v>1605</v>
      </c>
      <c r="F201" s="12">
        <v>1.5999999999999999E-6</v>
      </c>
    </row>
    <row r="202" spans="1:6">
      <c r="A202" s="10">
        <v>2015</v>
      </c>
      <c r="B202" t="s">
        <v>367</v>
      </c>
      <c r="C202" t="s">
        <v>313</v>
      </c>
      <c r="D202" t="s">
        <v>313</v>
      </c>
      <c r="E202" s="10">
        <v>43412</v>
      </c>
      <c r="F202" s="12">
        <v>4.3300000000000002E-5</v>
      </c>
    </row>
    <row r="203" spans="1:6">
      <c r="A203" s="10">
        <v>2015</v>
      </c>
      <c r="B203" t="s">
        <v>368</v>
      </c>
      <c r="C203" t="s">
        <v>1661</v>
      </c>
      <c r="D203" t="s">
        <v>314</v>
      </c>
      <c r="E203" s="10">
        <v>100862</v>
      </c>
      <c r="F203" s="12">
        <v>1.0060000000000001E-4</v>
      </c>
    </row>
    <row r="204" spans="1:6">
      <c r="A204" s="10">
        <v>2015</v>
      </c>
      <c r="B204" t="s">
        <v>369</v>
      </c>
      <c r="C204" t="s">
        <v>1505</v>
      </c>
      <c r="D204" t="s">
        <v>315</v>
      </c>
      <c r="E204" s="10">
        <v>1019295</v>
      </c>
      <c r="F204" s="12">
        <v>1.0162000000000001E-3</v>
      </c>
    </row>
    <row r="205" spans="1:6">
      <c r="A205" s="10">
        <v>2015</v>
      </c>
      <c r="B205" t="s">
        <v>370</v>
      </c>
      <c r="C205" t="s">
        <v>1617</v>
      </c>
      <c r="D205" t="s">
        <v>316</v>
      </c>
      <c r="E205" s="10">
        <v>2043209</v>
      </c>
      <c r="F205" s="12">
        <v>2.0370000000000002E-3</v>
      </c>
    </row>
    <row r="206" spans="1:6">
      <c r="A206" s="10">
        <v>2015</v>
      </c>
      <c r="B206" t="s">
        <v>371</v>
      </c>
      <c r="C206" t="s">
        <v>1623</v>
      </c>
      <c r="D206" t="s">
        <v>317</v>
      </c>
      <c r="E206" s="10">
        <v>248279</v>
      </c>
      <c r="F206" s="12">
        <v>2.475E-4</v>
      </c>
    </row>
    <row r="207" spans="1:6">
      <c r="A207" s="10">
        <v>2015</v>
      </c>
      <c r="B207" t="s">
        <v>372</v>
      </c>
      <c r="C207" t="s">
        <v>1626</v>
      </c>
      <c r="D207" t="s">
        <v>318</v>
      </c>
      <c r="E207" s="10">
        <v>202269</v>
      </c>
      <c r="F207" s="12">
        <v>2.017E-4</v>
      </c>
    </row>
    <row r="208" spans="1:6">
      <c r="A208" s="10">
        <v>2015</v>
      </c>
      <c r="B208" t="s">
        <v>373</v>
      </c>
      <c r="C208" t="s">
        <v>1636</v>
      </c>
      <c r="D208" t="s">
        <v>319</v>
      </c>
      <c r="E208" s="10">
        <v>1709239</v>
      </c>
      <c r="F208" s="12">
        <v>1.7041000000000001E-3</v>
      </c>
    </row>
    <row r="209" spans="1:6">
      <c r="A209" s="10">
        <v>2015</v>
      </c>
      <c r="B209" t="s">
        <v>374</v>
      </c>
      <c r="C209" t="s">
        <v>1646</v>
      </c>
      <c r="D209" t="s">
        <v>320</v>
      </c>
      <c r="E209" s="10">
        <v>1464181</v>
      </c>
      <c r="F209" s="12">
        <v>1.4598E-3</v>
      </c>
    </row>
    <row r="210" spans="1:6">
      <c r="A210" s="10">
        <v>2015</v>
      </c>
      <c r="B210" t="s">
        <v>375</v>
      </c>
      <c r="C210" t="s">
        <v>1654</v>
      </c>
      <c r="D210" t="s">
        <v>321</v>
      </c>
      <c r="E210" s="10">
        <v>7333532</v>
      </c>
      <c r="F210" s="12">
        <v>7.3114E-3</v>
      </c>
    </row>
    <row r="211" spans="1:6">
      <c r="A211" s="10">
        <v>2015</v>
      </c>
      <c r="B211" t="s">
        <v>376</v>
      </c>
      <c r="C211" t="s">
        <v>1676</v>
      </c>
      <c r="D211" t="s">
        <v>322</v>
      </c>
      <c r="E211" s="10">
        <v>475104</v>
      </c>
      <c r="F211" s="12">
        <v>4.7370000000000002E-4</v>
      </c>
    </row>
    <row r="212" spans="1:6">
      <c r="A212" s="10">
        <v>2015</v>
      </c>
      <c r="B212" t="s">
        <v>377</v>
      </c>
      <c r="C212" t="s">
        <v>1678</v>
      </c>
      <c r="D212" t="s">
        <v>323</v>
      </c>
      <c r="E212" s="10">
        <v>757217</v>
      </c>
      <c r="F212" s="12">
        <v>7.5489999999999997E-4</v>
      </c>
    </row>
    <row r="213" spans="1:6">
      <c r="A213" s="10">
        <v>2015</v>
      </c>
      <c r="B213" t="s">
        <v>378</v>
      </c>
      <c r="C213" t="s">
        <v>1693</v>
      </c>
      <c r="D213" t="s">
        <v>324</v>
      </c>
      <c r="E213" s="10">
        <v>456053</v>
      </c>
      <c r="F213" s="12">
        <v>4.5469999999999999E-4</v>
      </c>
    </row>
    <row r="214" spans="1:6">
      <c r="A214" s="10">
        <v>2015</v>
      </c>
      <c r="B214" t="s">
        <v>379</v>
      </c>
      <c r="C214" t="s">
        <v>1706</v>
      </c>
      <c r="D214" t="s">
        <v>325</v>
      </c>
      <c r="E214" s="10">
        <v>614167</v>
      </c>
      <c r="F214" s="12">
        <v>6.1229999999999998E-4</v>
      </c>
    </row>
    <row r="215" spans="1:6">
      <c r="A215" s="10">
        <v>2015</v>
      </c>
      <c r="B215" t="s">
        <v>380</v>
      </c>
      <c r="C215" t="s">
        <v>1712</v>
      </c>
      <c r="D215" t="s">
        <v>326</v>
      </c>
      <c r="E215" s="10">
        <v>408737</v>
      </c>
      <c r="F215" s="12">
        <v>4.0749999999999998E-4</v>
      </c>
    </row>
    <row r="216" spans="1:6">
      <c r="A216" s="10">
        <v>2015</v>
      </c>
      <c r="B216" t="s">
        <v>381</v>
      </c>
      <c r="C216" t="s">
        <v>1716</v>
      </c>
      <c r="D216" t="s">
        <v>327</v>
      </c>
      <c r="E216" s="10">
        <v>3013561</v>
      </c>
      <c r="F216" s="12">
        <v>3.0044999999999998E-3</v>
      </c>
    </row>
    <row r="217" spans="1:6">
      <c r="A217" s="10">
        <v>2015</v>
      </c>
      <c r="B217" t="s">
        <v>382</v>
      </c>
      <c r="C217" t="s">
        <v>1734</v>
      </c>
      <c r="D217" t="s">
        <v>328</v>
      </c>
      <c r="E217" s="10">
        <v>6070948</v>
      </c>
      <c r="F217" s="12">
        <v>6.0526E-3</v>
      </c>
    </row>
    <row r="218" spans="1:6">
      <c r="A218" s="10">
        <v>2015</v>
      </c>
      <c r="B218" t="s">
        <v>383</v>
      </c>
      <c r="C218" t="s">
        <v>1736</v>
      </c>
      <c r="D218" t="s">
        <v>329</v>
      </c>
      <c r="E218" s="10">
        <v>225991</v>
      </c>
      <c r="F218" s="12">
        <v>2.253E-4</v>
      </c>
    </row>
    <row r="219" spans="1:6">
      <c r="A219" s="10">
        <v>2015</v>
      </c>
      <c r="B219" t="s">
        <v>384</v>
      </c>
      <c r="C219" t="s">
        <v>1737</v>
      </c>
      <c r="D219" t="s">
        <v>330</v>
      </c>
      <c r="E219" s="10">
        <v>2381728</v>
      </c>
      <c r="F219" s="12">
        <v>2.3744999999999999E-3</v>
      </c>
    </row>
    <row r="220" spans="1:6">
      <c r="A220" s="10">
        <v>2015</v>
      </c>
      <c r="B220" t="s">
        <v>440</v>
      </c>
      <c r="C220" t="s">
        <v>1752</v>
      </c>
      <c r="D220" t="s">
        <v>385</v>
      </c>
      <c r="E220" s="10">
        <v>183845</v>
      </c>
      <c r="F220" s="12">
        <v>1.8330000000000001E-4</v>
      </c>
    </row>
    <row r="221" spans="1:6">
      <c r="A221" s="10">
        <v>2015</v>
      </c>
      <c r="B221" t="s">
        <v>441</v>
      </c>
      <c r="C221" t="s">
        <v>1772</v>
      </c>
      <c r="D221" t="s">
        <v>386</v>
      </c>
      <c r="E221" s="10">
        <v>1030566</v>
      </c>
      <c r="F221" s="12">
        <v>1.0275E-3</v>
      </c>
    </row>
    <row r="222" spans="1:6">
      <c r="A222" s="10">
        <v>2015</v>
      </c>
      <c r="B222" t="s">
        <v>442</v>
      </c>
      <c r="C222" t="s">
        <v>1776</v>
      </c>
      <c r="D222" t="s">
        <v>387</v>
      </c>
      <c r="E222" s="10">
        <v>1670099</v>
      </c>
      <c r="F222" s="12">
        <v>1.6651000000000001E-3</v>
      </c>
    </row>
    <row r="223" spans="1:6">
      <c r="A223" s="10">
        <v>2015</v>
      </c>
      <c r="B223" t="s">
        <v>443</v>
      </c>
      <c r="C223" t="s">
        <v>1785</v>
      </c>
      <c r="D223" t="s">
        <v>388</v>
      </c>
      <c r="E223" s="10">
        <v>224650</v>
      </c>
      <c r="F223" s="12">
        <v>2.24E-4</v>
      </c>
    </row>
    <row r="224" spans="1:6">
      <c r="A224" s="10">
        <v>2015</v>
      </c>
      <c r="B224" t="s">
        <v>444</v>
      </c>
      <c r="C224" t="s">
        <v>1800</v>
      </c>
      <c r="D224" t="s">
        <v>389</v>
      </c>
      <c r="E224" s="10">
        <v>775991</v>
      </c>
      <c r="F224" s="12">
        <v>7.7360000000000005E-4</v>
      </c>
    </row>
    <row r="225" spans="1:6">
      <c r="A225" s="10">
        <v>2015</v>
      </c>
      <c r="B225" t="s">
        <v>445</v>
      </c>
      <c r="C225" t="s">
        <v>1807</v>
      </c>
      <c r="D225" t="s">
        <v>390</v>
      </c>
      <c r="E225" s="10">
        <v>16442201</v>
      </c>
      <c r="F225" s="12">
        <v>1.6392500000000001E-2</v>
      </c>
    </row>
    <row r="226" spans="1:6">
      <c r="A226" s="10">
        <v>2015</v>
      </c>
      <c r="B226" t="s">
        <v>446</v>
      </c>
      <c r="C226" t="s">
        <v>1833</v>
      </c>
      <c r="D226" t="s">
        <v>391</v>
      </c>
      <c r="E226" s="10">
        <v>714373</v>
      </c>
      <c r="F226" s="12">
        <v>7.1219999999999996E-4</v>
      </c>
    </row>
    <row r="227" spans="1:6">
      <c r="A227" s="10">
        <v>2015</v>
      </c>
      <c r="B227" t="s">
        <v>447</v>
      </c>
      <c r="C227" t="s">
        <v>1849</v>
      </c>
      <c r="D227" t="s">
        <v>392</v>
      </c>
      <c r="E227" s="10">
        <v>506890</v>
      </c>
      <c r="F227" s="12">
        <v>5.0540000000000003E-4</v>
      </c>
    </row>
    <row r="228" spans="1:6">
      <c r="A228" s="10">
        <v>2015</v>
      </c>
      <c r="B228" t="s">
        <v>448</v>
      </c>
      <c r="C228" t="s">
        <v>1871</v>
      </c>
      <c r="D228" t="s">
        <v>393</v>
      </c>
      <c r="E228" s="10">
        <v>5282670</v>
      </c>
      <c r="F228" s="12">
        <v>5.2667E-3</v>
      </c>
    </row>
    <row r="229" spans="1:6">
      <c r="A229" s="10">
        <v>2015</v>
      </c>
      <c r="B229" t="s">
        <v>449</v>
      </c>
      <c r="C229" t="s">
        <v>1903</v>
      </c>
      <c r="D229" t="s">
        <v>394</v>
      </c>
      <c r="E229" s="10">
        <v>1999035</v>
      </c>
      <c r="F229" s="12">
        <v>1.993E-3</v>
      </c>
    </row>
    <row r="230" spans="1:6">
      <c r="A230" s="10">
        <v>2015</v>
      </c>
      <c r="B230" t="s">
        <v>450</v>
      </c>
      <c r="C230" t="s">
        <v>1924</v>
      </c>
      <c r="D230" t="s">
        <v>395</v>
      </c>
      <c r="E230" s="10">
        <v>648783</v>
      </c>
      <c r="F230" s="12">
        <v>6.468E-4</v>
      </c>
    </row>
    <row r="231" spans="1:6">
      <c r="A231" s="10">
        <v>2015</v>
      </c>
      <c r="B231" t="s">
        <v>451</v>
      </c>
      <c r="C231" t="s">
        <v>1932</v>
      </c>
      <c r="D231" t="s">
        <v>396</v>
      </c>
      <c r="E231" s="10">
        <v>639617</v>
      </c>
      <c r="F231" s="12">
        <v>6.3770000000000005E-4</v>
      </c>
    </row>
    <row r="232" spans="1:6">
      <c r="A232" s="10">
        <v>2015</v>
      </c>
      <c r="B232" t="s">
        <v>452</v>
      </c>
      <c r="C232" t="s">
        <v>1939</v>
      </c>
      <c r="D232" t="s">
        <v>397</v>
      </c>
      <c r="E232" s="10">
        <v>11030969</v>
      </c>
      <c r="F232" s="12">
        <v>1.09976E-2</v>
      </c>
    </row>
    <row r="233" spans="1:6">
      <c r="A233" s="10">
        <v>2015</v>
      </c>
      <c r="B233" t="s">
        <v>453</v>
      </c>
      <c r="C233" t="s">
        <v>1940</v>
      </c>
      <c r="D233" t="s">
        <v>398</v>
      </c>
      <c r="E233" s="10">
        <v>520998</v>
      </c>
      <c r="F233" s="12">
        <v>5.1940000000000005E-4</v>
      </c>
    </row>
    <row r="234" spans="1:6">
      <c r="A234" s="10">
        <v>2015</v>
      </c>
      <c r="B234" t="s">
        <v>454</v>
      </c>
      <c r="C234" t="s">
        <v>1947</v>
      </c>
      <c r="D234" t="s">
        <v>399</v>
      </c>
      <c r="E234" s="10">
        <v>523897</v>
      </c>
      <c r="F234" s="12">
        <v>5.2229999999999996E-4</v>
      </c>
    </row>
    <row r="235" spans="1:6">
      <c r="A235" s="10">
        <v>2015</v>
      </c>
      <c r="B235" t="s">
        <v>455</v>
      </c>
      <c r="C235" t="s">
        <v>1950</v>
      </c>
      <c r="D235" t="s">
        <v>400</v>
      </c>
      <c r="E235" s="10">
        <v>1099865</v>
      </c>
      <c r="F235" s="12">
        <v>1.0965E-3</v>
      </c>
    </row>
    <row r="236" spans="1:6">
      <c r="A236" s="10">
        <v>2015</v>
      </c>
      <c r="B236" t="s">
        <v>456</v>
      </c>
      <c r="C236" t="s">
        <v>1958</v>
      </c>
      <c r="D236" t="s">
        <v>401</v>
      </c>
      <c r="E236" s="10">
        <v>258403</v>
      </c>
      <c r="F236" s="12">
        <v>2.5759999999999997E-4</v>
      </c>
    </row>
    <row r="237" spans="1:6">
      <c r="A237" s="10">
        <v>2015</v>
      </c>
      <c r="B237" t="s">
        <v>457</v>
      </c>
      <c r="C237" t="s">
        <v>1961</v>
      </c>
      <c r="D237" t="s">
        <v>402</v>
      </c>
      <c r="E237" s="10">
        <v>113145</v>
      </c>
      <c r="F237" s="12">
        <v>1.128E-4</v>
      </c>
    </row>
    <row r="238" spans="1:6">
      <c r="A238" s="10">
        <v>2015</v>
      </c>
      <c r="B238" t="s">
        <v>458</v>
      </c>
      <c r="C238" t="s">
        <v>1967</v>
      </c>
      <c r="D238" t="s">
        <v>403</v>
      </c>
      <c r="E238" s="10">
        <v>111527</v>
      </c>
      <c r="F238" s="12">
        <v>1.1120000000000001E-4</v>
      </c>
    </row>
    <row r="239" spans="1:6">
      <c r="A239" s="10">
        <v>2015</v>
      </c>
      <c r="B239" t="s">
        <v>459</v>
      </c>
      <c r="C239" t="s">
        <v>1977</v>
      </c>
      <c r="D239" t="s">
        <v>404</v>
      </c>
      <c r="E239" s="10">
        <v>3273878</v>
      </c>
      <c r="F239" s="12">
        <v>3.264E-3</v>
      </c>
    </row>
    <row r="240" spans="1:6">
      <c r="A240" s="10">
        <v>2015</v>
      </c>
      <c r="B240" t="s">
        <v>460</v>
      </c>
      <c r="C240" t="s">
        <v>1984</v>
      </c>
      <c r="D240" t="s">
        <v>405</v>
      </c>
      <c r="E240" s="10">
        <v>7674811</v>
      </c>
      <c r="F240" s="12">
        <v>7.6515999999999997E-3</v>
      </c>
    </row>
    <row r="241" spans="1:6">
      <c r="A241" s="10">
        <v>2015</v>
      </c>
      <c r="B241" t="s">
        <v>461</v>
      </c>
      <c r="C241" t="s">
        <v>1989</v>
      </c>
      <c r="D241" t="s">
        <v>406</v>
      </c>
      <c r="E241" s="10">
        <v>776216</v>
      </c>
      <c r="F241" s="12">
        <v>7.739E-4</v>
      </c>
    </row>
    <row r="242" spans="1:6">
      <c r="A242" s="10">
        <v>2015</v>
      </c>
      <c r="B242" t="s">
        <v>462</v>
      </c>
      <c r="C242" t="s">
        <v>1992</v>
      </c>
      <c r="D242" t="s">
        <v>407</v>
      </c>
      <c r="E242" s="10">
        <v>60331</v>
      </c>
      <c r="F242" s="12">
        <v>6.0099999999999997E-5</v>
      </c>
    </row>
    <row r="243" spans="1:6">
      <c r="A243" s="10">
        <v>2015</v>
      </c>
      <c r="B243" t="s">
        <v>463</v>
      </c>
      <c r="C243" t="s">
        <v>2020</v>
      </c>
      <c r="D243" t="s">
        <v>408</v>
      </c>
      <c r="E243" s="10">
        <v>184033</v>
      </c>
      <c r="F243" s="12">
        <v>1.8349999999999999E-4</v>
      </c>
    </row>
    <row r="244" spans="1:6">
      <c r="A244" s="10">
        <v>2015</v>
      </c>
      <c r="B244" t="s">
        <v>464</v>
      </c>
      <c r="C244" t="s">
        <v>2022</v>
      </c>
      <c r="D244" t="s">
        <v>409</v>
      </c>
      <c r="E244" s="10">
        <v>267890</v>
      </c>
      <c r="F244" s="12">
        <v>2.6709999999999999E-4</v>
      </c>
    </row>
    <row r="245" spans="1:6">
      <c r="A245" s="10">
        <v>2015</v>
      </c>
      <c r="B245" t="s">
        <v>465</v>
      </c>
      <c r="C245" t="s">
        <v>2028</v>
      </c>
      <c r="D245" t="s">
        <v>410</v>
      </c>
      <c r="E245" s="10">
        <v>271145</v>
      </c>
      <c r="F245" s="12">
        <v>2.7030000000000001E-4</v>
      </c>
    </row>
    <row r="246" spans="1:6">
      <c r="A246" s="10">
        <v>2015</v>
      </c>
      <c r="B246" t="s">
        <v>466</v>
      </c>
      <c r="C246" t="s">
        <v>2042</v>
      </c>
      <c r="D246" t="s">
        <v>411</v>
      </c>
      <c r="E246" s="10">
        <v>3147056</v>
      </c>
      <c r="F246" s="12">
        <v>3.1375000000000001E-3</v>
      </c>
    </row>
    <row r="247" spans="1:6">
      <c r="A247" s="10">
        <v>2015</v>
      </c>
      <c r="B247" t="s">
        <v>467</v>
      </c>
      <c r="C247" t="s">
        <v>412</v>
      </c>
      <c r="D247" t="s">
        <v>412</v>
      </c>
      <c r="E247" s="10">
        <v>6357</v>
      </c>
      <c r="F247" s="12">
        <v>6.2999999999999998E-6</v>
      </c>
    </row>
    <row r="248" spans="1:6">
      <c r="A248" s="10">
        <v>2015</v>
      </c>
      <c r="B248" t="s">
        <v>468</v>
      </c>
      <c r="C248" t="s">
        <v>1663</v>
      </c>
      <c r="D248" t="s">
        <v>413</v>
      </c>
      <c r="E248" s="10">
        <v>208329</v>
      </c>
      <c r="F248" s="12">
        <v>2.0770000000000001E-4</v>
      </c>
    </row>
    <row r="249" spans="1:6">
      <c r="A249" s="10">
        <v>2015</v>
      </c>
      <c r="B249" t="s">
        <v>469</v>
      </c>
      <c r="C249" t="s">
        <v>1664</v>
      </c>
      <c r="D249" t="s">
        <v>414</v>
      </c>
      <c r="E249" s="10">
        <v>14398</v>
      </c>
      <c r="F249" s="12">
        <v>1.4399999999999999E-5</v>
      </c>
    </row>
    <row r="250" spans="1:6">
      <c r="A250" s="10">
        <v>2015</v>
      </c>
      <c r="B250" t="s">
        <v>470</v>
      </c>
      <c r="C250" t="s">
        <v>2361</v>
      </c>
      <c r="D250" t="s">
        <v>415</v>
      </c>
      <c r="E250" s="10">
        <v>21667</v>
      </c>
      <c r="F250" s="12">
        <v>2.16E-5</v>
      </c>
    </row>
    <row r="251" spans="1:6">
      <c r="A251" s="10">
        <v>2015</v>
      </c>
      <c r="B251" t="s">
        <v>471</v>
      </c>
      <c r="C251" t="s">
        <v>416</v>
      </c>
      <c r="D251" t="s">
        <v>416</v>
      </c>
      <c r="E251" s="10">
        <v>2098811</v>
      </c>
      <c r="F251" s="12">
        <v>2.0925000000000002E-3</v>
      </c>
    </row>
    <row r="252" spans="1:6">
      <c r="A252" s="10">
        <v>2015</v>
      </c>
      <c r="B252" t="s">
        <v>472</v>
      </c>
      <c r="C252" t="s">
        <v>417</v>
      </c>
      <c r="D252" t="s">
        <v>417</v>
      </c>
      <c r="E252" s="10">
        <v>2738855</v>
      </c>
      <c r="F252" s="12">
        <v>2.7306000000000001E-3</v>
      </c>
    </row>
    <row r="253" spans="1:6">
      <c r="A253" s="10">
        <v>2015</v>
      </c>
      <c r="B253" t="s">
        <v>473</v>
      </c>
      <c r="C253" t="s">
        <v>418</v>
      </c>
      <c r="D253" t="s">
        <v>418</v>
      </c>
      <c r="E253" s="10"/>
      <c r="F253" s="12">
        <v>0</v>
      </c>
    </row>
    <row r="254" spans="1:6">
      <c r="A254" s="10">
        <v>2015</v>
      </c>
      <c r="B254" t="s">
        <v>474</v>
      </c>
      <c r="C254" t="s">
        <v>1666</v>
      </c>
      <c r="D254" t="s">
        <v>419</v>
      </c>
      <c r="E254" s="10">
        <v>75473</v>
      </c>
      <c r="F254" s="12">
        <v>7.5199999999999998E-5</v>
      </c>
    </row>
    <row r="255" spans="1:6">
      <c r="A255" s="10">
        <v>2015</v>
      </c>
      <c r="B255" t="s">
        <v>475</v>
      </c>
      <c r="C255" t="s">
        <v>1667</v>
      </c>
      <c r="D255" t="s">
        <v>420</v>
      </c>
      <c r="E255" s="10">
        <v>16393</v>
      </c>
      <c r="F255" s="12">
        <v>1.63E-5</v>
      </c>
    </row>
    <row r="256" spans="1:6">
      <c r="A256" s="10">
        <v>2015</v>
      </c>
      <c r="B256" t="s">
        <v>476</v>
      </c>
      <c r="C256" t="s">
        <v>421</v>
      </c>
      <c r="D256" t="s">
        <v>421</v>
      </c>
      <c r="E256" s="10">
        <v>3839986</v>
      </c>
      <c r="F256" s="12">
        <v>3.8284E-3</v>
      </c>
    </row>
    <row r="257" spans="1:6">
      <c r="A257" s="10">
        <v>2015</v>
      </c>
      <c r="B257" t="s">
        <v>477</v>
      </c>
      <c r="C257" t="s">
        <v>422</v>
      </c>
      <c r="D257" t="s">
        <v>422</v>
      </c>
      <c r="E257" s="10">
        <v>750800</v>
      </c>
      <c r="F257" s="12">
        <v>7.4850000000000003E-4</v>
      </c>
    </row>
    <row r="258" spans="1:6">
      <c r="A258" s="10">
        <v>2015</v>
      </c>
      <c r="B258" t="s">
        <v>478</v>
      </c>
      <c r="C258" t="s">
        <v>1668</v>
      </c>
      <c r="D258" t="s">
        <v>423</v>
      </c>
      <c r="E258" s="10">
        <v>91356</v>
      </c>
      <c r="F258" s="12">
        <v>9.1100000000000005E-5</v>
      </c>
    </row>
    <row r="259" spans="1:6">
      <c r="A259" s="10">
        <v>2015</v>
      </c>
      <c r="B259" t="s">
        <v>479</v>
      </c>
      <c r="C259" t="s">
        <v>1669</v>
      </c>
      <c r="D259" t="s">
        <v>424</v>
      </c>
      <c r="E259" s="10">
        <v>156536</v>
      </c>
      <c r="F259" s="12">
        <v>1.561E-4</v>
      </c>
    </row>
    <row r="260" spans="1:6">
      <c r="A260" s="10">
        <v>2015</v>
      </c>
      <c r="B260" t="s">
        <v>480</v>
      </c>
      <c r="C260" t="s">
        <v>1670</v>
      </c>
      <c r="D260" t="s">
        <v>425</v>
      </c>
      <c r="E260" s="10">
        <v>41482</v>
      </c>
      <c r="F260" s="12">
        <v>4.1399999999999997E-5</v>
      </c>
    </row>
    <row r="261" spans="1:6">
      <c r="A261" s="10">
        <v>2015</v>
      </c>
      <c r="B261" t="s">
        <v>481</v>
      </c>
      <c r="C261" t="s">
        <v>1671</v>
      </c>
      <c r="D261" t="s">
        <v>426</v>
      </c>
      <c r="E261" s="10">
        <v>826868</v>
      </c>
      <c r="F261" s="12">
        <v>8.2439999999999998E-4</v>
      </c>
    </row>
    <row r="262" spans="1:6">
      <c r="A262" s="10">
        <v>2015</v>
      </c>
      <c r="B262" t="s">
        <v>482</v>
      </c>
      <c r="C262" t="s">
        <v>1672</v>
      </c>
      <c r="D262" t="s">
        <v>427</v>
      </c>
      <c r="E262" s="10">
        <v>145915</v>
      </c>
      <c r="F262" s="12">
        <v>1.4550000000000001E-4</v>
      </c>
    </row>
    <row r="263" spans="1:6">
      <c r="A263" s="10">
        <v>2015</v>
      </c>
      <c r="B263" t="s">
        <v>483</v>
      </c>
      <c r="C263" t="s">
        <v>1673</v>
      </c>
      <c r="D263" t="s">
        <v>428</v>
      </c>
      <c r="E263" s="10">
        <v>100727</v>
      </c>
      <c r="F263" s="12">
        <v>1.004E-4</v>
      </c>
    </row>
    <row r="264" spans="1:6">
      <c r="A264" s="10">
        <v>2015</v>
      </c>
      <c r="B264" t="s">
        <v>484</v>
      </c>
      <c r="C264" t="s">
        <v>1674</v>
      </c>
      <c r="D264" t="s">
        <v>429</v>
      </c>
      <c r="E264" s="10">
        <v>267216</v>
      </c>
      <c r="F264" s="12">
        <v>2.6640000000000002E-4</v>
      </c>
    </row>
    <row r="265" spans="1:6">
      <c r="A265" s="10">
        <v>2015</v>
      </c>
      <c r="B265" t="s">
        <v>485</v>
      </c>
      <c r="C265" t="s">
        <v>1675</v>
      </c>
      <c r="D265" t="s">
        <v>430</v>
      </c>
      <c r="E265" s="10">
        <v>1559852</v>
      </c>
      <c r="F265" s="12">
        <v>1.5551E-3</v>
      </c>
    </row>
    <row r="266" spans="1:6">
      <c r="A266" s="10">
        <v>2015</v>
      </c>
      <c r="B266" t="s">
        <v>486</v>
      </c>
      <c r="C266" t="s">
        <v>1679</v>
      </c>
      <c r="D266" t="s">
        <v>431</v>
      </c>
      <c r="E266" s="10">
        <v>868655</v>
      </c>
      <c r="F266" s="12">
        <v>8.6600000000000002E-4</v>
      </c>
    </row>
    <row r="267" spans="1:6">
      <c r="A267" s="10">
        <v>2015</v>
      </c>
      <c r="B267" t="s">
        <v>487</v>
      </c>
      <c r="C267" t="s">
        <v>432</v>
      </c>
      <c r="D267" t="s">
        <v>432</v>
      </c>
      <c r="E267" s="10">
        <v>8003</v>
      </c>
      <c r="F267" s="12">
        <v>7.9999999999999996E-6</v>
      </c>
    </row>
    <row r="268" spans="1:6">
      <c r="A268" s="10">
        <v>2015</v>
      </c>
      <c r="B268" t="s">
        <v>488</v>
      </c>
      <c r="C268" t="s">
        <v>1680</v>
      </c>
      <c r="D268" t="s">
        <v>433</v>
      </c>
      <c r="E268" s="10">
        <v>118554</v>
      </c>
      <c r="F268" s="12">
        <v>1.182E-4</v>
      </c>
    </row>
    <row r="269" spans="1:6">
      <c r="A269" s="10">
        <v>2015</v>
      </c>
      <c r="B269" t="s">
        <v>489</v>
      </c>
      <c r="C269" t="s">
        <v>434</v>
      </c>
      <c r="D269" t="s">
        <v>434</v>
      </c>
      <c r="E269" s="10">
        <v>49336</v>
      </c>
      <c r="F269" s="12">
        <v>4.9200000000000003E-5</v>
      </c>
    </row>
    <row r="270" spans="1:6">
      <c r="A270" s="10">
        <v>2015</v>
      </c>
      <c r="B270" t="s">
        <v>490</v>
      </c>
      <c r="C270" t="s">
        <v>1681</v>
      </c>
      <c r="D270" t="s">
        <v>435</v>
      </c>
      <c r="E270" s="10">
        <v>2542268</v>
      </c>
      <c r="F270" s="12">
        <v>2.5346000000000001E-3</v>
      </c>
    </row>
    <row r="271" spans="1:6">
      <c r="A271" s="10">
        <v>2015</v>
      </c>
      <c r="B271" t="s">
        <v>491</v>
      </c>
      <c r="C271" t="s">
        <v>1682</v>
      </c>
      <c r="D271" t="s">
        <v>436</v>
      </c>
      <c r="E271" s="10">
        <v>3317239</v>
      </c>
      <c r="F271" s="12">
        <v>3.3072000000000002E-3</v>
      </c>
    </row>
    <row r="272" spans="1:6">
      <c r="A272" s="10">
        <v>2015</v>
      </c>
      <c r="B272" t="s">
        <v>492</v>
      </c>
      <c r="C272" t="s">
        <v>1683</v>
      </c>
      <c r="D272" t="s">
        <v>437</v>
      </c>
      <c r="E272" s="10">
        <v>3228</v>
      </c>
      <c r="F272" s="12">
        <v>3.1999999999999999E-6</v>
      </c>
    </row>
    <row r="273" spans="1:6">
      <c r="A273" s="10">
        <v>2015</v>
      </c>
      <c r="B273" t="s">
        <v>493</v>
      </c>
      <c r="C273" t="s">
        <v>1684</v>
      </c>
      <c r="D273" t="s">
        <v>438</v>
      </c>
      <c r="E273" s="10">
        <v>10024</v>
      </c>
      <c r="F273" s="12">
        <v>1.0000000000000001E-5</v>
      </c>
    </row>
    <row r="274" spans="1:6">
      <c r="A274" s="10">
        <v>2015</v>
      </c>
      <c r="B274" t="s">
        <v>494</v>
      </c>
      <c r="C274" t="s">
        <v>1685</v>
      </c>
      <c r="D274" t="s">
        <v>439</v>
      </c>
      <c r="E274" s="10">
        <v>23869</v>
      </c>
      <c r="F274" s="12">
        <v>2.3799999999999999E-5</v>
      </c>
    </row>
    <row r="275" spans="1:6">
      <c r="A275" s="10">
        <v>2015</v>
      </c>
      <c r="B275" t="s">
        <v>550</v>
      </c>
      <c r="C275" t="s">
        <v>1686</v>
      </c>
      <c r="D275" t="s">
        <v>495</v>
      </c>
      <c r="E275" s="10">
        <v>69882</v>
      </c>
      <c r="F275" s="12">
        <v>6.97E-5</v>
      </c>
    </row>
    <row r="276" spans="1:6">
      <c r="A276" s="10">
        <v>2015</v>
      </c>
      <c r="B276" t="s">
        <v>551</v>
      </c>
      <c r="C276" t="s">
        <v>1687</v>
      </c>
      <c r="D276" t="s">
        <v>496</v>
      </c>
      <c r="E276" s="10">
        <v>76429</v>
      </c>
      <c r="F276" s="12">
        <v>7.6199999999999995E-5</v>
      </c>
    </row>
    <row r="277" spans="1:6">
      <c r="A277" s="10">
        <v>2015</v>
      </c>
      <c r="B277" t="s">
        <v>552</v>
      </c>
      <c r="C277" t="s">
        <v>1688</v>
      </c>
      <c r="D277" t="s">
        <v>497</v>
      </c>
      <c r="E277" s="10">
        <v>15288215</v>
      </c>
      <c r="F277" s="12">
        <v>1.5242E-2</v>
      </c>
    </row>
    <row r="278" spans="1:6">
      <c r="A278" s="10">
        <v>2015</v>
      </c>
      <c r="B278" t="s">
        <v>553</v>
      </c>
      <c r="C278" t="s">
        <v>498</v>
      </c>
      <c r="D278" t="s">
        <v>498</v>
      </c>
      <c r="E278" s="10">
        <v>49863</v>
      </c>
      <c r="F278" s="12">
        <v>4.9700000000000002E-5</v>
      </c>
    </row>
    <row r="279" spans="1:6">
      <c r="A279" s="10">
        <v>2015</v>
      </c>
      <c r="B279" t="s">
        <v>554</v>
      </c>
      <c r="C279" t="s">
        <v>499</v>
      </c>
      <c r="D279" t="s">
        <v>499</v>
      </c>
      <c r="E279" s="10">
        <v>36144</v>
      </c>
      <c r="F279" s="12">
        <v>3.6000000000000001E-5</v>
      </c>
    </row>
    <row r="280" spans="1:6">
      <c r="A280" s="10">
        <v>2015</v>
      </c>
      <c r="B280" t="s">
        <v>555</v>
      </c>
      <c r="C280" t="s">
        <v>500</v>
      </c>
      <c r="D280" t="s">
        <v>500</v>
      </c>
      <c r="E280" s="10">
        <v>162781</v>
      </c>
      <c r="F280" s="12">
        <v>1.6229999999999999E-4</v>
      </c>
    </row>
    <row r="281" spans="1:6">
      <c r="A281" s="10">
        <v>2015</v>
      </c>
      <c r="B281" t="s">
        <v>556</v>
      </c>
      <c r="C281" t="s">
        <v>501</v>
      </c>
      <c r="D281" t="s">
        <v>501</v>
      </c>
      <c r="E281" s="10">
        <v>7124</v>
      </c>
      <c r="F281" s="12">
        <v>7.0999999999999998E-6</v>
      </c>
    </row>
    <row r="282" spans="1:6">
      <c r="A282" s="10">
        <v>2015</v>
      </c>
      <c r="B282" t="s">
        <v>557</v>
      </c>
      <c r="C282" t="s">
        <v>502</v>
      </c>
      <c r="D282" t="s">
        <v>502</v>
      </c>
      <c r="E282" s="10">
        <v>41411</v>
      </c>
      <c r="F282" s="12">
        <v>4.1300000000000001E-5</v>
      </c>
    </row>
    <row r="283" spans="1:6">
      <c r="A283" s="10">
        <v>2015</v>
      </c>
      <c r="B283" t="s">
        <v>558</v>
      </c>
      <c r="C283" t="s">
        <v>1691</v>
      </c>
      <c r="D283" t="s">
        <v>503</v>
      </c>
      <c r="E283" s="10">
        <v>27555</v>
      </c>
      <c r="F283" s="12">
        <v>2.7500000000000001E-5</v>
      </c>
    </row>
    <row r="284" spans="1:6">
      <c r="A284" s="10">
        <v>2015</v>
      </c>
      <c r="B284" t="s">
        <v>559</v>
      </c>
      <c r="C284" t="s">
        <v>1692</v>
      </c>
      <c r="D284" t="s">
        <v>504</v>
      </c>
      <c r="E284" s="10">
        <v>1671680</v>
      </c>
      <c r="F284" s="12">
        <v>1.6666000000000001E-3</v>
      </c>
    </row>
    <row r="285" spans="1:6">
      <c r="A285" s="10">
        <v>2015</v>
      </c>
      <c r="B285" t="s">
        <v>560</v>
      </c>
      <c r="C285" t="s">
        <v>505</v>
      </c>
      <c r="D285" t="s">
        <v>505</v>
      </c>
      <c r="E285" s="10">
        <v>87280</v>
      </c>
      <c r="F285" s="12">
        <v>8.7000000000000001E-5</v>
      </c>
    </row>
    <row r="286" spans="1:6">
      <c r="A286" s="10">
        <v>2015</v>
      </c>
      <c r="B286" t="s">
        <v>561</v>
      </c>
      <c r="C286" t="s">
        <v>1694</v>
      </c>
      <c r="D286" t="s">
        <v>506</v>
      </c>
      <c r="E286" s="10">
        <v>214363</v>
      </c>
      <c r="F286" s="12">
        <v>2.1369999999999999E-4</v>
      </c>
    </row>
    <row r="287" spans="1:6">
      <c r="A287" s="10">
        <v>2015</v>
      </c>
      <c r="B287" t="s">
        <v>562</v>
      </c>
      <c r="C287" t="s">
        <v>2367</v>
      </c>
      <c r="D287" t="s">
        <v>507</v>
      </c>
      <c r="E287" s="10">
        <v>10473155</v>
      </c>
      <c r="F287" s="12">
        <v>1.0441499999999999E-2</v>
      </c>
    </row>
    <row r="288" spans="1:6">
      <c r="A288" s="10">
        <v>2015</v>
      </c>
      <c r="B288" t="s">
        <v>563</v>
      </c>
      <c r="C288" t="s">
        <v>1698</v>
      </c>
      <c r="D288" t="s">
        <v>508</v>
      </c>
      <c r="E288" s="10">
        <v>7702</v>
      </c>
      <c r="F288" s="12">
        <v>7.7000000000000008E-6</v>
      </c>
    </row>
    <row r="289" spans="1:6">
      <c r="A289" s="10">
        <v>2015</v>
      </c>
      <c r="B289" t="s">
        <v>564</v>
      </c>
      <c r="C289" t="s">
        <v>509</v>
      </c>
      <c r="D289" t="s">
        <v>509</v>
      </c>
      <c r="E289" s="10">
        <v>927588</v>
      </c>
      <c r="F289" s="12">
        <v>9.2480000000000004E-4</v>
      </c>
    </row>
    <row r="290" spans="1:6">
      <c r="A290" s="10">
        <v>2015</v>
      </c>
      <c r="B290" t="s">
        <v>565</v>
      </c>
      <c r="C290" t="s">
        <v>510</v>
      </c>
      <c r="D290" t="s">
        <v>510</v>
      </c>
      <c r="E290" s="10">
        <v>2038136</v>
      </c>
      <c r="F290" s="12">
        <v>2.032E-3</v>
      </c>
    </row>
    <row r="291" spans="1:6">
      <c r="A291" s="10">
        <v>2015</v>
      </c>
      <c r="B291" t="s">
        <v>566</v>
      </c>
      <c r="C291" t="s">
        <v>1699</v>
      </c>
      <c r="D291" t="s">
        <v>511</v>
      </c>
      <c r="E291" s="10">
        <v>109008</v>
      </c>
      <c r="F291" s="12">
        <v>1.087E-4</v>
      </c>
    </row>
    <row r="292" spans="1:6">
      <c r="A292" s="10">
        <v>2015</v>
      </c>
      <c r="B292" t="s">
        <v>567</v>
      </c>
      <c r="C292" t="s">
        <v>1700</v>
      </c>
      <c r="D292" t="s">
        <v>512</v>
      </c>
      <c r="E292" s="10">
        <v>75649</v>
      </c>
      <c r="F292" s="12">
        <v>7.5400000000000003E-5</v>
      </c>
    </row>
    <row r="293" spans="1:6">
      <c r="A293" s="10">
        <v>2015</v>
      </c>
      <c r="B293" t="s">
        <v>568</v>
      </c>
      <c r="C293" t="s">
        <v>2446</v>
      </c>
      <c r="D293" t="s">
        <v>513</v>
      </c>
      <c r="E293" s="10">
        <v>169038</v>
      </c>
      <c r="F293" s="12">
        <v>1.685E-4</v>
      </c>
    </row>
    <row r="294" spans="1:6">
      <c r="A294" s="10">
        <v>2015</v>
      </c>
      <c r="B294" t="s">
        <v>569</v>
      </c>
      <c r="C294" t="s">
        <v>1446</v>
      </c>
      <c r="D294" t="s">
        <v>514</v>
      </c>
      <c r="E294" s="10">
        <v>157915</v>
      </c>
      <c r="F294" s="12">
        <v>1.574E-4</v>
      </c>
    </row>
    <row r="295" spans="1:6">
      <c r="A295" s="10">
        <v>2015</v>
      </c>
      <c r="B295" t="s">
        <v>570</v>
      </c>
      <c r="C295" t="s">
        <v>515</v>
      </c>
      <c r="D295" t="s">
        <v>515</v>
      </c>
      <c r="E295" s="10">
        <v>160089</v>
      </c>
      <c r="F295" s="12">
        <v>1.596E-4</v>
      </c>
    </row>
    <row r="296" spans="1:6">
      <c r="A296" s="10">
        <v>2015</v>
      </c>
      <c r="B296" t="s">
        <v>571</v>
      </c>
      <c r="C296" t="s">
        <v>516</v>
      </c>
      <c r="D296" t="s">
        <v>516</v>
      </c>
      <c r="E296" s="10">
        <v>665433</v>
      </c>
      <c r="F296" s="12">
        <v>6.6339999999999997E-4</v>
      </c>
    </row>
    <row r="297" spans="1:6">
      <c r="A297" s="10">
        <v>2015</v>
      </c>
      <c r="B297" t="s">
        <v>572</v>
      </c>
      <c r="C297" t="s">
        <v>517</v>
      </c>
      <c r="D297" t="s">
        <v>517</v>
      </c>
      <c r="E297" s="10">
        <v>214305</v>
      </c>
      <c r="F297" s="12">
        <v>2.1369999999999999E-4</v>
      </c>
    </row>
    <row r="298" spans="1:6">
      <c r="A298" s="10">
        <v>2015</v>
      </c>
      <c r="B298" t="s">
        <v>573</v>
      </c>
      <c r="C298" t="s">
        <v>518</v>
      </c>
      <c r="D298" t="s">
        <v>518</v>
      </c>
      <c r="E298" s="10">
        <v>281557</v>
      </c>
      <c r="F298" s="12">
        <v>2.8069999999999999E-4</v>
      </c>
    </row>
    <row r="299" spans="1:6">
      <c r="A299" s="10">
        <v>2015</v>
      </c>
      <c r="B299" t="s">
        <v>574</v>
      </c>
      <c r="C299" t="s">
        <v>1702</v>
      </c>
      <c r="D299" t="s">
        <v>519</v>
      </c>
      <c r="E299" s="10">
        <v>270046</v>
      </c>
      <c r="F299" s="12">
        <v>2.6919999999999998E-4</v>
      </c>
    </row>
    <row r="300" spans="1:6">
      <c r="A300" s="10">
        <v>2015</v>
      </c>
      <c r="B300" t="s">
        <v>575</v>
      </c>
      <c r="C300" t="s">
        <v>2437</v>
      </c>
      <c r="D300" t="s">
        <v>520</v>
      </c>
      <c r="E300" s="10">
        <v>64791</v>
      </c>
      <c r="F300" s="12">
        <v>6.4599999999999998E-5</v>
      </c>
    </row>
    <row r="301" spans="1:6">
      <c r="A301" s="10">
        <v>2015</v>
      </c>
      <c r="B301" t="s">
        <v>576</v>
      </c>
      <c r="C301" t="s">
        <v>521</v>
      </c>
      <c r="D301" t="s">
        <v>521</v>
      </c>
      <c r="E301" s="10">
        <v>96752</v>
      </c>
      <c r="F301" s="12">
        <v>9.6500000000000001E-5</v>
      </c>
    </row>
    <row r="302" spans="1:6">
      <c r="A302" s="10">
        <v>2015</v>
      </c>
      <c r="B302" t="s">
        <v>577</v>
      </c>
      <c r="C302" t="s">
        <v>1704</v>
      </c>
      <c r="D302" t="s">
        <v>522</v>
      </c>
      <c r="E302" s="10">
        <v>32483</v>
      </c>
      <c r="F302" s="12">
        <v>3.2400000000000001E-5</v>
      </c>
    </row>
    <row r="303" spans="1:6">
      <c r="A303" s="10">
        <v>2015</v>
      </c>
      <c r="B303" t="s">
        <v>578</v>
      </c>
      <c r="C303" t="s">
        <v>1705</v>
      </c>
      <c r="D303" t="s">
        <v>523</v>
      </c>
      <c r="E303" s="10">
        <v>1217194</v>
      </c>
      <c r="F303" s="12">
        <v>1.2135E-3</v>
      </c>
    </row>
    <row r="304" spans="1:6">
      <c r="A304" s="10">
        <v>2015</v>
      </c>
      <c r="B304" t="s">
        <v>579</v>
      </c>
      <c r="C304" t="s">
        <v>1447</v>
      </c>
      <c r="D304" t="s">
        <v>524</v>
      </c>
      <c r="E304" s="10"/>
      <c r="F304" s="12">
        <v>0</v>
      </c>
    </row>
    <row r="305" spans="1:6">
      <c r="A305" s="10">
        <v>2015</v>
      </c>
      <c r="B305" t="s">
        <v>580</v>
      </c>
      <c r="C305" t="s">
        <v>1709</v>
      </c>
      <c r="D305" t="s">
        <v>525</v>
      </c>
      <c r="E305" s="10">
        <v>75359</v>
      </c>
      <c r="F305" s="12">
        <v>7.5099999999999996E-5</v>
      </c>
    </row>
    <row r="306" spans="1:6">
      <c r="A306" s="10">
        <v>2015</v>
      </c>
      <c r="B306" t="s">
        <v>581</v>
      </c>
      <c r="C306" t="s">
        <v>526</v>
      </c>
      <c r="D306" t="s">
        <v>526</v>
      </c>
      <c r="E306" s="10">
        <v>14904</v>
      </c>
      <c r="F306" s="12">
        <v>1.49E-5</v>
      </c>
    </row>
    <row r="307" spans="1:6">
      <c r="A307" s="10">
        <v>2015</v>
      </c>
      <c r="B307" t="s">
        <v>582</v>
      </c>
      <c r="C307" t="s">
        <v>1710</v>
      </c>
      <c r="D307" t="s">
        <v>527</v>
      </c>
      <c r="E307" s="10">
        <v>510477</v>
      </c>
      <c r="F307" s="12">
        <v>5.0889999999999996E-4</v>
      </c>
    </row>
    <row r="308" spans="1:6">
      <c r="A308" s="10">
        <v>2015</v>
      </c>
      <c r="B308" t="s">
        <v>583</v>
      </c>
      <c r="C308" t="s">
        <v>1711</v>
      </c>
      <c r="D308" t="s">
        <v>528</v>
      </c>
      <c r="E308" s="10">
        <v>10565</v>
      </c>
      <c r="F308" s="12">
        <v>1.0499999999999999E-5</v>
      </c>
    </row>
    <row r="309" spans="1:6">
      <c r="A309" s="10">
        <v>2015</v>
      </c>
      <c r="B309" t="s">
        <v>584</v>
      </c>
      <c r="C309" t="s">
        <v>529</v>
      </c>
      <c r="D309" t="s">
        <v>529</v>
      </c>
      <c r="E309" s="10"/>
      <c r="F309" s="12">
        <v>0</v>
      </c>
    </row>
    <row r="310" spans="1:6">
      <c r="A310" s="10">
        <v>2015</v>
      </c>
      <c r="B310" t="s">
        <v>585</v>
      </c>
      <c r="C310" t="s">
        <v>1713</v>
      </c>
      <c r="D310" t="s">
        <v>530</v>
      </c>
      <c r="E310" s="10">
        <v>194014</v>
      </c>
      <c r="F310" s="12">
        <v>1.9340000000000001E-4</v>
      </c>
    </row>
    <row r="311" spans="1:6">
      <c r="A311" s="10">
        <v>2015</v>
      </c>
      <c r="B311" t="s">
        <v>586</v>
      </c>
      <c r="C311" t="s">
        <v>1714</v>
      </c>
      <c r="D311" t="s">
        <v>531</v>
      </c>
      <c r="E311" s="10">
        <v>111876</v>
      </c>
      <c r="F311" s="12">
        <v>1.115E-4</v>
      </c>
    </row>
    <row r="312" spans="1:6">
      <c r="A312" s="10">
        <v>2015</v>
      </c>
      <c r="B312" t="s">
        <v>587</v>
      </c>
      <c r="C312" t="s">
        <v>532</v>
      </c>
      <c r="D312" t="s">
        <v>532</v>
      </c>
      <c r="E312" s="10">
        <v>142211</v>
      </c>
      <c r="F312" s="12">
        <v>1.418E-4</v>
      </c>
    </row>
    <row r="313" spans="1:6">
      <c r="A313" s="10">
        <v>2015</v>
      </c>
      <c r="B313" t="s">
        <v>588</v>
      </c>
      <c r="C313" t="s">
        <v>533</v>
      </c>
      <c r="D313" t="s">
        <v>533</v>
      </c>
      <c r="E313" s="10">
        <v>126262</v>
      </c>
      <c r="F313" s="12">
        <v>1.259E-4</v>
      </c>
    </row>
    <row r="314" spans="1:6">
      <c r="A314" s="10">
        <v>2015</v>
      </c>
      <c r="B314" t="s">
        <v>589</v>
      </c>
      <c r="C314" t="s">
        <v>1715</v>
      </c>
      <c r="D314" t="s">
        <v>534</v>
      </c>
      <c r="E314" s="10">
        <v>4949469</v>
      </c>
      <c r="F314" s="12">
        <v>4.9344999999999997E-3</v>
      </c>
    </row>
    <row r="315" spans="1:6">
      <c r="A315" s="10">
        <v>2015</v>
      </c>
      <c r="B315" t="s">
        <v>590</v>
      </c>
      <c r="C315" t="s">
        <v>1717</v>
      </c>
      <c r="D315" t="s">
        <v>535</v>
      </c>
      <c r="E315" s="10">
        <v>3594078</v>
      </c>
      <c r="F315" s="12">
        <v>3.5831999999999999E-3</v>
      </c>
    </row>
    <row r="316" spans="1:6">
      <c r="A316" s="10">
        <v>2015</v>
      </c>
      <c r="B316" t="s">
        <v>591</v>
      </c>
      <c r="C316" t="s">
        <v>536</v>
      </c>
      <c r="D316" t="s">
        <v>536</v>
      </c>
      <c r="E316" s="10">
        <v>52185</v>
      </c>
      <c r="F316" s="12">
        <v>5.1999999999999997E-5</v>
      </c>
    </row>
    <row r="317" spans="1:6">
      <c r="A317" s="10">
        <v>2015</v>
      </c>
      <c r="B317" t="s">
        <v>592</v>
      </c>
      <c r="C317" t="s">
        <v>1719</v>
      </c>
      <c r="D317" t="s">
        <v>537</v>
      </c>
      <c r="E317" s="10">
        <v>2648808</v>
      </c>
      <c r="F317" s="12">
        <v>2.6408E-3</v>
      </c>
    </row>
    <row r="318" spans="1:6">
      <c r="A318" s="10">
        <v>2015</v>
      </c>
      <c r="B318" t="s">
        <v>593</v>
      </c>
      <c r="C318" t="s">
        <v>1721</v>
      </c>
      <c r="D318" t="s">
        <v>538</v>
      </c>
      <c r="E318" s="10">
        <v>637256</v>
      </c>
      <c r="F318" s="12">
        <v>6.3529999999999999E-4</v>
      </c>
    </row>
    <row r="319" spans="1:6">
      <c r="A319" s="10">
        <v>2015</v>
      </c>
      <c r="B319" t="s">
        <v>594</v>
      </c>
      <c r="C319" t="s">
        <v>2190</v>
      </c>
      <c r="D319" t="s">
        <v>539</v>
      </c>
      <c r="E319" s="10">
        <v>13829</v>
      </c>
      <c r="F319" s="12">
        <v>1.38E-5</v>
      </c>
    </row>
    <row r="320" spans="1:6">
      <c r="A320" s="10">
        <v>2015</v>
      </c>
      <c r="B320" t="s">
        <v>595</v>
      </c>
      <c r="C320" t="s">
        <v>1722</v>
      </c>
      <c r="D320" t="s">
        <v>540</v>
      </c>
      <c r="E320" s="10">
        <v>489800</v>
      </c>
      <c r="F320" s="12">
        <v>4.883E-4</v>
      </c>
    </row>
    <row r="321" spans="1:6">
      <c r="A321" s="10">
        <v>2015</v>
      </c>
      <c r="B321" t="s">
        <v>596</v>
      </c>
      <c r="C321" t="s">
        <v>1723</v>
      </c>
      <c r="D321" t="s">
        <v>541</v>
      </c>
      <c r="E321" s="10">
        <v>791651</v>
      </c>
      <c r="F321" s="12">
        <v>7.8930000000000005E-4</v>
      </c>
    </row>
    <row r="322" spans="1:6">
      <c r="A322" s="10">
        <v>2015</v>
      </c>
      <c r="B322" t="s">
        <v>597</v>
      </c>
      <c r="C322" t="s">
        <v>1724</v>
      </c>
      <c r="D322" t="s">
        <v>542</v>
      </c>
      <c r="E322" s="10">
        <v>2033431</v>
      </c>
      <c r="F322" s="12">
        <v>2.0273000000000001E-3</v>
      </c>
    </row>
    <row r="323" spans="1:6">
      <c r="A323" s="10">
        <v>2015</v>
      </c>
      <c r="B323" t="s">
        <v>598</v>
      </c>
      <c r="C323" t="s">
        <v>543</v>
      </c>
      <c r="D323" t="s">
        <v>543</v>
      </c>
      <c r="E323" s="10">
        <v>176889</v>
      </c>
      <c r="F323" s="12">
        <v>1.7640000000000001E-4</v>
      </c>
    </row>
    <row r="324" spans="1:6">
      <c r="A324" s="10">
        <v>2015</v>
      </c>
      <c r="B324" t="s">
        <v>599</v>
      </c>
      <c r="C324" t="s">
        <v>1726</v>
      </c>
      <c r="D324" t="s">
        <v>544</v>
      </c>
      <c r="E324" s="10">
        <v>142407</v>
      </c>
      <c r="F324" s="12">
        <v>1.4200000000000001E-4</v>
      </c>
    </row>
    <row r="325" spans="1:6">
      <c r="A325" s="10">
        <v>2015</v>
      </c>
      <c r="B325" t="s">
        <v>600</v>
      </c>
      <c r="C325" t="s">
        <v>1727</v>
      </c>
      <c r="D325" t="s">
        <v>545</v>
      </c>
      <c r="E325" s="10">
        <v>2041123</v>
      </c>
      <c r="F325" s="12">
        <v>2.0349999999999999E-3</v>
      </c>
    </row>
    <row r="326" spans="1:6">
      <c r="A326" s="10">
        <v>2015</v>
      </c>
      <c r="B326" t="s">
        <v>601</v>
      </c>
      <c r="C326" t="s">
        <v>1728</v>
      </c>
      <c r="D326" t="s">
        <v>546</v>
      </c>
      <c r="E326" s="10">
        <v>1016844</v>
      </c>
      <c r="F326" s="12">
        <v>1.0138E-3</v>
      </c>
    </row>
    <row r="327" spans="1:6">
      <c r="A327" s="10">
        <v>2015</v>
      </c>
      <c r="B327" t="s">
        <v>602</v>
      </c>
      <c r="C327" t="s">
        <v>547</v>
      </c>
      <c r="D327" t="s">
        <v>547</v>
      </c>
      <c r="E327" s="10">
        <v>78496</v>
      </c>
      <c r="F327" s="12">
        <v>7.8300000000000006E-5</v>
      </c>
    </row>
    <row r="328" spans="1:6">
      <c r="A328" s="10">
        <v>2015</v>
      </c>
      <c r="B328" t="s">
        <v>603</v>
      </c>
      <c r="C328" t="s">
        <v>548</v>
      </c>
      <c r="D328" t="s">
        <v>548</v>
      </c>
      <c r="E328" s="10">
        <v>70967</v>
      </c>
      <c r="F328" s="12">
        <v>7.08E-5</v>
      </c>
    </row>
    <row r="329" spans="1:6">
      <c r="A329" s="10">
        <v>2015</v>
      </c>
      <c r="B329" t="s">
        <v>604</v>
      </c>
      <c r="C329" t="s">
        <v>1729</v>
      </c>
      <c r="D329" t="s">
        <v>549</v>
      </c>
      <c r="E329" s="10">
        <v>248538</v>
      </c>
      <c r="F329" s="12">
        <v>2.4780000000000001E-4</v>
      </c>
    </row>
    <row r="330" spans="1:6">
      <c r="A330" s="10">
        <v>2015</v>
      </c>
      <c r="B330" t="s">
        <v>660</v>
      </c>
      <c r="C330" t="s">
        <v>605</v>
      </c>
      <c r="D330" t="s">
        <v>605</v>
      </c>
      <c r="E330" s="10">
        <v>1747197</v>
      </c>
      <c r="F330" s="12">
        <v>1.7419E-3</v>
      </c>
    </row>
    <row r="331" spans="1:6">
      <c r="A331" s="10">
        <v>2015</v>
      </c>
      <c r="B331" t="s">
        <v>661</v>
      </c>
      <c r="C331" t="s">
        <v>1455</v>
      </c>
      <c r="D331" t="s">
        <v>606</v>
      </c>
      <c r="E331" s="10">
        <v>32962</v>
      </c>
      <c r="F331" s="12">
        <v>3.29E-5</v>
      </c>
    </row>
    <row r="332" spans="1:6">
      <c r="A332" s="10">
        <v>2015</v>
      </c>
      <c r="B332" t="s">
        <v>662</v>
      </c>
      <c r="C332" t="s">
        <v>607</v>
      </c>
      <c r="D332" t="s">
        <v>607</v>
      </c>
      <c r="E332" s="10">
        <v>52020</v>
      </c>
      <c r="F332" s="12">
        <v>5.1900000000000001E-5</v>
      </c>
    </row>
    <row r="333" spans="1:6">
      <c r="A333" s="10">
        <v>2015</v>
      </c>
      <c r="B333" t="s">
        <v>663</v>
      </c>
      <c r="C333" t="s">
        <v>608</v>
      </c>
      <c r="D333" t="s">
        <v>608</v>
      </c>
      <c r="E333" s="10">
        <v>24394</v>
      </c>
      <c r="F333" s="12">
        <v>2.4300000000000001E-5</v>
      </c>
    </row>
    <row r="334" spans="1:6">
      <c r="A334" s="10">
        <v>2015</v>
      </c>
      <c r="B334" t="s">
        <v>664</v>
      </c>
      <c r="C334" t="s">
        <v>609</v>
      </c>
      <c r="D334" t="s">
        <v>609</v>
      </c>
      <c r="E334" s="10">
        <v>17204911</v>
      </c>
      <c r="F334" s="12">
        <v>1.7152899999999999E-2</v>
      </c>
    </row>
    <row r="335" spans="1:6">
      <c r="A335" s="10">
        <v>2015</v>
      </c>
      <c r="B335" t="s">
        <v>665</v>
      </c>
      <c r="C335" t="s">
        <v>1732</v>
      </c>
      <c r="D335" t="s">
        <v>610</v>
      </c>
      <c r="E335" s="10">
        <v>5954406</v>
      </c>
      <c r="F335" s="12">
        <v>5.9363999999999997E-3</v>
      </c>
    </row>
    <row r="336" spans="1:6">
      <c r="A336" s="10">
        <v>2015</v>
      </c>
      <c r="B336" t="s">
        <v>666</v>
      </c>
      <c r="C336" t="s">
        <v>1733</v>
      </c>
      <c r="D336" t="s">
        <v>611</v>
      </c>
      <c r="E336" s="10">
        <v>7675991</v>
      </c>
      <c r="F336" s="12">
        <v>7.6528000000000004E-3</v>
      </c>
    </row>
    <row r="337" spans="1:6">
      <c r="A337" s="10">
        <v>2015</v>
      </c>
      <c r="B337" t="s">
        <v>667</v>
      </c>
      <c r="C337" t="s">
        <v>1735</v>
      </c>
      <c r="D337" t="s">
        <v>612</v>
      </c>
      <c r="E337" s="10">
        <v>726223</v>
      </c>
      <c r="F337" s="12">
        <v>7.2400000000000003E-4</v>
      </c>
    </row>
    <row r="338" spans="1:6">
      <c r="A338" s="10">
        <v>2015</v>
      </c>
      <c r="B338" t="s">
        <v>668</v>
      </c>
      <c r="C338" t="s">
        <v>613</v>
      </c>
      <c r="D338" t="s">
        <v>613</v>
      </c>
      <c r="E338" s="10">
        <v>169072</v>
      </c>
      <c r="F338" s="12">
        <v>1.6860000000000001E-4</v>
      </c>
    </row>
    <row r="339" spans="1:6">
      <c r="A339" s="10">
        <v>2015</v>
      </c>
      <c r="B339" t="s">
        <v>669</v>
      </c>
      <c r="C339" t="s">
        <v>614</v>
      </c>
      <c r="D339" t="s">
        <v>614</v>
      </c>
      <c r="E339" s="10">
        <v>72508</v>
      </c>
      <c r="F339" s="12">
        <v>7.2299999999999996E-5</v>
      </c>
    </row>
    <row r="340" spans="1:6">
      <c r="A340" s="10">
        <v>2015</v>
      </c>
      <c r="B340" t="s">
        <v>670</v>
      </c>
      <c r="C340" t="s">
        <v>615</v>
      </c>
      <c r="D340" t="s">
        <v>615</v>
      </c>
      <c r="E340" s="10">
        <v>666721</v>
      </c>
      <c r="F340" s="12">
        <v>6.6469999999999995E-4</v>
      </c>
    </row>
    <row r="341" spans="1:6">
      <c r="A341" s="10">
        <v>2015</v>
      </c>
      <c r="B341" t="s">
        <v>671</v>
      </c>
      <c r="C341" t="s">
        <v>1738</v>
      </c>
      <c r="D341" t="s">
        <v>616</v>
      </c>
      <c r="E341" s="10">
        <v>720</v>
      </c>
      <c r="F341" s="12">
        <v>6.9999999999999997E-7</v>
      </c>
    </row>
    <row r="342" spans="1:6">
      <c r="A342" s="10">
        <v>2015</v>
      </c>
      <c r="B342" t="s">
        <v>672</v>
      </c>
      <c r="C342" t="s">
        <v>1739</v>
      </c>
      <c r="D342" t="s">
        <v>617</v>
      </c>
      <c r="E342" s="10">
        <v>173732</v>
      </c>
      <c r="F342" s="12">
        <v>1.7320000000000001E-4</v>
      </c>
    </row>
    <row r="343" spans="1:6">
      <c r="A343" s="10">
        <v>2015</v>
      </c>
      <c r="B343" t="s">
        <v>673</v>
      </c>
      <c r="C343" t="s">
        <v>618</v>
      </c>
      <c r="D343" t="s">
        <v>618</v>
      </c>
      <c r="E343" s="10">
        <v>96696</v>
      </c>
      <c r="F343" s="12">
        <v>9.6399999999999999E-5</v>
      </c>
    </row>
    <row r="344" spans="1:6">
      <c r="A344" s="10">
        <v>2015</v>
      </c>
      <c r="B344" t="s">
        <v>674</v>
      </c>
      <c r="C344" t="s">
        <v>2429</v>
      </c>
      <c r="D344" t="s">
        <v>619</v>
      </c>
      <c r="E344" s="10">
        <v>42258</v>
      </c>
      <c r="F344" s="12">
        <v>4.21E-5</v>
      </c>
    </row>
    <row r="345" spans="1:6">
      <c r="A345" s="10">
        <v>2015</v>
      </c>
      <c r="B345" t="s">
        <v>675</v>
      </c>
      <c r="C345" t="s">
        <v>620</v>
      </c>
      <c r="D345" t="s">
        <v>620</v>
      </c>
      <c r="E345" s="10">
        <v>531579</v>
      </c>
      <c r="F345" s="12">
        <v>5.2999999999999998E-4</v>
      </c>
    </row>
    <row r="346" spans="1:6">
      <c r="A346" s="10">
        <v>2015</v>
      </c>
      <c r="B346" t="s">
        <v>676</v>
      </c>
      <c r="C346" t="s">
        <v>1740</v>
      </c>
      <c r="D346" t="s">
        <v>621</v>
      </c>
      <c r="E346" s="10">
        <v>7032</v>
      </c>
      <c r="F346" s="12">
        <v>6.9999999999999999E-6</v>
      </c>
    </row>
    <row r="347" spans="1:6">
      <c r="A347" s="10">
        <v>2015</v>
      </c>
      <c r="B347" t="s">
        <v>677</v>
      </c>
      <c r="C347" t="s">
        <v>622</v>
      </c>
      <c r="D347" t="s">
        <v>622</v>
      </c>
      <c r="E347" s="10">
        <v>5640</v>
      </c>
      <c r="F347" s="12">
        <v>5.5999999999999997E-6</v>
      </c>
    </row>
    <row r="348" spans="1:6">
      <c r="A348" s="10">
        <v>2015</v>
      </c>
      <c r="B348" t="s">
        <v>678</v>
      </c>
      <c r="C348" t="s">
        <v>1458</v>
      </c>
      <c r="D348" t="s">
        <v>623</v>
      </c>
      <c r="E348" s="10">
        <v>4408</v>
      </c>
      <c r="F348" s="12">
        <v>4.4000000000000002E-6</v>
      </c>
    </row>
    <row r="349" spans="1:6">
      <c r="A349" s="10">
        <v>2015</v>
      </c>
      <c r="B349" t="s">
        <v>679</v>
      </c>
      <c r="C349" t="s">
        <v>1459</v>
      </c>
      <c r="D349" t="s">
        <v>624</v>
      </c>
      <c r="E349" s="10"/>
      <c r="F349" s="12">
        <v>0</v>
      </c>
    </row>
    <row r="350" spans="1:6">
      <c r="A350" s="10">
        <v>2015</v>
      </c>
      <c r="B350" t="s">
        <v>680</v>
      </c>
      <c r="C350" t="s">
        <v>1743</v>
      </c>
      <c r="D350" t="s">
        <v>625</v>
      </c>
      <c r="E350" s="10">
        <v>41324</v>
      </c>
      <c r="F350" s="12">
        <v>4.1199999999999999E-5</v>
      </c>
    </row>
    <row r="351" spans="1:6">
      <c r="A351" s="10">
        <v>2015</v>
      </c>
      <c r="B351" t="s">
        <v>681</v>
      </c>
      <c r="C351" t="s">
        <v>626</v>
      </c>
      <c r="D351" t="s">
        <v>626</v>
      </c>
      <c r="E351" s="10">
        <v>234443</v>
      </c>
      <c r="F351" s="12">
        <v>2.3369999999999999E-4</v>
      </c>
    </row>
    <row r="352" spans="1:6">
      <c r="A352" s="10">
        <v>2015</v>
      </c>
      <c r="B352" t="s">
        <v>682</v>
      </c>
      <c r="C352" t="s">
        <v>1744</v>
      </c>
      <c r="D352" t="s">
        <v>627</v>
      </c>
      <c r="E352" s="10">
        <v>30517</v>
      </c>
      <c r="F352" s="12">
        <v>3.04E-5</v>
      </c>
    </row>
    <row r="353" spans="1:6">
      <c r="A353" s="10">
        <v>2015</v>
      </c>
      <c r="B353" t="s">
        <v>683</v>
      </c>
      <c r="C353" t="s">
        <v>1746</v>
      </c>
      <c r="D353" t="s">
        <v>628</v>
      </c>
      <c r="E353" s="10">
        <v>157602</v>
      </c>
      <c r="F353" s="12">
        <v>1.571E-4</v>
      </c>
    </row>
    <row r="354" spans="1:6">
      <c r="A354" s="10">
        <v>2015</v>
      </c>
      <c r="B354" t="s">
        <v>684</v>
      </c>
      <c r="C354" t="s">
        <v>1754</v>
      </c>
      <c r="D354" t="s">
        <v>629</v>
      </c>
      <c r="E354" s="10">
        <v>318077</v>
      </c>
      <c r="F354" s="12">
        <v>3.1710000000000001E-4</v>
      </c>
    </row>
    <row r="355" spans="1:6">
      <c r="A355" s="10">
        <v>2015</v>
      </c>
      <c r="B355" t="s">
        <v>685</v>
      </c>
      <c r="C355" t="s">
        <v>1461</v>
      </c>
      <c r="D355" t="s">
        <v>630</v>
      </c>
      <c r="E355" s="10">
        <v>25312</v>
      </c>
      <c r="F355" s="12">
        <v>2.5199999999999999E-5</v>
      </c>
    </row>
    <row r="356" spans="1:6">
      <c r="A356" s="10">
        <v>2015</v>
      </c>
      <c r="B356" t="s">
        <v>686</v>
      </c>
      <c r="C356" t="s">
        <v>1747</v>
      </c>
      <c r="D356" t="s">
        <v>631</v>
      </c>
      <c r="E356" s="10">
        <v>251588</v>
      </c>
      <c r="F356" s="12">
        <v>2.5080000000000002E-4</v>
      </c>
    </row>
    <row r="357" spans="1:6">
      <c r="A357" s="10">
        <v>2015</v>
      </c>
      <c r="B357" t="s">
        <v>687</v>
      </c>
      <c r="C357" t="s">
        <v>632</v>
      </c>
      <c r="D357" t="s">
        <v>632</v>
      </c>
      <c r="E357" s="10">
        <v>443202</v>
      </c>
      <c r="F357" s="12">
        <v>4.4190000000000001E-4</v>
      </c>
    </row>
    <row r="358" spans="1:6">
      <c r="A358" s="10">
        <v>2015</v>
      </c>
      <c r="B358" t="s">
        <v>688</v>
      </c>
      <c r="C358" t="s">
        <v>1748</v>
      </c>
      <c r="D358" t="s">
        <v>633</v>
      </c>
      <c r="E358" s="10">
        <v>14977</v>
      </c>
      <c r="F358" s="12">
        <v>1.49E-5</v>
      </c>
    </row>
    <row r="359" spans="1:6">
      <c r="A359" s="10">
        <v>2015</v>
      </c>
      <c r="B359" t="s">
        <v>689</v>
      </c>
      <c r="C359" t="s">
        <v>1749</v>
      </c>
      <c r="D359" t="s">
        <v>634</v>
      </c>
      <c r="E359" s="10">
        <v>4437026</v>
      </c>
      <c r="F359" s="12">
        <v>4.4235999999999998E-3</v>
      </c>
    </row>
    <row r="360" spans="1:6">
      <c r="A360" s="10">
        <v>2015</v>
      </c>
      <c r="B360" t="s">
        <v>690</v>
      </c>
      <c r="C360" t="s">
        <v>1750</v>
      </c>
      <c r="D360" t="s">
        <v>635</v>
      </c>
      <c r="E360" s="10">
        <v>18569</v>
      </c>
      <c r="F360" s="12">
        <v>1.8499999999999999E-5</v>
      </c>
    </row>
    <row r="361" spans="1:6">
      <c r="A361" s="10">
        <v>2015</v>
      </c>
      <c r="B361" t="s">
        <v>691</v>
      </c>
      <c r="C361" t="s">
        <v>1751</v>
      </c>
      <c r="D361" t="s">
        <v>636</v>
      </c>
      <c r="E361" s="10">
        <v>1316170</v>
      </c>
      <c r="F361" s="12">
        <v>1.3121999999999999E-3</v>
      </c>
    </row>
    <row r="362" spans="1:6">
      <c r="A362" s="10">
        <v>2015</v>
      </c>
      <c r="B362" t="s">
        <v>692</v>
      </c>
      <c r="C362" t="s">
        <v>637</v>
      </c>
      <c r="D362" t="s">
        <v>637</v>
      </c>
      <c r="E362" s="10">
        <v>238748</v>
      </c>
      <c r="F362" s="12">
        <v>2.3800000000000001E-4</v>
      </c>
    </row>
    <row r="363" spans="1:6">
      <c r="A363" s="10">
        <v>2015</v>
      </c>
      <c r="B363" t="s">
        <v>693</v>
      </c>
      <c r="C363" t="s">
        <v>2442</v>
      </c>
      <c r="D363" t="s">
        <v>638</v>
      </c>
      <c r="E363" s="10">
        <v>49357</v>
      </c>
      <c r="F363" s="12">
        <v>4.9200000000000003E-5</v>
      </c>
    </row>
    <row r="364" spans="1:6">
      <c r="A364" s="10">
        <v>2015</v>
      </c>
      <c r="B364" t="s">
        <v>694</v>
      </c>
      <c r="C364" t="s">
        <v>1757</v>
      </c>
      <c r="D364" t="s">
        <v>639</v>
      </c>
      <c r="E364" s="10">
        <v>2373238</v>
      </c>
      <c r="F364" s="12">
        <v>2.3660999999999999E-3</v>
      </c>
    </row>
    <row r="365" spans="1:6">
      <c r="A365" s="10">
        <v>2015</v>
      </c>
      <c r="B365" t="s">
        <v>695</v>
      </c>
      <c r="C365" t="s">
        <v>1758</v>
      </c>
      <c r="D365" t="s">
        <v>640</v>
      </c>
      <c r="E365" s="10">
        <v>96661</v>
      </c>
      <c r="F365" s="12">
        <v>9.6399999999999999E-5</v>
      </c>
    </row>
    <row r="366" spans="1:6">
      <c r="A366" s="10">
        <v>2015</v>
      </c>
      <c r="B366" t="s">
        <v>696</v>
      </c>
      <c r="C366" t="s">
        <v>641</v>
      </c>
      <c r="D366" t="s">
        <v>641</v>
      </c>
      <c r="E366" s="10">
        <v>22396</v>
      </c>
      <c r="F366" s="12">
        <v>2.23E-5</v>
      </c>
    </row>
    <row r="367" spans="1:6">
      <c r="A367" s="10">
        <v>2015</v>
      </c>
      <c r="B367" t="s">
        <v>697</v>
      </c>
      <c r="C367" t="s">
        <v>1761</v>
      </c>
      <c r="D367" t="s">
        <v>642</v>
      </c>
      <c r="E367" s="10">
        <v>127152</v>
      </c>
      <c r="F367" s="12">
        <v>1.2679999999999999E-4</v>
      </c>
    </row>
    <row r="368" spans="1:6">
      <c r="A368" s="10">
        <v>2015</v>
      </c>
      <c r="B368" t="s">
        <v>698</v>
      </c>
      <c r="C368" t="s">
        <v>1762</v>
      </c>
      <c r="D368" t="s">
        <v>643</v>
      </c>
      <c r="E368" s="10">
        <v>3894099</v>
      </c>
      <c r="F368" s="12">
        <v>3.8823E-3</v>
      </c>
    </row>
    <row r="369" spans="1:6">
      <c r="A369" s="10">
        <v>2015</v>
      </c>
      <c r="B369" t="s">
        <v>699</v>
      </c>
      <c r="C369" t="s">
        <v>1763</v>
      </c>
      <c r="D369" t="s">
        <v>644</v>
      </c>
      <c r="E369" s="10">
        <v>1784160</v>
      </c>
      <c r="F369" s="12">
        <v>1.7788000000000001E-3</v>
      </c>
    </row>
    <row r="370" spans="1:6">
      <c r="A370" s="10">
        <v>2015</v>
      </c>
      <c r="B370" t="s">
        <v>700</v>
      </c>
      <c r="C370" t="s">
        <v>2374</v>
      </c>
      <c r="D370" t="s">
        <v>645</v>
      </c>
      <c r="E370" s="10">
        <v>14009</v>
      </c>
      <c r="F370" s="12">
        <v>1.4E-5</v>
      </c>
    </row>
    <row r="371" spans="1:6">
      <c r="A371" s="10">
        <v>2015</v>
      </c>
      <c r="B371" t="s">
        <v>701</v>
      </c>
      <c r="C371" t="s">
        <v>2405</v>
      </c>
      <c r="D371" t="s">
        <v>646</v>
      </c>
      <c r="E371" s="10">
        <v>261414</v>
      </c>
      <c r="F371" s="12">
        <v>2.6059999999999999E-4</v>
      </c>
    </row>
    <row r="372" spans="1:6">
      <c r="A372" s="10">
        <v>2015</v>
      </c>
      <c r="B372" t="s">
        <v>702</v>
      </c>
      <c r="C372" t="s">
        <v>1766</v>
      </c>
      <c r="D372" t="s">
        <v>647</v>
      </c>
      <c r="E372" s="10">
        <v>177664</v>
      </c>
      <c r="F372" s="12">
        <v>1.771E-4</v>
      </c>
    </row>
    <row r="373" spans="1:6">
      <c r="A373" s="10">
        <v>2015</v>
      </c>
      <c r="B373" t="s">
        <v>703</v>
      </c>
      <c r="C373" t="s">
        <v>1767</v>
      </c>
      <c r="D373" t="s">
        <v>648</v>
      </c>
      <c r="E373" s="10">
        <v>1374644</v>
      </c>
      <c r="F373" s="12">
        <v>1.3705E-3</v>
      </c>
    </row>
    <row r="374" spans="1:6">
      <c r="A374" s="10">
        <v>2015</v>
      </c>
      <c r="B374" t="s">
        <v>704</v>
      </c>
      <c r="C374" t="s">
        <v>1769</v>
      </c>
      <c r="D374" t="s">
        <v>649</v>
      </c>
      <c r="E374" s="10">
        <v>89820</v>
      </c>
      <c r="F374" s="12">
        <v>8.9499999999999994E-5</v>
      </c>
    </row>
    <row r="375" spans="1:6">
      <c r="A375" s="10">
        <v>2015</v>
      </c>
      <c r="B375" t="s">
        <v>705</v>
      </c>
      <c r="C375" t="s">
        <v>1770</v>
      </c>
      <c r="D375" t="s">
        <v>650</v>
      </c>
      <c r="E375" s="10">
        <v>495348</v>
      </c>
      <c r="F375" s="12">
        <v>4.9390000000000002E-4</v>
      </c>
    </row>
    <row r="376" spans="1:6">
      <c r="A376" s="10">
        <v>2015</v>
      </c>
      <c r="B376" t="s">
        <v>706</v>
      </c>
      <c r="C376" t="s">
        <v>1771</v>
      </c>
      <c r="D376" t="s">
        <v>651</v>
      </c>
      <c r="E376" s="10">
        <v>2823005</v>
      </c>
      <c r="F376" s="12">
        <v>2.8145000000000002E-3</v>
      </c>
    </row>
    <row r="377" spans="1:6">
      <c r="A377" s="10">
        <v>2015</v>
      </c>
      <c r="B377" t="s">
        <v>707</v>
      </c>
      <c r="C377" t="s">
        <v>1773</v>
      </c>
      <c r="D377" t="s">
        <v>652</v>
      </c>
      <c r="E377" s="10">
        <v>52475</v>
      </c>
      <c r="F377" s="12">
        <v>5.2299999999999997E-5</v>
      </c>
    </row>
    <row r="378" spans="1:6">
      <c r="A378" s="10">
        <v>2015</v>
      </c>
      <c r="B378" t="s">
        <v>708</v>
      </c>
      <c r="C378" t="s">
        <v>1774</v>
      </c>
      <c r="D378" t="s">
        <v>653</v>
      </c>
      <c r="E378" s="10">
        <v>8530815</v>
      </c>
      <c r="F378" s="12">
        <v>8.5050000000000004E-3</v>
      </c>
    </row>
    <row r="379" spans="1:6">
      <c r="A379" s="10">
        <v>2015</v>
      </c>
      <c r="B379" t="s">
        <v>709</v>
      </c>
      <c r="C379" t="s">
        <v>654</v>
      </c>
      <c r="D379" t="s">
        <v>654</v>
      </c>
      <c r="E379" s="10">
        <v>946137</v>
      </c>
      <c r="F379" s="12">
        <v>9.433E-4</v>
      </c>
    </row>
    <row r="380" spans="1:6">
      <c r="A380" s="10">
        <v>2015</v>
      </c>
      <c r="B380" t="s">
        <v>710</v>
      </c>
      <c r="C380" t="s">
        <v>1775</v>
      </c>
      <c r="D380" t="s">
        <v>655</v>
      </c>
      <c r="E380" s="10">
        <v>2138031</v>
      </c>
      <c r="F380" s="12">
        <v>2.1316E-3</v>
      </c>
    </row>
    <row r="381" spans="1:6">
      <c r="A381" s="10">
        <v>2015</v>
      </c>
      <c r="B381" t="s">
        <v>711</v>
      </c>
      <c r="C381" t="s">
        <v>1777</v>
      </c>
      <c r="D381" t="s">
        <v>656</v>
      </c>
      <c r="E381" s="10">
        <v>14341</v>
      </c>
      <c r="F381" s="12">
        <v>1.43E-5</v>
      </c>
    </row>
    <row r="382" spans="1:6">
      <c r="A382" s="10">
        <v>2015</v>
      </c>
      <c r="B382" t="s">
        <v>712</v>
      </c>
      <c r="C382" t="s">
        <v>1778</v>
      </c>
      <c r="D382" t="s">
        <v>657</v>
      </c>
      <c r="E382" s="10">
        <v>2652362</v>
      </c>
      <c r="F382" s="12">
        <v>2.6443E-3</v>
      </c>
    </row>
    <row r="383" spans="1:6">
      <c r="A383" s="10">
        <v>2015</v>
      </c>
      <c r="B383" t="s">
        <v>713</v>
      </c>
      <c r="C383" t="s">
        <v>1779</v>
      </c>
      <c r="D383" t="s">
        <v>658</v>
      </c>
      <c r="E383" s="10">
        <v>127877</v>
      </c>
      <c r="F383" s="12">
        <v>1.2750000000000001E-4</v>
      </c>
    </row>
    <row r="384" spans="1:6">
      <c r="A384" s="10">
        <v>2015</v>
      </c>
      <c r="B384" t="s">
        <v>714</v>
      </c>
      <c r="C384" t="s">
        <v>1780</v>
      </c>
      <c r="D384" t="s">
        <v>659</v>
      </c>
      <c r="E384" s="10">
        <v>1438541</v>
      </c>
      <c r="F384" s="12">
        <v>1.4342000000000001E-3</v>
      </c>
    </row>
    <row r="385" spans="1:6">
      <c r="A385" s="10">
        <v>2015</v>
      </c>
      <c r="B385" t="s">
        <v>770</v>
      </c>
      <c r="C385" t="s">
        <v>715</v>
      </c>
      <c r="D385" t="s">
        <v>715</v>
      </c>
      <c r="E385" s="10">
        <v>37550</v>
      </c>
      <c r="F385" s="12">
        <v>3.7400000000000001E-5</v>
      </c>
    </row>
    <row r="386" spans="1:6">
      <c r="A386" s="10">
        <v>2015</v>
      </c>
      <c r="B386" t="s">
        <v>771</v>
      </c>
      <c r="C386" t="s">
        <v>1782</v>
      </c>
      <c r="D386" t="s">
        <v>716</v>
      </c>
      <c r="E386" s="10">
        <v>57248</v>
      </c>
      <c r="F386" s="12">
        <v>5.7099999999999999E-5</v>
      </c>
    </row>
    <row r="387" spans="1:6">
      <c r="A387" s="10">
        <v>2015</v>
      </c>
      <c r="B387" t="s">
        <v>772</v>
      </c>
      <c r="C387" t="s">
        <v>1783</v>
      </c>
      <c r="D387" t="s">
        <v>717</v>
      </c>
      <c r="E387" s="10">
        <v>31666</v>
      </c>
      <c r="F387" s="12">
        <v>3.1600000000000002E-5</v>
      </c>
    </row>
    <row r="388" spans="1:6">
      <c r="A388" s="10">
        <v>2015</v>
      </c>
      <c r="B388" t="s">
        <v>773</v>
      </c>
      <c r="C388" t="s">
        <v>1784</v>
      </c>
      <c r="D388" t="s">
        <v>718</v>
      </c>
      <c r="E388" s="10">
        <v>4599777</v>
      </c>
      <c r="F388" s="12">
        <v>4.5859000000000004E-3</v>
      </c>
    </row>
    <row r="389" spans="1:6">
      <c r="A389" s="10">
        <v>2015</v>
      </c>
      <c r="B389" t="s">
        <v>774</v>
      </c>
      <c r="C389" t="s">
        <v>1786</v>
      </c>
      <c r="D389" t="s">
        <v>719</v>
      </c>
      <c r="E389" s="10">
        <v>240411</v>
      </c>
      <c r="F389" s="12">
        <v>2.397E-4</v>
      </c>
    </row>
    <row r="390" spans="1:6">
      <c r="A390" s="10">
        <v>2015</v>
      </c>
      <c r="B390" t="s">
        <v>775</v>
      </c>
      <c r="C390" t="s">
        <v>1787</v>
      </c>
      <c r="D390" t="s">
        <v>720</v>
      </c>
      <c r="E390" s="10">
        <v>2501706</v>
      </c>
      <c r="F390" s="12">
        <v>2.4941E-3</v>
      </c>
    </row>
    <row r="391" spans="1:6">
      <c r="A391" s="10">
        <v>2015</v>
      </c>
      <c r="B391" t="s">
        <v>776</v>
      </c>
      <c r="C391" t="s">
        <v>721</v>
      </c>
      <c r="D391" t="s">
        <v>721</v>
      </c>
      <c r="E391" s="10"/>
      <c r="F391" s="12">
        <v>0</v>
      </c>
    </row>
    <row r="392" spans="1:6">
      <c r="A392" s="10">
        <v>2015</v>
      </c>
      <c r="B392" t="s">
        <v>777</v>
      </c>
      <c r="C392" t="s">
        <v>1802</v>
      </c>
      <c r="D392" t="s">
        <v>722</v>
      </c>
      <c r="E392" s="10">
        <v>85195</v>
      </c>
      <c r="F392" s="12">
        <v>8.4900000000000004E-5</v>
      </c>
    </row>
    <row r="393" spans="1:6">
      <c r="A393" s="10">
        <v>2015</v>
      </c>
      <c r="B393" t="s">
        <v>778</v>
      </c>
      <c r="C393" t="s">
        <v>1788</v>
      </c>
      <c r="D393" t="s">
        <v>723</v>
      </c>
      <c r="E393" s="10">
        <v>2828501</v>
      </c>
      <c r="F393" s="12">
        <v>2.82E-3</v>
      </c>
    </row>
    <row r="394" spans="1:6">
      <c r="A394" s="10">
        <v>2015</v>
      </c>
      <c r="B394" t="s">
        <v>779</v>
      </c>
      <c r="C394" t="s">
        <v>1789</v>
      </c>
      <c r="D394" t="s">
        <v>724</v>
      </c>
      <c r="E394" s="10">
        <v>123126</v>
      </c>
      <c r="F394" s="12">
        <v>1.228E-4</v>
      </c>
    </row>
    <row r="395" spans="1:6">
      <c r="A395" s="10">
        <v>2015</v>
      </c>
      <c r="B395" t="s">
        <v>780</v>
      </c>
      <c r="C395" t="s">
        <v>1790</v>
      </c>
      <c r="D395" t="s">
        <v>725</v>
      </c>
      <c r="E395" s="10">
        <v>469321</v>
      </c>
      <c r="F395" s="12">
        <v>4.6789999999999999E-4</v>
      </c>
    </row>
    <row r="396" spans="1:6">
      <c r="A396" s="10">
        <v>2015</v>
      </c>
      <c r="B396" t="s">
        <v>781</v>
      </c>
      <c r="C396" t="s">
        <v>1791</v>
      </c>
      <c r="D396" t="s">
        <v>726</v>
      </c>
      <c r="E396" s="10">
        <v>12279</v>
      </c>
      <c r="F396" s="12">
        <v>1.22E-5</v>
      </c>
    </row>
    <row r="397" spans="1:6">
      <c r="A397" s="10">
        <v>2015</v>
      </c>
      <c r="B397" t="s">
        <v>782</v>
      </c>
      <c r="C397" t="s">
        <v>1792</v>
      </c>
      <c r="D397" t="s">
        <v>727</v>
      </c>
      <c r="E397" s="10">
        <v>5871170</v>
      </c>
      <c r="F397" s="12">
        <v>5.8533999999999999E-3</v>
      </c>
    </row>
    <row r="398" spans="1:6">
      <c r="A398" s="10">
        <v>2015</v>
      </c>
      <c r="B398" t="s">
        <v>783</v>
      </c>
      <c r="C398" t="s">
        <v>1794</v>
      </c>
      <c r="D398" t="s">
        <v>728</v>
      </c>
      <c r="E398" s="10">
        <v>909726</v>
      </c>
      <c r="F398" s="12">
        <v>9.0700000000000004E-4</v>
      </c>
    </row>
    <row r="399" spans="1:6">
      <c r="A399" s="10">
        <v>2015</v>
      </c>
      <c r="B399" t="s">
        <v>784</v>
      </c>
      <c r="C399" t="s">
        <v>1795</v>
      </c>
      <c r="D399" t="s">
        <v>729</v>
      </c>
      <c r="E399" s="10">
        <v>35693179</v>
      </c>
      <c r="F399" s="12">
        <v>3.55853E-2</v>
      </c>
    </row>
    <row r="400" spans="1:6">
      <c r="A400" s="10">
        <v>2015</v>
      </c>
      <c r="B400" t="s">
        <v>785</v>
      </c>
      <c r="C400" t="s">
        <v>1796</v>
      </c>
      <c r="D400" t="s">
        <v>730</v>
      </c>
      <c r="E400" s="10">
        <v>388119</v>
      </c>
      <c r="F400" s="12">
        <v>3.8690000000000003E-4</v>
      </c>
    </row>
    <row r="401" spans="1:6">
      <c r="A401" s="10">
        <v>2015</v>
      </c>
      <c r="B401" t="s">
        <v>786</v>
      </c>
      <c r="C401" t="s">
        <v>2460</v>
      </c>
      <c r="D401" t="s">
        <v>731</v>
      </c>
      <c r="E401" s="10">
        <v>21548963</v>
      </c>
      <c r="F401" s="12">
        <v>2.1483800000000001E-2</v>
      </c>
    </row>
    <row r="402" spans="1:6">
      <c r="A402" s="10">
        <v>2015</v>
      </c>
      <c r="B402" t="s">
        <v>787</v>
      </c>
      <c r="C402" t="s">
        <v>732</v>
      </c>
      <c r="D402" t="s">
        <v>732</v>
      </c>
      <c r="E402" s="10">
        <v>51582281</v>
      </c>
      <c r="F402" s="12">
        <v>5.1426399999999997E-2</v>
      </c>
    </row>
    <row r="403" spans="1:6">
      <c r="A403" s="10">
        <v>2015</v>
      </c>
      <c r="B403" t="s">
        <v>788</v>
      </c>
      <c r="C403" t="s">
        <v>1797</v>
      </c>
      <c r="D403" t="s">
        <v>733</v>
      </c>
      <c r="E403" s="10">
        <v>295131</v>
      </c>
      <c r="F403" s="12">
        <v>2.942E-4</v>
      </c>
    </row>
    <row r="404" spans="1:6">
      <c r="A404" s="10">
        <v>2015</v>
      </c>
      <c r="B404" t="s">
        <v>789</v>
      </c>
      <c r="C404" t="s">
        <v>1799</v>
      </c>
      <c r="D404" t="s">
        <v>734</v>
      </c>
      <c r="E404" s="10">
        <v>2641507</v>
      </c>
      <c r="F404" s="12">
        <v>2.6335E-3</v>
      </c>
    </row>
    <row r="405" spans="1:6">
      <c r="A405" s="10">
        <v>2015</v>
      </c>
      <c r="B405" t="s">
        <v>790</v>
      </c>
      <c r="C405" t="s">
        <v>1801</v>
      </c>
      <c r="D405" t="s">
        <v>735</v>
      </c>
      <c r="E405" s="10">
        <v>292695</v>
      </c>
      <c r="F405" s="12">
        <v>2.9179999999999999E-4</v>
      </c>
    </row>
    <row r="406" spans="1:6">
      <c r="A406" s="10">
        <v>2015</v>
      </c>
      <c r="B406" t="s">
        <v>791</v>
      </c>
      <c r="C406" t="s">
        <v>736</v>
      </c>
      <c r="D406" t="s">
        <v>736</v>
      </c>
      <c r="E406" s="10">
        <v>188057</v>
      </c>
      <c r="F406" s="12">
        <v>1.875E-4</v>
      </c>
    </row>
    <row r="407" spans="1:6">
      <c r="A407" s="10">
        <v>2015</v>
      </c>
      <c r="B407" t="s">
        <v>792</v>
      </c>
      <c r="C407" t="s">
        <v>1803</v>
      </c>
      <c r="D407" t="s">
        <v>737</v>
      </c>
      <c r="E407" s="10">
        <v>324716</v>
      </c>
      <c r="F407" s="12">
        <v>3.2370000000000001E-4</v>
      </c>
    </row>
    <row r="408" spans="1:6">
      <c r="A408" s="10">
        <v>2015</v>
      </c>
      <c r="B408" t="s">
        <v>793</v>
      </c>
      <c r="C408" t="s">
        <v>1804</v>
      </c>
      <c r="D408" t="s">
        <v>738</v>
      </c>
      <c r="E408" s="10">
        <v>109551</v>
      </c>
      <c r="F408" s="12">
        <v>1.092E-4</v>
      </c>
    </row>
    <row r="409" spans="1:6">
      <c r="A409" s="10">
        <v>2015</v>
      </c>
      <c r="B409" t="s">
        <v>794</v>
      </c>
      <c r="C409" t="s">
        <v>1805</v>
      </c>
      <c r="D409" t="s">
        <v>739</v>
      </c>
      <c r="E409" s="10">
        <v>36849</v>
      </c>
      <c r="F409" s="12">
        <v>3.6699999999999998E-5</v>
      </c>
    </row>
    <row r="410" spans="1:6">
      <c r="A410" s="10">
        <v>2015</v>
      </c>
      <c r="B410" t="s">
        <v>795</v>
      </c>
      <c r="C410" t="s">
        <v>1806</v>
      </c>
      <c r="D410" t="s">
        <v>740</v>
      </c>
      <c r="E410" s="10">
        <v>33584554</v>
      </c>
      <c r="F410" s="12">
        <v>3.3483100000000002E-2</v>
      </c>
    </row>
    <row r="411" spans="1:6">
      <c r="A411" s="10">
        <v>2015</v>
      </c>
      <c r="B411" t="s">
        <v>796</v>
      </c>
      <c r="C411" t="s">
        <v>741</v>
      </c>
      <c r="D411" t="s">
        <v>741</v>
      </c>
      <c r="E411" s="10">
        <v>101392</v>
      </c>
      <c r="F411" s="12">
        <v>1.011E-4</v>
      </c>
    </row>
    <row r="412" spans="1:6">
      <c r="A412" s="10">
        <v>2015</v>
      </c>
      <c r="B412" t="s">
        <v>797</v>
      </c>
      <c r="C412" t="s">
        <v>1808</v>
      </c>
      <c r="D412" t="s">
        <v>742</v>
      </c>
      <c r="E412" s="10">
        <v>320510</v>
      </c>
      <c r="F412" s="12">
        <v>3.1950000000000001E-4</v>
      </c>
    </row>
    <row r="413" spans="1:6">
      <c r="A413" s="10">
        <v>2015</v>
      </c>
      <c r="B413" t="s">
        <v>798</v>
      </c>
      <c r="C413" t="s">
        <v>743</v>
      </c>
      <c r="D413" t="s">
        <v>743</v>
      </c>
      <c r="E413" s="10">
        <v>85479</v>
      </c>
      <c r="F413" s="12">
        <v>8.5199999999999997E-5</v>
      </c>
    </row>
    <row r="414" spans="1:6">
      <c r="A414" s="10">
        <v>2015</v>
      </c>
      <c r="B414" t="s">
        <v>799</v>
      </c>
      <c r="C414" t="s">
        <v>1809</v>
      </c>
      <c r="D414" t="s">
        <v>744</v>
      </c>
      <c r="E414" s="10">
        <v>472500</v>
      </c>
      <c r="F414" s="12">
        <v>4.7110000000000001E-4</v>
      </c>
    </row>
    <row r="415" spans="1:6">
      <c r="A415" s="10">
        <v>2015</v>
      </c>
      <c r="B415" t="s">
        <v>800</v>
      </c>
      <c r="C415" t="s">
        <v>745</v>
      </c>
      <c r="D415" t="s">
        <v>745</v>
      </c>
      <c r="E415" s="10">
        <v>61553</v>
      </c>
      <c r="F415" s="12">
        <v>6.1400000000000002E-5</v>
      </c>
    </row>
    <row r="416" spans="1:6">
      <c r="A416" s="10">
        <v>2015</v>
      </c>
      <c r="B416" t="s">
        <v>801</v>
      </c>
      <c r="C416" t="s">
        <v>1811</v>
      </c>
      <c r="D416" t="s">
        <v>746</v>
      </c>
      <c r="E416" s="10">
        <v>524461</v>
      </c>
      <c r="F416" s="12">
        <v>5.2289999999999997E-4</v>
      </c>
    </row>
    <row r="417" spans="1:6">
      <c r="A417" s="10">
        <v>2015</v>
      </c>
      <c r="B417" t="s">
        <v>802</v>
      </c>
      <c r="C417" t="s">
        <v>1812</v>
      </c>
      <c r="D417" t="s">
        <v>747</v>
      </c>
      <c r="E417" s="10">
        <v>33761</v>
      </c>
      <c r="F417" s="12">
        <v>3.3699999999999999E-5</v>
      </c>
    </row>
    <row r="418" spans="1:6">
      <c r="A418" s="10">
        <v>2015</v>
      </c>
      <c r="B418" t="s">
        <v>803</v>
      </c>
      <c r="C418" t="s">
        <v>748</v>
      </c>
      <c r="D418" t="s">
        <v>748</v>
      </c>
      <c r="E418" s="10">
        <v>149546</v>
      </c>
      <c r="F418" s="12">
        <v>1.4909999999999999E-4</v>
      </c>
    </row>
    <row r="419" spans="1:6">
      <c r="A419" s="10">
        <v>2015</v>
      </c>
      <c r="B419" t="s">
        <v>804</v>
      </c>
      <c r="C419" t="s">
        <v>749</v>
      </c>
      <c r="D419" t="s">
        <v>749</v>
      </c>
      <c r="E419" s="10">
        <v>213042</v>
      </c>
      <c r="F419" s="12">
        <v>2.1240000000000001E-4</v>
      </c>
    </row>
    <row r="420" spans="1:6">
      <c r="A420" s="10">
        <v>2015</v>
      </c>
      <c r="B420" t="s">
        <v>805</v>
      </c>
      <c r="C420" t="s">
        <v>750</v>
      </c>
      <c r="D420" t="s">
        <v>750</v>
      </c>
      <c r="E420" s="10">
        <v>1434997</v>
      </c>
      <c r="F420" s="12">
        <v>1.4307E-3</v>
      </c>
    </row>
    <row r="421" spans="1:6">
      <c r="A421" s="10">
        <v>2015</v>
      </c>
      <c r="B421" t="s">
        <v>806</v>
      </c>
      <c r="C421" t="s">
        <v>751</v>
      </c>
      <c r="D421" t="s">
        <v>751</v>
      </c>
      <c r="E421" s="10">
        <v>3815753</v>
      </c>
      <c r="F421" s="12">
        <v>3.8042000000000002E-3</v>
      </c>
    </row>
    <row r="422" spans="1:6">
      <c r="A422" s="10">
        <v>2015</v>
      </c>
      <c r="B422" t="s">
        <v>807</v>
      </c>
      <c r="C422" t="s">
        <v>752</v>
      </c>
      <c r="D422" t="s">
        <v>752</v>
      </c>
      <c r="E422" s="10">
        <v>72445</v>
      </c>
      <c r="F422" s="12">
        <v>7.2200000000000007E-5</v>
      </c>
    </row>
    <row r="423" spans="1:6">
      <c r="A423" s="10">
        <v>2015</v>
      </c>
      <c r="B423" t="s">
        <v>808</v>
      </c>
      <c r="C423" t="s">
        <v>2430</v>
      </c>
      <c r="D423" t="s">
        <v>753</v>
      </c>
      <c r="E423" s="10">
        <v>159145</v>
      </c>
      <c r="F423" s="12">
        <v>1.5870000000000001E-4</v>
      </c>
    </row>
    <row r="424" spans="1:6">
      <c r="A424" s="10">
        <v>2015</v>
      </c>
      <c r="B424" t="s">
        <v>809</v>
      </c>
      <c r="C424" t="s">
        <v>1814</v>
      </c>
      <c r="D424" t="s">
        <v>754</v>
      </c>
      <c r="E424" s="10">
        <v>634199</v>
      </c>
      <c r="F424" s="12">
        <v>6.3230000000000003E-4</v>
      </c>
    </row>
    <row r="425" spans="1:6">
      <c r="A425" s="10">
        <v>2015</v>
      </c>
      <c r="B425" t="s">
        <v>810</v>
      </c>
      <c r="C425" t="s">
        <v>1816</v>
      </c>
      <c r="D425" t="s">
        <v>755</v>
      </c>
      <c r="E425" s="10">
        <v>73087</v>
      </c>
      <c r="F425" s="12">
        <v>7.2899999999999997E-5</v>
      </c>
    </row>
    <row r="426" spans="1:6">
      <c r="A426" s="10">
        <v>2015</v>
      </c>
      <c r="B426" t="s">
        <v>811</v>
      </c>
      <c r="C426" t="s">
        <v>1817</v>
      </c>
      <c r="D426" t="s">
        <v>756</v>
      </c>
      <c r="E426" s="10">
        <v>21226</v>
      </c>
      <c r="F426" s="12">
        <v>2.12E-5</v>
      </c>
    </row>
    <row r="427" spans="1:6">
      <c r="A427" s="10">
        <v>2015</v>
      </c>
      <c r="B427" t="s">
        <v>812</v>
      </c>
      <c r="C427" t="s">
        <v>1818</v>
      </c>
      <c r="D427" t="s">
        <v>757</v>
      </c>
      <c r="E427" s="10">
        <v>744553</v>
      </c>
      <c r="F427" s="12">
        <v>7.4229999999999999E-4</v>
      </c>
    </row>
    <row r="428" spans="1:6">
      <c r="A428" s="10">
        <v>2015</v>
      </c>
      <c r="B428" t="s">
        <v>813</v>
      </c>
      <c r="C428" t="s">
        <v>1819</v>
      </c>
      <c r="D428" t="s">
        <v>758</v>
      </c>
      <c r="E428" s="10">
        <v>77266</v>
      </c>
      <c r="F428" s="12">
        <v>7.7000000000000001E-5</v>
      </c>
    </row>
    <row r="429" spans="1:6">
      <c r="A429" s="10">
        <v>2015</v>
      </c>
      <c r="B429" t="s">
        <v>814</v>
      </c>
      <c r="C429" t="s">
        <v>1820</v>
      </c>
      <c r="D429" t="s">
        <v>759</v>
      </c>
      <c r="E429" s="10">
        <v>83092</v>
      </c>
      <c r="F429" s="12">
        <v>8.2799999999999993E-5</v>
      </c>
    </row>
    <row r="430" spans="1:6">
      <c r="A430" s="10">
        <v>2015</v>
      </c>
      <c r="B430" t="s">
        <v>815</v>
      </c>
      <c r="C430" t="s">
        <v>760</v>
      </c>
      <c r="D430" t="s">
        <v>760</v>
      </c>
      <c r="E430" s="10">
        <v>17640</v>
      </c>
      <c r="F430" s="12">
        <v>1.7600000000000001E-5</v>
      </c>
    </row>
    <row r="431" spans="1:6">
      <c r="A431" s="10">
        <v>2015</v>
      </c>
      <c r="B431" t="s">
        <v>816</v>
      </c>
      <c r="C431" t="s">
        <v>761</v>
      </c>
      <c r="D431" t="s">
        <v>761</v>
      </c>
      <c r="E431" s="10">
        <v>56949</v>
      </c>
      <c r="F431" s="12">
        <v>5.6799999999999998E-5</v>
      </c>
    </row>
    <row r="432" spans="1:6">
      <c r="A432" s="10">
        <v>2015</v>
      </c>
      <c r="B432" t="s">
        <v>817</v>
      </c>
      <c r="C432" t="s">
        <v>762</v>
      </c>
      <c r="D432" t="s">
        <v>762</v>
      </c>
      <c r="E432" s="10">
        <v>65964</v>
      </c>
      <c r="F432" s="12">
        <v>6.58E-5</v>
      </c>
    </row>
    <row r="433" spans="1:6">
      <c r="A433" s="10">
        <v>2015</v>
      </c>
      <c r="B433" t="s">
        <v>818</v>
      </c>
      <c r="C433" t="s">
        <v>2445</v>
      </c>
      <c r="D433" t="s">
        <v>763</v>
      </c>
      <c r="E433" s="10">
        <v>22560</v>
      </c>
      <c r="F433" s="12">
        <v>2.2500000000000001E-5</v>
      </c>
    </row>
    <row r="434" spans="1:6">
      <c r="A434" s="10">
        <v>2015</v>
      </c>
      <c r="B434" t="s">
        <v>819</v>
      </c>
      <c r="C434" t="s">
        <v>1689</v>
      </c>
      <c r="D434" t="s">
        <v>764</v>
      </c>
      <c r="E434" s="10">
        <v>17873</v>
      </c>
      <c r="F434" s="12">
        <v>1.7799999999999999E-5</v>
      </c>
    </row>
    <row r="435" spans="1:6">
      <c r="A435" s="10">
        <v>2015</v>
      </c>
      <c r="B435" t="s">
        <v>820</v>
      </c>
      <c r="C435" t="s">
        <v>1822</v>
      </c>
      <c r="D435" t="s">
        <v>765</v>
      </c>
      <c r="E435" s="10">
        <v>1080093</v>
      </c>
      <c r="F435" s="12">
        <v>1.0767999999999999E-3</v>
      </c>
    </row>
    <row r="436" spans="1:6">
      <c r="A436" s="10">
        <v>2015</v>
      </c>
      <c r="B436" t="s">
        <v>821</v>
      </c>
      <c r="C436" t="s">
        <v>1834</v>
      </c>
      <c r="D436" t="s">
        <v>766</v>
      </c>
      <c r="E436" s="10">
        <v>42948</v>
      </c>
      <c r="F436" s="12">
        <v>4.2799999999999997E-5</v>
      </c>
    </row>
    <row r="437" spans="1:6">
      <c r="A437" s="10">
        <v>2015</v>
      </c>
      <c r="B437" t="s">
        <v>822</v>
      </c>
      <c r="C437" t="s">
        <v>2406</v>
      </c>
      <c r="D437" t="s">
        <v>767</v>
      </c>
      <c r="E437" s="10">
        <v>138557</v>
      </c>
      <c r="F437" s="12">
        <v>1.381E-4</v>
      </c>
    </row>
    <row r="438" spans="1:6">
      <c r="A438" s="10">
        <v>2015</v>
      </c>
      <c r="B438" t="s">
        <v>823</v>
      </c>
      <c r="C438" t="s">
        <v>1840</v>
      </c>
      <c r="D438" t="s">
        <v>768</v>
      </c>
      <c r="E438" s="10">
        <v>775134</v>
      </c>
      <c r="F438" s="12">
        <v>7.7280000000000003E-4</v>
      </c>
    </row>
    <row r="439" spans="1:6">
      <c r="A439" s="10">
        <v>2015</v>
      </c>
      <c r="B439" t="s">
        <v>824</v>
      </c>
      <c r="C439" t="s">
        <v>1839</v>
      </c>
      <c r="D439" t="s">
        <v>769</v>
      </c>
      <c r="E439" s="10">
        <v>316817</v>
      </c>
      <c r="F439" s="12">
        <v>3.1589999999999998E-4</v>
      </c>
    </row>
    <row r="440" spans="1:6">
      <c r="A440" s="10">
        <v>2015</v>
      </c>
      <c r="B440" t="s">
        <v>880</v>
      </c>
      <c r="C440" t="s">
        <v>2407</v>
      </c>
      <c r="D440" t="s">
        <v>825</v>
      </c>
      <c r="E440" s="10">
        <v>510274</v>
      </c>
      <c r="F440" s="12">
        <v>5.0869999999999995E-4</v>
      </c>
    </row>
    <row r="441" spans="1:6">
      <c r="A441" s="10">
        <v>2015</v>
      </c>
      <c r="B441" t="s">
        <v>881</v>
      </c>
      <c r="C441" t="s">
        <v>1825</v>
      </c>
      <c r="D441" t="s">
        <v>826</v>
      </c>
      <c r="E441" s="10">
        <v>18013</v>
      </c>
      <c r="F441" s="12">
        <v>1.8E-5</v>
      </c>
    </row>
    <row r="442" spans="1:6">
      <c r="A442" s="10">
        <v>2015</v>
      </c>
      <c r="B442" t="s">
        <v>882</v>
      </c>
      <c r="C442" t="s">
        <v>1827</v>
      </c>
      <c r="D442" t="s">
        <v>827</v>
      </c>
      <c r="E442" s="10">
        <v>9337</v>
      </c>
      <c r="F442" s="12">
        <v>9.3000000000000007E-6</v>
      </c>
    </row>
    <row r="443" spans="1:6">
      <c r="A443" s="10">
        <v>2015</v>
      </c>
      <c r="B443" t="s">
        <v>883</v>
      </c>
      <c r="C443" t="s">
        <v>2418</v>
      </c>
      <c r="D443" t="s">
        <v>828</v>
      </c>
      <c r="E443" s="10">
        <v>159942</v>
      </c>
      <c r="F443" s="12">
        <v>1.595E-4</v>
      </c>
    </row>
    <row r="444" spans="1:6">
      <c r="A444" s="10">
        <v>2015</v>
      </c>
      <c r="B444" t="s">
        <v>884</v>
      </c>
      <c r="C444" t="s">
        <v>829</v>
      </c>
      <c r="D444" t="s">
        <v>829</v>
      </c>
      <c r="E444" s="10">
        <v>1926909</v>
      </c>
      <c r="F444" s="12">
        <v>1.9211E-3</v>
      </c>
    </row>
    <row r="445" spans="1:6">
      <c r="A445" s="10">
        <v>2015</v>
      </c>
      <c r="B445" t="s">
        <v>885</v>
      </c>
      <c r="C445" t="s">
        <v>1828</v>
      </c>
      <c r="D445" t="s">
        <v>830</v>
      </c>
      <c r="E445" s="10">
        <v>1913</v>
      </c>
      <c r="F445" s="12">
        <v>1.9E-6</v>
      </c>
    </row>
    <row r="446" spans="1:6">
      <c r="A446" s="10">
        <v>2015</v>
      </c>
      <c r="B446" t="s">
        <v>886</v>
      </c>
      <c r="C446" t="s">
        <v>1829</v>
      </c>
      <c r="D446" t="s">
        <v>831</v>
      </c>
      <c r="E446" s="10">
        <v>40542</v>
      </c>
      <c r="F446" s="12">
        <v>4.0399999999999999E-5</v>
      </c>
    </row>
    <row r="447" spans="1:6">
      <c r="A447" s="10">
        <v>2015</v>
      </c>
      <c r="B447" t="s">
        <v>887</v>
      </c>
      <c r="C447" t="s">
        <v>1830</v>
      </c>
      <c r="D447" t="s">
        <v>832</v>
      </c>
      <c r="E447" s="10">
        <v>50398</v>
      </c>
      <c r="F447" s="12">
        <v>5.02E-5</v>
      </c>
    </row>
    <row r="448" spans="1:6">
      <c r="A448" s="10">
        <v>2015</v>
      </c>
      <c r="B448" t="s">
        <v>888</v>
      </c>
      <c r="C448" t="s">
        <v>1831</v>
      </c>
      <c r="D448" t="s">
        <v>833</v>
      </c>
      <c r="E448" s="10">
        <v>15918</v>
      </c>
      <c r="F448" s="12">
        <v>1.59E-5</v>
      </c>
    </row>
    <row r="449" spans="1:6">
      <c r="A449" s="10">
        <v>2015</v>
      </c>
      <c r="B449" t="s">
        <v>889</v>
      </c>
      <c r="C449" t="s">
        <v>834</v>
      </c>
      <c r="D449" t="s">
        <v>834</v>
      </c>
      <c r="E449" s="10">
        <v>586</v>
      </c>
      <c r="F449" s="12">
        <v>5.9999999999999997E-7</v>
      </c>
    </row>
    <row r="450" spans="1:6">
      <c r="A450" s="10">
        <v>2015</v>
      </c>
      <c r="B450" t="s">
        <v>890</v>
      </c>
      <c r="C450" t="s">
        <v>1832</v>
      </c>
      <c r="D450" t="s">
        <v>835</v>
      </c>
      <c r="E450" s="10">
        <v>2364723</v>
      </c>
      <c r="F450" s="12">
        <v>2.3576000000000001E-3</v>
      </c>
    </row>
    <row r="451" spans="1:6">
      <c r="A451" s="10">
        <v>2015</v>
      </c>
      <c r="B451" t="s">
        <v>891</v>
      </c>
      <c r="C451" t="s">
        <v>1835</v>
      </c>
      <c r="D451" t="s">
        <v>836</v>
      </c>
      <c r="E451" s="10">
        <v>38835</v>
      </c>
      <c r="F451" s="12">
        <v>3.8699999999999999E-5</v>
      </c>
    </row>
    <row r="452" spans="1:6">
      <c r="A452" s="10">
        <v>2015</v>
      </c>
      <c r="B452" t="s">
        <v>892</v>
      </c>
      <c r="C452" t="s">
        <v>1836</v>
      </c>
      <c r="D452" t="s">
        <v>837</v>
      </c>
      <c r="E452" s="10">
        <v>100761</v>
      </c>
      <c r="F452" s="12">
        <v>1.005E-4</v>
      </c>
    </row>
    <row r="453" spans="1:6">
      <c r="A453" s="10">
        <v>2015</v>
      </c>
      <c r="B453" t="s">
        <v>893</v>
      </c>
      <c r="C453" t="s">
        <v>2432</v>
      </c>
      <c r="D453" t="s">
        <v>838</v>
      </c>
      <c r="E453" s="10">
        <v>1746</v>
      </c>
      <c r="F453" s="12">
        <v>1.7E-6</v>
      </c>
    </row>
    <row r="454" spans="1:6">
      <c r="A454" s="10">
        <v>2015</v>
      </c>
      <c r="B454" t="s">
        <v>894</v>
      </c>
      <c r="C454" t="s">
        <v>839</v>
      </c>
      <c r="D454" t="s">
        <v>839</v>
      </c>
      <c r="E454" s="10">
        <v>11313178</v>
      </c>
      <c r="F454" s="12">
        <v>1.1279000000000001E-2</v>
      </c>
    </row>
    <row r="455" spans="1:6">
      <c r="A455" s="10">
        <v>2015</v>
      </c>
      <c r="B455" t="s">
        <v>895</v>
      </c>
      <c r="C455" t="s">
        <v>1842</v>
      </c>
      <c r="D455" t="s">
        <v>840</v>
      </c>
      <c r="E455" s="10">
        <v>34446</v>
      </c>
      <c r="F455" s="12">
        <v>3.43E-5</v>
      </c>
    </row>
    <row r="456" spans="1:6">
      <c r="A456" s="10">
        <v>2015</v>
      </c>
      <c r="B456" t="s">
        <v>896</v>
      </c>
      <c r="C456" t="s">
        <v>1837</v>
      </c>
      <c r="D456" t="s">
        <v>841</v>
      </c>
      <c r="E456" s="10">
        <v>66594</v>
      </c>
      <c r="F456" s="12">
        <v>6.6400000000000001E-5</v>
      </c>
    </row>
    <row r="457" spans="1:6">
      <c r="A457" s="10">
        <v>2015</v>
      </c>
      <c r="B457" t="s">
        <v>897</v>
      </c>
      <c r="C457" t="s">
        <v>1841</v>
      </c>
      <c r="D457" t="s">
        <v>842</v>
      </c>
      <c r="E457" s="10">
        <v>346235</v>
      </c>
      <c r="F457" s="12">
        <v>3.4519999999999999E-4</v>
      </c>
    </row>
    <row r="458" spans="1:6">
      <c r="A458" s="10">
        <v>2015</v>
      </c>
      <c r="B458" t="s">
        <v>898</v>
      </c>
      <c r="C458" t="s">
        <v>843</v>
      </c>
      <c r="D458" t="s">
        <v>843</v>
      </c>
      <c r="E458" s="10">
        <v>1363982</v>
      </c>
      <c r="F458" s="12">
        <v>1.3599E-3</v>
      </c>
    </row>
    <row r="459" spans="1:6">
      <c r="A459" s="10">
        <v>2015</v>
      </c>
      <c r="B459" t="s">
        <v>899</v>
      </c>
      <c r="C459" t="s">
        <v>844</v>
      </c>
      <c r="D459" t="s">
        <v>844</v>
      </c>
      <c r="E459" s="10">
        <v>276788</v>
      </c>
      <c r="F459" s="12">
        <v>2.7599999999999999E-4</v>
      </c>
    </row>
    <row r="460" spans="1:6">
      <c r="A460" s="10">
        <v>2015</v>
      </c>
      <c r="B460" t="s">
        <v>900</v>
      </c>
      <c r="C460" t="s">
        <v>845</v>
      </c>
      <c r="D460" t="s">
        <v>845</v>
      </c>
      <c r="E460" s="10">
        <v>239085</v>
      </c>
      <c r="F460" s="12">
        <v>2.3839999999999999E-4</v>
      </c>
    </row>
    <row r="461" spans="1:6">
      <c r="A461" s="10">
        <v>2015</v>
      </c>
      <c r="B461" t="s">
        <v>901</v>
      </c>
      <c r="C461" t="s">
        <v>846</v>
      </c>
      <c r="D461" t="s">
        <v>846</v>
      </c>
      <c r="E461" s="10">
        <v>67378</v>
      </c>
      <c r="F461" s="12">
        <v>6.7199999999999994E-5</v>
      </c>
    </row>
    <row r="462" spans="1:6">
      <c r="A462" s="10">
        <v>2015</v>
      </c>
      <c r="B462" t="s">
        <v>902</v>
      </c>
      <c r="C462" t="s">
        <v>1843</v>
      </c>
      <c r="D462" t="s">
        <v>847</v>
      </c>
      <c r="E462" s="10">
        <v>247465</v>
      </c>
      <c r="F462" s="12">
        <v>2.4669999999999998E-4</v>
      </c>
    </row>
    <row r="463" spans="1:6">
      <c r="A463" s="10">
        <v>2015</v>
      </c>
      <c r="B463" t="s">
        <v>903</v>
      </c>
      <c r="C463" t="s">
        <v>1845</v>
      </c>
      <c r="D463" t="s">
        <v>848</v>
      </c>
      <c r="E463" s="10">
        <v>1444633</v>
      </c>
      <c r="F463" s="12">
        <v>1.4403E-3</v>
      </c>
    </row>
    <row r="464" spans="1:6">
      <c r="A464" s="10">
        <v>2015</v>
      </c>
      <c r="B464" t="s">
        <v>904</v>
      </c>
      <c r="C464" t="s">
        <v>1846</v>
      </c>
      <c r="D464" t="s">
        <v>849</v>
      </c>
      <c r="E464" s="10">
        <v>19979</v>
      </c>
      <c r="F464" s="12">
        <v>1.9899999999999999E-5</v>
      </c>
    </row>
    <row r="465" spans="1:6">
      <c r="A465" s="10">
        <v>2015</v>
      </c>
      <c r="B465" t="s">
        <v>905</v>
      </c>
      <c r="C465" t="s">
        <v>1847</v>
      </c>
      <c r="D465" t="s">
        <v>850</v>
      </c>
      <c r="E465" s="10">
        <v>30352</v>
      </c>
      <c r="F465" s="12">
        <v>3.0300000000000001E-5</v>
      </c>
    </row>
    <row r="466" spans="1:6">
      <c r="A466" s="10">
        <v>2015</v>
      </c>
      <c r="B466" t="s">
        <v>906</v>
      </c>
      <c r="C466" t="s">
        <v>1848</v>
      </c>
      <c r="D466" t="s">
        <v>851</v>
      </c>
      <c r="E466" s="10">
        <v>1556545</v>
      </c>
      <c r="F466" s="12">
        <v>1.5518000000000001E-3</v>
      </c>
    </row>
    <row r="467" spans="1:6">
      <c r="A467" s="10">
        <v>2015</v>
      </c>
      <c r="B467" t="s">
        <v>907</v>
      </c>
      <c r="C467" t="s">
        <v>2024</v>
      </c>
      <c r="D467" t="s">
        <v>852</v>
      </c>
      <c r="E467" s="10">
        <v>40339</v>
      </c>
      <c r="F467" s="12">
        <v>4.0200000000000001E-5</v>
      </c>
    </row>
    <row r="468" spans="1:6">
      <c r="A468" s="10">
        <v>2015</v>
      </c>
      <c r="B468" t="s">
        <v>908</v>
      </c>
      <c r="C468" t="s">
        <v>1851</v>
      </c>
      <c r="D468" t="s">
        <v>853</v>
      </c>
      <c r="E468" s="10">
        <v>234968</v>
      </c>
      <c r="F468" s="12">
        <v>2.343E-4</v>
      </c>
    </row>
    <row r="469" spans="1:6">
      <c r="A469" s="10">
        <v>2015</v>
      </c>
      <c r="B469" t="s">
        <v>909</v>
      </c>
      <c r="C469" t="s">
        <v>1852</v>
      </c>
      <c r="D469" t="s">
        <v>854</v>
      </c>
      <c r="E469" s="10">
        <v>72011</v>
      </c>
      <c r="F469" s="12">
        <v>7.1799999999999997E-5</v>
      </c>
    </row>
    <row r="470" spans="1:6">
      <c r="A470" s="10">
        <v>2015</v>
      </c>
      <c r="B470" t="s">
        <v>910</v>
      </c>
      <c r="C470" t="s">
        <v>1853</v>
      </c>
      <c r="D470" t="s">
        <v>855</v>
      </c>
      <c r="E470" s="10">
        <v>541875</v>
      </c>
      <c r="F470" s="12">
        <v>5.4020000000000001E-4</v>
      </c>
    </row>
    <row r="471" spans="1:6">
      <c r="A471" s="10">
        <v>2015</v>
      </c>
      <c r="B471" t="s">
        <v>911</v>
      </c>
      <c r="C471" t="s">
        <v>1855</v>
      </c>
      <c r="D471" t="s">
        <v>856</v>
      </c>
      <c r="E471" s="10">
        <v>15235739</v>
      </c>
      <c r="F471" s="12">
        <v>1.51897E-2</v>
      </c>
    </row>
    <row r="472" spans="1:6">
      <c r="A472" s="10">
        <v>2015</v>
      </c>
      <c r="B472" t="s">
        <v>912</v>
      </c>
      <c r="C472" t="s">
        <v>1854</v>
      </c>
      <c r="D472" t="s">
        <v>857</v>
      </c>
      <c r="E472" s="10">
        <v>701848</v>
      </c>
      <c r="F472" s="12">
        <v>6.9970000000000004E-4</v>
      </c>
    </row>
    <row r="473" spans="1:6">
      <c r="A473" s="10">
        <v>2015</v>
      </c>
      <c r="B473" t="s">
        <v>913</v>
      </c>
      <c r="C473" t="s">
        <v>1857</v>
      </c>
      <c r="D473" t="s">
        <v>858</v>
      </c>
      <c r="E473" s="10">
        <v>104200</v>
      </c>
      <c r="F473" s="12">
        <v>1.039E-4</v>
      </c>
    </row>
    <row r="474" spans="1:6">
      <c r="A474" s="10">
        <v>2015</v>
      </c>
      <c r="B474" t="s">
        <v>914</v>
      </c>
      <c r="C474" t="s">
        <v>1858</v>
      </c>
      <c r="D474" t="s">
        <v>859</v>
      </c>
      <c r="E474" s="10">
        <v>31474</v>
      </c>
      <c r="F474" s="12">
        <v>3.1399999999999998E-5</v>
      </c>
    </row>
    <row r="475" spans="1:6">
      <c r="A475" s="10">
        <v>2015</v>
      </c>
      <c r="B475" t="s">
        <v>915</v>
      </c>
      <c r="C475" t="s">
        <v>1859</v>
      </c>
      <c r="D475" t="s">
        <v>860</v>
      </c>
      <c r="E475" s="10">
        <v>984416</v>
      </c>
      <c r="F475" s="12">
        <v>9.8139999999999989E-4</v>
      </c>
    </row>
    <row r="476" spans="1:6">
      <c r="A476" s="10">
        <v>2015</v>
      </c>
      <c r="B476" t="s">
        <v>916</v>
      </c>
      <c r="C476" t="s">
        <v>2443</v>
      </c>
      <c r="D476" t="s">
        <v>861</v>
      </c>
      <c r="E476" s="10">
        <v>42882</v>
      </c>
      <c r="F476" s="12">
        <v>4.2799999999999997E-5</v>
      </c>
    </row>
    <row r="477" spans="1:6">
      <c r="A477" s="10">
        <v>2015</v>
      </c>
      <c r="B477" t="s">
        <v>917</v>
      </c>
      <c r="C477" t="s">
        <v>1861</v>
      </c>
      <c r="D477" t="s">
        <v>862</v>
      </c>
      <c r="E477" s="10">
        <v>71499</v>
      </c>
      <c r="F477" s="12">
        <v>7.1299999999999998E-5</v>
      </c>
    </row>
    <row r="478" spans="1:6">
      <c r="A478" s="10">
        <v>2015</v>
      </c>
      <c r="B478" t="s">
        <v>918</v>
      </c>
      <c r="C478" t="s">
        <v>863</v>
      </c>
      <c r="D478" t="s">
        <v>863</v>
      </c>
      <c r="E478" s="10">
        <v>15094</v>
      </c>
      <c r="F478" s="12">
        <v>1.5E-5</v>
      </c>
    </row>
    <row r="479" spans="1:6">
      <c r="A479" s="10">
        <v>2015</v>
      </c>
      <c r="B479" t="s">
        <v>919</v>
      </c>
      <c r="C479" t="s">
        <v>1862</v>
      </c>
      <c r="D479" t="s">
        <v>864</v>
      </c>
      <c r="E479" s="10">
        <v>116304</v>
      </c>
      <c r="F479" s="12">
        <v>1.16E-4</v>
      </c>
    </row>
    <row r="480" spans="1:6">
      <c r="A480" s="10">
        <v>2015</v>
      </c>
      <c r="B480" t="s">
        <v>920</v>
      </c>
      <c r="C480" t="s">
        <v>1914</v>
      </c>
      <c r="D480" t="s">
        <v>865</v>
      </c>
      <c r="E480" s="10">
        <v>15291</v>
      </c>
      <c r="F480" s="12">
        <v>1.52E-5</v>
      </c>
    </row>
    <row r="481" spans="1:6">
      <c r="A481" s="10">
        <v>2015</v>
      </c>
      <c r="B481" t="s">
        <v>921</v>
      </c>
      <c r="C481" t="s">
        <v>1865</v>
      </c>
      <c r="D481" t="s">
        <v>866</v>
      </c>
      <c r="E481" s="10">
        <v>1073508</v>
      </c>
      <c r="F481" s="12">
        <v>1.0702999999999999E-3</v>
      </c>
    </row>
    <row r="482" spans="1:6">
      <c r="A482" s="10">
        <v>2015</v>
      </c>
      <c r="B482" t="s">
        <v>922</v>
      </c>
      <c r="C482" t="s">
        <v>1867</v>
      </c>
      <c r="D482" t="s">
        <v>867</v>
      </c>
      <c r="E482" s="10">
        <v>175186</v>
      </c>
      <c r="F482" s="12">
        <v>1.7469999999999999E-4</v>
      </c>
    </row>
    <row r="483" spans="1:6">
      <c r="A483" s="10">
        <v>2015</v>
      </c>
      <c r="B483" t="s">
        <v>923</v>
      </c>
      <c r="C483" t="s">
        <v>868</v>
      </c>
      <c r="D483" t="s">
        <v>868</v>
      </c>
      <c r="E483" s="10">
        <v>63111</v>
      </c>
      <c r="F483" s="12">
        <v>6.2899999999999997E-5</v>
      </c>
    </row>
    <row r="484" spans="1:6">
      <c r="A484" s="10">
        <v>2015</v>
      </c>
      <c r="B484" t="s">
        <v>924</v>
      </c>
      <c r="C484" t="s">
        <v>1868</v>
      </c>
      <c r="D484" t="s">
        <v>869</v>
      </c>
      <c r="E484" s="10">
        <v>82000</v>
      </c>
      <c r="F484" s="12">
        <v>8.1799999999999996E-5</v>
      </c>
    </row>
    <row r="485" spans="1:6">
      <c r="A485" s="10">
        <v>2015</v>
      </c>
      <c r="B485" t="s">
        <v>925</v>
      </c>
      <c r="C485" t="s">
        <v>1869</v>
      </c>
      <c r="D485" t="s">
        <v>870</v>
      </c>
      <c r="E485" s="10">
        <v>4124004</v>
      </c>
      <c r="F485" s="12">
        <v>4.1114999999999997E-3</v>
      </c>
    </row>
    <row r="486" spans="1:6">
      <c r="A486" s="10">
        <v>2015</v>
      </c>
      <c r="B486" t="s">
        <v>926</v>
      </c>
      <c r="C486" t="s">
        <v>1870</v>
      </c>
      <c r="D486" t="s">
        <v>871</v>
      </c>
      <c r="E486" s="10">
        <v>14927348</v>
      </c>
      <c r="F486" s="12">
        <v>1.48822E-2</v>
      </c>
    </row>
    <row r="487" spans="1:6">
      <c r="A487" s="10">
        <v>2015</v>
      </c>
      <c r="B487" t="s">
        <v>927</v>
      </c>
      <c r="C487" t="s">
        <v>1872</v>
      </c>
      <c r="D487" t="s">
        <v>872</v>
      </c>
      <c r="E487" s="10">
        <v>4460159</v>
      </c>
      <c r="F487" s="12">
        <v>4.4466999999999996E-3</v>
      </c>
    </row>
    <row r="488" spans="1:6">
      <c r="A488" s="10">
        <v>2015</v>
      </c>
      <c r="B488" t="s">
        <v>928</v>
      </c>
      <c r="C488" t="s">
        <v>1875</v>
      </c>
      <c r="D488" t="s">
        <v>873</v>
      </c>
      <c r="E488" s="10">
        <v>514438</v>
      </c>
      <c r="F488" s="12">
        <v>5.1290000000000005E-4</v>
      </c>
    </row>
    <row r="489" spans="1:6">
      <c r="A489" s="10">
        <v>2015</v>
      </c>
      <c r="B489" t="s">
        <v>929</v>
      </c>
      <c r="C489" t="s">
        <v>1874</v>
      </c>
      <c r="D489" t="s">
        <v>874</v>
      </c>
      <c r="E489" s="10">
        <v>16823489</v>
      </c>
      <c r="F489" s="12">
        <v>1.6772700000000001E-2</v>
      </c>
    </row>
    <row r="490" spans="1:6">
      <c r="A490" s="10">
        <v>2015</v>
      </c>
      <c r="B490" t="s">
        <v>930</v>
      </c>
      <c r="C490" t="s">
        <v>1873</v>
      </c>
      <c r="D490" t="s">
        <v>875</v>
      </c>
      <c r="E490" s="10">
        <v>47955</v>
      </c>
      <c r="F490" s="12">
        <v>4.7800000000000003E-5</v>
      </c>
    </row>
    <row r="491" spans="1:6">
      <c r="A491" s="10">
        <v>2015</v>
      </c>
      <c r="B491" t="s">
        <v>931</v>
      </c>
      <c r="C491" t="s">
        <v>1876</v>
      </c>
      <c r="D491" t="s">
        <v>876</v>
      </c>
      <c r="E491" s="10">
        <v>96273</v>
      </c>
      <c r="F491" s="12">
        <v>9.6000000000000002E-5</v>
      </c>
    </row>
    <row r="492" spans="1:6">
      <c r="A492" s="10">
        <v>2015</v>
      </c>
      <c r="B492" t="s">
        <v>932</v>
      </c>
      <c r="C492" t="s">
        <v>1877</v>
      </c>
      <c r="D492" t="s">
        <v>877</v>
      </c>
      <c r="E492" s="10">
        <v>3543</v>
      </c>
      <c r="F492" s="12">
        <v>3.4999999999999999E-6</v>
      </c>
    </row>
    <row r="493" spans="1:6">
      <c r="A493" s="10">
        <v>2015</v>
      </c>
      <c r="B493" t="s">
        <v>933</v>
      </c>
      <c r="C493" t="s">
        <v>1878</v>
      </c>
      <c r="D493" t="s">
        <v>878</v>
      </c>
      <c r="E493" s="10">
        <v>30675</v>
      </c>
      <c r="F493" s="12">
        <v>3.0599999999999998E-5</v>
      </c>
    </row>
    <row r="494" spans="1:6">
      <c r="A494" s="10">
        <v>2015</v>
      </c>
      <c r="B494" t="s">
        <v>934</v>
      </c>
      <c r="C494" t="s">
        <v>1880</v>
      </c>
      <c r="D494" t="s">
        <v>879</v>
      </c>
      <c r="E494" s="10">
        <v>384772</v>
      </c>
      <c r="F494" s="12">
        <v>3.836E-4</v>
      </c>
    </row>
    <row r="495" spans="1:6">
      <c r="A495" s="10">
        <v>2015</v>
      </c>
      <c r="B495" t="s">
        <v>990</v>
      </c>
      <c r="C495" t="s">
        <v>935</v>
      </c>
      <c r="D495" t="s">
        <v>935</v>
      </c>
      <c r="E495" s="10">
        <v>8262540</v>
      </c>
      <c r="F495" s="12">
        <v>8.2375999999999994E-3</v>
      </c>
    </row>
    <row r="496" spans="1:6">
      <c r="A496" s="10">
        <v>2015</v>
      </c>
      <c r="B496" t="s">
        <v>991</v>
      </c>
      <c r="C496" t="s">
        <v>936</v>
      </c>
      <c r="D496" t="s">
        <v>936</v>
      </c>
      <c r="E496" s="10">
        <v>25097541</v>
      </c>
      <c r="F496" s="12">
        <v>2.5021700000000001E-2</v>
      </c>
    </row>
    <row r="497" spans="1:6">
      <c r="A497" s="10">
        <v>2015</v>
      </c>
      <c r="B497" t="s">
        <v>992</v>
      </c>
      <c r="C497" t="s">
        <v>1879</v>
      </c>
      <c r="D497" t="s">
        <v>937</v>
      </c>
      <c r="E497" s="10">
        <v>60242</v>
      </c>
      <c r="F497" s="12">
        <v>6.0099999999999997E-5</v>
      </c>
    </row>
    <row r="498" spans="1:6">
      <c r="A498" s="10">
        <v>2015</v>
      </c>
      <c r="B498" t="s">
        <v>993</v>
      </c>
      <c r="C498" t="s">
        <v>1881</v>
      </c>
      <c r="D498" t="s">
        <v>938</v>
      </c>
      <c r="E498" s="10">
        <v>474936</v>
      </c>
      <c r="F498" s="12">
        <v>4.7350000000000002E-4</v>
      </c>
    </row>
    <row r="499" spans="1:6">
      <c r="A499" s="10">
        <v>2015</v>
      </c>
      <c r="B499" t="s">
        <v>994</v>
      </c>
      <c r="C499" t="s">
        <v>939</v>
      </c>
      <c r="D499" t="s">
        <v>939</v>
      </c>
      <c r="E499" s="10">
        <v>60797</v>
      </c>
      <c r="F499" s="12">
        <v>6.0600000000000003E-5</v>
      </c>
    </row>
    <row r="500" spans="1:6">
      <c r="A500" s="10">
        <v>2015</v>
      </c>
      <c r="B500" t="s">
        <v>995</v>
      </c>
      <c r="C500" t="s">
        <v>2434</v>
      </c>
      <c r="D500" t="s">
        <v>940</v>
      </c>
      <c r="E500" s="10">
        <v>67326</v>
      </c>
      <c r="F500" s="12">
        <v>6.7100000000000005E-5</v>
      </c>
    </row>
    <row r="501" spans="1:6">
      <c r="A501" s="10">
        <v>2015</v>
      </c>
      <c r="B501" t="s">
        <v>996</v>
      </c>
      <c r="C501" t="s">
        <v>2435</v>
      </c>
      <c r="D501" t="s">
        <v>941</v>
      </c>
      <c r="E501" s="10">
        <v>34495</v>
      </c>
      <c r="F501" s="12">
        <v>3.4400000000000003E-5</v>
      </c>
    </row>
    <row r="502" spans="1:6">
      <c r="A502" s="10">
        <v>2015</v>
      </c>
      <c r="B502" t="s">
        <v>997</v>
      </c>
      <c r="C502" t="s">
        <v>2436</v>
      </c>
      <c r="D502" t="s">
        <v>942</v>
      </c>
      <c r="E502" s="10">
        <v>137845</v>
      </c>
      <c r="F502" s="12">
        <v>1.3740000000000001E-4</v>
      </c>
    </row>
    <row r="503" spans="1:6">
      <c r="A503" s="10">
        <v>2015</v>
      </c>
      <c r="B503" t="s">
        <v>998</v>
      </c>
      <c r="C503" t="s">
        <v>1918</v>
      </c>
      <c r="D503" t="s">
        <v>943</v>
      </c>
      <c r="E503" s="10">
        <v>47583</v>
      </c>
      <c r="F503" s="12">
        <v>4.74E-5</v>
      </c>
    </row>
    <row r="504" spans="1:6">
      <c r="A504" s="10">
        <v>2015</v>
      </c>
      <c r="B504" t="s">
        <v>999</v>
      </c>
      <c r="C504" t="s">
        <v>1884</v>
      </c>
      <c r="D504" t="s">
        <v>944</v>
      </c>
      <c r="E504" s="10">
        <v>279474</v>
      </c>
      <c r="F504" s="12">
        <v>2.786E-4</v>
      </c>
    </row>
    <row r="505" spans="1:6">
      <c r="A505" s="10">
        <v>2015</v>
      </c>
      <c r="B505" t="s">
        <v>1000</v>
      </c>
      <c r="C505" t="s">
        <v>2384</v>
      </c>
      <c r="D505" t="s">
        <v>945</v>
      </c>
      <c r="E505" s="10">
        <v>17449</v>
      </c>
      <c r="F505" s="12">
        <v>1.7399999999999999E-5</v>
      </c>
    </row>
    <row r="506" spans="1:6">
      <c r="A506" s="10">
        <v>2015</v>
      </c>
      <c r="B506" t="s">
        <v>1001</v>
      </c>
      <c r="C506" t="s">
        <v>2433</v>
      </c>
      <c r="D506" t="s">
        <v>946</v>
      </c>
      <c r="E506" s="10">
        <v>26684</v>
      </c>
      <c r="F506" s="12">
        <v>2.6599999999999999E-5</v>
      </c>
    </row>
    <row r="507" spans="1:6">
      <c r="A507" s="10">
        <v>2015</v>
      </c>
      <c r="B507" t="s">
        <v>1002</v>
      </c>
      <c r="C507" t="s">
        <v>947</v>
      </c>
      <c r="D507" t="s">
        <v>947</v>
      </c>
      <c r="E507" s="10">
        <v>6924153</v>
      </c>
      <c r="F507" s="12">
        <v>6.9032E-3</v>
      </c>
    </row>
    <row r="508" spans="1:6">
      <c r="A508" s="10">
        <v>2015</v>
      </c>
      <c r="B508" t="s">
        <v>1003</v>
      </c>
      <c r="C508" t="s">
        <v>1478</v>
      </c>
      <c r="D508" t="s">
        <v>948</v>
      </c>
      <c r="E508" s="10">
        <v>51476</v>
      </c>
      <c r="F508" s="12">
        <v>5.13E-5</v>
      </c>
    </row>
    <row r="509" spans="1:6">
      <c r="A509" s="10">
        <v>2015</v>
      </c>
      <c r="B509" t="s">
        <v>1004</v>
      </c>
      <c r="C509" t="s">
        <v>949</v>
      </c>
      <c r="D509" t="s">
        <v>949</v>
      </c>
      <c r="E509" s="10"/>
      <c r="F509" s="12">
        <v>0</v>
      </c>
    </row>
    <row r="510" spans="1:6">
      <c r="A510" s="10">
        <v>2015</v>
      </c>
      <c r="B510" t="s">
        <v>1005</v>
      </c>
      <c r="C510" t="s">
        <v>1888</v>
      </c>
      <c r="D510" t="s">
        <v>950</v>
      </c>
      <c r="E510" s="10">
        <v>126746</v>
      </c>
      <c r="F510" s="12">
        <v>1.2640000000000001E-4</v>
      </c>
    </row>
    <row r="511" spans="1:6">
      <c r="A511" s="10">
        <v>2015</v>
      </c>
      <c r="B511" t="s">
        <v>1006</v>
      </c>
      <c r="C511" t="s">
        <v>1889</v>
      </c>
      <c r="D511" t="s">
        <v>951</v>
      </c>
      <c r="E511" s="10">
        <v>172313</v>
      </c>
      <c r="F511" s="12">
        <v>1.718E-4</v>
      </c>
    </row>
    <row r="512" spans="1:6">
      <c r="A512" s="10">
        <v>2015</v>
      </c>
      <c r="B512" t="s">
        <v>1007</v>
      </c>
      <c r="C512" t="s">
        <v>1890</v>
      </c>
      <c r="D512" t="s">
        <v>952</v>
      </c>
      <c r="E512" s="10">
        <v>4353</v>
      </c>
      <c r="F512" s="12">
        <v>4.3000000000000003E-6</v>
      </c>
    </row>
    <row r="513" spans="1:6">
      <c r="A513" s="10">
        <v>2015</v>
      </c>
      <c r="B513" t="s">
        <v>1008</v>
      </c>
      <c r="C513" t="s">
        <v>2286</v>
      </c>
      <c r="D513" t="s">
        <v>953</v>
      </c>
      <c r="E513" s="10">
        <v>26636</v>
      </c>
      <c r="F513" s="12">
        <v>2.6599999999999999E-5</v>
      </c>
    </row>
    <row r="514" spans="1:6">
      <c r="A514" s="10">
        <v>2015</v>
      </c>
      <c r="B514" t="s">
        <v>1009</v>
      </c>
      <c r="C514" t="s">
        <v>1892</v>
      </c>
      <c r="D514" t="s">
        <v>954</v>
      </c>
      <c r="E514" s="10">
        <v>31811</v>
      </c>
      <c r="F514" s="12">
        <v>3.1699999999999998E-5</v>
      </c>
    </row>
    <row r="515" spans="1:6">
      <c r="A515" s="10">
        <v>2015</v>
      </c>
      <c r="B515" t="s">
        <v>1010</v>
      </c>
      <c r="C515" t="s">
        <v>1893</v>
      </c>
      <c r="D515" t="s">
        <v>955</v>
      </c>
      <c r="E515" s="10">
        <v>113024</v>
      </c>
      <c r="F515" s="12">
        <v>1.127E-4</v>
      </c>
    </row>
    <row r="516" spans="1:6">
      <c r="A516" s="10">
        <v>2015</v>
      </c>
      <c r="B516" t="s">
        <v>1011</v>
      </c>
      <c r="C516" t="s">
        <v>2288</v>
      </c>
      <c r="D516" t="s">
        <v>956</v>
      </c>
      <c r="E516" s="10">
        <v>5606</v>
      </c>
      <c r="F516" s="12">
        <v>5.5999999999999997E-6</v>
      </c>
    </row>
    <row r="517" spans="1:6">
      <c r="A517" s="10">
        <v>2015</v>
      </c>
      <c r="B517" t="s">
        <v>1012</v>
      </c>
      <c r="C517" t="s">
        <v>957</v>
      </c>
      <c r="D517" t="s">
        <v>957</v>
      </c>
      <c r="E517" s="10">
        <v>83199</v>
      </c>
      <c r="F517" s="12">
        <v>8.2899999999999996E-5</v>
      </c>
    </row>
    <row r="518" spans="1:6">
      <c r="A518" s="10">
        <v>2015</v>
      </c>
      <c r="B518" t="s">
        <v>1013</v>
      </c>
      <c r="C518" t="s">
        <v>2408</v>
      </c>
      <c r="D518" t="s">
        <v>958</v>
      </c>
      <c r="E518" s="10">
        <v>1183463</v>
      </c>
      <c r="F518" s="12">
        <v>1.1799E-3</v>
      </c>
    </row>
    <row r="519" spans="1:6">
      <c r="A519" s="10">
        <v>2015</v>
      </c>
      <c r="B519" t="s">
        <v>1014</v>
      </c>
      <c r="C519" t="s">
        <v>1614</v>
      </c>
      <c r="D519" t="s">
        <v>959</v>
      </c>
      <c r="E519" s="10">
        <v>46359</v>
      </c>
      <c r="F519" s="12">
        <v>4.6199999999999998E-5</v>
      </c>
    </row>
    <row r="520" spans="1:6">
      <c r="A520" s="10">
        <v>2015</v>
      </c>
      <c r="B520" t="s">
        <v>1015</v>
      </c>
      <c r="C520" t="s">
        <v>1613</v>
      </c>
      <c r="D520" t="s">
        <v>960</v>
      </c>
      <c r="E520" s="10">
        <v>369123</v>
      </c>
      <c r="F520" s="12">
        <v>3.68E-4</v>
      </c>
    </row>
    <row r="521" spans="1:6">
      <c r="A521" s="10">
        <v>2015</v>
      </c>
      <c r="B521" t="s">
        <v>1016</v>
      </c>
      <c r="C521" t="s">
        <v>1897</v>
      </c>
      <c r="D521" t="s">
        <v>961</v>
      </c>
      <c r="E521" s="10">
        <v>456817</v>
      </c>
      <c r="F521" s="12">
        <v>4.5540000000000001E-4</v>
      </c>
    </row>
    <row r="522" spans="1:6">
      <c r="A522" s="10">
        <v>2015</v>
      </c>
      <c r="B522" t="s">
        <v>1017</v>
      </c>
      <c r="C522" t="s">
        <v>1898</v>
      </c>
      <c r="D522" t="s">
        <v>962</v>
      </c>
      <c r="E522" s="10">
        <v>62038</v>
      </c>
      <c r="F522" s="12">
        <v>6.1799999999999998E-5</v>
      </c>
    </row>
    <row r="523" spans="1:6">
      <c r="A523" s="10">
        <v>2015</v>
      </c>
      <c r="B523" t="s">
        <v>1018</v>
      </c>
      <c r="C523" t="s">
        <v>1899</v>
      </c>
      <c r="D523" t="s">
        <v>963</v>
      </c>
      <c r="E523" s="10">
        <v>23892</v>
      </c>
      <c r="F523" s="12">
        <v>2.3799999999999999E-5</v>
      </c>
    </row>
    <row r="524" spans="1:6">
      <c r="A524" s="10">
        <v>2015</v>
      </c>
      <c r="B524" t="s">
        <v>1019</v>
      </c>
      <c r="C524" t="s">
        <v>1901</v>
      </c>
      <c r="D524" t="s">
        <v>964</v>
      </c>
      <c r="E524" s="10">
        <v>52661</v>
      </c>
      <c r="F524" s="12">
        <v>5.2500000000000002E-5</v>
      </c>
    </row>
    <row r="525" spans="1:6">
      <c r="A525" s="10">
        <v>2015</v>
      </c>
      <c r="B525" t="s">
        <v>1020</v>
      </c>
      <c r="C525" t="s">
        <v>1900</v>
      </c>
      <c r="D525" t="s">
        <v>965</v>
      </c>
      <c r="E525" s="10">
        <v>1929485</v>
      </c>
      <c r="F525" s="12">
        <v>1.9237E-3</v>
      </c>
    </row>
    <row r="526" spans="1:6">
      <c r="A526" s="10">
        <v>2015</v>
      </c>
      <c r="B526" t="s">
        <v>1021</v>
      </c>
      <c r="C526" t="s">
        <v>1902</v>
      </c>
      <c r="D526" t="s">
        <v>966</v>
      </c>
      <c r="E526" s="10"/>
      <c r="F526" s="12">
        <v>0</v>
      </c>
    </row>
    <row r="527" spans="1:6">
      <c r="A527" s="10">
        <v>2015</v>
      </c>
      <c r="B527" t="s">
        <v>1022</v>
      </c>
      <c r="C527" t="s">
        <v>1904</v>
      </c>
      <c r="D527" t="s">
        <v>967</v>
      </c>
      <c r="E527" s="10">
        <v>135309</v>
      </c>
      <c r="F527" s="12">
        <v>1.349E-4</v>
      </c>
    </row>
    <row r="528" spans="1:6">
      <c r="A528" s="10">
        <v>2015</v>
      </c>
      <c r="B528" t="s">
        <v>1023</v>
      </c>
      <c r="C528" t="s">
        <v>1905</v>
      </c>
      <c r="D528" t="s">
        <v>968</v>
      </c>
      <c r="E528" s="10">
        <v>419503</v>
      </c>
      <c r="F528" s="12">
        <v>4.1819999999999997E-4</v>
      </c>
    </row>
    <row r="529" spans="1:6">
      <c r="A529" s="10">
        <v>2015</v>
      </c>
      <c r="B529" t="s">
        <v>1024</v>
      </c>
      <c r="C529" t="s">
        <v>969</v>
      </c>
      <c r="D529" t="s">
        <v>969</v>
      </c>
      <c r="E529" s="10">
        <v>43221</v>
      </c>
      <c r="F529" s="12">
        <v>4.3099999999999997E-5</v>
      </c>
    </row>
    <row r="530" spans="1:6">
      <c r="A530" s="10">
        <v>2015</v>
      </c>
      <c r="B530" t="s">
        <v>1025</v>
      </c>
      <c r="C530" t="s">
        <v>1906</v>
      </c>
      <c r="D530" t="s">
        <v>970</v>
      </c>
      <c r="E530" s="10">
        <v>121509</v>
      </c>
      <c r="F530" s="12">
        <v>1.211E-4</v>
      </c>
    </row>
    <row r="531" spans="1:6">
      <c r="A531" s="10">
        <v>2015</v>
      </c>
      <c r="B531" t="s">
        <v>1026</v>
      </c>
      <c r="C531" t="s">
        <v>1907</v>
      </c>
      <c r="D531" t="s">
        <v>971</v>
      </c>
      <c r="E531" s="10">
        <v>2253191</v>
      </c>
      <c r="F531" s="12">
        <v>2.2464E-3</v>
      </c>
    </row>
    <row r="532" spans="1:6">
      <c r="A532" s="10">
        <v>2015</v>
      </c>
      <c r="B532" t="s">
        <v>1027</v>
      </c>
      <c r="C532" t="s">
        <v>1909</v>
      </c>
      <c r="D532" t="s">
        <v>972</v>
      </c>
      <c r="E532" s="10">
        <v>20016</v>
      </c>
      <c r="F532" s="12">
        <v>2.0000000000000002E-5</v>
      </c>
    </row>
    <row r="533" spans="1:6">
      <c r="A533" s="10">
        <v>2015</v>
      </c>
      <c r="B533" t="s">
        <v>1028</v>
      </c>
      <c r="C533" t="s">
        <v>973</v>
      </c>
      <c r="D533" t="s">
        <v>973</v>
      </c>
      <c r="E533" s="10">
        <v>8199</v>
      </c>
      <c r="F533" s="12">
        <v>8.1999999999999994E-6</v>
      </c>
    </row>
    <row r="534" spans="1:6">
      <c r="A534" s="10">
        <v>2015</v>
      </c>
      <c r="B534" t="s">
        <v>1029</v>
      </c>
      <c r="C534" t="s">
        <v>2409</v>
      </c>
      <c r="D534" t="s">
        <v>974</v>
      </c>
      <c r="E534" s="10">
        <v>280661</v>
      </c>
      <c r="F534" s="12">
        <v>2.7980000000000002E-4</v>
      </c>
    </row>
    <row r="535" spans="1:6">
      <c r="A535" s="10">
        <v>2015</v>
      </c>
      <c r="B535" t="s">
        <v>1030</v>
      </c>
      <c r="C535" t="s">
        <v>1864</v>
      </c>
      <c r="D535" t="s">
        <v>975</v>
      </c>
      <c r="E535" s="10">
        <v>64754</v>
      </c>
      <c r="F535" s="12">
        <v>6.4599999999999998E-5</v>
      </c>
    </row>
    <row r="536" spans="1:6">
      <c r="A536" s="10">
        <v>2015</v>
      </c>
      <c r="B536" t="s">
        <v>1031</v>
      </c>
      <c r="C536" t="s">
        <v>1911</v>
      </c>
      <c r="D536" t="s">
        <v>976</v>
      </c>
      <c r="E536" s="10">
        <v>664511</v>
      </c>
      <c r="F536" s="12">
        <v>6.625E-4</v>
      </c>
    </row>
    <row r="537" spans="1:6">
      <c r="A537" s="10">
        <v>2015</v>
      </c>
      <c r="B537" t="s">
        <v>1032</v>
      </c>
      <c r="C537" t="s">
        <v>1912</v>
      </c>
      <c r="D537" t="s">
        <v>977</v>
      </c>
      <c r="E537" s="10">
        <v>153212</v>
      </c>
      <c r="F537" s="12">
        <v>1.527E-4</v>
      </c>
    </row>
    <row r="538" spans="1:6">
      <c r="A538" s="10">
        <v>2015</v>
      </c>
      <c r="B538" t="s">
        <v>1033</v>
      </c>
      <c r="C538" t="s">
        <v>2005</v>
      </c>
      <c r="D538" t="s">
        <v>978</v>
      </c>
      <c r="E538" s="10">
        <v>1847262</v>
      </c>
      <c r="F538" s="12">
        <v>1.8416999999999999E-3</v>
      </c>
    </row>
    <row r="539" spans="1:6">
      <c r="A539" s="10">
        <v>2015</v>
      </c>
      <c r="B539" t="s">
        <v>1034</v>
      </c>
      <c r="C539" t="s">
        <v>1850</v>
      </c>
      <c r="D539" t="s">
        <v>979</v>
      </c>
      <c r="E539" s="10">
        <v>182422</v>
      </c>
      <c r="F539" s="12">
        <v>1.819E-4</v>
      </c>
    </row>
    <row r="540" spans="1:6">
      <c r="A540" s="10">
        <v>2015</v>
      </c>
      <c r="B540" t="s">
        <v>1035</v>
      </c>
      <c r="C540" t="s">
        <v>2003</v>
      </c>
      <c r="D540" t="s">
        <v>980</v>
      </c>
      <c r="E540" s="10">
        <v>253319</v>
      </c>
      <c r="F540" s="12">
        <v>2.5260000000000001E-4</v>
      </c>
    </row>
    <row r="541" spans="1:6">
      <c r="A541" s="10">
        <v>2015</v>
      </c>
      <c r="B541" t="s">
        <v>1036</v>
      </c>
      <c r="C541" t="s">
        <v>1913</v>
      </c>
      <c r="D541" t="s">
        <v>981</v>
      </c>
      <c r="E541" s="10"/>
      <c r="F541" s="12">
        <v>0</v>
      </c>
    </row>
    <row r="542" spans="1:6">
      <c r="A542" s="10">
        <v>2015</v>
      </c>
      <c r="B542" t="s">
        <v>1037</v>
      </c>
      <c r="C542" t="s">
        <v>1915</v>
      </c>
      <c r="D542" t="s">
        <v>982</v>
      </c>
      <c r="E542" s="10">
        <v>39480</v>
      </c>
      <c r="F542" s="12">
        <v>3.9400000000000002E-5</v>
      </c>
    </row>
    <row r="543" spans="1:6">
      <c r="A543" s="10">
        <v>2015</v>
      </c>
      <c r="B543" t="s">
        <v>1038</v>
      </c>
      <c r="C543" t="s">
        <v>1916</v>
      </c>
      <c r="D543" t="s">
        <v>983</v>
      </c>
      <c r="E543" s="10">
        <v>443874</v>
      </c>
      <c r="F543" s="12">
        <v>4.4250000000000002E-4</v>
      </c>
    </row>
    <row r="544" spans="1:6">
      <c r="A544" s="10">
        <v>2015</v>
      </c>
      <c r="B544" t="s">
        <v>1039</v>
      </c>
      <c r="C544" t="s">
        <v>1917</v>
      </c>
      <c r="D544" t="s">
        <v>984</v>
      </c>
      <c r="E544" s="10">
        <v>5900647</v>
      </c>
      <c r="F544" s="12">
        <v>5.8827999999999997E-3</v>
      </c>
    </row>
    <row r="545" spans="1:6">
      <c r="A545" s="10">
        <v>2015</v>
      </c>
      <c r="B545" t="s">
        <v>1040</v>
      </c>
      <c r="C545" t="s">
        <v>985</v>
      </c>
      <c r="D545" t="s">
        <v>985</v>
      </c>
      <c r="E545" s="10">
        <v>132579</v>
      </c>
      <c r="F545" s="12">
        <v>1.3219999999999999E-4</v>
      </c>
    </row>
    <row r="546" spans="1:6">
      <c r="A546" s="10">
        <v>2015</v>
      </c>
      <c r="B546" t="s">
        <v>1041</v>
      </c>
      <c r="C546" t="s">
        <v>1919</v>
      </c>
      <c r="D546" t="s">
        <v>986</v>
      </c>
      <c r="E546" s="10">
        <v>662603</v>
      </c>
      <c r="F546" s="12">
        <v>6.6060000000000001E-4</v>
      </c>
    </row>
    <row r="547" spans="1:6">
      <c r="A547" s="10">
        <v>2015</v>
      </c>
      <c r="B547" t="s">
        <v>1042</v>
      </c>
      <c r="C547" t="s">
        <v>2296</v>
      </c>
      <c r="D547" t="s">
        <v>987</v>
      </c>
      <c r="E547" s="10">
        <v>27867</v>
      </c>
      <c r="F547" s="12">
        <v>2.7800000000000001E-5</v>
      </c>
    </row>
    <row r="548" spans="1:6">
      <c r="A548" s="10">
        <v>2015</v>
      </c>
      <c r="B548" t="s">
        <v>1043</v>
      </c>
      <c r="C548" t="s">
        <v>1921</v>
      </c>
      <c r="D548" t="s">
        <v>988</v>
      </c>
      <c r="E548" s="10">
        <v>566278</v>
      </c>
      <c r="F548" s="12">
        <v>5.6459999999999995E-4</v>
      </c>
    </row>
    <row r="549" spans="1:6">
      <c r="A549" s="10">
        <v>2015</v>
      </c>
      <c r="B549" t="s">
        <v>1044</v>
      </c>
      <c r="C549" t="s">
        <v>1922</v>
      </c>
      <c r="D549" t="s">
        <v>989</v>
      </c>
      <c r="E549" s="10">
        <v>645970</v>
      </c>
      <c r="F549" s="12">
        <v>6.4400000000000004E-4</v>
      </c>
    </row>
    <row r="550" spans="1:6">
      <c r="A550" s="10">
        <v>2015</v>
      </c>
      <c r="B550" t="s">
        <v>1100</v>
      </c>
      <c r="C550" t="s">
        <v>1923</v>
      </c>
      <c r="D550" t="s">
        <v>1045</v>
      </c>
      <c r="E550" s="10">
        <v>1446523</v>
      </c>
      <c r="F550" s="12">
        <v>1.4422E-3</v>
      </c>
    </row>
    <row r="551" spans="1:6">
      <c r="A551" s="10">
        <v>2015</v>
      </c>
      <c r="B551" t="s">
        <v>1101</v>
      </c>
      <c r="C551" t="s">
        <v>1925</v>
      </c>
      <c r="D551" t="s">
        <v>1046</v>
      </c>
      <c r="E551" s="10">
        <v>2646873</v>
      </c>
      <c r="F551" s="12">
        <v>2.6389E-3</v>
      </c>
    </row>
    <row r="552" spans="1:6">
      <c r="A552" s="10">
        <v>2015</v>
      </c>
      <c r="B552" t="s">
        <v>1102</v>
      </c>
      <c r="C552" t="s">
        <v>1927</v>
      </c>
      <c r="D552" t="s">
        <v>1047</v>
      </c>
      <c r="E552" s="10">
        <v>70689</v>
      </c>
      <c r="F552" s="12">
        <v>7.0500000000000006E-5</v>
      </c>
    </row>
    <row r="553" spans="1:6">
      <c r="A553" s="10">
        <v>2015</v>
      </c>
      <c r="B553" t="s">
        <v>1103</v>
      </c>
      <c r="C553" t="s">
        <v>1929</v>
      </c>
      <c r="D553" t="s">
        <v>1048</v>
      </c>
      <c r="E553" s="10">
        <v>112844</v>
      </c>
      <c r="F553" s="12">
        <v>1.125E-4</v>
      </c>
    </row>
    <row r="554" spans="1:6">
      <c r="A554" s="10">
        <v>2015</v>
      </c>
      <c r="B554" t="s">
        <v>1104</v>
      </c>
      <c r="C554" t="s">
        <v>1930</v>
      </c>
      <c r="D554" t="s">
        <v>1049</v>
      </c>
      <c r="E554" s="10">
        <v>1150000</v>
      </c>
      <c r="F554" s="12">
        <v>1.1464999999999999E-3</v>
      </c>
    </row>
    <row r="555" spans="1:6">
      <c r="A555" s="10">
        <v>2015</v>
      </c>
      <c r="B555" t="s">
        <v>1105</v>
      </c>
      <c r="C555" t="s">
        <v>1931</v>
      </c>
      <c r="D555" t="s">
        <v>1050</v>
      </c>
      <c r="E555" s="10">
        <v>19099</v>
      </c>
      <c r="F555" s="12">
        <v>1.9000000000000001E-5</v>
      </c>
    </row>
    <row r="556" spans="1:6">
      <c r="A556" s="10">
        <v>2015</v>
      </c>
      <c r="B556" t="s">
        <v>1106</v>
      </c>
      <c r="C556" t="s">
        <v>1933</v>
      </c>
      <c r="D556" t="s">
        <v>1051</v>
      </c>
      <c r="E556" s="10">
        <v>126992</v>
      </c>
      <c r="F556" s="12">
        <v>1.2659999999999999E-4</v>
      </c>
    </row>
    <row r="557" spans="1:6">
      <c r="A557" s="10">
        <v>2015</v>
      </c>
      <c r="B557" t="s">
        <v>1107</v>
      </c>
      <c r="C557" t="s">
        <v>1934</v>
      </c>
      <c r="D557" t="s">
        <v>1052</v>
      </c>
      <c r="E557" s="10">
        <v>667467</v>
      </c>
      <c r="F557" s="12">
        <v>6.6540000000000002E-4</v>
      </c>
    </row>
    <row r="558" spans="1:6">
      <c r="A558" s="10">
        <v>2015</v>
      </c>
      <c r="B558" t="s">
        <v>1108</v>
      </c>
      <c r="C558" t="s">
        <v>1053</v>
      </c>
      <c r="D558" t="s">
        <v>1053</v>
      </c>
      <c r="E558" s="10">
        <v>1003205</v>
      </c>
      <c r="F558" s="12">
        <v>1.0001999999999999E-3</v>
      </c>
    </row>
    <row r="559" spans="1:6">
      <c r="A559" s="10">
        <v>2015</v>
      </c>
      <c r="B559" t="s">
        <v>1109</v>
      </c>
      <c r="C559" t="s">
        <v>1936</v>
      </c>
      <c r="D559" t="s">
        <v>1054</v>
      </c>
      <c r="E559" s="10">
        <v>214046</v>
      </c>
      <c r="F559" s="12">
        <v>2.1340000000000001E-4</v>
      </c>
    </row>
    <row r="560" spans="1:6">
      <c r="A560" s="10">
        <v>2015</v>
      </c>
      <c r="B560" t="s">
        <v>1110</v>
      </c>
      <c r="C560" t="s">
        <v>2410</v>
      </c>
      <c r="D560" t="s">
        <v>1055</v>
      </c>
      <c r="E560" s="10">
        <v>1429053</v>
      </c>
      <c r="F560" s="12">
        <v>1.4247000000000001E-3</v>
      </c>
    </row>
    <row r="561" spans="1:6">
      <c r="A561" s="10">
        <v>2015</v>
      </c>
      <c r="B561" t="s">
        <v>1111</v>
      </c>
      <c r="C561" t="s">
        <v>1937</v>
      </c>
      <c r="D561" t="s">
        <v>1056</v>
      </c>
      <c r="E561" s="10">
        <v>22479</v>
      </c>
      <c r="F561" s="12">
        <v>2.2399999999999999E-5</v>
      </c>
    </row>
    <row r="562" spans="1:6">
      <c r="A562" s="10">
        <v>2015</v>
      </c>
      <c r="B562" t="s">
        <v>1112</v>
      </c>
      <c r="C562" t="s">
        <v>1938</v>
      </c>
      <c r="D562" t="s">
        <v>1057</v>
      </c>
      <c r="E562" s="10">
        <v>11718248</v>
      </c>
      <c r="F562" s="12">
        <v>1.16828E-2</v>
      </c>
    </row>
    <row r="563" spans="1:6">
      <c r="A563" s="10">
        <v>2015</v>
      </c>
      <c r="B563" t="s">
        <v>1113</v>
      </c>
      <c r="C563" t="s">
        <v>1058</v>
      </c>
      <c r="D563" t="s">
        <v>1058</v>
      </c>
      <c r="E563" s="10">
        <v>53031</v>
      </c>
      <c r="F563" s="12">
        <v>5.2899999999999998E-5</v>
      </c>
    </row>
    <row r="564" spans="1:6">
      <c r="A564" s="10">
        <v>2015</v>
      </c>
      <c r="B564" t="s">
        <v>1114</v>
      </c>
      <c r="C564" t="s">
        <v>1942</v>
      </c>
      <c r="D564" t="s">
        <v>1059</v>
      </c>
      <c r="E564" s="10">
        <v>495584</v>
      </c>
      <c r="F564" s="12">
        <v>4.9410000000000003E-4</v>
      </c>
    </row>
    <row r="565" spans="1:6">
      <c r="A565" s="10">
        <v>2015</v>
      </c>
      <c r="B565" t="s">
        <v>1115</v>
      </c>
      <c r="C565" t="s">
        <v>1941</v>
      </c>
      <c r="D565" t="s">
        <v>1060</v>
      </c>
      <c r="E565" s="10">
        <v>34969</v>
      </c>
      <c r="F565" s="12">
        <v>3.4900000000000001E-5</v>
      </c>
    </row>
    <row r="566" spans="1:6">
      <c r="A566" s="10">
        <v>2015</v>
      </c>
      <c r="B566" t="s">
        <v>1116</v>
      </c>
      <c r="C566" t="s">
        <v>2388</v>
      </c>
      <c r="D566" t="s">
        <v>1061</v>
      </c>
      <c r="E566" s="10">
        <v>110192</v>
      </c>
      <c r="F566" s="12">
        <v>1.099E-4</v>
      </c>
    </row>
    <row r="567" spans="1:6">
      <c r="A567" s="10">
        <v>2015</v>
      </c>
      <c r="B567" t="s">
        <v>1117</v>
      </c>
      <c r="C567" t="s">
        <v>1944</v>
      </c>
      <c r="D567" t="s">
        <v>1062</v>
      </c>
      <c r="E567" s="10">
        <v>154767</v>
      </c>
      <c r="F567" s="12">
        <v>1.5430000000000001E-4</v>
      </c>
    </row>
    <row r="568" spans="1:6">
      <c r="A568" s="10">
        <v>2015</v>
      </c>
      <c r="B568" t="s">
        <v>1118</v>
      </c>
      <c r="C568" t="s">
        <v>2411</v>
      </c>
      <c r="D568" t="s">
        <v>1063</v>
      </c>
      <c r="E568" s="10">
        <v>45026</v>
      </c>
      <c r="F568" s="12">
        <v>4.49E-5</v>
      </c>
    </row>
    <row r="569" spans="1:6">
      <c r="A569" s="10">
        <v>2015</v>
      </c>
      <c r="B569" t="s">
        <v>1119</v>
      </c>
      <c r="C569" t="s">
        <v>2412</v>
      </c>
      <c r="D569" t="s">
        <v>1064</v>
      </c>
      <c r="E569" s="10">
        <v>999676</v>
      </c>
      <c r="F569" s="12">
        <v>9.967000000000001E-4</v>
      </c>
    </row>
    <row r="570" spans="1:6">
      <c r="A570" s="10">
        <v>2015</v>
      </c>
      <c r="B570" t="s">
        <v>1120</v>
      </c>
      <c r="C570" t="s">
        <v>1948</v>
      </c>
      <c r="D570" t="s">
        <v>1065</v>
      </c>
      <c r="E570" s="10"/>
      <c r="F570" s="12">
        <v>0</v>
      </c>
    </row>
    <row r="571" spans="1:6">
      <c r="A571" s="10">
        <v>2015</v>
      </c>
      <c r="B571" t="s">
        <v>1121</v>
      </c>
      <c r="C571" t="s">
        <v>1949</v>
      </c>
      <c r="D571" t="s">
        <v>1066</v>
      </c>
      <c r="E571" s="10">
        <v>2731043</v>
      </c>
      <c r="F571" s="12">
        <v>2.7228E-3</v>
      </c>
    </row>
    <row r="572" spans="1:6">
      <c r="A572" s="10">
        <v>2015</v>
      </c>
      <c r="B572" t="s">
        <v>1122</v>
      </c>
      <c r="C572" t="s">
        <v>1951</v>
      </c>
      <c r="D572" t="s">
        <v>1067</v>
      </c>
      <c r="E572" s="10">
        <v>20101</v>
      </c>
      <c r="F572" s="12">
        <v>2.0000000000000002E-5</v>
      </c>
    </row>
    <row r="573" spans="1:6">
      <c r="A573" s="10">
        <v>2015</v>
      </c>
      <c r="B573" t="s">
        <v>1123</v>
      </c>
      <c r="C573" t="s">
        <v>1952</v>
      </c>
      <c r="D573" t="s">
        <v>1068</v>
      </c>
      <c r="E573" s="10">
        <v>49822</v>
      </c>
      <c r="F573" s="12">
        <v>4.9700000000000002E-5</v>
      </c>
    </row>
    <row r="574" spans="1:6">
      <c r="A574" s="10">
        <v>2015</v>
      </c>
      <c r="B574" t="s">
        <v>1124</v>
      </c>
      <c r="C574" t="s">
        <v>1953</v>
      </c>
      <c r="D574" t="s">
        <v>1069</v>
      </c>
      <c r="E574" s="10">
        <v>86636</v>
      </c>
      <c r="F574" s="12">
        <v>8.6399999999999999E-5</v>
      </c>
    </row>
    <row r="575" spans="1:6">
      <c r="A575" s="10">
        <v>2015</v>
      </c>
      <c r="B575" t="s">
        <v>1125</v>
      </c>
      <c r="C575" t="s">
        <v>1954</v>
      </c>
      <c r="D575" t="s">
        <v>1070</v>
      </c>
      <c r="E575" s="10">
        <v>937239</v>
      </c>
      <c r="F575" s="12">
        <v>9.3440000000000005E-4</v>
      </c>
    </row>
    <row r="576" spans="1:6">
      <c r="A576" s="10">
        <v>2015</v>
      </c>
      <c r="B576" t="s">
        <v>1126</v>
      </c>
      <c r="C576" t="s">
        <v>1956</v>
      </c>
      <c r="D576" t="s">
        <v>1071</v>
      </c>
      <c r="E576" s="10">
        <v>88143</v>
      </c>
      <c r="F576" s="12">
        <v>8.7899999999999995E-5</v>
      </c>
    </row>
    <row r="577" spans="1:6">
      <c r="A577" s="10">
        <v>2015</v>
      </c>
      <c r="B577" t="s">
        <v>1127</v>
      </c>
      <c r="C577" t="s">
        <v>2413</v>
      </c>
      <c r="D577" t="s">
        <v>1072</v>
      </c>
      <c r="E577" s="10">
        <v>1224954</v>
      </c>
      <c r="F577" s="12">
        <v>1.2213E-3</v>
      </c>
    </row>
    <row r="578" spans="1:6">
      <c r="A578" s="10">
        <v>2015</v>
      </c>
      <c r="B578" t="s">
        <v>1128</v>
      </c>
      <c r="C578" t="s">
        <v>1959</v>
      </c>
      <c r="D578" t="s">
        <v>1073</v>
      </c>
      <c r="E578" s="10">
        <v>109106</v>
      </c>
      <c r="F578" s="12">
        <v>1.088E-4</v>
      </c>
    </row>
    <row r="579" spans="1:6">
      <c r="A579" s="10">
        <v>2015</v>
      </c>
      <c r="B579" t="s">
        <v>1129</v>
      </c>
      <c r="C579" t="s">
        <v>1074</v>
      </c>
      <c r="D579" t="s">
        <v>1074</v>
      </c>
      <c r="E579" s="10">
        <v>5862</v>
      </c>
      <c r="F579" s="12">
        <v>5.8000000000000004E-6</v>
      </c>
    </row>
    <row r="580" spans="1:6">
      <c r="A580" s="10">
        <v>2015</v>
      </c>
      <c r="B580" t="s">
        <v>1130</v>
      </c>
      <c r="C580" t="s">
        <v>1075</v>
      </c>
      <c r="D580" t="s">
        <v>1075</v>
      </c>
      <c r="E580" s="10">
        <v>14165</v>
      </c>
      <c r="F580" s="12">
        <v>1.4100000000000001E-5</v>
      </c>
    </row>
    <row r="581" spans="1:6">
      <c r="A581" s="10">
        <v>2015</v>
      </c>
      <c r="B581" t="s">
        <v>1131</v>
      </c>
      <c r="C581" t="s">
        <v>1960</v>
      </c>
      <c r="D581" t="s">
        <v>1076</v>
      </c>
      <c r="E581" s="10">
        <v>31360</v>
      </c>
      <c r="F581" s="12">
        <v>3.1300000000000002E-5</v>
      </c>
    </row>
    <row r="582" spans="1:6">
      <c r="A582" s="10">
        <v>2015</v>
      </c>
      <c r="B582" t="s">
        <v>1132</v>
      </c>
      <c r="C582" t="s">
        <v>2389</v>
      </c>
      <c r="D582" t="s">
        <v>1077</v>
      </c>
      <c r="E582" s="10">
        <v>57752</v>
      </c>
      <c r="F582" s="12">
        <v>5.7599999999999997E-5</v>
      </c>
    </row>
    <row r="583" spans="1:6">
      <c r="A583" s="10">
        <v>2015</v>
      </c>
      <c r="B583" t="s">
        <v>1133</v>
      </c>
      <c r="C583" t="s">
        <v>1962</v>
      </c>
      <c r="D583" t="s">
        <v>1078</v>
      </c>
      <c r="E583" s="10">
        <v>76642</v>
      </c>
      <c r="F583" s="12">
        <v>7.64E-5</v>
      </c>
    </row>
    <row r="584" spans="1:6">
      <c r="A584" s="10">
        <v>2015</v>
      </c>
      <c r="B584" t="s">
        <v>1134</v>
      </c>
      <c r="C584" t="s">
        <v>1928</v>
      </c>
      <c r="D584" t="s">
        <v>1079</v>
      </c>
      <c r="E584" s="10">
        <v>407119</v>
      </c>
      <c r="F584" s="12">
        <v>4.059E-4</v>
      </c>
    </row>
    <row r="585" spans="1:6">
      <c r="A585" s="10">
        <v>2015</v>
      </c>
      <c r="B585" t="s">
        <v>1135</v>
      </c>
      <c r="C585" t="s">
        <v>1965</v>
      </c>
      <c r="D585" t="s">
        <v>1080</v>
      </c>
      <c r="E585" s="10">
        <v>230593</v>
      </c>
      <c r="F585" s="12">
        <v>2.299E-4</v>
      </c>
    </row>
    <row r="586" spans="1:6">
      <c r="A586" s="10">
        <v>2015</v>
      </c>
      <c r="B586" t="s">
        <v>1136</v>
      </c>
      <c r="C586" t="s">
        <v>1966</v>
      </c>
      <c r="D586" t="s">
        <v>1081</v>
      </c>
      <c r="E586" s="10">
        <v>471741</v>
      </c>
      <c r="F586" s="12">
        <v>4.7029999999999999E-4</v>
      </c>
    </row>
    <row r="587" spans="1:6">
      <c r="A587" s="10">
        <v>2015</v>
      </c>
      <c r="B587" t="s">
        <v>1137</v>
      </c>
      <c r="C587" t="s">
        <v>1968</v>
      </c>
      <c r="D587" t="s">
        <v>1082</v>
      </c>
      <c r="E587" s="10">
        <v>258508</v>
      </c>
      <c r="F587" s="12">
        <v>2.5769999999999998E-4</v>
      </c>
    </row>
    <row r="588" spans="1:6">
      <c r="A588" s="10">
        <v>2015</v>
      </c>
      <c r="B588" t="s">
        <v>1138</v>
      </c>
      <c r="C588" t="s">
        <v>1083</v>
      </c>
      <c r="D588" t="s">
        <v>1083</v>
      </c>
      <c r="E588" s="10">
        <v>88343</v>
      </c>
      <c r="F588" s="12">
        <v>8.81E-5</v>
      </c>
    </row>
    <row r="589" spans="1:6">
      <c r="A589" s="10">
        <v>2015</v>
      </c>
      <c r="B589" t="s">
        <v>1139</v>
      </c>
      <c r="C589" t="s">
        <v>1084</v>
      </c>
      <c r="D589" t="s">
        <v>1084</v>
      </c>
      <c r="E589" s="10">
        <v>66460</v>
      </c>
      <c r="F589" s="12">
        <v>6.6299999999999999E-5</v>
      </c>
    </row>
    <row r="590" spans="1:6">
      <c r="A590" s="10">
        <v>2015</v>
      </c>
      <c r="B590" t="s">
        <v>1140</v>
      </c>
      <c r="C590" t="s">
        <v>1525</v>
      </c>
      <c r="D590" t="s">
        <v>1085</v>
      </c>
      <c r="E590" s="10">
        <v>269624</v>
      </c>
      <c r="F590" s="12">
        <v>2.6879999999999997E-4</v>
      </c>
    </row>
    <row r="591" spans="1:6">
      <c r="A591" s="10">
        <v>2015</v>
      </c>
      <c r="B591" t="s">
        <v>1141</v>
      </c>
      <c r="C591" t="s">
        <v>1971</v>
      </c>
      <c r="D591" t="s">
        <v>1086</v>
      </c>
      <c r="E591" s="10">
        <v>11710</v>
      </c>
      <c r="F591" s="12">
        <v>1.17E-5</v>
      </c>
    </row>
    <row r="592" spans="1:6">
      <c r="A592" s="10">
        <v>2015</v>
      </c>
      <c r="B592" t="s">
        <v>1142</v>
      </c>
      <c r="C592" t="s">
        <v>1087</v>
      </c>
      <c r="D592" t="s">
        <v>1087</v>
      </c>
      <c r="E592" s="10">
        <v>46006</v>
      </c>
      <c r="F592" s="12">
        <v>4.5899999999999998E-5</v>
      </c>
    </row>
    <row r="593" spans="1:6">
      <c r="A593" s="10">
        <v>2015</v>
      </c>
      <c r="B593" t="s">
        <v>1143</v>
      </c>
      <c r="C593" t="s">
        <v>1088</v>
      </c>
      <c r="D593" t="s">
        <v>1088</v>
      </c>
      <c r="E593" s="10">
        <v>181487</v>
      </c>
      <c r="F593" s="12">
        <v>1.8090000000000001E-4</v>
      </c>
    </row>
    <row r="594" spans="1:6">
      <c r="A594" s="10">
        <v>2015</v>
      </c>
      <c r="B594" t="s">
        <v>1144</v>
      </c>
      <c r="C594" t="s">
        <v>1089</v>
      </c>
      <c r="D594" t="s">
        <v>1089</v>
      </c>
      <c r="E594" s="10">
        <v>59631</v>
      </c>
      <c r="F594" s="12">
        <v>5.94E-5</v>
      </c>
    </row>
    <row r="595" spans="1:6">
      <c r="A595" s="10">
        <v>2015</v>
      </c>
      <c r="B595" t="s">
        <v>1145</v>
      </c>
      <c r="C595" t="s">
        <v>2319</v>
      </c>
      <c r="D595" t="s">
        <v>1090</v>
      </c>
      <c r="E595" s="10"/>
      <c r="F595" s="12">
        <v>0</v>
      </c>
    </row>
    <row r="596" spans="1:6">
      <c r="A596" s="10">
        <v>2015</v>
      </c>
      <c r="B596" t="s">
        <v>1146</v>
      </c>
      <c r="C596" t="s">
        <v>1973</v>
      </c>
      <c r="D596" t="s">
        <v>1091</v>
      </c>
      <c r="E596" s="10">
        <v>7644673</v>
      </c>
      <c r="F596" s="12">
        <v>7.6216000000000001E-3</v>
      </c>
    </row>
    <row r="597" spans="1:6">
      <c r="A597" s="10">
        <v>2015</v>
      </c>
      <c r="B597" t="s">
        <v>1147</v>
      </c>
      <c r="C597" t="s">
        <v>1092</v>
      </c>
      <c r="D597" t="s">
        <v>1092</v>
      </c>
      <c r="E597" s="10">
        <v>262</v>
      </c>
      <c r="F597" s="12">
        <v>2.9999999999999999E-7</v>
      </c>
    </row>
    <row r="598" spans="1:6">
      <c r="A598" s="10">
        <v>2015</v>
      </c>
      <c r="B598" t="s">
        <v>1148</v>
      </c>
      <c r="C598" t="s">
        <v>1974</v>
      </c>
      <c r="D598" t="s">
        <v>1093</v>
      </c>
      <c r="E598" s="10">
        <v>220043</v>
      </c>
      <c r="F598" s="12">
        <v>2.1939999999999999E-4</v>
      </c>
    </row>
    <row r="599" spans="1:6">
      <c r="A599" s="10">
        <v>2015</v>
      </c>
      <c r="B599" t="s">
        <v>1149</v>
      </c>
      <c r="C599" t="s">
        <v>1094</v>
      </c>
      <c r="D599" t="s">
        <v>1094</v>
      </c>
      <c r="E599" s="10">
        <v>86446</v>
      </c>
      <c r="F599" s="12">
        <v>8.6199999999999995E-5</v>
      </c>
    </row>
    <row r="600" spans="1:6">
      <c r="A600" s="10">
        <v>2015</v>
      </c>
      <c r="B600" t="s">
        <v>1150</v>
      </c>
      <c r="C600" t="s">
        <v>1976</v>
      </c>
      <c r="D600" t="s">
        <v>1095</v>
      </c>
      <c r="E600" s="10">
        <v>169311</v>
      </c>
      <c r="F600" s="12">
        <v>1.6880000000000001E-4</v>
      </c>
    </row>
    <row r="601" spans="1:6">
      <c r="A601" s="10">
        <v>2015</v>
      </c>
      <c r="B601" t="s">
        <v>1151</v>
      </c>
      <c r="C601" t="s">
        <v>1978</v>
      </c>
      <c r="D601" t="s">
        <v>1096</v>
      </c>
      <c r="E601" s="10"/>
      <c r="F601" s="12">
        <v>0</v>
      </c>
    </row>
    <row r="602" spans="1:6">
      <c r="A602" s="10">
        <v>2015</v>
      </c>
      <c r="B602" t="s">
        <v>1152</v>
      </c>
      <c r="C602" t="s">
        <v>1979</v>
      </c>
      <c r="D602" t="s">
        <v>1097</v>
      </c>
      <c r="E602" s="10">
        <v>910449</v>
      </c>
      <c r="F602" s="12">
        <v>9.077E-4</v>
      </c>
    </row>
    <row r="603" spans="1:6">
      <c r="A603" s="10">
        <v>2015</v>
      </c>
      <c r="B603" t="s">
        <v>1153</v>
      </c>
      <c r="C603" t="s">
        <v>1981</v>
      </c>
      <c r="D603" t="s">
        <v>1098</v>
      </c>
      <c r="E603" s="10">
        <v>200999</v>
      </c>
      <c r="F603" s="12">
        <v>2.0039999999999999E-4</v>
      </c>
    </row>
    <row r="604" spans="1:6">
      <c r="A604" s="10">
        <v>2015</v>
      </c>
      <c r="B604" t="s">
        <v>1154</v>
      </c>
      <c r="C604" t="s">
        <v>1982</v>
      </c>
      <c r="D604" t="s">
        <v>1099</v>
      </c>
      <c r="E604" s="10">
        <v>6627060</v>
      </c>
      <c r="F604" s="12">
        <v>6.607E-3</v>
      </c>
    </row>
    <row r="605" spans="1:6">
      <c r="A605" s="10">
        <v>2015</v>
      </c>
      <c r="B605" t="s">
        <v>1209</v>
      </c>
      <c r="C605" t="s">
        <v>1983</v>
      </c>
      <c r="D605" t="s">
        <v>1155</v>
      </c>
      <c r="E605" s="10">
        <v>6936286</v>
      </c>
      <c r="F605" s="12">
        <v>6.9153000000000001E-3</v>
      </c>
    </row>
    <row r="606" spans="1:6">
      <c r="A606" s="10">
        <v>2015</v>
      </c>
      <c r="B606" t="s">
        <v>1210</v>
      </c>
      <c r="C606" t="s">
        <v>1985</v>
      </c>
      <c r="D606" t="s">
        <v>1156</v>
      </c>
      <c r="E606" s="10">
        <v>584678</v>
      </c>
      <c r="F606" s="12">
        <v>5.8290000000000002E-4</v>
      </c>
    </row>
    <row r="607" spans="1:6">
      <c r="A607" s="10">
        <v>2015</v>
      </c>
      <c r="B607" t="s">
        <v>1211</v>
      </c>
      <c r="C607" t="s">
        <v>1157</v>
      </c>
      <c r="D607" t="s">
        <v>1157</v>
      </c>
      <c r="E607" s="10">
        <v>1856</v>
      </c>
      <c r="F607" s="12">
        <v>1.7999999999999999E-6</v>
      </c>
    </row>
    <row r="608" spans="1:6">
      <c r="A608" s="10">
        <v>2015</v>
      </c>
      <c r="B608" t="s">
        <v>1212</v>
      </c>
      <c r="C608" t="s">
        <v>1987</v>
      </c>
      <c r="D608" t="s">
        <v>1158</v>
      </c>
      <c r="E608" s="10">
        <v>1320690</v>
      </c>
      <c r="F608" s="12">
        <v>1.3167000000000001E-3</v>
      </c>
    </row>
    <row r="609" spans="1:6">
      <c r="A609" s="10">
        <v>2015</v>
      </c>
      <c r="B609" t="s">
        <v>1213</v>
      </c>
      <c r="C609" t="s">
        <v>1988</v>
      </c>
      <c r="D609" t="s">
        <v>1159</v>
      </c>
      <c r="E609" s="10">
        <v>4501349</v>
      </c>
      <c r="F609" s="12">
        <v>4.4876999999999998E-3</v>
      </c>
    </row>
    <row r="610" spans="1:6">
      <c r="A610" s="10">
        <v>2015</v>
      </c>
      <c r="B610" t="s">
        <v>1214</v>
      </c>
      <c r="C610" t="s">
        <v>1990</v>
      </c>
      <c r="D610" t="s">
        <v>1160</v>
      </c>
      <c r="E610" s="10">
        <v>503402</v>
      </c>
      <c r="F610" s="12">
        <v>5.019E-4</v>
      </c>
    </row>
    <row r="611" spans="1:6">
      <c r="A611" s="10">
        <v>2015</v>
      </c>
      <c r="B611" t="s">
        <v>1215</v>
      </c>
      <c r="C611" t="s">
        <v>1991</v>
      </c>
      <c r="D611" t="s">
        <v>1161</v>
      </c>
      <c r="E611" s="10">
        <v>448508</v>
      </c>
      <c r="F611" s="12">
        <v>4.4719999999999997E-4</v>
      </c>
    </row>
    <row r="612" spans="1:6">
      <c r="A612" s="10">
        <v>2015</v>
      </c>
      <c r="B612" t="s">
        <v>1216</v>
      </c>
      <c r="C612" t="s">
        <v>1162</v>
      </c>
      <c r="D612" t="s">
        <v>1162</v>
      </c>
      <c r="E612" s="10"/>
      <c r="F612" s="12">
        <v>0</v>
      </c>
    </row>
    <row r="613" spans="1:6">
      <c r="A613" s="10">
        <v>2015</v>
      </c>
      <c r="B613" t="s">
        <v>1217</v>
      </c>
      <c r="C613" t="s">
        <v>1993</v>
      </c>
      <c r="D613" t="s">
        <v>1163</v>
      </c>
      <c r="E613" s="10">
        <v>67015</v>
      </c>
      <c r="F613" s="12">
        <v>6.6799999999999997E-5</v>
      </c>
    </row>
    <row r="614" spans="1:6">
      <c r="A614" s="10">
        <v>2015</v>
      </c>
      <c r="B614" t="s">
        <v>1218</v>
      </c>
      <c r="C614" t="s">
        <v>1995</v>
      </c>
      <c r="D614" t="s">
        <v>1164</v>
      </c>
      <c r="E614" s="10">
        <v>69602</v>
      </c>
      <c r="F614" s="12">
        <v>6.9400000000000006E-5</v>
      </c>
    </row>
    <row r="615" spans="1:6">
      <c r="A615" s="10">
        <v>2015</v>
      </c>
      <c r="B615" t="s">
        <v>1219</v>
      </c>
      <c r="C615" t="s">
        <v>1639</v>
      </c>
      <c r="D615" t="s">
        <v>1165</v>
      </c>
      <c r="E615" s="10">
        <v>294159</v>
      </c>
      <c r="F615" s="12">
        <v>2.9329999999999997E-4</v>
      </c>
    </row>
    <row r="616" spans="1:6">
      <c r="A616" s="10">
        <v>2015</v>
      </c>
      <c r="B616" t="s">
        <v>1220</v>
      </c>
      <c r="C616" t="s">
        <v>1641</v>
      </c>
      <c r="D616" t="s">
        <v>1166</v>
      </c>
      <c r="E616" s="10">
        <v>105163</v>
      </c>
      <c r="F616" s="12">
        <v>1.048E-4</v>
      </c>
    </row>
    <row r="617" spans="1:6">
      <c r="A617" s="10">
        <v>2015</v>
      </c>
      <c r="B617" t="s">
        <v>1221</v>
      </c>
      <c r="C617" t="s">
        <v>1649</v>
      </c>
      <c r="D617" t="s">
        <v>1167</v>
      </c>
      <c r="E617" s="10">
        <v>246283</v>
      </c>
      <c r="F617" s="12">
        <v>2.455E-4</v>
      </c>
    </row>
    <row r="618" spans="1:6">
      <c r="A618" s="10">
        <v>2015</v>
      </c>
      <c r="B618" t="s">
        <v>1222</v>
      </c>
      <c r="C618" t="s">
        <v>1660</v>
      </c>
      <c r="D618" t="s">
        <v>1168</v>
      </c>
      <c r="E618" s="10">
        <v>321808</v>
      </c>
      <c r="F618" s="12">
        <v>3.2079999999999999E-4</v>
      </c>
    </row>
    <row r="619" spans="1:6">
      <c r="A619" s="10">
        <v>2015</v>
      </c>
      <c r="B619" t="s">
        <v>1223</v>
      </c>
      <c r="C619" t="s">
        <v>1662</v>
      </c>
      <c r="D619" t="s">
        <v>1169</v>
      </c>
      <c r="E619" s="10">
        <v>146499</v>
      </c>
      <c r="F619" s="12">
        <v>1.461E-4</v>
      </c>
    </row>
    <row r="620" spans="1:6">
      <c r="A620" s="10">
        <v>2015</v>
      </c>
      <c r="B620" t="s">
        <v>1224</v>
      </c>
      <c r="C620" t="s">
        <v>1665</v>
      </c>
      <c r="D620" t="s">
        <v>1170</v>
      </c>
      <c r="E620" s="10">
        <v>77640</v>
      </c>
      <c r="F620" s="12">
        <v>7.7399999999999998E-5</v>
      </c>
    </row>
    <row r="621" spans="1:6">
      <c r="A621" s="10">
        <v>2015</v>
      </c>
      <c r="B621" t="s">
        <v>1225</v>
      </c>
      <c r="C621" t="s">
        <v>1695</v>
      </c>
      <c r="D621" t="s">
        <v>1171</v>
      </c>
      <c r="E621" s="10">
        <v>13981</v>
      </c>
      <c r="F621" s="12">
        <v>1.3900000000000001E-5</v>
      </c>
    </row>
    <row r="622" spans="1:6">
      <c r="A622" s="10">
        <v>2015</v>
      </c>
      <c r="B622" t="s">
        <v>1226</v>
      </c>
      <c r="C622" t="s">
        <v>1697</v>
      </c>
      <c r="D622" t="s">
        <v>1172</v>
      </c>
      <c r="E622" s="10">
        <v>140427</v>
      </c>
      <c r="F622" s="12">
        <v>1.3999999999999999E-4</v>
      </c>
    </row>
    <row r="623" spans="1:6">
      <c r="A623" s="10">
        <v>2015</v>
      </c>
      <c r="B623" t="s">
        <v>1227</v>
      </c>
      <c r="C623" t="s">
        <v>1718</v>
      </c>
      <c r="D623" t="s">
        <v>1173</v>
      </c>
      <c r="E623" s="10">
        <v>589871</v>
      </c>
      <c r="F623" s="12">
        <v>5.8810000000000004E-4</v>
      </c>
    </row>
    <row r="624" spans="1:6">
      <c r="A624" s="10">
        <v>2015</v>
      </c>
      <c r="B624" t="s">
        <v>1228</v>
      </c>
      <c r="C624" t="s">
        <v>1725</v>
      </c>
      <c r="D624" t="s">
        <v>1174</v>
      </c>
      <c r="E624" s="10">
        <v>37524</v>
      </c>
      <c r="F624" s="12">
        <v>3.7400000000000001E-5</v>
      </c>
    </row>
    <row r="625" spans="1:6">
      <c r="A625" s="10">
        <v>2015</v>
      </c>
      <c r="B625" t="s">
        <v>1229</v>
      </c>
      <c r="C625" t="s">
        <v>1730</v>
      </c>
      <c r="D625" t="s">
        <v>1175</v>
      </c>
      <c r="E625" s="10">
        <v>156371</v>
      </c>
      <c r="F625" s="12">
        <v>1.5589999999999999E-4</v>
      </c>
    </row>
    <row r="626" spans="1:6">
      <c r="A626" s="10">
        <v>2015</v>
      </c>
      <c r="B626" t="s">
        <v>1230</v>
      </c>
      <c r="C626" t="s">
        <v>1731</v>
      </c>
      <c r="D626" t="s">
        <v>1176</v>
      </c>
      <c r="E626" s="10">
        <v>4874367</v>
      </c>
      <c r="F626" s="12">
        <v>4.8596000000000004E-3</v>
      </c>
    </row>
    <row r="627" spans="1:6">
      <c r="A627" s="10">
        <v>2015</v>
      </c>
      <c r="B627" t="s">
        <v>1231</v>
      </c>
      <c r="C627" t="s">
        <v>1742</v>
      </c>
      <c r="D627" t="s">
        <v>1177</v>
      </c>
      <c r="E627" s="10">
        <v>69279</v>
      </c>
      <c r="F627" s="12">
        <v>6.9099999999999999E-5</v>
      </c>
    </row>
    <row r="628" spans="1:6">
      <c r="A628" s="10">
        <v>2015</v>
      </c>
      <c r="B628" t="s">
        <v>1232</v>
      </c>
      <c r="C628" t="s">
        <v>1745</v>
      </c>
      <c r="D628" t="s">
        <v>1178</v>
      </c>
      <c r="E628" s="10">
        <v>85329</v>
      </c>
      <c r="F628" s="12">
        <v>8.5099999999999995E-5</v>
      </c>
    </row>
    <row r="629" spans="1:6">
      <c r="A629" s="10">
        <v>2015</v>
      </c>
      <c r="B629" t="s">
        <v>1233</v>
      </c>
      <c r="C629" t="s">
        <v>1768</v>
      </c>
      <c r="D629" t="s">
        <v>1179</v>
      </c>
      <c r="E629" s="10">
        <v>75532</v>
      </c>
      <c r="F629" s="12">
        <v>7.5300000000000001E-5</v>
      </c>
    </row>
    <row r="630" spans="1:6">
      <c r="A630" s="10">
        <v>2015</v>
      </c>
      <c r="B630" t="s">
        <v>1234</v>
      </c>
      <c r="C630" t="s">
        <v>1793</v>
      </c>
      <c r="D630" t="s">
        <v>1180</v>
      </c>
      <c r="E630" s="10">
        <v>1369236</v>
      </c>
      <c r="F630" s="12">
        <v>1.3651E-3</v>
      </c>
    </row>
    <row r="631" spans="1:6">
      <c r="A631" s="10">
        <v>2015</v>
      </c>
      <c r="B631" t="s">
        <v>1235</v>
      </c>
      <c r="C631" t="s">
        <v>1810</v>
      </c>
      <c r="D631" t="s">
        <v>1181</v>
      </c>
      <c r="E631" s="10">
        <v>81589</v>
      </c>
      <c r="F631" s="12">
        <v>8.1299999999999997E-5</v>
      </c>
    </row>
    <row r="632" spans="1:6">
      <c r="A632" s="10">
        <v>2015</v>
      </c>
      <c r="B632" t="s">
        <v>1236</v>
      </c>
      <c r="C632" t="s">
        <v>1844</v>
      </c>
      <c r="D632" t="s">
        <v>1182</v>
      </c>
      <c r="E632" s="10">
        <v>1196155</v>
      </c>
      <c r="F632" s="12">
        <v>1.1925E-3</v>
      </c>
    </row>
    <row r="633" spans="1:6">
      <c r="A633" s="10">
        <v>2015</v>
      </c>
      <c r="B633" t="s">
        <v>1237</v>
      </c>
      <c r="C633" t="s">
        <v>1856</v>
      </c>
      <c r="D633" t="s">
        <v>1183</v>
      </c>
      <c r="E633" s="10">
        <v>405322</v>
      </c>
      <c r="F633" s="12">
        <v>4.0410000000000001E-4</v>
      </c>
    </row>
    <row r="634" spans="1:6">
      <c r="A634" s="10">
        <v>2015</v>
      </c>
      <c r="B634" t="s">
        <v>1238</v>
      </c>
      <c r="C634" t="s">
        <v>1860</v>
      </c>
      <c r="D634" t="s">
        <v>1184</v>
      </c>
      <c r="E634" s="10">
        <v>112188</v>
      </c>
      <c r="F634" s="12">
        <v>1.1179999999999999E-4</v>
      </c>
    </row>
    <row r="635" spans="1:6">
      <c r="A635" s="10">
        <v>2015</v>
      </c>
      <c r="B635" t="s">
        <v>1239</v>
      </c>
      <c r="C635" t="s">
        <v>1863</v>
      </c>
      <c r="D635" t="s">
        <v>1185</v>
      </c>
      <c r="E635" s="10">
        <v>28359</v>
      </c>
      <c r="F635" s="12">
        <v>2.83E-5</v>
      </c>
    </row>
    <row r="636" spans="1:6">
      <c r="A636" s="10">
        <v>2015</v>
      </c>
      <c r="B636" t="s">
        <v>1240</v>
      </c>
      <c r="C636" t="s">
        <v>1866</v>
      </c>
      <c r="D636" t="s">
        <v>1186</v>
      </c>
      <c r="E636" s="10">
        <v>517556</v>
      </c>
      <c r="F636" s="12">
        <v>5.1599999999999997E-4</v>
      </c>
    </row>
    <row r="637" spans="1:6">
      <c r="A637" s="10">
        <v>2015</v>
      </c>
      <c r="B637" t="s">
        <v>1241</v>
      </c>
      <c r="C637" t="s">
        <v>1886</v>
      </c>
      <c r="D637" t="s">
        <v>1187</v>
      </c>
      <c r="E637" s="10">
        <v>20665</v>
      </c>
      <c r="F637" s="12">
        <v>2.0599999999999999E-5</v>
      </c>
    </row>
    <row r="638" spans="1:6">
      <c r="A638" s="10">
        <v>2015</v>
      </c>
      <c r="B638" t="s">
        <v>1242</v>
      </c>
      <c r="C638" t="s">
        <v>1894</v>
      </c>
      <c r="D638" t="s">
        <v>1188</v>
      </c>
      <c r="E638" s="10">
        <v>162602</v>
      </c>
      <c r="F638" s="12">
        <v>1.6210000000000001E-4</v>
      </c>
    </row>
    <row r="639" spans="1:6">
      <c r="A639" s="10">
        <v>2015</v>
      </c>
      <c r="B639" t="s">
        <v>1243</v>
      </c>
      <c r="C639" t="s">
        <v>1908</v>
      </c>
      <c r="D639" t="s">
        <v>1189</v>
      </c>
      <c r="E639" s="10">
        <v>1190497</v>
      </c>
      <c r="F639" s="12">
        <v>1.1869000000000001E-3</v>
      </c>
    </row>
    <row r="640" spans="1:6">
      <c r="A640" s="10">
        <v>2015</v>
      </c>
      <c r="B640" t="s">
        <v>1244</v>
      </c>
      <c r="C640" t="s">
        <v>1926</v>
      </c>
      <c r="D640" t="s">
        <v>1190</v>
      </c>
      <c r="E640" s="10">
        <v>537731</v>
      </c>
      <c r="F640" s="12">
        <v>5.3609999999999997E-4</v>
      </c>
    </row>
    <row r="641" spans="1:6">
      <c r="A641" s="10">
        <v>2015</v>
      </c>
      <c r="B641" t="s">
        <v>1245</v>
      </c>
      <c r="C641" t="s">
        <v>1955</v>
      </c>
      <c r="D641" t="s">
        <v>1191</v>
      </c>
      <c r="E641" s="10">
        <v>151953</v>
      </c>
      <c r="F641" s="12">
        <v>1.515E-4</v>
      </c>
    </row>
    <row r="642" spans="1:6">
      <c r="A642" s="10">
        <v>2015</v>
      </c>
      <c r="B642" t="s">
        <v>1246</v>
      </c>
      <c r="C642" t="s">
        <v>1964</v>
      </c>
      <c r="D642" t="s">
        <v>1192</v>
      </c>
      <c r="E642" s="10">
        <v>101346</v>
      </c>
      <c r="F642" s="12">
        <v>1.01E-4</v>
      </c>
    </row>
    <row r="643" spans="1:6">
      <c r="A643" s="10">
        <v>2015</v>
      </c>
      <c r="B643" t="s">
        <v>1247</v>
      </c>
      <c r="C643" t="s">
        <v>1969</v>
      </c>
      <c r="D643" t="s">
        <v>1193</v>
      </c>
      <c r="E643" s="10">
        <v>23041</v>
      </c>
      <c r="F643" s="12">
        <v>2.3E-5</v>
      </c>
    </row>
    <row r="644" spans="1:6">
      <c r="A644" s="10">
        <v>2015</v>
      </c>
      <c r="B644" t="s">
        <v>1248</v>
      </c>
      <c r="C644" t="s">
        <v>1975</v>
      </c>
      <c r="D644" t="s">
        <v>1194</v>
      </c>
      <c r="E644" s="10">
        <v>42548</v>
      </c>
      <c r="F644" s="12">
        <v>4.2400000000000001E-5</v>
      </c>
    </row>
    <row r="645" spans="1:6">
      <c r="A645" s="10">
        <v>2015</v>
      </c>
      <c r="B645" t="s">
        <v>1249</v>
      </c>
      <c r="C645" t="s">
        <v>1980</v>
      </c>
      <c r="D645" t="s">
        <v>1195</v>
      </c>
      <c r="E645" s="10">
        <v>83568</v>
      </c>
      <c r="F645" s="12">
        <v>8.3300000000000005E-5</v>
      </c>
    </row>
    <row r="646" spans="1:6">
      <c r="A646" s="10">
        <v>2015</v>
      </c>
      <c r="B646" t="s">
        <v>1250</v>
      </c>
      <c r="C646" t="s">
        <v>1986</v>
      </c>
      <c r="D646" t="s">
        <v>1196</v>
      </c>
      <c r="E646" s="10">
        <v>145066</v>
      </c>
      <c r="F646" s="12">
        <v>1.4459999999999999E-4</v>
      </c>
    </row>
    <row r="647" spans="1:6">
      <c r="A647" s="10">
        <v>2015</v>
      </c>
      <c r="B647" t="s">
        <v>1251</v>
      </c>
      <c r="C647" t="s">
        <v>1998</v>
      </c>
      <c r="D647" t="s">
        <v>1197</v>
      </c>
      <c r="E647" s="10">
        <v>20958</v>
      </c>
      <c r="F647" s="12">
        <v>2.09E-5</v>
      </c>
    </row>
    <row r="648" spans="1:6">
      <c r="A648" s="10">
        <v>2015</v>
      </c>
      <c r="B648" t="s">
        <v>1252</v>
      </c>
      <c r="C648" t="s">
        <v>2013</v>
      </c>
      <c r="D648" t="s">
        <v>1198</v>
      </c>
      <c r="E648" s="10">
        <v>81048</v>
      </c>
      <c r="F648" s="12">
        <v>8.0799999999999999E-5</v>
      </c>
    </row>
    <row r="649" spans="1:6">
      <c r="A649" s="10">
        <v>2015</v>
      </c>
      <c r="B649" t="s">
        <v>1253</v>
      </c>
      <c r="C649" t="s">
        <v>2018</v>
      </c>
      <c r="D649" t="s">
        <v>1199</v>
      </c>
      <c r="E649" s="10">
        <v>216316</v>
      </c>
      <c r="F649" s="12">
        <v>2.1570000000000001E-4</v>
      </c>
    </row>
    <row r="650" spans="1:6">
      <c r="A650" s="10">
        <v>2015</v>
      </c>
      <c r="B650" t="s">
        <v>1254</v>
      </c>
      <c r="C650" t="s">
        <v>2034</v>
      </c>
      <c r="D650" t="s">
        <v>1200</v>
      </c>
      <c r="E650" s="10">
        <v>70213</v>
      </c>
      <c r="F650" s="12">
        <v>6.9999999999999994E-5</v>
      </c>
    </row>
    <row r="651" spans="1:6">
      <c r="A651" s="10">
        <v>2015</v>
      </c>
      <c r="B651" t="s">
        <v>1255</v>
      </c>
      <c r="C651" t="s">
        <v>1201</v>
      </c>
      <c r="D651" t="s">
        <v>1201</v>
      </c>
      <c r="E651" s="10">
        <v>8292</v>
      </c>
      <c r="F651" s="12">
        <v>8.3000000000000002E-6</v>
      </c>
    </row>
    <row r="652" spans="1:6">
      <c r="A652" s="10">
        <v>2015</v>
      </c>
      <c r="B652" t="s">
        <v>1256</v>
      </c>
      <c r="C652" t="s">
        <v>1202</v>
      </c>
      <c r="D652" t="s">
        <v>1202</v>
      </c>
      <c r="E652" s="10">
        <v>35883</v>
      </c>
      <c r="F652" s="12">
        <v>3.5800000000000003E-5</v>
      </c>
    </row>
    <row r="653" spans="1:6">
      <c r="A653" s="10">
        <v>2015</v>
      </c>
      <c r="B653" t="s">
        <v>1257</v>
      </c>
      <c r="C653" t="s">
        <v>1996</v>
      </c>
      <c r="D653" t="s">
        <v>1203</v>
      </c>
      <c r="E653" s="10">
        <v>1348523</v>
      </c>
      <c r="F653" s="12">
        <v>1.3443999999999999E-3</v>
      </c>
    </row>
    <row r="654" spans="1:6">
      <c r="A654" s="10">
        <v>2015</v>
      </c>
      <c r="B654" t="s">
        <v>1258</v>
      </c>
      <c r="C654" t="s">
        <v>1204</v>
      </c>
      <c r="D654" t="s">
        <v>1204</v>
      </c>
      <c r="E654" s="10">
        <v>1166090</v>
      </c>
      <c r="F654" s="12">
        <v>1.1626E-3</v>
      </c>
    </row>
    <row r="655" spans="1:6">
      <c r="A655" s="10">
        <v>2015</v>
      </c>
      <c r="B655" t="s">
        <v>1259</v>
      </c>
      <c r="C655" t="s">
        <v>1205</v>
      </c>
      <c r="D655" t="s">
        <v>1205</v>
      </c>
      <c r="E655" s="10">
        <v>278087</v>
      </c>
      <c r="F655" s="12">
        <v>2.7720000000000002E-4</v>
      </c>
    </row>
    <row r="656" spans="1:6">
      <c r="A656" s="10">
        <v>2015</v>
      </c>
      <c r="B656" t="s">
        <v>1260</v>
      </c>
      <c r="C656" t="s">
        <v>1206</v>
      </c>
      <c r="D656" t="s">
        <v>1206</v>
      </c>
      <c r="E656" s="10">
        <v>63274</v>
      </c>
      <c r="F656" s="12">
        <v>6.3100000000000002E-5</v>
      </c>
    </row>
    <row r="657" spans="1:6">
      <c r="A657" s="10">
        <v>2015</v>
      </c>
      <c r="B657" t="s">
        <v>1261</v>
      </c>
      <c r="C657" t="s">
        <v>1997</v>
      </c>
      <c r="D657" t="s">
        <v>1207</v>
      </c>
      <c r="E657" s="10">
        <v>25821534</v>
      </c>
      <c r="F657" s="12">
        <v>2.5743499999999999E-2</v>
      </c>
    </row>
    <row r="658" spans="1:6">
      <c r="A658" s="10">
        <v>2015</v>
      </c>
      <c r="B658" t="s">
        <v>1262</v>
      </c>
      <c r="C658" t="s">
        <v>1208</v>
      </c>
      <c r="D658" t="s">
        <v>1208</v>
      </c>
      <c r="E658" s="10">
        <v>17251</v>
      </c>
      <c r="F658" s="12">
        <v>1.7200000000000001E-5</v>
      </c>
    </row>
    <row r="659" spans="1:6">
      <c r="A659" s="10">
        <v>2015</v>
      </c>
      <c r="B659" t="s">
        <v>1311</v>
      </c>
      <c r="C659" t="s">
        <v>2414</v>
      </c>
      <c r="D659" t="s">
        <v>1263</v>
      </c>
      <c r="E659" s="10">
        <v>686618</v>
      </c>
      <c r="F659" s="12">
        <v>6.845E-4</v>
      </c>
    </row>
    <row r="660" spans="1:6">
      <c r="A660" s="10">
        <v>2015</v>
      </c>
      <c r="B660" t="s">
        <v>1312</v>
      </c>
      <c r="C660" t="s">
        <v>2000</v>
      </c>
      <c r="D660" t="s">
        <v>1264</v>
      </c>
      <c r="E660" s="10">
        <v>39173347</v>
      </c>
      <c r="F660" s="12">
        <v>3.9054999999999999E-2</v>
      </c>
    </row>
    <row r="661" spans="1:6">
      <c r="A661" s="10">
        <v>2015</v>
      </c>
      <c r="B661" t="s">
        <v>1313</v>
      </c>
      <c r="C661" t="s">
        <v>2001</v>
      </c>
      <c r="D661" t="s">
        <v>1265</v>
      </c>
      <c r="E661" s="10">
        <v>5784006</v>
      </c>
      <c r="F661" s="12">
        <v>5.7664999999999999E-3</v>
      </c>
    </row>
    <row r="662" spans="1:6">
      <c r="A662" s="10">
        <v>2015</v>
      </c>
      <c r="B662" t="s">
        <v>1314</v>
      </c>
      <c r="C662" t="s">
        <v>2002</v>
      </c>
      <c r="D662" t="s">
        <v>1266</v>
      </c>
      <c r="E662" s="10">
        <v>42841</v>
      </c>
      <c r="F662" s="12">
        <v>4.2700000000000001E-5</v>
      </c>
    </row>
    <row r="663" spans="1:6">
      <c r="A663" s="10">
        <v>2015</v>
      </c>
      <c r="B663" t="s">
        <v>1315</v>
      </c>
      <c r="C663" t="s">
        <v>2394</v>
      </c>
      <c r="D663" t="s">
        <v>1267</v>
      </c>
      <c r="E663" s="10">
        <v>34380</v>
      </c>
      <c r="F663" s="12">
        <v>3.43E-5</v>
      </c>
    </row>
    <row r="664" spans="1:6">
      <c r="A664" s="10">
        <v>2015</v>
      </c>
      <c r="B664" t="s">
        <v>1316</v>
      </c>
      <c r="C664" t="s">
        <v>2459</v>
      </c>
      <c r="D664" t="s">
        <v>1268</v>
      </c>
      <c r="E664" s="10">
        <v>289817</v>
      </c>
      <c r="F664" s="12">
        <v>2.8889999999999997E-4</v>
      </c>
    </row>
    <row r="665" spans="1:6">
      <c r="A665" s="10">
        <v>2015</v>
      </c>
      <c r="B665" t="s">
        <v>1317</v>
      </c>
      <c r="C665" t="s">
        <v>2007</v>
      </c>
      <c r="D665" t="s">
        <v>1269</v>
      </c>
      <c r="E665" s="10">
        <v>106781</v>
      </c>
      <c r="F665" s="12">
        <v>1.065E-4</v>
      </c>
    </row>
    <row r="666" spans="1:6">
      <c r="A666" s="10">
        <v>2015</v>
      </c>
      <c r="B666" t="s">
        <v>1318</v>
      </c>
      <c r="C666" t="s">
        <v>2008</v>
      </c>
      <c r="D666" t="s">
        <v>1270</v>
      </c>
      <c r="E666" s="10">
        <v>37813</v>
      </c>
      <c r="F666" s="12">
        <v>3.7700000000000002E-5</v>
      </c>
    </row>
    <row r="667" spans="1:6">
      <c r="A667" s="10">
        <v>2015</v>
      </c>
      <c r="B667" t="s">
        <v>1319</v>
      </c>
      <c r="C667" t="s">
        <v>1271</v>
      </c>
      <c r="D667" t="s">
        <v>1271</v>
      </c>
      <c r="E667" s="10">
        <v>34131</v>
      </c>
      <c r="F667" s="12">
        <v>3.4E-5</v>
      </c>
    </row>
    <row r="668" spans="1:6">
      <c r="A668" s="10">
        <v>2015</v>
      </c>
      <c r="B668" t="s">
        <v>1320</v>
      </c>
      <c r="C668" t="s">
        <v>2009</v>
      </c>
      <c r="D668" t="s">
        <v>1272</v>
      </c>
      <c r="E668" s="10">
        <v>92523</v>
      </c>
      <c r="F668" s="12">
        <v>9.2200000000000005E-5</v>
      </c>
    </row>
    <row r="669" spans="1:6">
      <c r="A669" s="10">
        <v>2015</v>
      </c>
      <c r="B669" t="s">
        <v>1321</v>
      </c>
      <c r="C669" t="s">
        <v>1273</v>
      </c>
      <c r="D669" t="s">
        <v>1273</v>
      </c>
      <c r="E669" s="10">
        <v>25752</v>
      </c>
      <c r="F669" s="12">
        <v>2.5700000000000001E-5</v>
      </c>
    </row>
    <row r="670" spans="1:6">
      <c r="A670" s="10">
        <v>2015</v>
      </c>
      <c r="B670" t="s">
        <v>1322</v>
      </c>
      <c r="C670" t="s">
        <v>2333</v>
      </c>
      <c r="D670" t="s">
        <v>1274</v>
      </c>
      <c r="E670" s="10"/>
      <c r="F670" s="12">
        <v>0</v>
      </c>
    </row>
    <row r="671" spans="1:6">
      <c r="A671" s="10">
        <v>2015</v>
      </c>
      <c r="B671" t="s">
        <v>1323</v>
      </c>
      <c r="C671" t="s">
        <v>2011</v>
      </c>
      <c r="D671" t="s">
        <v>1275</v>
      </c>
      <c r="E671" s="10">
        <v>11834958</v>
      </c>
      <c r="F671" s="12">
        <v>1.1799199999999999E-2</v>
      </c>
    </row>
    <row r="672" spans="1:6">
      <c r="A672" s="10">
        <v>2015</v>
      </c>
      <c r="B672" t="s">
        <v>1324</v>
      </c>
      <c r="C672" t="s">
        <v>1504</v>
      </c>
      <c r="D672" t="s">
        <v>1276</v>
      </c>
      <c r="E672" s="10">
        <v>76879</v>
      </c>
      <c r="F672" s="12">
        <v>7.6600000000000005E-5</v>
      </c>
    </row>
    <row r="673" spans="1:6">
      <c r="A673" s="10">
        <v>2015</v>
      </c>
      <c r="B673" t="s">
        <v>1325</v>
      </c>
      <c r="C673" t="s">
        <v>2395</v>
      </c>
      <c r="D673" t="s">
        <v>1277</v>
      </c>
      <c r="E673" s="10">
        <v>122787</v>
      </c>
      <c r="F673" s="12">
        <v>1.2239999999999999E-4</v>
      </c>
    </row>
    <row r="674" spans="1:6">
      <c r="A674" s="10">
        <v>2015</v>
      </c>
      <c r="B674" t="s">
        <v>1326</v>
      </c>
      <c r="C674" t="s">
        <v>2014</v>
      </c>
      <c r="D674" t="s">
        <v>1278</v>
      </c>
      <c r="E674" s="10">
        <v>94373</v>
      </c>
      <c r="F674" s="12">
        <v>9.4099999999999997E-5</v>
      </c>
    </row>
    <row r="675" spans="1:6">
      <c r="A675" s="10">
        <v>2015</v>
      </c>
      <c r="B675" t="s">
        <v>1327</v>
      </c>
      <c r="C675" t="s">
        <v>1279</v>
      </c>
      <c r="D675" t="s">
        <v>1279</v>
      </c>
      <c r="E675" s="10">
        <v>699975</v>
      </c>
      <c r="F675" s="12">
        <v>6.979E-4</v>
      </c>
    </row>
    <row r="676" spans="1:6">
      <c r="A676" s="10">
        <v>2015</v>
      </c>
      <c r="B676" t="s">
        <v>1328</v>
      </c>
      <c r="C676" t="s">
        <v>1484</v>
      </c>
      <c r="D676" t="s">
        <v>1280</v>
      </c>
      <c r="E676" s="10">
        <v>14032</v>
      </c>
      <c r="F676" s="12">
        <v>1.4E-5</v>
      </c>
    </row>
    <row r="677" spans="1:6">
      <c r="A677" s="10">
        <v>2015</v>
      </c>
      <c r="B677" t="s">
        <v>1329</v>
      </c>
      <c r="C677" t="s">
        <v>1485</v>
      </c>
      <c r="D677" t="s">
        <v>1281</v>
      </c>
      <c r="E677" s="10">
        <v>416867</v>
      </c>
      <c r="F677" s="12">
        <v>4.1560000000000002E-4</v>
      </c>
    </row>
    <row r="678" spans="1:6">
      <c r="A678" s="10">
        <v>2015</v>
      </c>
      <c r="B678" t="s">
        <v>1330</v>
      </c>
      <c r="C678" t="s">
        <v>1282</v>
      </c>
      <c r="D678" t="s">
        <v>1282</v>
      </c>
      <c r="E678" s="10"/>
      <c r="F678" s="12">
        <v>0</v>
      </c>
    </row>
    <row r="679" spans="1:6">
      <c r="A679" s="10">
        <v>2015</v>
      </c>
      <c r="B679" t="s">
        <v>1331</v>
      </c>
      <c r="C679" t="s">
        <v>1283</v>
      </c>
      <c r="D679" t="s">
        <v>1283</v>
      </c>
      <c r="E679" s="10"/>
      <c r="F679" s="12">
        <v>0</v>
      </c>
    </row>
    <row r="680" spans="1:6">
      <c r="A680" s="10">
        <v>2015</v>
      </c>
      <c r="B680" t="s">
        <v>1332</v>
      </c>
      <c r="C680" t="s">
        <v>1284</v>
      </c>
      <c r="D680" t="s">
        <v>1284</v>
      </c>
      <c r="E680" s="10">
        <v>20869</v>
      </c>
      <c r="F680" s="12">
        <v>2.0800000000000001E-5</v>
      </c>
    </row>
    <row r="681" spans="1:6">
      <c r="A681" s="10">
        <v>2015</v>
      </c>
      <c r="B681" t="s">
        <v>1333</v>
      </c>
      <c r="C681" t="s">
        <v>2015</v>
      </c>
      <c r="D681" t="s">
        <v>1285</v>
      </c>
      <c r="E681" s="10"/>
      <c r="F681" s="12">
        <v>0</v>
      </c>
    </row>
    <row r="682" spans="1:6">
      <c r="A682" s="10">
        <v>2015</v>
      </c>
      <c r="B682" t="s">
        <v>1334</v>
      </c>
      <c r="C682" t="s">
        <v>2016</v>
      </c>
      <c r="D682" t="s">
        <v>1286</v>
      </c>
      <c r="E682" s="10">
        <v>1332805</v>
      </c>
      <c r="F682" s="12">
        <v>1.3288E-3</v>
      </c>
    </row>
    <row r="683" spans="1:6">
      <c r="A683" s="10">
        <v>2015</v>
      </c>
      <c r="B683" t="s">
        <v>1335</v>
      </c>
      <c r="C683" t="s">
        <v>2017</v>
      </c>
      <c r="D683" t="s">
        <v>1287</v>
      </c>
      <c r="E683" s="10">
        <v>687656</v>
      </c>
      <c r="F683" s="12">
        <v>6.8559999999999997E-4</v>
      </c>
    </row>
    <row r="684" spans="1:6">
      <c r="A684" s="10">
        <v>2015</v>
      </c>
      <c r="B684" t="s">
        <v>1336</v>
      </c>
      <c r="C684" t="s">
        <v>2019</v>
      </c>
      <c r="D684" t="s">
        <v>1288</v>
      </c>
      <c r="E684" s="10">
        <v>569076</v>
      </c>
      <c r="F684" s="12">
        <v>5.6740000000000002E-4</v>
      </c>
    </row>
    <row r="685" spans="1:6">
      <c r="A685" s="10">
        <v>2015</v>
      </c>
      <c r="B685" t="s">
        <v>1337</v>
      </c>
      <c r="C685" t="s">
        <v>2021</v>
      </c>
      <c r="D685" t="s">
        <v>1289</v>
      </c>
      <c r="E685" s="10">
        <v>327443</v>
      </c>
      <c r="F685" s="12">
        <v>3.2650000000000002E-4</v>
      </c>
    </row>
    <row r="686" spans="1:6">
      <c r="A686" s="10">
        <v>2015</v>
      </c>
      <c r="B686" t="s">
        <v>1338</v>
      </c>
      <c r="C686" t="s">
        <v>2023</v>
      </c>
      <c r="D686" t="s">
        <v>1290</v>
      </c>
      <c r="E686" s="10">
        <v>3602</v>
      </c>
      <c r="F686" s="12">
        <v>3.5999999999999998E-6</v>
      </c>
    </row>
    <row r="687" spans="1:6">
      <c r="A687" s="10">
        <v>2015</v>
      </c>
      <c r="B687" t="s">
        <v>1339</v>
      </c>
      <c r="C687" t="s">
        <v>2025</v>
      </c>
      <c r="D687" t="s">
        <v>1291</v>
      </c>
      <c r="E687" s="10">
        <v>782046</v>
      </c>
      <c r="F687" s="12">
        <v>7.7970000000000003E-4</v>
      </c>
    </row>
    <row r="688" spans="1:6">
      <c r="A688" s="10">
        <v>2015</v>
      </c>
      <c r="B688" t="s">
        <v>1340</v>
      </c>
      <c r="C688" t="s">
        <v>2026</v>
      </c>
      <c r="D688" t="s">
        <v>1292</v>
      </c>
      <c r="E688" s="10">
        <v>1181654</v>
      </c>
      <c r="F688" s="12">
        <v>1.1781000000000001E-3</v>
      </c>
    </row>
    <row r="689" spans="1:6">
      <c r="A689" s="10">
        <v>2015</v>
      </c>
      <c r="B689" t="s">
        <v>1341</v>
      </c>
      <c r="C689" t="s">
        <v>2027</v>
      </c>
      <c r="D689" t="s">
        <v>1293</v>
      </c>
      <c r="E689" s="10">
        <v>1040192</v>
      </c>
      <c r="F689" s="12">
        <v>1.0369999999999999E-3</v>
      </c>
    </row>
    <row r="690" spans="1:6">
      <c r="A690" s="10">
        <v>2015</v>
      </c>
      <c r="B690" t="s">
        <v>1342</v>
      </c>
      <c r="C690" t="s">
        <v>1294</v>
      </c>
      <c r="D690" t="s">
        <v>1294</v>
      </c>
      <c r="E690" s="10">
        <v>5340</v>
      </c>
      <c r="F690" s="12">
        <v>5.3000000000000001E-6</v>
      </c>
    </row>
    <row r="691" spans="1:6">
      <c r="A691" s="10">
        <v>2015</v>
      </c>
      <c r="B691" t="s">
        <v>1343</v>
      </c>
      <c r="C691" t="s">
        <v>2029</v>
      </c>
      <c r="D691" t="s">
        <v>1295</v>
      </c>
      <c r="E691" s="10">
        <v>33977</v>
      </c>
      <c r="F691" s="12">
        <v>3.3899999999999997E-5</v>
      </c>
    </row>
    <row r="692" spans="1:6">
      <c r="A692" s="10">
        <v>2015</v>
      </c>
      <c r="B692" t="s">
        <v>1344</v>
      </c>
      <c r="C692" t="s">
        <v>2030</v>
      </c>
      <c r="D692" t="s">
        <v>1296</v>
      </c>
      <c r="E692" s="10">
        <v>51883</v>
      </c>
      <c r="F692" s="12">
        <v>5.1700000000000003E-5</v>
      </c>
    </row>
    <row r="693" spans="1:6">
      <c r="A693" s="10">
        <v>2015</v>
      </c>
      <c r="B693" t="s">
        <v>1345</v>
      </c>
      <c r="C693" t="s">
        <v>2031</v>
      </c>
      <c r="D693" t="s">
        <v>1297</v>
      </c>
      <c r="E693" s="10">
        <v>60773</v>
      </c>
      <c r="F693" s="12">
        <v>6.0600000000000003E-5</v>
      </c>
    </row>
    <row r="694" spans="1:6">
      <c r="A694" s="10">
        <v>2015</v>
      </c>
      <c r="B694" t="s">
        <v>1346</v>
      </c>
      <c r="C694" t="s">
        <v>1298</v>
      </c>
      <c r="D694" t="s">
        <v>1298</v>
      </c>
      <c r="E694" s="10">
        <v>1968795</v>
      </c>
      <c r="F694" s="12">
        <v>1.9627999999999998E-3</v>
      </c>
    </row>
    <row r="695" spans="1:6">
      <c r="A695" s="10">
        <v>2015</v>
      </c>
      <c r="B695" t="s">
        <v>1347</v>
      </c>
      <c r="C695" t="s">
        <v>1299</v>
      </c>
      <c r="D695" t="s">
        <v>1299</v>
      </c>
      <c r="E695" s="10">
        <v>5134831</v>
      </c>
      <c r="F695" s="12">
        <v>5.1193000000000002E-3</v>
      </c>
    </row>
    <row r="696" spans="1:6">
      <c r="A696" s="10">
        <v>2015</v>
      </c>
      <c r="B696" t="s">
        <v>1348</v>
      </c>
      <c r="C696" t="s">
        <v>2032</v>
      </c>
      <c r="D696" t="s">
        <v>1300</v>
      </c>
      <c r="E696" s="10">
        <v>80291</v>
      </c>
      <c r="F696" s="12">
        <v>8.0000000000000007E-5</v>
      </c>
    </row>
    <row r="697" spans="1:6">
      <c r="A697" s="10">
        <v>2015</v>
      </c>
      <c r="B697" t="s">
        <v>1349</v>
      </c>
      <c r="C697" t="s">
        <v>2033</v>
      </c>
      <c r="D697" t="s">
        <v>1301</v>
      </c>
      <c r="E697" s="10">
        <v>143123</v>
      </c>
      <c r="F697" s="12">
        <v>1.427E-4</v>
      </c>
    </row>
    <row r="698" spans="1:6">
      <c r="A698" s="10">
        <v>2015</v>
      </c>
      <c r="B698" t="s">
        <v>1350</v>
      </c>
      <c r="C698" t="s">
        <v>2035</v>
      </c>
      <c r="D698" t="s">
        <v>1302</v>
      </c>
      <c r="E698" s="10">
        <v>23160</v>
      </c>
      <c r="F698" s="12">
        <v>2.3099999999999999E-5</v>
      </c>
    </row>
    <row r="699" spans="1:6">
      <c r="A699" s="10">
        <v>2015</v>
      </c>
      <c r="B699" t="s">
        <v>1351</v>
      </c>
      <c r="C699" t="s">
        <v>2415</v>
      </c>
      <c r="D699" t="s">
        <v>1303</v>
      </c>
      <c r="E699" s="10">
        <v>20990</v>
      </c>
      <c r="F699" s="12">
        <v>2.09E-5</v>
      </c>
    </row>
    <row r="700" spans="1:6">
      <c r="A700" s="10">
        <v>2015</v>
      </c>
      <c r="B700" t="s">
        <v>1352</v>
      </c>
      <c r="C700" t="s">
        <v>1304</v>
      </c>
      <c r="D700" t="s">
        <v>1304</v>
      </c>
      <c r="E700" s="10">
        <v>4272421</v>
      </c>
      <c r="F700" s="12">
        <v>4.2595000000000003E-3</v>
      </c>
    </row>
    <row r="701" spans="1:6">
      <c r="A701" s="10">
        <v>2015</v>
      </c>
      <c r="B701" t="s">
        <v>1353</v>
      </c>
      <c r="C701" t="s">
        <v>1305</v>
      </c>
      <c r="D701" t="s">
        <v>1305</v>
      </c>
      <c r="E701" s="10">
        <v>115728</v>
      </c>
      <c r="F701" s="12">
        <v>1.154E-4</v>
      </c>
    </row>
    <row r="702" spans="1:6">
      <c r="A702" s="10">
        <v>2015</v>
      </c>
      <c r="B702" t="s">
        <v>1354</v>
      </c>
      <c r="C702" t="s">
        <v>2037</v>
      </c>
      <c r="D702" t="s">
        <v>1306</v>
      </c>
      <c r="E702" s="10">
        <v>4691</v>
      </c>
      <c r="F702" s="12">
        <v>4.6999999999999999E-6</v>
      </c>
    </row>
    <row r="703" spans="1:6">
      <c r="A703" s="10">
        <v>2015</v>
      </c>
      <c r="B703" t="s">
        <v>1355</v>
      </c>
      <c r="C703" t="s">
        <v>2038</v>
      </c>
      <c r="D703" t="s">
        <v>1307</v>
      </c>
      <c r="E703" s="10">
        <v>3973309</v>
      </c>
      <c r="F703" s="12">
        <v>3.9613000000000001E-3</v>
      </c>
    </row>
    <row r="704" spans="1:6">
      <c r="A704" s="10">
        <v>2015</v>
      </c>
      <c r="B704" t="s">
        <v>1356</v>
      </c>
      <c r="C704" t="s">
        <v>1755</v>
      </c>
      <c r="D704" t="s">
        <v>1308</v>
      </c>
      <c r="E704" s="10">
        <v>151612</v>
      </c>
      <c r="F704" s="12">
        <v>1.5119999999999999E-4</v>
      </c>
    </row>
    <row r="705" spans="1:6">
      <c r="A705" s="10">
        <v>2015</v>
      </c>
      <c r="B705" t="s">
        <v>1357</v>
      </c>
      <c r="C705" t="s">
        <v>2039</v>
      </c>
      <c r="D705" t="s">
        <v>1309</v>
      </c>
      <c r="E705" s="10">
        <v>141502</v>
      </c>
      <c r="F705" s="12">
        <v>1.4109999999999999E-4</v>
      </c>
    </row>
    <row r="706" spans="1:6">
      <c r="A706" s="10">
        <v>2015</v>
      </c>
      <c r="B706" t="s">
        <v>1358</v>
      </c>
      <c r="C706" t="s">
        <v>2041</v>
      </c>
      <c r="D706" t="s">
        <v>1310</v>
      </c>
      <c r="E706" s="10">
        <v>4224532</v>
      </c>
      <c r="F706" s="12">
        <v>4.2117999999999999E-3</v>
      </c>
    </row>
    <row r="707" spans="1:6">
      <c r="A707" s="10">
        <v>2016</v>
      </c>
      <c r="B707" t="s">
        <v>57</v>
      </c>
      <c r="C707" t="s">
        <v>1564</v>
      </c>
      <c r="D707" t="s">
        <v>4</v>
      </c>
      <c r="E707" s="10">
        <v>4782678</v>
      </c>
      <c r="F707" s="12">
        <v>4.7077000000000004E-3</v>
      </c>
    </row>
    <row r="708" spans="1:6">
      <c r="A708" s="10">
        <v>2016</v>
      </c>
      <c r="B708" t="s">
        <v>58</v>
      </c>
      <c r="C708" t="s">
        <v>1508</v>
      </c>
      <c r="D708" t="s">
        <v>5</v>
      </c>
      <c r="E708" s="10">
        <v>499944</v>
      </c>
      <c r="F708" s="12">
        <v>4.9209999999999998E-4</v>
      </c>
    </row>
    <row r="709" spans="1:6">
      <c r="A709" s="10">
        <v>2016</v>
      </c>
      <c r="B709" t="s">
        <v>59</v>
      </c>
      <c r="C709" t="s">
        <v>6</v>
      </c>
      <c r="D709" t="s">
        <v>6</v>
      </c>
      <c r="E709" s="10">
        <v>35801</v>
      </c>
      <c r="F709" s="12">
        <v>3.5200000000000002E-5</v>
      </c>
    </row>
    <row r="710" spans="1:6">
      <c r="A710" s="10">
        <v>2016</v>
      </c>
      <c r="B710" t="s">
        <v>60</v>
      </c>
      <c r="C710" t="s">
        <v>7</v>
      </c>
      <c r="D710" t="s">
        <v>7</v>
      </c>
      <c r="E710" s="10">
        <v>280329</v>
      </c>
      <c r="F710" s="12">
        <v>2.7589999999999998E-4</v>
      </c>
    </row>
    <row r="711" spans="1:6">
      <c r="A711" s="10">
        <v>2016</v>
      </c>
      <c r="B711" t="s">
        <v>61</v>
      </c>
      <c r="C711" t="s">
        <v>1487</v>
      </c>
      <c r="D711" t="s">
        <v>8</v>
      </c>
      <c r="E711" s="10">
        <v>66646</v>
      </c>
      <c r="F711" s="12">
        <v>6.5599999999999995E-5</v>
      </c>
    </row>
    <row r="712" spans="1:6">
      <c r="A712" s="10">
        <v>2016</v>
      </c>
      <c r="B712" t="s">
        <v>62</v>
      </c>
      <c r="C712" t="s">
        <v>9</v>
      </c>
      <c r="D712" t="s">
        <v>9</v>
      </c>
      <c r="E712" s="10">
        <v>47971</v>
      </c>
      <c r="F712" s="12">
        <v>4.7200000000000002E-5</v>
      </c>
    </row>
    <row r="713" spans="1:6">
      <c r="A713" s="10">
        <v>2016</v>
      </c>
      <c r="B713" t="s">
        <v>63</v>
      </c>
      <c r="C713" t="s">
        <v>1488</v>
      </c>
      <c r="D713" t="s">
        <v>10</v>
      </c>
      <c r="E713" s="10">
        <v>154792</v>
      </c>
      <c r="F713" s="12">
        <v>1.5239999999999999E-4</v>
      </c>
    </row>
    <row r="714" spans="1:6">
      <c r="A714" s="10">
        <v>2016</v>
      </c>
      <c r="B714" t="s">
        <v>64</v>
      </c>
      <c r="C714" t="s">
        <v>1489</v>
      </c>
      <c r="D714" t="s">
        <v>11</v>
      </c>
      <c r="E714" s="10">
        <v>3426663</v>
      </c>
      <c r="F714" s="12">
        <v>3.3730000000000001E-3</v>
      </c>
    </row>
    <row r="715" spans="1:6">
      <c r="A715" s="10">
        <v>2016</v>
      </c>
      <c r="B715" t="s">
        <v>65</v>
      </c>
      <c r="C715" t="s">
        <v>1490</v>
      </c>
      <c r="D715" t="s">
        <v>12</v>
      </c>
      <c r="E715" s="10">
        <v>101433</v>
      </c>
      <c r="F715" s="12">
        <v>9.98E-5</v>
      </c>
    </row>
    <row r="716" spans="1:6">
      <c r="A716" s="10">
        <v>2016</v>
      </c>
      <c r="B716" t="s">
        <v>66</v>
      </c>
      <c r="C716" t="s">
        <v>1491</v>
      </c>
      <c r="D716" t="s">
        <v>13</v>
      </c>
      <c r="E716" s="10">
        <v>66251</v>
      </c>
      <c r="F716" s="12">
        <v>6.5199999999999999E-5</v>
      </c>
    </row>
    <row r="717" spans="1:6">
      <c r="A717" s="10">
        <v>2016</v>
      </c>
      <c r="B717" t="s">
        <v>67</v>
      </c>
      <c r="C717" t="s">
        <v>1492</v>
      </c>
      <c r="D717" t="s">
        <v>14</v>
      </c>
      <c r="E717" s="10">
        <v>220095</v>
      </c>
      <c r="F717" s="12">
        <v>2.1660000000000001E-4</v>
      </c>
    </row>
    <row r="718" spans="1:6">
      <c r="A718" s="10">
        <v>2016</v>
      </c>
      <c r="B718" t="s">
        <v>68</v>
      </c>
      <c r="C718" t="s">
        <v>1493</v>
      </c>
      <c r="D718" t="s">
        <v>15</v>
      </c>
      <c r="E718" s="10">
        <v>17717</v>
      </c>
      <c r="F718" s="12">
        <v>1.7399999999999999E-5</v>
      </c>
    </row>
    <row r="719" spans="1:6">
      <c r="A719" s="10">
        <v>2016</v>
      </c>
      <c r="B719" t="s">
        <v>69</v>
      </c>
      <c r="C719" t="s">
        <v>1494</v>
      </c>
      <c r="D719" t="s">
        <v>16</v>
      </c>
      <c r="E719" s="10">
        <v>325064</v>
      </c>
      <c r="F719" s="12">
        <v>3.2000000000000003E-4</v>
      </c>
    </row>
    <row r="720" spans="1:6">
      <c r="A720" s="10">
        <v>2016</v>
      </c>
      <c r="B720" t="s">
        <v>70</v>
      </c>
      <c r="C720" t="s">
        <v>1495</v>
      </c>
      <c r="D720" t="s">
        <v>17</v>
      </c>
      <c r="E720" s="10">
        <v>6800523</v>
      </c>
      <c r="F720" s="12">
        <v>6.6940000000000003E-3</v>
      </c>
    </row>
    <row r="721" spans="1:6">
      <c r="A721" s="10">
        <v>2016</v>
      </c>
      <c r="B721" t="s">
        <v>71</v>
      </c>
      <c r="C721" t="s">
        <v>1496</v>
      </c>
      <c r="D721" t="s">
        <v>18</v>
      </c>
      <c r="E721" s="10">
        <v>55513</v>
      </c>
      <c r="F721" s="12">
        <v>5.4599999999999999E-5</v>
      </c>
    </row>
    <row r="722" spans="1:6">
      <c r="A722" s="10">
        <v>2016</v>
      </c>
      <c r="B722" t="s">
        <v>72</v>
      </c>
      <c r="C722" t="s">
        <v>1497</v>
      </c>
      <c r="D722" t="s">
        <v>19</v>
      </c>
      <c r="E722" s="10">
        <v>323923</v>
      </c>
      <c r="F722" s="12">
        <v>3.188E-4</v>
      </c>
    </row>
    <row r="723" spans="1:6">
      <c r="A723" s="10">
        <v>2016</v>
      </c>
      <c r="B723" t="s">
        <v>73</v>
      </c>
      <c r="C723" t="s">
        <v>2354</v>
      </c>
      <c r="D723" t="s">
        <v>20</v>
      </c>
      <c r="E723" s="10">
        <v>79745</v>
      </c>
      <c r="F723" s="12">
        <v>7.8499999999999997E-5</v>
      </c>
    </row>
    <row r="724" spans="1:6">
      <c r="A724" s="10">
        <v>2016</v>
      </c>
      <c r="B724" t="s">
        <v>74</v>
      </c>
      <c r="C724" t="s">
        <v>1498</v>
      </c>
      <c r="D724" t="s">
        <v>1364</v>
      </c>
      <c r="E724" s="10">
        <v>41599</v>
      </c>
      <c r="F724" s="12">
        <v>4.0899999999999998E-5</v>
      </c>
    </row>
    <row r="725" spans="1:6">
      <c r="A725" s="10">
        <v>2016</v>
      </c>
      <c r="B725" t="s">
        <v>75</v>
      </c>
      <c r="C725" t="s">
        <v>1365</v>
      </c>
      <c r="D725" t="s">
        <v>1365</v>
      </c>
      <c r="E725" s="10">
        <v>25799</v>
      </c>
      <c r="F725" s="12">
        <v>2.5400000000000001E-5</v>
      </c>
    </row>
    <row r="726" spans="1:6">
      <c r="A726" s="10">
        <v>2016</v>
      </c>
      <c r="B726" t="s">
        <v>76</v>
      </c>
      <c r="C726" t="s">
        <v>1499</v>
      </c>
      <c r="D726" t="s">
        <v>23</v>
      </c>
      <c r="E726" s="10">
        <v>7032454</v>
      </c>
      <c r="F726" s="12">
        <v>6.9223000000000002E-3</v>
      </c>
    </row>
    <row r="727" spans="1:6">
      <c r="A727" s="10">
        <v>2016</v>
      </c>
      <c r="B727" t="s">
        <v>77</v>
      </c>
      <c r="C727" t="s">
        <v>1500</v>
      </c>
      <c r="D727" t="s">
        <v>24</v>
      </c>
      <c r="E727" s="10">
        <v>183949</v>
      </c>
      <c r="F727" s="12">
        <v>1.8110000000000001E-4</v>
      </c>
    </row>
    <row r="728" spans="1:6">
      <c r="A728" s="10">
        <v>2016</v>
      </c>
      <c r="B728" t="s">
        <v>78</v>
      </c>
      <c r="C728" t="s">
        <v>25</v>
      </c>
      <c r="D728" t="s">
        <v>25</v>
      </c>
      <c r="E728" s="10">
        <v>1102419</v>
      </c>
      <c r="F728" s="12">
        <v>1.0851000000000001E-3</v>
      </c>
    </row>
    <row r="729" spans="1:6">
      <c r="A729" s="10">
        <v>2016</v>
      </c>
      <c r="B729" t="s">
        <v>79</v>
      </c>
      <c r="C729" t="s">
        <v>1502</v>
      </c>
      <c r="D729" t="s">
        <v>26</v>
      </c>
      <c r="E729" s="10">
        <v>11830</v>
      </c>
      <c r="F729" s="12">
        <v>1.1600000000000001E-5</v>
      </c>
    </row>
    <row r="730" spans="1:6">
      <c r="A730" s="10">
        <v>2016</v>
      </c>
      <c r="B730" t="s">
        <v>80</v>
      </c>
      <c r="C730" t="s">
        <v>1503</v>
      </c>
      <c r="D730" t="s">
        <v>27</v>
      </c>
      <c r="E730" s="10">
        <v>1806912</v>
      </c>
      <c r="F730" s="12">
        <v>1.7786E-3</v>
      </c>
    </row>
    <row r="731" spans="1:6">
      <c r="A731" s="10">
        <v>2016</v>
      </c>
      <c r="B731" t="s">
        <v>81</v>
      </c>
      <c r="C731" t="s">
        <v>1506</v>
      </c>
      <c r="D731" t="s">
        <v>28</v>
      </c>
      <c r="E731" s="10">
        <v>116322</v>
      </c>
      <c r="F731" s="12">
        <v>1.145E-4</v>
      </c>
    </row>
    <row r="732" spans="1:6">
      <c r="A732" s="10">
        <v>2016</v>
      </c>
      <c r="B732" t="s">
        <v>82</v>
      </c>
      <c r="C732" t="s">
        <v>1509</v>
      </c>
      <c r="D732" t="s">
        <v>29</v>
      </c>
      <c r="E732" s="10">
        <v>34417</v>
      </c>
      <c r="F732" s="12">
        <v>3.3899999999999997E-5</v>
      </c>
    </row>
    <row r="733" spans="1:6">
      <c r="A733" s="10">
        <v>2016</v>
      </c>
      <c r="B733" t="s">
        <v>83</v>
      </c>
      <c r="C733" t="s">
        <v>30</v>
      </c>
      <c r="D733" t="s">
        <v>30</v>
      </c>
      <c r="E733" s="10">
        <v>4944242</v>
      </c>
      <c r="F733" s="12">
        <v>4.8668000000000001E-3</v>
      </c>
    </row>
    <row r="734" spans="1:6">
      <c r="A734" s="10">
        <v>2016</v>
      </c>
      <c r="B734" t="s">
        <v>84</v>
      </c>
      <c r="C734" t="s">
        <v>31</v>
      </c>
      <c r="D734" t="s">
        <v>31</v>
      </c>
      <c r="E734" s="10">
        <v>28738</v>
      </c>
      <c r="F734" s="12">
        <v>2.83E-5</v>
      </c>
    </row>
    <row r="735" spans="1:6">
      <c r="A735" s="10">
        <v>2016</v>
      </c>
      <c r="B735" t="s">
        <v>87</v>
      </c>
      <c r="C735" t="s">
        <v>2357</v>
      </c>
      <c r="D735" t="s">
        <v>1366</v>
      </c>
      <c r="E735" s="10">
        <v>83388</v>
      </c>
      <c r="F735" s="12">
        <v>8.2100000000000003E-5</v>
      </c>
    </row>
    <row r="736" spans="1:6">
      <c r="A736" s="10">
        <v>2016</v>
      </c>
      <c r="B736" t="s">
        <v>85</v>
      </c>
      <c r="C736" t="s">
        <v>1516</v>
      </c>
      <c r="D736" t="s">
        <v>32</v>
      </c>
      <c r="E736" s="10">
        <v>24403</v>
      </c>
      <c r="F736" s="12">
        <v>2.4000000000000001E-5</v>
      </c>
    </row>
    <row r="737" spans="1:6">
      <c r="A737" s="10">
        <v>2016</v>
      </c>
      <c r="B737" t="s">
        <v>86</v>
      </c>
      <c r="C737" t="s">
        <v>1603</v>
      </c>
      <c r="D737" t="s">
        <v>33</v>
      </c>
      <c r="E737" s="10">
        <v>17645</v>
      </c>
      <c r="F737" s="12">
        <v>1.7399999999999999E-5</v>
      </c>
    </row>
    <row r="738" spans="1:6">
      <c r="A738" s="10">
        <v>2016</v>
      </c>
      <c r="B738" t="s">
        <v>88</v>
      </c>
      <c r="C738" t="s">
        <v>1589</v>
      </c>
      <c r="D738" t="s">
        <v>35</v>
      </c>
      <c r="E738" s="10">
        <v>68469</v>
      </c>
      <c r="F738" s="12">
        <v>6.7399999999999998E-5</v>
      </c>
    </row>
    <row r="739" spans="1:6">
      <c r="A739" s="10">
        <v>2016</v>
      </c>
      <c r="B739" t="s">
        <v>1371</v>
      </c>
      <c r="C739" t="s">
        <v>1507</v>
      </c>
      <c r="D739" t="s">
        <v>1367</v>
      </c>
      <c r="E739" s="10">
        <v>7895</v>
      </c>
      <c r="F739" s="12">
        <v>7.7999999999999999E-6</v>
      </c>
    </row>
    <row r="740" spans="1:6">
      <c r="A740" s="10">
        <v>2016</v>
      </c>
      <c r="B740" t="s">
        <v>89</v>
      </c>
      <c r="C740" t="s">
        <v>36</v>
      </c>
      <c r="D740" t="s">
        <v>36</v>
      </c>
      <c r="E740" s="10"/>
      <c r="F740" s="12">
        <v>0</v>
      </c>
    </row>
    <row r="741" spans="1:6">
      <c r="A741" s="10">
        <v>2016</v>
      </c>
      <c r="B741" t="s">
        <v>90</v>
      </c>
      <c r="C741" t="s">
        <v>1590</v>
      </c>
      <c r="D741" t="s">
        <v>37</v>
      </c>
      <c r="E741" s="10">
        <v>18701</v>
      </c>
      <c r="F741" s="12">
        <v>1.84E-5</v>
      </c>
    </row>
    <row r="742" spans="1:6">
      <c r="A742" s="10">
        <v>2016</v>
      </c>
      <c r="B742" t="s">
        <v>91</v>
      </c>
      <c r="C742" t="s">
        <v>1511</v>
      </c>
      <c r="D742" t="s">
        <v>1368</v>
      </c>
      <c r="E742" s="10">
        <v>13837</v>
      </c>
      <c r="F742" s="12">
        <v>1.36E-5</v>
      </c>
    </row>
    <row r="743" spans="1:6">
      <c r="A743" s="10">
        <v>2016</v>
      </c>
      <c r="B743" t="s">
        <v>92</v>
      </c>
      <c r="C743" t="s">
        <v>2419</v>
      </c>
      <c r="D743" t="s">
        <v>39</v>
      </c>
      <c r="E743" s="10">
        <v>74542</v>
      </c>
      <c r="F743" s="12">
        <v>7.3399999999999995E-5</v>
      </c>
    </row>
    <row r="744" spans="1:6">
      <c r="A744" s="10">
        <v>2016</v>
      </c>
      <c r="B744" t="s">
        <v>93</v>
      </c>
      <c r="C744" t="s">
        <v>1593</v>
      </c>
      <c r="D744" t="s">
        <v>40</v>
      </c>
      <c r="E744" s="10">
        <v>52240</v>
      </c>
      <c r="F744" s="12">
        <v>5.1400000000000003E-5</v>
      </c>
    </row>
    <row r="745" spans="1:6">
      <c r="A745" s="10">
        <v>2016</v>
      </c>
      <c r="B745" t="s">
        <v>94</v>
      </c>
      <c r="C745" t="s">
        <v>2420</v>
      </c>
      <c r="D745" t="s">
        <v>41</v>
      </c>
      <c r="E745" s="10">
        <v>7262</v>
      </c>
      <c r="F745" s="12">
        <v>7.0999999999999998E-6</v>
      </c>
    </row>
    <row r="746" spans="1:6">
      <c r="A746" s="10">
        <v>2016</v>
      </c>
      <c r="B746" t="s">
        <v>95</v>
      </c>
      <c r="C746" t="s">
        <v>1595</v>
      </c>
      <c r="D746" t="s">
        <v>1369</v>
      </c>
      <c r="E746" s="10">
        <v>50927</v>
      </c>
      <c r="F746" s="12">
        <v>5.0099999999999998E-5</v>
      </c>
    </row>
    <row r="747" spans="1:6">
      <c r="A747" s="10">
        <v>2016</v>
      </c>
      <c r="B747" t="s">
        <v>96</v>
      </c>
      <c r="C747" t="s">
        <v>1970</v>
      </c>
      <c r="D747" t="s">
        <v>43</v>
      </c>
      <c r="E747" s="10">
        <v>19019</v>
      </c>
      <c r="F747" s="12">
        <v>1.8700000000000001E-5</v>
      </c>
    </row>
    <row r="748" spans="1:6">
      <c r="A748" s="10">
        <v>2016</v>
      </c>
      <c r="B748" t="s">
        <v>97</v>
      </c>
      <c r="C748" t="s">
        <v>1512</v>
      </c>
      <c r="D748" t="s">
        <v>1370</v>
      </c>
      <c r="E748" s="10">
        <v>48498</v>
      </c>
      <c r="F748" s="12">
        <v>4.7700000000000001E-5</v>
      </c>
    </row>
    <row r="749" spans="1:6">
      <c r="A749" s="10">
        <v>2016</v>
      </c>
      <c r="B749" t="s">
        <v>98</v>
      </c>
      <c r="C749" t="s">
        <v>1513</v>
      </c>
      <c r="D749" t="s">
        <v>44</v>
      </c>
      <c r="E749" s="10">
        <v>36505</v>
      </c>
      <c r="F749" s="12">
        <v>3.5899999999999998E-5</v>
      </c>
    </row>
    <row r="750" spans="1:6">
      <c r="A750" s="10">
        <v>2016</v>
      </c>
      <c r="B750" t="s">
        <v>99</v>
      </c>
      <c r="C750" t="s">
        <v>1514</v>
      </c>
      <c r="D750" t="s">
        <v>45</v>
      </c>
      <c r="E750" s="10">
        <v>10947</v>
      </c>
      <c r="F750" s="12">
        <v>1.08E-5</v>
      </c>
    </row>
    <row r="751" spans="1:6">
      <c r="A751" s="10">
        <v>2016</v>
      </c>
      <c r="B751" t="s">
        <v>100</v>
      </c>
      <c r="C751" t="s">
        <v>1596</v>
      </c>
      <c r="D751" t="s">
        <v>46</v>
      </c>
      <c r="E751" s="10">
        <v>19005</v>
      </c>
      <c r="F751" s="12">
        <v>1.8700000000000001E-5</v>
      </c>
    </row>
    <row r="752" spans="1:6">
      <c r="A752" s="10">
        <v>2016</v>
      </c>
      <c r="B752" t="s">
        <v>101</v>
      </c>
      <c r="C752" t="s">
        <v>1599</v>
      </c>
      <c r="D752" t="s">
        <v>47</v>
      </c>
      <c r="E752" s="10">
        <v>295632</v>
      </c>
      <c r="F752" s="12">
        <v>2.9100000000000003E-4</v>
      </c>
    </row>
    <row r="753" spans="1:6">
      <c r="A753" s="10">
        <v>2016</v>
      </c>
      <c r="B753" t="s">
        <v>102</v>
      </c>
      <c r="C753" t="s">
        <v>1517</v>
      </c>
      <c r="D753" t="s">
        <v>48</v>
      </c>
      <c r="E753" s="10">
        <v>12282</v>
      </c>
      <c r="F753" s="12">
        <v>1.2099999999999999E-5</v>
      </c>
    </row>
    <row r="754" spans="1:6">
      <c r="A754" s="10">
        <v>2016</v>
      </c>
      <c r="B754" t="s">
        <v>103</v>
      </c>
      <c r="C754" t="s">
        <v>2421</v>
      </c>
      <c r="D754" t="s">
        <v>49</v>
      </c>
      <c r="E754" s="10">
        <v>9152</v>
      </c>
      <c r="F754" s="12">
        <v>9.0000000000000002E-6</v>
      </c>
    </row>
    <row r="755" spans="1:6">
      <c r="A755" s="10">
        <v>2016</v>
      </c>
      <c r="B755" t="s">
        <v>104</v>
      </c>
      <c r="C755" t="s">
        <v>1518</v>
      </c>
      <c r="D755" t="s">
        <v>50</v>
      </c>
      <c r="E755" s="10">
        <v>36874</v>
      </c>
      <c r="F755" s="12">
        <v>3.6300000000000001E-5</v>
      </c>
    </row>
    <row r="756" spans="1:6">
      <c r="A756" s="10">
        <v>2016</v>
      </c>
      <c r="B756" t="s">
        <v>105</v>
      </c>
      <c r="C756" t="s">
        <v>1601</v>
      </c>
      <c r="D756" t="s">
        <v>1372</v>
      </c>
      <c r="E756" s="10">
        <v>138448</v>
      </c>
      <c r="F756" s="12">
        <v>1.3630000000000001E-4</v>
      </c>
    </row>
    <row r="757" spans="1:6">
      <c r="A757" s="10">
        <v>2016</v>
      </c>
      <c r="B757" t="s">
        <v>166</v>
      </c>
      <c r="C757" t="s">
        <v>1602</v>
      </c>
      <c r="D757" t="s">
        <v>111</v>
      </c>
      <c r="E757" s="10">
        <v>21310</v>
      </c>
      <c r="F757" s="12">
        <v>2.0999999999999999E-5</v>
      </c>
    </row>
    <row r="758" spans="1:6">
      <c r="A758" s="10">
        <v>2016</v>
      </c>
      <c r="B758" t="s">
        <v>106</v>
      </c>
      <c r="C758" t="s">
        <v>1519</v>
      </c>
      <c r="D758" t="s">
        <v>52</v>
      </c>
      <c r="E758" s="10">
        <v>9897</v>
      </c>
      <c r="F758" s="12">
        <v>9.7000000000000003E-6</v>
      </c>
    </row>
    <row r="759" spans="1:6">
      <c r="A759" s="10">
        <v>2016</v>
      </c>
      <c r="B759" t="s">
        <v>107</v>
      </c>
      <c r="C759" t="s">
        <v>1520</v>
      </c>
      <c r="D759" t="s">
        <v>53</v>
      </c>
      <c r="E759" s="10">
        <v>23153</v>
      </c>
      <c r="F759" s="12">
        <v>2.2799999999999999E-5</v>
      </c>
    </row>
    <row r="760" spans="1:6">
      <c r="A760" s="10">
        <v>2016</v>
      </c>
      <c r="B760" t="s">
        <v>108</v>
      </c>
      <c r="C760" t="s">
        <v>1521</v>
      </c>
      <c r="D760" t="s">
        <v>54</v>
      </c>
      <c r="E760" s="10">
        <v>252833</v>
      </c>
      <c r="F760" s="12">
        <v>2.4889999999999998E-4</v>
      </c>
    </row>
    <row r="761" spans="1:6">
      <c r="A761" s="10">
        <v>2016</v>
      </c>
      <c r="B761" t="s">
        <v>109</v>
      </c>
      <c r="C761" t="s">
        <v>1522</v>
      </c>
      <c r="D761" t="s">
        <v>55</v>
      </c>
      <c r="E761" s="10">
        <v>18305</v>
      </c>
      <c r="F761" s="12">
        <v>1.8E-5</v>
      </c>
    </row>
    <row r="762" spans="1:6">
      <c r="A762" s="10">
        <v>2016</v>
      </c>
      <c r="B762" t="s">
        <v>110</v>
      </c>
      <c r="C762" t="s">
        <v>1604</v>
      </c>
      <c r="D762" t="s">
        <v>56</v>
      </c>
      <c r="E762" s="10">
        <v>96954</v>
      </c>
      <c r="F762" s="12">
        <v>9.5400000000000001E-5</v>
      </c>
    </row>
    <row r="763" spans="1:6">
      <c r="A763" s="10">
        <v>2016</v>
      </c>
      <c r="B763" t="s">
        <v>167</v>
      </c>
      <c r="C763" t="s">
        <v>2062</v>
      </c>
      <c r="D763" t="s">
        <v>1373</v>
      </c>
      <c r="E763" s="10"/>
      <c r="F763" s="12">
        <v>0</v>
      </c>
    </row>
    <row r="764" spans="1:6">
      <c r="A764" s="10">
        <v>2016</v>
      </c>
      <c r="B764" t="s">
        <v>168</v>
      </c>
      <c r="C764" t="s">
        <v>113</v>
      </c>
      <c r="D764" t="s">
        <v>113</v>
      </c>
      <c r="E764" s="10">
        <v>62107</v>
      </c>
      <c r="F764" s="12">
        <v>6.1099999999999994E-5</v>
      </c>
    </row>
    <row r="765" spans="1:6">
      <c r="A765" s="10">
        <v>2016</v>
      </c>
      <c r="B765" t="s">
        <v>169</v>
      </c>
      <c r="C765" t="s">
        <v>1527</v>
      </c>
      <c r="D765" t="s">
        <v>114</v>
      </c>
      <c r="E765" s="10">
        <v>94939</v>
      </c>
      <c r="F765" s="12">
        <v>9.3499999999999996E-5</v>
      </c>
    </row>
    <row r="766" spans="1:6">
      <c r="A766" s="10">
        <v>2016</v>
      </c>
      <c r="B766" t="s">
        <v>170</v>
      </c>
      <c r="C766" t="s">
        <v>1526</v>
      </c>
      <c r="D766" t="s">
        <v>1374</v>
      </c>
      <c r="E766" s="10">
        <v>33988</v>
      </c>
      <c r="F766" s="12">
        <v>3.3500000000000001E-5</v>
      </c>
    </row>
    <row r="767" spans="1:6">
      <c r="A767" s="10">
        <v>2016</v>
      </c>
      <c r="B767" t="s">
        <v>1381</v>
      </c>
      <c r="C767" t="s">
        <v>1528</v>
      </c>
      <c r="D767" t="s">
        <v>1375</v>
      </c>
      <c r="E767" s="10">
        <v>7120</v>
      </c>
      <c r="F767" s="12">
        <v>6.9999999999999999E-6</v>
      </c>
    </row>
    <row r="768" spans="1:6">
      <c r="A768" s="10">
        <v>2016</v>
      </c>
      <c r="B768" t="s">
        <v>171</v>
      </c>
      <c r="C768" t="s">
        <v>1529</v>
      </c>
      <c r="D768" t="s">
        <v>116</v>
      </c>
      <c r="E768" s="10">
        <v>55560</v>
      </c>
      <c r="F768" s="12">
        <v>5.4700000000000001E-5</v>
      </c>
    </row>
    <row r="769" spans="1:6">
      <c r="A769" s="10">
        <v>2016</v>
      </c>
      <c r="B769" t="s">
        <v>172</v>
      </c>
      <c r="C769" t="s">
        <v>117</v>
      </c>
      <c r="D769" t="s">
        <v>117</v>
      </c>
      <c r="E769" s="10">
        <v>1636270</v>
      </c>
      <c r="F769" s="12">
        <v>1.6106E-3</v>
      </c>
    </row>
    <row r="770" spans="1:6">
      <c r="A770" s="10">
        <v>2016</v>
      </c>
      <c r="B770" t="s">
        <v>173</v>
      </c>
      <c r="C770" t="s">
        <v>1531</v>
      </c>
      <c r="D770" t="s">
        <v>118</v>
      </c>
      <c r="E770" s="10">
        <v>91556</v>
      </c>
      <c r="F770" s="12">
        <v>9.0099999999999995E-5</v>
      </c>
    </row>
    <row r="771" spans="1:6">
      <c r="A771" s="10">
        <v>2016</v>
      </c>
      <c r="B771" t="s">
        <v>174</v>
      </c>
      <c r="C771" t="s">
        <v>119</v>
      </c>
      <c r="D771" t="s">
        <v>119</v>
      </c>
      <c r="E771" s="10">
        <v>91782</v>
      </c>
      <c r="F771" s="12">
        <v>9.0299999999999999E-5</v>
      </c>
    </row>
    <row r="772" spans="1:6">
      <c r="A772" s="10">
        <v>2016</v>
      </c>
      <c r="B772" t="s">
        <v>175</v>
      </c>
      <c r="C772" t="s">
        <v>1532</v>
      </c>
      <c r="D772" t="s">
        <v>120</v>
      </c>
      <c r="E772" s="10">
        <v>340582</v>
      </c>
      <c r="F772" s="12">
        <v>3.3520000000000002E-4</v>
      </c>
    </row>
    <row r="773" spans="1:6">
      <c r="A773" s="10">
        <v>2016</v>
      </c>
      <c r="B773" t="s">
        <v>176</v>
      </c>
      <c r="C773" t="s">
        <v>1533</v>
      </c>
      <c r="D773" t="s">
        <v>121</v>
      </c>
      <c r="E773" s="10">
        <v>195483</v>
      </c>
      <c r="F773" s="12">
        <v>1.9239999999999999E-4</v>
      </c>
    </row>
    <row r="774" spans="1:6">
      <c r="A774" s="10">
        <v>2016</v>
      </c>
      <c r="B774" t="s">
        <v>177</v>
      </c>
      <c r="C774" t="s">
        <v>122</v>
      </c>
      <c r="D774" t="s">
        <v>122</v>
      </c>
      <c r="E774" s="10">
        <v>144532</v>
      </c>
      <c r="F774" s="12">
        <v>1.4229999999999999E-4</v>
      </c>
    </row>
    <row r="775" spans="1:6">
      <c r="A775" s="10">
        <v>2016</v>
      </c>
      <c r="B775" t="s">
        <v>178</v>
      </c>
      <c r="C775" t="s">
        <v>1534</v>
      </c>
      <c r="D775" t="s">
        <v>123</v>
      </c>
      <c r="E775" s="10">
        <v>3519985</v>
      </c>
      <c r="F775" s="12">
        <v>3.4648000000000001E-3</v>
      </c>
    </row>
    <row r="776" spans="1:6">
      <c r="A776" s="10">
        <v>2016</v>
      </c>
      <c r="B776" t="s">
        <v>1382</v>
      </c>
      <c r="C776" t="s">
        <v>1536</v>
      </c>
      <c r="D776" t="s">
        <v>1376</v>
      </c>
      <c r="E776" s="10">
        <v>12156879</v>
      </c>
      <c r="F776" s="12">
        <v>1.19664E-2</v>
      </c>
    </row>
    <row r="777" spans="1:6">
      <c r="A777" s="10">
        <v>2016</v>
      </c>
      <c r="B777" t="s">
        <v>179</v>
      </c>
      <c r="C777" t="s">
        <v>1545</v>
      </c>
      <c r="D777" t="s">
        <v>124</v>
      </c>
      <c r="E777" s="10"/>
      <c r="F777" s="12">
        <v>0</v>
      </c>
    </row>
    <row r="778" spans="1:6">
      <c r="A778" s="10">
        <v>2016</v>
      </c>
      <c r="B778" t="s">
        <v>180</v>
      </c>
      <c r="C778" t="s">
        <v>1543</v>
      </c>
      <c r="D778" t="s">
        <v>125</v>
      </c>
      <c r="E778" s="10">
        <v>131485</v>
      </c>
      <c r="F778" s="12">
        <v>1.294E-4</v>
      </c>
    </row>
    <row r="779" spans="1:6">
      <c r="A779" s="10">
        <v>2016</v>
      </c>
      <c r="B779" t="s">
        <v>181</v>
      </c>
      <c r="C779" t="s">
        <v>1535</v>
      </c>
      <c r="D779" t="s">
        <v>126</v>
      </c>
      <c r="E779" s="10">
        <v>948053</v>
      </c>
      <c r="F779" s="12">
        <v>9.3320000000000002E-4</v>
      </c>
    </row>
    <row r="780" spans="1:6">
      <c r="A780" s="10">
        <v>2016</v>
      </c>
      <c r="B780" t="s">
        <v>182</v>
      </c>
      <c r="C780" t="s">
        <v>1537</v>
      </c>
      <c r="D780" t="s">
        <v>1377</v>
      </c>
      <c r="E780" s="10">
        <v>4859625</v>
      </c>
      <c r="F780" s="12">
        <v>4.7835000000000004E-3</v>
      </c>
    </row>
    <row r="781" spans="1:6">
      <c r="A781" s="10">
        <v>2016</v>
      </c>
      <c r="B781" t="s">
        <v>183</v>
      </c>
      <c r="C781" t="s">
        <v>1538</v>
      </c>
      <c r="D781" t="s">
        <v>1378</v>
      </c>
      <c r="E781" s="10">
        <v>31345873</v>
      </c>
      <c r="F781" s="12">
        <v>3.0854699999999999E-2</v>
      </c>
    </row>
    <row r="782" spans="1:6">
      <c r="A782" s="10">
        <v>2016</v>
      </c>
      <c r="B782" t="s">
        <v>184</v>
      </c>
      <c r="C782" t="s">
        <v>1539</v>
      </c>
      <c r="D782" t="s">
        <v>1379</v>
      </c>
      <c r="E782" s="10">
        <v>3401227</v>
      </c>
      <c r="F782" s="12">
        <v>3.3479E-3</v>
      </c>
    </row>
    <row r="783" spans="1:6">
      <c r="A783" s="10">
        <v>2016</v>
      </c>
      <c r="B783" t="s">
        <v>185</v>
      </c>
      <c r="C783" t="s">
        <v>1540</v>
      </c>
      <c r="D783" t="s">
        <v>1380</v>
      </c>
      <c r="E783" s="10">
        <v>1799521</v>
      </c>
      <c r="F783" s="12">
        <v>1.7713E-3</v>
      </c>
    </row>
    <row r="784" spans="1:6">
      <c r="A784" s="10">
        <v>2016</v>
      </c>
      <c r="B784" t="s">
        <v>186</v>
      </c>
      <c r="C784" t="s">
        <v>1541</v>
      </c>
      <c r="D784" t="s">
        <v>131</v>
      </c>
      <c r="E784" s="10">
        <v>2319097</v>
      </c>
      <c r="F784" s="12">
        <v>2.2828000000000002E-3</v>
      </c>
    </row>
    <row r="785" spans="1:6">
      <c r="A785" s="10">
        <v>2016</v>
      </c>
      <c r="B785" t="s">
        <v>187</v>
      </c>
      <c r="C785" t="s">
        <v>1542</v>
      </c>
      <c r="D785" t="s">
        <v>132</v>
      </c>
      <c r="E785" s="10">
        <v>291664</v>
      </c>
      <c r="F785" s="12">
        <v>2.8709999999999999E-4</v>
      </c>
    </row>
    <row r="786" spans="1:6">
      <c r="A786" s="10">
        <v>2016</v>
      </c>
      <c r="B786" t="s">
        <v>188</v>
      </c>
      <c r="C786" t="s">
        <v>1561</v>
      </c>
      <c r="D786" t="s">
        <v>133</v>
      </c>
      <c r="E786" s="10">
        <v>2674885</v>
      </c>
      <c r="F786" s="12">
        <v>2.6329999999999999E-3</v>
      </c>
    </row>
    <row r="787" spans="1:6">
      <c r="A787" s="10">
        <v>2016</v>
      </c>
      <c r="B787" t="s">
        <v>189</v>
      </c>
      <c r="C787" t="s">
        <v>1544</v>
      </c>
      <c r="D787" t="s">
        <v>134</v>
      </c>
      <c r="E787" s="10">
        <v>663325</v>
      </c>
      <c r="F787" s="12">
        <v>6.5289999999999999E-4</v>
      </c>
    </row>
    <row r="788" spans="1:6">
      <c r="A788" s="10">
        <v>2016</v>
      </c>
      <c r="B788" t="s">
        <v>190</v>
      </c>
      <c r="C788" t="s">
        <v>1546</v>
      </c>
      <c r="D788" t="s">
        <v>135</v>
      </c>
      <c r="E788" s="10">
        <v>8124303</v>
      </c>
      <c r="F788" s="12">
        <v>7.9970000000000006E-3</v>
      </c>
    </row>
    <row r="789" spans="1:6">
      <c r="A789" s="10">
        <v>2016</v>
      </c>
      <c r="B789" t="s">
        <v>191</v>
      </c>
      <c r="C789" t="s">
        <v>1547</v>
      </c>
      <c r="D789" t="s">
        <v>136</v>
      </c>
      <c r="E789" s="10">
        <v>101034</v>
      </c>
      <c r="F789" s="12">
        <v>9.9500000000000006E-5</v>
      </c>
    </row>
    <row r="790" spans="1:6">
      <c r="A790" s="10">
        <v>2016</v>
      </c>
      <c r="B790" t="s">
        <v>192</v>
      </c>
      <c r="C790" t="s">
        <v>1548</v>
      </c>
      <c r="D790" t="s">
        <v>137</v>
      </c>
      <c r="E790" s="10">
        <v>369513</v>
      </c>
      <c r="F790" s="12">
        <v>3.637E-4</v>
      </c>
    </row>
    <row r="791" spans="1:6">
      <c r="A791" s="10">
        <v>2016</v>
      </c>
      <c r="B791" t="s">
        <v>193</v>
      </c>
      <c r="C791" t="s">
        <v>1549</v>
      </c>
      <c r="D791" t="s">
        <v>138</v>
      </c>
      <c r="E791" s="10">
        <v>479425</v>
      </c>
      <c r="F791" s="12">
        <v>4.7189999999999998E-4</v>
      </c>
    </row>
    <row r="792" spans="1:6">
      <c r="A792" s="10">
        <v>2016</v>
      </c>
      <c r="B792" t="s">
        <v>194</v>
      </c>
      <c r="C792" t="s">
        <v>1550</v>
      </c>
      <c r="D792" t="s">
        <v>139</v>
      </c>
      <c r="E792" s="10">
        <v>538548</v>
      </c>
      <c r="F792" s="12">
        <v>5.3010000000000004E-4</v>
      </c>
    </row>
    <row r="793" spans="1:6">
      <c r="A793" s="10">
        <v>2016</v>
      </c>
      <c r="B793" t="s">
        <v>195</v>
      </c>
      <c r="C793" t="s">
        <v>1606</v>
      </c>
      <c r="D793" t="s">
        <v>140</v>
      </c>
      <c r="E793" s="10">
        <v>640045</v>
      </c>
      <c r="F793" s="12">
        <v>6.3000000000000003E-4</v>
      </c>
    </row>
    <row r="794" spans="1:6">
      <c r="A794" s="10">
        <v>2016</v>
      </c>
      <c r="B794" t="s">
        <v>196</v>
      </c>
      <c r="C794" t="s">
        <v>1551</v>
      </c>
      <c r="D794" t="s">
        <v>141</v>
      </c>
      <c r="E794" s="10">
        <v>109186</v>
      </c>
      <c r="F794" s="12">
        <v>1.075E-4</v>
      </c>
    </row>
    <row r="795" spans="1:6">
      <c r="A795" s="10">
        <v>2016</v>
      </c>
      <c r="B795" t="s">
        <v>197</v>
      </c>
      <c r="C795" t="s">
        <v>1552</v>
      </c>
      <c r="D795" t="s">
        <v>142</v>
      </c>
      <c r="E795" s="10">
        <v>4353115</v>
      </c>
      <c r="F795" s="12">
        <v>4.2849000000000003E-3</v>
      </c>
    </row>
    <row r="796" spans="1:6">
      <c r="A796" s="10">
        <v>2016</v>
      </c>
      <c r="B796" t="s">
        <v>198</v>
      </c>
      <c r="C796" t="s">
        <v>1553</v>
      </c>
      <c r="D796" t="s">
        <v>143</v>
      </c>
      <c r="E796" s="10">
        <v>142219</v>
      </c>
      <c r="F796" s="12">
        <v>1.3999999999999999E-4</v>
      </c>
    </row>
    <row r="797" spans="1:6">
      <c r="A797" s="10">
        <v>2016</v>
      </c>
      <c r="B797" t="s">
        <v>199</v>
      </c>
      <c r="C797" t="s">
        <v>1554</v>
      </c>
      <c r="D797" t="s">
        <v>144</v>
      </c>
      <c r="E797" s="10">
        <v>3578889</v>
      </c>
      <c r="F797" s="12">
        <v>3.5228E-3</v>
      </c>
    </row>
    <row r="798" spans="1:6">
      <c r="A798" s="10">
        <v>2016</v>
      </c>
      <c r="B798" t="s">
        <v>200</v>
      </c>
      <c r="C798" t="s">
        <v>1555</v>
      </c>
      <c r="D798" t="s">
        <v>145</v>
      </c>
      <c r="E798" s="10">
        <v>20225627</v>
      </c>
      <c r="F798" s="12">
        <v>1.9908700000000001E-2</v>
      </c>
    </row>
    <row r="799" spans="1:6">
      <c r="A799" s="10">
        <v>2016</v>
      </c>
      <c r="B799" t="s">
        <v>201</v>
      </c>
      <c r="C799" t="s">
        <v>1556</v>
      </c>
      <c r="D799" t="s">
        <v>146</v>
      </c>
      <c r="E799" s="10">
        <v>1575153</v>
      </c>
      <c r="F799" s="12">
        <v>1.5505E-3</v>
      </c>
    </row>
    <row r="800" spans="1:6">
      <c r="A800" s="10">
        <v>2016</v>
      </c>
      <c r="B800" t="s">
        <v>202</v>
      </c>
      <c r="C800" t="s">
        <v>1557</v>
      </c>
      <c r="D800" t="s">
        <v>147</v>
      </c>
      <c r="E800" s="10">
        <v>734574</v>
      </c>
      <c r="F800" s="12">
        <v>7.2309999999999996E-4</v>
      </c>
    </row>
    <row r="801" spans="1:6">
      <c r="A801" s="10">
        <v>2016</v>
      </c>
      <c r="B801" t="s">
        <v>203</v>
      </c>
      <c r="C801" t="s">
        <v>1558</v>
      </c>
      <c r="D801" t="s">
        <v>148</v>
      </c>
      <c r="E801" s="10">
        <v>128154</v>
      </c>
      <c r="F801" s="12">
        <v>1.261E-4</v>
      </c>
    </row>
    <row r="802" spans="1:6">
      <c r="A802" s="10">
        <v>2016</v>
      </c>
      <c r="B802" t="s">
        <v>204</v>
      </c>
      <c r="C802" t="s">
        <v>1559</v>
      </c>
      <c r="D802" t="s">
        <v>149</v>
      </c>
      <c r="E802" s="10">
        <v>924785</v>
      </c>
      <c r="F802" s="12">
        <v>9.1029999999999995E-4</v>
      </c>
    </row>
    <row r="803" spans="1:6">
      <c r="A803" s="10">
        <v>2016</v>
      </c>
      <c r="B803" t="s">
        <v>205</v>
      </c>
      <c r="C803" t="s">
        <v>150</v>
      </c>
      <c r="D803" t="s">
        <v>150</v>
      </c>
      <c r="E803" s="10">
        <v>209910</v>
      </c>
      <c r="F803" s="12">
        <v>2.0660000000000001E-4</v>
      </c>
    </row>
    <row r="804" spans="1:6">
      <c r="A804" s="10">
        <v>2016</v>
      </c>
      <c r="B804" t="s">
        <v>206</v>
      </c>
      <c r="C804" t="s">
        <v>1562</v>
      </c>
      <c r="D804" t="s">
        <v>151</v>
      </c>
      <c r="E804" s="10">
        <v>174625</v>
      </c>
      <c r="F804" s="12">
        <v>1.719E-4</v>
      </c>
    </row>
    <row r="805" spans="1:6">
      <c r="A805" s="10">
        <v>2016</v>
      </c>
      <c r="B805" t="s">
        <v>207</v>
      </c>
      <c r="C805" t="s">
        <v>152</v>
      </c>
      <c r="D805" t="s">
        <v>152</v>
      </c>
      <c r="E805" s="10">
        <v>685628</v>
      </c>
      <c r="F805" s="12">
        <v>6.7489999999999998E-4</v>
      </c>
    </row>
    <row r="806" spans="1:6">
      <c r="A806" s="10">
        <v>2016</v>
      </c>
      <c r="B806" t="s">
        <v>208</v>
      </c>
      <c r="C806" t="s">
        <v>153</v>
      </c>
      <c r="D806" t="s">
        <v>153</v>
      </c>
      <c r="E806" s="10">
        <v>41969</v>
      </c>
      <c r="F806" s="12">
        <v>4.1300000000000001E-5</v>
      </c>
    </row>
    <row r="807" spans="1:6">
      <c r="A807" s="10">
        <v>2016</v>
      </c>
      <c r="B807" t="s">
        <v>209</v>
      </c>
      <c r="C807" t="s">
        <v>154</v>
      </c>
      <c r="D807" t="s">
        <v>154</v>
      </c>
      <c r="E807" s="10">
        <v>174107</v>
      </c>
      <c r="F807" s="12">
        <v>1.7139999999999999E-4</v>
      </c>
    </row>
    <row r="808" spans="1:6">
      <c r="A808" s="10">
        <v>2016</v>
      </c>
      <c r="B808" t="s">
        <v>210</v>
      </c>
      <c r="C808" t="s">
        <v>1515</v>
      </c>
      <c r="D808" t="s">
        <v>155</v>
      </c>
      <c r="E808" s="10">
        <v>3450</v>
      </c>
      <c r="F808" s="12">
        <v>3.4000000000000001E-6</v>
      </c>
    </row>
    <row r="809" spans="1:6">
      <c r="A809" s="10">
        <v>2016</v>
      </c>
      <c r="B809" t="s">
        <v>211</v>
      </c>
      <c r="C809" t="s">
        <v>1565</v>
      </c>
      <c r="D809" t="s">
        <v>156</v>
      </c>
      <c r="E809" s="10">
        <v>672156</v>
      </c>
      <c r="F809" s="12">
        <v>6.6160000000000004E-4</v>
      </c>
    </row>
    <row r="810" spans="1:6">
      <c r="A810" s="10">
        <v>2016</v>
      </c>
      <c r="B810" t="s">
        <v>212</v>
      </c>
      <c r="C810" t="s">
        <v>1566</v>
      </c>
      <c r="D810" t="s">
        <v>157</v>
      </c>
      <c r="E810" s="10">
        <v>25819</v>
      </c>
      <c r="F810" s="12">
        <v>2.5400000000000001E-5</v>
      </c>
    </row>
    <row r="811" spans="1:6">
      <c r="A811" s="10">
        <v>2016</v>
      </c>
      <c r="B811" t="s">
        <v>213</v>
      </c>
      <c r="C811" t="s">
        <v>158</v>
      </c>
      <c r="D811" t="s">
        <v>158</v>
      </c>
      <c r="E811" s="10">
        <v>1098946</v>
      </c>
      <c r="F811" s="12">
        <v>1.0816999999999999E-3</v>
      </c>
    </row>
    <row r="812" spans="1:6">
      <c r="A812" s="10">
        <v>2016</v>
      </c>
      <c r="B812" t="s">
        <v>214</v>
      </c>
      <c r="C812" t="s">
        <v>159</v>
      </c>
      <c r="D812" t="s">
        <v>159</v>
      </c>
      <c r="E812" s="10">
        <v>146529</v>
      </c>
      <c r="F812" s="12">
        <v>1.4420000000000001E-4</v>
      </c>
    </row>
    <row r="813" spans="1:6">
      <c r="A813" s="10">
        <v>2016</v>
      </c>
      <c r="B813" t="s">
        <v>215</v>
      </c>
      <c r="C813" t="s">
        <v>1568</v>
      </c>
      <c r="D813" t="s">
        <v>160</v>
      </c>
      <c r="E813" s="10">
        <v>189164</v>
      </c>
      <c r="F813" s="12">
        <v>1.862E-4</v>
      </c>
    </row>
    <row r="814" spans="1:6">
      <c r="A814" s="10">
        <v>2016</v>
      </c>
      <c r="B814" t="s">
        <v>216</v>
      </c>
      <c r="C814" t="s">
        <v>2094</v>
      </c>
      <c r="D814" t="s">
        <v>1383</v>
      </c>
      <c r="E814" s="10"/>
      <c r="F814" s="12">
        <v>0</v>
      </c>
    </row>
    <row r="815" spans="1:6">
      <c r="A815" s="10">
        <v>2016</v>
      </c>
      <c r="B815" t="s">
        <v>217</v>
      </c>
      <c r="C815" t="s">
        <v>162</v>
      </c>
      <c r="D815" t="s">
        <v>162</v>
      </c>
      <c r="E815" s="10">
        <v>345666</v>
      </c>
      <c r="F815" s="12">
        <v>3.4019999999999998E-4</v>
      </c>
    </row>
    <row r="816" spans="1:6">
      <c r="A816" s="10">
        <v>2016</v>
      </c>
      <c r="B816" t="s">
        <v>218</v>
      </c>
      <c r="C816" t="s">
        <v>1607</v>
      </c>
      <c r="D816" t="s">
        <v>163</v>
      </c>
      <c r="E816" s="10">
        <v>362004</v>
      </c>
      <c r="F816" s="12">
        <v>3.5629999999999999E-4</v>
      </c>
    </row>
    <row r="817" spans="1:6">
      <c r="A817" s="10">
        <v>2016</v>
      </c>
      <c r="B817" t="s">
        <v>219</v>
      </c>
      <c r="C817" t="s">
        <v>164</v>
      </c>
      <c r="D817" t="s">
        <v>164</v>
      </c>
      <c r="E817" s="10">
        <v>268669</v>
      </c>
      <c r="F817" s="12">
        <v>2.6449999999999998E-4</v>
      </c>
    </row>
    <row r="818" spans="1:6">
      <c r="A818" s="10">
        <v>2016</v>
      </c>
      <c r="B818" t="s">
        <v>220</v>
      </c>
      <c r="C818" t="s">
        <v>1571</v>
      </c>
      <c r="D818" t="s">
        <v>165</v>
      </c>
      <c r="E818" s="10">
        <v>54943</v>
      </c>
      <c r="F818" s="12">
        <v>5.41E-5</v>
      </c>
    </row>
    <row r="819" spans="1:6">
      <c r="A819" s="10">
        <v>2016</v>
      </c>
      <c r="B819" t="s">
        <v>1387</v>
      </c>
      <c r="C819" t="s">
        <v>1572</v>
      </c>
      <c r="D819" t="s">
        <v>222</v>
      </c>
      <c r="E819" s="10">
        <v>9003</v>
      </c>
      <c r="F819" s="12">
        <v>8.8999999999999995E-6</v>
      </c>
    </row>
    <row r="820" spans="1:6">
      <c r="A820" s="10">
        <v>2016</v>
      </c>
      <c r="B820" t="s">
        <v>1388</v>
      </c>
      <c r="C820" t="s">
        <v>1573</v>
      </c>
      <c r="D820" t="s">
        <v>223</v>
      </c>
      <c r="E820" s="10">
        <v>7680</v>
      </c>
      <c r="F820" s="12">
        <v>7.6000000000000001E-6</v>
      </c>
    </row>
    <row r="821" spans="1:6">
      <c r="A821" s="10">
        <v>2016</v>
      </c>
      <c r="B821" t="s">
        <v>1389</v>
      </c>
      <c r="C821" t="s">
        <v>1574</v>
      </c>
      <c r="D821" t="s">
        <v>228</v>
      </c>
      <c r="E821" s="10">
        <v>93153</v>
      </c>
      <c r="F821" s="12">
        <v>9.1700000000000006E-5</v>
      </c>
    </row>
    <row r="822" spans="1:6">
      <c r="A822" s="10">
        <v>2016</v>
      </c>
      <c r="B822" t="s">
        <v>1390</v>
      </c>
      <c r="C822" t="s">
        <v>1578</v>
      </c>
      <c r="D822" t="s">
        <v>224</v>
      </c>
      <c r="E822" s="10">
        <v>1395448</v>
      </c>
      <c r="F822" s="12">
        <v>1.3736E-3</v>
      </c>
    </row>
    <row r="823" spans="1:6">
      <c r="A823" s="10">
        <v>2016</v>
      </c>
      <c r="B823" t="s">
        <v>1391</v>
      </c>
      <c r="C823" t="s">
        <v>1576</v>
      </c>
      <c r="D823" t="s">
        <v>225</v>
      </c>
      <c r="E823" s="10"/>
      <c r="F823" s="12">
        <v>0</v>
      </c>
    </row>
    <row r="824" spans="1:6">
      <c r="A824" s="10">
        <v>2016</v>
      </c>
      <c r="B824" t="s">
        <v>1392</v>
      </c>
      <c r="C824" t="s">
        <v>1577</v>
      </c>
      <c r="D824" t="s">
        <v>226</v>
      </c>
      <c r="E824" s="10">
        <v>76731</v>
      </c>
      <c r="F824" s="12">
        <v>7.5500000000000006E-5</v>
      </c>
    </row>
    <row r="825" spans="1:6">
      <c r="A825" s="10">
        <v>2016</v>
      </c>
      <c r="B825" t="s">
        <v>1393</v>
      </c>
      <c r="C825" t="s">
        <v>1579</v>
      </c>
      <c r="D825" t="s">
        <v>227</v>
      </c>
      <c r="E825" s="10">
        <v>138403</v>
      </c>
      <c r="F825" s="12">
        <v>1.362E-4</v>
      </c>
    </row>
    <row r="826" spans="1:6">
      <c r="A826" s="10">
        <v>2016</v>
      </c>
      <c r="B826" t="s">
        <v>1394</v>
      </c>
      <c r="C826" t="s">
        <v>1608</v>
      </c>
      <c r="D826" t="s">
        <v>229</v>
      </c>
      <c r="E826" s="10">
        <v>11889</v>
      </c>
      <c r="F826" s="12">
        <v>1.17E-5</v>
      </c>
    </row>
    <row r="827" spans="1:6">
      <c r="A827" s="10">
        <v>2016</v>
      </c>
      <c r="B827" t="s">
        <v>1395</v>
      </c>
      <c r="C827" t="s">
        <v>230</v>
      </c>
      <c r="D827" t="s">
        <v>230</v>
      </c>
      <c r="E827" s="10">
        <v>314763</v>
      </c>
      <c r="F827" s="12">
        <v>3.098E-4</v>
      </c>
    </row>
    <row r="828" spans="1:6">
      <c r="A828" s="10">
        <v>2016</v>
      </c>
      <c r="B828" t="s">
        <v>1396</v>
      </c>
      <c r="C828" t="s">
        <v>231</v>
      </c>
      <c r="D828" t="s">
        <v>231</v>
      </c>
      <c r="E828" s="10">
        <v>46649</v>
      </c>
      <c r="F828" s="12">
        <v>4.5899999999999998E-5</v>
      </c>
    </row>
    <row r="829" spans="1:6">
      <c r="A829" s="10">
        <v>2016</v>
      </c>
      <c r="B829" t="s">
        <v>1397</v>
      </c>
      <c r="C829" t="s">
        <v>2356</v>
      </c>
      <c r="D829" t="s">
        <v>232</v>
      </c>
      <c r="E829" s="10">
        <v>28770</v>
      </c>
      <c r="F829" s="12">
        <v>2.83E-5</v>
      </c>
    </row>
    <row r="830" spans="1:6">
      <c r="A830" s="10">
        <v>2016</v>
      </c>
      <c r="B830" t="s">
        <v>1398</v>
      </c>
      <c r="C830" t="s">
        <v>1580</v>
      </c>
      <c r="D830" t="s">
        <v>233</v>
      </c>
      <c r="E830" s="10">
        <v>42164</v>
      </c>
      <c r="F830" s="12">
        <v>4.1499999999999999E-5</v>
      </c>
    </row>
    <row r="831" spans="1:6">
      <c r="A831" s="10">
        <v>2016</v>
      </c>
      <c r="B831" t="s">
        <v>1399</v>
      </c>
      <c r="C831" t="s">
        <v>234</v>
      </c>
      <c r="D831" t="s">
        <v>234</v>
      </c>
      <c r="E831" s="10">
        <v>139402</v>
      </c>
      <c r="F831" s="12">
        <v>1.372E-4</v>
      </c>
    </row>
    <row r="832" spans="1:6">
      <c r="A832" s="10">
        <v>2016</v>
      </c>
      <c r="B832" t="s">
        <v>1400</v>
      </c>
      <c r="C832" t="s">
        <v>1581</v>
      </c>
      <c r="D832" t="s">
        <v>1384</v>
      </c>
      <c r="E832" s="10">
        <v>444044</v>
      </c>
      <c r="F832" s="12">
        <v>4.371E-4</v>
      </c>
    </row>
    <row r="833" spans="1:6">
      <c r="A833" s="10">
        <v>2016</v>
      </c>
      <c r="B833" t="s">
        <v>1401</v>
      </c>
      <c r="C833" t="s">
        <v>1582</v>
      </c>
      <c r="D833" t="s">
        <v>1385</v>
      </c>
      <c r="E833" s="10">
        <v>64989</v>
      </c>
      <c r="F833" s="12">
        <v>6.3999999999999997E-5</v>
      </c>
    </row>
    <row r="834" spans="1:6">
      <c r="A834" s="10">
        <v>2016</v>
      </c>
      <c r="B834" t="s">
        <v>1402</v>
      </c>
      <c r="C834" t="s">
        <v>237</v>
      </c>
      <c r="D834" t="s">
        <v>237</v>
      </c>
      <c r="E834" s="10">
        <v>83757</v>
      </c>
      <c r="F834" s="12">
        <v>8.2399999999999997E-5</v>
      </c>
    </row>
    <row r="835" spans="1:6">
      <c r="A835" s="10">
        <v>2016</v>
      </c>
      <c r="B835" t="s">
        <v>1403</v>
      </c>
      <c r="C835" t="s">
        <v>1584</v>
      </c>
      <c r="D835" t="s">
        <v>238</v>
      </c>
      <c r="E835" s="10">
        <v>348309</v>
      </c>
      <c r="F835" s="12">
        <v>3.4289999999999999E-4</v>
      </c>
    </row>
    <row r="836" spans="1:6">
      <c r="A836" s="10">
        <v>2016</v>
      </c>
      <c r="B836" t="s">
        <v>1404</v>
      </c>
      <c r="C836" t="s">
        <v>1585</v>
      </c>
      <c r="D836" t="s">
        <v>1386</v>
      </c>
      <c r="E836" s="10">
        <v>625445</v>
      </c>
      <c r="F836" s="12">
        <v>6.156E-4</v>
      </c>
    </row>
    <row r="837" spans="1:6">
      <c r="A837" s="10">
        <v>2016</v>
      </c>
      <c r="B837" t="s">
        <v>1405</v>
      </c>
      <c r="C837" t="s">
        <v>1586</v>
      </c>
      <c r="D837" t="s">
        <v>240</v>
      </c>
      <c r="E837" s="10">
        <v>51768</v>
      </c>
      <c r="F837" s="12">
        <v>5.1E-5</v>
      </c>
    </row>
    <row r="838" spans="1:6">
      <c r="A838" s="10">
        <v>2016</v>
      </c>
      <c r="B838" t="s">
        <v>1406</v>
      </c>
      <c r="C838" t="s">
        <v>1587</v>
      </c>
      <c r="D838" t="s">
        <v>241</v>
      </c>
      <c r="E838" s="10">
        <v>56209</v>
      </c>
      <c r="F838" s="12">
        <v>5.5300000000000002E-5</v>
      </c>
    </row>
    <row r="839" spans="1:6">
      <c r="A839" s="10">
        <v>2016</v>
      </c>
      <c r="B839" t="s">
        <v>1409</v>
      </c>
      <c r="C839" t="s">
        <v>1605</v>
      </c>
      <c r="D839" t="s">
        <v>242</v>
      </c>
      <c r="E839" s="10">
        <v>399474</v>
      </c>
      <c r="F839" s="12">
        <v>3.9320000000000002E-4</v>
      </c>
    </row>
    <row r="840" spans="1:6">
      <c r="A840" s="10">
        <v>2016</v>
      </c>
      <c r="B840" t="s">
        <v>1410</v>
      </c>
      <c r="C840" t="s">
        <v>243</v>
      </c>
      <c r="D840" t="s">
        <v>243</v>
      </c>
      <c r="E840" s="10">
        <v>77423</v>
      </c>
      <c r="F840" s="12">
        <v>7.6199999999999995E-5</v>
      </c>
    </row>
    <row r="841" spans="1:6">
      <c r="A841" s="10">
        <v>2016</v>
      </c>
      <c r="B841" t="s">
        <v>1411</v>
      </c>
      <c r="C841" t="s">
        <v>244</v>
      </c>
      <c r="D841" t="s">
        <v>244</v>
      </c>
      <c r="E841" s="10">
        <v>732746</v>
      </c>
      <c r="F841" s="12">
        <v>7.2130000000000002E-4</v>
      </c>
    </row>
    <row r="842" spans="1:6">
      <c r="A842" s="10">
        <v>2016</v>
      </c>
      <c r="B842" t="s">
        <v>1412</v>
      </c>
      <c r="C842" t="s">
        <v>1609</v>
      </c>
      <c r="D842" t="s">
        <v>245</v>
      </c>
      <c r="E842" s="10">
        <v>2887588</v>
      </c>
      <c r="F842" s="12">
        <v>2.8422999999999999E-3</v>
      </c>
    </row>
    <row r="843" spans="1:6">
      <c r="A843" s="10">
        <v>2016</v>
      </c>
      <c r="B843" t="s">
        <v>1413</v>
      </c>
      <c r="C843" t="s">
        <v>246</v>
      </c>
      <c r="D843" t="s">
        <v>246</v>
      </c>
      <c r="E843" s="10">
        <v>451532</v>
      </c>
      <c r="F843" s="12">
        <v>4.4450000000000002E-4</v>
      </c>
    </row>
    <row r="844" spans="1:6">
      <c r="A844" s="10">
        <v>2016</v>
      </c>
      <c r="B844" t="s">
        <v>1414</v>
      </c>
      <c r="C844" t="s">
        <v>247</v>
      </c>
      <c r="D844" t="s">
        <v>247</v>
      </c>
      <c r="E844" s="10">
        <v>153116</v>
      </c>
      <c r="F844" s="12">
        <v>1.507E-4</v>
      </c>
    </row>
    <row r="845" spans="1:6">
      <c r="A845" s="10">
        <v>2016</v>
      </c>
      <c r="B845" t="s">
        <v>1415</v>
      </c>
      <c r="C845" t="s">
        <v>248</v>
      </c>
      <c r="D845" t="s">
        <v>248</v>
      </c>
      <c r="E845" s="10">
        <v>34407717</v>
      </c>
      <c r="F845" s="12">
        <v>3.3868500000000003E-2</v>
      </c>
    </row>
    <row r="846" spans="1:6">
      <c r="A846" s="10">
        <v>2016</v>
      </c>
      <c r="B846" t="s">
        <v>1416</v>
      </c>
      <c r="C846" t="s">
        <v>249</v>
      </c>
      <c r="D846" t="s">
        <v>249</v>
      </c>
      <c r="E846" s="10">
        <v>2676023</v>
      </c>
      <c r="F846" s="12">
        <v>2.6340999999999999E-3</v>
      </c>
    </row>
    <row r="847" spans="1:6">
      <c r="A847" s="10">
        <v>2016</v>
      </c>
      <c r="B847" t="s">
        <v>1417</v>
      </c>
      <c r="C847" t="s">
        <v>1610</v>
      </c>
      <c r="D847" t="s">
        <v>250</v>
      </c>
      <c r="E847" s="10">
        <v>26244</v>
      </c>
      <c r="F847" s="12">
        <v>2.58E-5</v>
      </c>
    </row>
    <row r="848" spans="1:6">
      <c r="A848" s="10">
        <v>2016</v>
      </c>
      <c r="B848" t="s">
        <v>1418</v>
      </c>
      <c r="C848" t="s">
        <v>1611</v>
      </c>
      <c r="D848" t="s">
        <v>251</v>
      </c>
      <c r="E848" s="10">
        <v>117812</v>
      </c>
      <c r="F848" s="12">
        <v>1.16E-4</v>
      </c>
    </row>
    <row r="849" spans="1:6">
      <c r="A849" s="10">
        <v>2016</v>
      </c>
      <c r="B849" t="s">
        <v>1419</v>
      </c>
      <c r="C849" t="s">
        <v>252</v>
      </c>
      <c r="D849" t="s">
        <v>252</v>
      </c>
      <c r="E849" s="10">
        <v>2577345</v>
      </c>
      <c r="F849" s="12">
        <v>2.5370000000000002E-3</v>
      </c>
    </row>
    <row r="850" spans="1:6">
      <c r="A850" s="10">
        <v>2016</v>
      </c>
      <c r="B850" t="s">
        <v>1420</v>
      </c>
      <c r="C850" t="s">
        <v>1612</v>
      </c>
      <c r="D850" t="s">
        <v>253</v>
      </c>
      <c r="E850" s="10">
        <v>165318</v>
      </c>
      <c r="F850" s="12">
        <v>1.627E-4</v>
      </c>
    </row>
    <row r="851" spans="1:6">
      <c r="A851" s="10">
        <v>2016</v>
      </c>
      <c r="B851" t="s">
        <v>1421</v>
      </c>
      <c r="C851" t="s">
        <v>1615</v>
      </c>
      <c r="D851" t="s">
        <v>254</v>
      </c>
      <c r="E851" s="10">
        <v>26982</v>
      </c>
      <c r="F851" s="12">
        <v>2.6599999999999999E-5</v>
      </c>
    </row>
    <row r="852" spans="1:6">
      <c r="A852" s="10">
        <v>2016</v>
      </c>
      <c r="B852" t="s">
        <v>1422</v>
      </c>
      <c r="C852" t="s">
        <v>1616</v>
      </c>
      <c r="D852" t="s">
        <v>255</v>
      </c>
      <c r="E852" s="10">
        <v>152650</v>
      </c>
      <c r="F852" s="12">
        <v>1.5029999999999999E-4</v>
      </c>
    </row>
    <row r="853" spans="1:6">
      <c r="A853" s="10">
        <v>2016</v>
      </c>
      <c r="B853" t="s">
        <v>1423</v>
      </c>
      <c r="C853" t="s">
        <v>256</v>
      </c>
      <c r="D853" t="s">
        <v>256</v>
      </c>
      <c r="E853" s="10">
        <v>1030715</v>
      </c>
      <c r="F853" s="12">
        <v>1.0146000000000001E-3</v>
      </c>
    </row>
    <row r="854" spans="1:6">
      <c r="A854" s="10">
        <v>2016</v>
      </c>
      <c r="B854" t="s">
        <v>1424</v>
      </c>
      <c r="C854" t="s">
        <v>257</v>
      </c>
      <c r="D854" t="s">
        <v>257</v>
      </c>
      <c r="E854" s="10">
        <v>2640164</v>
      </c>
      <c r="F854" s="12">
        <v>2.5988000000000001E-3</v>
      </c>
    </row>
    <row r="855" spans="1:6">
      <c r="A855" s="10">
        <v>2016</v>
      </c>
      <c r="B855" t="s">
        <v>1425</v>
      </c>
      <c r="C855" t="s">
        <v>258</v>
      </c>
      <c r="D855" t="s">
        <v>258</v>
      </c>
      <c r="E855" s="10">
        <v>33935</v>
      </c>
      <c r="F855" s="12">
        <v>3.3399999999999999E-5</v>
      </c>
    </row>
    <row r="856" spans="1:6">
      <c r="A856" s="10">
        <v>2016</v>
      </c>
      <c r="B856" t="s">
        <v>1426</v>
      </c>
      <c r="C856" t="s">
        <v>1510</v>
      </c>
      <c r="D856" t="s">
        <v>259</v>
      </c>
      <c r="E856" s="10">
        <v>2491</v>
      </c>
      <c r="F856" s="12">
        <v>2.5000000000000002E-6</v>
      </c>
    </row>
    <row r="857" spans="1:6">
      <c r="A857" s="10">
        <v>2016</v>
      </c>
      <c r="B857" t="s">
        <v>1427</v>
      </c>
      <c r="C857" t="s">
        <v>1530</v>
      </c>
      <c r="D857" t="s">
        <v>260</v>
      </c>
      <c r="E857" s="10">
        <v>593637</v>
      </c>
      <c r="F857" s="12">
        <v>5.8430000000000005E-4</v>
      </c>
    </row>
    <row r="858" spans="1:6">
      <c r="A858" s="10">
        <v>2016</v>
      </c>
      <c r="B858" t="s">
        <v>1428</v>
      </c>
      <c r="C858" t="s">
        <v>2104</v>
      </c>
      <c r="D858" t="s">
        <v>1407</v>
      </c>
      <c r="E858" s="10"/>
      <c r="F858" s="12">
        <v>0</v>
      </c>
    </row>
    <row r="859" spans="1:6">
      <c r="A859" s="10">
        <v>2016</v>
      </c>
      <c r="B859" t="s">
        <v>1429</v>
      </c>
      <c r="C859" t="s">
        <v>2422</v>
      </c>
      <c r="D859" t="s">
        <v>262</v>
      </c>
      <c r="E859" s="10">
        <v>1059845</v>
      </c>
      <c r="F859" s="12">
        <v>1.0432E-3</v>
      </c>
    </row>
    <row r="860" spans="1:6">
      <c r="A860" s="10">
        <v>2016</v>
      </c>
      <c r="B860" t="s">
        <v>1430</v>
      </c>
      <c r="C860" t="s">
        <v>1619</v>
      </c>
      <c r="D860" t="s">
        <v>263</v>
      </c>
      <c r="E860" s="10">
        <v>316523</v>
      </c>
      <c r="F860" s="12">
        <v>3.1159999999999998E-4</v>
      </c>
    </row>
    <row r="861" spans="1:6">
      <c r="A861" s="10">
        <v>2016</v>
      </c>
      <c r="B861" t="s">
        <v>1431</v>
      </c>
      <c r="C861" t="s">
        <v>264</v>
      </c>
      <c r="D861" t="s">
        <v>264</v>
      </c>
      <c r="E861" s="10">
        <v>247074</v>
      </c>
      <c r="F861" s="12">
        <v>2.432E-4</v>
      </c>
    </row>
    <row r="862" spans="1:6">
      <c r="A862" s="10">
        <v>2016</v>
      </c>
      <c r="B862" t="s">
        <v>1432</v>
      </c>
      <c r="C862" t="s">
        <v>265</v>
      </c>
      <c r="D862" t="s">
        <v>265</v>
      </c>
      <c r="E862" s="10">
        <v>249840</v>
      </c>
      <c r="F862" s="12">
        <v>2.4590000000000001E-4</v>
      </c>
    </row>
    <row r="863" spans="1:6">
      <c r="A863" s="10">
        <v>2016</v>
      </c>
      <c r="B863" t="s">
        <v>1433</v>
      </c>
      <c r="C863" t="s">
        <v>266</v>
      </c>
      <c r="D863" t="s">
        <v>266</v>
      </c>
      <c r="E863" s="10">
        <v>152385</v>
      </c>
      <c r="F863" s="12">
        <v>1.4999999999999999E-4</v>
      </c>
    </row>
    <row r="864" spans="1:6">
      <c r="A864" s="10">
        <v>2016</v>
      </c>
      <c r="B864" t="s">
        <v>1434</v>
      </c>
      <c r="C864" t="s">
        <v>1620</v>
      </c>
      <c r="D864" t="s">
        <v>267</v>
      </c>
      <c r="E864" s="10">
        <v>1287815</v>
      </c>
      <c r="F864" s="12">
        <v>1.2676E-3</v>
      </c>
    </row>
    <row r="865" spans="1:6">
      <c r="A865" s="10">
        <v>2016</v>
      </c>
      <c r="B865" t="s">
        <v>1435</v>
      </c>
      <c r="C865" t="s">
        <v>2359</v>
      </c>
      <c r="D865" t="s">
        <v>268</v>
      </c>
      <c r="E865" s="10">
        <v>169783</v>
      </c>
      <c r="F865" s="12">
        <v>1.671E-4</v>
      </c>
    </row>
    <row r="866" spans="1:6">
      <c r="A866" s="10">
        <v>2016</v>
      </c>
      <c r="B866" t="s">
        <v>1436</v>
      </c>
      <c r="C866" t="s">
        <v>269</v>
      </c>
      <c r="D866" t="s">
        <v>269</v>
      </c>
      <c r="E866" s="10">
        <v>150801</v>
      </c>
      <c r="F866" s="12">
        <v>1.484E-4</v>
      </c>
    </row>
    <row r="867" spans="1:6">
      <c r="A867" s="10">
        <v>2016</v>
      </c>
      <c r="B867" t="s">
        <v>1437</v>
      </c>
      <c r="C867" t="s">
        <v>270</v>
      </c>
      <c r="D867" t="s">
        <v>270</v>
      </c>
      <c r="E867" s="10">
        <v>854204</v>
      </c>
      <c r="F867" s="12">
        <v>8.4079999999999995E-4</v>
      </c>
    </row>
    <row r="868" spans="1:6">
      <c r="A868" s="10">
        <v>2016</v>
      </c>
      <c r="B868" t="s">
        <v>1438</v>
      </c>
      <c r="C868" t="s">
        <v>1622</v>
      </c>
      <c r="D868" t="s">
        <v>271</v>
      </c>
      <c r="E868" s="10">
        <v>596126</v>
      </c>
      <c r="F868" s="12">
        <v>5.8679999999999995E-4</v>
      </c>
    </row>
    <row r="869" spans="1:6">
      <c r="A869" s="10">
        <v>2016</v>
      </c>
      <c r="B869" t="s">
        <v>1439</v>
      </c>
      <c r="C869" t="s">
        <v>1624</v>
      </c>
      <c r="D869" t="s">
        <v>272</v>
      </c>
      <c r="E869" s="10">
        <v>105464</v>
      </c>
      <c r="F869" s="12">
        <v>1.038E-4</v>
      </c>
    </row>
    <row r="870" spans="1:6">
      <c r="A870" s="10">
        <v>2016</v>
      </c>
      <c r="B870" t="s">
        <v>1440</v>
      </c>
      <c r="C870" t="s">
        <v>1625</v>
      </c>
      <c r="D870" t="s">
        <v>273</v>
      </c>
      <c r="E870" s="10">
        <v>397709</v>
      </c>
      <c r="F870" s="12">
        <v>3.9149999999999998E-4</v>
      </c>
    </row>
    <row r="871" spans="1:6">
      <c r="A871" s="10">
        <v>2016</v>
      </c>
      <c r="B871" t="s">
        <v>1441</v>
      </c>
      <c r="C871" t="s">
        <v>274</v>
      </c>
      <c r="D871" t="s">
        <v>274</v>
      </c>
      <c r="E871" s="10">
        <v>12392</v>
      </c>
      <c r="F871" s="12">
        <v>1.22E-5</v>
      </c>
    </row>
    <row r="872" spans="1:6">
      <c r="A872" s="10">
        <v>2016</v>
      </c>
      <c r="B872" t="s">
        <v>1442</v>
      </c>
      <c r="C872" t="s">
        <v>1627</v>
      </c>
      <c r="D872" t="s">
        <v>275</v>
      </c>
      <c r="E872" s="10">
        <v>7338</v>
      </c>
      <c r="F872" s="12">
        <v>7.1999999999999997E-6</v>
      </c>
    </row>
    <row r="873" spans="1:6">
      <c r="A873" s="10">
        <v>2016</v>
      </c>
      <c r="B873" t="s">
        <v>1443</v>
      </c>
      <c r="C873" t="s">
        <v>1628</v>
      </c>
      <c r="D873" t="s">
        <v>276</v>
      </c>
      <c r="E873" s="10">
        <v>920345</v>
      </c>
      <c r="F873" s="12">
        <v>9.0589999999999996E-4</v>
      </c>
    </row>
    <row r="874" spans="1:6">
      <c r="A874" s="10">
        <v>2016</v>
      </c>
      <c r="B874" t="s">
        <v>331</v>
      </c>
      <c r="C874" t="s">
        <v>1629</v>
      </c>
      <c r="D874" t="s">
        <v>1408</v>
      </c>
      <c r="E874" s="10"/>
      <c r="F874" s="12">
        <v>0</v>
      </c>
    </row>
    <row r="875" spans="1:6">
      <c r="A875" s="10">
        <v>2016</v>
      </c>
      <c r="B875" t="s">
        <v>332</v>
      </c>
      <c r="C875" t="s">
        <v>1630</v>
      </c>
      <c r="D875" t="s">
        <v>278</v>
      </c>
      <c r="E875" s="10">
        <v>92730</v>
      </c>
      <c r="F875" s="12">
        <v>9.1299999999999997E-5</v>
      </c>
    </row>
    <row r="876" spans="1:6">
      <c r="A876" s="10">
        <v>2016</v>
      </c>
      <c r="B876" t="s">
        <v>333</v>
      </c>
      <c r="C876" t="s">
        <v>1631</v>
      </c>
      <c r="D876" t="s">
        <v>279</v>
      </c>
      <c r="E876" s="10">
        <v>41199</v>
      </c>
      <c r="F876" s="12">
        <v>4.0599999999999998E-5</v>
      </c>
    </row>
    <row r="877" spans="1:6">
      <c r="A877" s="10">
        <v>2016</v>
      </c>
      <c r="B877" t="s">
        <v>334</v>
      </c>
      <c r="C877" t="s">
        <v>1632</v>
      </c>
      <c r="D877" t="s">
        <v>280</v>
      </c>
      <c r="E877" s="10">
        <v>57439</v>
      </c>
      <c r="F877" s="12">
        <v>5.6499999999999998E-5</v>
      </c>
    </row>
    <row r="878" spans="1:6">
      <c r="A878" s="10">
        <v>2016</v>
      </c>
      <c r="B878" t="s">
        <v>335</v>
      </c>
      <c r="C878" t="s">
        <v>1633</v>
      </c>
      <c r="D878" t="s">
        <v>281</v>
      </c>
      <c r="E878" s="10">
        <v>2124783</v>
      </c>
      <c r="F878" s="12">
        <v>2.0915E-3</v>
      </c>
    </row>
    <row r="879" spans="1:6">
      <c r="A879" s="10">
        <v>2016</v>
      </c>
      <c r="B879" t="s">
        <v>336</v>
      </c>
      <c r="C879" t="s">
        <v>1634</v>
      </c>
      <c r="D879" t="s">
        <v>282</v>
      </c>
      <c r="E879" s="10">
        <v>1859567</v>
      </c>
      <c r="F879" s="12">
        <v>1.8304E-3</v>
      </c>
    </row>
    <row r="880" spans="1:6">
      <c r="A880" s="10">
        <v>2016</v>
      </c>
      <c r="B880" t="s">
        <v>337</v>
      </c>
      <c r="C880" t="s">
        <v>283</v>
      </c>
      <c r="D880" t="s">
        <v>283</v>
      </c>
      <c r="E880" s="10">
        <v>83117</v>
      </c>
      <c r="F880" s="12">
        <v>8.1799999999999996E-5</v>
      </c>
    </row>
    <row r="881" spans="1:6">
      <c r="A881" s="10">
        <v>2016</v>
      </c>
      <c r="B881" t="s">
        <v>338</v>
      </c>
      <c r="C881" t="s">
        <v>1635</v>
      </c>
      <c r="D881" t="s">
        <v>284</v>
      </c>
      <c r="E881" s="10">
        <v>64352</v>
      </c>
      <c r="F881" s="12">
        <v>6.3299999999999994E-5</v>
      </c>
    </row>
    <row r="882" spans="1:6">
      <c r="A882" s="10">
        <v>2016</v>
      </c>
      <c r="B882" t="s">
        <v>339</v>
      </c>
      <c r="C882" t="s">
        <v>1637</v>
      </c>
      <c r="D882" t="s">
        <v>285</v>
      </c>
      <c r="E882" s="10">
        <v>1139984</v>
      </c>
      <c r="F882" s="12">
        <v>1.1221E-3</v>
      </c>
    </row>
    <row r="883" spans="1:6">
      <c r="A883" s="10">
        <v>2016</v>
      </c>
      <c r="B883" t="s">
        <v>340</v>
      </c>
      <c r="C883" t="s">
        <v>286</v>
      </c>
      <c r="D883" t="s">
        <v>286</v>
      </c>
      <c r="E883" s="10">
        <v>119964</v>
      </c>
      <c r="F883" s="12">
        <v>1.181E-4</v>
      </c>
    </row>
    <row r="884" spans="1:6">
      <c r="A884" s="10">
        <v>2016</v>
      </c>
      <c r="B884" t="s">
        <v>341</v>
      </c>
      <c r="C884" t="s">
        <v>287</v>
      </c>
      <c r="D884" t="s">
        <v>287</v>
      </c>
      <c r="E884" s="10">
        <v>27916</v>
      </c>
      <c r="F884" s="12">
        <v>2.7500000000000001E-5</v>
      </c>
    </row>
    <row r="885" spans="1:6">
      <c r="A885" s="10">
        <v>2016</v>
      </c>
      <c r="B885" t="s">
        <v>342</v>
      </c>
      <c r="C885" t="s">
        <v>1638</v>
      </c>
      <c r="D885" t="s">
        <v>288</v>
      </c>
      <c r="E885" s="10">
        <v>753967</v>
      </c>
      <c r="F885" s="12">
        <v>7.4220000000000004E-4</v>
      </c>
    </row>
    <row r="886" spans="1:6">
      <c r="A886" s="10">
        <v>2016</v>
      </c>
      <c r="B886" t="s">
        <v>343</v>
      </c>
      <c r="C886" t="s">
        <v>1640</v>
      </c>
      <c r="D886" t="s">
        <v>289</v>
      </c>
      <c r="E886" s="10">
        <v>79533</v>
      </c>
      <c r="F886" s="12">
        <v>7.8300000000000006E-5</v>
      </c>
    </row>
    <row r="887" spans="1:6">
      <c r="A887" s="10">
        <v>2016</v>
      </c>
      <c r="B887" t="s">
        <v>344</v>
      </c>
      <c r="C887" t="s">
        <v>290</v>
      </c>
      <c r="D887" t="s">
        <v>290</v>
      </c>
      <c r="E887" s="10">
        <v>44812</v>
      </c>
      <c r="F887" s="12">
        <v>4.4100000000000001E-5</v>
      </c>
    </row>
    <row r="888" spans="1:6">
      <c r="A888" s="10">
        <v>2016</v>
      </c>
      <c r="B888" t="s">
        <v>345</v>
      </c>
      <c r="C888" t="s">
        <v>1642</v>
      </c>
      <c r="D888" t="s">
        <v>291</v>
      </c>
      <c r="E888" s="10">
        <v>97036</v>
      </c>
      <c r="F888" s="12">
        <v>9.5500000000000004E-5</v>
      </c>
    </row>
    <row r="889" spans="1:6">
      <c r="A889" s="10">
        <v>2016</v>
      </c>
      <c r="B889" t="s">
        <v>346</v>
      </c>
      <c r="C889" t="s">
        <v>1643</v>
      </c>
      <c r="D889" t="s">
        <v>292</v>
      </c>
      <c r="E889" s="10">
        <v>8072049</v>
      </c>
      <c r="F889" s="12">
        <v>7.9456000000000006E-3</v>
      </c>
    </row>
    <row r="890" spans="1:6">
      <c r="A890" s="10">
        <v>2016</v>
      </c>
      <c r="B890" t="s">
        <v>347</v>
      </c>
      <c r="C890" t="s">
        <v>1644</v>
      </c>
      <c r="D890" t="s">
        <v>293</v>
      </c>
      <c r="E890" s="10">
        <v>3299077</v>
      </c>
      <c r="F890" s="12">
        <v>3.2474000000000001E-3</v>
      </c>
    </row>
    <row r="891" spans="1:6">
      <c r="A891" s="10">
        <v>2016</v>
      </c>
      <c r="B891" t="s">
        <v>348</v>
      </c>
      <c r="C891" t="s">
        <v>1645</v>
      </c>
      <c r="D891" t="s">
        <v>294</v>
      </c>
      <c r="E891" s="10">
        <v>1369622</v>
      </c>
      <c r="F891" s="12">
        <v>1.3481999999999999E-3</v>
      </c>
    </row>
    <row r="892" spans="1:6">
      <c r="A892" s="10">
        <v>2016</v>
      </c>
      <c r="B892" t="s">
        <v>349</v>
      </c>
      <c r="C892" t="s">
        <v>1647</v>
      </c>
      <c r="D892" t="s">
        <v>295</v>
      </c>
      <c r="E892" s="10">
        <v>2341361</v>
      </c>
      <c r="F892" s="12">
        <v>2.3046999999999998E-3</v>
      </c>
    </row>
    <row r="893" spans="1:6">
      <c r="A893" s="10">
        <v>2016</v>
      </c>
      <c r="B893" t="s">
        <v>350</v>
      </c>
      <c r="C893" t="s">
        <v>1648</v>
      </c>
      <c r="D893" t="s">
        <v>296</v>
      </c>
      <c r="E893" s="10">
        <v>2496621</v>
      </c>
      <c r="F893" s="12">
        <v>2.4575E-3</v>
      </c>
    </row>
    <row r="894" spans="1:6">
      <c r="A894" s="10">
        <v>2016</v>
      </c>
      <c r="B894" t="s">
        <v>351</v>
      </c>
      <c r="C894" t="s">
        <v>297</v>
      </c>
      <c r="D894" t="s">
        <v>297</v>
      </c>
      <c r="E894" s="10">
        <v>22896</v>
      </c>
      <c r="F894" s="12">
        <v>2.2500000000000001E-5</v>
      </c>
    </row>
    <row r="895" spans="1:6">
      <c r="A895" s="10">
        <v>2016</v>
      </c>
      <c r="B895" t="s">
        <v>352</v>
      </c>
      <c r="C895" t="s">
        <v>2398</v>
      </c>
      <c r="D895" t="s">
        <v>298</v>
      </c>
      <c r="E895" s="10">
        <v>167879</v>
      </c>
      <c r="F895" s="12">
        <v>1.652E-4</v>
      </c>
    </row>
    <row r="896" spans="1:6">
      <c r="A896" s="10">
        <v>2016</v>
      </c>
      <c r="B896" t="s">
        <v>353</v>
      </c>
      <c r="C896" t="s">
        <v>1650</v>
      </c>
      <c r="D896" t="s">
        <v>299</v>
      </c>
      <c r="E896" s="10">
        <v>89601</v>
      </c>
      <c r="F896" s="12">
        <v>8.8200000000000003E-5</v>
      </c>
    </row>
    <row r="897" spans="1:6">
      <c r="A897" s="10">
        <v>2016</v>
      </c>
      <c r="B897" t="s">
        <v>354</v>
      </c>
      <c r="C897" t="s">
        <v>300</v>
      </c>
      <c r="D897" t="s">
        <v>300</v>
      </c>
      <c r="E897" s="10">
        <v>2264939</v>
      </c>
      <c r="F897" s="12">
        <v>2.2293999999999999E-3</v>
      </c>
    </row>
    <row r="898" spans="1:6">
      <c r="A898" s="10">
        <v>2016</v>
      </c>
      <c r="B898" t="s">
        <v>355</v>
      </c>
      <c r="C898" t="s">
        <v>2423</v>
      </c>
      <c r="D898" t="s">
        <v>301</v>
      </c>
      <c r="E898" s="10">
        <v>299307</v>
      </c>
      <c r="F898" s="12">
        <v>2.9460000000000001E-4</v>
      </c>
    </row>
    <row r="899" spans="1:6">
      <c r="A899" s="10">
        <v>2016</v>
      </c>
      <c r="B899" t="s">
        <v>356</v>
      </c>
      <c r="C899" t="s">
        <v>1444</v>
      </c>
      <c r="D899" t="s">
        <v>1444</v>
      </c>
      <c r="E899" s="10">
        <v>5028256</v>
      </c>
      <c r="F899" s="12">
        <v>4.9494999999999999E-3</v>
      </c>
    </row>
    <row r="900" spans="1:6">
      <c r="A900" s="10">
        <v>2016</v>
      </c>
      <c r="B900" t="s">
        <v>357</v>
      </c>
      <c r="C900" t="s">
        <v>2424</v>
      </c>
      <c r="D900" t="s">
        <v>303</v>
      </c>
      <c r="E900" s="10">
        <v>138404</v>
      </c>
      <c r="F900" s="12">
        <v>1.362E-4</v>
      </c>
    </row>
    <row r="901" spans="1:6">
      <c r="A901" s="10">
        <v>2016</v>
      </c>
      <c r="B901" t="s">
        <v>358</v>
      </c>
      <c r="C901" t="s">
        <v>304</v>
      </c>
      <c r="D901" t="s">
        <v>304</v>
      </c>
      <c r="E901" s="10">
        <v>138739</v>
      </c>
      <c r="F901" s="12">
        <v>1.3660000000000001E-4</v>
      </c>
    </row>
    <row r="902" spans="1:6">
      <c r="A902" s="10">
        <v>2016</v>
      </c>
      <c r="B902" t="s">
        <v>359</v>
      </c>
      <c r="C902" t="s">
        <v>305</v>
      </c>
      <c r="D902" t="s">
        <v>305</v>
      </c>
      <c r="E902" s="10">
        <v>216884</v>
      </c>
      <c r="F902" s="12">
        <v>2.1350000000000001E-4</v>
      </c>
    </row>
    <row r="903" spans="1:6">
      <c r="A903" s="10">
        <v>2016</v>
      </c>
      <c r="B903" t="s">
        <v>360</v>
      </c>
      <c r="C903" t="s">
        <v>1653</v>
      </c>
      <c r="D903" t="s">
        <v>306</v>
      </c>
      <c r="E903" s="10">
        <v>21055705</v>
      </c>
      <c r="F903" s="12">
        <v>2.07257E-2</v>
      </c>
    </row>
    <row r="904" spans="1:6">
      <c r="A904" s="10">
        <v>2016</v>
      </c>
      <c r="B904" t="s">
        <v>361</v>
      </c>
      <c r="C904" t="s">
        <v>1655</v>
      </c>
      <c r="D904" t="s">
        <v>1445</v>
      </c>
      <c r="E904" s="10">
        <v>126654</v>
      </c>
      <c r="F904" s="12">
        <v>1.247E-4</v>
      </c>
    </row>
    <row r="905" spans="1:6">
      <c r="A905" s="10">
        <v>2016</v>
      </c>
      <c r="B905" t="s">
        <v>362</v>
      </c>
      <c r="C905" t="s">
        <v>1656</v>
      </c>
      <c r="D905" t="s">
        <v>308</v>
      </c>
      <c r="E905" s="10">
        <v>6749</v>
      </c>
      <c r="F905" s="12">
        <v>6.6000000000000003E-6</v>
      </c>
    </row>
    <row r="906" spans="1:6">
      <c r="A906" s="10">
        <v>2016</v>
      </c>
      <c r="B906" t="s">
        <v>363</v>
      </c>
      <c r="C906" t="s">
        <v>1657</v>
      </c>
      <c r="D906" t="s">
        <v>309</v>
      </c>
      <c r="E906" s="10">
        <v>2833249</v>
      </c>
      <c r="F906" s="12">
        <v>2.7888000000000001E-3</v>
      </c>
    </row>
    <row r="907" spans="1:6">
      <c r="A907" s="10">
        <v>2016</v>
      </c>
      <c r="B907" t="s">
        <v>364</v>
      </c>
      <c r="C907" t="s">
        <v>310</v>
      </c>
      <c r="D907" t="s">
        <v>310</v>
      </c>
      <c r="E907" s="10">
        <v>6815</v>
      </c>
      <c r="F907" s="12">
        <v>6.7000000000000002E-6</v>
      </c>
    </row>
    <row r="908" spans="1:6">
      <c r="A908" s="10">
        <v>2016</v>
      </c>
      <c r="B908" t="s">
        <v>365</v>
      </c>
      <c r="C908" t="s">
        <v>1658</v>
      </c>
      <c r="D908" t="s">
        <v>311</v>
      </c>
      <c r="E908" s="10">
        <v>868593</v>
      </c>
      <c r="F908" s="12">
        <v>8.5499999999999997E-4</v>
      </c>
    </row>
    <row r="909" spans="1:6">
      <c r="A909" s="10">
        <v>2016</v>
      </c>
      <c r="B909" t="s">
        <v>366</v>
      </c>
      <c r="C909" t="s">
        <v>312</v>
      </c>
      <c r="D909" t="s">
        <v>312</v>
      </c>
      <c r="E909" s="10">
        <v>2083</v>
      </c>
      <c r="F909" s="12">
        <v>2.0999999999999998E-6</v>
      </c>
    </row>
    <row r="910" spans="1:6">
      <c r="A910" s="10">
        <v>2016</v>
      </c>
      <c r="B910" t="s">
        <v>367</v>
      </c>
      <c r="C910" t="s">
        <v>313</v>
      </c>
      <c r="D910" t="s">
        <v>313</v>
      </c>
      <c r="E910" s="10">
        <v>52313</v>
      </c>
      <c r="F910" s="12">
        <v>5.1499999999999998E-5</v>
      </c>
    </row>
    <row r="911" spans="1:6">
      <c r="A911" s="10">
        <v>2016</v>
      </c>
      <c r="B911" t="s">
        <v>368</v>
      </c>
      <c r="C911" t="s">
        <v>1661</v>
      </c>
      <c r="D911" t="s">
        <v>314</v>
      </c>
      <c r="E911" s="10">
        <v>101040</v>
      </c>
      <c r="F911" s="12">
        <v>9.9500000000000006E-5</v>
      </c>
    </row>
    <row r="912" spans="1:6">
      <c r="A912" s="10">
        <v>2016</v>
      </c>
      <c r="B912" t="s">
        <v>369</v>
      </c>
      <c r="C912" t="s">
        <v>1505</v>
      </c>
      <c r="D912" t="s">
        <v>315</v>
      </c>
      <c r="E912" s="10">
        <v>1036608</v>
      </c>
      <c r="F912" s="12">
        <v>1.0204000000000001E-3</v>
      </c>
    </row>
    <row r="913" spans="1:6">
      <c r="A913" s="10">
        <v>2016</v>
      </c>
      <c r="B913" t="s">
        <v>370</v>
      </c>
      <c r="C913" t="s">
        <v>1617</v>
      </c>
      <c r="D913" t="s">
        <v>316</v>
      </c>
      <c r="E913" s="10">
        <v>2132186</v>
      </c>
      <c r="F913" s="12">
        <v>2.0988000000000001E-3</v>
      </c>
    </row>
    <row r="914" spans="1:6">
      <c r="A914" s="10">
        <v>2016</v>
      </c>
      <c r="B914" t="s">
        <v>371</v>
      </c>
      <c r="C914" t="s">
        <v>1623</v>
      </c>
      <c r="D914" t="s">
        <v>317</v>
      </c>
      <c r="E914" s="10">
        <v>252829</v>
      </c>
      <c r="F914" s="12">
        <v>2.4889999999999998E-4</v>
      </c>
    </row>
    <row r="915" spans="1:6">
      <c r="A915" s="10">
        <v>2016</v>
      </c>
      <c r="B915" t="s">
        <v>372</v>
      </c>
      <c r="C915" t="s">
        <v>1626</v>
      </c>
      <c r="D915" t="s">
        <v>318</v>
      </c>
      <c r="E915" s="10">
        <v>183252</v>
      </c>
      <c r="F915" s="12">
        <v>1.8039999999999999E-4</v>
      </c>
    </row>
    <row r="916" spans="1:6">
      <c r="A916" s="10">
        <v>2016</v>
      </c>
      <c r="B916" t="s">
        <v>373</v>
      </c>
      <c r="C916" t="s">
        <v>1636</v>
      </c>
      <c r="D916" t="s">
        <v>319</v>
      </c>
      <c r="E916" s="10">
        <v>1899119</v>
      </c>
      <c r="F916" s="12">
        <v>1.8694E-3</v>
      </c>
    </row>
    <row r="917" spans="1:6">
      <c r="A917" s="10">
        <v>2016</v>
      </c>
      <c r="B917" t="s">
        <v>374</v>
      </c>
      <c r="C917" t="s">
        <v>1646</v>
      </c>
      <c r="D917" t="s">
        <v>320</v>
      </c>
      <c r="E917" s="10">
        <v>1501375</v>
      </c>
      <c r="F917" s="12">
        <v>1.4778E-3</v>
      </c>
    </row>
    <row r="918" spans="1:6">
      <c r="A918" s="10">
        <v>2016</v>
      </c>
      <c r="B918" t="s">
        <v>375</v>
      </c>
      <c r="C918" t="s">
        <v>1654</v>
      </c>
      <c r="D918" t="s">
        <v>321</v>
      </c>
      <c r="E918" s="10">
        <v>7650360</v>
      </c>
      <c r="F918" s="12">
        <v>7.5304999999999999E-3</v>
      </c>
    </row>
    <row r="919" spans="1:6">
      <c r="A919" s="10">
        <v>2016</v>
      </c>
      <c r="B919" t="s">
        <v>376</v>
      </c>
      <c r="C919" t="s">
        <v>1676</v>
      </c>
      <c r="D919" t="s">
        <v>322</v>
      </c>
      <c r="E919" s="10">
        <v>480229</v>
      </c>
      <c r="F919" s="12">
        <v>4.727E-4</v>
      </c>
    </row>
    <row r="920" spans="1:6">
      <c r="A920" s="10">
        <v>2016</v>
      </c>
      <c r="B920" t="s">
        <v>377</v>
      </c>
      <c r="C920" t="s">
        <v>1678</v>
      </c>
      <c r="D920" t="s">
        <v>323</v>
      </c>
      <c r="E920" s="10">
        <v>799009</v>
      </c>
      <c r="F920" s="12">
        <v>7.8649999999999998E-4</v>
      </c>
    </row>
    <row r="921" spans="1:6">
      <c r="A921" s="10">
        <v>2016</v>
      </c>
      <c r="B921" t="s">
        <v>378</v>
      </c>
      <c r="C921" t="s">
        <v>1693</v>
      </c>
      <c r="D921" t="s">
        <v>324</v>
      </c>
      <c r="E921" s="10">
        <v>446614</v>
      </c>
      <c r="F921" s="12">
        <v>4.3960000000000001E-4</v>
      </c>
    </row>
    <row r="922" spans="1:6">
      <c r="A922" s="10">
        <v>2016</v>
      </c>
      <c r="B922" t="s">
        <v>379</v>
      </c>
      <c r="C922" t="s">
        <v>1706</v>
      </c>
      <c r="D922" t="s">
        <v>325</v>
      </c>
      <c r="E922" s="10">
        <v>625044</v>
      </c>
      <c r="F922" s="12">
        <v>6.1519999999999999E-4</v>
      </c>
    </row>
    <row r="923" spans="1:6">
      <c r="A923" s="10">
        <v>2016</v>
      </c>
      <c r="B923" t="s">
        <v>380</v>
      </c>
      <c r="C923" t="s">
        <v>1712</v>
      </c>
      <c r="D923" t="s">
        <v>326</v>
      </c>
      <c r="E923" s="10">
        <v>414748</v>
      </c>
      <c r="F923" s="12">
        <v>4.082E-4</v>
      </c>
    </row>
    <row r="924" spans="1:6">
      <c r="A924" s="10">
        <v>2016</v>
      </c>
      <c r="B924" t="s">
        <v>381</v>
      </c>
      <c r="C924" t="s">
        <v>1716</v>
      </c>
      <c r="D924" t="s">
        <v>327</v>
      </c>
      <c r="E924" s="10">
        <v>3164929</v>
      </c>
      <c r="F924" s="12">
        <v>3.1153000000000001E-3</v>
      </c>
    </row>
    <row r="925" spans="1:6">
      <c r="A925" s="10">
        <v>2016</v>
      </c>
      <c r="B925" t="s">
        <v>382</v>
      </c>
      <c r="C925" t="s">
        <v>1734</v>
      </c>
      <c r="D925" t="s">
        <v>328</v>
      </c>
      <c r="E925" s="10">
        <v>6472067</v>
      </c>
      <c r="F925" s="12">
        <v>6.3705999999999997E-3</v>
      </c>
    </row>
    <row r="926" spans="1:6">
      <c r="A926" s="10">
        <v>2016</v>
      </c>
      <c r="B926" t="s">
        <v>383</v>
      </c>
      <c r="C926" t="s">
        <v>1736</v>
      </c>
      <c r="D926" t="s">
        <v>329</v>
      </c>
      <c r="E926" s="10">
        <v>214912</v>
      </c>
      <c r="F926" s="12">
        <v>2.1149999999999999E-4</v>
      </c>
    </row>
    <row r="927" spans="1:6">
      <c r="A927" s="10">
        <v>2016</v>
      </c>
      <c r="B927" t="s">
        <v>384</v>
      </c>
      <c r="C927" t="s">
        <v>1737</v>
      </c>
      <c r="D927" t="s">
        <v>330</v>
      </c>
      <c r="E927" s="10">
        <v>2460016</v>
      </c>
      <c r="F927" s="12">
        <v>2.4215E-3</v>
      </c>
    </row>
    <row r="928" spans="1:6">
      <c r="A928" s="10">
        <v>2016</v>
      </c>
      <c r="B928" t="s">
        <v>440</v>
      </c>
      <c r="C928" t="s">
        <v>1752</v>
      </c>
      <c r="D928" t="s">
        <v>385</v>
      </c>
      <c r="E928" s="10">
        <v>188928</v>
      </c>
      <c r="F928" s="12">
        <v>1.8599999999999999E-4</v>
      </c>
    </row>
    <row r="929" spans="1:6">
      <c r="A929" s="10">
        <v>2016</v>
      </c>
      <c r="B929" t="s">
        <v>441</v>
      </c>
      <c r="C929" t="s">
        <v>1772</v>
      </c>
      <c r="D929" t="s">
        <v>386</v>
      </c>
      <c r="E929" s="10">
        <v>1072838</v>
      </c>
      <c r="F929" s="12">
        <v>1.0560000000000001E-3</v>
      </c>
    </row>
    <row r="930" spans="1:6">
      <c r="A930" s="10">
        <v>2016</v>
      </c>
      <c r="B930" t="s">
        <v>442</v>
      </c>
      <c r="C930" t="s">
        <v>1776</v>
      </c>
      <c r="D930" t="s">
        <v>387</v>
      </c>
      <c r="E930" s="10">
        <v>1693447</v>
      </c>
      <c r="F930" s="12">
        <v>1.6669E-3</v>
      </c>
    </row>
    <row r="931" spans="1:6">
      <c r="A931" s="10">
        <v>2016</v>
      </c>
      <c r="B931" t="s">
        <v>443</v>
      </c>
      <c r="C931" t="s">
        <v>1785</v>
      </c>
      <c r="D931" t="s">
        <v>388</v>
      </c>
      <c r="E931" s="10">
        <v>217742</v>
      </c>
      <c r="F931" s="12">
        <v>2.143E-4</v>
      </c>
    </row>
    <row r="932" spans="1:6">
      <c r="A932" s="10">
        <v>2016</v>
      </c>
      <c r="B932" t="s">
        <v>444</v>
      </c>
      <c r="C932" t="s">
        <v>1800</v>
      </c>
      <c r="D932" t="s">
        <v>389</v>
      </c>
      <c r="E932" s="10">
        <v>837549</v>
      </c>
      <c r="F932" s="12">
        <v>8.2439999999999998E-4</v>
      </c>
    </row>
    <row r="933" spans="1:6">
      <c r="A933" s="10">
        <v>2016</v>
      </c>
      <c r="B933" t="s">
        <v>445</v>
      </c>
      <c r="C933" t="s">
        <v>1807</v>
      </c>
      <c r="D933" t="s">
        <v>390</v>
      </c>
      <c r="E933" s="10">
        <v>16868883</v>
      </c>
      <c r="F933" s="12">
        <v>1.6604500000000001E-2</v>
      </c>
    </row>
    <row r="934" spans="1:6">
      <c r="A934" s="10">
        <v>2016</v>
      </c>
      <c r="B934" t="s">
        <v>446</v>
      </c>
      <c r="C934" t="s">
        <v>1833</v>
      </c>
      <c r="D934" t="s">
        <v>391</v>
      </c>
      <c r="E934" s="10">
        <v>689292</v>
      </c>
      <c r="F934" s="12">
        <v>6.7849999999999996E-4</v>
      </c>
    </row>
    <row r="935" spans="1:6">
      <c r="A935" s="10">
        <v>2016</v>
      </c>
      <c r="B935" t="s">
        <v>447</v>
      </c>
      <c r="C935" t="s">
        <v>1849</v>
      </c>
      <c r="D935" t="s">
        <v>392</v>
      </c>
      <c r="E935" s="10">
        <v>499192</v>
      </c>
      <c r="F935" s="12">
        <v>4.9140000000000002E-4</v>
      </c>
    </row>
    <row r="936" spans="1:6">
      <c r="A936" s="10">
        <v>2016</v>
      </c>
      <c r="B936" t="s">
        <v>448</v>
      </c>
      <c r="C936" t="s">
        <v>1871</v>
      </c>
      <c r="D936" t="s">
        <v>393</v>
      </c>
      <c r="E936" s="10">
        <v>5510965</v>
      </c>
      <c r="F936" s="12">
        <v>5.4245999999999999E-3</v>
      </c>
    </row>
    <row r="937" spans="1:6">
      <c r="A937" s="10">
        <v>2016</v>
      </c>
      <c r="B937" t="s">
        <v>449</v>
      </c>
      <c r="C937" t="s">
        <v>1903</v>
      </c>
      <c r="D937" t="s">
        <v>394</v>
      </c>
      <c r="E937" s="10">
        <v>1998759</v>
      </c>
      <c r="F937" s="12">
        <v>1.9673999999999998E-3</v>
      </c>
    </row>
    <row r="938" spans="1:6">
      <c r="A938" s="10">
        <v>2016</v>
      </c>
      <c r="B938" t="s">
        <v>450</v>
      </c>
      <c r="C938" t="s">
        <v>1924</v>
      </c>
      <c r="D938" t="s">
        <v>395</v>
      </c>
      <c r="E938" s="10">
        <v>668142</v>
      </c>
      <c r="F938" s="12">
        <v>6.5769999999999999E-4</v>
      </c>
    </row>
    <row r="939" spans="1:6">
      <c r="A939" s="10">
        <v>2016</v>
      </c>
      <c r="B939" t="s">
        <v>451</v>
      </c>
      <c r="C939" t="s">
        <v>1932</v>
      </c>
      <c r="D939" t="s">
        <v>396</v>
      </c>
      <c r="E939" s="10">
        <v>659312</v>
      </c>
      <c r="F939" s="12">
        <v>6.4899999999999995E-4</v>
      </c>
    </row>
    <row r="940" spans="1:6">
      <c r="A940" s="10">
        <v>2016</v>
      </c>
      <c r="B940" t="s">
        <v>452</v>
      </c>
      <c r="C940" t="s">
        <v>1939</v>
      </c>
      <c r="D940" t="s">
        <v>397</v>
      </c>
      <c r="E940" s="10">
        <v>11042982</v>
      </c>
      <c r="F940" s="12">
        <v>1.08699E-2</v>
      </c>
    </row>
    <row r="941" spans="1:6">
      <c r="A941" s="10">
        <v>2016</v>
      </c>
      <c r="B941" t="s">
        <v>453</v>
      </c>
      <c r="C941" t="s">
        <v>1940</v>
      </c>
      <c r="D941" t="s">
        <v>398</v>
      </c>
      <c r="E941" s="10">
        <v>555751</v>
      </c>
      <c r="F941" s="12">
        <v>5.4699999999999996E-4</v>
      </c>
    </row>
    <row r="942" spans="1:6">
      <c r="A942" s="10">
        <v>2016</v>
      </c>
      <c r="B942" t="s">
        <v>454</v>
      </c>
      <c r="C942" t="s">
        <v>1947</v>
      </c>
      <c r="D942" t="s">
        <v>399</v>
      </c>
      <c r="E942" s="10">
        <v>544955</v>
      </c>
      <c r="F942" s="12">
        <v>5.3640000000000003E-4</v>
      </c>
    </row>
    <row r="943" spans="1:6">
      <c r="A943" s="10">
        <v>2016</v>
      </c>
      <c r="B943" t="s">
        <v>455</v>
      </c>
      <c r="C943" t="s">
        <v>1950</v>
      </c>
      <c r="D943" t="s">
        <v>400</v>
      </c>
      <c r="E943" s="10">
        <v>1149527</v>
      </c>
      <c r="F943" s="12">
        <v>1.1314999999999999E-3</v>
      </c>
    </row>
    <row r="944" spans="1:6">
      <c r="A944" s="10">
        <v>2016</v>
      </c>
      <c r="B944" t="s">
        <v>456</v>
      </c>
      <c r="C944" t="s">
        <v>1958</v>
      </c>
      <c r="D944" t="s">
        <v>401</v>
      </c>
      <c r="E944" s="10">
        <v>279095</v>
      </c>
      <c r="F944" s="12">
        <v>2.7470000000000001E-4</v>
      </c>
    </row>
    <row r="945" spans="1:6">
      <c r="A945" s="10">
        <v>2016</v>
      </c>
      <c r="B945" t="s">
        <v>457</v>
      </c>
      <c r="C945" t="s">
        <v>1961</v>
      </c>
      <c r="D945" t="s">
        <v>402</v>
      </c>
      <c r="E945" s="10">
        <v>157176</v>
      </c>
      <c r="F945" s="12">
        <v>1.5469999999999999E-4</v>
      </c>
    </row>
    <row r="946" spans="1:6">
      <c r="A946" s="10">
        <v>2016</v>
      </c>
      <c r="B946" t="s">
        <v>458</v>
      </c>
      <c r="C946" t="s">
        <v>1967</v>
      </c>
      <c r="D946" t="s">
        <v>403</v>
      </c>
      <c r="E946" s="10">
        <v>119011</v>
      </c>
      <c r="F946" s="12">
        <v>1.171E-4</v>
      </c>
    </row>
    <row r="947" spans="1:6">
      <c r="A947" s="10">
        <v>2016</v>
      </c>
      <c r="B947" t="s">
        <v>459</v>
      </c>
      <c r="C947" t="s">
        <v>1977</v>
      </c>
      <c r="D947" t="s">
        <v>404</v>
      </c>
      <c r="E947" s="10">
        <v>3574795</v>
      </c>
      <c r="F947" s="12">
        <v>3.5187999999999999E-3</v>
      </c>
    </row>
    <row r="948" spans="1:6">
      <c r="A948" s="10">
        <v>2016</v>
      </c>
      <c r="B948" t="s">
        <v>460</v>
      </c>
      <c r="C948" t="s">
        <v>1984</v>
      </c>
      <c r="D948" t="s">
        <v>405</v>
      </c>
      <c r="E948" s="10">
        <v>7933275</v>
      </c>
      <c r="F948" s="12">
        <v>7.809E-3</v>
      </c>
    </row>
    <row r="949" spans="1:6">
      <c r="A949" s="10">
        <v>2016</v>
      </c>
      <c r="B949" t="s">
        <v>461</v>
      </c>
      <c r="C949" t="s">
        <v>1989</v>
      </c>
      <c r="D949" t="s">
        <v>406</v>
      </c>
      <c r="E949" s="10">
        <v>796632</v>
      </c>
      <c r="F949" s="12">
        <v>7.8410000000000003E-4</v>
      </c>
    </row>
    <row r="950" spans="1:6">
      <c r="A950" s="10">
        <v>2016</v>
      </c>
      <c r="B950" t="s">
        <v>462</v>
      </c>
      <c r="C950" t="s">
        <v>1992</v>
      </c>
      <c r="D950" t="s">
        <v>407</v>
      </c>
      <c r="E950" s="10">
        <v>65502</v>
      </c>
      <c r="F950" s="12">
        <v>6.4499999999999996E-5</v>
      </c>
    </row>
    <row r="951" spans="1:6">
      <c r="A951" s="10">
        <v>2016</v>
      </c>
      <c r="B951" t="s">
        <v>463</v>
      </c>
      <c r="C951" t="s">
        <v>2020</v>
      </c>
      <c r="D951" t="s">
        <v>408</v>
      </c>
      <c r="E951" s="10">
        <v>174730</v>
      </c>
      <c r="F951" s="12">
        <v>1.7200000000000001E-4</v>
      </c>
    </row>
    <row r="952" spans="1:6">
      <c r="A952" s="10">
        <v>2016</v>
      </c>
      <c r="B952" t="s">
        <v>464</v>
      </c>
      <c r="C952" t="s">
        <v>2022</v>
      </c>
      <c r="D952" t="s">
        <v>409</v>
      </c>
      <c r="E952" s="10">
        <v>287115</v>
      </c>
      <c r="F952" s="12">
        <v>2.8259999999999998E-4</v>
      </c>
    </row>
    <row r="953" spans="1:6">
      <c r="A953" s="10">
        <v>2016</v>
      </c>
      <c r="B953" t="s">
        <v>465</v>
      </c>
      <c r="C953" t="s">
        <v>2028</v>
      </c>
      <c r="D953" t="s">
        <v>410</v>
      </c>
      <c r="E953" s="10">
        <v>276733</v>
      </c>
      <c r="F953" s="12">
        <v>2.7240000000000001E-4</v>
      </c>
    </row>
    <row r="954" spans="1:6">
      <c r="A954" s="10">
        <v>2016</v>
      </c>
      <c r="B954" t="s">
        <v>466</v>
      </c>
      <c r="C954" t="s">
        <v>2042</v>
      </c>
      <c r="D954" t="s">
        <v>411</v>
      </c>
      <c r="E954" s="10">
        <v>3127334</v>
      </c>
      <c r="F954" s="12">
        <v>3.0783E-3</v>
      </c>
    </row>
    <row r="955" spans="1:6">
      <c r="A955" s="10">
        <v>2016</v>
      </c>
      <c r="B955" t="s">
        <v>467</v>
      </c>
      <c r="C955" t="s">
        <v>412</v>
      </c>
      <c r="D955" t="s">
        <v>412</v>
      </c>
      <c r="E955" s="10">
        <v>11232</v>
      </c>
      <c r="F955" s="12">
        <v>1.11E-5</v>
      </c>
    </row>
    <row r="956" spans="1:6">
      <c r="A956" s="10">
        <v>2016</v>
      </c>
      <c r="B956" t="s">
        <v>468</v>
      </c>
      <c r="C956" t="s">
        <v>1663</v>
      </c>
      <c r="D956" t="s">
        <v>413</v>
      </c>
      <c r="E956" s="10">
        <v>221668</v>
      </c>
      <c r="F956" s="12">
        <v>2.1819999999999999E-4</v>
      </c>
    </row>
    <row r="957" spans="1:6">
      <c r="A957" s="10">
        <v>2016</v>
      </c>
      <c r="B957" t="s">
        <v>469</v>
      </c>
      <c r="C957" t="s">
        <v>1664</v>
      </c>
      <c r="D957" t="s">
        <v>414</v>
      </c>
      <c r="E957" s="10"/>
      <c r="F957" s="12">
        <v>0</v>
      </c>
    </row>
    <row r="958" spans="1:6">
      <c r="A958" s="10">
        <v>2016</v>
      </c>
      <c r="B958" t="s">
        <v>470</v>
      </c>
      <c r="C958" t="s">
        <v>2361</v>
      </c>
      <c r="D958" t="s">
        <v>415</v>
      </c>
      <c r="E958" s="10">
        <v>24496</v>
      </c>
      <c r="F958" s="12">
        <v>2.41E-5</v>
      </c>
    </row>
    <row r="959" spans="1:6">
      <c r="A959" s="10">
        <v>2016</v>
      </c>
      <c r="B959" t="s">
        <v>471</v>
      </c>
      <c r="C959" t="s">
        <v>416</v>
      </c>
      <c r="D959" t="s">
        <v>416</v>
      </c>
      <c r="E959" s="10">
        <v>2147806</v>
      </c>
      <c r="F959" s="12">
        <v>2.1140999999999998E-3</v>
      </c>
    </row>
    <row r="960" spans="1:6">
      <c r="A960" s="10">
        <v>2016</v>
      </c>
      <c r="B960" t="s">
        <v>472</v>
      </c>
      <c r="C960" t="s">
        <v>417</v>
      </c>
      <c r="D960" t="s">
        <v>417</v>
      </c>
      <c r="E960" s="10">
        <v>2690387</v>
      </c>
      <c r="F960" s="12">
        <v>2.6481999999999999E-3</v>
      </c>
    </row>
    <row r="961" spans="1:6">
      <c r="A961" s="10">
        <v>2016</v>
      </c>
      <c r="B961" t="s">
        <v>473</v>
      </c>
      <c r="C961" t="s">
        <v>418</v>
      </c>
      <c r="D961" t="s">
        <v>418</v>
      </c>
      <c r="E961" s="10"/>
      <c r="F961" s="12">
        <v>0</v>
      </c>
    </row>
    <row r="962" spans="1:6">
      <c r="A962" s="10">
        <v>2016</v>
      </c>
      <c r="B962" t="s">
        <v>474</v>
      </c>
      <c r="C962" t="s">
        <v>1666</v>
      </c>
      <c r="D962" t="s">
        <v>419</v>
      </c>
      <c r="E962" s="10">
        <v>75965</v>
      </c>
      <c r="F962" s="12">
        <v>7.4800000000000002E-5</v>
      </c>
    </row>
    <row r="963" spans="1:6">
      <c r="A963" s="10">
        <v>2016</v>
      </c>
      <c r="B963" t="s">
        <v>475</v>
      </c>
      <c r="C963" t="s">
        <v>1667</v>
      </c>
      <c r="D963" t="s">
        <v>420</v>
      </c>
      <c r="E963" s="10">
        <v>16918</v>
      </c>
      <c r="F963" s="12">
        <v>1.6699999999999999E-5</v>
      </c>
    </row>
    <row r="964" spans="1:6">
      <c r="A964" s="10">
        <v>2016</v>
      </c>
      <c r="B964" t="s">
        <v>476</v>
      </c>
      <c r="C964" t="s">
        <v>421</v>
      </c>
      <c r="D964" t="s">
        <v>421</v>
      </c>
      <c r="E964" s="10">
        <v>3943391</v>
      </c>
      <c r="F964" s="12">
        <v>3.8815999999999998E-3</v>
      </c>
    </row>
    <row r="965" spans="1:6">
      <c r="A965" s="10">
        <v>2016</v>
      </c>
      <c r="B965" t="s">
        <v>477</v>
      </c>
      <c r="C965" t="s">
        <v>422</v>
      </c>
      <c r="D965" t="s">
        <v>422</v>
      </c>
      <c r="E965" s="10">
        <v>737204</v>
      </c>
      <c r="F965" s="12">
        <v>7.2570000000000002E-4</v>
      </c>
    </row>
    <row r="966" spans="1:6">
      <c r="A966" s="10">
        <v>2016</v>
      </c>
      <c r="B966" t="s">
        <v>478</v>
      </c>
      <c r="C966" t="s">
        <v>1668</v>
      </c>
      <c r="D966" t="s">
        <v>423</v>
      </c>
      <c r="E966" s="10">
        <v>109220</v>
      </c>
      <c r="F966" s="12">
        <v>1.075E-4</v>
      </c>
    </row>
    <row r="967" spans="1:6">
      <c r="A967" s="10">
        <v>2016</v>
      </c>
      <c r="B967" t="s">
        <v>479</v>
      </c>
      <c r="C967" t="s">
        <v>1669</v>
      </c>
      <c r="D967" t="s">
        <v>424</v>
      </c>
      <c r="E967" s="10">
        <v>148489</v>
      </c>
      <c r="F967" s="12">
        <v>1.462E-4</v>
      </c>
    </row>
    <row r="968" spans="1:6">
      <c r="A968" s="10">
        <v>2016</v>
      </c>
      <c r="B968" t="s">
        <v>480</v>
      </c>
      <c r="C968" t="s">
        <v>1670</v>
      </c>
      <c r="D968" t="s">
        <v>425</v>
      </c>
      <c r="E968" s="10">
        <v>42376</v>
      </c>
      <c r="F968" s="12">
        <v>4.1699999999999997E-5</v>
      </c>
    </row>
    <row r="969" spans="1:6">
      <c r="A969" s="10">
        <v>2016</v>
      </c>
      <c r="B969" t="s">
        <v>481</v>
      </c>
      <c r="C969" t="s">
        <v>1671</v>
      </c>
      <c r="D969" t="s">
        <v>426</v>
      </c>
      <c r="E969" s="10">
        <v>776376</v>
      </c>
      <c r="F969" s="12">
        <v>7.6420000000000004E-4</v>
      </c>
    </row>
    <row r="970" spans="1:6">
      <c r="A970" s="10">
        <v>2016</v>
      </c>
      <c r="B970" t="s">
        <v>482</v>
      </c>
      <c r="C970" t="s">
        <v>1672</v>
      </c>
      <c r="D970" t="s">
        <v>427</v>
      </c>
      <c r="E970" s="10">
        <v>147347</v>
      </c>
      <c r="F970" s="12">
        <v>1.45E-4</v>
      </c>
    </row>
    <row r="971" spans="1:6">
      <c r="A971" s="10">
        <v>2016</v>
      </c>
      <c r="B971" t="s">
        <v>483</v>
      </c>
      <c r="C971" t="s">
        <v>1673</v>
      </c>
      <c r="D971" t="s">
        <v>428</v>
      </c>
      <c r="E971" s="10">
        <v>94560</v>
      </c>
      <c r="F971" s="12">
        <v>9.31E-5</v>
      </c>
    </row>
    <row r="972" spans="1:6">
      <c r="A972" s="10">
        <v>2016</v>
      </c>
      <c r="B972" t="s">
        <v>484</v>
      </c>
      <c r="C972" t="s">
        <v>1674</v>
      </c>
      <c r="D972" t="s">
        <v>429</v>
      </c>
      <c r="E972" s="10">
        <v>284116</v>
      </c>
      <c r="F972" s="12">
        <v>2.7970000000000002E-4</v>
      </c>
    </row>
    <row r="973" spans="1:6">
      <c r="A973" s="10">
        <v>2016</v>
      </c>
      <c r="B973" t="s">
        <v>485</v>
      </c>
      <c r="C973" t="s">
        <v>1675</v>
      </c>
      <c r="D973" t="s">
        <v>430</v>
      </c>
      <c r="E973" s="10">
        <v>1569571</v>
      </c>
      <c r="F973" s="12">
        <v>1.5449999999999999E-3</v>
      </c>
    </row>
    <row r="974" spans="1:6">
      <c r="A974" s="10">
        <v>2016</v>
      </c>
      <c r="B974" t="s">
        <v>486</v>
      </c>
      <c r="C974" t="s">
        <v>1679</v>
      </c>
      <c r="D974" t="s">
        <v>431</v>
      </c>
      <c r="E974" s="10">
        <v>880161</v>
      </c>
      <c r="F974" s="12">
        <v>8.6640000000000003E-4</v>
      </c>
    </row>
    <row r="975" spans="1:6">
      <c r="A975" s="10">
        <v>2016</v>
      </c>
      <c r="B975" t="s">
        <v>487</v>
      </c>
      <c r="C975" t="s">
        <v>432</v>
      </c>
      <c r="D975" t="s">
        <v>432</v>
      </c>
      <c r="E975" s="10">
        <v>6441</v>
      </c>
      <c r="F975" s="12">
        <v>6.2999999999999998E-6</v>
      </c>
    </row>
    <row r="976" spans="1:6">
      <c r="A976" s="10">
        <v>2016</v>
      </c>
      <c r="B976" t="s">
        <v>488</v>
      </c>
      <c r="C976" t="s">
        <v>1680</v>
      </c>
      <c r="D976" t="s">
        <v>433</v>
      </c>
      <c r="E976" s="10">
        <v>122294</v>
      </c>
      <c r="F976" s="12">
        <v>1.204E-4</v>
      </c>
    </row>
    <row r="977" spans="1:6">
      <c r="A977" s="10">
        <v>2016</v>
      </c>
      <c r="B977" t="s">
        <v>489</v>
      </c>
      <c r="C977" t="s">
        <v>434</v>
      </c>
      <c r="D977" t="s">
        <v>434</v>
      </c>
      <c r="E977" s="10">
        <v>53584</v>
      </c>
      <c r="F977" s="12">
        <v>5.27E-5</v>
      </c>
    </row>
    <row r="978" spans="1:6">
      <c r="A978" s="10">
        <v>2016</v>
      </c>
      <c r="B978" t="s">
        <v>490</v>
      </c>
      <c r="C978" t="s">
        <v>1681</v>
      </c>
      <c r="D978" t="s">
        <v>435</v>
      </c>
      <c r="E978" s="10">
        <v>2573076</v>
      </c>
      <c r="F978" s="12">
        <v>2.5328E-3</v>
      </c>
    </row>
    <row r="979" spans="1:6">
      <c r="A979" s="10">
        <v>2016</v>
      </c>
      <c r="B979" t="s">
        <v>491</v>
      </c>
      <c r="C979" t="s">
        <v>1682</v>
      </c>
      <c r="D979" t="s">
        <v>436</v>
      </c>
      <c r="E979" s="10">
        <v>3368665</v>
      </c>
      <c r="F979" s="12">
        <v>3.3159000000000001E-3</v>
      </c>
    </row>
    <row r="980" spans="1:6">
      <c r="A980" s="10">
        <v>2016</v>
      </c>
      <c r="B980" t="s">
        <v>492</v>
      </c>
      <c r="C980" t="s">
        <v>1683</v>
      </c>
      <c r="D980" t="s">
        <v>437</v>
      </c>
      <c r="E980" s="10">
        <v>3631</v>
      </c>
      <c r="F980" s="12">
        <v>3.5999999999999998E-6</v>
      </c>
    </row>
    <row r="981" spans="1:6">
      <c r="A981" s="10">
        <v>2016</v>
      </c>
      <c r="B981" t="s">
        <v>493</v>
      </c>
      <c r="C981" t="s">
        <v>1684</v>
      </c>
      <c r="D981" t="s">
        <v>438</v>
      </c>
      <c r="E981" s="10">
        <v>10359</v>
      </c>
      <c r="F981" s="12">
        <v>1.0200000000000001E-5</v>
      </c>
    </row>
    <row r="982" spans="1:6">
      <c r="A982" s="10">
        <v>2016</v>
      </c>
      <c r="B982" t="s">
        <v>494</v>
      </c>
      <c r="C982" t="s">
        <v>1685</v>
      </c>
      <c r="D982" t="s">
        <v>439</v>
      </c>
      <c r="E982" s="10">
        <v>17422</v>
      </c>
      <c r="F982" s="12">
        <v>1.7099999999999999E-5</v>
      </c>
    </row>
    <row r="983" spans="1:6">
      <c r="A983" s="10">
        <v>2016</v>
      </c>
      <c r="B983" t="s">
        <v>550</v>
      </c>
      <c r="C983" t="s">
        <v>1686</v>
      </c>
      <c r="D983" t="s">
        <v>495</v>
      </c>
      <c r="E983" s="10">
        <v>72738</v>
      </c>
      <c r="F983" s="12">
        <v>7.1600000000000006E-5</v>
      </c>
    </row>
    <row r="984" spans="1:6">
      <c r="A984" s="10">
        <v>2016</v>
      </c>
      <c r="B984" t="s">
        <v>551</v>
      </c>
      <c r="C984" t="s">
        <v>1687</v>
      </c>
      <c r="D984" t="s">
        <v>496</v>
      </c>
      <c r="E984" s="10">
        <v>74950</v>
      </c>
      <c r="F984" s="12">
        <v>7.3800000000000005E-5</v>
      </c>
    </row>
    <row r="985" spans="1:6">
      <c r="A985" s="10">
        <v>2016</v>
      </c>
      <c r="B985" t="s">
        <v>552</v>
      </c>
      <c r="C985" t="s">
        <v>1688</v>
      </c>
      <c r="D985" t="s">
        <v>497</v>
      </c>
      <c r="E985" s="10">
        <v>15172471</v>
      </c>
      <c r="F985" s="12">
        <v>1.49347E-2</v>
      </c>
    </row>
    <row r="986" spans="1:6">
      <c r="A986" s="10">
        <v>2016</v>
      </c>
      <c r="B986" t="s">
        <v>553</v>
      </c>
      <c r="C986" t="s">
        <v>498</v>
      </c>
      <c r="D986" t="s">
        <v>498</v>
      </c>
      <c r="E986" s="10">
        <v>43327</v>
      </c>
      <c r="F986" s="12">
        <v>4.2599999999999999E-5</v>
      </c>
    </row>
    <row r="987" spans="1:6">
      <c r="A987" s="10">
        <v>2016</v>
      </c>
      <c r="B987" t="s">
        <v>554</v>
      </c>
      <c r="C987" t="s">
        <v>499</v>
      </c>
      <c r="D987" t="s">
        <v>499</v>
      </c>
      <c r="E987" s="10">
        <v>30737</v>
      </c>
      <c r="F987" s="12">
        <v>3.0300000000000001E-5</v>
      </c>
    </row>
    <row r="988" spans="1:6">
      <c r="A988" s="10">
        <v>2016</v>
      </c>
      <c r="B988" t="s">
        <v>555</v>
      </c>
      <c r="C988" t="s">
        <v>500</v>
      </c>
      <c r="D988" t="s">
        <v>500</v>
      </c>
      <c r="E988" s="10">
        <v>159174</v>
      </c>
      <c r="F988" s="12">
        <v>1.5669999999999999E-4</v>
      </c>
    </row>
    <row r="989" spans="1:6">
      <c r="A989" s="10">
        <v>2016</v>
      </c>
      <c r="B989" t="s">
        <v>556</v>
      </c>
      <c r="C989" t="s">
        <v>501</v>
      </c>
      <c r="D989" t="s">
        <v>501</v>
      </c>
      <c r="E989" s="10">
        <v>7202</v>
      </c>
      <c r="F989" s="12">
        <v>7.0999999999999998E-6</v>
      </c>
    </row>
    <row r="990" spans="1:6">
      <c r="A990" s="10">
        <v>2016</v>
      </c>
      <c r="B990" t="s">
        <v>557</v>
      </c>
      <c r="C990" t="s">
        <v>502</v>
      </c>
      <c r="D990" t="s">
        <v>502</v>
      </c>
      <c r="E990" s="10">
        <v>43974</v>
      </c>
      <c r="F990" s="12">
        <v>4.3300000000000002E-5</v>
      </c>
    </row>
    <row r="991" spans="1:6">
      <c r="A991" s="10">
        <v>2016</v>
      </c>
      <c r="B991" t="s">
        <v>558</v>
      </c>
      <c r="C991" t="s">
        <v>1691</v>
      </c>
      <c r="D991" t="s">
        <v>503</v>
      </c>
      <c r="E991" s="10">
        <v>28768</v>
      </c>
      <c r="F991" s="12">
        <v>2.83E-5</v>
      </c>
    </row>
    <row r="992" spans="1:6">
      <c r="A992" s="10">
        <v>2016</v>
      </c>
      <c r="B992" t="s">
        <v>559</v>
      </c>
      <c r="C992" t="s">
        <v>1692</v>
      </c>
      <c r="D992" t="s">
        <v>504</v>
      </c>
      <c r="E992" s="10">
        <v>1626811</v>
      </c>
      <c r="F992" s="12">
        <v>1.6012999999999999E-3</v>
      </c>
    </row>
    <row r="993" spans="1:6">
      <c r="A993" s="10">
        <v>2016</v>
      </c>
      <c r="B993" t="s">
        <v>560</v>
      </c>
      <c r="C993" t="s">
        <v>505</v>
      </c>
      <c r="D993" t="s">
        <v>505</v>
      </c>
      <c r="E993" s="10">
        <v>88872</v>
      </c>
      <c r="F993" s="12">
        <v>8.7499999999999999E-5</v>
      </c>
    </row>
    <row r="994" spans="1:6">
      <c r="A994" s="10">
        <v>2016</v>
      </c>
      <c r="B994" t="s">
        <v>561</v>
      </c>
      <c r="C994" t="s">
        <v>1694</v>
      </c>
      <c r="D994" t="s">
        <v>506</v>
      </c>
      <c r="E994" s="10">
        <v>206365</v>
      </c>
      <c r="F994" s="12">
        <v>2.031E-4</v>
      </c>
    </row>
    <row r="995" spans="1:6">
      <c r="A995" s="10">
        <v>2016</v>
      </c>
      <c r="B995" t="s">
        <v>562</v>
      </c>
      <c r="C995" t="s">
        <v>2367</v>
      </c>
      <c r="D995" t="s">
        <v>507</v>
      </c>
      <c r="E995" s="10">
        <v>9621378</v>
      </c>
      <c r="F995" s="12">
        <v>9.4705999999999992E-3</v>
      </c>
    </row>
    <row r="996" spans="1:6">
      <c r="A996" s="10">
        <v>2016</v>
      </c>
      <c r="B996" t="s">
        <v>563</v>
      </c>
      <c r="C996" t="s">
        <v>1698</v>
      </c>
      <c r="D996" t="s">
        <v>508</v>
      </c>
      <c r="E996" s="10">
        <v>4200</v>
      </c>
      <c r="F996" s="12">
        <v>4.0999999999999997E-6</v>
      </c>
    </row>
    <row r="997" spans="1:6">
      <c r="A997" s="10">
        <v>2016</v>
      </c>
      <c r="B997" t="s">
        <v>564</v>
      </c>
      <c r="C997" t="s">
        <v>509</v>
      </c>
      <c r="D997" t="s">
        <v>509</v>
      </c>
      <c r="E997" s="10">
        <v>877756</v>
      </c>
      <c r="F997" s="12">
        <v>8.6399999999999997E-4</v>
      </c>
    </row>
    <row r="998" spans="1:6">
      <c r="A998" s="10">
        <v>2016</v>
      </c>
      <c r="B998" t="s">
        <v>565</v>
      </c>
      <c r="C998" t="s">
        <v>510</v>
      </c>
      <c r="D998" t="s">
        <v>510</v>
      </c>
      <c r="E998" s="10">
        <v>2091235</v>
      </c>
      <c r="F998" s="12">
        <v>2.0585E-3</v>
      </c>
    </row>
    <row r="999" spans="1:6">
      <c r="A999" s="10">
        <v>2016</v>
      </c>
      <c r="B999" t="s">
        <v>566</v>
      </c>
      <c r="C999" t="s">
        <v>1699</v>
      </c>
      <c r="D999" t="s">
        <v>511</v>
      </c>
      <c r="E999" s="10">
        <v>111051</v>
      </c>
      <c r="F999" s="12">
        <v>1.093E-4</v>
      </c>
    </row>
    <row r="1000" spans="1:6">
      <c r="A1000" s="10">
        <v>2016</v>
      </c>
      <c r="B1000" t="s">
        <v>567</v>
      </c>
      <c r="C1000" t="s">
        <v>1700</v>
      </c>
      <c r="D1000" t="s">
        <v>512</v>
      </c>
      <c r="E1000" s="10">
        <v>74639</v>
      </c>
      <c r="F1000" s="12">
        <v>7.3499999999999998E-5</v>
      </c>
    </row>
    <row r="1001" spans="1:6">
      <c r="A1001" s="10">
        <v>2016</v>
      </c>
      <c r="B1001" t="s">
        <v>568</v>
      </c>
      <c r="C1001" t="s">
        <v>2446</v>
      </c>
      <c r="D1001" t="s">
        <v>513</v>
      </c>
      <c r="E1001" s="10">
        <v>180392</v>
      </c>
      <c r="F1001" s="12">
        <v>1.7760000000000001E-4</v>
      </c>
    </row>
    <row r="1002" spans="1:6">
      <c r="A1002" s="10">
        <v>2016</v>
      </c>
      <c r="B1002" t="s">
        <v>569</v>
      </c>
      <c r="C1002" t="s">
        <v>1446</v>
      </c>
      <c r="D1002" t="s">
        <v>1446</v>
      </c>
      <c r="E1002" s="10">
        <v>166854</v>
      </c>
      <c r="F1002" s="12">
        <v>1.6420000000000001E-4</v>
      </c>
    </row>
    <row r="1003" spans="1:6">
      <c r="A1003" s="10">
        <v>2016</v>
      </c>
      <c r="B1003" t="s">
        <v>570</v>
      </c>
      <c r="C1003" t="s">
        <v>515</v>
      </c>
      <c r="D1003" t="s">
        <v>515</v>
      </c>
      <c r="E1003" s="10">
        <v>248314</v>
      </c>
      <c r="F1003" s="12">
        <v>2.4439999999999998E-4</v>
      </c>
    </row>
    <row r="1004" spans="1:6">
      <c r="A1004" s="10">
        <v>2016</v>
      </c>
      <c r="B1004" t="s">
        <v>571</v>
      </c>
      <c r="C1004" t="s">
        <v>516</v>
      </c>
      <c r="D1004" t="s">
        <v>516</v>
      </c>
      <c r="E1004" s="10">
        <v>647817</v>
      </c>
      <c r="F1004" s="12">
        <v>6.3770000000000005E-4</v>
      </c>
    </row>
    <row r="1005" spans="1:6">
      <c r="A1005" s="10">
        <v>2016</v>
      </c>
      <c r="B1005" t="s">
        <v>572</v>
      </c>
      <c r="C1005" t="s">
        <v>517</v>
      </c>
      <c r="D1005" t="s">
        <v>517</v>
      </c>
      <c r="E1005" s="10">
        <v>287329</v>
      </c>
      <c r="F1005" s="12">
        <v>2.8279999999999999E-4</v>
      </c>
    </row>
    <row r="1006" spans="1:6">
      <c r="A1006" s="10">
        <v>2016</v>
      </c>
      <c r="B1006" t="s">
        <v>573</v>
      </c>
      <c r="C1006" t="s">
        <v>518</v>
      </c>
      <c r="D1006" t="s">
        <v>518</v>
      </c>
      <c r="E1006" s="10">
        <v>291083</v>
      </c>
      <c r="F1006" s="12">
        <v>2.8650000000000003E-4</v>
      </c>
    </row>
    <row r="1007" spans="1:6">
      <c r="A1007" s="10">
        <v>2016</v>
      </c>
      <c r="B1007" t="s">
        <v>574</v>
      </c>
      <c r="C1007" t="s">
        <v>1702</v>
      </c>
      <c r="D1007" t="s">
        <v>519</v>
      </c>
      <c r="E1007" s="10">
        <v>261731</v>
      </c>
      <c r="F1007" s="12">
        <v>2.5759999999999997E-4</v>
      </c>
    </row>
    <row r="1008" spans="1:6">
      <c r="A1008" s="10">
        <v>2016</v>
      </c>
      <c r="B1008" t="s">
        <v>575</v>
      </c>
      <c r="C1008" t="s">
        <v>2437</v>
      </c>
      <c r="D1008" t="s">
        <v>520</v>
      </c>
      <c r="E1008" s="10">
        <v>59402</v>
      </c>
      <c r="F1008" s="12">
        <v>5.8499999999999999E-5</v>
      </c>
    </row>
    <row r="1009" spans="1:6">
      <c r="A1009" s="10">
        <v>2016</v>
      </c>
      <c r="B1009" t="s">
        <v>576</v>
      </c>
      <c r="C1009" t="s">
        <v>521</v>
      </c>
      <c r="D1009" t="s">
        <v>521</v>
      </c>
      <c r="E1009" s="10">
        <v>100995</v>
      </c>
      <c r="F1009" s="12">
        <v>9.9400000000000004E-5</v>
      </c>
    </row>
    <row r="1010" spans="1:6">
      <c r="A1010" s="10">
        <v>2016</v>
      </c>
      <c r="B1010" t="s">
        <v>577</v>
      </c>
      <c r="C1010" t="s">
        <v>1704</v>
      </c>
      <c r="D1010" t="s">
        <v>522</v>
      </c>
      <c r="E1010" s="10">
        <v>33013</v>
      </c>
      <c r="F1010" s="12">
        <v>3.2499999999999997E-5</v>
      </c>
    </row>
    <row r="1011" spans="1:6">
      <c r="A1011" s="10">
        <v>2016</v>
      </c>
      <c r="B1011" t="s">
        <v>578</v>
      </c>
      <c r="C1011" t="s">
        <v>1705</v>
      </c>
      <c r="D1011" t="s">
        <v>523</v>
      </c>
      <c r="E1011" s="10">
        <v>1284975</v>
      </c>
      <c r="F1011" s="12">
        <v>1.2648E-3</v>
      </c>
    </row>
    <row r="1012" spans="1:6">
      <c r="A1012" s="10">
        <v>2016</v>
      </c>
      <c r="B1012" t="s">
        <v>579</v>
      </c>
      <c r="C1012" t="s">
        <v>1447</v>
      </c>
      <c r="D1012" t="s">
        <v>1447</v>
      </c>
      <c r="E1012" s="10">
        <v>2243</v>
      </c>
      <c r="F1012" s="12">
        <v>2.2000000000000001E-6</v>
      </c>
    </row>
    <row r="1013" spans="1:6">
      <c r="A1013" s="10">
        <v>2016</v>
      </c>
      <c r="B1013" t="s">
        <v>1450</v>
      </c>
      <c r="C1013" t="s">
        <v>1708</v>
      </c>
      <c r="D1013" t="s">
        <v>1448</v>
      </c>
      <c r="E1013" s="10">
        <v>40090</v>
      </c>
      <c r="F1013" s="12">
        <v>3.9499999999999998E-5</v>
      </c>
    </row>
    <row r="1014" spans="1:6">
      <c r="A1014" s="10">
        <v>2016</v>
      </c>
      <c r="B1014" t="s">
        <v>1451</v>
      </c>
      <c r="C1014" t="s">
        <v>1707</v>
      </c>
      <c r="D1014" t="s">
        <v>1449</v>
      </c>
      <c r="E1014" s="10">
        <v>36373</v>
      </c>
      <c r="F1014" s="12">
        <v>3.5800000000000003E-5</v>
      </c>
    </row>
    <row r="1015" spans="1:6">
      <c r="A1015" s="10">
        <v>2016</v>
      </c>
      <c r="B1015" t="s">
        <v>580</v>
      </c>
      <c r="C1015" t="s">
        <v>1709</v>
      </c>
      <c r="D1015" t="s">
        <v>525</v>
      </c>
      <c r="E1015" s="10">
        <v>71816</v>
      </c>
      <c r="F1015" s="12">
        <v>7.0699999999999997E-5</v>
      </c>
    </row>
    <row r="1016" spans="1:6">
      <c r="A1016" s="10">
        <v>2016</v>
      </c>
      <c r="B1016" t="s">
        <v>581</v>
      </c>
      <c r="C1016" t="s">
        <v>526</v>
      </c>
      <c r="D1016" t="s">
        <v>526</v>
      </c>
      <c r="E1016" s="10">
        <v>14876</v>
      </c>
      <c r="F1016" s="12">
        <v>1.4600000000000001E-5</v>
      </c>
    </row>
    <row r="1017" spans="1:6">
      <c r="A1017" s="10">
        <v>2016</v>
      </c>
      <c r="B1017" t="s">
        <v>582</v>
      </c>
      <c r="C1017" t="s">
        <v>1710</v>
      </c>
      <c r="D1017" t="s">
        <v>527</v>
      </c>
      <c r="E1017" s="10">
        <v>468933</v>
      </c>
      <c r="F1017" s="12">
        <v>4.616E-4</v>
      </c>
    </row>
    <row r="1018" spans="1:6">
      <c r="A1018" s="10">
        <v>2016</v>
      </c>
      <c r="B1018" t="s">
        <v>583</v>
      </c>
      <c r="C1018" t="s">
        <v>1711</v>
      </c>
      <c r="D1018" t="s">
        <v>528</v>
      </c>
      <c r="E1018" s="10">
        <v>11061</v>
      </c>
      <c r="F1018" s="12">
        <v>1.0900000000000001E-5</v>
      </c>
    </row>
    <row r="1019" spans="1:6">
      <c r="A1019" s="10">
        <v>2016</v>
      </c>
      <c r="B1019" t="s">
        <v>584</v>
      </c>
      <c r="C1019" t="s">
        <v>529</v>
      </c>
      <c r="D1019" t="s">
        <v>529</v>
      </c>
      <c r="E1019" s="10">
        <v>968</v>
      </c>
      <c r="F1019" s="12">
        <v>9.9999999999999995E-7</v>
      </c>
    </row>
    <row r="1020" spans="1:6">
      <c r="A1020" s="10">
        <v>2016</v>
      </c>
      <c r="B1020" t="s">
        <v>585</v>
      </c>
      <c r="C1020" t="s">
        <v>1713</v>
      </c>
      <c r="D1020" t="s">
        <v>530</v>
      </c>
      <c r="E1020" s="10">
        <v>216655</v>
      </c>
      <c r="F1020" s="12">
        <v>2.1330000000000001E-4</v>
      </c>
    </row>
    <row r="1021" spans="1:6">
      <c r="A1021" s="10">
        <v>2016</v>
      </c>
      <c r="B1021" t="s">
        <v>586</v>
      </c>
      <c r="C1021" t="s">
        <v>1714</v>
      </c>
      <c r="D1021" t="s">
        <v>1452</v>
      </c>
      <c r="E1021" s="10">
        <v>111511</v>
      </c>
      <c r="F1021" s="12">
        <v>1.098E-4</v>
      </c>
    </row>
    <row r="1022" spans="1:6">
      <c r="A1022" s="10">
        <v>2016</v>
      </c>
      <c r="B1022" t="s">
        <v>587</v>
      </c>
      <c r="C1022" t="s">
        <v>532</v>
      </c>
      <c r="D1022" t="s">
        <v>532</v>
      </c>
      <c r="E1022" s="10">
        <v>138330</v>
      </c>
      <c r="F1022" s="12">
        <v>1.362E-4</v>
      </c>
    </row>
    <row r="1023" spans="1:6">
      <c r="A1023" s="10">
        <v>2016</v>
      </c>
      <c r="B1023" t="s">
        <v>588</v>
      </c>
      <c r="C1023" t="s">
        <v>533</v>
      </c>
      <c r="D1023" t="s">
        <v>533</v>
      </c>
      <c r="E1023" s="10">
        <v>130743</v>
      </c>
      <c r="F1023" s="12">
        <v>1.2870000000000001E-4</v>
      </c>
    </row>
    <row r="1024" spans="1:6">
      <c r="A1024" s="10">
        <v>2016</v>
      </c>
      <c r="B1024" t="s">
        <v>589</v>
      </c>
      <c r="C1024" t="s">
        <v>1715</v>
      </c>
      <c r="D1024" t="s">
        <v>534</v>
      </c>
      <c r="E1024" s="10">
        <v>5178202</v>
      </c>
      <c r="F1024" s="12">
        <v>5.0971000000000002E-3</v>
      </c>
    </row>
    <row r="1025" spans="1:6">
      <c r="A1025" s="10">
        <v>2016</v>
      </c>
      <c r="B1025" t="s">
        <v>590</v>
      </c>
      <c r="C1025" t="s">
        <v>1717</v>
      </c>
      <c r="D1025" t="s">
        <v>535</v>
      </c>
      <c r="E1025" s="10">
        <v>3664250</v>
      </c>
      <c r="F1025" s="12">
        <v>3.6067999999999998E-3</v>
      </c>
    </row>
    <row r="1026" spans="1:6">
      <c r="A1026" s="10">
        <v>2016</v>
      </c>
      <c r="B1026" t="s">
        <v>591</v>
      </c>
      <c r="C1026" t="s">
        <v>536</v>
      </c>
      <c r="D1026" t="s">
        <v>536</v>
      </c>
      <c r="E1026" s="10">
        <v>52908</v>
      </c>
      <c r="F1026" s="12">
        <v>5.2099999999999999E-5</v>
      </c>
    </row>
    <row r="1027" spans="1:6">
      <c r="A1027" s="10">
        <v>2016</v>
      </c>
      <c r="B1027" t="s">
        <v>592</v>
      </c>
      <c r="C1027" t="s">
        <v>1719</v>
      </c>
      <c r="D1027" t="s">
        <v>537</v>
      </c>
      <c r="E1027" s="10">
        <v>2566413</v>
      </c>
      <c r="F1027" s="12">
        <v>2.5262000000000001E-3</v>
      </c>
    </row>
    <row r="1028" spans="1:6">
      <c r="A1028" s="10">
        <v>2016</v>
      </c>
      <c r="B1028" t="s">
        <v>1456</v>
      </c>
      <c r="C1028" t="s">
        <v>1720</v>
      </c>
      <c r="D1028" t="s">
        <v>1453</v>
      </c>
      <c r="E1028" s="10">
        <v>13314</v>
      </c>
      <c r="F1028" s="12">
        <v>1.31E-3</v>
      </c>
    </row>
    <row r="1029" spans="1:6">
      <c r="A1029" s="10">
        <v>2016</v>
      </c>
      <c r="B1029" t="s">
        <v>593</v>
      </c>
      <c r="C1029" t="s">
        <v>1721</v>
      </c>
      <c r="D1029" t="s">
        <v>1454</v>
      </c>
      <c r="E1029" s="10">
        <v>636520</v>
      </c>
      <c r="F1029" s="12">
        <v>6.265E-4</v>
      </c>
    </row>
    <row r="1030" spans="1:6">
      <c r="A1030" s="10">
        <v>2016</v>
      </c>
      <c r="B1030" t="s">
        <v>594</v>
      </c>
      <c r="C1030" t="s">
        <v>2190</v>
      </c>
      <c r="D1030" t="s">
        <v>539</v>
      </c>
      <c r="E1030" s="10">
        <v>16738</v>
      </c>
      <c r="F1030" s="12">
        <v>1.6500000000000001E-5</v>
      </c>
    </row>
    <row r="1031" spans="1:6">
      <c r="A1031" s="10">
        <v>2016</v>
      </c>
      <c r="B1031" t="s">
        <v>595</v>
      </c>
      <c r="C1031" t="s">
        <v>1722</v>
      </c>
      <c r="D1031" t="s">
        <v>540</v>
      </c>
      <c r="E1031" s="10">
        <v>474790</v>
      </c>
      <c r="F1031" s="12">
        <v>4.6729999999999997E-4</v>
      </c>
    </row>
    <row r="1032" spans="1:6">
      <c r="A1032" s="10">
        <v>2016</v>
      </c>
      <c r="B1032" t="s">
        <v>596</v>
      </c>
      <c r="C1032" t="s">
        <v>1723</v>
      </c>
      <c r="D1032" t="s">
        <v>541</v>
      </c>
      <c r="E1032" s="10">
        <v>704587</v>
      </c>
      <c r="F1032" s="12">
        <v>6.935E-4</v>
      </c>
    </row>
    <row r="1033" spans="1:6">
      <c r="A1033" s="10">
        <v>2016</v>
      </c>
      <c r="B1033" t="s">
        <v>597</v>
      </c>
      <c r="C1033" t="s">
        <v>1724</v>
      </c>
      <c r="D1033" t="s">
        <v>542</v>
      </c>
      <c r="E1033" s="10">
        <v>2115835</v>
      </c>
      <c r="F1033" s="12">
        <v>2.0826999999999998E-3</v>
      </c>
    </row>
    <row r="1034" spans="1:6">
      <c r="A1034" s="10">
        <v>2016</v>
      </c>
      <c r="B1034" t="s">
        <v>598</v>
      </c>
      <c r="C1034" t="s">
        <v>543</v>
      </c>
      <c r="D1034" t="s">
        <v>543</v>
      </c>
      <c r="E1034" s="10">
        <v>170545</v>
      </c>
      <c r="F1034" s="12">
        <v>1.6789999999999999E-4</v>
      </c>
    </row>
    <row r="1035" spans="1:6">
      <c r="A1035" s="10">
        <v>2016</v>
      </c>
      <c r="B1035" t="s">
        <v>599</v>
      </c>
      <c r="C1035" t="s">
        <v>1726</v>
      </c>
      <c r="D1035" t="s">
        <v>544</v>
      </c>
      <c r="E1035" s="10">
        <v>150860</v>
      </c>
      <c r="F1035" s="12">
        <v>1.485E-4</v>
      </c>
    </row>
    <row r="1036" spans="1:6">
      <c r="A1036" s="10">
        <v>2016</v>
      </c>
      <c r="B1036" t="s">
        <v>600</v>
      </c>
      <c r="C1036" t="s">
        <v>1727</v>
      </c>
      <c r="D1036" t="s">
        <v>545</v>
      </c>
      <c r="E1036" s="10">
        <v>1985442</v>
      </c>
      <c r="F1036" s="12">
        <v>1.9543E-3</v>
      </c>
    </row>
    <row r="1037" spans="1:6">
      <c r="A1037" s="10">
        <v>2016</v>
      </c>
      <c r="B1037" t="s">
        <v>601</v>
      </c>
      <c r="C1037" t="s">
        <v>1728</v>
      </c>
      <c r="D1037" t="s">
        <v>546</v>
      </c>
      <c r="E1037" s="10">
        <v>1057558</v>
      </c>
      <c r="F1037" s="12">
        <v>1.041E-3</v>
      </c>
    </row>
    <row r="1038" spans="1:6">
      <c r="A1038" s="10">
        <v>2016</v>
      </c>
      <c r="B1038" t="s">
        <v>602</v>
      </c>
      <c r="C1038" t="s">
        <v>547</v>
      </c>
      <c r="D1038" t="s">
        <v>547</v>
      </c>
      <c r="E1038" s="10">
        <v>67245</v>
      </c>
      <c r="F1038" s="12">
        <v>6.6199999999999996E-5</v>
      </c>
    </row>
    <row r="1039" spans="1:6">
      <c r="A1039" s="10">
        <v>2016</v>
      </c>
      <c r="B1039" t="s">
        <v>603</v>
      </c>
      <c r="C1039" t="s">
        <v>548</v>
      </c>
      <c r="D1039" t="s">
        <v>548</v>
      </c>
      <c r="E1039" s="10">
        <v>92518</v>
      </c>
      <c r="F1039" s="12">
        <v>9.1100000000000005E-5</v>
      </c>
    </row>
    <row r="1040" spans="1:6">
      <c r="A1040" s="10">
        <v>2016</v>
      </c>
      <c r="B1040" t="s">
        <v>604</v>
      </c>
      <c r="C1040" t="s">
        <v>1729</v>
      </c>
      <c r="D1040" t="s">
        <v>549</v>
      </c>
      <c r="E1040" s="10">
        <v>231557</v>
      </c>
      <c r="F1040" s="12">
        <v>2.2790000000000001E-4</v>
      </c>
    </row>
    <row r="1041" spans="1:6">
      <c r="A1041" s="10">
        <v>2016</v>
      </c>
      <c r="B1041" t="s">
        <v>660</v>
      </c>
      <c r="C1041" t="s">
        <v>605</v>
      </c>
      <c r="D1041" t="s">
        <v>605</v>
      </c>
      <c r="E1041" s="10">
        <v>1723501</v>
      </c>
      <c r="F1041" s="12">
        <v>1.6965000000000001E-3</v>
      </c>
    </row>
    <row r="1042" spans="1:6">
      <c r="A1042" s="10">
        <v>2016</v>
      </c>
      <c r="B1042" t="s">
        <v>661</v>
      </c>
      <c r="C1042" t="s">
        <v>1455</v>
      </c>
      <c r="D1042" t="s">
        <v>1455</v>
      </c>
      <c r="E1042" s="10">
        <v>28412</v>
      </c>
      <c r="F1042" s="12">
        <v>2.8E-5</v>
      </c>
    </row>
    <row r="1043" spans="1:6">
      <c r="A1043" s="10">
        <v>2016</v>
      </c>
      <c r="B1043" t="s">
        <v>662</v>
      </c>
      <c r="C1043" t="s">
        <v>607</v>
      </c>
      <c r="D1043" t="s">
        <v>607</v>
      </c>
      <c r="E1043" s="10">
        <v>16425</v>
      </c>
      <c r="F1043" s="12">
        <v>1.6200000000000001E-5</v>
      </c>
    </row>
    <row r="1044" spans="1:6">
      <c r="A1044" s="10">
        <v>2016</v>
      </c>
      <c r="B1044" t="s">
        <v>663</v>
      </c>
      <c r="C1044" t="s">
        <v>608</v>
      </c>
      <c r="D1044" t="s">
        <v>608</v>
      </c>
      <c r="E1044" s="10">
        <v>25970</v>
      </c>
      <c r="F1044" s="12">
        <v>2.5599999999999999E-5</v>
      </c>
    </row>
    <row r="1045" spans="1:6">
      <c r="A1045" s="10">
        <v>2016</v>
      </c>
      <c r="B1045" t="s">
        <v>664</v>
      </c>
      <c r="C1045" t="s">
        <v>609</v>
      </c>
      <c r="D1045" t="s">
        <v>609</v>
      </c>
      <c r="E1045" s="10">
        <v>16484556</v>
      </c>
      <c r="F1045" s="12">
        <v>1.62262E-2</v>
      </c>
    </row>
    <row r="1046" spans="1:6">
      <c r="A1046" s="10">
        <v>2016</v>
      </c>
      <c r="B1046" t="s">
        <v>665</v>
      </c>
      <c r="C1046" t="s">
        <v>1732</v>
      </c>
      <c r="D1046" t="s">
        <v>610</v>
      </c>
      <c r="E1046" s="10">
        <v>6087848</v>
      </c>
      <c r="F1046" s="12">
        <v>5.9924000000000002E-3</v>
      </c>
    </row>
    <row r="1047" spans="1:6">
      <c r="A1047" s="10">
        <v>2016</v>
      </c>
      <c r="B1047" t="s">
        <v>666</v>
      </c>
      <c r="C1047" t="s">
        <v>1733</v>
      </c>
      <c r="D1047" t="s">
        <v>611</v>
      </c>
      <c r="E1047" s="10">
        <v>7913690</v>
      </c>
      <c r="F1047" s="12">
        <v>7.7897000000000001E-3</v>
      </c>
    </row>
    <row r="1048" spans="1:6">
      <c r="A1048" s="10">
        <v>2016</v>
      </c>
      <c r="B1048" t="s">
        <v>667</v>
      </c>
      <c r="C1048" t="s">
        <v>1735</v>
      </c>
      <c r="D1048" t="s">
        <v>612</v>
      </c>
      <c r="E1048" s="10">
        <v>731415</v>
      </c>
      <c r="F1048" s="12">
        <v>7.2000000000000005E-4</v>
      </c>
    </row>
    <row r="1049" spans="1:6">
      <c r="A1049" s="10">
        <v>2016</v>
      </c>
      <c r="B1049" t="s">
        <v>668</v>
      </c>
      <c r="C1049" t="s">
        <v>613</v>
      </c>
      <c r="D1049" t="s">
        <v>613</v>
      </c>
      <c r="E1049" s="10">
        <v>180773</v>
      </c>
      <c r="F1049" s="12">
        <v>1.7789999999999999E-4</v>
      </c>
    </row>
    <row r="1050" spans="1:6">
      <c r="A1050" s="10">
        <v>2016</v>
      </c>
      <c r="B1050" t="s">
        <v>669</v>
      </c>
      <c r="C1050" t="s">
        <v>614</v>
      </c>
      <c r="D1050" t="s">
        <v>614</v>
      </c>
      <c r="E1050" s="10">
        <v>65072</v>
      </c>
      <c r="F1050" s="12">
        <v>6.41E-5</v>
      </c>
    </row>
    <row r="1051" spans="1:6">
      <c r="A1051" s="10">
        <v>2016</v>
      </c>
      <c r="B1051" t="s">
        <v>670</v>
      </c>
      <c r="C1051" t="s">
        <v>615</v>
      </c>
      <c r="D1051" t="s">
        <v>615</v>
      </c>
      <c r="E1051" s="10">
        <v>668909</v>
      </c>
      <c r="F1051" s="12">
        <v>6.5839999999999996E-4</v>
      </c>
    </row>
    <row r="1052" spans="1:6">
      <c r="A1052" s="10">
        <v>2016</v>
      </c>
      <c r="B1052" t="s">
        <v>671</v>
      </c>
      <c r="C1052" t="s">
        <v>1738</v>
      </c>
      <c r="D1052" t="s">
        <v>616</v>
      </c>
      <c r="E1052" s="10"/>
      <c r="F1052" s="12">
        <v>0</v>
      </c>
    </row>
    <row r="1053" spans="1:6">
      <c r="A1053" s="10">
        <v>2016</v>
      </c>
      <c r="B1053" t="s">
        <v>672</v>
      </c>
      <c r="C1053" t="s">
        <v>1739</v>
      </c>
      <c r="D1053" t="s">
        <v>617</v>
      </c>
      <c r="E1053" s="10">
        <v>246837</v>
      </c>
      <c r="F1053" s="12">
        <v>2.43E-4</v>
      </c>
    </row>
    <row r="1054" spans="1:6">
      <c r="A1054" s="10">
        <v>2016</v>
      </c>
      <c r="B1054" t="s">
        <v>673</v>
      </c>
      <c r="C1054" t="s">
        <v>618</v>
      </c>
      <c r="D1054" t="s">
        <v>618</v>
      </c>
      <c r="E1054" s="10">
        <v>83483</v>
      </c>
      <c r="F1054" s="12">
        <v>8.2200000000000006E-5</v>
      </c>
    </row>
    <row r="1055" spans="1:6">
      <c r="A1055" s="10">
        <v>2016</v>
      </c>
      <c r="B1055" t="s">
        <v>674</v>
      </c>
      <c r="C1055" t="s">
        <v>2429</v>
      </c>
      <c r="D1055" t="s">
        <v>619</v>
      </c>
      <c r="E1055" s="10">
        <v>42740</v>
      </c>
      <c r="F1055" s="12">
        <v>4.21E-5</v>
      </c>
    </row>
    <row r="1056" spans="1:6">
      <c r="A1056" s="10">
        <v>2016</v>
      </c>
      <c r="B1056" t="s">
        <v>675</v>
      </c>
      <c r="C1056" t="s">
        <v>620</v>
      </c>
      <c r="D1056" t="s">
        <v>620</v>
      </c>
      <c r="E1056" s="10">
        <v>561701</v>
      </c>
      <c r="F1056" s="12">
        <v>5.5290000000000005E-4</v>
      </c>
    </row>
    <row r="1057" spans="1:6">
      <c r="A1057" s="10">
        <v>2016</v>
      </c>
      <c r="B1057" t="s">
        <v>676</v>
      </c>
      <c r="C1057" t="s">
        <v>1740</v>
      </c>
      <c r="D1057" t="s">
        <v>621</v>
      </c>
      <c r="E1057" s="10">
        <v>7237</v>
      </c>
      <c r="F1057" s="12">
        <v>7.0999999999999998E-6</v>
      </c>
    </row>
    <row r="1058" spans="1:6">
      <c r="A1058" s="10">
        <v>2016</v>
      </c>
      <c r="B1058" t="s">
        <v>677</v>
      </c>
      <c r="C1058" t="s">
        <v>622</v>
      </c>
      <c r="D1058" t="s">
        <v>622</v>
      </c>
      <c r="E1058" s="10">
        <v>5583</v>
      </c>
      <c r="F1058" s="12">
        <v>5.4999999999999999E-6</v>
      </c>
    </row>
    <row r="1059" spans="1:6">
      <c r="A1059" s="10">
        <v>2016</v>
      </c>
      <c r="B1059" t="s">
        <v>1463</v>
      </c>
      <c r="C1059" t="s">
        <v>1741</v>
      </c>
      <c r="D1059" t="s">
        <v>1457</v>
      </c>
      <c r="E1059" s="10">
        <v>99287</v>
      </c>
      <c r="F1059" s="12">
        <v>9.7700000000000003E-5</v>
      </c>
    </row>
    <row r="1060" spans="1:6">
      <c r="A1060" s="10">
        <v>2016</v>
      </c>
      <c r="B1060" t="s">
        <v>678</v>
      </c>
      <c r="C1060" t="s">
        <v>1458</v>
      </c>
      <c r="D1060" t="s">
        <v>1458</v>
      </c>
      <c r="E1060" s="10">
        <v>5860</v>
      </c>
      <c r="F1060" s="12">
        <v>5.8000000000000004E-6</v>
      </c>
    </row>
    <row r="1061" spans="1:6">
      <c r="A1061" s="10">
        <v>2016</v>
      </c>
      <c r="B1061" t="s">
        <v>679</v>
      </c>
      <c r="C1061" t="s">
        <v>1459</v>
      </c>
      <c r="D1061" t="s">
        <v>1459</v>
      </c>
      <c r="E1061" s="10"/>
      <c r="F1061" s="12">
        <v>0</v>
      </c>
    </row>
    <row r="1062" spans="1:6">
      <c r="A1062" s="10">
        <v>2016</v>
      </c>
      <c r="B1062" t="s">
        <v>680</v>
      </c>
      <c r="C1062" t="s">
        <v>1743</v>
      </c>
      <c r="D1062" t="s">
        <v>625</v>
      </c>
      <c r="E1062" s="10">
        <v>43527</v>
      </c>
      <c r="F1062" s="12">
        <v>4.2799999999999997E-5</v>
      </c>
    </row>
    <row r="1063" spans="1:6">
      <c r="A1063" s="10">
        <v>2016</v>
      </c>
      <c r="B1063" t="s">
        <v>681</v>
      </c>
      <c r="C1063" t="s">
        <v>626</v>
      </c>
      <c r="D1063" t="s">
        <v>626</v>
      </c>
      <c r="E1063" s="10">
        <v>223783</v>
      </c>
      <c r="F1063" s="12">
        <v>2.2029999999999999E-4</v>
      </c>
    </row>
    <row r="1064" spans="1:6">
      <c r="A1064" s="10">
        <v>2016</v>
      </c>
      <c r="B1064" t="s">
        <v>682</v>
      </c>
      <c r="C1064" t="s">
        <v>1744</v>
      </c>
      <c r="D1064" t="s">
        <v>627</v>
      </c>
      <c r="E1064" s="10">
        <v>29020</v>
      </c>
      <c r="F1064" s="12">
        <v>2.8600000000000001E-5</v>
      </c>
    </row>
    <row r="1065" spans="1:6">
      <c r="A1065" s="10">
        <v>2016</v>
      </c>
      <c r="B1065" t="s">
        <v>683</v>
      </c>
      <c r="C1065" t="s">
        <v>1746</v>
      </c>
      <c r="D1065" t="s">
        <v>628</v>
      </c>
      <c r="E1065" s="10">
        <v>173492</v>
      </c>
      <c r="F1065" s="12">
        <v>1.708E-4</v>
      </c>
    </row>
    <row r="1066" spans="1:6">
      <c r="A1066" s="10">
        <v>2016</v>
      </c>
      <c r="B1066" t="s">
        <v>1464</v>
      </c>
      <c r="C1066" t="s">
        <v>1753</v>
      </c>
      <c r="D1066" t="s">
        <v>1460</v>
      </c>
      <c r="E1066" s="10">
        <v>324783</v>
      </c>
      <c r="F1066" s="12">
        <v>3.1970000000000002E-4</v>
      </c>
    </row>
    <row r="1067" spans="1:6">
      <c r="A1067" s="10">
        <v>2016</v>
      </c>
      <c r="B1067" t="s">
        <v>684</v>
      </c>
      <c r="C1067" t="s">
        <v>1754</v>
      </c>
      <c r="D1067" t="s">
        <v>629</v>
      </c>
      <c r="E1067" s="10">
        <v>327528</v>
      </c>
      <c r="F1067" s="12">
        <v>3.2239999999999998E-4</v>
      </c>
    </row>
    <row r="1068" spans="1:6">
      <c r="A1068" s="10">
        <v>2016</v>
      </c>
      <c r="B1068" t="s">
        <v>685</v>
      </c>
      <c r="C1068" t="s">
        <v>1461</v>
      </c>
      <c r="D1068" t="s">
        <v>1461</v>
      </c>
      <c r="E1068" s="10">
        <v>24739</v>
      </c>
      <c r="F1068" s="12">
        <v>2.44E-5</v>
      </c>
    </row>
    <row r="1069" spans="1:6">
      <c r="A1069" s="10">
        <v>2016</v>
      </c>
      <c r="B1069" t="s">
        <v>686</v>
      </c>
      <c r="C1069" t="s">
        <v>1747</v>
      </c>
      <c r="D1069" t="s">
        <v>631</v>
      </c>
      <c r="E1069" s="10">
        <v>247973</v>
      </c>
      <c r="F1069" s="12">
        <v>2.441E-4</v>
      </c>
    </row>
    <row r="1070" spans="1:6">
      <c r="A1070" s="10">
        <v>2016</v>
      </c>
      <c r="B1070" t="s">
        <v>687</v>
      </c>
      <c r="C1070" t="s">
        <v>632</v>
      </c>
      <c r="D1070" t="s">
        <v>632</v>
      </c>
      <c r="E1070" s="10">
        <v>565232</v>
      </c>
      <c r="F1070" s="12">
        <v>5.5639999999999997E-4</v>
      </c>
    </row>
    <row r="1071" spans="1:6">
      <c r="A1071" s="10">
        <v>2016</v>
      </c>
      <c r="B1071" t="s">
        <v>688</v>
      </c>
      <c r="C1071" t="s">
        <v>1748</v>
      </c>
      <c r="D1071" t="s">
        <v>633</v>
      </c>
      <c r="E1071" s="10">
        <v>13178</v>
      </c>
      <c r="F1071" s="12">
        <v>1.2999999999999999E-5</v>
      </c>
    </row>
    <row r="1072" spans="1:6">
      <c r="A1072" s="10">
        <v>2016</v>
      </c>
      <c r="B1072" t="s">
        <v>689</v>
      </c>
      <c r="C1072" t="s">
        <v>1749</v>
      </c>
      <c r="D1072" t="s">
        <v>634</v>
      </c>
      <c r="E1072" s="10">
        <v>4223129</v>
      </c>
      <c r="F1072" s="12">
        <v>4.1568999999999998E-3</v>
      </c>
    </row>
    <row r="1073" spans="1:6">
      <c r="A1073" s="10">
        <v>2016</v>
      </c>
      <c r="B1073" t="s">
        <v>690</v>
      </c>
      <c r="C1073" t="s">
        <v>1750</v>
      </c>
      <c r="D1073" t="s">
        <v>635</v>
      </c>
      <c r="E1073" s="10">
        <v>18078</v>
      </c>
      <c r="F1073" s="12">
        <v>1.7799999999999999E-5</v>
      </c>
    </row>
    <row r="1074" spans="1:6">
      <c r="A1074" s="10">
        <v>2016</v>
      </c>
      <c r="B1074" t="s">
        <v>691</v>
      </c>
      <c r="C1074" t="s">
        <v>1751</v>
      </c>
      <c r="D1074" t="s">
        <v>636</v>
      </c>
      <c r="E1074" s="10">
        <v>1346749</v>
      </c>
      <c r="F1074" s="12">
        <v>1.3255999999999999E-3</v>
      </c>
    </row>
    <row r="1075" spans="1:6">
      <c r="A1075" s="10">
        <v>2016</v>
      </c>
      <c r="B1075" t="s">
        <v>692</v>
      </c>
      <c r="C1075" t="s">
        <v>637</v>
      </c>
      <c r="D1075" t="s">
        <v>637</v>
      </c>
      <c r="E1075" s="10">
        <v>238975</v>
      </c>
      <c r="F1075" s="12">
        <v>2.352E-4</v>
      </c>
    </row>
    <row r="1076" spans="1:6">
      <c r="A1076" s="10">
        <v>2016</v>
      </c>
      <c r="B1076" t="s">
        <v>693</v>
      </c>
      <c r="C1076" t="s">
        <v>2442</v>
      </c>
      <c r="D1076" t="s">
        <v>638</v>
      </c>
      <c r="E1076" s="10">
        <v>64755</v>
      </c>
      <c r="F1076" s="12">
        <v>6.3700000000000003E-5</v>
      </c>
    </row>
    <row r="1077" spans="1:6">
      <c r="A1077" s="10">
        <v>2016</v>
      </c>
      <c r="B1077" t="s">
        <v>694</v>
      </c>
      <c r="C1077" t="s">
        <v>1757</v>
      </c>
      <c r="D1077" t="s">
        <v>639</v>
      </c>
      <c r="E1077" s="10">
        <v>2417876</v>
      </c>
      <c r="F1077" s="12">
        <v>2.3800000000000002E-3</v>
      </c>
    </row>
    <row r="1078" spans="1:6">
      <c r="A1078" s="10">
        <v>2016</v>
      </c>
      <c r="B1078" t="s">
        <v>695</v>
      </c>
      <c r="C1078" t="s">
        <v>1758</v>
      </c>
      <c r="D1078" t="s">
        <v>640</v>
      </c>
      <c r="E1078" s="10">
        <v>92956</v>
      </c>
      <c r="F1078" s="12">
        <v>9.1500000000000001E-5</v>
      </c>
    </row>
    <row r="1079" spans="1:6">
      <c r="A1079" s="10">
        <v>2016</v>
      </c>
      <c r="B1079" t="s">
        <v>696</v>
      </c>
      <c r="C1079" t="s">
        <v>641</v>
      </c>
      <c r="D1079" t="s">
        <v>641</v>
      </c>
      <c r="E1079" s="10">
        <v>22577</v>
      </c>
      <c r="F1079" s="12">
        <v>2.2200000000000001E-5</v>
      </c>
    </row>
    <row r="1080" spans="1:6">
      <c r="A1080" s="10">
        <v>2016</v>
      </c>
      <c r="B1080" t="s">
        <v>697</v>
      </c>
      <c r="C1080" t="s">
        <v>1761</v>
      </c>
      <c r="D1080" t="s">
        <v>1462</v>
      </c>
      <c r="E1080" s="10">
        <v>141122</v>
      </c>
      <c r="F1080" s="12">
        <v>1.3889999999999999E-4</v>
      </c>
    </row>
    <row r="1081" spans="1:6">
      <c r="A1081" s="10">
        <v>2016</v>
      </c>
      <c r="B1081" t="s">
        <v>698</v>
      </c>
      <c r="C1081" t="s">
        <v>1762</v>
      </c>
      <c r="D1081" t="s">
        <v>643</v>
      </c>
      <c r="E1081" s="10">
        <v>3789021</v>
      </c>
      <c r="F1081" s="12">
        <v>3.7296E-3</v>
      </c>
    </row>
    <row r="1082" spans="1:6">
      <c r="A1082" s="10">
        <v>2016</v>
      </c>
      <c r="B1082" t="s">
        <v>699</v>
      </c>
      <c r="C1082" t="s">
        <v>1763</v>
      </c>
      <c r="D1082" t="s">
        <v>644</v>
      </c>
      <c r="E1082" s="10">
        <v>1867203</v>
      </c>
      <c r="F1082" s="12">
        <v>1.8379E-3</v>
      </c>
    </row>
    <row r="1083" spans="1:6">
      <c r="A1083" s="10">
        <v>2016</v>
      </c>
      <c r="B1083" t="s">
        <v>700</v>
      </c>
      <c r="C1083" t="s">
        <v>2374</v>
      </c>
      <c r="D1083" t="s">
        <v>645</v>
      </c>
      <c r="E1083" s="10">
        <v>7359</v>
      </c>
      <c r="F1083" s="12">
        <v>7.1999999999999997E-6</v>
      </c>
    </row>
    <row r="1084" spans="1:6">
      <c r="A1084" s="10">
        <v>2016</v>
      </c>
      <c r="B1084" t="s">
        <v>701</v>
      </c>
      <c r="C1084" t="s">
        <v>2405</v>
      </c>
      <c r="D1084" t="s">
        <v>646</v>
      </c>
      <c r="E1084" s="10">
        <v>268690</v>
      </c>
      <c r="F1084" s="12">
        <v>2.6449999999999998E-4</v>
      </c>
    </row>
    <row r="1085" spans="1:6">
      <c r="A1085" s="10">
        <v>2016</v>
      </c>
      <c r="B1085" t="s">
        <v>702</v>
      </c>
      <c r="C1085" t="s">
        <v>1766</v>
      </c>
      <c r="D1085" t="s">
        <v>647</v>
      </c>
      <c r="E1085" s="10">
        <v>251269</v>
      </c>
      <c r="F1085" s="12">
        <v>2.4729999999999999E-4</v>
      </c>
    </row>
    <row r="1086" spans="1:6">
      <c r="A1086" s="10">
        <v>2016</v>
      </c>
      <c r="B1086" t="s">
        <v>703</v>
      </c>
      <c r="C1086" t="s">
        <v>1767</v>
      </c>
      <c r="D1086" t="s">
        <v>648</v>
      </c>
      <c r="E1086" s="10">
        <v>1392441</v>
      </c>
      <c r="F1086" s="12">
        <v>1.3706E-3</v>
      </c>
    </row>
    <row r="1087" spans="1:6">
      <c r="A1087" s="10">
        <v>2016</v>
      </c>
      <c r="B1087" t="s">
        <v>704</v>
      </c>
      <c r="C1087" t="s">
        <v>1769</v>
      </c>
      <c r="D1087" t="s">
        <v>649</v>
      </c>
      <c r="E1087" s="10">
        <v>95836</v>
      </c>
      <c r="F1087" s="12">
        <v>9.4300000000000002E-5</v>
      </c>
    </row>
    <row r="1088" spans="1:6">
      <c r="A1088" s="10">
        <v>2016</v>
      </c>
      <c r="B1088" t="s">
        <v>705</v>
      </c>
      <c r="C1088" t="s">
        <v>1770</v>
      </c>
      <c r="D1088" t="s">
        <v>650</v>
      </c>
      <c r="E1088" s="10">
        <v>499760</v>
      </c>
      <c r="F1088" s="12">
        <v>4.9189999999999998E-4</v>
      </c>
    </row>
    <row r="1089" spans="1:6">
      <c r="A1089" s="10">
        <v>2016</v>
      </c>
      <c r="B1089" t="s">
        <v>706</v>
      </c>
      <c r="C1089" t="s">
        <v>1771</v>
      </c>
      <c r="D1089" t="s">
        <v>651</v>
      </c>
      <c r="E1089" s="10">
        <v>2672975</v>
      </c>
      <c r="F1089" s="12">
        <v>2.6310999999999999E-3</v>
      </c>
    </row>
    <row r="1090" spans="1:6">
      <c r="A1090" s="10">
        <v>2016</v>
      </c>
      <c r="B1090" t="s">
        <v>707</v>
      </c>
      <c r="C1090" t="s">
        <v>1773</v>
      </c>
      <c r="D1090" t="s">
        <v>652</v>
      </c>
      <c r="E1090" s="10">
        <v>57227</v>
      </c>
      <c r="F1090" s="12">
        <v>5.63E-5</v>
      </c>
    </row>
    <row r="1091" spans="1:6">
      <c r="A1091" s="10">
        <v>2016</v>
      </c>
      <c r="B1091" t="s">
        <v>708</v>
      </c>
      <c r="C1091" t="s">
        <v>1774</v>
      </c>
      <c r="D1091" t="s">
        <v>653</v>
      </c>
      <c r="E1091" s="10">
        <v>8192217</v>
      </c>
      <c r="F1091" s="12">
        <v>8.0637999999999994E-3</v>
      </c>
    </row>
    <row r="1092" spans="1:6">
      <c r="A1092" s="10">
        <v>2016</v>
      </c>
      <c r="B1092" t="s">
        <v>709</v>
      </c>
      <c r="C1092" t="s">
        <v>654</v>
      </c>
      <c r="D1092" t="s">
        <v>654</v>
      </c>
      <c r="E1092" s="10">
        <v>975874</v>
      </c>
      <c r="F1092" s="12">
        <v>9.6060000000000004E-4</v>
      </c>
    </row>
    <row r="1093" spans="1:6">
      <c r="A1093" s="10">
        <v>2016</v>
      </c>
      <c r="B1093" t="s">
        <v>710</v>
      </c>
      <c r="C1093" t="s">
        <v>1775</v>
      </c>
      <c r="D1093" t="s">
        <v>655</v>
      </c>
      <c r="E1093" s="10">
        <v>2095227</v>
      </c>
      <c r="F1093" s="12">
        <v>2.0623999999999998E-3</v>
      </c>
    </row>
    <row r="1094" spans="1:6">
      <c r="A1094" s="10">
        <v>2016</v>
      </c>
      <c r="B1094" t="s">
        <v>711</v>
      </c>
      <c r="C1094" t="s">
        <v>1777</v>
      </c>
      <c r="D1094" t="s">
        <v>656</v>
      </c>
      <c r="E1094" s="10"/>
      <c r="F1094" s="12">
        <v>0</v>
      </c>
    </row>
    <row r="1095" spans="1:6">
      <c r="A1095" s="10">
        <v>2016</v>
      </c>
      <c r="B1095" t="s">
        <v>712</v>
      </c>
      <c r="C1095" t="s">
        <v>1778</v>
      </c>
      <c r="D1095" t="s">
        <v>657</v>
      </c>
      <c r="E1095" s="10">
        <v>2833868</v>
      </c>
      <c r="F1095" s="12">
        <v>2.7894999999999999E-3</v>
      </c>
    </row>
    <row r="1096" spans="1:6">
      <c r="A1096" s="10">
        <v>2016</v>
      </c>
      <c r="B1096" t="s">
        <v>713</v>
      </c>
      <c r="C1096" t="s">
        <v>1779</v>
      </c>
      <c r="D1096" t="s">
        <v>658</v>
      </c>
      <c r="E1096" s="10">
        <v>135805</v>
      </c>
      <c r="F1096" s="12">
        <v>1.337E-4</v>
      </c>
    </row>
    <row r="1097" spans="1:6">
      <c r="A1097" s="10">
        <v>2016</v>
      </c>
      <c r="B1097" t="s">
        <v>714</v>
      </c>
      <c r="C1097" t="s">
        <v>1780</v>
      </c>
      <c r="D1097" t="s">
        <v>659</v>
      </c>
      <c r="E1097" s="10">
        <v>1370397</v>
      </c>
      <c r="F1097" s="12">
        <v>1.3489000000000001E-3</v>
      </c>
    </row>
    <row r="1098" spans="1:6">
      <c r="A1098" s="10">
        <v>2016</v>
      </c>
      <c r="B1098" t="s">
        <v>770</v>
      </c>
      <c r="C1098" t="s">
        <v>715</v>
      </c>
      <c r="D1098" t="s">
        <v>715</v>
      </c>
      <c r="E1098" s="10">
        <v>40401</v>
      </c>
      <c r="F1098" s="12">
        <v>3.9799999999999998E-5</v>
      </c>
    </row>
    <row r="1099" spans="1:6">
      <c r="A1099" s="10">
        <v>2016</v>
      </c>
      <c r="B1099" t="s">
        <v>771</v>
      </c>
      <c r="C1099" t="s">
        <v>1782</v>
      </c>
      <c r="D1099" t="s">
        <v>716</v>
      </c>
      <c r="E1099" s="10">
        <v>58815</v>
      </c>
      <c r="F1099" s="12">
        <v>5.7899999999999998E-5</v>
      </c>
    </row>
    <row r="1100" spans="1:6">
      <c r="A1100" s="10">
        <v>2016</v>
      </c>
      <c r="B1100" t="s">
        <v>772</v>
      </c>
      <c r="C1100" t="s">
        <v>1783</v>
      </c>
      <c r="D1100" t="s">
        <v>717</v>
      </c>
      <c r="E1100" s="10"/>
      <c r="F1100" s="12">
        <v>0</v>
      </c>
    </row>
    <row r="1101" spans="1:6">
      <c r="A1101" s="10">
        <v>2016</v>
      </c>
      <c r="B1101" t="s">
        <v>773</v>
      </c>
      <c r="C1101" t="s">
        <v>1784</v>
      </c>
      <c r="D1101" t="s">
        <v>718</v>
      </c>
      <c r="E1101" s="10">
        <v>4799916</v>
      </c>
      <c r="F1101" s="12">
        <v>4.7247000000000001E-3</v>
      </c>
    </row>
    <row r="1102" spans="1:6">
      <c r="A1102" s="10">
        <v>2016</v>
      </c>
      <c r="B1102" t="s">
        <v>774</v>
      </c>
      <c r="C1102" t="s">
        <v>1786</v>
      </c>
      <c r="D1102" t="s">
        <v>719</v>
      </c>
      <c r="E1102" s="10">
        <v>247231</v>
      </c>
      <c r="F1102" s="12">
        <v>2.4340000000000001E-4</v>
      </c>
    </row>
    <row r="1103" spans="1:6">
      <c r="A1103" s="10">
        <v>2016</v>
      </c>
      <c r="B1103" t="s">
        <v>775</v>
      </c>
      <c r="C1103" t="s">
        <v>1787</v>
      </c>
      <c r="D1103" t="s">
        <v>720</v>
      </c>
      <c r="E1103" s="10">
        <v>2412163</v>
      </c>
      <c r="F1103" s="12">
        <v>2.3744E-3</v>
      </c>
    </row>
    <row r="1104" spans="1:6">
      <c r="A1104" s="10">
        <v>2016</v>
      </c>
      <c r="B1104" t="s">
        <v>776</v>
      </c>
      <c r="C1104" t="s">
        <v>721</v>
      </c>
      <c r="D1104" t="s">
        <v>721</v>
      </c>
      <c r="E1104" s="10">
        <v>32894</v>
      </c>
      <c r="F1104" s="12">
        <v>3.2400000000000001E-5</v>
      </c>
    </row>
    <row r="1105" spans="1:6">
      <c r="A1105" s="10">
        <v>2016</v>
      </c>
      <c r="B1105" t="s">
        <v>777</v>
      </c>
      <c r="C1105" t="s">
        <v>1802</v>
      </c>
      <c r="D1105" t="s">
        <v>722</v>
      </c>
      <c r="E1105" s="10">
        <v>92039</v>
      </c>
      <c r="F1105" s="12">
        <v>9.0600000000000007E-5</v>
      </c>
    </row>
    <row r="1106" spans="1:6">
      <c r="A1106" s="10">
        <v>2016</v>
      </c>
      <c r="B1106" t="s">
        <v>778</v>
      </c>
      <c r="C1106" t="s">
        <v>1788</v>
      </c>
      <c r="D1106" t="s">
        <v>723</v>
      </c>
      <c r="E1106" s="10">
        <v>2832402</v>
      </c>
      <c r="F1106" s="12">
        <v>2.7880000000000001E-3</v>
      </c>
    </row>
    <row r="1107" spans="1:6">
      <c r="A1107" s="10">
        <v>2016</v>
      </c>
      <c r="B1107" t="s">
        <v>779</v>
      </c>
      <c r="C1107" t="s">
        <v>1789</v>
      </c>
      <c r="D1107" t="s">
        <v>724</v>
      </c>
      <c r="E1107" s="10">
        <v>123464</v>
      </c>
      <c r="F1107" s="12">
        <v>1.215E-4</v>
      </c>
    </row>
    <row r="1108" spans="1:6">
      <c r="A1108" s="10">
        <v>2016</v>
      </c>
      <c r="B1108" t="s">
        <v>780</v>
      </c>
      <c r="C1108" t="s">
        <v>1790</v>
      </c>
      <c r="D1108" t="s">
        <v>725</v>
      </c>
      <c r="E1108" s="10">
        <v>464258</v>
      </c>
      <c r="F1108" s="12">
        <v>4.57E-4</v>
      </c>
    </row>
    <row r="1109" spans="1:6">
      <c r="A1109" s="10">
        <v>2016</v>
      </c>
      <c r="B1109" t="s">
        <v>781</v>
      </c>
      <c r="C1109" t="s">
        <v>1791</v>
      </c>
      <c r="D1109" t="s">
        <v>726</v>
      </c>
      <c r="E1109" s="10">
        <v>13320</v>
      </c>
      <c r="F1109" s="12">
        <v>1.31E-5</v>
      </c>
    </row>
    <row r="1110" spans="1:6">
      <c r="A1110" s="10">
        <v>2016</v>
      </c>
      <c r="B1110" t="s">
        <v>782</v>
      </c>
      <c r="C1110" t="s">
        <v>1792</v>
      </c>
      <c r="D1110" t="s">
        <v>727</v>
      </c>
      <c r="E1110" s="10">
        <v>6160363</v>
      </c>
      <c r="F1110" s="12">
        <v>6.0638000000000003E-3</v>
      </c>
    </row>
    <row r="1111" spans="1:6">
      <c r="A1111" s="10">
        <v>2016</v>
      </c>
      <c r="B1111" t="s">
        <v>783</v>
      </c>
      <c r="C1111" t="s">
        <v>1794</v>
      </c>
      <c r="D1111" t="s">
        <v>728</v>
      </c>
      <c r="E1111" s="10">
        <v>941670</v>
      </c>
      <c r="F1111" s="12">
        <v>9.2690000000000003E-4</v>
      </c>
    </row>
    <row r="1112" spans="1:6">
      <c r="A1112" s="10">
        <v>2016</v>
      </c>
      <c r="B1112" t="s">
        <v>784</v>
      </c>
      <c r="C1112" t="s">
        <v>1795</v>
      </c>
      <c r="D1112" t="s">
        <v>729</v>
      </c>
      <c r="E1112" s="10">
        <v>37204006</v>
      </c>
      <c r="F1112" s="12">
        <v>3.6621000000000001E-2</v>
      </c>
    </row>
    <row r="1113" spans="1:6">
      <c r="A1113" s="10">
        <v>2016</v>
      </c>
      <c r="B1113" t="s">
        <v>785</v>
      </c>
      <c r="C1113" t="s">
        <v>1796</v>
      </c>
      <c r="D1113" t="s">
        <v>730</v>
      </c>
      <c r="E1113" s="10">
        <v>391168</v>
      </c>
      <c r="F1113" s="12">
        <v>3.8499999999999998E-4</v>
      </c>
    </row>
    <row r="1114" spans="1:6">
      <c r="A1114" s="10">
        <v>2016</v>
      </c>
      <c r="B1114" t="s">
        <v>786</v>
      </c>
      <c r="C1114" t="s">
        <v>2460</v>
      </c>
      <c r="D1114" t="s">
        <v>731</v>
      </c>
      <c r="E1114" s="10">
        <v>21395807</v>
      </c>
      <c r="F1114" s="12">
        <v>2.1060499999999999E-2</v>
      </c>
    </row>
    <row r="1115" spans="1:6">
      <c r="A1115" s="10">
        <v>2016</v>
      </c>
      <c r="B1115" t="s">
        <v>787</v>
      </c>
      <c r="C1115" t="s">
        <v>732</v>
      </c>
      <c r="D1115" t="s">
        <v>732</v>
      </c>
      <c r="E1115" s="10">
        <v>51488515</v>
      </c>
      <c r="F1115" s="12">
        <v>5.0681799999999999E-2</v>
      </c>
    </row>
    <row r="1116" spans="1:6">
      <c r="A1116" s="10">
        <v>2016</v>
      </c>
      <c r="B1116" t="s">
        <v>788</v>
      </c>
      <c r="C1116" t="s">
        <v>1797</v>
      </c>
      <c r="D1116" t="s">
        <v>733</v>
      </c>
      <c r="E1116" s="10">
        <v>239665</v>
      </c>
      <c r="F1116" s="12">
        <v>2.3589999999999999E-4</v>
      </c>
    </row>
    <row r="1117" spans="1:6">
      <c r="A1117" s="10">
        <v>2016</v>
      </c>
      <c r="B1117" t="s">
        <v>789</v>
      </c>
      <c r="C1117" t="s">
        <v>1799</v>
      </c>
      <c r="D1117" t="s">
        <v>734</v>
      </c>
      <c r="E1117" s="10">
        <v>2626516</v>
      </c>
      <c r="F1117" s="12">
        <v>2.5853999999999999E-3</v>
      </c>
    </row>
    <row r="1118" spans="1:6">
      <c r="A1118" s="10">
        <v>2016</v>
      </c>
      <c r="B1118" t="s">
        <v>790</v>
      </c>
      <c r="C1118" t="s">
        <v>1801</v>
      </c>
      <c r="D1118" t="s">
        <v>735</v>
      </c>
      <c r="E1118" s="10">
        <v>272585</v>
      </c>
      <c r="F1118" s="12">
        <v>2.6830000000000002E-4</v>
      </c>
    </row>
    <row r="1119" spans="1:6">
      <c r="A1119" s="10">
        <v>2016</v>
      </c>
      <c r="B1119" t="s">
        <v>791</v>
      </c>
      <c r="C1119" t="s">
        <v>736</v>
      </c>
      <c r="D1119" t="s">
        <v>736</v>
      </c>
      <c r="E1119" s="10">
        <v>222050</v>
      </c>
      <c r="F1119" s="12">
        <v>2.186E-4</v>
      </c>
    </row>
    <row r="1120" spans="1:6">
      <c r="A1120" s="10">
        <v>2016</v>
      </c>
      <c r="B1120" t="s">
        <v>792</v>
      </c>
      <c r="C1120" t="s">
        <v>1803</v>
      </c>
      <c r="D1120" t="s">
        <v>737</v>
      </c>
      <c r="E1120" s="10">
        <v>323552</v>
      </c>
      <c r="F1120" s="12">
        <v>3.1849999999999999E-4</v>
      </c>
    </row>
    <row r="1121" spans="1:6">
      <c r="A1121" s="10">
        <v>2016</v>
      </c>
      <c r="B1121" t="s">
        <v>793</v>
      </c>
      <c r="C1121" t="s">
        <v>1804</v>
      </c>
      <c r="D1121" t="s">
        <v>1465</v>
      </c>
      <c r="E1121" s="10">
        <v>114049</v>
      </c>
      <c r="F1121" s="12">
        <v>1.1230000000000001E-4</v>
      </c>
    </row>
    <row r="1122" spans="1:6">
      <c r="A1122" s="10">
        <v>2016</v>
      </c>
      <c r="B1122" t="s">
        <v>794</v>
      </c>
      <c r="C1122" t="s">
        <v>1805</v>
      </c>
      <c r="D1122" t="s">
        <v>1466</v>
      </c>
      <c r="E1122" s="10">
        <v>37273</v>
      </c>
      <c r="F1122" s="12">
        <v>3.6699999999999998E-5</v>
      </c>
    </row>
    <row r="1123" spans="1:6">
      <c r="A1123" s="10">
        <v>2016</v>
      </c>
      <c r="B1123" t="s">
        <v>795</v>
      </c>
      <c r="C1123" t="s">
        <v>1806</v>
      </c>
      <c r="D1123" t="s">
        <v>740</v>
      </c>
      <c r="E1123" s="10">
        <v>34511064</v>
      </c>
      <c r="F1123" s="12">
        <v>3.3970199999999999E-2</v>
      </c>
    </row>
    <row r="1124" spans="1:6">
      <c r="A1124" s="10">
        <v>2016</v>
      </c>
      <c r="B1124" t="s">
        <v>796</v>
      </c>
      <c r="C1124" t="s">
        <v>741</v>
      </c>
      <c r="D1124" t="s">
        <v>741</v>
      </c>
      <c r="E1124" s="10">
        <v>108400</v>
      </c>
      <c r="F1124" s="12">
        <v>1.0670000000000001E-4</v>
      </c>
    </row>
    <row r="1125" spans="1:6">
      <c r="A1125" s="10">
        <v>2016</v>
      </c>
      <c r="B1125" t="s">
        <v>797</v>
      </c>
      <c r="C1125" t="s">
        <v>1808</v>
      </c>
      <c r="D1125" t="s">
        <v>742</v>
      </c>
      <c r="E1125" s="10">
        <v>339008</v>
      </c>
      <c r="F1125" s="12">
        <v>3.3369999999999998E-4</v>
      </c>
    </row>
    <row r="1126" spans="1:6">
      <c r="A1126" s="10">
        <v>2016</v>
      </c>
      <c r="B1126" t="s">
        <v>798</v>
      </c>
      <c r="C1126" t="s">
        <v>743</v>
      </c>
      <c r="D1126" t="s">
        <v>743</v>
      </c>
      <c r="E1126" s="10">
        <v>85759</v>
      </c>
      <c r="F1126" s="12">
        <v>8.4400000000000005E-5</v>
      </c>
    </row>
    <row r="1127" spans="1:6">
      <c r="A1127" s="10">
        <v>2016</v>
      </c>
      <c r="B1127" t="s">
        <v>799</v>
      </c>
      <c r="C1127" t="s">
        <v>1809</v>
      </c>
      <c r="D1127" t="s">
        <v>744</v>
      </c>
      <c r="E1127" s="10">
        <v>483464</v>
      </c>
      <c r="F1127" s="12">
        <v>4.7590000000000002E-4</v>
      </c>
    </row>
    <row r="1128" spans="1:6">
      <c r="A1128" s="10">
        <v>2016</v>
      </c>
      <c r="B1128" t="s">
        <v>800</v>
      </c>
      <c r="C1128" t="s">
        <v>745</v>
      </c>
      <c r="D1128" t="s">
        <v>745</v>
      </c>
      <c r="E1128" s="10">
        <v>64222</v>
      </c>
      <c r="F1128" s="12">
        <v>6.3200000000000005E-5</v>
      </c>
    </row>
    <row r="1129" spans="1:6">
      <c r="A1129" s="10">
        <v>2016</v>
      </c>
      <c r="B1129" t="s">
        <v>801</v>
      </c>
      <c r="C1129" t="s">
        <v>1811</v>
      </c>
      <c r="D1129" t="s">
        <v>746</v>
      </c>
      <c r="E1129" s="10">
        <v>528364</v>
      </c>
      <c r="F1129" s="12">
        <v>5.2010000000000001E-4</v>
      </c>
    </row>
    <row r="1130" spans="1:6">
      <c r="A1130" s="10">
        <v>2016</v>
      </c>
      <c r="B1130" t="s">
        <v>802</v>
      </c>
      <c r="C1130" t="s">
        <v>1812</v>
      </c>
      <c r="D1130" t="s">
        <v>747</v>
      </c>
      <c r="E1130" s="10">
        <v>31366</v>
      </c>
      <c r="F1130" s="12">
        <v>3.0899999999999999E-5</v>
      </c>
    </row>
    <row r="1131" spans="1:6">
      <c r="A1131" s="10">
        <v>2016</v>
      </c>
      <c r="B1131" t="s">
        <v>803</v>
      </c>
      <c r="C1131" t="s">
        <v>748</v>
      </c>
      <c r="D1131" t="s">
        <v>748</v>
      </c>
      <c r="E1131" s="10">
        <v>160128</v>
      </c>
      <c r="F1131" s="12">
        <v>1.5760000000000001E-4</v>
      </c>
    </row>
    <row r="1132" spans="1:6">
      <c r="A1132" s="10">
        <v>2016</v>
      </c>
      <c r="B1132" t="s">
        <v>804</v>
      </c>
      <c r="C1132" t="s">
        <v>749</v>
      </c>
      <c r="D1132" t="s">
        <v>749</v>
      </c>
      <c r="E1132" s="10">
        <v>221906</v>
      </c>
      <c r="F1132" s="12">
        <v>2.184E-4</v>
      </c>
    </row>
    <row r="1133" spans="1:6">
      <c r="A1133" s="10">
        <v>2016</v>
      </c>
      <c r="B1133" t="s">
        <v>805</v>
      </c>
      <c r="C1133" t="s">
        <v>750</v>
      </c>
      <c r="D1133" t="s">
        <v>750</v>
      </c>
      <c r="E1133" s="10">
        <v>1406917</v>
      </c>
      <c r="F1133" s="12">
        <v>1.3849000000000001E-3</v>
      </c>
    </row>
    <row r="1134" spans="1:6">
      <c r="A1134" s="10">
        <v>2016</v>
      </c>
      <c r="B1134" t="s">
        <v>806</v>
      </c>
      <c r="C1134" t="s">
        <v>751</v>
      </c>
      <c r="D1134" t="s">
        <v>751</v>
      </c>
      <c r="E1134" s="10">
        <v>3743545</v>
      </c>
      <c r="F1134" s="12">
        <v>3.6849000000000001E-3</v>
      </c>
    </row>
    <row r="1135" spans="1:6">
      <c r="A1135" s="10">
        <v>2016</v>
      </c>
      <c r="B1135" t="s">
        <v>807</v>
      </c>
      <c r="C1135" t="s">
        <v>752</v>
      </c>
      <c r="D1135" t="s">
        <v>752</v>
      </c>
      <c r="E1135" s="10">
        <v>70728</v>
      </c>
      <c r="F1135" s="12">
        <v>6.9599999999999998E-5</v>
      </c>
    </row>
    <row r="1136" spans="1:6">
      <c r="A1136" s="10">
        <v>2016</v>
      </c>
      <c r="B1136" t="s">
        <v>808</v>
      </c>
      <c r="C1136" t="s">
        <v>2430</v>
      </c>
      <c r="D1136" t="s">
        <v>1467</v>
      </c>
      <c r="E1136" s="10">
        <v>158949</v>
      </c>
      <c r="F1136" s="12">
        <v>1.5650000000000001E-4</v>
      </c>
    </row>
    <row r="1137" spans="1:6">
      <c r="A1137" s="10">
        <v>2016</v>
      </c>
      <c r="B1137" t="s">
        <v>809</v>
      </c>
      <c r="C1137" t="s">
        <v>1814</v>
      </c>
      <c r="D1137" t="s">
        <v>754</v>
      </c>
      <c r="E1137" s="10">
        <v>608002</v>
      </c>
      <c r="F1137" s="12">
        <v>5.9849999999999997E-4</v>
      </c>
    </row>
    <row r="1138" spans="1:6">
      <c r="A1138" s="10">
        <v>2016</v>
      </c>
      <c r="B1138" t="s">
        <v>1470</v>
      </c>
      <c r="C1138" t="s">
        <v>1815</v>
      </c>
      <c r="D1138" t="s">
        <v>1468</v>
      </c>
      <c r="E1138" s="10">
        <v>11628</v>
      </c>
      <c r="F1138" s="12">
        <v>1.14E-3</v>
      </c>
    </row>
    <row r="1139" spans="1:6">
      <c r="A1139" s="10">
        <v>2016</v>
      </c>
      <c r="B1139" t="s">
        <v>810</v>
      </c>
      <c r="C1139" t="s">
        <v>1816</v>
      </c>
      <c r="D1139" t="s">
        <v>755</v>
      </c>
      <c r="E1139" s="10">
        <v>88746</v>
      </c>
      <c r="F1139" s="12">
        <v>8.7399999999999997E-5</v>
      </c>
    </row>
    <row r="1140" spans="1:6">
      <c r="A1140" s="10">
        <v>2016</v>
      </c>
      <c r="B1140" t="s">
        <v>811</v>
      </c>
      <c r="C1140" t="s">
        <v>1817</v>
      </c>
      <c r="D1140" t="s">
        <v>1469</v>
      </c>
      <c r="E1140" s="10">
        <v>19121</v>
      </c>
      <c r="F1140" s="12">
        <v>1.88E-5</v>
      </c>
    </row>
    <row r="1141" spans="1:6">
      <c r="A1141" s="10">
        <v>2016</v>
      </c>
      <c r="B1141" t="s">
        <v>812</v>
      </c>
      <c r="C1141" t="s">
        <v>1818</v>
      </c>
      <c r="D1141" t="s">
        <v>757</v>
      </c>
      <c r="E1141" s="10">
        <v>753418</v>
      </c>
      <c r="F1141" s="12">
        <v>7.4160000000000003E-4</v>
      </c>
    </row>
    <row r="1142" spans="1:6">
      <c r="A1142" s="10">
        <v>2016</v>
      </c>
      <c r="B1142" t="s">
        <v>813</v>
      </c>
      <c r="C1142" t="s">
        <v>1819</v>
      </c>
      <c r="D1142" t="s">
        <v>758</v>
      </c>
      <c r="E1142" s="10">
        <v>82961</v>
      </c>
      <c r="F1142" s="12">
        <v>8.1699999999999994E-5</v>
      </c>
    </row>
    <row r="1143" spans="1:6">
      <c r="A1143" s="10">
        <v>2016</v>
      </c>
      <c r="B1143" t="s">
        <v>814</v>
      </c>
      <c r="C1143" t="s">
        <v>1820</v>
      </c>
      <c r="D1143" t="s">
        <v>759</v>
      </c>
      <c r="E1143" s="10">
        <v>61381</v>
      </c>
      <c r="F1143" s="12">
        <v>6.0399999999999998E-5</v>
      </c>
    </row>
    <row r="1144" spans="1:6">
      <c r="A1144" s="10">
        <v>2016</v>
      </c>
      <c r="B1144" t="s">
        <v>815</v>
      </c>
      <c r="C1144" t="s">
        <v>760</v>
      </c>
      <c r="D1144" t="s">
        <v>760</v>
      </c>
      <c r="E1144" s="10">
        <v>20269</v>
      </c>
      <c r="F1144" s="12">
        <v>2.0000000000000002E-5</v>
      </c>
    </row>
    <row r="1145" spans="1:6">
      <c r="A1145" s="10">
        <v>2016</v>
      </c>
      <c r="B1145" t="s">
        <v>816</v>
      </c>
      <c r="C1145" t="s">
        <v>761</v>
      </c>
      <c r="D1145" t="s">
        <v>761</v>
      </c>
      <c r="E1145" s="10">
        <v>48930</v>
      </c>
      <c r="F1145" s="12">
        <v>4.8199999999999999E-5</v>
      </c>
    </row>
    <row r="1146" spans="1:6">
      <c r="A1146" s="10">
        <v>2016</v>
      </c>
      <c r="B1146" t="s">
        <v>817</v>
      </c>
      <c r="C1146" t="s">
        <v>762</v>
      </c>
      <c r="D1146" t="s">
        <v>762</v>
      </c>
      <c r="E1146" s="10">
        <v>73756</v>
      </c>
      <c r="F1146" s="12">
        <v>7.2600000000000003E-5</v>
      </c>
    </row>
    <row r="1147" spans="1:6">
      <c r="A1147" s="10">
        <v>2016</v>
      </c>
      <c r="B1147" t="s">
        <v>818</v>
      </c>
      <c r="C1147" t="s">
        <v>2445</v>
      </c>
      <c r="D1147" t="s">
        <v>763</v>
      </c>
      <c r="E1147" s="10">
        <v>23207</v>
      </c>
      <c r="F1147" s="12">
        <v>2.2799999999999999E-5</v>
      </c>
    </row>
    <row r="1148" spans="1:6">
      <c r="A1148" s="10">
        <v>2016</v>
      </c>
      <c r="B1148" t="s">
        <v>819</v>
      </c>
      <c r="C1148" t="s">
        <v>1689</v>
      </c>
      <c r="D1148" t="s">
        <v>764</v>
      </c>
      <c r="E1148" s="10"/>
      <c r="F1148" s="12">
        <v>0</v>
      </c>
    </row>
    <row r="1149" spans="1:6">
      <c r="A1149" s="10">
        <v>2016</v>
      </c>
      <c r="B1149" t="s">
        <v>820</v>
      </c>
      <c r="C1149" t="s">
        <v>1822</v>
      </c>
      <c r="D1149" t="s">
        <v>765</v>
      </c>
      <c r="E1149" s="10">
        <v>1021264</v>
      </c>
      <c r="F1149" s="12">
        <v>1.0053E-3</v>
      </c>
    </row>
    <row r="1150" spans="1:6">
      <c r="A1150" s="10">
        <v>2016</v>
      </c>
      <c r="B1150" t="s">
        <v>821</v>
      </c>
      <c r="C1150" t="s">
        <v>1834</v>
      </c>
      <c r="D1150" t="s">
        <v>766</v>
      </c>
      <c r="E1150" s="10">
        <v>51796</v>
      </c>
      <c r="F1150" s="12">
        <v>5.1E-5</v>
      </c>
    </row>
    <row r="1151" spans="1:6">
      <c r="A1151" s="10">
        <v>2016</v>
      </c>
      <c r="B1151" t="s">
        <v>822</v>
      </c>
      <c r="C1151" t="s">
        <v>2406</v>
      </c>
      <c r="D1151" t="s">
        <v>767</v>
      </c>
      <c r="E1151" s="10">
        <v>134054</v>
      </c>
      <c r="F1151" s="12">
        <v>1.3200000000000001E-4</v>
      </c>
    </row>
    <row r="1152" spans="1:6">
      <c r="A1152" s="10">
        <v>2016</v>
      </c>
      <c r="B1152" t="s">
        <v>823</v>
      </c>
      <c r="C1152" t="s">
        <v>1840</v>
      </c>
      <c r="D1152" t="s">
        <v>768</v>
      </c>
      <c r="E1152" s="10">
        <v>790527</v>
      </c>
      <c r="F1152" s="12">
        <v>7.7809999999999999E-4</v>
      </c>
    </row>
    <row r="1153" spans="1:6">
      <c r="A1153" s="10">
        <v>2016</v>
      </c>
      <c r="B1153" t="s">
        <v>824</v>
      </c>
      <c r="C1153" t="s">
        <v>1839</v>
      </c>
      <c r="D1153" t="s">
        <v>769</v>
      </c>
      <c r="E1153" s="10">
        <v>339795</v>
      </c>
      <c r="F1153" s="12">
        <v>3.345E-4</v>
      </c>
    </row>
    <row r="1154" spans="1:6">
      <c r="A1154" s="10">
        <v>2016</v>
      </c>
      <c r="B1154" t="s">
        <v>880</v>
      </c>
      <c r="C1154" t="s">
        <v>2407</v>
      </c>
      <c r="D1154" t="s">
        <v>825</v>
      </c>
      <c r="E1154" s="10">
        <v>487542</v>
      </c>
      <c r="F1154" s="12">
        <v>4.7990000000000001E-4</v>
      </c>
    </row>
    <row r="1155" spans="1:6">
      <c r="A1155" s="10">
        <v>2016</v>
      </c>
      <c r="B1155" t="s">
        <v>881</v>
      </c>
      <c r="C1155" t="s">
        <v>1825</v>
      </c>
      <c r="D1155" t="s">
        <v>826</v>
      </c>
      <c r="E1155" s="10">
        <v>33238</v>
      </c>
      <c r="F1155" s="12">
        <v>3.2700000000000002E-5</v>
      </c>
    </row>
    <row r="1156" spans="1:6">
      <c r="A1156" s="10">
        <v>2016</v>
      </c>
      <c r="B1156" t="s">
        <v>882</v>
      </c>
      <c r="C1156" t="s">
        <v>1827</v>
      </c>
      <c r="D1156" t="s">
        <v>827</v>
      </c>
      <c r="E1156" s="10">
        <v>19</v>
      </c>
      <c r="F1156" s="12">
        <v>0</v>
      </c>
    </row>
    <row r="1157" spans="1:6">
      <c r="A1157" s="10">
        <v>2016</v>
      </c>
      <c r="B1157" t="s">
        <v>883</v>
      </c>
      <c r="C1157" t="s">
        <v>2418</v>
      </c>
      <c r="D1157" t="s">
        <v>828</v>
      </c>
      <c r="E1157" s="10">
        <v>152203</v>
      </c>
      <c r="F1157" s="12">
        <v>1.4980000000000001E-4</v>
      </c>
    </row>
    <row r="1158" spans="1:6">
      <c r="A1158" s="10">
        <v>2016</v>
      </c>
      <c r="B1158" t="s">
        <v>884</v>
      </c>
      <c r="C1158" t="s">
        <v>829</v>
      </c>
      <c r="D1158" t="s">
        <v>829</v>
      </c>
      <c r="E1158" s="10">
        <v>1936144</v>
      </c>
      <c r="F1158" s="12">
        <v>1.9058E-3</v>
      </c>
    </row>
    <row r="1159" spans="1:6">
      <c r="A1159" s="10">
        <v>2016</v>
      </c>
      <c r="B1159" t="s">
        <v>885</v>
      </c>
      <c r="C1159" t="s">
        <v>1828</v>
      </c>
      <c r="D1159" t="s">
        <v>830</v>
      </c>
      <c r="E1159" s="10"/>
      <c r="F1159" s="12">
        <v>0</v>
      </c>
    </row>
    <row r="1160" spans="1:6">
      <c r="A1160" s="10">
        <v>2016</v>
      </c>
      <c r="B1160" t="s">
        <v>886</v>
      </c>
      <c r="C1160" t="s">
        <v>1829</v>
      </c>
      <c r="D1160" t="s">
        <v>831</v>
      </c>
      <c r="E1160" s="10">
        <v>43382</v>
      </c>
      <c r="F1160" s="12">
        <v>4.2700000000000001E-5</v>
      </c>
    </row>
    <row r="1161" spans="1:6">
      <c r="A1161" s="10">
        <v>2016</v>
      </c>
      <c r="B1161" t="s">
        <v>887</v>
      </c>
      <c r="C1161" t="s">
        <v>1830</v>
      </c>
      <c r="D1161" t="s">
        <v>1471</v>
      </c>
      <c r="E1161" s="10">
        <v>56479</v>
      </c>
      <c r="F1161" s="12">
        <v>5.5600000000000003E-5</v>
      </c>
    </row>
    <row r="1162" spans="1:6">
      <c r="A1162" s="10">
        <v>2016</v>
      </c>
      <c r="B1162" t="s">
        <v>888</v>
      </c>
      <c r="C1162" t="s">
        <v>1831</v>
      </c>
      <c r="D1162" t="s">
        <v>1472</v>
      </c>
      <c r="E1162" s="10">
        <v>14795</v>
      </c>
      <c r="F1162" s="12">
        <v>1.4600000000000001E-5</v>
      </c>
    </row>
    <row r="1163" spans="1:6">
      <c r="A1163" s="10">
        <v>2016</v>
      </c>
      <c r="B1163" t="s">
        <v>889</v>
      </c>
      <c r="C1163" t="s">
        <v>834</v>
      </c>
      <c r="D1163" t="s">
        <v>834</v>
      </c>
      <c r="E1163" s="10"/>
      <c r="F1163" s="12">
        <v>0</v>
      </c>
    </row>
    <row r="1164" spans="1:6">
      <c r="A1164" s="10">
        <v>2016</v>
      </c>
      <c r="B1164" t="s">
        <v>890</v>
      </c>
      <c r="C1164" t="s">
        <v>1832</v>
      </c>
      <c r="D1164" t="s">
        <v>835</v>
      </c>
      <c r="E1164" s="10">
        <v>2398712</v>
      </c>
      <c r="F1164" s="12">
        <v>2.3611000000000001E-3</v>
      </c>
    </row>
    <row r="1165" spans="1:6">
      <c r="A1165" s="10">
        <v>2016</v>
      </c>
      <c r="B1165" t="s">
        <v>891</v>
      </c>
      <c r="C1165" t="s">
        <v>1835</v>
      </c>
      <c r="D1165" t="s">
        <v>836</v>
      </c>
      <c r="E1165" s="10">
        <v>36544</v>
      </c>
      <c r="F1165" s="12">
        <v>3.6000000000000001E-5</v>
      </c>
    </row>
    <row r="1166" spans="1:6">
      <c r="A1166" s="10">
        <v>2016</v>
      </c>
      <c r="B1166" t="s">
        <v>892</v>
      </c>
      <c r="C1166" t="s">
        <v>1836</v>
      </c>
      <c r="D1166" t="s">
        <v>837</v>
      </c>
      <c r="E1166" s="10">
        <v>91583</v>
      </c>
      <c r="F1166" s="12">
        <v>9.0099999999999995E-5</v>
      </c>
    </row>
    <row r="1167" spans="1:6">
      <c r="A1167" s="10">
        <v>2016</v>
      </c>
      <c r="B1167" t="s">
        <v>893</v>
      </c>
      <c r="C1167" t="s">
        <v>2432</v>
      </c>
      <c r="D1167" t="s">
        <v>838</v>
      </c>
      <c r="E1167" s="10">
        <v>3541</v>
      </c>
      <c r="F1167" s="12">
        <v>3.4999999999999999E-6</v>
      </c>
    </row>
    <row r="1168" spans="1:6">
      <c r="A1168" s="10">
        <v>2016</v>
      </c>
      <c r="B1168" t="s">
        <v>894</v>
      </c>
      <c r="C1168" t="s">
        <v>839</v>
      </c>
      <c r="D1168" t="s">
        <v>839</v>
      </c>
      <c r="E1168" s="10">
        <v>11569921</v>
      </c>
      <c r="F1168" s="12">
        <v>1.13886E-2</v>
      </c>
    </row>
    <row r="1169" spans="1:6">
      <c r="A1169" s="10">
        <v>2016</v>
      </c>
      <c r="B1169" t="s">
        <v>895</v>
      </c>
      <c r="C1169" t="s">
        <v>1842</v>
      </c>
      <c r="D1169" t="s">
        <v>840</v>
      </c>
      <c r="E1169" s="10">
        <v>33920</v>
      </c>
      <c r="F1169" s="12">
        <v>3.3399999999999999E-5</v>
      </c>
    </row>
    <row r="1170" spans="1:6">
      <c r="A1170" s="10">
        <v>2016</v>
      </c>
      <c r="B1170" t="s">
        <v>896</v>
      </c>
      <c r="C1170" t="s">
        <v>1837</v>
      </c>
      <c r="D1170" t="s">
        <v>841</v>
      </c>
      <c r="E1170" s="10">
        <v>73277</v>
      </c>
      <c r="F1170" s="12">
        <v>7.2100000000000004E-5</v>
      </c>
    </row>
    <row r="1171" spans="1:6">
      <c r="A1171" s="10">
        <v>2016</v>
      </c>
      <c r="B1171" t="s">
        <v>897</v>
      </c>
      <c r="C1171" t="s">
        <v>1841</v>
      </c>
      <c r="D1171" t="s">
        <v>842</v>
      </c>
      <c r="E1171" s="10">
        <v>392494</v>
      </c>
      <c r="F1171" s="12">
        <v>3.8630000000000001E-4</v>
      </c>
    </row>
    <row r="1172" spans="1:6">
      <c r="A1172" s="10">
        <v>2016</v>
      </c>
      <c r="B1172" t="s">
        <v>898</v>
      </c>
      <c r="C1172" t="s">
        <v>843</v>
      </c>
      <c r="D1172" t="s">
        <v>843</v>
      </c>
      <c r="E1172" s="10">
        <v>1317608</v>
      </c>
      <c r="F1172" s="12">
        <v>1.297E-3</v>
      </c>
    </row>
    <row r="1173" spans="1:6">
      <c r="A1173" s="10">
        <v>2016</v>
      </c>
      <c r="B1173" t="s">
        <v>899</v>
      </c>
      <c r="C1173" t="s">
        <v>844</v>
      </c>
      <c r="D1173" t="s">
        <v>844</v>
      </c>
      <c r="E1173" s="10">
        <v>311099</v>
      </c>
      <c r="F1173" s="12">
        <v>3.0620000000000002E-4</v>
      </c>
    </row>
    <row r="1174" spans="1:6">
      <c r="A1174" s="10">
        <v>2016</v>
      </c>
      <c r="B1174" t="s">
        <v>900</v>
      </c>
      <c r="C1174" t="s">
        <v>845</v>
      </c>
      <c r="D1174" t="s">
        <v>845</v>
      </c>
      <c r="E1174" s="10">
        <v>241584</v>
      </c>
      <c r="F1174" s="12">
        <v>2.3780000000000001E-4</v>
      </c>
    </row>
    <row r="1175" spans="1:6">
      <c r="A1175" s="10">
        <v>2016</v>
      </c>
      <c r="B1175" t="s">
        <v>901</v>
      </c>
      <c r="C1175" t="s">
        <v>846</v>
      </c>
      <c r="D1175" t="s">
        <v>846</v>
      </c>
      <c r="E1175" s="10">
        <v>68251</v>
      </c>
      <c r="F1175" s="12">
        <v>6.7199999999999994E-5</v>
      </c>
    </row>
    <row r="1176" spans="1:6">
      <c r="A1176" s="10">
        <v>2016</v>
      </c>
      <c r="B1176" t="s">
        <v>902</v>
      </c>
      <c r="C1176" t="s">
        <v>1843</v>
      </c>
      <c r="D1176" t="s">
        <v>847</v>
      </c>
      <c r="E1176" s="10">
        <v>266786</v>
      </c>
      <c r="F1176" s="12">
        <v>2.6259999999999999E-4</v>
      </c>
    </row>
    <row r="1177" spans="1:6">
      <c r="A1177" s="10">
        <v>2016</v>
      </c>
      <c r="B1177" t="s">
        <v>903</v>
      </c>
      <c r="C1177" t="s">
        <v>1845</v>
      </c>
      <c r="D1177" t="s">
        <v>848</v>
      </c>
      <c r="E1177" s="10">
        <v>1514241</v>
      </c>
      <c r="F1177" s="12">
        <v>1.4905000000000001E-3</v>
      </c>
    </row>
    <row r="1178" spans="1:6">
      <c r="A1178" s="10">
        <v>2016</v>
      </c>
      <c r="B1178" t="s">
        <v>904</v>
      </c>
      <c r="C1178" t="s">
        <v>1846</v>
      </c>
      <c r="D1178" t="s">
        <v>849</v>
      </c>
      <c r="E1178" s="10">
        <v>16104</v>
      </c>
      <c r="F1178" s="12">
        <v>1.59E-5</v>
      </c>
    </row>
    <row r="1179" spans="1:6">
      <c r="A1179" s="10">
        <v>2016</v>
      </c>
      <c r="B1179" t="s">
        <v>905</v>
      </c>
      <c r="C1179" t="s">
        <v>1847</v>
      </c>
      <c r="D1179" t="s">
        <v>850</v>
      </c>
      <c r="E1179" s="10">
        <v>29980</v>
      </c>
      <c r="F1179" s="12">
        <v>2.9499999999999999E-5</v>
      </c>
    </row>
    <row r="1180" spans="1:6">
      <c r="A1180" s="10">
        <v>2016</v>
      </c>
      <c r="B1180" t="s">
        <v>906</v>
      </c>
      <c r="C1180" t="s">
        <v>1848</v>
      </c>
      <c r="D1180" t="s">
        <v>851</v>
      </c>
      <c r="E1180" s="10">
        <v>1564840</v>
      </c>
      <c r="F1180" s="12">
        <v>1.5403000000000001E-3</v>
      </c>
    </row>
    <row r="1181" spans="1:6">
      <c r="A1181" s="10">
        <v>2016</v>
      </c>
      <c r="B1181" t="s">
        <v>907</v>
      </c>
      <c r="C1181" t="s">
        <v>2024</v>
      </c>
      <c r="D1181" t="s">
        <v>852</v>
      </c>
      <c r="E1181" s="10">
        <v>43168</v>
      </c>
      <c r="F1181" s="12">
        <v>4.2500000000000003E-5</v>
      </c>
    </row>
    <row r="1182" spans="1:6">
      <c r="A1182" s="10">
        <v>2016</v>
      </c>
      <c r="B1182" t="s">
        <v>908</v>
      </c>
      <c r="C1182" t="s">
        <v>1851</v>
      </c>
      <c r="D1182" t="s">
        <v>853</v>
      </c>
      <c r="E1182" s="10">
        <v>233704</v>
      </c>
      <c r="F1182" s="12">
        <v>2.3000000000000001E-4</v>
      </c>
    </row>
    <row r="1183" spans="1:6">
      <c r="A1183" s="10">
        <v>2016</v>
      </c>
      <c r="B1183" t="s">
        <v>909</v>
      </c>
      <c r="C1183" t="s">
        <v>1852</v>
      </c>
      <c r="D1183" t="s">
        <v>854</v>
      </c>
      <c r="E1183" s="10">
        <v>77438</v>
      </c>
      <c r="F1183" s="12">
        <v>7.6199999999999995E-5</v>
      </c>
    </row>
    <row r="1184" spans="1:6">
      <c r="A1184" s="10">
        <v>2016</v>
      </c>
      <c r="B1184" t="s">
        <v>910</v>
      </c>
      <c r="C1184" t="s">
        <v>1853</v>
      </c>
      <c r="D1184" t="s">
        <v>855</v>
      </c>
      <c r="E1184" s="10">
        <v>522823</v>
      </c>
      <c r="F1184" s="12">
        <v>5.1460000000000004E-4</v>
      </c>
    </row>
    <row r="1185" spans="1:6">
      <c r="A1185" s="10">
        <v>2016</v>
      </c>
      <c r="B1185" t="s">
        <v>911</v>
      </c>
      <c r="C1185" t="s">
        <v>1855</v>
      </c>
      <c r="D1185" t="s">
        <v>856</v>
      </c>
      <c r="E1185" s="10">
        <v>15272294</v>
      </c>
      <c r="F1185" s="12">
        <v>1.5032999999999999E-2</v>
      </c>
    </row>
    <row r="1186" spans="1:6">
      <c r="A1186" s="10">
        <v>2016</v>
      </c>
      <c r="B1186" t="s">
        <v>912</v>
      </c>
      <c r="C1186" t="s">
        <v>1854</v>
      </c>
      <c r="D1186" t="s">
        <v>857</v>
      </c>
      <c r="E1186" s="10">
        <v>733297</v>
      </c>
      <c r="F1186" s="12">
        <v>7.2179999999999998E-4</v>
      </c>
    </row>
    <row r="1187" spans="1:6">
      <c r="A1187" s="10">
        <v>2016</v>
      </c>
      <c r="B1187" t="s">
        <v>1474</v>
      </c>
      <c r="C1187" t="s">
        <v>1473</v>
      </c>
      <c r="D1187" t="s">
        <v>1473</v>
      </c>
      <c r="E1187" s="10">
        <v>6510</v>
      </c>
      <c r="F1187" s="12">
        <v>6.4000000000000005E-4</v>
      </c>
    </row>
    <row r="1188" spans="1:6">
      <c r="A1188" s="10">
        <v>2016</v>
      </c>
      <c r="B1188" t="s">
        <v>913</v>
      </c>
      <c r="C1188" t="s">
        <v>1857</v>
      </c>
      <c r="D1188" t="s">
        <v>858</v>
      </c>
      <c r="E1188" s="10">
        <v>94175</v>
      </c>
      <c r="F1188" s="12">
        <v>9.2700000000000004E-5</v>
      </c>
    </row>
    <row r="1189" spans="1:6">
      <c r="A1189" s="10">
        <v>2016</v>
      </c>
      <c r="B1189" t="s">
        <v>914</v>
      </c>
      <c r="C1189" t="s">
        <v>1858</v>
      </c>
      <c r="D1189" t="s">
        <v>859</v>
      </c>
      <c r="E1189" s="10">
        <v>31542</v>
      </c>
      <c r="F1189" s="12">
        <v>3.1000000000000001E-5</v>
      </c>
    </row>
    <row r="1190" spans="1:6">
      <c r="A1190" s="10">
        <v>2016</v>
      </c>
      <c r="B1190" t="s">
        <v>915</v>
      </c>
      <c r="C1190" t="s">
        <v>1859</v>
      </c>
      <c r="D1190" t="s">
        <v>860</v>
      </c>
      <c r="E1190" s="10">
        <v>1008552</v>
      </c>
      <c r="F1190" s="12">
        <v>9.9270000000000001E-4</v>
      </c>
    </row>
    <row r="1191" spans="1:6">
      <c r="A1191" s="10">
        <v>2016</v>
      </c>
      <c r="B1191" t="s">
        <v>916</v>
      </c>
      <c r="C1191" t="s">
        <v>2443</v>
      </c>
      <c r="D1191" t="s">
        <v>861</v>
      </c>
      <c r="E1191" s="10">
        <v>46962</v>
      </c>
      <c r="F1191" s="12">
        <v>4.6199999999999998E-5</v>
      </c>
    </row>
    <row r="1192" spans="1:6">
      <c r="A1192" s="10">
        <v>2016</v>
      </c>
      <c r="B1192" t="s">
        <v>917</v>
      </c>
      <c r="C1192" t="s">
        <v>1861</v>
      </c>
      <c r="D1192" t="s">
        <v>862</v>
      </c>
      <c r="E1192" s="10">
        <v>66180</v>
      </c>
      <c r="F1192" s="12">
        <v>6.5099999999999997E-5</v>
      </c>
    </row>
    <row r="1193" spans="1:6">
      <c r="A1193" s="10">
        <v>2016</v>
      </c>
      <c r="B1193" t="s">
        <v>918</v>
      </c>
      <c r="C1193" t="s">
        <v>863</v>
      </c>
      <c r="D1193" t="s">
        <v>863</v>
      </c>
      <c r="E1193" s="10">
        <v>13726</v>
      </c>
      <c r="F1193" s="12">
        <v>1.3499999999999999E-5</v>
      </c>
    </row>
    <row r="1194" spans="1:6">
      <c r="A1194" s="10">
        <v>2016</v>
      </c>
      <c r="B1194" t="s">
        <v>919</v>
      </c>
      <c r="C1194" t="s">
        <v>1862</v>
      </c>
      <c r="D1194" t="s">
        <v>864</v>
      </c>
      <c r="E1194" s="10">
        <v>119487</v>
      </c>
      <c r="F1194" s="12">
        <v>1.176E-4</v>
      </c>
    </row>
    <row r="1195" spans="1:6">
      <c r="A1195" s="10">
        <v>2016</v>
      </c>
      <c r="B1195" t="s">
        <v>920</v>
      </c>
      <c r="C1195" t="s">
        <v>1914</v>
      </c>
      <c r="D1195" t="s">
        <v>1475</v>
      </c>
      <c r="E1195" s="10">
        <v>7575</v>
      </c>
      <c r="F1195" s="12">
        <v>7.5000000000000002E-6</v>
      </c>
    </row>
    <row r="1196" spans="1:6">
      <c r="A1196" s="10">
        <v>2016</v>
      </c>
      <c r="B1196" t="s">
        <v>921</v>
      </c>
      <c r="C1196" t="s">
        <v>1865</v>
      </c>
      <c r="D1196" t="s">
        <v>866</v>
      </c>
      <c r="E1196" s="10">
        <v>1041424</v>
      </c>
      <c r="F1196" s="12">
        <v>1.0250999999999999E-3</v>
      </c>
    </row>
    <row r="1197" spans="1:6">
      <c r="A1197" s="10">
        <v>2016</v>
      </c>
      <c r="B1197" t="s">
        <v>922</v>
      </c>
      <c r="C1197" t="s">
        <v>1867</v>
      </c>
      <c r="D1197" t="s">
        <v>867</v>
      </c>
      <c r="E1197" s="10">
        <v>108919</v>
      </c>
      <c r="F1197" s="12">
        <v>1.072E-4</v>
      </c>
    </row>
    <row r="1198" spans="1:6">
      <c r="A1198" s="10">
        <v>2016</v>
      </c>
      <c r="B1198" t="s">
        <v>923</v>
      </c>
      <c r="C1198" t="s">
        <v>868</v>
      </c>
      <c r="D1198" t="s">
        <v>868</v>
      </c>
      <c r="E1198" s="10">
        <v>67401</v>
      </c>
      <c r="F1198" s="12">
        <v>6.6299999999999999E-5</v>
      </c>
    </row>
    <row r="1199" spans="1:6">
      <c r="A1199" s="10">
        <v>2016</v>
      </c>
      <c r="B1199" t="s">
        <v>924</v>
      </c>
      <c r="C1199" t="s">
        <v>1868</v>
      </c>
      <c r="D1199" t="s">
        <v>869</v>
      </c>
      <c r="E1199" s="10">
        <v>85062</v>
      </c>
      <c r="F1199" s="12">
        <v>8.3700000000000002E-5</v>
      </c>
    </row>
    <row r="1200" spans="1:6">
      <c r="A1200" s="10">
        <v>2016</v>
      </c>
      <c r="B1200" t="s">
        <v>925</v>
      </c>
      <c r="C1200" t="s">
        <v>1869</v>
      </c>
      <c r="D1200" t="s">
        <v>870</v>
      </c>
      <c r="E1200" s="10">
        <v>4011511</v>
      </c>
      <c r="F1200" s="12">
        <v>3.9486E-3</v>
      </c>
    </row>
    <row r="1201" spans="1:6">
      <c r="A1201" s="10">
        <v>2016</v>
      </c>
      <c r="B1201" t="s">
        <v>926</v>
      </c>
      <c r="C1201" t="s">
        <v>1870</v>
      </c>
      <c r="D1201" t="s">
        <v>871</v>
      </c>
      <c r="E1201" s="10">
        <v>15705723</v>
      </c>
      <c r="F1201" s="12">
        <v>1.54596E-2</v>
      </c>
    </row>
    <row r="1202" spans="1:6">
      <c r="A1202" s="10">
        <v>2016</v>
      </c>
      <c r="B1202" t="s">
        <v>927</v>
      </c>
      <c r="C1202" t="s">
        <v>1872</v>
      </c>
      <c r="D1202" t="s">
        <v>872</v>
      </c>
      <c r="E1202" s="10">
        <v>4432682</v>
      </c>
      <c r="F1202" s="12">
        <v>4.3632000000000002E-3</v>
      </c>
    </row>
    <row r="1203" spans="1:6">
      <c r="A1203" s="10">
        <v>2016</v>
      </c>
      <c r="B1203" t="s">
        <v>928</v>
      </c>
      <c r="C1203" t="s">
        <v>1875</v>
      </c>
      <c r="D1203" t="s">
        <v>873</v>
      </c>
      <c r="E1203" s="10">
        <v>561168</v>
      </c>
      <c r="F1203" s="12">
        <v>5.5239999999999998E-4</v>
      </c>
    </row>
    <row r="1204" spans="1:6">
      <c r="A1204" s="10">
        <v>2016</v>
      </c>
      <c r="B1204" t="s">
        <v>929</v>
      </c>
      <c r="C1204" t="s">
        <v>1874</v>
      </c>
      <c r="D1204" t="s">
        <v>874</v>
      </c>
      <c r="E1204" s="10">
        <v>17378537</v>
      </c>
      <c r="F1204" s="12">
        <v>1.7106199999999998E-2</v>
      </c>
    </row>
    <row r="1205" spans="1:6">
      <c r="A1205" s="10">
        <v>2016</v>
      </c>
      <c r="B1205" t="s">
        <v>930</v>
      </c>
      <c r="C1205" t="s">
        <v>1873</v>
      </c>
      <c r="D1205" t="s">
        <v>1476</v>
      </c>
      <c r="E1205" s="10">
        <v>48618</v>
      </c>
      <c r="F1205" s="12">
        <v>4.7899999999999999E-5</v>
      </c>
    </row>
    <row r="1206" spans="1:6">
      <c r="A1206" s="10">
        <v>2016</v>
      </c>
      <c r="B1206" t="s">
        <v>931</v>
      </c>
      <c r="C1206" t="s">
        <v>1876</v>
      </c>
      <c r="D1206" t="s">
        <v>876</v>
      </c>
      <c r="E1206" s="10">
        <v>100840</v>
      </c>
      <c r="F1206" s="12">
        <v>9.9300000000000001E-5</v>
      </c>
    </row>
    <row r="1207" spans="1:6">
      <c r="A1207" s="10">
        <v>2016</v>
      </c>
      <c r="B1207" t="s">
        <v>932</v>
      </c>
      <c r="C1207" t="s">
        <v>1877</v>
      </c>
      <c r="D1207" t="s">
        <v>877</v>
      </c>
      <c r="E1207" s="10">
        <v>4263</v>
      </c>
      <c r="F1207" s="12">
        <v>4.1999999999999996E-6</v>
      </c>
    </row>
    <row r="1208" spans="1:6">
      <c r="A1208" s="10">
        <v>2016</v>
      </c>
      <c r="B1208" t="s">
        <v>933</v>
      </c>
      <c r="C1208" t="s">
        <v>1878</v>
      </c>
      <c r="D1208" t="s">
        <v>878</v>
      </c>
      <c r="E1208" s="10">
        <v>28330</v>
      </c>
      <c r="F1208" s="12">
        <v>2.7900000000000001E-5</v>
      </c>
    </row>
    <row r="1209" spans="1:6">
      <c r="A1209" s="10">
        <v>2016</v>
      </c>
      <c r="B1209" t="s">
        <v>934</v>
      </c>
      <c r="C1209" t="s">
        <v>1880</v>
      </c>
      <c r="D1209" t="s">
        <v>879</v>
      </c>
      <c r="E1209" s="10">
        <v>403276</v>
      </c>
      <c r="F1209" s="12">
        <v>3.97E-4</v>
      </c>
    </row>
    <row r="1210" spans="1:6">
      <c r="A1210" s="10">
        <v>2016</v>
      </c>
      <c r="B1210" t="s">
        <v>990</v>
      </c>
      <c r="C1210" t="s">
        <v>935</v>
      </c>
      <c r="D1210" t="s">
        <v>935</v>
      </c>
      <c r="E1210" s="10">
        <v>8281527</v>
      </c>
      <c r="F1210" s="12">
        <v>8.1516999999999996E-3</v>
      </c>
    </row>
    <row r="1211" spans="1:6">
      <c r="A1211" s="10">
        <v>2016</v>
      </c>
      <c r="B1211" t="s">
        <v>991</v>
      </c>
      <c r="C1211" t="s">
        <v>936</v>
      </c>
      <c r="D1211" t="s">
        <v>936</v>
      </c>
      <c r="E1211" s="10">
        <v>24633689</v>
      </c>
      <c r="F1211" s="12">
        <v>2.4247700000000001E-2</v>
      </c>
    </row>
    <row r="1212" spans="1:6">
      <c r="A1212" s="10">
        <v>2016</v>
      </c>
      <c r="B1212" t="s">
        <v>992</v>
      </c>
      <c r="C1212" t="s">
        <v>1879</v>
      </c>
      <c r="D1212" t="s">
        <v>937</v>
      </c>
      <c r="E1212" s="10">
        <v>62855</v>
      </c>
      <c r="F1212" s="12">
        <v>6.19E-5</v>
      </c>
    </row>
    <row r="1213" spans="1:6">
      <c r="A1213" s="10">
        <v>2016</v>
      </c>
      <c r="B1213" t="s">
        <v>993</v>
      </c>
      <c r="C1213" t="s">
        <v>1881</v>
      </c>
      <c r="D1213" t="s">
        <v>1477</v>
      </c>
      <c r="E1213" s="10">
        <v>495339</v>
      </c>
      <c r="F1213" s="12">
        <v>4.8759999999999998E-4</v>
      </c>
    </row>
    <row r="1214" spans="1:6">
      <c r="A1214" s="10">
        <v>2016</v>
      </c>
      <c r="B1214" t="s">
        <v>994</v>
      </c>
      <c r="C1214" t="s">
        <v>939</v>
      </c>
      <c r="D1214" t="s">
        <v>939</v>
      </c>
      <c r="E1214" s="10">
        <v>49866</v>
      </c>
      <c r="F1214" s="12">
        <v>4.9100000000000001E-5</v>
      </c>
    </row>
    <row r="1215" spans="1:6">
      <c r="A1215" s="10">
        <v>2016</v>
      </c>
      <c r="B1215" t="s">
        <v>995</v>
      </c>
      <c r="C1215" t="s">
        <v>2434</v>
      </c>
      <c r="D1215" t="s">
        <v>940</v>
      </c>
      <c r="E1215" s="10">
        <v>70406</v>
      </c>
      <c r="F1215" s="12">
        <v>6.9300000000000004E-5</v>
      </c>
    </row>
    <row r="1216" spans="1:6">
      <c r="A1216" s="10">
        <v>2016</v>
      </c>
      <c r="B1216" t="s">
        <v>996</v>
      </c>
      <c r="C1216" t="s">
        <v>2435</v>
      </c>
      <c r="D1216" t="s">
        <v>941</v>
      </c>
      <c r="E1216" s="10">
        <v>32131</v>
      </c>
      <c r="F1216" s="12">
        <v>3.1600000000000002E-5</v>
      </c>
    </row>
    <row r="1217" spans="1:6">
      <c r="A1217" s="10">
        <v>2016</v>
      </c>
      <c r="B1217" t="s">
        <v>997</v>
      </c>
      <c r="C1217" t="s">
        <v>2436</v>
      </c>
      <c r="D1217" t="s">
        <v>942</v>
      </c>
      <c r="E1217" s="10">
        <v>132960</v>
      </c>
      <c r="F1217" s="12">
        <v>1.3090000000000001E-4</v>
      </c>
    </row>
    <row r="1218" spans="1:6">
      <c r="A1218" s="10">
        <v>2016</v>
      </c>
      <c r="B1218" t="s">
        <v>998</v>
      </c>
      <c r="C1218" t="s">
        <v>1918</v>
      </c>
      <c r="D1218" t="s">
        <v>943</v>
      </c>
      <c r="E1218" s="10">
        <v>60451</v>
      </c>
      <c r="F1218" s="12">
        <v>5.9500000000000003E-5</v>
      </c>
    </row>
    <row r="1219" spans="1:6">
      <c r="A1219" s="10">
        <v>2016</v>
      </c>
      <c r="B1219" t="s">
        <v>999</v>
      </c>
      <c r="C1219" t="s">
        <v>1884</v>
      </c>
      <c r="D1219" t="s">
        <v>944</v>
      </c>
      <c r="E1219" s="10">
        <v>314722</v>
      </c>
      <c r="F1219" s="12">
        <v>3.098E-4</v>
      </c>
    </row>
    <row r="1220" spans="1:6">
      <c r="A1220" s="10">
        <v>2016</v>
      </c>
      <c r="B1220" t="s">
        <v>1000</v>
      </c>
      <c r="C1220" t="s">
        <v>2384</v>
      </c>
      <c r="D1220" t="s">
        <v>945</v>
      </c>
      <c r="E1220" s="10">
        <v>17954</v>
      </c>
      <c r="F1220" s="12">
        <v>1.77E-5</v>
      </c>
    </row>
    <row r="1221" spans="1:6">
      <c r="A1221" s="10">
        <v>2016</v>
      </c>
      <c r="B1221" t="s">
        <v>1001</v>
      </c>
      <c r="C1221" t="s">
        <v>2433</v>
      </c>
      <c r="D1221" t="s">
        <v>946</v>
      </c>
      <c r="E1221" s="10">
        <v>25425</v>
      </c>
      <c r="F1221" s="12">
        <v>2.5000000000000001E-5</v>
      </c>
    </row>
    <row r="1222" spans="1:6">
      <c r="A1222" s="10">
        <v>2016</v>
      </c>
      <c r="B1222" t="s">
        <v>1002</v>
      </c>
      <c r="C1222" t="s">
        <v>947</v>
      </c>
      <c r="D1222" t="s">
        <v>947</v>
      </c>
      <c r="E1222" s="10">
        <v>6872500</v>
      </c>
      <c r="F1222" s="12">
        <v>6.7647999999999996E-3</v>
      </c>
    </row>
    <row r="1223" spans="1:6">
      <c r="A1223" s="10">
        <v>2016</v>
      </c>
      <c r="B1223" t="s">
        <v>1003</v>
      </c>
      <c r="C1223" t="s">
        <v>1478</v>
      </c>
      <c r="D1223" t="s">
        <v>1478</v>
      </c>
      <c r="E1223" s="10">
        <v>38385</v>
      </c>
      <c r="F1223" s="12">
        <v>3.7799999999999997E-5</v>
      </c>
    </row>
    <row r="1224" spans="1:6">
      <c r="A1224" s="10">
        <v>2016</v>
      </c>
      <c r="B1224" t="s">
        <v>1004</v>
      </c>
      <c r="C1224" t="s">
        <v>949</v>
      </c>
      <c r="D1224" t="s">
        <v>949</v>
      </c>
      <c r="E1224" s="10"/>
      <c r="F1224" s="12">
        <v>0</v>
      </c>
    </row>
    <row r="1225" spans="1:6">
      <c r="A1225" s="10">
        <v>2016</v>
      </c>
      <c r="B1225" t="s">
        <v>1005</v>
      </c>
      <c r="C1225" t="s">
        <v>1888</v>
      </c>
      <c r="D1225" t="s">
        <v>950</v>
      </c>
      <c r="E1225" s="10">
        <v>124419</v>
      </c>
      <c r="F1225" s="12">
        <v>1.225E-4</v>
      </c>
    </row>
    <row r="1226" spans="1:6">
      <c r="A1226" s="10">
        <v>2016</v>
      </c>
      <c r="B1226" t="s">
        <v>1006</v>
      </c>
      <c r="C1226" t="s">
        <v>1889</v>
      </c>
      <c r="D1226" t="s">
        <v>951</v>
      </c>
      <c r="E1226" s="10">
        <v>173589</v>
      </c>
      <c r="F1226" s="12">
        <v>1.7090000000000001E-4</v>
      </c>
    </row>
    <row r="1227" spans="1:6">
      <c r="A1227" s="10">
        <v>2016</v>
      </c>
      <c r="B1227" t="s">
        <v>1007</v>
      </c>
      <c r="C1227" t="s">
        <v>1890</v>
      </c>
      <c r="D1227" t="s">
        <v>952</v>
      </c>
      <c r="E1227" s="10">
        <v>11698</v>
      </c>
      <c r="F1227" s="12">
        <v>1.15E-5</v>
      </c>
    </row>
    <row r="1228" spans="1:6">
      <c r="A1228" s="10">
        <v>2016</v>
      </c>
      <c r="B1228" t="s">
        <v>1008</v>
      </c>
      <c r="C1228" t="s">
        <v>2286</v>
      </c>
      <c r="D1228" t="s">
        <v>953</v>
      </c>
      <c r="E1228" s="10">
        <v>31930</v>
      </c>
      <c r="F1228" s="12">
        <v>3.1399999999999998E-5</v>
      </c>
    </row>
    <row r="1229" spans="1:6">
      <c r="A1229" s="10">
        <v>2016</v>
      </c>
      <c r="B1229" t="s">
        <v>1009</v>
      </c>
      <c r="C1229" t="s">
        <v>1892</v>
      </c>
      <c r="D1229" t="s">
        <v>954</v>
      </c>
      <c r="E1229" s="10">
        <v>32543</v>
      </c>
      <c r="F1229" s="12">
        <v>3.1999999999999999E-5</v>
      </c>
    </row>
    <row r="1230" spans="1:6">
      <c r="A1230" s="10">
        <v>2016</v>
      </c>
      <c r="B1230" t="s">
        <v>1010</v>
      </c>
      <c r="C1230" t="s">
        <v>1893</v>
      </c>
      <c r="D1230" t="s">
        <v>955</v>
      </c>
      <c r="E1230" s="10">
        <v>110415</v>
      </c>
      <c r="F1230" s="12">
        <v>1.087E-4</v>
      </c>
    </row>
    <row r="1231" spans="1:6">
      <c r="A1231" s="10">
        <v>2016</v>
      </c>
      <c r="B1231" t="s">
        <v>1011</v>
      </c>
      <c r="C1231" t="s">
        <v>2288</v>
      </c>
      <c r="D1231" t="s">
        <v>956</v>
      </c>
      <c r="E1231" s="10">
        <v>5750</v>
      </c>
      <c r="F1231" s="12">
        <v>5.6999999999999996E-6</v>
      </c>
    </row>
    <row r="1232" spans="1:6">
      <c r="A1232" s="10">
        <v>2016</v>
      </c>
      <c r="B1232" t="s">
        <v>1012</v>
      </c>
      <c r="C1232" t="s">
        <v>957</v>
      </c>
      <c r="D1232" t="s">
        <v>957</v>
      </c>
      <c r="E1232" s="10">
        <v>91868</v>
      </c>
      <c r="F1232" s="12">
        <v>9.0400000000000002E-5</v>
      </c>
    </row>
    <row r="1233" spans="1:6">
      <c r="A1233" s="10">
        <v>2016</v>
      </c>
      <c r="B1233" t="s">
        <v>1013</v>
      </c>
      <c r="C1233" t="s">
        <v>2408</v>
      </c>
      <c r="D1233" t="s">
        <v>958</v>
      </c>
      <c r="E1233" s="10">
        <v>1108597</v>
      </c>
      <c r="F1233" s="12">
        <v>1.0912000000000001E-3</v>
      </c>
    </row>
    <row r="1234" spans="1:6">
      <c r="A1234" s="10">
        <v>2016</v>
      </c>
      <c r="B1234" t="s">
        <v>1014</v>
      </c>
      <c r="C1234" t="s">
        <v>1614</v>
      </c>
      <c r="D1234" t="s">
        <v>959</v>
      </c>
      <c r="E1234" s="10">
        <v>53249</v>
      </c>
      <c r="F1234" s="12">
        <v>5.24E-5</v>
      </c>
    </row>
    <row r="1235" spans="1:6">
      <c r="A1235" s="10">
        <v>2016</v>
      </c>
      <c r="B1235" t="s">
        <v>1015</v>
      </c>
      <c r="C1235" t="s">
        <v>1613</v>
      </c>
      <c r="D1235" t="s">
        <v>960</v>
      </c>
      <c r="E1235" s="10">
        <v>360364</v>
      </c>
      <c r="F1235" s="12">
        <v>3.547E-4</v>
      </c>
    </row>
    <row r="1236" spans="1:6">
      <c r="A1236" s="10">
        <v>2016</v>
      </c>
      <c r="B1236" t="s">
        <v>1016</v>
      </c>
      <c r="C1236" t="s">
        <v>1897</v>
      </c>
      <c r="D1236" t="s">
        <v>961</v>
      </c>
      <c r="E1236" s="10">
        <v>429386</v>
      </c>
      <c r="F1236" s="12">
        <v>4.2269999999999997E-4</v>
      </c>
    </row>
    <row r="1237" spans="1:6">
      <c r="A1237" s="10">
        <v>2016</v>
      </c>
      <c r="B1237" t="s">
        <v>1017</v>
      </c>
      <c r="C1237" t="s">
        <v>1898</v>
      </c>
      <c r="D1237" t="s">
        <v>962</v>
      </c>
      <c r="E1237" s="10">
        <v>52180</v>
      </c>
      <c r="F1237" s="12">
        <v>5.1400000000000003E-5</v>
      </c>
    </row>
    <row r="1238" spans="1:6">
      <c r="A1238" s="10">
        <v>2016</v>
      </c>
      <c r="B1238" t="s">
        <v>1018</v>
      </c>
      <c r="C1238" t="s">
        <v>1899</v>
      </c>
      <c r="D1238" t="s">
        <v>963</v>
      </c>
      <c r="E1238" s="10">
        <v>25246</v>
      </c>
      <c r="F1238" s="12">
        <v>2.4899999999999999E-5</v>
      </c>
    </row>
    <row r="1239" spans="1:6">
      <c r="A1239" s="10">
        <v>2016</v>
      </c>
      <c r="B1239" t="s">
        <v>1019</v>
      </c>
      <c r="C1239" t="s">
        <v>1901</v>
      </c>
      <c r="D1239" t="s">
        <v>964</v>
      </c>
      <c r="E1239" s="10">
        <v>52584</v>
      </c>
      <c r="F1239" s="12">
        <v>5.1799999999999999E-5</v>
      </c>
    </row>
    <row r="1240" spans="1:6">
      <c r="A1240" s="10">
        <v>2016</v>
      </c>
      <c r="B1240" t="s">
        <v>1020</v>
      </c>
      <c r="C1240" t="s">
        <v>1900</v>
      </c>
      <c r="D1240" t="s">
        <v>965</v>
      </c>
      <c r="E1240" s="10">
        <v>1772390</v>
      </c>
      <c r="F1240" s="12">
        <v>1.7446E-3</v>
      </c>
    </row>
    <row r="1241" spans="1:6">
      <c r="A1241" s="10">
        <v>2016</v>
      </c>
      <c r="B1241" t="s">
        <v>1021</v>
      </c>
      <c r="C1241" t="s">
        <v>1902</v>
      </c>
      <c r="D1241" t="s">
        <v>966</v>
      </c>
      <c r="E1241" s="10">
        <v>11957</v>
      </c>
      <c r="F1241" s="12">
        <v>1.1800000000000001E-5</v>
      </c>
    </row>
    <row r="1242" spans="1:6">
      <c r="A1242" s="10">
        <v>2016</v>
      </c>
      <c r="B1242" t="s">
        <v>1022</v>
      </c>
      <c r="C1242" t="s">
        <v>1904</v>
      </c>
      <c r="D1242" t="s">
        <v>967</v>
      </c>
      <c r="E1242" s="10">
        <v>135540</v>
      </c>
      <c r="F1242" s="12">
        <v>1.3339999999999999E-4</v>
      </c>
    </row>
    <row r="1243" spans="1:6">
      <c r="A1243" s="10">
        <v>2016</v>
      </c>
      <c r="B1243" t="s">
        <v>1023</v>
      </c>
      <c r="C1243" t="s">
        <v>1905</v>
      </c>
      <c r="D1243" t="s">
        <v>968</v>
      </c>
      <c r="E1243" s="10">
        <v>445791</v>
      </c>
      <c r="F1243" s="12">
        <v>4.3879999999999999E-4</v>
      </c>
    </row>
    <row r="1244" spans="1:6">
      <c r="A1244" s="10">
        <v>2016</v>
      </c>
      <c r="B1244" t="s">
        <v>1024</v>
      </c>
      <c r="C1244" t="s">
        <v>969</v>
      </c>
      <c r="D1244" t="s">
        <v>969</v>
      </c>
      <c r="E1244" s="10">
        <v>51675</v>
      </c>
      <c r="F1244" s="12">
        <v>5.0899999999999997E-5</v>
      </c>
    </row>
    <row r="1245" spans="1:6">
      <c r="A1245" s="10">
        <v>2016</v>
      </c>
      <c r="B1245" t="s">
        <v>1025</v>
      </c>
      <c r="C1245" t="s">
        <v>1906</v>
      </c>
      <c r="D1245" t="s">
        <v>970</v>
      </c>
      <c r="E1245" s="10">
        <v>115480</v>
      </c>
      <c r="F1245" s="12">
        <v>1.137E-4</v>
      </c>
    </row>
    <row r="1246" spans="1:6">
      <c r="A1246" s="10">
        <v>2016</v>
      </c>
      <c r="B1246" t="s">
        <v>1026</v>
      </c>
      <c r="C1246" t="s">
        <v>1907</v>
      </c>
      <c r="D1246" t="s">
        <v>971</v>
      </c>
      <c r="E1246" s="10">
        <v>2484302</v>
      </c>
      <c r="F1246" s="12">
        <v>2.4453999999999999E-3</v>
      </c>
    </row>
    <row r="1247" spans="1:6">
      <c r="A1247" s="10">
        <v>2016</v>
      </c>
      <c r="B1247" t="s">
        <v>1027</v>
      </c>
      <c r="C1247" t="s">
        <v>1909</v>
      </c>
      <c r="D1247" t="s">
        <v>972</v>
      </c>
      <c r="E1247" s="10">
        <v>19735</v>
      </c>
      <c r="F1247" s="12">
        <v>1.9400000000000001E-5</v>
      </c>
    </row>
    <row r="1248" spans="1:6">
      <c r="A1248" s="10">
        <v>2016</v>
      </c>
      <c r="B1248" t="s">
        <v>1028</v>
      </c>
      <c r="C1248" t="s">
        <v>973</v>
      </c>
      <c r="D1248" t="s">
        <v>973</v>
      </c>
      <c r="E1248" s="10">
        <v>6819</v>
      </c>
      <c r="F1248" s="12">
        <v>6.7000000000000002E-6</v>
      </c>
    </row>
    <row r="1249" spans="1:6">
      <c r="A1249" s="10">
        <v>2016</v>
      </c>
      <c r="B1249" t="s">
        <v>1029</v>
      </c>
      <c r="C1249" t="s">
        <v>2409</v>
      </c>
      <c r="D1249" t="s">
        <v>974</v>
      </c>
      <c r="E1249" s="10">
        <v>268216</v>
      </c>
      <c r="F1249" s="12">
        <v>2.6400000000000002E-4</v>
      </c>
    </row>
    <row r="1250" spans="1:6">
      <c r="A1250" s="10">
        <v>2016</v>
      </c>
      <c r="B1250" t="s">
        <v>1030</v>
      </c>
      <c r="C1250" t="s">
        <v>1864</v>
      </c>
      <c r="D1250" t="s">
        <v>975</v>
      </c>
      <c r="E1250" s="10">
        <v>54217</v>
      </c>
      <c r="F1250" s="12">
        <v>5.3399999999999997E-5</v>
      </c>
    </row>
    <row r="1251" spans="1:6">
      <c r="A1251" s="10">
        <v>2016</v>
      </c>
      <c r="B1251" t="s">
        <v>1031</v>
      </c>
      <c r="C1251" t="s">
        <v>1911</v>
      </c>
      <c r="D1251" t="s">
        <v>976</v>
      </c>
      <c r="E1251" s="10">
        <v>578168</v>
      </c>
      <c r="F1251" s="12">
        <v>5.6910000000000001E-4</v>
      </c>
    </row>
    <row r="1252" spans="1:6">
      <c r="A1252" s="10">
        <v>2016</v>
      </c>
      <c r="B1252" t="s">
        <v>1032</v>
      </c>
      <c r="C1252" t="s">
        <v>1912</v>
      </c>
      <c r="D1252" t="s">
        <v>977</v>
      </c>
      <c r="E1252" s="10">
        <v>157571</v>
      </c>
      <c r="F1252" s="12">
        <v>1.551E-4</v>
      </c>
    </row>
    <row r="1253" spans="1:6">
      <c r="A1253" s="10">
        <v>2016</v>
      </c>
      <c r="B1253" t="s">
        <v>1033</v>
      </c>
      <c r="C1253" t="s">
        <v>2005</v>
      </c>
      <c r="D1253" t="s">
        <v>978</v>
      </c>
      <c r="E1253" s="10">
        <v>1916042</v>
      </c>
      <c r="F1253" s="12">
        <v>1.8860000000000001E-3</v>
      </c>
    </row>
    <row r="1254" spans="1:6">
      <c r="A1254" s="10">
        <v>2016</v>
      </c>
      <c r="B1254" t="s">
        <v>1034</v>
      </c>
      <c r="C1254" t="s">
        <v>1850</v>
      </c>
      <c r="D1254" t="s">
        <v>979</v>
      </c>
      <c r="E1254" s="10">
        <v>184127</v>
      </c>
      <c r="F1254" s="12">
        <v>1.8120000000000001E-4</v>
      </c>
    </row>
    <row r="1255" spans="1:6">
      <c r="A1255" s="10">
        <v>2016</v>
      </c>
      <c r="B1255" t="s">
        <v>1035</v>
      </c>
      <c r="C1255" t="s">
        <v>2003</v>
      </c>
      <c r="D1255" t="s">
        <v>980</v>
      </c>
      <c r="E1255" s="10">
        <v>257466</v>
      </c>
      <c r="F1255" s="12">
        <v>2.5339999999999998E-4</v>
      </c>
    </row>
    <row r="1256" spans="1:6">
      <c r="A1256" s="10">
        <v>2016</v>
      </c>
      <c r="B1256" t="s">
        <v>1036</v>
      </c>
      <c r="C1256" t="s">
        <v>1913</v>
      </c>
      <c r="D1256" t="s">
        <v>981</v>
      </c>
      <c r="E1256" s="10"/>
      <c r="F1256" s="12">
        <v>0</v>
      </c>
    </row>
    <row r="1257" spans="1:6">
      <c r="A1257" s="10">
        <v>2016</v>
      </c>
      <c r="B1257" t="s">
        <v>1037</v>
      </c>
      <c r="C1257" t="s">
        <v>1915</v>
      </c>
      <c r="D1257" t="s">
        <v>982</v>
      </c>
      <c r="E1257" s="10">
        <v>50090</v>
      </c>
      <c r="F1257" s="12">
        <v>4.9299999999999999E-5</v>
      </c>
    </row>
    <row r="1258" spans="1:6">
      <c r="A1258" s="10">
        <v>2016</v>
      </c>
      <c r="B1258" t="s">
        <v>1038</v>
      </c>
      <c r="C1258" t="s">
        <v>1916</v>
      </c>
      <c r="D1258" t="s">
        <v>983</v>
      </c>
      <c r="E1258" s="10">
        <v>480895</v>
      </c>
      <c r="F1258" s="12">
        <v>4.7340000000000001E-4</v>
      </c>
    </row>
    <row r="1259" spans="1:6">
      <c r="A1259" s="10">
        <v>2016</v>
      </c>
      <c r="B1259" t="s">
        <v>1039</v>
      </c>
      <c r="C1259" t="s">
        <v>1917</v>
      </c>
      <c r="D1259" t="s">
        <v>984</v>
      </c>
      <c r="E1259" s="10">
        <v>5748195</v>
      </c>
      <c r="F1259" s="12">
        <v>5.6581000000000001E-3</v>
      </c>
    </row>
    <row r="1260" spans="1:6">
      <c r="A1260" s="10">
        <v>2016</v>
      </c>
      <c r="B1260" t="s">
        <v>1040</v>
      </c>
      <c r="C1260" t="s">
        <v>985</v>
      </c>
      <c r="D1260" t="s">
        <v>985</v>
      </c>
      <c r="E1260" s="10">
        <v>142462</v>
      </c>
      <c r="F1260" s="12">
        <v>1.4019999999999999E-4</v>
      </c>
    </row>
    <row r="1261" spans="1:6">
      <c r="A1261" s="10">
        <v>2016</v>
      </c>
      <c r="B1261" t="s">
        <v>1041</v>
      </c>
      <c r="C1261" t="s">
        <v>1919</v>
      </c>
      <c r="D1261" t="s">
        <v>986</v>
      </c>
      <c r="E1261" s="10">
        <v>622452</v>
      </c>
      <c r="F1261" s="12">
        <v>6.1269999999999999E-4</v>
      </c>
    </row>
    <row r="1262" spans="1:6">
      <c r="A1262" s="10">
        <v>2016</v>
      </c>
      <c r="B1262" t="s">
        <v>1042</v>
      </c>
      <c r="C1262" t="s">
        <v>2296</v>
      </c>
      <c r="D1262" t="s">
        <v>987</v>
      </c>
      <c r="E1262" s="10">
        <v>28550</v>
      </c>
      <c r="F1262" s="12">
        <v>2.8099999999999999E-5</v>
      </c>
    </row>
    <row r="1263" spans="1:6">
      <c r="A1263" s="10">
        <v>2016</v>
      </c>
      <c r="B1263" t="s">
        <v>1043</v>
      </c>
      <c r="C1263" t="s">
        <v>1921</v>
      </c>
      <c r="D1263" t="s">
        <v>988</v>
      </c>
      <c r="E1263" s="10">
        <v>536624</v>
      </c>
      <c r="F1263" s="12">
        <v>5.2820000000000005E-4</v>
      </c>
    </row>
    <row r="1264" spans="1:6">
      <c r="A1264" s="10">
        <v>2016</v>
      </c>
      <c r="B1264" t="s">
        <v>1044</v>
      </c>
      <c r="C1264" t="s">
        <v>1922</v>
      </c>
      <c r="D1264" t="s">
        <v>989</v>
      </c>
      <c r="E1264" s="10">
        <v>640590</v>
      </c>
      <c r="F1264" s="12">
        <v>6.3060000000000004E-4</v>
      </c>
    </row>
    <row r="1265" spans="1:6">
      <c r="A1265" s="10">
        <v>2016</v>
      </c>
      <c r="B1265" t="s">
        <v>1100</v>
      </c>
      <c r="C1265" t="s">
        <v>1923</v>
      </c>
      <c r="D1265" t="s">
        <v>1045</v>
      </c>
      <c r="E1265" s="10">
        <v>1417155</v>
      </c>
      <c r="F1265" s="12">
        <v>1.3948999999999999E-3</v>
      </c>
    </row>
    <row r="1266" spans="1:6">
      <c r="A1266" s="10">
        <v>2016</v>
      </c>
      <c r="B1266" t="s">
        <v>1101</v>
      </c>
      <c r="C1266" t="s">
        <v>1925</v>
      </c>
      <c r="D1266" t="s">
        <v>1046</v>
      </c>
      <c r="E1266" s="10">
        <v>2750191</v>
      </c>
      <c r="F1266" s="12">
        <v>2.7071E-3</v>
      </c>
    </row>
    <row r="1267" spans="1:6">
      <c r="A1267" s="10">
        <v>2016</v>
      </c>
      <c r="B1267" t="s">
        <v>1102</v>
      </c>
      <c r="C1267" t="s">
        <v>1927</v>
      </c>
      <c r="D1267" t="s">
        <v>1047</v>
      </c>
      <c r="E1267" s="10">
        <v>73707</v>
      </c>
      <c r="F1267" s="12">
        <v>7.2600000000000003E-5</v>
      </c>
    </row>
    <row r="1268" spans="1:6">
      <c r="A1268" s="10">
        <v>2016</v>
      </c>
      <c r="B1268" t="s">
        <v>1103</v>
      </c>
      <c r="C1268" t="s">
        <v>1929</v>
      </c>
      <c r="D1268" t="s">
        <v>1048</v>
      </c>
      <c r="E1268" s="10">
        <v>123378</v>
      </c>
      <c r="F1268" s="12">
        <v>1.214E-4</v>
      </c>
    </row>
    <row r="1269" spans="1:6">
      <c r="A1269" s="10">
        <v>2016</v>
      </c>
      <c r="B1269" t="s">
        <v>1104</v>
      </c>
      <c r="C1269" t="s">
        <v>1930</v>
      </c>
      <c r="D1269" t="s">
        <v>1049</v>
      </c>
      <c r="E1269" s="10">
        <v>1218679</v>
      </c>
      <c r="F1269" s="12">
        <v>1.1996000000000001E-3</v>
      </c>
    </row>
    <row r="1270" spans="1:6">
      <c r="A1270" s="10">
        <v>2016</v>
      </c>
      <c r="B1270" t="s">
        <v>1105</v>
      </c>
      <c r="C1270" t="s">
        <v>1931</v>
      </c>
      <c r="D1270" t="s">
        <v>1050</v>
      </c>
      <c r="E1270" s="10">
        <v>13111</v>
      </c>
      <c r="F1270" s="12">
        <v>1.29E-5</v>
      </c>
    </row>
    <row r="1271" spans="1:6">
      <c r="A1271" s="10">
        <v>2016</v>
      </c>
      <c r="B1271" t="s">
        <v>1106</v>
      </c>
      <c r="C1271" t="s">
        <v>1933</v>
      </c>
      <c r="D1271" t="s">
        <v>1051</v>
      </c>
      <c r="E1271" s="10">
        <v>101255</v>
      </c>
      <c r="F1271" s="12">
        <v>9.9699999999999998E-5</v>
      </c>
    </row>
    <row r="1272" spans="1:6">
      <c r="A1272" s="10">
        <v>2016</v>
      </c>
      <c r="B1272" t="s">
        <v>1107</v>
      </c>
      <c r="C1272" t="s">
        <v>1934</v>
      </c>
      <c r="D1272" t="s">
        <v>1052</v>
      </c>
      <c r="E1272" s="10">
        <v>635587</v>
      </c>
      <c r="F1272" s="12">
        <v>6.2560000000000003E-4</v>
      </c>
    </row>
    <row r="1273" spans="1:6">
      <c r="A1273" s="10">
        <v>2016</v>
      </c>
      <c r="B1273" t="s">
        <v>1108</v>
      </c>
      <c r="C1273" t="s">
        <v>1053</v>
      </c>
      <c r="D1273" t="s">
        <v>1053</v>
      </c>
      <c r="E1273" s="10">
        <v>1016197</v>
      </c>
      <c r="F1273" s="12">
        <v>1.0003E-3</v>
      </c>
    </row>
    <row r="1274" spans="1:6">
      <c r="A1274" s="10">
        <v>2016</v>
      </c>
      <c r="B1274" t="s">
        <v>1109</v>
      </c>
      <c r="C1274" t="s">
        <v>1936</v>
      </c>
      <c r="D1274" t="s">
        <v>1054</v>
      </c>
      <c r="E1274" s="10">
        <v>223142</v>
      </c>
      <c r="F1274" s="12">
        <v>2.196E-4</v>
      </c>
    </row>
    <row r="1275" spans="1:6">
      <c r="A1275" s="10">
        <v>2016</v>
      </c>
      <c r="B1275" t="s">
        <v>1110</v>
      </c>
      <c r="C1275" t="s">
        <v>2410</v>
      </c>
      <c r="D1275" t="s">
        <v>1055</v>
      </c>
      <c r="E1275" s="10">
        <v>1483024</v>
      </c>
      <c r="F1275" s="12">
        <v>1.4598E-3</v>
      </c>
    </row>
    <row r="1276" spans="1:6">
      <c r="A1276" s="10">
        <v>2016</v>
      </c>
      <c r="B1276" t="s">
        <v>1111</v>
      </c>
      <c r="C1276" t="s">
        <v>1937</v>
      </c>
      <c r="D1276" t="s">
        <v>1056</v>
      </c>
      <c r="E1276" s="10">
        <v>24583</v>
      </c>
      <c r="F1276" s="12">
        <v>2.4199999999999999E-5</v>
      </c>
    </row>
    <row r="1277" spans="1:6">
      <c r="A1277" s="10">
        <v>2016</v>
      </c>
      <c r="B1277" t="s">
        <v>1112</v>
      </c>
      <c r="C1277" t="s">
        <v>1938</v>
      </c>
      <c r="D1277" t="s">
        <v>1057</v>
      </c>
      <c r="E1277" s="10">
        <v>12358425</v>
      </c>
      <c r="F1277" s="12">
        <v>1.21648E-2</v>
      </c>
    </row>
    <row r="1278" spans="1:6">
      <c r="A1278" s="10">
        <v>2016</v>
      </c>
      <c r="B1278" t="s">
        <v>1113</v>
      </c>
      <c r="C1278" t="s">
        <v>1058</v>
      </c>
      <c r="D1278" t="s">
        <v>1058</v>
      </c>
      <c r="E1278" s="10">
        <v>54692</v>
      </c>
      <c r="F1278" s="12">
        <v>5.38E-5</v>
      </c>
    </row>
    <row r="1279" spans="1:6">
      <c r="A1279" s="10">
        <v>2016</v>
      </c>
      <c r="B1279" t="s">
        <v>1481</v>
      </c>
      <c r="C1279" t="s">
        <v>1479</v>
      </c>
      <c r="D1279" t="s">
        <v>1479</v>
      </c>
      <c r="E1279" s="10">
        <v>76396</v>
      </c>
      <c r="F1279" s="12">
        <v>7.5199999999999998E-3</v>
      </c>
    </row>
    <row r="1280" spans="1:6">
      <c r="A1280" s="10">
        <v>2016</v>
      </c>
      <c r="B1280" t="s">
        <v>1115</v>
      </c>
      <c r="C1280" t="s">
        <v>1941</v>
      </c>
      <c r="D1280" t="s">
        <v>1480</v>
      </c>
      <c r="E1280" s="10">
        <v>27713</v>
      </c>
      <c r="F1280" s="12">
        <v>2.73E-5</v>
      </c>
    </row>
    <row r="1281" spans="1:6">
      <c r="A1281" s="10">
        <v>2016</v>
      </c>
      <c r="B1281" t="s">
        <v>1114</v>
      </c>
      <c r="C1281" t="s">
        <v>1942</v>
      </c>
      <c r="D1281" t="s">
        <v>1059</v>
      </c>
      <c r="E1281" s="10">
        <v>474962</v>
      </c>
      <c r="F1281" s="12">
        <v>4.6749999999999998E-4</v>
      </c>
    </row>
    <row r="1282" spans="1:6">
      <c r="A1282" s="10">
        <v>2016</v>
      </c>
      <c r="B1282" t="s">
        <v>1116</v>
      </c>
      <c r="C1282" t="s">
        <v>2388</v>
      </c>
      <c r="D1282" t="s">
        <v>1061</v>
      </c>
      <c r="E1282" s="10">
        <v>98905</v>
      </c>
      <c r="F1282" s="12">
        <v>9.7399999999999996E-5</v>
      </c>
    </row>
    <row r="1283" spans="1:6">
      <c r="A1283" s="10">
        <v>2016</v>
      </c>
      <c r="B1283" t="s">
        <v>1117</v>
      </c>
      <c r="C1283" t="s">
        <v>1944</v>
      </c>
      <c r="D1283" t="s">
        <v>1062</v>
      </c>
      <c r="E1283" s="10">
        <v>147789</v>
      </c>
      <c r="F1283" s="12">
        <v>1.4550000000000001E-4</v>
      </c>
    </row>
    <row r="1284" spans="1:6">
      <c r="A1284" s="10">
        <v>2016</v>
      </c>
      <c r="B1284" t="s">
        <v>1118</v>
      </c>
      <c r="C1284" t="s">
        <v>2411</v>
      </c>
      <c r="D1284" t="s">
        <v>1063</v>
      </c>
      <c r="E1284" s="10">
        <v>40777</v>
      </c>
      <c r="F1284" s="12">
        <v>4.0099999999999999E-5</v>
      </c>
    </row>
    <row r="1285" spans="1:6">
      <c r="A1285" s="10">
        <v>2016</v>
      </c>
      <c r="B1285" t="s">
        <v>1119</v>
      </c>
      <c r="C1285" t="s">
        <v>2412</v>
      </c>
      <c r="D1285" t="s">
        <v>1064</v>
      </c>
      <c r="E1285" s="10">
        <v>993330</v>
      </c>
      <c r="F1285" s="12">
        <v>9.7780000000000002E-4</v>
      </c>
    </row>
    <row r="1286" spans="1:6">
      <c r="A1286" s="10">
        <v>2016</v>
      </c>
      <c r="B1286" t="s">
        <v>1120</v>
      </c>
      <c r="C1286" t="s">
        <v>1948</v>
      </c>
      <c r="D1286" t="s">
        <v>1065</v>
      </c>
      <c r="E1286" s="10"/>
      <c r="F1286" s="12">
        <v>0</v>
      </c>
    </row>
    <row r="1287" spans="1:6">
      <c r="A1287" s="10">
        <v>2016</v>
      </c>
      <c r="B1287" t="s">
        <v>1121</v>
      </c>
      <c r="C1287" t="s">
        <v>1949</v>
      </c>
      <c r="D1287" t="s">
        <v>1066</v>
      </c>
      <c r="E1287" s="10">
        <v>2796001</v>
      </c>
      <c r="F1287" s="12">
        <v>2.7521999999999998E-3</v>
      </c>
    </row>
    <row r="1288" spans="1:6">
      <c r="A1288" s="10">
        <v>2016</v>
      </c>
      <c r="B1288" t="s">
        <v>1122</v>
      </c>
      <c r="C1288" t="s">
        <v>1951</v>
      </c>
      <c r="D1288" t="s">
        <v>1067</v>
      </c>
      <c r="E1288" s="10">
        <v>20479</v>
      </c>
      <c r="F1288" s="12">
        <v>2.02E-5</v>
      </c>
    </row>
    <row r="1289" spans="1:6">
      <c r="A1289" s="10">
        <v>2016</v>
      </c>
      <c r="B1289" t="s">
        <v>1123</v>
      </c>
      <c r="C1289" t="s">
        <v>1952</v>
      </c>
      <c r="D1289" t="s">
        <v>1068</v>
      </c>
      <c r="E1289" s="10">
        <v>48199</v>
      </c>
      <c r="F1289" s="12">
        <v>4.74E-5</v>
      </c>
    </row>
    <row r="1290" spans="1:6">
      <c r="A1290" s="10">
        <v>2016</v>
      </c>
      <c r="B1290" t="s">
        <v>1124</v>
      </c>
      <c r="C1290" t="s">
        <v>1953</v>
      </c>
      <c r="D1290" t="s">
        <v>1069</v>
      </c>
      <c r="E1290" s="10">
        <v>100520</v>
      </c>
      <c r="F1290" s="12">
        <v>9.8900000000000005E-5</v>
      </c>
    </row>
    <row r="1291" spans="1:6">
      <c r="A1291" s="10">
        <v>2016</v>
      </c>
      <c r="B1291" t="s">
        <v>1125</v>
      </c>
      <c r="C1291" t="s">
        <v>1954</v>
      </c>
      <c r="D1291" t="s">
        <v>1070</v>
      </c>
      <c r="E1291" s="10">
        <v>876683</v>
      </c>
      <c r="F1291" s="12">
        <v>8.629E-4</v>
      </c>
    </row>
    <row r="1292" spans="1:6">
      <c r="A1292" s="10">
        <v>2016</v>
      </c>
      <c r="B1292" t="s">
        <v>1126</v>
      </c>
      <c r="C1292" t="s">
        <v>1956</v>
      </c>
      <c r="D1292" t="s">
        <v>1071</v>
      </c>
      <c r="E1292" s="10">
        <v>104027</v>
      </c>
      <c r="F1292" s="12">
        <v>1.024E-4</v>
      </c>
    </row>
    <row r="1293" spans="1:6">
      <c r="A1293" s="10">
        <v>2016</v>
      </c>
      <c r="B1293" t="s">
        <v>1127</v>
      </c>
      <c r="C1293" t="s">
        <v>2413</v>
      </c>
      <c r="D1293" t="s">
        <v>1072</v>
      </c>
      <c r="E1293" s="10">
        <v>1243326</v>
      </c>
      <c r="F1293" s="12">
        <v>1.2237999999999999E-3</v>
      </c>
    </row>
    <row r="1294" spans="1:6">
      <c r="A1294" s="10">
        <v>2016</v>
      </c>
      <c r="B1294" t="s">
        <v>1128</v>
      </c>
      <c r="C1294" t="s">
        <v>1959</v>
      </c>
      <c r="D1294" t="s">
        <v>1073</v>
      </c>
      <c r="E1294" s="10">
        <v>126090</v>
      </c>
      <c r="F1294" s="12">
        <v>1.2410000000000001E-4</v>
      </c>
    </row>
    <row r="1295" spans="1:6">
      <c r="A1295" s="10">
        <v>2016</v>
      </c>
      <c r="B1295" t="s">
        <v>1129</v>
      </c>
      <c r="C1295" t="s">
        <v>1074</v>
      </c>
      <c r="D1295" t="s">
        <v>1074</v>
      </c>
      <c r="E1295" s="10">
        <v>5543</v>
      </c>
      <c r="F1295" s="12">
        <v>5.4999999999999999E-6</v>
      </c>
    </row>
    <row r="1296" spans="1:6">
      <c r="A1296" s="10">
        <v>2016</v>
      </c>
      <c r="B1296" t="s">
        <v>1130</v>
      </c>
      <c r="C1296" t="s">
        <v>1075</v>
      </c>
      <c r="D1296" t="s">
        <v>1075</v>
      </c>
      <c r="E1296" s="10">
        <v>11100</v>
      </c>
      <c r="F1296" s="12">
        <v>1.0900000000000001E-5</v>
      </c>
    </row>
    <row r="1297" spans="1:6">
      <c r="A1297" s="10">
        <v>2016</v>
      </c>
      <c r="B1297" t="s">
        <v>1131</v>
      </c>
      <c r="C1297" t="s">
        <v>1960</v>
      </c>
      <c r="D1297" t="s">
        <v>1076</v>
      </c>
      <c r="E1297" s="10">
        <v>27191</v>
      </c>
      <c r="F1297" s="12">
        <v>2.6800000000000001E-5</v>
      </c>
    </row>
    <row r="1298" spans="1:6">
      <c r="A1298" s="10">
        <v>2016</v>
      </c>
      <c r="B1298" t="s">
        <v>1132</v>
      </c>
      <c r="C1298" t="s">
        <v>2389</v>
      </c>
      <c r="D1298" t="s">
        <v>1077</v>
      </c>
      <c r="E1298" s="10">
        <v>60647</v>
      </c>
      <c r="F1298" s="12">
        <v>5.9700000000000001E-5</v>
      </c>
    </row>
    <row r="1299" spans="1:6">
      <c r="A1299" s="10">
        <v>2016</v>
      </c>
      <c r="B1299" t="s">
        <v>1133</v>
      </c>
      <c r="C1299" t="s">
        <v>1962</v>
      </c>
      <c r="D1299" t="s">
        <v>1078</v>
      </c>
      <c r="E1299" s="10">
        <v>73675</v>
      </c>
      <c r="F1299" s="12">
        <v>7.25E-5</v>
      </c>
    </row>
    <row r="1300" spans="1:6">
      <c r="A1300" s="10">
        <v>2016</v>
      </c>
      <c r="B1300" t="s">
        <v>1134</v>
      </c>
      <c r="C1300" t="s">
        <v>1928</v>
      </c>
      <c r="D1300" t="s">
        <v>1079</v>
      </c>
      <c r="E1300" s="10">
        <v>413495</v>
      </c>
      <c r="F1300" s="12">
        <v>4.0700000000000003E-4</v>
      </c>
    </row>
    <row r="1301" spans="1:6">
      <c r="A1301" s="10">
        <v>2016</v>
      </c>
      <c r="B1301" t="s">
        <v>1135</v>
      </c>
      <c r="C1301" t="s">
        <v>1965</v>
      </c>
      <c r="D1301" t="s">
        <v>1080</v>
      </c>
      <c r="E1301" s="10">
        <v>225935</v>
      </c>
      <c r="F1301" s="12">
        <v>2.2240000000000001E-4</v>
      </c>
    </row>
    <row r="1302" spans="1:6">
      <c r="A1302" s="10">
        <v>2016</v>
      </c>
      <c r="B1302" t="s">
        <v>1136</v>
      </c>
      <c r="C1302" t="s">
        <v>1966</v>
      </c>
      <c r="D1302" t="s">
        <v>1081</v>
      </c>
      <c r="E1302" s="10">
        <v>429568</v>
      </c>
      <c r="F1302" s="12">
        <v>4.2279999999999998E-4</v>
      </c>
    </row>
    <row r="1303" spans="1:6">
      <c r="A1303" s="10">
        <v>2016</v>
      </c>
      <c r="B1303" t="s">
        <v>1137</v>
      </c>
      <c r="C1303" t="s">
        <v>1968</v>
      </c>
      <c r="D1303" t="s">
        <v>1082</v>
      </c>
      <c r="E1303" s="10">
        <v>276500</v>
      </c>
      <c r="F1303" s="12">
        <v>2.722E-4</v>
      </c>
    </row>
    <row r="1304" spans="1:6">
      <c r="A1304" s="10">
        <v>2016</v>
      </c>
      <c r="B1304" t="s">
        <v>1138</v>
      </c>
      <c r="C1304" t="s">
        <v>1083</v>
      </c>
      <c r="D1304" t="s">
        <v>1083</v>
      </c>
      <c r="E1304" s="10">
        <v>39206</v>
      </c>
      <c r="F1304" s="12">
        <v>3.8600000000000003E-5</v>
      </c>
    </row>
    <row r="1305" spans="1:6">
      <c r="A1305" s="10">
        <v>2016</v>
      </c>
      <c r="B1305" t="s">
        <v>1139</v>
      </c>
      <c r="C1305" t="s">
        <v>1084</v>
      </c>
      <c r="D1305" t="s">
        <v>1084</v>
      </c>
      <c r="E1305" s="10">
        <v>65394</v>
      </c>
      <c r="F1305" s="12">
        <v>6.4399999999999993E-5</v>
      </c>
    </row>
    <row r="1306" spans="1:6">
      <c r="A1306" s="10">
        <v>2016</v>
      </c>
      <c r="B1306" t="s">
        <v>1140</v>
      </c>
      <c r="C1306" t="s">
        <v>1525</v>
      </c>
      <c r="D1306" t="s">
        <v>1085</v>
      </c>
      <c r="E1306" s="10">
        <v>303387</v>
      </c>
      <c r="F1306" s="12">
        <v>2.9859999999999999E-4</v>
      </c>
    </row>
    <row r="1307" spans="1:6">
      <c r="A1307" s="10">
        <v>2016</v>
      </c>
      <c r="B1307" t="s">
        <v>1141</v>
      </c>
      <c r="C1307" t="s">
        <v>1971</v>
      </c>
      <c r="D1307" t="s">
        <v>1086</v>
      </c>
      <c r="E1307" s="10">
        <v>18033</v>
      </c>
      <c r="F1307" s="12">
        <v>1.7799999999999999E-5</v>
      </c>
    </row>
    <row r="1308" spans="1:6">
      <c r="A1308" s="10">
        <v>2016</v>
      </c>
      <c r="B1308" t="s">
        <v>1142</v>
      </c>
      <c r="C1308" t="s">
        <v>1087</v>
      </c>
      <c r="D1308" t="s">
        <v>1087</v>
      </c>
      <c r="E1308" s="10">
        <v>41482</v>
      </c>
      <c r="F1308" s="12">
        <v>4.0800000000000002E-5</v>
      </c>
    </row>
    <row r="1309" spans="1:6">
      <c r="A1309" s="10">
        <v>2016</v>
      </c>
      <c r="B1309" t="s">
        <v>1143</v>
      </c>
      <c r="C1309" t="s">
        <v>1088</v>
      </c>
      <c r="D1309" t="s">
        <v>1088</v>
      </c>
      <c r="E1309" s="10">
        <v>175657</v>
      </c>
      <c r="F1309" s="12">
        <v>1.729E-4</v>
      </c>
    </row>
    <row r="1310" spans="1:6">
      <c r="A1310" s="10">
        <v>2016</v>
      </c>
      <c r="B1310" t="s">
        <v>1144</v>
      </c>
      <c r="C1310" t="s">
        <v>1089</v>
      </c>
      <c r="D1310" t="s">
        <v>1089</v>
      </c>
      <c r="E1310" s="10">
        <v>63254</v>
      </c>
      <c r="F1310" s="12">
        <v>6.2299999999999996E-5</v>
      </c>
    </row>
    <row r="1311" spans="1:6">
      <c r="A1311" s="10">
        <v>2016</v>
      </c>
      <c r="B1311" t="s">
        <v>1145</v>
      </c>
      <c r="C1311" t="s">
        <v>2319</v>
      </c>
      <c r="D1311" t="s">
        <v>1090</v>
      </c>
      <c r="E1311" s="10"/>
      <c r="F1311" s="12">
        <v>0</v>
      </c>
    </row>
    <row r="1312" spans="1:6">
      <c r="A1312" s="10">
        <v>2016</v>
      </c>
      <c r="B1312" t="s">
        <v>1146</v>
      </c>
      <c r="C1312" t="s">
        <v>1973</v>
      </c>
      <c r="D1312" t="s">
        <v>1091</v>
      </c>
      <c r="E1312" s="10">
        <v>7702250</v>
      </c>
      <c r="F1312" s="12">
        <v>7.5814999999999997E-3</v>
      </c>
    </row>
    <row r="1313" spans="1:6">
      <c r="A1313" s="10">
        <v>2016</v>
      </c>
      <c r="B1313" t="s">
        <v>1147</v>
      </c>
      <c r="C1313" t="s">
        <v>1092</v>
      </c>
      <c r="D1313" t="s">
        <v>1092</v>
      </c>
      <c r="E1313" s="10"/>
      <c r="F1313" s="12">
        <v>0</v>
      </c>
    </row>
    <row r="1314" spans="1:6">
      <c r="A1314" s="10">
        <v>2016</v>
      </c>
      <c r="B1314" t="s">
        <v>1148</v>
      </c>
      <c r="C1314" t="s">
        <v>1974</v>
      </c>
      <c r="D1314" t="s">
        <v>1093</v>
      </c>
      <c r="E1314" s="10">
        <v>220790</v>
      </c>
      <c r="F1314" s="12">
        <v>2.173E-4</v>
      </c>
    </row>
    <row r="1315" spans="1:6">
      <c r="A1315" s="10">
        <v>2016</v>
      </c>
      <c r="B1315" t="s">
        <v>1149</v>
      </c>
      <c r="C1315" t="s">
        <v>1094</v>
      </c>
      <c r="D1315" t="s">
        <v>1094</v>
      </c>
      <c r="E1315" s="10">
        <v>144705</v>
      </c>
      <c r="F1315" s="12">
        <v>1.4239999999999999E-4</v>
      </c>
    </row>
    <row r="1316" spans="1:6">
      <c r="A1316" s="10">
        <v>2016</v>
      </c>
      <c r="B1316" t="s">
        <v>1150</v>
      </c>
      <c r="C1316" t="s">
        <v>1976</v>
      </c>
      <c r="D1316" t="s">
        <v>1095</v>
      </c>
      <c r="E1316" s="10">
        <v>165498</v>
      </c>
      <c r="F1316" s="12">
        <v>1.629E-4</v>
      </c>
    </row>
    <row r="1317" spans="1:6">
      <c r="A1317" s="10">
        <v>2016</v>
      </c>
      <c r="B1317" t="s">
        <v>1151</v>
      </c>
      <c r="C1317" t="s">
        <v>1978</v>
      </c>
      <c r="D1317" t="s">
        <v>1096</v>
      </c>
      <c r="E1317" s="10"/>
      <c r="F1317" s="12">
        <v>0</v>
      </c>
    </row>
    <row r="1318" spans="1:6">
      <c r="A1318" s="10">
        <v>2016</v>
      </c>
      <c r="B1318" t="s">
        <v>1152</v>
      </c>
      <c r="C1318" t="s">
        <v>1979</v>
      </c>
      <c r="D1318" t="s">
        <v>1097</v>
      </c>
      <c r="E1318" s="10">
        <v>925156</v>
      </c>
      <c r="F1318" s="12">
        <v>9.1069999999999996E-4</v>
      </c>
    </row>
    <row r="1319" spans="1:6">
      <c r="A1319" s="10">
        <v>2016</v>
      </c>
      <c r="B1319" t="s">
        <v>1153</v>
      </c>
      <c r="C1319" t="s">
        <v>1981</v>
      </c>
      <c r="D1319" t="s">
        <v>1098</v>
      </c>
      <c r="E1319" s="10">
        <v>199451</v>
      </c>
      <c r="F1319" s="12">
        <v>1.963E-4</v>
      </c>
    </row>
    <row r="1320" spans="1:6">
      <c r="A1320" s="10">
        <v>2016</v>
      </c>
      <c r="B1320" t="s">
        <v>1154</v>
      </c>
      <c r="C1320" t="s">
        <v>1982</v>
      </c>
      <c r="D1320" t="s">
        <v>1099</v>
      </c>
      <c r="E1320" s="10">
        <v>6660014</v>
      </c>
      <c r="F1320" s="12">
        <v>6.5556E-3</v>
      </c>
    </row>
    <row r="1321" spans="1:6">
      <c r="A1321" s="10">
        <v>2016</v>
      </c>
      <c r="B1321" t="s">
        <v>1209</v>
      </c>
      <c r="C1321" t="s">
        <v>1983</v>
      </c>
      <c r="D1321" t="s">
        <v>1155</v>
      </c>
      <c r="E1321" s="10">
        <v>7009654</v>
      </c>
      <c r="F1321" s="12">
        <v>6.8998000000000002E-3</v>
      </c>
    </row>
    <row r="1322" spans="1:6">
      <c r="A1322" s="10">
        <v>2016</v>
      </c>
      <c r="B1322" t="s">
        <v>1210</v>
      </c>
      <c r="C1322" t="s">
        <v>1985</v>
      </c>
      <c r="D1322" t="s">
        <v>1156</v>
      </c>
      <c r="E1322" s="10">
        <v>600988</v>
      </c>
      <c r="F1322" s="12">
        <v>5.9159999999999996E-4</v>
      </c>
    </row>
    <row r="1323" spans="1:6">
      <c r="A1323" s="10">
        <v>2016</v>
      </c>
      <c r="B1323" t="s">
        <v>1211</v>
      </c>
      <c r="C1323" t="s">
        <v>1157</v>
      </c>
      <c r="D1323" t="s">
        <v>1157</v>
      </c>
      <c r="E1323" s="10">
        <v>2114</v>
      </c>
      <c r="F1323" s="12">
        <v>2.0999999999999998E-6</v>
      </c>
    </row>
    <row r="1324" spans="1:6">
      <c r="A1324" s="10">
        <v>2016</v>
      </c>
      <c r="B1324" t="s">
        <v>1483</v>
      </c>
      <c r="C1324" t="s">
        <v>1482</v>
      </c>
      <c r="D1324" t="s">
        <v>1482</v>
      </c>
      <c r="E1324" s="10">
        <v>48705</v>
      </c>
      <c r="F1324" s="12">
        <v>4.7899999999999999E-5</v>
      </c>
    </row>
    <row r="1325" spans="1:6">
      <c r="A1325" s="10">
        <v>2016</v>
      </c>
      <c r="B1325" t="s">
        <v>1212</v>
      </c>
      <c r="C1325" t="s">
        <v>1987</v>
      </c>
      <c r="D1325" t="s">
        <v>1158</v>
      </c>
      <c r="E1325" s="10">
        <v>1371346</v>
      </c>
      <c r="F1325" s="12">
        <v>1.3499E-3</v>
      </c>
    </row>
    <row r="1326" spans="1:6">
      <c r="A1326" s="10">
        <v>2016</v>
      </c>
      <c r="B1326" t="s">
        <v>1213</v>
      </c>
      <c r="C1326" t="s">
        <v>1988</v>
      </c>
      <c r="D1326" t="s">
        <v>1159</v>
      </c>
      <c r="E1326" s="10">
        <v>4254766</v>
      </c>
      <c r="F1326" s="12">
        <v>4.1881000000000002E-3</v>
      </c>
    </row>
    <row r="1327" spans="1:6">
      <c r="A1327" s="10">
        <v>2016</v>
      </c>
      <c r="B1327" t="s">
        <v>1214</v>
      </c>
      <c r="C1327" t="s">
        <v>1990</v>
      </c>
      <c r="D1327" t="s">
        <v>1160</v>
      </c>
      <c r="E1327" s="10">
        <v>471042</v>
      </c>
      <c r="F1327" s="12">
        <v>4.637E-4</v>
      </c>
    </row>
    <row r="1328" spans="1:6">
      <c r="A1328" s="10">
        <v>2016</v>
      </c>
      <c r="B1328" t="s">
        <v>1215</v>
      </c>
      <c r="C1328" t="s">
        <v>1991</v>
      </c>
      <c r="D1328" t="s">
        <v>1161</v>
      </c>
      <c r="E1328" s="10">
        <v>417961</v>
      </c>
      <c r="F1328" s="12">
        <v>4.1140000000000003E-4</v>
      </c>
    </row>
    <row r="1329" spans="1:6">
      <c r="A1329" s="10">
        <v>2016</v>
      </c>
      <c r="B1329" t="s">
        <v>1216</v>
      </c>
      <c r="C1329" t="s">
        <v>1162</v>
      </c>
      <c r="D1329" t="s">
        <v>1162</v>
      </c>
      <c r="E1329" s="10"/>
      <c r="F1329" s="12">
        <v>0</v>
      </c>
    </row>
    <row r="1330" spans="1:6">
      <c r="A1330" s="10">
        <v>2016</v>
      </c>
      <c r="B1330" t="s">
        <v>1217</v>
      </c>
      <c r="C1330" t="s">
        <v>1993</v>
      </c>
      <c r="D1330" t="s">
        <v>1163</v>
      </c>
      <c r="E1330" s="10">
        <v>64307</v>
      </c>
      <c r="F1330" s="12">
        <v>6.3299999999999994E-5</v>
      </c>
    </row>
    <row r="1331" spans="1:6">
      <c r="A1331" s="10">
        <v>2016</v>
      </c>
      <c r="B1331" t="s">
        <v>1218</v>
      </c>
      <c r="C1331" t="s">
        <v>1995</v>
      </c>
      <c r="D1331" t="s">
        <v>1164</v>
      </c>
      <c r="E1331" s="10">
        <v>71640</v>
      </c>
      <c r="F1331" s="12">
        <v>7.0500000000000006E-5</v>
      </c>
    </row>
    <row r="1332" spans="1:6">
      <c r="A1332" s="10">
        <v>2016</v>
      </c>
      <c r="B1332" t="s">
        <v>1219</v>
      </c>
      <c r="C1332" t="s">
        <v>1639</v>
      </c>
      <c r="D1332" t="s">
        <v>1165</v>
      </c>
      <c r="E1332" s="10">
        <v>298957</v>
      </c>
      <c r="F1332" s="12">
        <v>2.943E-4</v>
      </c>
    </row>
    <row r="1333" spans="1:6">
      <c r="A1333" s="10">
        <v>2016</v>
      </c>
      <c r="B1333" t="s">
        <v>1220</v>
      </c>
      <c r="C1333" t="s">
        <v>1641</v>
      </c>
      <c r="D1333" t="s">
        <v>1166</v>
      </c>
      <c r="E1333" s="10">
        <v>107070</v>
      </c>
      <c r="F1333" s="12">
        <v>1.054E-4</v>
      </c>
    </row>
    <row r="1334" spans="1:6">
      <c r="A1334" s="10">
        <v>2016</v>
      </c>
      <c r="B1334" t="s">
        <v>1221</v>
      </c>
      <c r="C1334" t="s">
        <v>1649</v>
      </c>
      <c r="D1334" t="s">
        <v>1167</v>
      </c>
      <c r="E1334" s="10">
        <v>252163</v>
      </c>
      <c r="F1334" s="12">
        <v>2.4820000000000002E-4</v>
      </c>
    </row>
    <row r="1335" spans="1:6">
      <c r="A1335" s="10">
        <v>2016</v>
      </c>
      <c r="B1335" t="s">
        <v>1222</v>
      </c>
      <c r="C1335" t="s">
        <v>1660</v>
      </c>
      <c r="D1335" t="s">
        <v>1168</v>
      </c>
      <c r="E1335" s="10">
        <v>334794</v>
      </c>
      <c r="F1335" s="12">
        <v>3.2949999999999999E-4</v>
      </c>
    </row>
    <row r="1336" spans="1:6">
      <c r="A1336" s="10">
        <v>2016</v>
      </c>
      <c r="B1336" t="s">
        <v>1223</v>
      </c>
      <c r="C1336" t="s">
        <v>1662</v>
      </c>
      <c r="D1336" t="s">
        <v>1169</v>
      </c>
      <c r="E1336" s="10">
        <v>147027</v>
      </c>
      <c r="F1336" s="12">
        <v>1.4469999999999999E-4</v>
      </c>
    </row>
    <row r="1337" spans="1:6">
      <c r="A1337" s="10">
        <v>2016</v>
      </c>
      <c r="B1337" t="s">
        <v>1224</v>
      </c>
      <c r="C1337" t="s">
        <v>1665</v>
      </c>
      <c r="D1337" t="s">
        <v>1170</v>
      </c>
      <c r="E1337" s="10">
        <v>84550</v>
      </c>
      <c r="F1337" s="12">
        <v>8.3200000000000003E-5</v>
      </c>
    </row>
    <row r="1338" spans="1:6">
      <c r="A1338" s="10">
        <v>2016</v>
      </c>
      <c r="B1338" t="s">
        <v>1225</v>
      </c>
      <c r="C1338" t="s">
        <v>1695</v>
      </c>
      <c r="D1338" t="s">
        <v>1171</v>
      </c>
      <c r="E1338" s="10">
        <v>15795</v>
      </c>
      <c r="F1338" s="12">
        <v>1.5500000000000001E-5</v>
      </c>
    </row>
    <row r="1339" spans="1:6">
      <c r="A1339" s="10">
        <v>2016</v>
      </c>
      <c r="B1339" t="s">
        <v>1226</v>
      </c>
      <c r="C1339" t="s">
        <v>1697</v>
      </c>
      <c r="D1339" t="s">
        <v>1172</v>
      </c>
      <c r="E1339" s="10">
        <v>147137</v>
      </c>
      <c r="F1339" s="12">
        <v>1.448E-4</v>
      </c>
    </row>
    <row r="1340" spans="1:6">
      <c r="A1340" s="10">
        <v>2016</v>
      </c>
      <c r="B1340" t="s">
        <v>1227</v>
      </c>
      <c r="C1340" t="s">
        <v>1718</v>
      </c>
      <c r="D1340" t="s">
        <v>1173</v>
      </c>
      <c r="E1340" s="10">
        <v>569176</v>
      </c>
      <c r="F1340" s="12">
        <v>5.6030000000000001E-4</v>
      </c>
    </row>
    <row r="1341" spans="1:6">
      <c r="A1341" s="10">
        <v>2016</v>
      </c>
      <c r="B1341" t="s">
        <v>1228</v>
      </c>
      <c r="C1341" t="s">
        <v>1725</v>
      </c>
      <c r="D1341" t="s">
        <v>1174</v>
      </c>
      <c r="E1341" s="10">
        <v>37789</v>
      </c>
      <c r="F1341" s="12">
        <v>3.7200000000000003E-5</v>
      </c>
    </row>
    <row r="1342" spans="1:6">
      <c r="A1342" s="10">
        <v>2016</v>
      </c>
      <c r="B1342" t="s">
        <v>1229</v>
      </c>
      <c r="C1342" t="s">
        <v>1730</v>
      </c>
      <c r="D1342" t="s">
        <v>1175</v>
      </c>
      <c r="E1342" s="10">
        <v>157339</v>
      </c>
      <c r="F1342" s="12">
        <v>1.549E-4</v>
      </c>
    </row>
    <row r="1343" spans="1:6">
      <c r="A1343" s="10">
        <v>2016</v>
      </c>
      <c r="B1343" t="s">
        <v>1230</v>
      </c>
      <c r="C1343" t="s">
        <v>1731</v>
      </c>
      <c r="D1343" t="s">
        <v>1176</v>
      </c>
      <c r="E1343" s="10">
        <v>4960561</v>
      </c>
      <c r="F1343" s="12">
        <v>4.8827999999999996E-3</v>
      </c>
    </row>
    <row r="1344" spans="1:6">
      <c r="A1344" s="10">
        <v>2016</v>
      </c>
      <c r="B1344" t="s">
        <v>1231</v>
      </c>
      <c r="C1344" t="s">
        <v>1742</v>
      </c>
      <c r="D1344" t="s">
        <v>1177</v>
      </c>
      <c r="E1344" s="10">
        <v>80925</v>
      </c>
      <c r="F1344" s="12">
        <v>7.9699999999999999E-5</v>
      </c>
    </row>
    <row r="1345" spans="1:6">
      <c r="A1345" s="10">
        <v>2016</v>
      </c>
      <c r="B1345" t="s">
        <v>1232</v>
      </c>
      <c r="C1345" t="s">
        <v>1745</v>
      </c>
      <c r="D1345" t="s">
        <v>1178</v>
      </c>
      <c r="E1345" s="10">
        <v>70107</v>
      </c>
      <c r="F1345" s="12">
        <v>6.8999999999999997E-5</v>
      </c>
    </row>
    <row r="1346" spans="1:6">
      <c r="A1346" s="10">
        <v>2016</v>
      </c>
      <c r="B1346" t="s">
        <v>1233</v>
      </c>
      <c r="C1346" t="s">
        <v>1768</v>
      </c>
      <c r="D1346" t="s">
        <v>1179</v>
      </c>
      <c r="E1346" s="10">
        <v>80068</v>
      </c>
      <c r="F1346" s="12">
        <v>7.8800000000000004E-5</v>
      </c>
    </row>
    <row r="1347" spans="1:6">
      <c r="A1347" s="10">
        <v>2016</v>
      </c>
      <c r="B1347" t="s">
        <v>1234</v>
      </c>
      <c r="C1347" t="s">
        <v>1793</v>
      </c>
      <c r="D1347" t="s">
        <v>1180</v>
      </c>
      <c r="E1347" s="10">
        <v>1428226</v>
      </c>
      <c r="F1347" s="12">
        <v>1.4058E-3</v>
      </c>
    </row>
    <row r="1348" spans="1:6">
      <c r="A1348" s="10">
        <v>2016</v>
      </c>
      <c r="B1348" t="s">
        <v>1235</v>
      </c>
      <c r="C1348" t="s">
        <v>1810</v>
      </c>
      <c r="D1348" t="s">
        <v>1181</v>
      </c>
      <c r="E1348" s="10">
        <v>83847</v>
      </c>
      <c r="F1348" s="12">
        <v>8.25E-5</v>
      </c>
    </row>
    <row r="1349" spans="1:6">
      <c r="A1349" s="10">
        <v>2016</v>
      </c>
      <c r="B1349" t="s">
        <v>1236</v>
      </c>
      <c r="C1349" t="s">
        <v>1844</v>
      </c>
      <c r="D1349" t="s">
        <v>1182</v>
      </c>
      <c r="E1349" s="10">
        <v>1261987</v>
      </c>
      <c r="F1349" s="12">
        <v>1.2421999999999999E-3</v>
      </c>
    </row>
    <row r="1350" spans="1:6">
      <c r="A1350" s="10">
        <v>2016</v>
      </c>
      <c r="B1350" t="s">
        <v>1237</v>
      </c>
      <c r="C1350" t="s">
        <v>1856</v>
      </c>
      <c r="D1350" t="s">
        <v>1183</v>
      </c>
      <c r="E1350" s="10">
        <v>426367</v>
      </c>
      <c r="F1350" s="12">
        <v>4.1970000000000001E-4</v>
      </c>
    </row>
    <row r="1351" spans="1:6">
      <c r="A1351" s="10">
        <v>2016</v>
      </c>
      <c r="B1351" t="s">
        <v>1238</v>
      </c>
      <c r="C1351" t="s">
        <v>1860</v>
      </c>
      <c r="D1351" t="s">
        <v>1184</v>
      </c>
      <c r="E1351" s="10">
        <v>114504</v>
      </c>
      <c r="F1351" s="12">
        <v>1.127E-4</v>
      </c>
    </row>
    <row r="1352" spans="1:6">
      <c r="A1352" s="10">
        <v>2016</v>
      </c>
      <c r="B1352" t="s">
        <v>1239</v>
      </c>
      <c r="C1352" t="s">
        <v>1863</v>
      </c>
      <c r="D1352" t="s">
        <v>1185</v>
      </c>
      <c r="E1352" s="10">
        <v>32814</v>
      </c>
      <c r="F1352" s="12">
        <v>3.2299999999999999E-5</v>
      </c>
    </row>
    <row r="1353" spans="1:6">
      <c r="A1353" s="10">
        <v>2016</v>
      </c>
      <c r="B1353" t="s">
        <v>1240</v>
      </c>
      <c r="C1353" t="s">
        <v>1866</v>
      </c>
      <c r="D1353" t="s">
        <v>1186</v>
      </c>
      <c r="E1353" s="10">
        <v>530866</v>
      </c>
      <c r="F1353" s="12">
        <v>5.2249999999999996E-4</v>
      </c>
    </row>
    <row r="1354" spans="1:6">
      <c r="A1354" s="10">
        <v>2016</v>
      </c>
      <c r="B1354" t="s">
        <v>1241</v>
      </c>
      <c r="C1354" t="s">
        <v>1886</v>
      </c>
      <c r="D1354" t="s">
        <v>1187</v>
      </c>
      <c r="E1354" s="10">
        <v>27137</v>
      </c>
      <c r="F1354" s="12">
        <v>2.6699999999999998E-5</v>
      </c>
    </row>
    <row r="1355" spans="1:6">
      <c r="A1355" s="10">
        <v>2016</v>
      </c>
      <c r="B1355" t="s">
        <v>1242</v>
      </c>
      <c r="C1355" t="s">
        <v>1894</v>
      </c>
      <c r="D1355" t="s">
        <v>1188</v>
      </c>
      <c r="E1355" s="10">
        <v>157461</v>
      </c>
      <c r="F1355" s="12">
        <v>1.55E-4</v>
      </c>
    </row>
    <row r="1356" spans="1:6">
      <c r="A1356" s="10">
        <v>2016</v>
      </c>
      <c r="B1356" t="s">
        <v>1243</v>
      </c>
      <c r="C1356" t="s">
        <v>1908</v>
      </c>
      <c r="D1356" t="s">
        <v>1189</v>
      </c>
      <c r="E1356" s="10">
        <v>1281699</v>
      </c>
      <c r="F1356" s="12">
        <v>1.2616000000000001E-3</v>
      </c>
    </row>
    <row r="1357" spans="1:6">
      <c r="A1357" s="10">
        <v>2016</v>
      </c>
      <c r="B1357" t="s">
        <v>1244</v>
      </c>
      <c r="C1357" t="s">
        <v>1926</v>
      </c>
      <c r="D1357" t="s">
        <v>1190</v>
      </c>
      <c r="E1357" s="10">
        <v>579849</v>
      </c>
      <c r="F1357" s="12">
        <v>5.708E-4</v>
      </c>
    </row>
    <row r="1358" spans="1:6">
      <c r="A1358" s="10">
        <v>2016</v>
      </c>
      <c r="B1358" t="s">
        <v>1245</v>
      </c>
      <c r="C1358" t="s">
        <v>1955</v>
      </c>
      <c r="D1358" t="s">
        <v>1191</v>
      </c>
      <c r="E1358" s="10">
        <v>142647</v>
      </c>
      <c r="F1358" s="12">
        <v>1.404E-4</v>
      </c>
    </row>
    <row r="1359" spans="1:6">
      <c r="A1359" s="10">
        <v>2016</v>
      </c>
      <c r="B1359" t="s">
        <v>1246</v>
      </c>
      <c r="C1359" t="s">
        <v>1964</v>
      </c>
      <c r="D1359" t="s">
        <v>1192</v>
      </c>
      <c r="E1359" s="10">
        <v>106165</v>
      </c>
      <c r="F1359" s="12">
        <v>1.0450000000000001E-4</v>
      </c>
    </row>
    <row r="1360" spans="1:6">
      <c r="A1360" s="10">
        <v>2016</v>
      </c>
      <c r="B1360" t="s">
        <v>1247</v>
      </c>
      <c r="C1360" t="s">
        <v>1969</v>
      </c>
      <c r="D1360" t="s">
        <v>1193</v>
      </c>
      <c r="E1360" s="10">
        <v>23797</v>
      </c>
      <c r="F1360" s="12">
        <v>2.34E-5</v>
      </c>
    </row>
    <row r="1361" spans="1:6">
      <c r="A1361" s="10">
        <v>2016</v>
      </c>
      <c r="B1361" t="s">
        <v>1248</v>
      </c>
      <c r="C1361" t="s">
        <v>1975</v>
      </c>
      <c r="D1361" t="s">
        <v>1194</v>
      </c>
      <c r="E1361" s="10">
        <v>44949</v>
      </c>
      <c r="F1361" s="12">
        <v>4.4199999999999997E-5</v>
      </c>
    </row>
    <row r="1362" spans="1:6">
      <c r="A1362" s="10">
        <v>2016</v>
      </c>
      <c r="B1362" t="s">
        <v>1249</v>
      </c>
      <c r="C1362" t="s">
        <v>1980</v>
      </c>
      <c r="D1362" t="s">
        <v>1195</v>
      </c>
      <c r="E1362" s="10">
        <v>96518</v>
      </c>
      <c r="F1362" s="12">
        <v>9.5000000000000005E-5</v>
      </c>
    </row>
    <row r="1363" spans="1:6">
      <c r="A1363" s="10">
        <v>2016</v>
      </c>
      <c r="B1363" t="s">
        <v>1250</v>
      </c>
      <c r="C1363" t="s">
        <v>1986</v>
      </c>
      <c r="D1363" t="s">
        <v>1196</v>
      </c>
      <c r="E1363" s="10">
        <v>152801</v>
      </c>
      <c r="F1363" s="12">
        <v>1.504E-4</v>
      </c>
    </row>
    <row r="1364" spans="1:6">
      <c r="A1364" s="10">
        <v>2016</v>
      </c>
      <c r="B1364" t="s">
        <v>1251</v>
      </c>
      <c r="C1364" t="s">
        <v>1998</v>
      </c>
      <c r="D1364" t="s">
        <v>1197</v>
      </c>
      <c r="E1364" s="10">
        <v>19279</v>
      </c>
      <c r="F1364" s="12">
        <v>1.9000000000000001E-5</v>
      </c>
    </row>
    <row r="1365" spans="1:6">
      <c r="A1365" s="10">
        <v>2016</v>
      </c>
      <c r="B1365" t="s">
        <v>1252</v>
      </c>
      <c r="C1365" t="s">
        <v>2013</v>
      </c>
      <c r="D1365" t="s">
        <v>1198</v>
      </c>
      <c r="E1365" s="10">
        <v>83372</v>
      </c>
      <c r="F1365" s="12">
        <v>8.2100000000000003E-5</v>
      </c>
    </row>
    <row r="1366" spans="1:6">
      <c r="A1366" s="10">
        <v>2016</v>
      </c>
      <c r="B1366" t="s">
        <v>1253</v>
      </c>
      <c r="C1366" t="s">
        <v>2018</v>
      </c>
      <c r="D1366" t="s">
        <v>1199</v>
      </c>
      <c r="E1366" s="10">
        <v>243809</v>
      </c>
      <c r="F1366" s="12">
        <v>2.4000000000000001E-4</v>
      </c>
    </row>
    <row r="1367" spans="1:6">
      <c r="A1367" s="10">
        <v>2016</v>
      </c>
      <c r="B1367" t="s">
        <v>1254</v>
      </c>
      <c r="C1367" t="s">
        <v>2034</v>
      </c>
      <c r="D1367" t="s">
        <v>1200</v>
      </c>
      <c r="E1367" s="10">
        <v>77986</v>
      </c>
      <c r="F1367" s="12">
        <v>7.6799999999999997E-5</v>
      </c>
    </row>
    <row r="1368" spans="1:6">
      <c r="A1368" s="10">
        <v>2016</v>
      </c>
      <c r="B1368" t="s">
        <v>1255</v>
      </c>
      <c r="C1368" t="s">
        <v>1201</v>
      </c>
      <c r="D1368" t="s">
        <v>1201</v>
      </c>
      <c r="E1368" s="10">
        <v>17170</v>
      </c>
      <c r="F1368" s="12">
        <v>1.6900000000000001E-5</v>
      </c>
    </row>
    <row r="1369" spans="1:6">
      <c r="A1369" s="10">
        <v>2016</v>
      </c>
      <c r="B1369" t="s">
        <v>1256</v>
      </c>
      <c r="C1369" t="s">
        <v>1202</v>
      </c>
      <c r="D1369" t="s">
        <v>1202</v>
      </c>
      <c r="E1369" s="10">
        <v>36634</v>
      </c>
      <c r="F1369" s="12">
        <v>3.6100000000000003E-5</v>
      </c>
    </row>
    <row r="1370" spans="1:6">
      <c r="A1370" s="10">
        <v>2016</v>
      </c>
      <c r="B1370" t="s">
        <v>1257</v>
      </c>
      <c r="C1370" t="s">
        <v>1996</v>
      </c>
      <c r="D1370" t="s">
        <v>1203</v>
      </c>
      <c r="E1370" s="10">
        <v>1258168</v>
      </c>
      <c r="F1370" s="12">
        <v>1.2385E-3</v>
      </c>
    </row>
    <row r="1371" spans="1:6">
      <c r="A1371" s="10">
        <v>2016</v>
      </c>
      <c r="B1371" t="s">
        <v>1258</v>
      </c>
      <c r="C1371" t="s">
        <v>1204</v>
      </c>
      <c r="D1371" t="s">
        <v>1204</v>
      </c>
      <c r="E1371" s="10">
        <v>1123979</v>
      </c>
      <c r="F1371" s="12">
        <v>1.1064E-3</v>
      </c>
    </row>
    <row r="1372" spans="1:6">
      <c r="A1372" s="10">
        <v>2016</v>
      </c>
      <c r="B1372" t="s">
        <v>1259</v>
      </c>
      <c r="C1372" t="s">
        <v>1205</v>
      </c>
      <c r="D1372" t="s">
        <v>1205</v>
      </c>
      <c r="E1372" s="10">
        <v>270159</v>
      </c>
      <c r="F1372" s="12">
        <v>2.6590000000000001E-4</v>
      </c>
    </row>
    <row r="1373" spans="1:6">
      <c r="A1373" s="10">
        <v>2016</v>
      </c>
      <c r="B1373" t="s">
        <v>1260</v>
      </c>
      <c r="C1373" t="s">
        <v>1206</v>
      </c>
      <c r="D1373" t="s">
        <v>1206</v>
      </c>
      <c r="E1373" s="10">
        <v>47644</v>
      </c>
      <c r="F1373" s="12">
        <v>4.6900000000000002E-5</v>
      </c>
    </row>
    <row r="1374" spans="1:6">
      <c r="A1374" s="10">
        <v>2016</v>
      </c>
      <c r="B1374" t="s">
        <v>1261</v>
      </c>
      <c r="C1374" t="s">
        <v>1997</v>
      </c>
      <c r="D1374" t="s">
        <v>1207</v>
      </c>
      <c r="E1374" s="10">
        <v>25963519</v>
      </c>
      <c r="F1374" s="12">
        <v>2.5556700000000002E-2</v>
      </c>
    </row>
    <row r="1375" spans="1:6">
      <c r="A1375" s="10">
        <v>2016</v>
      </c>
      <c r="B1375" t="s">
        <v>1262</v>
      </c>
      <c r="C1375" t="s">
        <v>1208</v>
      </c>
      <c r="D1375" t="s">
        <v>1208</v>
      </c>
      <c r="E1375" s="10">
        <v>23288</v>
      </c>
      <c r="F1375" s="12">
        <v>2.2900000000000001E-5</v>
      </c>
    </row>
    <row r="1376" spans="1:6">
      <c r="A1376" s="10">
        <v>2016</v>
      </c>
      <c r="B1376" t="s">
        <v>1311</v>
      </c>
      <c r="C1376" t="s">
        <v>2414</v>
      </c>
      <c r="D1376" t="s">
        <v>1263</v>
      </c>
      <c r="E1376" s="10">
        <v>726772</v>
      </c>
      <c r="F1376" s="12">
        <v>7.1540000000000004E-4</v>
      </c>
    </row>
    <row r="1377" spans="1:6">
      <c r="A1377" s="10">
        <v>2016</v>
      </c>
      <c r="B1377" t="s">
        <v>1312</v>
      </c>
      <c r="C1377" t="s">
        <v>2000</v>
      </c>
      <c r="D1377" t="s">
        <v>1264</v>
      </c>
      <c r="E1377" s="10">
        <v>39129819</v>
      </c>
      <c r="F1377" s="12">
        <v>3.8516599999999998E-2</v>
      </c>
    </row>
    <row r="1378" spans="1:6">
      <c r="A1378" s="10">
        <v>2016</v>
      </c>
      <c r="B1378" t="s">
        <v>1313</v>
      </c>
      <c r="C1378" t="s">
        <v>2001</v>
      </c>
      <c r="D1378" t="s">
        <v>1265</v>
      </c>
      <c r="E1378" s="10">
        <v>5997035</v>
      </c>
      <c r="F1378" s="12">
        <v>5.9030999999999997E-3</v>
      </c>
    </row>
    <row r="1379" spans="1:6">
      <c r="A1379" s="10">
        <v>2016</v>
      </c>
      <c r="B1379" t="s">
        <v>1314</v>
      </c>
      <c r="C1379" t="s">
        <v>2002</v>
      </c>
      <c r="D1379" t="s">
        <v>1266</v>
      </c>
      <c r="E1379" s="10">
        <v>39522</v>
      </c>
      <c r="F1379" s="12">
        <v>3.8899999999999997E-5</v>
      </c>
    </row>
    <row r="1380" spans="1:6">
      <c r="A1380" s="10">
        <v>2016</v>
      </c>
      <c r="B1380" t="s">
        <v>1315</v>
      </c>
      <c r="C1380" t="s">
        <v>2394</v>
      </c>
      <c r="D1380" t="s">
        <v>1267</v>
      </c>
      <c r="E1380" s="10">
        <v>34036</v>
      </c>
      <c r="F1380" s="12">
        <v>3.3500000000000001E-5</v>
      </c>
    </row>
    <row r="1381" spans="1:6">
      <c r="A1381" s="10">
        <v>2016</v>
      </c>
      <c r="B1381" t="s">
        <v>1316</v>
      </c>
      <c r="C1381" t="s">
        <v>2459</v>
      </c>
      <c r="D1381" t="s">
        <v>1268</v>
      </c>
      <c r="E1381" s="10">
        <v>277401</v>
      </c>
      <c r="F1381" s="12">
        <v>2.7310000000000002E-4</v>
      </c>
    </row>
    <row r="1382" spans="1:6">
      <c r="A1382" s="10">
        <v>2016</v>
      </c>
      <c r="B1382" t="s">
        <v>1317</v>
      </c>
      <c r="C1382" t="s">
        <v>2007</v>
      </c>
      <c r="D1382" t="s">
        <v>1269</v>
      </c>
      <c r="E1382" s="10">
        <v>93861</v>
      </c>
      <c r="F1382" s="12">
        <v>9.2399999999999996E-5</v>
      </c>
    </row>
    <row r="1383" spans="1:6">
      <c r="A1383" s="10">
        <v>2016</v>
      </c>
      <c r="B1383" t="s">
        <v>1318</v>
      </c>
      <c r="C1383" t="s">
        <v>2008</v>
      </c>
      <c r="D1383" t="s">
        <v>1270</v>
      </c>
      <c r="E1383" s="10"/>
      <c r="F1383" s="12">
        <v>0</v>
      </c>
    </row>
    <row r="1384" spans="1:6">
      <c r="A1384" s="10">
        <v>2016</v>
      </c>
      <c r="B1384" t="s">
        <v>1319</v>
      </c>
      <c r="C1384" t="s">
        <v>1271</v>
      </c>
      <c r="D1384" t="s">
        <v>1271</v>
      </c>
      <c r="E1384" s="10">
        <v>27556</v>
      </c>
      <c r="F1384" s="12">
        <v>2.7100000000000001E-5</v>
      </c>
    </row>
    <row r="1385" spans="1:6">
      <c r="A1385" s="10">
        <v>2016</v>
      </c>
      <c r="B1385" t="s">
        <v>1320</v>
      </c>
      <c r="C1385" t="s">
        <v>2009</v>
      </c>
      <c r="D1385" t="s">
        <v>1272</v>
      </c>
      <c r="E1385" s="10">
        <v>91247</v>
      </c>
      <c r="F1385" s="12">
        <v>8.9800000000000001E-5</v>
      </c>
    </row>
    <row r="1386" spans="1:6">
      <c r="A1386" s="10">
        <v>2016</v>
      </c>
      <c r="B1386" t="s">
        <v>1321</v>
      </c>
      <c r="C1386" t="s">
        <v>1273</v>
      </c>
      <c r="D1386" t="s">
        <v>1273</v>
      </c>
      <c r="E1386" s="10">
        <v>28185</v>
      </c>
      <c r="F1386" s="12">
        <v>2.7699999999999999E-5</v>
      </c>
    </row>
    <row r="1387" spans="1:6">
      <c r="A1387" s="10">
        <v>2016</v>
      </c>
      <c r="B1387" t="s">
        <v>1322</v>
      </c>
      <c r="C1387" t="s">
        <v>2333</v>
      </c>
      <c r="D1387" t="s">
        <v>1274</v>
      </c>
      <c r="E1387" s="10"/>
      <c r="F1387" s="12">
        <v>0</v>
      </c>
    </row>
    <row r="1388" spans="1:6">
      <c r="A1388" s="10">
        <v>2016</v>
      </c>
      <c r="B1388" t="s">
        <v>1323</v>
      </c>
      <c r="C1388" t="s">
        <v>2011</v>
      </c>
      <c r="D1388" t="s">
        <v>1275</v>
      </c>
      <c r="E1388" s="10">
        <v>11787803</v>
      </c>
      <c r="F1388" s="12">
        <v>1.16031E-2</v>
      </c>
    </row>
    <row r="1389" spans="1:6">
      <c r="A1389" s="10">
        <v>2016</v>
      </c>
      <c r="B1389" t="s">
        <v>1324</v>
      </c>
      <c r="C1389" t="s">
        <v>1504</v>
      </c>
      <c r="D1389" t="s">
        <v>1276</v>
      </c>
      <c r="E1389" s="10">
        <v>79668</v>
      </c>
      <c r="F1389" s="12">
        <v>7.8399999999999995E-5</v>
      </c>
    </row>
    <row r="1390" spans="1:6">
      <c r="A1390" s="10">
        <v>2016</v>
      </c>
      <c r="B1390" t="s">
        <v>1325</v>
      </c>
      <c r="C1390" t="s">
        <v>2395</v>
      </c>
      <c r="D1390" t="s">
        <v>1277</v>
      </c>
      <c r="E1390" s="10">
        <v>129038</v>
      </c>
      <c r="F1390" s="12">
        <v>1.27E-4</v>
      </c>
    </row>
    <row r="1391" spans="1:6">
      <c r="A1391" s="10">
        <v>2016</v>
      </c>
      <c r="B1391" t="s">
        <v>1326</v>
      </c>
      <c r="C1391" t="s">
        <v>2014</v>
      </c>
      <c r="D1391" t="s">
        <v>1278</v>
      </c>
      <c r="E1391" s="10">
        <v>84159</v>
      </c>
      <c r="F1391" s="12">
        <v>8.2799999999999993E-5</v>
      </c>
    </row>
    <row r="1392" spans="1:6">
      <c r="A1392" s="10">
        <v>2016</v>
      </c>
      <c r="B1392" t="s">
        <v>1327</v>
      </c>
      <c r="C1392" t="s">
        <v>1279</v>
      </c>
      <c r="D1392" t="s">
        <v>1279</v>
      </c>
      <c r="E1392" s="10">
        <v>756816</v>
      </c>
      <c r="F1392" s="12">
        <v>7.45E-4</v>
      </c>
    </row>
    <row r="1393" spans="1:6">
      <c r="A1393" s="10">
        <v>2016</v>
      </c>
      <c r="B1393" t="s">
        <v>1328</v>
      </c>
      <c r="C1393" t="s">
        <v>1484</v>
      </c>
      <c r="D1393" t="s">
        <v>1484</v>
      </c>
      <c r="E1393" s="10">
        <v>26150</v>
      </c>
      <c r="F1393" s="12">
        <v>2.5700000000000001E-5</v>
      </c>
    </row>
    <row r="1394" spans="1:6">
      <c r="A1394" s="10">
        <v>2016</v>
      </c>
      <c r="B1394" t="s">
        <v>1329</v>
      </c>
      <c r="C1394" t="s">
        <v>1485</v>
      </c>
      <c r="D1394" t="s">
        <v>1485</v>
      </c>
      <c r="E1394" s="10">
        <v>548881</v>
      </c>
      <c r="F1394" s="12">
        <v>5.4029999999999996E-4</v>
      </c>
    </row>
    <row r="1395" spans="1:6">
      <c r="A1395" s="10">
        <v>2016</v>
      </c>
      <c r="B1395" t="s">
        <v>1330</v>
      </c>
      <c r="C1395" t="s">
        <v>1282</v>
      </c>
      <c r="D1395" t="s">
        <v>1282</v>
      </c>
      <c r="E1395" s="10"/>
      <c r="F1395" s="12">
        <v>0</v>
      </c>
    </row>
    <row r="1396" spans="1:6">
      <c r="A1396" s="10">
        <v>2016</v>
      </c>
      <c r="B1396" t="s">
        <v>1331</v>
      </c>
      <c r="C1396" t="s">
        <v>1283</v>
      </c>
      <c r="D1396" t="s">
        <v>1283</v>
      </c>
      <c r="E1396" s="10"/>
      <c r="F1396" s="12">
        <v>0</v>
      </c>
    </row>
    <row r="1397" spans="1:6">
      <c r="A1397" s="10">
        <v>2016</v>
      </c>
      <c r="B1397" t="s">
        <v>1332</v>
      </c>
      <c r="C1397" t="s">
        <v>1284</v>
      </c>
      <c r="D1397" t="s">
        <v>1284</v>
      </c>
      <c r="E1397" s="10">
        <v>22767</v>
      </c>
      <c r="F1397" s="12">
        <v>2.2399999999999999E-5</v>
      </c>
    </row>
    <row r="1398" spans="1:6">
      <c r="A1398" s="10">
        <v>2016</v>
      </c>
      <c r="B1398" t="s">
        <v>1333</v>
      </c>
      <c r="C1398" t="s">
        <v>2015</v>
      </c>
      <c r="D1398" t="s">
        <v>1285</v>
      </c>
      <c r="E1398" s="10">
        <v>1660</v>
      </c>
      <c r="F1398" s="12">
        <v>1.5999999999999999E-6</v>
      </c>
    </row>
    <row r="1399" spans="1:6">
      <c r="A1399" s="10">
        <v>2016</v>
      </c>
      <c r="B1399" t="s">
        <v>1334</v>
      </c>
      <c r="C1399" t="s">
        <v>2016</v>
      </c>
      <c r="D1399" t="s">
        <v>1286</v>
      </c>
      <c r="E1399" s="10">
        <v>1378916</v>
      </c>
      <c r="F1399" s="12">
        <v>1.3573000000000001E-3</v>
      </c>
    </row>
    <row r="1400" spans="1:6">
      <c r="A1400" s="10">
        <v>2016</v>
      </c>
      <c r="B1400" t="s">
        <v>1335</v>
      </c>
      <c r="C1400" t="s">
        <v>2017</v>
      </c>
      <c r="D1400" t="s">
        <v>1287</v>
      </c>
      <c r="E1400" s="10">
        <v>693270</v>
      </c>
      <c r="F1400" s="12">
        <v>6.824E-4</v>
      </c>
    </row>
    <row r="1401" spans="1:6">
      <c r="A1401" s="10">
        <v>2016</v>
      </c>
      <c r="B1401" t="s">
        <v>1336</v>
      </c>
      <c r="C1401" t="s">
        <v>2019</v>
      </c>
      <c r="D1401" t="s">
        <v>1288</v>
      </c>
      <c r="E1401" s="10">
        <v>535144</v>
      </c>
      <c r="F1401" s="12">
        <v>5.2680000000000001E-4</v>
      </c>
    </row>
    <row r="1402" spans="1:6">
      <c r="A1402" s="10">
        <v>2016</v>
      </c>
      <c r="B1402" t="s">
        <v>1337</v>
      </c>
      <c r="C1402" t="s">
        <v>2021</v>
      </c>
      <c r="D1402" t="s">
        <v>1289</v>
      </c>
      <c r="E1402" s="10">
        <v>338670</v>
      </c>
      <c r="F1402" s="12">
        <v>3.3340000000000003E-4</v>
      </c>
    </row>
    <row r="1403" spans="1:6">
      <c r="A1403" s="10">
        <v>2016</v>
      </c>
      <c r="B1403" t="s">
        <v>1338</v>
      </c>
      <c r="C1403" t="s">
        <v>2023</v>
      </c>
      <c r="D1403" t="s">
        <v>1290</v>
      </c>
      <c r="E1403" s="10">
        <v>2373</v>
      </c>
      <c r="F1403" s="12">
        <v>2.3E-6</v>
      </c>
    </row>
    <row r="1404" spans="1:6">
      <c r="A1404" s="10">
        <v>2016</v>
      </c>
      <c r="B1404" t="s">
        <v>1339</v>
      </c>
      <c r="C1404" t="s">
        <v>2025</v>
      </c>
      <c r="D1404" t="s">
        <v>1291</v>
      </c>
      <c r="E1404" s="10">
        <v>771192</v>
      </c>
      <c r="F1404" s="12">
        <v>7.5909999999999997E-4</v>
      </c>
    </row>
    <row r="1405" spans="1:6">
      <c r="A1405" s="10">
        <v>2016</v>
      </c>
      <c r="B1405" t="s">
        <v>1340</v>
      </c>
      <c r="C1405" t="s">
        <v>2026</v>
      </c>
      <c r="D1405" t="s">
        <v>1292</v>
      </c>
      <c r="E1405" s="10">
        <v>1137047</v>
      </c>
      <c r="F1405" s="12">
        <v>1.1192000000000001E-3</v>
      </c>
    </row>
    <row r="1406" spans="1:6">
      <c r="A1406" s="10">
        <v>2016</v>
      </c>
      <c r="B1406" t="s">
        <v>1341</v>
      </c>
      <c r="C1406" t="s">
        <v>2027</v>
      </c>
      <c r="D1406" t="s">
        <v>1293</v>
      </c>
      <c r="E1406" s="10">
        <v>1021777</v>
      </c>
      <c r="F1406" s="12">
        <v>1.0058000000000001E-3</v>
      </c>
    </row>
    <row r="1407" spans="1:6">
      <c r="A1407" s="10">
        <v>2016</v>
      </c>
      <c r="B1407" t="s">
        <v>1342</v>
      </c>
      <c r="C1407" t="s">
        <v>1294</v>
      </c>
      <c r="D1407" t="s">
        <v>1294</v>
      </c>
      <c r="E1407" s="10">
        <v>2702</v>
      </c>
      <c r="F1407" s="12">
        <v>2.7E-6</v>
      </c>
    </row>
    <row r="1408" spans="1:6">
      <c r="A1408" s="10">
        <v>2016</v>
      </c>
      <c r="B1408" t="s">
        <v>1343</v>
      </c>
      <c r="C1408" t="s">
        <v>2029</v>
      </c>
      <c r="D1408" t="s">
        <v>1295</v>
      </c>
      <c r="E1408" s="10">
        <v>37400</v>
      </c>
      <c r="F1408" s="12">
        <v>3.68E-5</v>
      </c>
    </row>
    <row r="1409" spans="1:6">
      <c r="A1409" s="10">
        <v>2016</v>
      </c>
      <c r="B1409" t="s">
        <v>1344</v>
      </c>
      <c r="C1409" t="s">
        <v>2030</v>
      </c>
      <c r="D1409" t="s">
        <v>1296</v>
      </c>
      <c r="E1409" s="10">
        <v>44529</v>
      </c>
      <c r="F1409" s="12">
        <v>4.3800000000000001E-5</v>
      </c>
    </row>
    <row r="1410" spans="1:6">
      <c r="A1410" s="10">
        <v>2016</v>
      </c>
      <c r="B1410" t="s">
        <v>1345</v>
      </c>
      <c r="C1410" t="s">
        <v>2031</v>
      </c>
      <c r="D1410" t="s">
        <v>1486</v>
      </c>
      <c r="E1410" s="10"/>
      <c r="F1410" s="12">
        <v>0</v>
      </c>
    </row>
    <row r="1411" spans="1:6">
      <c r="A1411" s="10">
        <v>2016</v>
      </c>
      <c r="B1411" t="s">
        <v>1346</v>
      </c>
      <c r="C1411" t="s">
        <v>1298</v>
      </c>
      <c r="D1411" t="s">
        <v>1298</v>
      </c>
      <c r="E1411" s="10">
        <v>1992547</v>
      </c>
      <c r="F1411" s="12">
        <v>1.9613E-3</v>
      </c>
    </row>
    <row r="1412" spans="1:6">
      <c r="A1412" s="10">
        <v>2016</v>
      </c>
      <c r="B1412" t="s">
        <v>1347</v>
      </c>
      <c r="C1412" t="s">
        <v>1299</v>
      </c>
      <c r="D1412" t="s">
        <v>1299</v>
      </c>
      <c r="E1412" s="10">
        <v>5260456</v>
      </c>
      <c r="F1412" s="12">
        <v>5.1780000000000003E-3</v>
      </c>
    </row>
    <row r="1413" spans="1:6">
      <c r="A1413" s="10">
        <v>2016</v>
      </c>
      <c r="B1413" t="s">
        <v>1348</v>
      </c>
      <c r="C1413" t="s">
        <v>2032</v>
      </c>
      <c r="D1413" t="s">
        <v>1300</v>
      </c>
      <c r="E1413" s="10">
        <v>80833</v>
      </c>
      <c r="F1413" s="12">
        <v>7.9599999999999997E-5</v>
      </c>
    </row>
    <row r="1414" spans="1:6">
      <c r="A1414" s="10">
        <v>2016</v>
      </c>
      <c r="B1414" t="s">
        <v>1349</v>
      </c>
      <c r="C1414" t="s">
        <v>2033</v>
      </c>
      <c r="D1414" t="s">
        <v>1301</v>
      </c>
      <c r="E1414" s="10">
        <v>151642</v>
      </c>
      <c r="F1414" s="12">
        <v>1.493E-4</v>
      </c>
    </row>
    <row r="1415" spans="1:6">
      <c r="A1415" s="10">
        <v>2016</v>
      </c>
      <c r="B1415" t="s">
        <v>1350</v>
      </c>
      <c r="C1415" t="s">
        <v>2035</v>
      </c>
      <c r="D1415" t="s">
        <v>1302</v>
      </c>
      <c r="E1415" s="10">
        <v>23928</v>
      </c>
      <c r="F1415" s="12">
        <v>2.3600000000000001E-5</v>
      </c>
    </row>
    <row r="1416" spans="1:6">
      <c r="A1416" s="10">
        <v>2016</v>
      </c>
      <c r="B1416" t="s">
        <v>1351</v>
      </c>
      <c r="C1416" t="s">
        <v>2415</v>
      </c>
      <c r="D1416" t="s">
        <v>1303</v>
      </c>
      <c r="E1416" s="10">
        <v>25290</v>
      </c>
      <c r="F1416" s="12">
        <v>2.4899999999999999E-5</v>
      </c>
    </row>
    <row r="1417" spans="1:6">
      <c r="A1417" s="10">
        <v>2016</v>
      </c>
      <c r="B1417" t="s">
        <v>1352</v>
      </c>
      <c r="C1417" t="s">
        <v>1304</v>
      </c>
      <c r="D1417" t="s">
        <v>1304</v>
      </c>
      <c r="E1417" s="10">
        <v>4202363</v>
      </c>
      <c r="F1417" s="12">
        <v>4.1365000000000004E-3</v>
      </c>
    </row>
    <row r="1418" spans="1:6">
      <c r="A1418" s="10">
        <v>2016</v>
      </c>
      <c r="B1418" t="s">
        <v>1353</v>
      </c>
      <c r="C1418" t="s">
        <v>1305</v>
      </c>
      <c r="D1418" t="s">
        <v>1305</v>
      </c>
      <c r="E1418" s="10">
        <v>121103</v>
      </c>
      <c r="F1418" s="12">
        <v>1.192E-4</v>
      </c>
    </row>
    <row r="1419" spans="1:6">
      <c r="A1419" s="10">
        <v>2016</v>
      </c>
      <c r="B1419" t="s">
        <v>1354</v>
      </c>
      <c r="C1419" t="s">
        <v>2037</v>
      </c>
      <c r="D1419" t="s">
        <v>1306</v>
      </c>
      <c r="E1419" s="10">
        <v>4731</v>
      </c>
      <c r="F1419" s="12">
        <v>4.6999999999999999E-6</v>
      </c>
    </row>
    <row r="1420" spans="1:6">
      <c r="A1420" s="10">
        <v>2016</v>
      </c>
      <c r="B1420" t="s">
        <v>1355</v>
      </c>
      <c r="C1420" t="s">
        <v>2038</v>
      </c>
      <c r="D1420" t="s">
        <v>1307</v>
      </c>
      <c r="E1420" s="10">
        <v>3769265</v>
      </c>
      <c r="F1420" s="12">
        <v>3.7101999999999999E-3</v>
      </c>
    </row>
    <row r="1421" spans="1:6">
      <c r="A1421" s="10">
        <v>2016</v>
      </c>
      <c r="B1421" t="s">
        <v>1356</v>
      </c>
      <c r="C1421" t="s">
        <v>1755</v>
      </c>
      <c r="D1421" t="s">
        <v>1308</v>
      </c>
      <c r="E1421" s="10">
        <v>158044</v>
      </c>
      <c r="F1421" s="12">
        <v>1.5559999999999999E-4</v>
      </c>
    </row>
    <row r="1422" spans="1:6">
      <c r="A1422" s="10">
        <v>2016</v>
      </c>
      <c r="B1422" t="s">
        <v>1357</v>
      </c>
      <c r="C1422" t="s">
        <v>2039</v>
      </c>
      <c r="D1422" t="s">
        <v>1309</v>
      </c>
      <c r="E1422" s="10">
        <v>138326</v>
      </c>
      <c r="F1422" s="12">
        <v>1.362E-4</v>
      </c>
    </row>
    <row r="1423" spans="1:6">
      <c r="A1423" s="10">
        <v>2016</v>
      </c>
      <c r="B1423" t="s">
        <v>1358</v>
      </c>
      <c r="C1423" t="s">
        <v>2041</v>
      </c>
      <c r="D1423" t="s">
        <v>1310</v>
      </c>
      <c r="E1423" s="10">
        <v>4155754</v>
      </c>
      <c r="F1423" s="12">
        <v>4.0905999999999998E-3</v>
      </c>
    </row>
    <row r="1424" spans="1:6">
      <c r="A1424" s="10">
        <v>2017</v>
      </c>
      <c r="B1424" t="s">
        <v>59</v>
      </c>
      <c r="C1424" t="s">
        <v>6</v>
      </c>
      <c r="D1424" t="s">
        <v>6</v>
      </c>
      <c r="E1424" s="10">
        <v>35344</v>
      </c>
      <c r="F1424" s="12">
        <v>3.3599999999999997E-5</v>
      </c>
    </row>
    <row r="1425" spans="1:6">
      <c r="A1425" s="10">
        <v>2017</v>
      </c>
      <c r="B1425" t="s">
        <v>60</v>
      </c>
      <c r="C1425" t="s">
        <v>7</v>
      </c>
      <c r="D1425" t="s">
        <v>7</v>
      </c>
      <c r="E1425" s="10">
        <v>297080</v>
      </c>
      <c r="F1425" s="12">
        <v>2.8249999999999998E-4</v>
      </c>
    </row>
    <row r="1426" spans="1:6">
      <c r="A1426" s="10">
        <v>2017</v>
      </c>
      <c r="B1426" t="s">
        <v>61</v>
      </c>
      <c r="C1426" t="s">
        <v>1487</v>
      </c>
      <c r="D1426" t="s">
        <v>1487</v>
      </c>
      <c r="E1426" s="10">
        <v>68676</v>
      </c>
      <c r="F1426" s="12">
        <v>6.5300000000000002E-5</v>
      </c>
    </row>
    <row r="1427" spans="1:6">
      <c r="A1427" s="10">
        <v>2017</v>
      </c>
      <c r="B1427" t="s">
        <v>62</v>
      </c>
      <c r="C1427" t="s">
        <v>9</v>
      </c>
      <c r="D1427" t="s">
        <v>9</v>
      </c>
      <c r="E1427" s="10">
        <v>69678</v>
      </c>
      <c r="F1427" s="12">
        <v>6.6299999999999999E-5</v>
      </c>
    </row>
    <row r="1428" spans="1:6">
      <c r="A1428" s="10">
        <v>2017</v>
      </c>
      <c r="B1428" t="s">
        <v>63</v>
      </c>
      <c r="C1428" t="s">
        <v>1488</v>
      </c>
      <c r="D1428" t="s">
        <v>1488</v>
      </c>
      <c r="E1428" s="10">
        <v>167898</v>
      </c>
      <c r="F1428" s="12">
        <v>1.5970000000000001E-4</v>
      </c>
    </row>
    <row r="1429" spans="1:6">
      <c r="A1429" s="10">
        <v>2017</v>
      </c>
      <c r="B1429" t="s">
        <v>64</v>
      </c>
      <c r="C1429" t="s">
        <v>1489</v>
      </c>
      <c r="D1429" t="s">
        <v>1489</v>
      </c>
      <c r="E1429" s="10">
        <v>3527673</v>
      </c>
      <c r="F1429" s="12">
        <v>3.3549999999999999E-3</v>
      </c>
    </row>
    <row r="1430" spans="1:6">
      <c r="A1430" s="10">
        <v>2017</v>
      </c>
      <c r="B1430" t="s">
        <v>65</v>
      </c>
      <c r="C1430" t="s">
        <v>1490</v>
      </c>
      <c r="D1430" t="s">
        <v>1490</v>
      </c>
      <c r="E1430" s="10">
        <v>84595</v>
      </c>
      <c r="F1430" s="12">
        <v>8.0500000000000005E-5</v>
      </c>
    </row>
    <row r="1431" spans="1:6">
      <c r="A1431" s="10">
        <v>2017</v>
      </c>
      <c r="B1431" t="s">
        <v>66</v>
      </c>
      <c r="C1431" t="s">
        <v>1491</v>
      </c>
      <c r="D1431" t="s">
        <v>1491</v>
      </c>
      <c r="E1431" s="10">
        <v>50441</v>
      </c>
      <c r="F1431" s="12">
        <v>4.8000000000000001E-5</v>
      </c>
    </row>
    <row r="1432" spans="1:6">
      <c r="A1432" s="10">
        <v>2017</v>
      </c>
      <c r="B1432" t="s">
        <v>67</v>
      </c>
      <c r="C1432" t="s">
        <v>1492</v>
      </c>
      <c r="D1432" t="s">
        <v>1492</v>
      </c>
      <c r="E1432" s="10">
        <v>187914</v>
      </c>
      <c r="F1432" s="12">
        <v>1.7870000000000001E-4</v>
      </c>
    </row>
    <row r="1433" spans="1:6">
      <c r="A1433" s="10">
        <v>2017</v>
      </c>
      <c r="B1433" t="s">
        <v>68</v>
      </c>
      <c r="C1433" t="s">
        <v>1493</v>
      </c>
      <c r="D1433" t="s">
        <v>1493</v>
      </c>
      <c r="E1433" s="10">
        <v>13323</v>
      </c>
      <c r="F1433" s="12">
        <v>1.27E-5</v>
      </c>
    </row>
    <row r="1434" spans="1:6">
      <c r="A1434" s="10">
        <v>2017</v>
      </c>
      <c r="B1434" t="s">
        <v>69</v>
      </c>
      <c r="C1434" t="s">
        <v>1494</v>
      </c>
      <c r="D1434" t="s">
        <v>1494</v>
      </c>
      <c r="E1434" s="10">
        <v>329250</v>
      </c>
      <c r="F1434" s="12">
        <v>3.1310000000000002E-4</v>
      </c>
    </row>
    <row r="1435" spans="1:6">
      <c r="A1435" s="10">
        <v>2017</v>
      </c>
      <c r="B1435" t="s">
        <v>70</v>
      </c>
      <c r="C1435" t="s">
        <v>1495</v>
      </c>
      <c r="D1435" t="s">
        <v>1495</v>
      </c>
      <c r="E1435" s="10">
        <v>7055809</v>
      </c>
      <c r="F1435" s="12">
        <v>6.7104E-3</v>
      </c>
    </row>
    <row r="1436" spans="1:6">
      <c r="A1436" s="10">
        <v>2017</v>
      </c>
      <c r="B1436" t="s">
        <v>71</v>
      </c>
      <c r="C1436" t="s">
        <v>1496</v>
      </c>
      <c r="D1436" t="s">
        <v>1496</v>
      </c>
      <c r="E1436" s="10">
        <v>53324</v>
      </c>
      <c r="F1436" s="12">
        <v>5.0699999999999999E-5</v>
      </c>
    </row>
    <row r="1437" spans="1:6">
      <c r="A1437" s="10">
        <v>2017</v>
      </c>
      <c r="B1437" t="s">
        <v>72</v>
      </c>
      <c r="C1437" t="s">
        <v>1497</v>
      </c>
      <c r="D1437" t="s">
        <v>1497</v>
      </c>
      <c r="E1437" s="10">
        <v>372329</v>
      </c>
      <c r="F1437" s="12">
        <v>3.5409999999999999E-4</v>
      </c>
    </row>
    <row r="1438" spans="1:6">
      <c r="A1438" s="10">
        <v>2017</v>
      </c>
      <c r="B1438" t="s">
        <v>74</v>
      </c>
      <c r="C1438" t="s">
        <v>1498</v>
      </c>
      <c r="D1438" t="s">
        <v>1498</v>
      </c>
      <c r="E1438" s="10">
        <v>32923</v>
      </c>
      <c r="F1438" s="12">
        <v>3.1300000000000002E-5</v>
      </c>
    </row>
    <row r="1439" spans="1:6">
      <c r="A1439" s="10">
        <v>2017</v>
      </c>
      <c r="B1439" t="s">
        <v>75</v>
      </c>
      <c r="C1439" t="s">
        <v>1365</v>
      </c>
      <c r="D1439" t="s">
        <v>1365</v>
      </c>
      <c r="E1439" s="10">
        <v>25365</v>
      </c>
      <c r="F1439" s="12">
        <v>2.41E-5</v>
      </c>
    </row>
    <row r="1440" spans="1:6">
      <c r="A1440" s="10">
        <v>2017</v>
      </c>
      <c r="B1440" t="s">
        <v>76</v>
      </c>
      <c r="C1440" t="s">
        <v>1499</v>
      </c>
      <c r="D1440" t="s">
        <v>1499</v>
      </c>
      <c r="E1440" s="10">
        <v>7248286</v>
      </c>
      <c r="F1440" s="12">
        <v>6.8935000000000003E-3</v>
      </c>
    </row>
    <row r="1441" spans="1:6">
      <c r="A1441" s="10">
        <v>2017</v>
      </c>
      <c r="B1441" t="s">
        <v>77</v>
      </c>
      <c r="C1441" t="s">
        <v>1500</v>
      </c>
      <c r="D1441" t="s">
        <v>1500</v>
      </c>
      <c r="E1441" s="10">
        <v>170941</v>
      </c>
      <c r="F1441" s="12">
        <v>1.6259999999999999E-4</v>
      </c>
    </row>
    <row r="1442" spans="1:6">
      <c r="A1442" s="10">
        <v>2017</v>
      </c>
      <c r="B1442" t="s">
        <v>78</v>
      </c>
      <c r="C1442" t="s">
        <v>25</v>
      </c>
      <c r="D1442" t="s">
        <v>25</v>
      </c>
      <c r="E1442" s="10">
        <v>1118468</v>
      </c>
      <c r="F1442" s="12">
        <v>1.0637000000000001E-3</v>
      </c>
    </row>
    <row r="1443" spans="1:6">
      <c r="A1443" s="10">
        <v>2017</v>
      </c>
      <c r="B1443" t="s">
        <v>1524</v>
      </c>
      <c r="C1443" t="s">
        <v>1501</v>
      </c>
      <c r="D1443" t="s">
        <v>1501</v>
      </c>
      <c r="E1443" s="10"/>
      <c r="F1443" s="12">
        <v>0</v>
      </c>
    </row>
    <row r="1444" spans="1:6">
      <c r="A1444" s="10">
        <v>2017</v>
      </c>
      <c r="B1444" t="s">
        <v>79</v>
      </c>
      <c r="C1444" t="s">
        <v>1502</v>
      </c>
      <c r="D1444" t="s">
        <v>1502</v>
      </c>
      <c r="E1444" s="10">
        <v>12179</v>
      </c>
      <c r="F1444" s="12">
        <v>1.1600000000000001E-5</v>
      </c>
    </row>
    <row r="1445" spans="1:6">
      <c r="A1445" s="10">
        <v>2017</v>
      </c>
      <c r="B1445" t="s">
        <v>80</v>
      </c>
      <c r="C1445" t="s">
        <v>1503</v>
      </c>
      <c r="D1445" t="s">
        <v>1503</v>
      </c>
      <c r="E1445" s="10">
        <v>1674478</v>
      </c>
      <c r="F1445" s="12">
        <v>1.5924999999999999E-3</v>
      </c>
    </row>
    <row r="1446" spans="1:6">
      <c r="A1446" s="10">
        <v>2017</v>
      </c>
      <c r="B1446" t="s">
        <v>1324</v>
      </c>
      <c r="C1446" t="s">
        <v>1504</v>
      </c>
      <c r="D1446" t="s">
        <v>1504</v>
      </c>
      <c r="E1446" s="10">
        <v>78931</v>
      </c>
      <c r="F1446" s="12">
        <v>7.5099999999999996E-5</v>
      </c>
    </row>
    <row r="1447" spans="1:6">
      <c r="A1447" s="10">
        <v>2017</v>
      </c>
      <c r="B1447" t="s">
        <v>369</v>
      </c>
      <c r="C1447" t="s">
        <v>1505</v>
      </c>
      <c r="D1447" t="s">
        <v>1505</v>
      </c>
      <c r="E1447" s="10">
        <v>1042707</v>
      </c>
      <c r="F1447" s="12">
        <v>9.9170000000000009E-4</v>
      </c>
    </row>
    <row r="1448" spans="1:6">
      <c r="A1448" s="10">
        <v>2017</v>
      </c>
      <c r="B1448" t="s">
        <v>81</v>
      </c>
      <c r="C1448" t="s">
        <v>1506</v>
      </c>
      <c r="D1448" t="s">
        <v>1506</v>
      </c>
      <c r="E1448" s="10">
        <v>126269</v>
      </c>
      <c r="F1448" s="12">
        <v>1.2010000000000001E-4</v>
      </c>
    </row>
    <row r="1449" spans="1:6">
      <c r="A1449" s="10">
        <v>2017</v>
      </c>
      <c r="B1449" t="s">
        <v>1371</v>
      </c>
      <c r="C1449" t="s">
        <v>1507</v>
      </c>
      <c r="D1449" t="s">
        <v>1507</v>
      </c>
      <c r="E1449" s="10">
        <v>7592</v>
      </c>
      <c r="F1449" s="12">
        <v>7.1999999999999997E-6</v>
      </c>
    </row>
    <row r="1450" spans="1:6">
      <c r="A1450" s="10">
        <v>2017</v>
      </c>
      <c r="B1450" t="s">
        <v>58</v>
      </c>
      <c r="C1450" t="s">
        <v>1508</v>
      </c>
      <c r="D1450" t="s">
        <v>1508</v>
      </c>
      <c r="E1450" s="10">
        <v>563311</v>
      </c>
      <c r="F1450" s="12">
        <v>5.3569999999999996E-4</v>
      </c>
    </row>
    <row r="1451" spans="1:6">
      <c r="A1451" s="10">
        <v>2017</v>
      </c>
      <c r="B1451" t="s">
        <v>82</v>
      </c>
      <c r="C1451" t="s">
        <v>1509</v>
      </c>
      <c r="D1451" t="s">
        <v>1509</v>
      </c>
      <c r="E1451" s="10">
        <v>36339</v>
      </c>
      <c r="F1451" s="12">
        <v>3.4600000000000001E-5</v>
      </c>
    </row>
    <row r="1452" spans="1:6">
      <c r="A1452" s="10">
        <v>2017</v>
      </c>
      <c r="B1452" t="s">
        <v>83</v>
      </c>
      <c r="C1452" t="s">
        <v>30</v>
      </c>
      <c r="D1452" t="s">
        <v>30</v>
      </c>
      <c r="E1452" s="10">
        <v>7090628</v>
      </c>
      <c r="F1452" s="12">
        <v>6.7435000000000004E-3</v>
      </c>
    </row>
    <row r="1453" spans="1:6">
      <c r="A1453" s="10">
        <v>2017</v>
      </c>
      <c r="B1453" t="s">
        <v>84</v>
      </c>
      <c r="C1453" t="s">
        <v>31</v>
      </c>
      <c r="D1453" t="s">
        <v>31</v>
      </c>
      <c r="E1453" s="10">
        <v>34359</v>
      </c>
      <c r="F1453" s="12">
        <v>3.2700000000000002E-5</v>
      </c>
    </row>
    <row r="1454" spans="1:6">
      <c r="A1454" s="10">
        <v>2017</v>
      </c>
      <c r="B1454" t="s">
        <v>1426</v>
      </c>
      <c r="C1454" t="s">
        <v>1510</v>
      </c>
      <c r="D1454" t="s">
        <v>1510</v>
      </c>
      <c r="E1454" s="10">
        <v>2898</v>
      </c>
      <c r="F1454" s="12">
        <v>2.7999999999999999E-6</v>
      </c>
    </row>
    <row r="1455" spans="1:6">
      <c r="A1455" s="10">
        <v>2017</v>
      </c>
      <c r="B1455" t="s">
        <v>91</v>
      </c>
      <c r="C1455" t="s">
        <v>1511</v>
      </c>
      <c r="D1455" t="s">
        <v>1511</v>
      </c>
      <c r="E1455" s="10">
        <v>19694</v>
      </c>
      <c r="F1455" s="12">
        <v>1.8700000000000001E-5</v>
      </c>
    </row>
    <row r="1456" spans="1:6">
      <c r="A1456" s="10">
        <v>2017</v>
      </c>
      <c r="B1456" t="s">
        <v>97</v>
      </c>
      <c r="C1456" t="s">
        <v>1512</v>
      </c>
      <c r="D1456" t="s">
        <v>1512</v>
      </c>
      <c r="E1456" s="10">
        <v>43528</v>
      </c>
      <c r="F1456" s="12">
        <v>4.1399999999999997E-5</v>
      </c>
    </row>
    <row r="1457" spans="1:6">
      <c r="A1457" s="10">
        <v>2017</v>
      </c>
      <c r="B1457" t="s">
        <v>98</v>
      </c>
      <c r="C1457" t="s">
        <v>1513</v>
      </c>
      <c r="D1457" t="s">
        <v>1513</v>
      </c>
      <c r="E1457" s="10">
        <v>37679</v>
      </c>
      <c r="F1457" s="12">
        <v>3.5800000000000003E-5</v>
      </c>
    </row>
    <row r="1458" spans="1:6">
      <c r="A1458" s="10">
        <v>2017</v>
      </c>
      <c r="B1458" t="s">
        <v>99</v>
      </c>
      <c r="C1458" t="s">
        <v>1514</v>
      </c>
      <c r="D1458" t="s">
        <v>1514</v>
      </c>
      <c r="E1458" s="10">
        <v>11274</v>
      </c>
      <c r="F1458" s="12">
        <v>1.0699999999999999E-5</v>
      </c>
    </row>
    <row r="1459" spans="1:6">
      <c r="A1459" s="10">
        <v>2017</v>
      </c>
      <c r="B1459" t="s">
        <v>210</v>
      </c>
      <c r="C1459" t="s">
        <v>1515</v>
      </c>
      <c r="D1459" t="s">
        <v>1515</v>
      </c>
      <c r="E1459" s="10">
        <v>3268</v>
      </c>
      <c r="F1459" s="12">
        <v>3.1E-6</v>
      </c>
    </row>
    <row r="1460" spans="1:6">
      <c r="A1460" s="10">
        <v>2017</v>
      </c>
      <c r="B1460" t="s">
        <v>85</v>
      </c>
      <c r="C1460" t="s">
        <v>1516</v>
      </c>
      <c r="D1460" t="s">
        <v>1516</v>
      </c>
      <c r="E1460" s="10">
        <v>25913</v>
      </c>
      <c r="F1460" s="12">
        <v>2.4600000000000002E-5</v>
      </c>
    </row>
    <row r="1461" spans="1:6">
      <c r="A1461" s="10">
        <v>2017</v>
      </c>
      <c r="B1461" t="s">
        <v>102</v>
      </c>
      <c r="C1461" t="s">
        <v>1517</v>
      </c>
      <c r="D1461" t="s">
        <v>1517</v>
      </c>
      <c r="E1461" s="10">
        <v>13753</v>
      </c>
      <c r="F1461" s="12">
        <v>1.31E-5</v>
      </c>
    </row>
    <row r="1462" spans="1:6">
      <c r="A1462" s="10">
        <v>2017</v>
      </c>
      <c r="B1462" t="s">
        <v>104</v>
      </c>
      <c r="C1462" t="s">
        <v>1518</v>
      </c>
      <c r="D1462" t="s">
        <v>1518</v>
      </c>
      <c r="E1462" s="10">
        <v>42419</v>
      </c>
      <c r="F1462" s="12">
        <v>4.0299999999999997E-5</v>
      </c>
    </row>
    <row r="1463" spans="1:6">
      <c r="A1463" s="10">
        <v>2017</v>
      </c>
      <c r="B1463" t="s">
        <v>106</v>
      </c>
      <c r="C1463" t="s">
        <v>1519</v>
      </c>
      <c r="D1463" t="s">
        <v>1519</v>
      </c>
      <c r="E1463" s="10">
        <v>7492</v>
      </c>
      <c r="F1463" s="12">
        <v>7.0999999999999998E-6</v>
      </c>
    </row>
    <row r="1464" spans="1:6">
      <c r="A1464" s="10">
        <v>2017</v>
      </c>
      <c r="B1464" t="s">
        <v>107</v>
      </c>
      <c r="C1464" t="s">
        <v>1520</v>
      </c>
      <c r="D1464" t="s">
        <v>1520</v>
      </c>
      <c r="E1464" s="10">
        <v>24671</v>
      </c>
      <c r="F1464" s="12">
        <v>2.3499999999999999E-5</v>
      </c>
    </row>
    <row r="1465" spans="1:6">
      <c r="A1465" s="10">
        <v>2017</v>
      </c>
      <c r="B1465" t="s">
        <v>108</v>
      </c>
      <c r="C1465" t="s">
        <v>1521</v>
      </c>
      <c r="D1465" t="s">
        <v>1521</v>
      </c>
      <c r="E1465" s="10">
        <v>275417</v>
      </c>
      <c r="F1465" s="12">
        <v>2.6190000000000002E-4</v>
      </c>
    </row>
    <row r="1466" spans="1:6">
      <c r="A1466" s="10">
        <v>2017</v>
      </c>
      <c r="B1466" t="s">
        <v>109</v>
      </c>
      <c r="C1466" t="s">
        <v>1522</v>
      </c>
      <c r="D1466" t="s">
        <v>1522</v>
      </c>
      <c r="E1466" s="10">
        <v>17791</v>
      </c>
      <c r="F1466" s="12">
        <v>1.6900000000000001E-5</v>
      </c>
    </row>
    <row r="1467" spans="1:6">
      <c r="A1467" s="10">
        <v>2017</v>
      </c>
      <c r="B1467" t="s">
        <v>167</v>
      </c>
      <c r="C1467" t="s">
        <v>2062</v>
      </c>
      <c r="D1467" t="s">
        <v>1523</v>
      </c>
      <c r="E1467" s="10"/>
      <c r="F1467" s="12">
        <v>0</v>
      </c>
    </row>
    <row r="1468" spans="1:6">
      <c r="A1468" s="10">
        <v>2017</v>
      </c>
      <c r="B1468" t="s">
        <v>1140</v>
      </c>
      <c r="C1468" t="s">
        <v>1525</v>
      </c>
      <c r="D1468" t="s">
        <v>1525</v>
      </c>
      <c r="E1468" s="10">
        <v>339962</v>
      </c>
      <c r="F1468" s="12">
        <v>3.233E-4</v>
      </c>
    </row>
    <row r="1469" spans="1:6">
      <c r="A1469" s="10">
        <v>2017</v>
      </c>
      <c r="B1469" t="s">
        <v>168</v>
      </c>
      <c r="C1469" t="s">
        <v>113</v>
      </c>
      <c r="D1469" t="s">
        <v>113</v>
      </c>
      <c r="E1469" s="10">
        <v>44811</v>
      </c>
      <c r="F1469" s="12">
        <v>4.2599999999999999E-5</v>
      </c>
    </row>
    <row r="1470" spans="1:6">
      <c r="A1470" s="10">
        <v>2017</v>
      </c>
      <c r="B1470" t="s">
        <v>170</v>
      </c>
      <c r="C1470" t="s">
        <v>1526</v>
      </c>
      <c r="D1470" t="s">
        <v>1526</v>
      </c>
      <c r="E1470" s="10">
        <v>34388</v>
      </c>
      <c r="F1470" s="12">
        <v>3.2700000000000002E-5</v>
      </c>
    </row>
    <row r="1471" spans="1:6">
      <c r="A1471" s="10">
        <v>2017</v>
      </c>
      <c r="B1471" t="s">
        <v>169</v>
      </c>
      <c r="C1471" t="s">
        <v>1527</v>
      </c>
      <c r="D1471" t="s">
        <v>1527</v>
      </c>
      <c r="E1471" s="10">
        <v>105505</v>
      </c>
      <c r="F1471" s="12">
        <v>1.003E-4</v>
      </c>
    </row>
    <row r="1472" spans="1:6">
      <c r="A1472" s="10">
        <v>2017</v>
      </c>
      <c r="B1472" t="s">
        <v>1381</v>
      </c>
      <c r="C1472" t="s">
        <v>1528</v>
      </c>
      <c r="D1472" t="s">
        <v>1528</v>
      </c>
      <c r="E1472" s="10">
        <v>7640</v>
      </c>
      <c r="F1472" s="12">
        <v>7.3000000000000004E-6</v>
      </c>
    </row>
    <row r="1473" spans="1:6">
      <c r="A1473" s="10">
        <v>2017</v>
      </c>
      <c r="B1473" t="s">
        <v>171</v>
      </c>
      <c r="C1473" t="s">
        <v>1529</v>
      </c>
      <c r="D1473" t="s">
        <v>1529</v>
      </c>
      <c r="E1473" s="10">
        <v>56704</v>
      </c>
      <c r="F1473" s="12">
        <v>5.3900000000000002E-5</v>
      </c>
    </row>
    <row r="1474" spans="1:6">
      <c r="A1474" s="10">
        <v>2017</v>
      </c>
      <c r="B1474" t="s">
        <v>1427</v>
      </c>
      <c r="C1474" t="s">
        <v>1530</v>
      </c>
      <c r="D1474" t="s">
        <v>1530</v>
      </c>
      <c r="E1474" s="10">
        <v>590695</v>
      </c>
      <c r="F1474" s="12">
        <v>5.6179999999999999E-4</v>
      </c>
    </row>
    <row r="1475" spans="1:6">
      <c r="A1475" s="10">
        <v>2017</v>
      </c>
      <c r="B1475" t="s">
        <v>172</v>
      </c>
      <c r="C1475" t="s">
        <v>117</v>
      </c>
      <c r="D1475" t="s">
        <v>117</v>
      </c>
      <c r="E1475" s="10">
        <v>1688737</v>
      </c>
      <c r="F1475" s="12">
        <v>1.6061000000000001E-3</v>
      </c>
    </row>
    <row r="1476" spans="1:6">
      <c r="A1476" s="10">
        <v>2017</v>
      </c>
      <c r="B1476" t="s">
        <v>173</v>
      </c>
      <c r="C1476" t="s">
        <v>1531</v>
      </c>
      <c r="D1476" t="s">
        <v>1531</v>
      </c>
      <c r="E1476" s="10">
        <v>101483</v>
      </c>
      <c r="F1476" s="12">
        <v>9.6500000000000001E-5</v>
      </c>
    </row>
    <row r="1477" spans="1:6">
      <c r="A1477" s="10">
        <v>2017</v>
      </c>
      <c r="B1477" t="s">
        <v>174</v>
      </c>
      <c r="C1477" t="s">
        <v>119</v>
      </c>
      <c r="D1477" t="s">
        <v>119</v>
      </c>
      <c r="E1477" s="10">
        <v>88828</v>
      </c>
      <c r="F1477" s="12">
        <v>8.4499999999999994E-5</v>
      </c>
    </row>
    <row r="1478" spans="1:6">
      <c r="A1478" s="10">
        <v>2017</v>
      </c>
      <c r="B1478" t="s">
        <v>175</v>
      </c>
      <c r="C1478" t="s">
        <v>1532</v>
      </c>
      <c r="D1478" t="s">
        <v>1532</v>
      </c>
      <c r="E1478" s="10">
        <v>342303</v>
      </c>
      <c r="F1478" s="12">
        <v>3.255E-4</v>
      </c>
    </row>
    <row r="1479" spans="1:6">
      <c r="A1479" s="10">
        <v>2017</v>
      </c>
      <c r="B1479" t="s">
        <v>176</v>
      </c>
      <c r="C1479" t="s">
        <v>1533</v>
      </c>
      <c r="D1479" t="s">
        <v>1533</v>
      </c>
      <c r="E1479" s="10">
        <v>180780</v>
      </c>
      <c r="F1479" s="12">
        <v>1.719E-4</v>
      </c>
    </row>
    <row r="1480" spans="1:6">
      <c r="A1480" s="10">
        <v>2017</v>
      </c>
      <c r="B1480" t="s">
        <v>177</v>
      </c>
      <c r="C1480" t="s">
        <v>122</v>
      </c>
      <c r="D1480" t="s">
        <v>122</v>
      </c>
      <c r="E1480" s="10">
        <v>141505</v>
      </c>
      <c r="F1480" s="12">
        <v>1.3459999999999999E-4</v>
      </c>
    </row>
    <row r="1481" spans="1:6">
      <c r="A1481" s="10">
        <v>2017</v>
      </c>
      <c r="B1481" t="s">
        <v>178</v>
      </c>
      <c r="C1481" t="s">
        <v>1534</v>
      </c>
      <c r="D1481" t="s">
        <v>1534</v>
      </c>
      <c r="E1481" s="10">
        <v>3638820</v>
      </c>
      <c r="F1481" s="12">
        <v>3.4607000000000001E-3</v>
      </c>
    </row>
    <row r="1482" spans="1:6">
      <c r="A1482" s="10">
        <v>2017</v>
      </c>
      <c r="B1482" t="s">
        <v>181</v>
      </c>
      <c r="C1482" t="s">
        <v>1535</v>
      </c>
      <c r="D1482" t="s">
        <v>1535</v>
      </c>
      <c r="E1482" s="10">
        <v>1182486</v>
      </c>
      <c r="F1482" s="12">
        <v>1.1245999999999999E-3</v>
      </c>
    </row>
    <row r="1483" spans="1:6">
      <c r="A1483" s="10">
        <v>2017</v>
      </c>
      <c r="B1483" t="s">
        <v>1382</v>
      </c>
      <c r="C1483" t="s">
        <v>1536</v>
      </c>
      <c r="D1483" t="s">
        <v>1536</v>
      </c>
      <c r="E1483" s="10">
        <v>12020209</v>
      </c>
      <c r="F1483" s="12">
        <v>1.1431800000000001E-2</v>
      </c>
    </row>
    <row r="1484" spans="1:6">
      <c r="A1484" s="10">
        <v>2017</v>
      </c>
      <c r="B1484" t="s">
        <v>182</v>
      </c>
      <c r="C1484" t="s">
        <v>1537</v>
      </c>
      <c r="D1484" t="s">
        <v>1537</v>
      </c>
      <c r="E1484" s="10">
        <v>5196516</v>
      </c>
      <c r="F1484" s="12">
        <v>4.9420999999999996E-3</v>
      </c>
    </row>
    <row r="1485" spans="1:6">
      <c r="A1485" s="10">
        <v>2017</v>
      </c>
      <c r="B1485" t="s">
        <v>183</v>
      </c>
      <c r="C1485" t="s">
        <v>1538</v>
      </c>
      <c r="D1485" t="s">
        <v>1538</v>
      </c>
      <c r="E1485" s="10">
        <v>32715896</v>
      </c>
      <c r="F1485" s="12">
        <v>3.11145E-2</v>
      </c>
    </row>
    <row r="1486" spans="1:6">
      <c r="A1486" s="10">
        <v>2017</v>
      </c>
      <c r="B1486" t="s">
        <v>184</v>
      </c>
      <c r="C1486" t="s">
        <v>1539</v>
      </c>
      <c r="D1486" t="s">
        <v>1539</v>
      </c>
      <c r="E1486" s="10">
        <v>3295133</v>
      </c>
      <c r="F1486" s="12">
        <v>3.1338E-3</v>
      </c>
    </row>
    <row r="1487" spans="1:6">
      <c r="A1487" s="10">
        <v>2017</v>
      </c>
      <c r="B1487" t="s">
        <v>185</v>
      </c>
      <c r="C1487" t="s">
        <v>1540</v>
      </c>
      <c r="D1487" t="s">
        <v>1540</v>
      </c>
      <c r="E1487" s="10">
        <v>1817065</v>
      </c>
      <c r="F1487" s="12">
        <v>1.7281E-3</v>
      </c>
    </row>
    <row r="1488" spans="1:6">
      <c r="A1488" s="10">
        <v>2017</v>
      </c>
      <c r="B1488" t="s">
        <v>186</v>
      </c>
      <c r="C1488" t="s">
        <v>1541</v>
      </c>
      <c r="D1488" t="s">
        <v>1541</v>
      </c>
      <c r="E1488" s="10">
        <v>2472911</v>
      </c>
      <c r="F1488" s="12">
        <v>2.3519000000000001E-3</v>
      </c>
    </row>
    <row r="1489" spans="1:6">
      <c r="A1489" s="10">
        <v>2017</v>
      </c>
      <c r="B1489" t="s">
        <v>89</v>
      </c>
      <c r="C1489" t="s">
        <v>36</v>
      </c>
      <c r="D1489" t="s">
        <v>1542</v>
      </c>
      <c r="E1489" s="10"/>
      <c r="F1489" s="12">
        <v>0</v>
      </c>
    </row>
    <row r="1490" spans="1:6">
      <c r="A1490" s="10">
        <v>2017</v>
      </c>
      <c r="B1490" t="s">
        <v>187</v>
      </c>
      <c r="C1490" t="s">
        <v>1542</v>
      </c>
      <c r="D1490" t="s">
        <v>1542</v>
      </c>
      <c r="E1490" s="10">
        <v>291341</v>
      </c>
      <c r="F1490" s="12">
        <v>2.7710000000000001E-4</v>
      </c>
    </row>
    <row r="1491" spans="1:6">
      <c r="A1491" s="10">
        <v>2017</v>
      </c>
      <c r="B1491" t="s">
        <v>180</v>
      </c>
      <c r="C1491" t="s">
        <v>1543</v>
      </c>
      <c r="D1491" t="s">
        <v>1543</v>
      </c>
      <c r="E1491" s="10"/>
      <c r="F1491" s="12">
        <v>0</v>
      </c>
    </row>
    <row r="1492" spans="1:6">
      <c r="A1492" s="10">
        <v>2017</v>
      </c>
      <c r="B1492" t="s">
        <v>189</v>
      </c>
      <c r="C1492" t="s">
        <v>1544</v>
      </c>
      <c r="D1492" t="s">
        <v>1544</v>
      </c>
      <c r="E1492" s="10">
        <v>666219</v>
      </c>
      <c r="F1492" s="12">
        <v>6.3360000000000001E-4</v>
      </c>
    </row>
    <row r="1493" spans="1:6">
      <c r="A1493" s="10">
        <v>2017</v>
      </c>
      <c r="B1493" t="s">
        <v>179</v>
      </c>
      <c r="C1493" t="s">
        <v>1545</v>
      </c>
      <c r="D1493" t="s">
        <v>1545</v>
      </c>
      <c r="E1493" s="10"/>
      <c r="F1493" s="12">
        <v>0</v>
      </c>
    </row>
    <row r="1494" spans="1:6">
      <c r="A1494" s="10">
        <v>2017</v>
      </c>
      <c r="B1494" t="s">
        <v>190</v>
      </c>
      <c r="C1494" t="s">
        <v>1546</v>
      </c>
      <c r="D1494" t="s">
        <v>1546</v>
      </c>
      <c r="E1494" s="10">
        <v>7732558</v>
      </c>
      <c r="F1494" s="12">
        <v>7.3540000000000003E-3</v>
      </c>
    </row>
    <row r="1495" spans="1:6">
      <c r="A1495" s="10">
        <v>2017</v>
      </c>
      <c r="B1495" t="s">
        <v>191</v>
      </c>
      <c r="C1495" t="s">
        <v>1547</v>
      </c>
      <c r="D1495" t="s">
        <v>1547</v>
      </c>
      <c r="E1495" s="10">
        <v>97590</v>
      </c>
      <c r="F1495" s="12">
        <v>9.2800000000000006E-5</v>
      </c>
    </row>
    <row r="1496" spans="1:6">
      <c r="A1496" s="10">
        <v>2017</v>
      </c>
      <c r="B1496" t="s">
        <v>192</v>
      </c>
      <c r="C1496" t="s">
        <v>1548</v>
      </c>
      <c r="D1496" t="s">
        <v>1548</v>
      </c>
      <c r="E1496" s="10">
        <v>461811</v>
      </c>
      <c r="F1496" s="12">
        <v>4.392E-4</v>
      </c>
    </row>
    <row r="1497" spans="1:6">
      <c r="A1497" s="10">
        <v>2017</v>
      </c>
      <c r="B1497" t="s">
        <v>193</v>
      </c>
      <c r="C1497" t="s">
        <v>1549</v>
      </c>
      <c r="D1497" t="s">
        <v>1549</v>
      </c>
      <c r="E1497" s="10">
        <v>472097</v>
      </c>
      <c r="F1497" s="12">
        <v>4.4900000000000002E-4</v>
      </c>
    </row>
    <row r="1498" spans="1:6">
      <c r="A1498" s="10">
        <v>2017</v>
      </c>
      <c r="B1498" t="s">
        <v>194</v>
      </c>
      <c r="C1498" t="s">
        <v>1550</v>
      </c>
      <c r="D1498" t="s">
        <v>1550</v>
      </c>
      <c r="E1498" s="10">
        <v>518568</v>
      </c>
      <c r="F1498" s="12">
        <v>4.9319999999999995E-4</v>
      </c>
    </row>
    <row r="1499" spans="1:6">
      <c r="A1499" s="10">
        <v>2017</v>
      </c>
      <c r="B1499" t="s">
        <v>196</v>
      </c>
      <c r="C1499" t="s">
        <v>1551</v>
      </c>
      <c r="D1499" t="s">
        <v>1551</v>
      </c>
      <c r="E1499" s="10">
        <v>124147</v>
      </c>
      <c r="F1499" s="12">
        <v>1.181E-4</v>
      </c>
    </row>
    <row r="1500" spans="1:6">
      <c r="A1500" s="10">
        <v>2017</v>
      </c>
      <c r="B1500" t="s">
        <v>197</v>
      </c>
      <c r="C1500" t="s">
        <v>1552</v>
      </c>
      <c r="D1500" t="s">
        <v>1552</v>
      </c>
      <c r="E1500" s="10">
        <v>4684849</v>
      </c>
      <c r="F1500" s="12">
        <v>4.4555000000000003E-3</v>
      </c>
    </row>
    <row r="1501" spans="1:6">
      <c r="A1501" s="10">
        <v>2017</v>
      </c>
      <c r="B1501" t="s">
        <v>198</v>
      </c>
      <c r="C1501" t="s">
        <v>1553</v>
      </c>
      <c r="D1501" t="s">
        <v>1553</v>
      </c>
      <c r="E1501" s="10">
        <v>141885</v>
      </c>
      <c r="F1501" s="12">
        <v>1.349E-4</v>
      </c>
    </row>
    <row r="1502" spans="1:6">
      <c r="A1502" s="10">
        <v>2017</v>
      </c>
      <c r="B1502" t="s">
        <v>199</v>
      </c>
      <c r="C1502" t="s">
        <v>1554</v>
      </c>
      <c r="D1502" t="s">
        <v>1554</v>
      </c>
      <c r="E1502" s="10">
        <v>3109189</v>
      </c>
      <c r="F1502" s="12">
        <v>2.957E-3</v>
      </c>
    </row>
    <row r="1503" spans="1:6">
      <c r="A1503" s="10">
        <v>2017</v>
      </c>
      <c r="B1503" t="s">
        <v>200</v>
      </c>
      <c r="C1503" t="s">
        <v>1555</v>
      </c>
      <c r="D1503" t="s">
        <v>1555</v>
      </c>
      <c r="E1503" s="10">
        <v>20039878</v>
      </c>
      <c r="F1503" s="12">
        <v>1.90589E-2</v>
      </c>
    </row>
    <row r="1504" spans="1:6">
      <c r="A1504" s="10">
        <v>2017</v>
      </c>
      <c r="B1504" t="s">
        <v>201</v>
      </c>
      <c r="C1504" t="s">
        <v>1556</v>
      </c>
      <c r="D1504" t="s">
        <v>1556</v>
      </c>
      <c r="E1504" s="10">
        <v>1588179</v>
      </c>
      <c r="F1504" s="12">
        <v>1.5104000000000001E-3</v>
      </c>
    </row>
    <row r="1505" spans="1:6">
      <c r="A1505" s="10">
        <v>2017</v>
      </c>
      <c r="B1505" t="s">
        <v>202</v>
      </c>
      <c r="C1505" t="s">
        <v>1557</v>
      </c>
      <c r="D1505" t="s">
        <v>1557</v>
      </c>
      <c r="E1505" s="10">
        <v>817617</v>
      </c>
      <c r="F1505" s="12">
        <v>7.7760000000000004E-4</v>
      </c>
    </row>
    <row r="1506" spans="1:6">
      <c r="A1506" s="10">
        <v>2017</v>
      </c>
      <c r="B1506" t="s">
        <v>203</v>
      </c>
      <c r="C1506" t="s">
        <v>1558</v>
      </c>
      <c r="D1506" t="s">
        <v>1558</v>
      </c>
      <c r="E1506" s="10"/>
      <c r="F1506" s="12">
        <v>0</v>
      </c>
    </row>
    <row r="1507" spans="1:6">
      <c r="A1507" s="10">
        <v>2017</v>
      </c>
      <c r="B1507" t="s">
        <v>204</v>
      </c>
      <c r="C1507" t="s">
        <v>1559</v>
      </c>
      <c r="D1507" t="s">
        <v>1559</v>
      </c>
      <c r="E1507" s="10">
        <v>1007772</v>
      </c>
      <c r="F1507" s="12">
        <v>9.5839999999999999E-4</v>
      </c>
    </row>
    <row r="1508" spans="1:6">
      <c r="A1508" s="10">
        <v>2017</v>
      </c>
      <c r="B1508" t="s">
        <v>205</v>
      </c>
      <c r="C1508" t="s">
        <v>150</v>
      </c>
      <c r="D1508" t="s">
        <v>150</v>
      </c>
      <c r="E1508" s="10">
        <v>203832</v>
      </c>
      <c r="F1508" s="12">
        <v>1.939E-4</v>
      </c>
    </row>
    <row r="1509" spans="1:6">
      <c r="A1509" s="10">
        <v>2017</v>
      </c>
      <c r="B1509" t="s">
        <v>1563</v>
      </c>
      <c r="C1509" t="s">
        <v>1560</v>
      </c>
      <c r="D1509" t="s">
        <v>1560</v>
      </c>
      <c r="E1509" s="10">
        <v>94127</v>
      </c>
      <c r="F1509" s="12">
        <v>8.9499999999999994E-5</v>
      </c>
    </row>
    <row r="1510" spans="1:6">
      <c r="A1510" s="10">
        <v>2017</v>
      </c>
      <c r="B1510" t="s">
        <v>188</v>
      </c>
      <c r="C1510" t="s">
        <v>1561</v>
      </c>
      <c r="D1510" t="s">
        <v>1561</v>
      </c>
      <c r="E1510" s="10">
        <v>2660524</v>
      </c>
      <c r="F1510" s="12">
        <v>2.5303000000000001E-3</v>
      </c>
    </row>
    <row r="1511" spans="1:6">
      <c r="A1511" s="10">
        <v>2017</v>
      </c>
      <c r="B1511" t="s">
        <v>206</v>
      </c>
      <c r="C1511" t="s">
        <v>1562</v>
      </c>
      <c r="D1511" t="s">
        <v>1562</v>
      </c>
      <c r="E1511" s="10"/>
      <c r="F1511" s="12">
        <v>0</v>
      </c>
    </row>
    <row r="1512" spans="1:6">
      <c r="A1512" s="10">
        <v>2017</v>
      </c>
      <c r="B1512" t="s">
        <v>207</v>
      </c>
      <c r="C1512" t="s">
        <v>152</v>
      </c>
      <c r="D1512" t="s">
        <v>152</v>
      </c>
      <c r="E1512" s="10">
        <v>751445</v>
      </c>
      <c r="F1512" s="12">
        <v>7.1469999999999997E-4</v>
      </c>
    </row>
    <row r="1513" spans="1:6">
      <c r="A1513" s="10">
        <v>2017</v>
      </c>
      <c r="B1513" t="s">
        <v>57</v>
      </c>
      <c r="C1513" t="s">
        <v>1564</v>
      </c>
      <c r="D1513" t="s">
        <v>1564</v>
      </c>
      <c r="E1513" s="10">
        <v>5571885</v>
      </c>
      <c r="F1513" s="12">
        <v>5.2991000000000002E-3</v>
      </c>
    </row>
    <row r="1514" spans="1:6">
      <c r="A1514" s="10">
        <v>2017</v>
      </c>
      <c r="B1514" t="s">
        <v>208</v>
      </c>
      <c r="C1514" t="s">
        <v>153</v>
      </c>
      <c r="D1514" t="s">
        <v>153</v>
      </c>
      <c r="E1514" s="10">
        <v>6650</v>
      </c>
      <c r="F1514" s="12">
        <v>6.2999999999999998E-6</v>
      </c>
    </row>
    <row r="1515" spans="1:6">
      <c r="A1515" s="10">
        <v>2017</v>
      </c>
      <c r="B1515" t="s">
        <v>209</v>
      </c>
      <c r="C1515" t="s">
        <v>154</v>
      </c>
      <c r="D1515" t="s">
        <v>154</v>
      </c>
      <c r="E1515" s="10">
        <v>180772</v>
      </c>
      <c r="F1515" s="12">
        <v>1.719E-4</v>
      </c>
    </row>
    <row r="1516" spans="1:6">
      <c r="A1516" s="10">
        <v>2017</v>
      </c>
      <c r="B1516" t="s">
        <v>211</v>
      </c>
      <c r="C1516" t="s">
        <v>1565</v>
      </c>
      <c r="D1516" t="s">
        <v>1565</v>
      </c>
      <c r="E1516" s="10">
        <v>687308</v>
      </c>
      <c r="F1516" s="12">
        <v>6.5370000000000001E-4</v>
      </c>
    </row>
    <row r="1517" spans="1:6">
      <c r="A1517" s="10">
        <v>2017</v>
      </c>
      <c r="B1517" t="s">
        <v>212</v>
      </c>
      <c r="C1517" t="s">
        <v>1566</v>
      </c>
      <c r="D1517" t="s">
        <v>1566</v>
      </c>
      <c r="E1517" s="10">
        <v>10068</v>
      </c>
      <c r="F1517" s="12">
        <v>9.5999999999999996E-6</v>
      </c>
    </row>
    <row r="1518" spans="1:6">
      <c r="A1518" s="10">
        <v>2017</v>
      </c>
      <c r="B1518" t="s">
        <v>213</v>
      </c>
      <c r="C1518" t="s">
        <v>158</v>
      </c>
      <c r="D1518" t="s">
        <v>158</v>
      </c>
      <c r="E1518" s="10">
        <v>1139533</v>
      </c>
      <c r="F1518" s="12">
        <v>1.0838E-3</v>
      </c>
    </row>
    <row r="1519" spans="1:6">
      <c r="A1519" s="10">
        <v>2017</v>
      </c>
      <c r="B1519" t="s">
        <v>1597</v>
      </c>
      <c r="C1519" t="s">
        <v>1567</v>
      </c>
      <c r="D1519" t="s">
        <v>1567</v>
      </c>
      <c r="E1519" s="10">
        <v>9391</v>
      </c>
      <c r="F1519" s="12">
        <v>8.8999999999999995E-6</v>
      </c>
    </row>
    <row r="1520" spans="1:6">
      <c r="A1520" s="10">
        <v>2017</v>
      </c>
      <c r="B1520" t="s">
        <v>214</v>
      </c>
      <c r="C1520" t="s">
        <v>159</v>
      </c>
      <c r="D1520" t="s">
        <v>159</v>
      </c>
      <c r="E1520" s="10">
        <v>148891</v>
      </c>
      <c r="F1520" s="12">
        <v>1.416E-4</v>
      </c>
    </row>
    <row r="1521" spans="1:6">
      <c r="A1521" s="10">
        <v>2017</v>
      </c>
      <c r="B1521" t="s">
        <v>215</v>
      </c>
      <c r="C1521" t="s">
        <v>1568</v>
      </c>
      <c r="D1521" t="s">
        <v>1568</v>
      </c>
      <c r="E1521" s="10">
        <v>169195</v>
      </c>
      <c r="F1521" s="12">
        <v>1.6090000000000001E-4</v>
      </c>
    </row>
    <row r="1522" spans="1:6">
      <c r="A1522" s="10">
        <v>2017</v>
      </c>
      <c r="B1522" t="s">
        <v>216</v>
      </c>
      <c r="C1522" t="s">
        <v>2094</v>
      </c>
      <c r="D1522" t="s">
        <v>1569</v>
      </c>
      <c r="E1522" s="10"/>
      <c r="F1522" s="12">
        <v>0</v>
      </c>
    </row>
    <row r="1523" spans="1:6">
      <c r="A1523" s="10">
        <v>2017</v>
      </c>
      <c r="B1523" t="s">
        <v>217</v>
      </c>
      <c r="C1523" t="s">
        <v>162</v>
      </c>
      <c r="D1523" t="s">
        <v>162</v>
      </c>
      <c r="E1523" s="10">
        <v>350080</v>
      </c>
      <c r="F1523" s="12">
        <v>3.3290000000000001E-4</v>
      </c>
    </row>
    <row r="1524" spans="1:6">
      <c r="A1524" s="10">
        <v>2017</v>
      </c>
      <c r="B1524" t="s">
        <v>219</v>
      </c>
      <c r="C1524" t="s">
        <v>164</v>
      </c>
      <c r="D1524" t="s">
        <v>164</v>
      </c>
      <c r="E1524" s="10">
        <v>316923</v>
      </c>
      <c r="F1524" s="12">
        <v>3.0140000000000001E-4</v>
      </c>
    </row>
    <row r="1525" spans="1:6">
      <c r="A1525" s="10">
        <v>2017</v>
      </c>
      <c r="B1525" t="s">
        <v>73</v>
      </c>
      <c r="C1525" t="s">
        <v>2354</v>
      </c>
      <c r="D1525" t="s">
        <v>1570</v>
      </c>
      <c r="E1525" s="10">
        <v>108402</v>
      </c>
      <c r="F1525" s="12">
        <v>1.031E-4</v>
      </c>
    </row>
    <row r="1526" spans="1:6">
      <c r="A1526" s="10">
        <v>2017</v>
      </c>
      <c r="B1526" t="s">
        <v>220</v>
      </c>
      <c r="C1526" t="s">
        <v>1571</v>
      </c>
      <c r="D1526" t="s">
        <v>1571</v>
      </c>
      <c r="E1526" s="10">
        <v>63275</v>
      </c>
      <c r="F1526" s="12">
        <v>6.02E-5</v>
      </c>
    </row>
    <row r="1527" spans="1:6">
      <c r="A1527" s="10">
        <v>2017</v>
      </c>
      <c r="B1527" t="s">
        <v>1387</v>
      </c>
      <c r="C1527" t="s">
        <v>1572</v>
      </c>
      <c r="D1527" t="s">
        <v>1572</v>
      </c>
      <c r="E1527" s="10">
        <v>10264</v>
      </c>
      <c r="F1527" s="12">
        <v>9.7999999999999993E-6</v>
      </c>
    </row>
    <row r="1528" spans="1:6">
      <c r="A1528" s="10">
        <v>2017</v>
      </c>
      <c r="B1528" t="s">
        <v>1388</v>
      </c>
      <c r="C1528" t="s">
        <v>1573</v>
      </c>
      <c r="D1528" t="s">
        <v>1573</v>
      </c>
      <c r="E1528" s="10">
        <v>7924</v>
      </c>
      <c r="F1528" s="12">
        <v>7.5000000000000002E-6</v>
      </c>
    </row>
    <row r="1529" spans="1:6">
      <c r="A1529" s="10">
        <v>2017</v>
      </c>
      <c r="B1529" t="s">
        <v>1389</v>
      </c>
      <c r="C1529" t="s">
        <v>1574</v>
      </c>
      <c r="D1529" t="s">
        <v>1574</v>
      </c>
      <c r="E1529" s="10">
        <v>103608</v>
      </c>
      <c r="F1529" s="12">
        <v>9.8499999999999995E-5</v>
      </c>
    </row>
    <row r="1530" spans="1:6">
      <c r="A1530" s="10">
        <v>2017</v>
      </c>
      <c r="B1530" t="s">
        <v>1598</v>
      </c>
      <c r="C1530" t="s">
        <v>1575</v>
      </c>
      <c r="D1530" t="s">
        <v>1575</v>
      </c>
      <c r="E1530" s="10">
        <v>169840</v>
      </c>
      <c r="F1530" s="12">
        <v>1.615E-4</v>
      </c>
    </row>
    <row r="1531" spans="1:6">
      <c r="A1531" s="10">
        <v>2017</v>
      </c>
      <c r="B1531" t="s">
        <v>1391</v>
      </c>
      <c r="C1531" t="s">
        <v>1576</v>
      </c>
      <c r="D1531" t="s">
        <v>1576</v>
      </c>
      <c r="E1531" s="10"/>
      <c r="F1531" s="12">
        <v>0</v>
      </c>
    </row>
    <row r="1532" spans="1:6">
      <c r="A1532" s="10">
        <v>2017</v>
      </c>
      <c r="B1532" t="s">
        <v>1392</v>
      </c>
      <c r="C1532" t="s">
        <v>1577</v>
      </c>
      <c r="D1532" t="s">
        <v>1577</v>
      </c>
      <c r="E1532" s="10"/>
      <c r="F1532" s="12">
        <v>0</v>
      </c>
    </row>
    <row r="1533" spans="1:6">
      <c r="A1533" s="10">
        <v>2017</v>
      </c>
      <c r="B1533" t="s">
        <v>1390</v>
      </c>
      <c r="C1533" t="s">
        <v>1578</v>
      </c>
      <c r="D1533" t="s">
        <v>1578</v>
      </c>
      <c r="E1533" s="10">
        <v>1449337</v>
      </c>
      <c r="F1533" s="12">
        <v>1.3783999999999999E-3</v>
      </c>
    </row>
    <row r="1534" spans="1:6">
      <c r="A1534" s="10">
        <v>2017</v>
      </c>
      <c r="B1534" t="s">
        <v>1393</v>
      </c>
      <c r="C1534" t="s">
        <v>1579</v>
      </c>
      <c r="D1534" t="s">
        <v>1579</v>
      </c>
      <c r="E1534" s="10">
        <v>162896</v>
      </c>
      <c r="F1534" s="12">
        <v>1.549E-4</v>
      </c>
    </row>
    <row r="1535" spans="1:6">
      <c r="A1535" s="10">
        <v>2017</v>
      </c>
      <c r="B1535" t="s">
        <v>1395</v>
      </c>
      <c r="C1535" t="s">
        <v>230</v>
      </c>
      <c r="D1535" t="s">
        <v>230</v>
      </c>
      <c r="E1535" s="10">
        <v>357802</v>
      </c>
      <c r="F1535" s="12">
        <v>3.4029999999999998E-4</v>
      </c>
    </row>
    <row r="1536" spans="1:6">
      <c r="A1536" s="10">
        <v>2017</v>
      </c>
      <c r="B1536" t="s">
        <v>1396</v>
      </c>
      <c r="C1536" t="s">
        <v>231</v>
      </c>
      <c r="D1536" t="s">
        <v>231</v>
      </c>
      <c r="E1536" s="10">
        <v>49638</v>
      </c>
      <c r="F1536" s="12">
        <v>4.7200000000000002E-5</v>
      </c>
    </row>
    <row r="1537" spans="1:6">
      <c r="A1537" s="10">
        <v>2017</v>
      </c>
      <c r="B1537" t="s">
        <v>1398</v>
      </c>
      <c r="C1537" t="s">
        <v>1580</v>
      </c>
      <c r="D1537" t="s">
        <v>1580</v>
      </c>
      <c r="E1537" s="10">
        <v>35188</v>
      </c>
      <c r="F1537" s="12">
        <v>3.3500000000000001E-5</v>
      </c>
    </row>
    <row r="1538" spans="1:6">
      <c r="A1538" s="10">
        <v>2017</v>
      </c>
      <c r="B1538" t="s">
        <v>1399</v>
      </c>
      <c r="C1538" t="s">
        <v>234</v>
      </c>
      <c r="D1538" t="s">
        <v>234</v>
      </c>
      <c r="E1538" s="10">
        <v>139823</v>
      </c>
      <c r="F1538" s="12">
        <v>1.3300000000000001E-4</v>
      </c>
    </row>
    <row r="1539" spans="1:6">
      <c r="A1539" s="10">
        <v>2017</v>
      </c>
      <c r="B1539" t="s">
        <v>1400</v>
      </c>
      <c r="C1539" t="s">
        <v>1581</v>
      </c>
      <c r="D1539" t="s">
        <v>1581</v>
      </c>
      <c r="E1539" s="10">
        <v>490131</v>
      </c>
      <c r="F1539" s="12">
        <v>4.661E-4</v>
      </c>
    </row>
    <row r="1540" spans="1:6">
      <c r="A1540" s="10">
        <v>2017</v>
      </c>
      <c r="B1540" t="s">
        <v>1401</v>
      </c>
      <c r="C1540" t="s">
        <v>1582</v>
      </c>
      <c r="D1540" t="s">
        <v>1582</v>
      </c>
      <c r="E1540" s="10">
        <v>72694</v>
      </c>
      <c r="F1540" s="12">
        <v>6.9099999999999999E-5</v>
      </c>
    </row>
    <row r="1541" spans="1:6">
      <c r="A1541" s="10">
        <v>2017</v>
      </c>
      <c r="B1541" t="s">
        <v>1402</v>
      </c>
      <c r="C1541" t="s">
        <v>237</v>
      </c>
      <c r="D1541" t="s">
        <v>237</v>
      </c>
      <c r="E1541" s="10">
        <v>81695</v>
      </c>
      <c r="F1541" s="12">
        <v>7.7700000000000005E-5</v>
      </c>
    </row>
    <row r="1542" spans="1:6">
      <c r="A1542" s="10">
        <v>2017</v>
      </c>
      <c r="B1542" t="s">
        <v>1428</v>
      </c>
      <c r="C1542" t="s">
        <v>2104</v>
      </c>
      <c r="D1542" t="s">
        <v>1583</v>
      </c>
      <c r="E1542" s="10"/>
      <c r="F1542" s="12">
        <v>0</v>
      </c>
    </row>
    <row r="1543" spans="1:6">
      <c r="A1543" s="10">
        <v>2017</v>
      </c>
      <c r="B1543" t="s">
        <v>1403</v>
      </c>
      <c r="C1543" t="s">
        <v>1584</v>
      </c>
      <c r="D1543" t="s">
        <v>1584</v>
      </c>
      <c r="E1543" s="10">
        <v>379421</v>
      </c>
      <c r="F1543" s="12">
        <v>3.6079999999999999E-4</v>
      </c>
    </row>
    <row r="1544" spans="1:6">
      <c r="A1544" s="10">
        <v>2017</v>
      </c>
      <c r="B1544" t="s">
        <v>1404</v>
      </c>
      <c r="C1544" t="s">
        <v>1585</v>
      </c>
      <c r="D1544" t="s">
        <v>1585</v>
      </c>
      <c r="E1544" s="10">
        <v>655178</v>
      </c>
      <c r="F1544" s="12">
        <v>6.2310000000000002E-4</v>
      </c>
    </row>
    <row r="1545" spans="1:6">
      <c r="A1545" s="10">
        <v>2017</v>
      </c>
      <c r="B1545" t="s">
        <v>1405</v>
      </c>
      <c r="C1545" t="s">
        <v>1586</v>
      </c>
      <c r="D1545" t="s">
        <v>1586</v>
      </c>
      <c r="E1545" s="10">
        <v>52553</v>
      </c>
      <c r="F1545" s="12">
        <v>5.0000000000000002E-5</v>
      </c>
    </row>
    <row r="1546" spans="1:6">
      <c r="A1546" s="10">
        <v>2017</v>
      </c>
      <c r="B1546" t="s">
        <v>1406</v>
      </c>
      <c r="C1546" t="s">
        <v>1587</v>
      </c>
      <c r="D1546" t="s">
        <v>1587</v>
      </c>
      <c r="E1546" s="10">
        <v>63260</v>
      </c>
      <c r="F1546" s="12">
        <v>6.02E-5</v>
      </c>
    </row>
    <row r="1547" spans="1:6">
      <c r="A1547" s="10">
        <v>2017</v>
      </c>
      <c r="B1547" t="s">
        <v>1397</v>
      </c>
      <c r="C1547" t="s">
        <v>2356</v>
      </c>
      <c r="D1547" t="s">
        <v>1588</v>
      </c>
      <c r="E1547" s="10">
        <v>36045</v>
      </c>
      <c r="F1547" s="12">
        <v>3.43E-5</v>
      </c>
    </row>
    <row r="1548" spans="1:6">
      <c r="A1548" s="10">
        <v>2017</v>
      </c>
      <c r="B1548" t="s">
        <v>88</v>
      </c>
      <c r="C1548" t="s">
        <v>1589</v>
      </c>
      <c r="D1548" t="s">
        <v>1589</v>
      </c>
      <c r="E1548" s="10">
        <v>83895</v>
      </c>
      <c r="F1548" s="12">
        <v>7.9800000000000002E-5</v>
      </c>
    </row>
    <row r="1549" spans="1:6">
      <c r="A1549" s="10">
        <v>2017</v>
      </c>
      <c r="B1549" t="s">
        <v>90</v>
      </c>
      <c r="C1549" t="s">
        <v>1590</v>
      </c>
      <c r="D1549" t="s">
        <v>1590</v>
      </c>
      <c r="E1549" s="10">
        <v>17251</v>
      </c>
      <c r="F1549" s="12">
        <v>1.6399999999999999E-5</v>
      </c>
    </row>
    <row r="1550" spans="1:6">
      <c r="A1550" s="10">
        <v>2017</v>
      </c>
      <c r="B1550" t="s">
        <v>87</v>
      </c>
      <c r="C1550" t="s">
        <v>2357</v>
      </c>
      <c r="D1550" t="s">
        <v>1591</v>
      </c>
      <c r="E1550" s="10">
        <v>86783</v>
      </c>
      <c r="F1550" s="12">
        <v>8.25E-5</v>
      </c>
    </row>
    <row r="1551" spans="1:6">
      <c r="A1551" s="10">
        <v>2017</v>
      </c>
      <c r="B1551" t="s">
        <v>92</v>
      </c>
      <c r="C1551" t="s">
        <v>2419</v>
      </c>
      <c r="D1551" t="s">
        <v>1592</v>
      </c>
      <c r="E1551" s="10">
        <v>89491</v>
      </c>
      <c r="F1551" s="12">
        <v>8.5099999999999995E-5</v>
      </c>
    </row>
    <row r="1552" spans="1:6">
      <c r="A1552" s="10">
        <v>2017</v>
      </c>
      <c r="B1552" t="s">
        <v>93</v>
      </c>
      <c r="C1552" t="s">
        <v>1593</v>
      </c>
      <c r="D1552" t="s">
        <v>1593</v>
      </c>
      <c r="E1552" s="10">
        <v>55619</v>
      </c>
      <c r="F1552" s="12">
        <v>5.2899999999999998E-5</v>
      </c>
    </row>
    <row r="1553" spans="1:6">
      <c r="A1553" s="10">
        <v>2017</v>
      </c>
      <c r="B1553" t="s">
        <v>94</v>
      </c>
      <c r="C1553" t="s">
        <v>2420</v>
      </c>
      <c r="D1553" t="s">
        <v>1594</v>
      </c>
      <c r="E1553" s="10">
        <v>7502</v>
      </c>
      <c r="F1553" s="12">
        <v>7.0999999999999998E-6</v>
      </c>
    </row>
    <row r="1554" spans="1:6">
      <c r="A1554" s="10">
        <v>2017</v>
      </c>
      <c r="B1554" t="s">
        <v>95</v>
      </c>
      <c r="C1554" t="s">
        <v>1595</v>
      </c>
      <c r="D1554" t="s">
        <v>1595</v>
      </c>
      <c r="E1554" s="10">
        <v>35860</v>
      </c>
      <c r="F1554" s="12">
        <v>3.4100000000000002E-5</v>
      </c>
    </row>
    <row r="1555" spans="1:6">
      <c r="A1555" s="10">
        <v>2017</v>
      </c>
      <c r="B1555" t="s">
        <v>100</v>
      </c>
      <c r="C1555" t="s">
        <v>1596</v>
      </c>
      <c r="D1555" t="s">
        <v>1596</v>
      </c>
      <c r="E1555" s="10">
        <v>19140</v>
      </c>
      <c r="F1555" s="12">
        <v>1.8199999999999999E-5</v>
      </c>
    </row>
    <row r="1556" spans="1:6">
      <c r="A1556" s="10">
        <v>2017</v>
      </c>
      <c r="B1556" t="s">
        <v>101</v>
      </c>
      <c r="C1556" t="s">
        <v>1599</v>
      </c>
      <c r="D1556" t="s">
        <v>1599</v>
      </c>
      <c r="E1556" s="10">
        <v>310859</v>
      </c>
      <c r="F1556" s="12">
        <v>2.9559999999999998E-4</v>
      </c>
    </row>
    <row r="1557" spans="1:6">
      <c r="A1557" s="10">
        <v>2017</v>
      </c>
      <c r="B1557" t="s">
        <v>103</v>
      </c>
      <c r="C1557" t="s">
        <v>2421</v>
      </c>
      <c r="D1557" t="s">
        <v>1600</v>
      </c>
      <c r="E1557" s="10">
        <v>13111</v>
      </c>
      <c r="F1557" s="12">
        <v>1.2500000000000001E-5</v>
      </c>
    </row>
    <row r="1558" spans="1:6">
      <c r="A1558" s="10">
        <v>2017</v>
      </c>
      <c r="B1558" t="s">
        <v>105</v>
      </c>
      <c r="C1558" t="s">
        <v>1601</v>
      </c>
      <c r="D1558" t="s">
        <v>1601</v>
      </c>
      <c r="E1558" s="10">
        <v>157774</v>
      </c>
      <c r="F1558" s="12">
        <v>1.5009999999999999E-4</v>
      </c>
    </row>
    <row r="1559" spans="1:6">
      <c r="A1559" s="10">
        <v>2017</v>
      </c>
      <c r="B1559" t="s">
        <v>166</v>
      </c>
      <c r="C1559" t="s">
        <v>1602</v>
      </c>
      <c r="D1559" t="s">
        <v>1602</v>
      </c>
      <c r="E1559" s="10">
        <v>22915</v>
      </c>
      <c r="F1559" s="12">
        <v>2.1800000000000001E-5</v>
      </c>
    </row>
    <row r="1560" spans="1:6">
      <c r="A1560" s="10">
        <v>2017</v>
      </c>
      <c r="B1560" t="s">
        <v>86</v>
      </c>
      <c r="C1560" t="s">
        <v>1603</v>
      </c>
      <c r="D1560" t="s">
        <v>1603</v>
      </c>
      <c r="E1560" s="10">
        <v>19009</v>
      </c>
      <c r="F1560" s="12">
        <v>1.8099999999999999E-5</v>
      </c>
    </row>
    <row r="1561" spans="1:6">
      <c r="A1561" s="10">
        <v>2017</v>
      </c>
      <c r="B1561" t="s">
        <v>110</v>
      </c>
      <c r="C1561" t="s">
        <v>1604</v>
      </c>
      <c r="D1561" t="s">
        <v>1604</v>
      </c>
      <c r="E1561" s="10">
        <v>105251</v>
      </c>
      <c r="F1561" s="12">
        <v>1.0009999999999999E-4</v>
      </c>
    </row>
    <row r="1562" spans="1:6">
      <c r="A1562" s="10">
        <v>2017</v>
      </c>
      <c r="B1562" t="s">
        <v>1409</v>
      </c>
      <c r="C1562" t="s">
        <v>1605</v>
      </c>
      <c r="D1562" t="s">
        <v>1605</v>
      </c>
      <c r="E1562" s="10">
        <v>561420</v>
      </c>
      <c r="F1562" s="12">
        <v>5.3390000000000002E-4</v>
      </c>
    </row>
    <row r="1563" spans="1:6">
      <c r="A1563" s="10">
        <v>2017</v>
      </c>
      <c r="B1563" t="s">
        <v>195</v>
      </c>
      <c r="C1563" t="s">
        <v>1606</v>
      </c>
      <c r="D1563" t="s">
        <v>1606</v>
      </c>
      <c r="E1563" s="10">
        <v>633116</v>
      </c>
      <c r="F1563" s="12">
        <v>6.0210000000000005E-4</v>
      </c>
    </row>
    <row r="1564" spans="1:6">
      <c r="A1564" s="10">
        <v>2017</v>
      </c>
      <c r="B1564" t="s">
        <v>218</v>
      </c>
      <c r="C1564" t="s">
        <v>1607</v>
      </c>
      <c r="D1564" t="s">
        <v>1607</v>
      </c>
      <c r="E1564" s="10">
        <v>377587</v>
      </c>
      <c r="F1564" s="12">
        <v>3.591E-4</v>
      </c>
    </row>
    <row r="1565" spans="1:6">
      <c r="A1565" s="10">
        <v>2017</v>
      </c>
      <c r="B1565" t="s">
        <v>1410</v>
      </c>
      <c r="C1565" t="s">
        <v>243</v>
      </c>
      <c r="D1565" t="s">
        <v>243</v>
      </c>
      <c r="E1565" s="10">
        <v>81483</v>
      </c>
      <c r="F1565" s="12">
        <v>7.75E-5</v>
      </c>
    </row>
    <row r="1566" spans="1:6">
      <c r="A1566" s="10">
        <v>2017</v>
      </c>
      <c r="B1566" t="s">
        <v>1411</v>
      </c>
      <c r="C1566" t="s">
        <v>244</v>
      </c>
      <c r="D1566" t="s">
        <v>244</v>
      </c>
      <c r="E1566" s="10">
        <v>833323</v>
      </c>
      <c r="F1566" s="12">
        <v>7.9250000000000002E-4</v>
      </c>
    </row>
    <row r="1567" spans="1:6">
      <c r="A1567" s="10">
        <v>2017</v>
      </c>
      <c r="B1567" t="s">
        <v>1394</v>
      </c>
      <c r="C1567" t="s">
        <v>1608</v>
      </c>
      <c r="D1567" t="s">
        <v>1608</v>
      </c>
      <c r="E1567" s="10">
        <v>12065</v>
      </c>
      <c r="F1567" s="12">
        <v>1.15E-5</v>
      </c>
    </row>
    <row r="1568" spans="1:6">
      <c r="A1568" s="10">
        <v>2017</v>
      </c>
      <c r="B1568" t="s">
        <v>1412</v>
      </c>
      <c r="C1568" t="s">
        <v>1609</v>
      </c>
      <c r="D1568" t="s">
        <v>1609</v>
      </c>
      <c r="E1568" s="10">
        <v>3081113</v>
      </c>
      <c r="F1568" s="12">
        <v>2.9302999999999998E-3</v>
      </c>
    </row>
    <row r="1569" spans="1:6">
      <c r="A1569" s="10">
        <v>2017</v>
      </c>
      <c r="B1569" t="s">
        <v>1413</v>
      </c>
      <c r="C1569" t="s">
        <v>246</v>
      </c>
      <c r="D1569" t="s">
        <v>246</v>
      </c>
      <c r="E1569" s="10">
        <v>499596</v>
      </c>
      <c r="F1569" s="12">
        <v>4.751E-4</v>
      </c>
    </row>
    <row r="1570" spans="1:6">
      <c r="A1570" s="10">
        <v>2017</v>
      </c>
      <c r="B1570" t="s">
        <v>1414</v>
      </c>
      <c r="C1570" t="s">
        <v>247</v>
      </c>
      <c r="D1570" t="s">
        <v>247</v>
      </c>
      <c r="E1570" s="10">
        <v>167641</v>
      </c>
      <c r="F1570" s="12">
        <v>1.594E-4</v>
      </c>
    </row>
    <row r="1571" spans="1:6">
      <c r="A1571" s="10">
        <v>2017</v>
      </c>
      <c r="B1571" t="s">
        <v>1415</v>
      </c>
      <c r="C1571" t="s">
        <v>248</v>
      </c>
      <c r="D1571" t="s">
        <v>248</v>
      </c>
      <c r="E1571" s="10">
        <v>36607245</v>
      </c>
      <c r="F1571" s="12">
        <v>3.48153E-2</v>
      </c>
    </row>
    <row r="1572" spans="1:6">
      <c r="A1572" s="10">
        <v>2017</v>
      </c>
      <c r="B1572" t="s">
        <v>1417</v>
      </c>
      <c r="C1572" t="s">
        <v>1610</v>
      </c>
      <c r="D1572" t="s">
        <v>1610</v>
      </c>
      <c r="E1572" s="10">
        <v>23706</v>
      </c>
      <c r="F1572" s="12">
        <v>2.2500000000000001E-5</v>
      </c>
    </row>
    <row r="1573" spans="1:6">
      <c r="A1573" s="10">
        <v>2017</v>
      </c>
      <c r="B1573" t="s">
        <v>1416</v>
      </c>
      <c r="C1573" t="s">
        <v>249</v>
      </c>
      <c r="D1573" t="s">
        <v>249</v>
      </c>
      <c r="E1573" s="10">
        <v>2829783</v>
      </c>
      <c r="F1573" s="12">
        <v>2.6913000000000002E-3</v>
      </c>
    </row>
    <row r="1574" spans="1:6">
      <c r="A1574" s="10">
        <v>2017</v>
      </c>
      <c r="B1574" t="s">
        <v>1418</v>
      </c>
      <c r="C1574" t="s">
        <v>1611</v>
      </c>
      <c r="D1574" t="s">
        <v>1611</v>
      </c>
      <c r="E1574" s="10">
        <v>15257</v>
      </c>
      <c r="F1574" s="12">
        <v>1.45E-5</v>
      </c>
    </row>
    <row r="1575" spans="1:6">
      <c r="A1575" s="10">
        <v>2017</v>
      </c>
      <c r="B1575" t="s">
        <v>1419</v>
      </c>
      <c r="C1575" t="s">
        <v>252</v>
      </c>
      <c r="D1575" t="s">
        <v>252</v>
      </c>
      <c r="E1575" s="10">
        <v>2464705</v>
      </c>
      <c r="F1575" s="12">
        <v>2.3441E-3</v>
      </c>
    </row>
    <row r="1576" spans="1:6">
      <c r="A1576" s="10">
        <v>2017</v>
      </c>
      <c r="B1576" t="s">
        <v>1420</v>
      </c>
      <c r="C1576" t="s">
        <v>1612</v>
      </c>
      <c r="D1576" t="s">
        <v>1612</v>
      </c>
      <c r="E1576" s="10">
        <v>159293</v>
      </c>
      <c r="F1576" s="12">
        <v>1.515E-4</v>
      </c>
    </row>
    <row r="1577" spans="1:6">
      <c r="A1577" s="10">
        <v>2017</v>
      </c>
      <c r="B1577" t="s">
        <v>1015</v>
      </c>
      <c r="C1577" t="s">
        <v>1613</v>
      </c>
      <c r="D1577" t="s">
        <v>1613</v>
      </c>
      <c r="E1577" s="10">
        <v>390507</v>
      </c>
      <c r="F1577" s="12">
        <v>3.7139999999999997E-4</v>
      </c>
    </row>
    <row r="1578" spans="1:6">
      <c r="A1578" s="10">
        <v>2017</v>
      </c>
      <c r="B1578" t="s">
        <v>1014</v>
      </c>
      <c r="C1578" t="s">
        <v>1614</v>
      </c>
      <c r="D1578" t="s">
        <v>1614</v>
      </c>
      <c r="E1578" s="10">
        <v>51893</v>
      </c>
      <c r="F1578" s="12">
        <v>4.9400000000000001E-5</v>
      </c>
    </row>
    <row r="1579" spans="1:6">
      <c r="A1579" s="10">
        <v>2017</v>
      </c>
      <c r="B1579" t="s">
        <v>1421</v>
      </c>
      <c r="C1579" t="s">
        <v>1615</v>
      </c>
      <c r="D1579" t="s">
        <v>1615</v>
      </c>
      <c r="E1579" s="10">
        <v>27158</v>
      </c>
      <c r="F1579" s="12">
        <v>2.58E-5</v>
      </c>
    </row>
    <row r="1580" spans="1:6">
      <c r="A1580" s="10">
        <v>2017</v>
      </c>
      <c r="B1580" t="s">
        <v>1422</v>
      </c>
      <c r="C1580" t="s">
        <v>1616</v>
      </c>
      <c r="D1580" t="s">
        <v>1616</v>
      </c>
      <c r="E1580" s="10">
        <v>144180</v>
      </c>
      <c r="F1580" s="12">
        <v>1.371E-4</v>
      </c>
    </row>
    <row r="1581" spans="1:6">
      <c r="A1581" s="10">
        <v>2017</v>
      </c>
      <c r="B1581" t="s">
        <v>1423</v>
      </c>
      <c r="C1581" t="s">
        <v>256</v>
      </c>
      <c r="D1581" t="s">
        <v>256</v>
      </c>
      <c r="E1581" s="10">
        <v>1260763</v>
      </c>
      <c r="F1581" s="12">
        <v>1.199E-3</v>
      </c>
    </row>
    <row r="1582" spans="1:6">
      <c r="A1582" s="10">
        <v>2017</v>
      </c>
      <c r="B1582" t="s">
        <v>1424</v>
      </c>
      <c r="C1582" t="s">
        <v>257</v>
      </c>
      <c r="D1582" t="s">
        <v>257</v>
      </c>
      <c r="E1582" s="10">
        <v>2613906</v>
      </c>
      <c r="F1582" s="12">
        <v>2.4859999999999999E-3</v>
      </c>
    </row>
    <row r="1583" spans="1:6">
      <c r="A1583" s="10">
        <v>2017</v>
      </c>
      <c r="B1583" t="s">
        <v>370</v>
      </c>
      <c r="C1583" t="s">
        <v>1617</v>
      </c>
      <c r="D1583" t="s">
        <v>1617</v>
      </c>
      <c r="E1583" s="10">
        <v>2216692</v>
      </c>
      <c r="F1583" s="12">
        <v>2.1082000000000002E-3</v>
      </c>
    </row>
    <row r="1584" spans="1:6">
      <c r="A1584" s="10">
        <v>2017</v>
      </c>
      <c r="B1584" t="s">
        <v>1425</v>
      </c>
      <c r="C1584" t="s">
        <v>258</v>
      </c>
      <c r="D1584" t="s">
        <v>258</v>
      </c>
      <c r="E1584" s="10">
        <v>33620</v>
      </c>
      <c r="F1584" s="12">
        <v>3.1999999999999999E-5</v>
      </c>
    </row>
    <row r="1585" spans="1:6">
      <c r="A1585" s="10">
        <v>2017</v>
      </c>
      <c r="B1585" t="s">
        <v>1429</v>
      </c>
      <c r="C1585" t="s">
        <v>2422</v>
      </c>
      <c r="D1585" t="s">
        <v>1618</v>
      </c>
      <c r="E1585" s="10">
        <v>999412</v>
      </c>
      <c r="F1585" s="12">
        <v>9.5049999999999996E-4</v>
      </c>
    </row>
    <row r="1586" spans="1:6">
      <c r="A1586" s="10">
        <v>2017</v>
      </c>
      <c r="B1586" t="s">
        <v>1430</v>
      </c>
      <c r="C1586" t="s">
        <v>1619</v>
      </c>
      <c r="D1586" t="s">
        <v>1619</v>
      </c>
      <c r="E1586" s="10">
        <v>312635</v>
      </c>
      <c r="F1586" s="12">
        <v>2.9730000000000002E-4</v>
      </c>
    </row>
    <row r="1587" spans="1:6">
      <c r="A1587" s="10">
        <v>2017</v>
      </c>
      <c r="B1587" t="s">
        <v>1431</v>
      </c>
      <c r="C1587" t="s">
        <v>264</v>
      </c>
      <c r="D1587" t="s">
        <v>264</v>
      </c>
      <c r="E1587" s="10">
        <v>229231</v>
      </c>
      <c r="F1587" s="12">
        <v>2.1800000000000001E-4</v>
      </c>
    </row>
    <row r="1588" spans="1:6">
      <c r="A1588" s="10">
        <v>2017</v>
      </c>
      <c r="B1588" t="s">
        <v>1432</v>
      </c>
      <c r="C1588" t="s">
        <v>265</v>
      </c>
      <c r="D1588" t="s">
        <v>265</v>
      </c>
      <c r="E1588" s="10">
        <v>262781</v>
      </c>
      <c r="F1588" s="12">
        <v>2.499E-4</v>
      </c>
    </row>
    <row r="1589" spans="1:6">
      <c r="A1589" s="10">
        <v>2017</v>
      </c>
      <c r="B1589" t="s">
        <v>1433</v>
      </c>
      <c r="C1589" t="s">
        <v>266</v>
      </c>
      <c r="D1589" t="s">
        <v>266</v>
      </c>
      <c r="E1589" s="10">
        <v>139937</v>
      </c>
      <c r="F1589" s="12">
        <v>1.3310000000000001E-4</v>
      </c>
    </row>
    <row r="1590" spans="1:6">
      <c r="A1590" s="10">
        <v>2017</v>
      </c>
      <c r="B1590" t="s">
        <v>1434</v>
      </c>
      <c r="C1590" t="s">
        <v>1620</v>
      </c>
      <c r="D1590" t="s">
        <v>1620</v>
      </c>
      <c r="E1590" s="10">
        <v>1256012</v>
      </c>
      <c r="F1590" s="12">
        <v>1.1945E-3</v>
      </c>
    </row>
    <row r="1591" spans="1:6">
      <c r="A1591" s="10">
        <v>2017</v>
      </c>
      <c r="B1591" t="s">
        <v>1435</v>
      </c>
      <c r="C1591" t="s">
        <v>2359</v>
      </c>
      <c r="D1591" t="s">
        <v>1621</v>
      </c>
      <c r="E1591" s="10">
        <v>160113</v>
      </c>
      <c r="F1591" s="12">
        <v>1.5229999999999999E-4</v>
      </c>
    </row>
    <row r="1592" spans="1:6">
      <c r="A1592" s="10">
        <v>2017</v>
      </c>
      <c r="B1592" t="s">
        <v>1436</v>
      </c>
      <c r="C1592" t="s">
        <v>269</v>
      </c>
      <c r="D1592" t="s">
        <v>269</v>
      </c>
      <c r="E1592" s="10">
        <v>159250</v>
      </c>
      <c r="F1592" s="12">
        <v>1.515E-4</v>
      </c>
    </row>
    <row r="1593" spans="1:6">
      <c r="A1593" s="10">
        <v>2017</v>
      </c>
      <c r="B1593" t="s">
        <v>1437</v>
      </c>
      <c r="C1593" t="s">
        <v>270</v>
      </c>
      <c r="D1593" t="s">
        <v>270</v>
      </c>
      <c r="E1593" s="10">
        <v>894972</v>
      </c>
      <c r="F1593" s="12">
        <v>8.5119999999999998E-4</v>
      </c>
    </row>
    <row r="1594" spans="1:6">
      <c r="A1594" s="10">
        <v>2017</v>
      </c>
      <c r="B1594" t="s">
        <v>1438</v>
      </c>
      <c r="C1594" t="s">
        <v>1622</v>
      </c>
      <c r="D1594" t="s">
        <v>1622</v>
      </c>
      <c r="E1594" s="10">
        <v>625047</v>
      </c>
      <c r="F1594" s="12">
        <v>5.9449999999999998E-4</v>
      </c>
    </row>
    <row r="1595" spans="1:6">
      <c r="A1595" s="10">
        <v>2017</v>
      </c>
      <c r="B1595" t="s">
        <v>371</v>
      </c>
      <c r="C1595" t="s">
        <v>1623</v>
      </c>
      <c r="D1595" t="s">
        <v>1623</v>
      </c>
      <c r="E1595" s="10">
        <v>264488</v>
      </c>
      <c r="F1595" s="12">
        <v>2.5149999999999999E-4</v>
      </c>
    </row>
    <row r="1596" spans="1:6">
      <c r="A1596" s="10">
        <v>2017</v>
      </c>
      <c r="B1596" t="s">
        <v>1439</v>
      </c>
      <c r="C1596" t="s">
        <v>1624</v>
      </c>
      <c r="D1596" t="s">
        <v>1624</v>
      </c>
      <c r="E1596" s="10">
        <v>100710</v>
      </c>
      <c r="F1596" s="12">
        <v>9.5799999999999998E-5</v>
      </c>
    </row>
    <row r="1597" spans="1:6">
      <c r="A1597" s="10">
        <v>2017</v>
      </c>
      <c r="B1597" t="s">
        <v>1440</v>
      </c>
      <c r="C1597" t="s">
        <v>1625</v>
      </c>
      <c r="D1597" t="s">
        <v>1625</v>
      </c>
      <c r="E1597" s="10">
        <v>425314</v>
      </c>
      <c r="F1597" s="12">
        <v>4.0450000000000002E-4</v>
      </c>
    </row>
    <row r="1598" spans="1:6">
      <c r="A1598" s="10">
        <v>2017</v>
      </c>
      <c r="B1598" t="s">
        <v>372</v>
      </c>
      <c r="C1598" t="s">
        <v>1626</v>
      </c>
      <c r="D1598" t="s">
        <v>1626</v>
      </c>
      <c r="E1598" s="10">
        <v>207125</v>
      </c>
      <c r="F1598" s="12">
        <v>1.9699999999999999E-4</v>
      </c>
    </row>
    <row r="1599" spans="1:6">
      <c r="A1599" s="10">
        <v>2017</v>
      </c>
      <c r="B1599" t="s">
        <v>1441</v>
      </c>
      <c r="C1599" t="s">
        <v>274</v>
      </c>
      <c r="D1599" t="s">
        <v>274</v>
      </c>
      <c r="E1599" s="10">
        <v>4335</v>
      </c>
      <c r="F1599" s="12">
        <v>4.0999999999999997E-6</v>
      </c>
    </row>
    <row r="1600" spans="1:6">
      <c r="A1600" s="10">
        <v>2017</v>
      </c>
      <c r="B1600" t="s">
        <v>1442</v>
      </c>
      <c r="C1600" t="s">
        <v>1627</v>
      </c>
      <c r="D1600" t="s">
        <v>1627</v>
      </c>
      <c r="E1600" s="10">
        <v>7410</v>
      </c>
      <c r="F1600" s="12">
        <v>6.9999999999999999E-6</v>
      </c>
    </row>
    <row r="1601" spans="1:6">
      <c r="A1601" s="10">
        <v>2017</v>
      </c>
      <c r="B1601" t="s">
        <v>1443</v>
      </c>
      <c r="C1601" t="s">
        <v>1628</v>
      </c>
      <c r="D1601" t="s">
        <v>1628</v>
      </c>
      <c r="E1601" s="10">
        <v>1014916</v>
      </c>
      <c r="F1601" s="12">
        <v>9.6520000000000004E-4</v>
      </c>
    </row>
    <row r="1602" spans="1:6">
      <c r="A1602" s="10">
        <v>2017</v>
      </c>
      <c r="B1602" t="s">
        <v>331</v>
      </c>
      <c r="C1602" t="s">
        <v>1629</v>
      </c>
      <c r="D1602" t="s">
        <v>1629</v>
      </c>
      <c r="E1602" s="10"/>
      <c r="F1602" s="12">
        <v>0</v>
      </c>
    </row>
    <row r="1603" spans="1:6">
      <c r="A1603" s="10">
        <v>2017</v>
      </c>
      <c r="B1603" t="s">
        <v>332</v>
      </c>
      <c r="C1603" t="s">
        <v>1630</v>
      </c>
      <c r="D1603" t="s">
        <v>1630</v>
      </c>
      <c r="E1603" s="10">
        <v>91468</v>
      </c>
      <c r="F1603" s="12">
        <v>8.7000000000000001E-5</v>
      </c>
    </row>
    <row r="1604" spans="1:6">
      <c r="A1604" s="10">
        <v>2017</v>
      </c>
      <c r="B1604" t="s">
        <v>333</v>
      </c>
      <c r="C1604" t="s">
        <v>1631</v>
      </c>
      <c r="D1604" t="s">
        <v>1631</v>
      </c>
      <c r="E1604" s="10">
        <v>36048</v>
      </c>
      <c r="F1604" s="12">
        <v>3.43E-5</v>
      </c>
    </row>
    <row r="1605" spans="1:6">
      <c r="A1605" s="10">
        <v>2017</v>
      </c>
      <c r="B1605" t="s">
        <v>334</v>
      </c>
      <c r="C1605" t="s">
        <v>1632</v>
      </c>
      <c r="D1605" t="s">
        <v>1632</v>
      </c>
      <c r="E1605" s="10">
        <v>58930</v>
      </c>
      <c r="F1605" s="12">
        <v>5.5999999999999999E-5</v>
      </c>
    </row>
    <row r="1606" spans="1:6">
      <c r="A1606" s="10">
        <v>2017</v>
      </c>
      <c r="B1606" t="s">
        <v>335</v>
      </c>
      <c r="C1606" t="s">
        <v>1633</v>
      </c>
      <c r="D1606" t="s">
        <v>1633</v>
      </c>
      <c r="E1606" s="10">
        <v>2171060</v>
      </c>
      <c r="F1606" s="12">
        <v>2.0647999999999999E-3</v>
      </c>
    </row>
    <row r="1607" spans="1:6">
      <c r="A1607" s="10">
        <v>2017</v>
      </c>
      <c r="B1607" t="s">
        <v>336</v>
      </c>
      <c r="C1607" t="s">
        <v>1634</v>
      </c>
      <c r="D1607" t="s">
        <v>1634</v>
      </c>
      <c r="E1607" s="10">
        <v>2061682</v>
      </c>
      <c r="F1607" s="12">
        <v>1.9608E-3</v>
      </c>
    </row>
    <row r="1608" spans="1:6">
      <c r="A1608" s="10">
        <v>2017</v>
      </c>
      <c r="B1608" t="s">
        <v>337</v>
      </c>
      <c r="C1608" t="s">
        <v>283</v>
      </c>
      <c r="D1608" t="s">
        <v>283</v>
      </c>
      <c r="E1608" s="10">
        <v>97572</v>
      </c>
      <c r="F1608" s="12">
        <v>9.2800000000000006E-5</v>
      </c>
    </row>
    <row r="1609" spans="1:6">
      <c r="A1609" s="10">
        <v>2017</v>
      </c>
      <c r="B1609" t="s">
        <v>338</v>
      </c>
      <c r="C1609" t="s">
        <v>1635</v>
      </c>
      <c r="D1609" t="s">
        <v>1635</v>
      </c>
      <c r="E1609" s="10">
        <v>59340</v>
      </c>
      <c r="F1609" s="12">
        <v>5.6400000000000002E-5</v>
      </c>
    </row>
    <row r="1610" spans="1:6">
      <c r="A1610" s="10">
        <v>2017</v>
      </c>
      <c r="B1610" t="s">
        <v>373</v>
      </c>
      <c r="C1610" t="s">
        <v>1636</v>
      </c>
      <c r="D1610" t="s">
        <v>1636</v>
      </c>
      <c r="E1610" s="10">
        <v>1984612</v>
      </c>
      <c r="F1610" s="12">
        <v>1.8875000000000001E-3</v>
      </c>
    </row>
    <row r="1611" spans="1:6">
      <c r="A1611" s="10">
        <v>2017</v>
      </c>
      <c r="B1611" t="s">
        <v>339</v>
      </c>
      <c r="C1611" t="s">
        <v>1637</v>
      </c>
      <c r="D1611" t="s">
        <v>1637</v>
      </c>
      <c r="E1611" s="10">
        <v>1186339</v>
      </c>
      <c r="F1611" s="12">
        <v>1.1283E-3</v>
      </c>
    </row>
    <row r="1612" spans="1:6">
      <c r="A1612" s="10">
        <v>2017</v>
      </c>
      <c r="B1612" t="s">
        <v>340</v>
      </c>
      <c r="C1612" t="s">
        <v>286</v>
      </c>
      <c r="D1612" t="s">
        <v>286</v>
      </c>
      <c r="E1612" s="10">
        <v>121445</v>
      </c>
      <c r="F1612" s="12">
        <v>1.155E-4</v>
      </c>
    </row>
    <row r="1613" spans="1:6">
      <c r="A1613" s="10">
        <v>2017</v>
      </c>
      <c r="B1613" t="s">
        <v>341</v>
      </c>
      <c r="C1613" t="s">
        <v>287</v>
      </c>
      <c r="D1613" t="s">
        <v>287</v>
      </c>
      <c r="E1613" s="10"/>
      <c r="F1613" s="12">
        <v>0</v>
      </c>
    </row>
    <row r="1614" spans="1:6">
      <c r="A1614" s="10">
        <v>2017</v>
      </c>
      <c r="B1614" t="s">
        <v>342</v>
      </c>
      <c r="C1614" t="s">
        <v>1638</v>
      </c>
      <c r="D1614" t="s">
        <v>1638</v>
      </c>
      <c r="E1614" s="10">
        <v>775491</v>
      </c>
      <c r="F1614" s="12">
        <v>7.3749999999999998E-4</v>
      </c>
    </row>
    <row r="1615" spans="1:6">
      <c r="A1615" s="10">
        <v>2017</v>
      </c>
      <c r="B1615" t="s">
        <v>1219</v>
      </c>
      <c r="C1615" t="s">
        <v>1639</v>
      </c>
      <c r="D1615" t="s">
        <v>1639</v>
      </c>
      <c r="E1615" s="10">
        <v>317545</v>
      </c>
      <c r="F1615" s="12">
        <v>3.0200000000000002E-4</v>
      </c>
    </row>
    <row r="1616" spans="1:6">
      <c r="A1616" s="10">
        <v>2017</v>
      </c>
      <c r="B1616" t="s">
        <v>343</v>
      </c>
      <c r="C1616" t="s">
        <v>1640</v>
      </c>
      <c r="D1616" t="s">
        <v>1640</v>
      </c>
      <c r="E1616" s="10">
        <v>88563</v>
      </c>
      <c r="F1616" s="12">
        <v>8.42E-5</v>
      </c>
    </row>
    <row r="1617" spans="1:6">
      <c r="A1617" s="10">
        <v>2017</v>
      </c>
      <c r="B1617" t="s">
        <v>344</v>
      </c>
      <c r="C1617" t="s">
        <v>290</v>
      </c>
      <c r="D1617" t="s">
        <v>290</v>
      </c>
      <c r="E1617" s="10">
        <v>55772</v>
      </c>
      <c r="F1617" s="12">
        <v>5.3000000000000001E-5</v>
      </c>
    </row>
    <row r="1618" spans="1:6">
      <c r="A1618" s="10">
        <v>2017</v>
      </c>
      <c r="B1618" t="s">
        <v>1220</v>
      </c>
      <c r="C1618" t="s">
        <v>1641</v>
      </c>
      <c r="D1618" t="s">
        <v>1641</v>
      </c>
      <c r="E1618" s="10">
        <v>110106</v>
      </c>
      <c r="F1618" s="12">
        <v>1.047E-4</v>
      </c>
    </row>
    <row r="1619" spans="1:6">
      <c r="A1619" s="10">
        <v>2017</v>
      </c>
      <c r="B1619" t="s">
        <v>345</v>
      </c>
      <c r="C1619" t="s">
        <v>1642</v>
      </c>
      <c r="D1619" t="s">
        <v>1642</v>
      </c>
      <c r="E1619" s="10">
        <v>43646</v>
      </c>
      <c r="F1619" s="12">
        <v>4.1499999999999999E-5</v>
      </c>
    </row>
    <row r="1620" spans="1:6">
      <c r="A1620" s="10">
        <v>2017</v>
      </c>
      <c r="B1620" t="s">
        <v>346</v>
      </c>
      <c r="C1620" t="s">
        <v>1643</v>
      </c>
      <c r="D1620" t="s">
        <v>1643</v>
      </c>
      <c r="E1620" s="10">
        <v>8525528</v>
      </c>
      <c r="F1620" s="12">
        <v>8.1081999999999994E-3</v>
      </c>
    </row>
    <row r="1621" spans="1:6">
      <c r="A1621" s="10">
        <v>2017</v>
      </c>
      <c r="B1621" t="s">
        <v>347</v>
      </c>
      <c r="C1621" t="s">
        <v>1644</v>
      </c>
      <c r="D1621" t="s">
        <v>1644</v>
      </c>
      <c r="E1621" s="10">
        <v>3193465</v>
      </c>
      <c r="F1621" s="12">
        <v>3.0371E-3</v>
      </c>
    </row>
    <row r="1622" spans="1:6">
      <c r="A1622" s="10">
        <v>2017</v>
      </c>
      <c r="B1622" t="s">
        <v>348</v>
      </c>
      <c r="C1622" t="s">
        <v>1645</v>
      </c>
      <c r="D1622" t="s">
        <v>1645</v>
      </c>
      <c r="E1622" s="10">
        <v>1347894</v>
      </c>
      <c r="F1622" s="12">
        <v>1.2819000000000001E-3</v>
      </c>
    </row>
    <row r="1623" spans="1:6">
      <c r="A1623" s="10">
        <v>2017</v>
      </c>
      <c r="B1623" t="s">
        <v>374</v>
      </c>
      <c r="C1623" t="s">
        <v>1646</v>
      </c>
      <c r="D1623" t="s">
        <v>1646</v>
      </c>
      <c r="E1623" s="10">
        <v>1508650</v>
      </c>
      <c r="F1623" s="12">
        <v>1.4348E-3</v>
      </c>
    </row>
    <row r="1624" spans="1:6">
      <c r="A1624" s="10">
        <v>2017</v>
      </c>
      <c r="B1624" t="s">
        <v>349</v>
      </c>
      <c r="C1624" t="s">
        <v>1647</v>
      </c>
      <c r="D1624" t="s">
        <v>1647</v>
      </c>
      <c r="E1624" s="10">
        <v>2420209</v>
      </c>
      <c r="F1624" s="12">
        <v>2.3016999999999998E-3</v>
      </c>
    </row>
    <row r="1625" spans="1:6">
      <c r="A1625" s="10">
        <v>2017</v>
      </c>
      <c r="B1625" t="s">
        <v>350</v>
      </c>
      <c r="C1625" t="s">
        <v>1648</v>
      </c>
      <c r="D1625" t="s">
        <v>1648</v>
      </c>
      <c r="E1625" s="10">
        <v>2524785</v>
      </c>
      <c r="F1625" s="12">
        <v>2.4012E-3</v>
      </c>
    </row>
    <row r="1626" spans="1:6">
      <c r="A1626" s="10">
        <v>2017</v>
      </c>
      <c r="B1626" t="s">
        <v>1221</v>
      </c>
      <c r="C1626" t="s">
        <v>1649</v>
      </c>
      <c r="D1626" t="s">
        <v>1649</v>
      </c>
      <c r="E1626" s="10">
        <v>256094</v>
      </c>
      <c r="F1626" s="12">
        <v>2.4360000000000001E-4</v>
      </c>
    </row>
    <row r="1627" spans="1:6">
      <c r="A1627" s="10">
        <v>2017</v>
      </c>
      <c r="B1627" t="s">
        <v>351</v>
      </c>
      <c r="C1627" t="s">
        <v>297</v>
      </c>
      <c r="D1627" t="s">
        <v>297</v>
      </c>
      <c r="E1627" s="10">
        <v>23547</v>
      </c>
      <c r="F1627" s="12">
        <v>2.2399999999999999E-5</v>
      </c>
    </row>
    <row r="1628" spans="1:6">
      <c r="A1628" s="10">
        <v>2017</v>
      </c>
      <c r="B1628" t="s">
        <v>352</v>
      </c>
      <c r="C1628" t="s">
        <v>2398</v>
      </c>
      <c r="D1628" t="s">
        <v>298</v>
      </c>
      <c r="E1628" s="10">
        <v>171695</v>
      </c>
      <c r="F1628" s="12">
        <v>1.6330000000000001E-4</v>
      </c>
    </row>
    <row r="1629" spans="1:6">
      <c r="A1629" s="10">
        <v>2017</v>
      </c>
      <c r="B1629" t="s">
        <v>353</v>
      </c>
      <c r="C1629" t="s">
        <v>1650</v>
      </c>
      <c r="D1629" t="s">
        <v>1650</v>
      </c>
      <c r="E1629" s="10">
        <v>88392</v>
      </c>
      <c r="F1629" s="12">
        <v>8.4099999999999998E-5</v>
      </c>
    </row>
    <row r="1630" spans="1:6">
      <c r="A1630" s="10">
        <v>2017</v>
      </c>
      <c r="B1630" t="s">
        <v>354</v>
      </c>
      <c r="C1630" t="s">
        <v>300</v>
      </c>
      <c r="D1630" t="s">
        <v>300</v>
      </c>
      <c r="E1630" s="10">
        <v>2294015</v>
      </c>
      <c r="F1630" s="12">
        <v>2.1817E-3</v>
      </c>
    </row>
    <row r="1631" spans="1:6">
      <c r="A1631" s="10">
        <v>2017</v>
      </c>
      <c r="B1631" t="s">
        <v>1659</v>
      </c>
      <c r="C1631" t="s">
        <v>1651</v>
      </c>
      <c r="D1631" t="s">
        <v>1651</v>
      </c>
      <c r="E1631" s="10">
        <v>154279</v>
      </c>
      <c r="F1631" s="12">
        <v>1.4669999999999999E-4</v>
      </c>
    </row>
    <row r="1632" spans="1:6">
      <c r="A1632" s="10">
        <v>2017</v>
      </c>
      <c r="B1632" t="s">
        <v>355</v>
      </c>
      <c r="C1632" t="s">
        <v>2423</v>
      </c>
      <c r="D1632" t="s">
        <v>301</v>
      </c>
      <c r="E1632" s="10">
        <v>305446</v>
      </c>
      <c r="F1632" s="12">
        <v>2.9050000000000001E-4</v>
      </c>
    </row>
    <row r="1633" spans="1:6">
      <c r="A1633" s="10">
        <v>2017</v>
      </c>
      <c r="B1633" t="s">
        <v>356</v>
      </c>
      <c r="C1633" t="s">
        <v>1444</v>
      </c>
      <c r="D1633" t="s">
        <v>1444</v>
      </c>
      <c r="E1633" s="10">
        <v>5178604</v>
      </c>
      <c r="F1633" s="12">
        <v>4.9251E-3</v>
      </c>
    </row>
    <row r="1634" spans="1:6">
      <c r="A1634" s="10">
        <v>2017</v>
      </c>
      <c r="B1634" t="s">
        <v>357</v>
      </c>
      <c r="C1634" t="s">
        <v>2424</v>
      </c>
      <c r="D1634" t="s">
        <v>1652</v>
      </c>
      <c r="E1634" s="10">
        <v>113946</v>
      </c>
      <c r="F1634" s="12">
        <v>1.0840000000000001E-4</v>
      </c>
    </row>
    <row r="1635" spans="1:6">
      <c r="A1635" s="10">
        <v>2017</v>
      </c>
      <c r="B1635" t="s">
        <v>358</v>
      </c>
      <c r="C1635" t="s">
        <v>304</v>
      </c>
      <c r="D1635" t="s">
        <v>304</v>
      </c>
      <c r="E1635" s="10">
        <v>5533</v>
      </c>
      <c r="F1635" s="12">
        <v>5.3000000000000001E-6</v>
      </c>
    </row>
    <row r="1636" spans="1:6">
      <c r="A1636" s="10">
        <v>2017</v>
      </c>
      <c r="B1636" t="s">
        <v>359</v>
      </c>
      <c r="C1636" t="s">
        <v>305</v>
      </c>
      <c r="D1636" t="s">
        <v>305</v>
      </c>
      <c r="E1636" s="10">
        <v>238916</v>
      </c>
      <c r="F1636" s="12">
        <v>2.2719999999999999E-4</v>
      </c>
    </row>
    <row r="1637" spans="1:6">
      <c r="A1637" s="10">
        <v>2017</v>
      </c>
      <c r="B1637" t="s">
        <v>360</v>
      </c>
      <c r="C1637" t="s">
        <v>1653</v>
      </c>
      <c r="D1637" t="s">
        <v>1653</v>
      </c>
      <c r="E1637" s="10">
        <v>22018032</v>
      </c>
      <c r="F1637" s="12">
        <v>2.0940199999999999E-2</v>
      </c>
    </row>
    <row r="1638" spans="1:6">
      <c r="A1638" s="10">
        <v>2017</v>
      </c>
      <c r="B1638" t="s">
        <v>375</v>
      </c>
      <c r="C1638" t="s">
        <v>1654</v>
      </c>
      <c r="D1638" t="s">
        <v>1654</v>
      </c>
      <c r="E1638" s="10">
        <v>7808866</v>
      </c>
      <c r="F1638" s="12">
        <v>7.4266000000000002E-3</v>
      </c>
    </row>
    <row r="1639" spans="1:6">
      <c r="A1639" s="10">
        <v>2017</v>
      </c>
      <c r="B1639" t="s">
        <v>361</v>
      </c>
      <c r="C1639" t="s">
        <v>1655</v>
      </c>
      <c r="D1639" t="s">
        <v>1655</v>
      </c>
      <c r="E1639" s="10">
        <v>133534</v>
      </c>
      <c r="F1639" s="12">
        <v>1.27E-4</v>
      </c>
    </row>
    <row r="1640" spans="1:6">
      <c r="A1640" s="10">
        <v>2017</v>
      </c>
      <c r="B1640" t="s">
        <v>362</v>
      </c>
      <c r="C1640" t="s">
        <v>1656</v>
      </c>
      <c r="D1640" t="s">
        <v>1656</v>
      </c>
      <c r="E1640" s="10">
        <v>5479</v>
      </c>
      <c r="F1640" s="12">
        <v>5.2000000000000002E-6</v>
      </c>
    </row>
    <row r="1641" spans="1:6">
      <c r="A1641" s="10">
        <v>2017</v>
      </c>
      <c r="B1641" t="s">
        <v>363</v>
      </c>
      <c r="C1641" t="s">
        <v>1657</v>
      </c>
      <c r="D1641" t="s">
        <v>1657</v>
      </c>
      <c r="E1641" s="10">
        <v>2755603</v>
      </c>
      <c r="F1641" s="12">
        <v>2.6207000000000001E-3</v>
      </c>
    </row>
    <row r="1642" spans="1:6">
      <c r="A1642" s="10">
        <v>2017</v>
      </c>
      <c r="B1642" t="s">
        <v>364</v>
      </c>
      <c r="C1642" t="s">
        <v>310</v>
      </c>
      <c r="D1642" t="s">
        <v>310</v>
      </c>
      <c r="E1642" s="10">
        <v>336</v>
      </c>
      <c r="F1642" s="12">
        <v>2.9999999999999999E-7</v>
      </c>
    </row>
    <row r="1643" spans="1:6">
      <c r="A1643" s="10">
        <v>2017</v>
      </c>
      <c r="B1643" t="s">
        <v>365</v>
      </c>
      <c r="C1643" t="s">
        <v>1658</v>
      </c>
      <c r="D1643" t="s">
        <v>1658</v>
      </c>
      <c r="E1643" s="10">
        <v>912292</v>
      </c>
      <c r="F1643" s="12">
        <v>8.6759999999999995E-4</v>
      </c>
    </row>
    <row r="1644" spans="1:6">
      <c r="A1644" s="10">
        <v>2017</v>
      </c>
      <c r="B1644" t="s">
        <v>1222</v>
      </c>
      <c r="C1644" t="s">
        <v>1660</v>
      </c>
      <c r="D1644" t="s">
        <v>1660</v>
      </c>
      <c r="E1644" s="10">
        <v>329008</v>
      </c>
      <c r="F1644" s="12">
        <v>3.1290000000000002E-4</v>
      </c>
    </row>
    <row r="1645" spans="1:6">
      <c r="A1645" s="10">
        <v>2017</v>
      </c>
      <c r="B1645" t="s">
        <v>366</v>
      </c>
      <c r="C1645" t="s">
        <v>312</v>
      </c>
      <c r="D1645" t="s">
        <v>312</v>
      </c>
      <c r="E1645" s="10">
        <v>3189</v>
      </c>
      <c r="F1645" s="12">
        <v>3.0000000000000001E-6</v>
      </c>
    </row>
    <row r="1646" spans="1:6">
      <c r="A1646" s="10">
        <v>2017</v>
      </c>
      <c r="B1646" t="s">
        <v>367</v>
      </c>
      <c r="C1646" t="s">
        <v>313</v>
      </c>
      <c r="D1646" t="s">
        <v>313</v>
      </c>
      <c r="E1646" s="10">
        <v>55932</v>
      </c>
      <c r="F1646" s="12">
        <v>5.3199999999999999E-5</v>
      </c>
    </row>
    <row r="1647" spans="1:6">
      <c r="A1647" s="10">
        <v>2017</v>
      </c>
      <c r="B1647" t="s">
        <v>368</v>
      </c>
      <c r="C1647" t="s">
        <v>1661</v>
      </c>
      <c r="D1647" t="s">
        <v>1661</v>
      </c>
      <c r="E1647" s="10">
        <v>185656</v>
      </c>
      <c r="F1647" s="12">
        <v>1.7660000000000001E-4</v>
      </c>
    </row>
    <row r="1648" spans="1:6">
      <c r="A1648" s="10">
        <v>2017</v>
      </c>
      <c r="B1648" t="s">
        <v>467</v>
      </c>
      <c r="C1648" t="s">
        <v>412</v>
      </c>
      <c r="D1648" t="s">
        <v>412</v>
      </c>
      <c r="E1648" s="10"/>
      <c r="F1648" s="12">
        <v>0</v>
      </c>
    </row>
    <row r="1649" spans="1:6">
      <c r="A1649" s="10">
        <v>2017</v>
      </c>
      <c r="B1649" t="s">
        <v>1223</v>
      </c>
      <c r="C1649" t="s">
        <v>1662</v>
      </c>
      <c r="D1649" t="s">
        <v>1662</v>
      </c>
      <c r="E1649" s="10">
        <v>155497</v>
      </c>
      <c r="F1649" s="12">
        <v>1.4789999999999999E-4</v>
      </c>
    </row>
    <row r="1650" spans="1:6">
      <c r="A1650" s="10">
        <v>2017</v>
      </c>
      <c r="B1650" t="s">
        <v>468</v>
      </c>
      <c r="C1650" t="s">
        <v>1663</v>
      </c>
      <c r="D1650" t="s">
        <v>1663</v>
      </c>
      <c r="E1650" s="10">
        <v>218471</v>
      </c>
      <c r="F1650" s="12">
        <v>2.0780000000000001E-4</v>
      </c>
    </row>
    <row r="1651" spans="1:6">
      <c r="A1651" s="10">
        <v>2017</v>
      </c>
      <c r="B1651" t="s">
        <v>469</v>
      </c>
      <c r="C1651" t="s">
        <v>1664</v>
      </c>
      <c r="D1651" t="s">
        <v>1664</v>
      </c>
      <c r="E1651" s="10"/>
      <c r="F1651" s="12">
        <v>0</v>
      </c>
    </row>
    <row r="1652" spans="1:6">
      <c r="A1652" s="10">
        <v>2017</v>
      </c>
      <c r="B1652" t="s">
        <v>1224</v>
      </c>
      <c r="C1652" t="s">
        <v>1665</v>
      </c>
      <c r="D1652" t="s">
        <v>1665</v>
      </c>
      <c r="E1652" s="10">
        <v>86383</v>
      </c>
      <c r="F1652" s="12">
        <v>8.2200000000000006E-5</v>
      </c>
    </row>
    <row r="1653" spans="1:6">
      <c r="A1653" s="10">
        <v>2017</v>
      </c>
      <c r="B1653" t="s">
        <v>470</v>
      </c>
      <c r="C1653" t="s">
        <v>2361</v>
      </c>
      <c r="D1653" t="s">
        <v>415</v>
      </c>
      <c r="E1653" s="10">
        <v>24183</v>
      </c>
      <c r="F1653" s="12">
        <v>2.3E-5</v>
      </c>
    </row>
    <row r="1654" spans="1:6">
      <c r="A1654" s="10">
        <v>2017</v>
      </c>
      <c r="B1654" t="s">
        <v>471</v>
      </c>
      <c r="C1654" t="s">
        <v>416</v>
      </c>
      <c r="D1654" t="s">
        <v>416</v>
      </c>
      <c r="E1654" s="10">
        <v>2192345</v>
      </c>
      <c r="F1654" s="12">
        <v>2.085E-3</v>
      </c>
    </row>
    <row r="1655" spans="1:6">
      <c r="A1655" s="10">
        <v>2017</v>
      </c>
      <c r="B1655" t="s">
        <v>472</v>
      </c>
      <c r="C1655" t="s">
        <v>417</v>
      </c>
      <c r="D1655" t="s">
        <v>417</v>
      </c>
      <c r="E1655" s="10">
        <v>2703540</v>
      </c>
      <c r="F1655" s="12">
        <v>2.5712E-3</v>
      </c>
    </row>
    <row r="1656" spans="1:6">
      <c r="A1656" s="10">
        <v>2017</v>
      </c>
      <c r="B1656" t="s">
        <v>473</v>
      </c>
      <c r="C1656" t="s">
        <v>418</v>
      </c>
      <c r="D1656" t="s">
        <v>418</v>
      </c>
      <c r="E1656" s="10"/>
      <c r="F1656" s="12">
        <v>0</v>
      </c>
    </row>
    <row r="1657" spans="1:6">
      <c r="A1657" s="10">
        <v>2017</v>
      </c>
      <c r="B1657" t="s">
        <v>474</v>
      </c>
      <c r="C1657" t="s">
        <v>1666</v>
      </c>
      <c r="D1657" t="s">
        <v>1666</v>
      </c>
      <c r="E1657" s="10">
        <v>80093</v>
      </c>
      <c r="F1657" s="12">
        <v>7.6199999999999995E-5</v>
      </c>
    </row>
    <row r="1658" spans="1:6">
      <c r="A1658" s="10">
        <v>2017</v>
      </c>
      <c r="B1658" t="s">
        <v>475</v>
      </c>
      <c r="C1658" t="s">
        <v>1667</v>
      </c>
      <c r="D1658" t="s">
        <v>1667</v>
      </c>
      <c r="E1658" s="10">
        <v>17210</v>
      </c>
      <c r="F1658" s="12">
        <v>1.6399999999999999E-5</v>
      </c>
    </row>
    <row r="1659" spans="1:6">
      <c r="A1659" s="10">
        <v>2017</v>
      </c>
      <c r="B1659" t="s">
        <v>476</v>
      </c>
      <c r="C1659" t="s">
        <v>421</v>
      </c>
      <c r="D1659" t="s">
        <v>421</v>
      </c>
      <c r="E1659" s="10">
        <v>4266431</v>
      </c>
      <c r="F1659" s="12">
        <v>4.0575999999999997E-3</v>
      </c>
    </row>
    <row r="1660" spans="1:6">
      <c r="A1660" s="10">
        <v>2017</v>
      </c>
      <c r="B1660" t="s">
        <v>477</v>
      </c>
      <c r="C1660" t="s">
        <v>422</v>
      </c>
      <c r="D1660" t="s">
        <v>422</v>
      </c>
      <c r="E1660" s="10">
        <v>827983</v>
      </c>
      <c r="F1660" s="12">
        <v>7.8750000000000001E-4</v>
      </c>
    </row>
    <row r="1661" spans="1:6">
      <c r="A1661" s="10">
        <v>2017</v>
      </c>
      <c r="B1661" t="s">
        <v>478</v>
      </c>
      <c r="C1661" t="s">
        <v>1668</v>
      </c>
      <c r="D1661" t="s">
        <v>1668</v>
      </c>
      <c r="E1661" s="10">
        <v>110447</v>
      </c>
      <c r="F1661" s="12">
        <v>1.05E-4</v>
      </c>
    </row>
    <row r="1662" spans="1:6">
      <c r="A1662" s="10">
        <v>2017</v>
      </c>
      <c r="B1662" t="s">
        <v>479</v>
      </c>
      <c r="C1662" t="s">
        <v>1669</v>
      </c>
      <c r="D1662" t="s">
        <v>1669</v>
      </c>
      <c r="E1662" s="10">
        <v>294422</v>
      </c>
      <c r="F1662" s="12">
        <v>2.7999999999999998E-4</v>
      </c>
    </row>
    <row r="1663" spans="1:6">
      <c r="A1663" s="10">
        <v>2017</v>
      </c>
      <c r="B1663" t="s">
        <v>480</v>
      </c>
      <c r="C1663" t="s">
        <v>1670</v>
      </c>
      <c r="D1663" t="s">
        <v>1670</v>
      </c>
      <c r="E1663" s="10">
        <v>43373</v>
      </c>
      <c r="F1663" s="12">
        <v>4.1199999999999999E-5</v>
      </c>
    </row>
    <row r="1664" spans="1:6">
      <c r="A1664" s="10">
        <v>2017</v>
      </c>
      <c r="B1664" t="s">
        <v>481</v>
      </c>
      <c r="C1664" t="s">
        <v>1671</v>
      </c>
      <c r="D1664" t="s">
        <v>1671</v>
      </c>
      <c r="E1664" s="10">
        <v>788849</v>
      </c>
      <c r="F1664" s="12">
        <v>7.5020000000000002E-4</v>
      </c>
    </row>
    <row r="1665" spans="1:6">
      <c r="A1665" s="10">
        <v>2017</v>
      </c>
      <c r="B1665" t="s">
        <v>482</v>
      </c>
      <c r="C1665" t="s">
        <v>1672</v>
      </c>
      <c r="D1665" t="s">
        <v>1672</v>
      </c>
      <c r="E1665" s="10">
        <v>143582</v>
      </c>
      <c r="F1665" s="12">
        <v>1.3660000000000001E-4</v>
      </c>
    </row>
    <row r="1666" spans="1:6">
      <c r="A1666" s="10">
        <v>2017</v>
      </c>
      <c r="B1666" t="s">
        <v>483</v>
      </c>
      <c r="C1666" t="s">
        <v>1673</v>
      </c>
      <c r="D1666" t="s">
        <v>1673</v>
      </c>
      <c r="E1666" s="10">
        <v>95227</v>
      </c>
      <c r="F1666" s="12">
        <v>9.0600000000000007E-5</v>
      </c>
    </row>
    <row r="1667" spans="1:6">
      <c r="A1667" s="10">
        <v>2017</v>
      </c>
      <c r="B1667" t="s">
        <v>484</v>
      </c>
      <c r="C1667" t="s">
        <v>1674</v>
      </c>
      <c r="D1667" t="s">
        <v>1674</v>
      </c>
      <c r="E1667" s="10">
        <v>299196</v>
      </c>
      <c r="F1667" s="12">
        <v>2.8459999999999998E-4</v>
      </c>
    </row>
    <row r="1668" spans="1:6">
      <c r="A1668" s="10">
        <v>2017</v>
      </c>
      <c r="B1668" t="s">
        <v>485</v>
      </c>
      <c r="C1668" t="s">
        <v>1675</v>
      </c>
      <c r="D1668" t="s">
        <v>1675</v>
      </c>
      <c r="E1668" s="10">
        <v>1084085</v>
      </c>
      <c r="F1668" s="12">
        <v>1.031E-3</v>
      </c>
    </row>
    <row r="1669" spans="1:6">
      <c r="A1669" s="10">
        <v>2017</v>
      </c>
      <c r="B1669" t="s">
        <v>376</v>
      </c>
      <c r="C1669" t="s">
        <v>1676</v>
      </c>
      <c r="D1669" t="s">
        <v>1676</v>
      </c>
      <c r="E1669" s="10">
        <v>477230</v>
      </c>
      <c r="F1669" s="12">
        <v>4.5389999999999997E-4</v>
      </c>
    </row>
    <row r="1670" spans="1:6">
      <c r="A1670" s="10">
        <v>2017</v>
      </c>
      <c r="B1670" t="s">
        <v>1690</v>
      </c>
      <c r="C1670" t="s">
        <v>1677</v>
      </c>
      <c r="D1670" t="s">
        <v>1677</v>
      </c>
      <c r="E1670" s="10">
        <v>42131</v>
      </c>
      <c r="F1670" s="12">
        <v>4.0099999999999999E-5</v>
      </c>
    </row>
    <row r="1671" spans="1:6">
      <c r="A1671" s="10">
        <v>2017</v>
      </c>
      <c r="B1671" t="s">
        <v>377</v>
      </c>
      <c r="C1671" t="s">
        <v>1678</v>
      </c>
      <c r="D1671" t="s">
        <v>1678</v>
      </c>
      <c r="E1671" s="10">
        <v>839096</v>
      </c>
      <c r="F1671" s="12">
        <v>7.9799999999999999E-4</v>
      </c>
    </row>
    <row r="1672" spans="1:6">
      <c r="A1672" s="10">
        <v>2017</v>
      </c>
      <c r="B1672" t="s">
        <v>486</v>
      </c>
      <c r="C1672" t="s">
        <v>1679</v>
      </c>
      <c r="D1672" t="s">
        <v>1679</v>
      </c>
      <c r="E1672" s="10">
        <v>897667</v>
      </c>
      <c r="F1672" s="12">
        <v>8.5369999999999999E-4</v>
      </c>
    </row>
    <row r="1673" spans="1:6">
      <c r="A1673" s="10">
        <v>2017</v>
      </c>
      <c r="B1673" t="s">
        <v>487</v>
      </c>
      <c r="C1673" t="s">
        <v>432</v>
      </c>
      <c r="D1673" t="s">
        <v>432</v>
      </c>
      <c r="E1673" s="10">
        <v>6501</v>
      </c>
      <c r="F1673" s="12">
        <v>6.1999999999999999E-6</v>
      </c>
    </row>
    <row r="1674" spans="1:6">
      <c r="A1674" s="10">
        <v>2017</v>
      </c>
      <c r="B1674" t="s">
        <v>488</v>
      </c>
      <c r="C1674" t="s">
        <v>1680</v>
      </c>
      <c r="D1674" t="s">
        <v>1680</v>
      </c>
      <c r="E1674" s="10">
        <v>133177</v>
      </c>
      <c r="F1674" s="12">
        <v>1.2669999999999999E-4</v>
      </c>
    </row>
    <row r="1675" spans="1:6">
      <c r="A1675" s="10">
        <v>2017</v>
      </c>
      <c r="B1675" t="s">
        <v>489</v>
      </c>
      <c r="C1675" t="s">
        <v>434</v>
      </c>
      <c r="D1675" t="s">
        <v>434</v>
      </c>
      <c r="E1675" s="10">
        <v>50694</v>
      </c>
      <c r="F1675" s="12">
        <v>4.8199999999999999E-5</v>
      </c>
    </row>
    <row r="1676" spans="1:6">
      <c r="A1676" s="10">
        <v>2017</v>
      </c>
      <c r="B1676" t="s">
        <v>490</v>
      </c>
      <c r="C1676" t="s">
        <v>1681</v>
      </c>
      <c r="D1676" t="s">
        <v>1681</v>
      </c>
      <c r="E1676" s="10">
        <v>2591465</v>
      </c>
      <c r="F1676" s="12">
        <v>2.4646E-3</v>
      </c>
    </row>
    <row r="1677" spans="1:6">
      <c r="A1677" s="10">
        <v>2017</v>
      </c>
      <c r="B1677" t="s">
        <v>491</v>
      </c>
      <c r="C1677" t="s">
        <v>1682</v>
      </c>
      <c r="D1677" t="s">
        <v>1682</v>
      </c>
      <c r="E1677" s="10">
        <v>3375279</v>
      </c>
      <c r="F1677" s="12">
        <v>3.2101E-3</v>
      </c>
    </row>
    <row r="1678" spans="1:6">
      <c r="A1678" s="10">
        <v>2017</v>
      </c>
      <c r="B1678" t="s">
        <v>492</v>
      </c>
      <c r="C1678" t="s">
        <v>1683</v>
      </c>
      <c r="D1678" t="s">
        <v>1683</v>
      </c>
      <c r="E1678" s="10">
        <v>5796</v>
      </c>
      <c r="F1678" s="12">
        <v>5.4999999999999999E-6</v>
      </c>
    </row>
    <row r="1679" spans="1:6">
      <c r="A1679" s="10">
        <v>2017</v>
      </c>
      <c r="B1679" t="s">
        <v>493</v>
      </c>
      <c r="C1679" t="s">
        <v>1684</v>
      </c>
      <c r="D1679" t="s">
        <v>1684</v>
      </c>
      <c r="E1679" s="10">
        <v>12177</v>
      </c>
      <c r="F1679" s="12">
        <v>1.1600000000000001E-5</v>
      </c>
    </row>
    <row r="1680" spans="1:6">
      <c r="A1680" s="10">
        <v>2017</v>
      </c>
      <c r="B1680" t="s">
        <v>494</v>
      </c>
      <c r="C1680" t="s">
        <v>1685</v>
      </c>
      <c r="D1680" t="s">
        <v>1685</v>
      </c>
      <c r="E1680" s="10">
        <v>10421</v>
      </c>
      <c r="F1680" s="12">
        <v>9.9000000000000001E-6</v>
      </c>
    </row>
    <row r="1681" spans="1:6">
      <c r="A1681" s="10">
        <v>2017</v>
      </c>
      <c r="B1681" t="s">
        <v>550</v>
      </c>
      <c r="C1681" t="s">
        <v>1686</v>
      </c>
      <c r="D1681" t="s">
        <v>1686</v>
      </c>
      <c r="E1681" s="10">
        <v>60354</v>
      </c>
      <c r="F1681" s="12">
        <v>5.7399999999999999E-5</v>
      </c>
    </row>
    <row r="1682" spans="1:6">
      <c r="A1682" s="10">
        <v>2017</v>
      </c>
      <c r="B1682" t="s">
        <v>551</v>
      </c>
      <c r="C1682" t="s">
        <v>1687</v>
      </c>
      <c r="D1682" t="s">
        <v>1687</v>
      </c>
      <c r="E1682" s="10">
        <v>76057</v>
      </c>
      <c r="F1682" s="12">
        <v>7.2299999999999996E-5</v>
      </c>
    </row>
    <row r="1683" spans="1:6">
      <c r="A1683" s="10">
        <v>2017</v>
      </c>
      <c r="B1683" t="s">
        <v>552</v>
      </c>
      <c r="C1683" t="s">
        <v>1688</v>
      </c>
      <c r="D1683" t="s">
        <v>1688</v>
      </c>
      <c r="E1683" s="10">
        <v>16263471</v>
      </c>
      <c r="F1683" s="12">
        <v>1.5467399999999999E-2</v>
      </c>
    </row>
    <row r="1684" spans="1:6">
      <c r="A1684" s="10">
        <v>2017</v>
      </c>
      <c r="B1684" t="s">
        <v>819</v>
      </c>
      <c r="C1684" t="s">
        <v>1689</v>
      </c>
      <c r="D1684" t="s">
        <v>1689</v>
      </c>
      <c r="E1684" s="10"/>
      <c r="F1684" s="12">
        <v>0</v>
      </c>
    </row>
    <row r="1685" spans="1:6">
      <c r="A1685" s="10">
        <v>2017</v>
      </c>
      <c r="B1685" t="s">
        <v>553</v>
      </c>
      <c r="C1685" t="s">
        <v>498</v>
      </c>
      <c r="D1685" t="s">
        <v>498</v>
      </c>
      <c r="E1685" s="10">
        <v>29864</v>
      </c>
      <c r="F1685" s="12">
        <v>2.8399999999999999E-5</v>
      </c>
    </row>
    <row r="1686" spans="1:6">
      <c r="A1686" s="10">
        <v>2017</v>
      </c>
      <c r="B1686" t="s">
        <v>554</v>
      </c>
      <c r="C1686" t="s">
        <v>499</v>
      </c>
      <c r="D1686" t="s">
        <v>499</v>
      </c>
      <c r="E1686" s="10">
        <v>25421</v>
      </c>
      <c r="F1686" s="12">
        <v>2.4199999999999999E-5</v>
      </c>
    </row>
    <row r="1687" spans="1:6">
      <c r="A1687" s="10">
        <v>2017</v>
      </c>
      <c r="B1687" t="s">
        <v>555</v>
      </c>
      <c r="C1687" t="s">
        <v>500</v>
      </c>
      <c r="D1687" t="s">
        <v>500</v>
      </c>
      <c r="E1687" s="10">
        <v>156207</v>
      </c>
      <c r="F1687" s="12">
        <v>1.4860000000000001E-4</v>
      </c>
    </row>
    <row r="1688" spans="1:6">
      <c r="A1688" s="10">
        <v>2017</v>
      </c>
      <c r="B1688" t="s">
        <v>556</v>
      </c>
      <c r="C1688" t="s">
        <v>501</v>
      </c>
      <c r="D1688" t="s">
        <v>501</v>
      </c>
      <c r="E1688" s="10">
        <v>7344</v>
      </c>
      <c r="F1688" s="12">
        <v>6.9999999999999999E-6</v>
      </c>
    </row>
    <row r="1689" spans="1:6">
      <c r="A1689" s="10">
        <v>2017</v>
      </c>
      <c r="B1689" t="s">
        <v>557</v>
      </c>
      <c r="C1689" t="s">
        <v>502</v>
      </c>
      <c r="D1689" t="s">
        <v>502</v>
      </c>
      <c r="E1689" s="10">
        <v>45754</v>
      </c>
      <c r="F1689" s="12">
        <v>4.35E-5</v>
      </c>
    </row>
    <row r="1690" spans="1:6">
      <c r="A1690" s="10">
        <v>2017</v>
      </c>
      <c r="B1690" t="s">
        <v>558</v>
      </c>
      <c r="C1690" t="s">
        <v>1691</v>
      </c>
      <c r="D1690" t="s">
        <v>1691</v>
      </c>
      <c r="E1690" s="10">
        <v>29356</v>
      </c>
      <c r="F1690" s="12">
        <v>2.7900000000000001E-5</v>
      </c>
    </row>
    <row r="1691" spans="1:6">
      <c r="A1691" s="10">
        <v>2017</v>
      </c>
      <c r="B1691" t="s">
        <v>559</v>
      </c>
      <c r="C1691" t="s">
        <v>1692</v>
      </c>
      <c r="D1691" t="s">
        <v>1692</v>
      </c>
      <c r="E1691" s="10">
        <v>1575964</v>
      </c>
      <c r="F1691" s="12">
        <v>1.4988E-3</v>
      </c>
    </row>
    <row r="1692" spans="1:6">
      <c r="A1692" s="10">
        <v>2017</v>
      </c>
      <c r="B1692" t="s">
        <v>378</v>
      </c>
      <c r="C1692" t="s">
        <v>1693</v>
      </c>
      <c r="D1692" t="s">
        <v>1693</v>
      </c>
      <c r="E1692" s="10">
        <v>468993</v>
      </c>
      <c r="F1692" s="12">
        <v>4.46E-4</v>
      </c>
    </row>
    <row r="1693" spans="1:6">
      <c r="A1693" s="10">
        <v>2017</v>
      </c>
      <c r="B1693" t="s">
        <v>560</v>
      </c>
      <c r="C1693" t="s">
        <v>505</v>
      </c>
      <c r="D1693" t="s">
        <v>505</v>
      </c>
      <c r="E1693" s="10">
        <v>91801</v>
      </c>
      <c r="F1693" s="12">
        <v>8.7299999999999994E-5</v>
      </c>
    </row>
    <row r="1694" spans="1:6">
      <c r="A1694" s="10">
        <v>2017</v>
      </c>
      <c r="B1694" t="s">
        <v>561</v>
      </c>
      <c r="C1694" t="s">
        <v>1694</v>
      </c>
      <c r="D1694" t="s">
        <v>1694</v>
      </c>
      <c r="E1694" s="10">
        <v>210007</v>
      </c>
      <c r="F1694" s="12">
        <v>1.997E-4</v>
      </c>
    </row>
    <row r="1695" spans="1:6">
      <c r="A1695" s="10">
        <v>2017</v>
      </c>
      <c r="B1695" t="s">
        <v>1225</v>
      </c>
      <c r="C1695" t="s">
        <v>1695</v>
      </c>
      <c r="D1695" t="s">
        <v>1695</v>
      </c>
      <c r="E1695" s="10">
        <v>17095</v>
      </c>
      <c r="F1695" s="12">
        <v>1.63E-5</v>
      </c>
    </row>
    <row r="1696" spans="1:6">
      <c r="A1696" s="10">
        <v>2017</v>
      </c>
      <c r="B1696" t="s">
        <v>562</v>
      </c>
      <c r="C1696" t="s">
        <v>2367</v>
      </c>
      <c r="D1696" t="s">
        <v>1696</v>
      </c>
      <c r="E1696" s="10">
        <v>10875864</v>
      </c>
      <c r="F1696" s="12">
        <v>1.03435E-2</v>
      </c>
    </row>
    <row r="1697" spans="1:6">
      <c r="A1697" s="10">
        <v>2017</v>
      </c>
      <c r="B1697" t="s">
        <v>1226</v>
      </c>
      <c r="C1697" t="s">
        <v>1697</v>
      </c>
      <c r="D1697" t="s">
        <v>1697</v>
      </c>
      <c r="E1697" s="10">
        <v>148561</v>
      </c>
      <c r="F1697" s="12">
        <v>1.4129999999999999E-4</v>
      </c>
    </row>
    <row r="1698" spans="1:6">
      <c r="A1698" s="10">
        <v>2017</v>
      </c>
      <c r="B1698" t="s">
        <v>563</v>
      </c>
      <c r="C1698" t="s">
        <v>1698</v>
      </c>
      <c r="D1698" t="s">
        <v>1698</v>
      </c>
      <c r="E1698" s="10">
        <v>3961</v>
      </c>
      <c r="F1698" s="12">
        <v>3.8E-6</v>
      </c>
    </row>
    <row r="1699" spans="1:6">
      <c r="A1699" s="10">
        <v>2017</v>
      </c>
      <c r="B1699" t="s">
        <v>564</v>
      </c>
      <c r="C1699" t="s">
        <v>509</v>
      </c>
      <c r="D1699" t="s">
        <v>509</v>
      </c>
      <c r="E1699" s="10">
        <v>940156</v>
      </c>
      <c r="F1699" s="12">
        <v>8.9409999999999999E-4</v>
      </c>
    </row>
    <row r="1700" spans="1:6">
      <c r="A1700" s="10">
        <v>2017</v>
      </c>
      <c r="B1700" t="s">
        <v>565</v>
      </c>
      <c r="C1700" t="s">
        <v>510</v>
      </c>
      <c r="D1700" t="s">
        <v>510</v>
      </c>
      <c r="E1700" s="10">
        <v>2065841</v>
      </c>
      <c r="F1700" s="12">
        <v>1.9647000000000002E-3</v>
      </c>
    </row>
    <row r="1701" spans="1:6">
      <c r="A1701" s="10">
        <v>2017</v>
      </c>
      <c r="B1701" t="s">
        <v>566</v>
      </c>
      <c r="C1701" t="s">
        <v>1699</v>
      </c>
      <c r="D1701" t="s">
        <v>1699</v>
      </c>
      <c r="E1701" s="10">
        <v>120485</v>
      </c>
      <c r="F1701" s="12">
        <v>1.1459999999999999E-4</v>
      </c>
    </row>
    <row r="1702" spans="1:6">
      <c r="A1702" s="10">
        <v>2017</v>
      </c>
      <c r="B1702" t="s">
        <v>569</v>
      </c>
      <c r="C1702" t="s">
        <v>1446</v>
      </c>
      <c r="D1702" t="s">
        <v>1446</v>
      </c>
      <c r="E1702" s="10">
        <v>167893</v>
      </c>
      <c r="F1702" s="12">
        <v>1.5970000000000001E-4</v>
      </c>
    </row>
    <row r="1703" spans="1:6">
      <c r="A1703" s="10">
        <v>2017</v>
      </c>
      <c r="B1703" t="s">
        <v>567</v>
      </c>
      <c r="C1703" t="s">
        <v>1700</v>
      </c>
      <c r="D1703" t="s">
        <v>1700</v>
      </c>
      <c r="E1703" s="10">
        <v>97452</v>
      </c>
      <c r="F1703" s="12">
        <v>9.2700000000000004E-5</v>
      </c>
    </row>
    <row r="1704" spans="1:6">
      <c r="A1704" s="10">
        <v>2017</v>
      </c>
      <c r="B1704" t="s">
        <v>568</v>
      </c>
      <c r="C1704" t="s">
        <v>2446</v>
      </c>
      <c r="D1704" t="s">
        <v>1701</v>
      </c>
      <c r="E1704" s="10">
        <v>155956</v>
      </c>
      <c r="F1704" s="12">
        <v>1.483E-4</v>
      </c>
    </row>
    <row r="1705" spans="1:6">
      <c r="A1705" s="10">
        <v>2017</v>
      </c>
      <c r="B1705" t="s">
        <v>570</v>
      </c>
      <c r="C1705" t="s">
        <v>515</v>
      </c>
      <c r="D1705" t="s">
        <v>515</v>
      </c>
      <c r="E1705" s="10">
        <v>252195</v>
      </c>
      <c r="F1705" s="12">
        <v>2.399E-4</v>
      </c>
    </row>
    <row r="1706" spans="1:6">
      <c r="A1706" s="10">
        <v>2017</v>
      </c>
      <c r="B1706" t="s">
        <v>571</v>
      </c>
      <c r="C1706" t="s">
        <v>516</v>
      </c>
      <c r="D1706" t="s">
        <v>516</v>
      </c>
      <c r="E1706" s="10">
        <v>733260</v>
      </c>
      <c r="F1706" s="12">
        <v>6.9740000000000004E-4</v>
      </c>
    </row>
    <row r="1707" spans="1:6">
      <c r="A1707" s="10">
        <v>2017</v>
      </c>
      <c r="B1707" t="s">
        <v>572</v>
      </c>
      <c r="C1707" t="s">
        <v>517</v>
      </c>
      <c r="D1707" t="s">
        <v>517</v>
      </c>
      <c r="E1707" s="10">
        <v>234378</v>
      </c>
      <c r="F1707" s="12">
        <v>2.229E-4</v>
      </c>
    </row>
    <row r="1708" spans="1:6">
      <c r="A1708" s="10">
        <v>2017</v>
      </c>
      <c r="B1708" t="s">
        <v>573</v>
      </c>
      <c r="C1708" t="s">
        <v>518</v>
      </c>
      <c r="D1708" t="s">
        <v>518</v>
      </c>
      <c r="E1708" s="10">
        <v>328113</v>
      </c>
      <c r="F1708" s="12">
        <v>3.121E-4</v>
      </c>
    </row>
    <row r="1709" spans="1:6">
      <c r="A1709" s="10">
        <v>2017</v>
      </c>
      <c r="B1709" t="s">
        <v>574</v>
      </c>
      <c r="C1709" t="s">
        <v>1702</v>
      </c>
      <c r="D1709" t="s">
        <v>1702</v>
      </c>
      <c r="E1709" s="10">
        <v>125705</v>
      </c>
      <c r="F1709" s="12">
        <v>1.1959999999999999E-4</v>
      </c>
    </row>
    <row r="1710" spans="1:6">
      <c r="A1710" s="10">
        <v>2017</v>
      </c>
      <c r="B1710" t="s">
        <v>575</v>
      </c>
      <c r="C1710" t="s">
        <v>2437</v>
      </c>
      <c r="D1710" t="s">
        <v>1703</v>
      </c>
      <c r="E1710" s="10">
        <v>56547</v>
      </c>
      <c r="F1710" s="12">
        <v>5.38E-5</v>
      </c>
    </row>
    <row r="1711" spans="1:6">
      <c r="A1711" s="10">
        <v>2017</v>
      </c>
      <c r="B1711" t="s">
        <v>576</v>
      </c>
      <c r="C1711" t="s">
        <v>521</v>
      </c>
      <c r="D1711" t="s">
        <v>521</v>
      </c>
      <c r="E1711" s="10">
        <v>146102</v>
      </c>
      <c r="F1711" s="12">
        <v>1.3899999999999999E-4</v>
      </c>
    </row>
    <row r="1712" spans="1:6">
      <c r="A1712" s="10">
        <v>2017</v>
      </c>
      <c r="B1712" t="s">
        <v>577</v>
      </c>
      <c r="C1712" t="s">
        <v>1704</v>
      </c>
      <c r="D1712" t="s">
        <v>1704</v>
      </c>
      <c r="E1712" s="10">
        <v>33731</v>
      </c>
      <c r="F1712" s="12">
        <v>3.2100000000000001E-5</v>
      </c>
    </row>
    <row r="1713" spans="1:6">
      <c r="A1713" s="10">
        <v>2017</v>
      </c>
      <c r="B1713" t="s">
        <v>578</v>
      </c>
      <c r="C1713" t="s">
        <v>1705</v>
      </c>
      <c r="D1713" t="s">
        <v>1705</v>
      </c>
      <c r="E1713" s="10">
        <v>1324010</v>
      </c>
      <c r="F1713" s="12">
        <v>1.2592E-3</v>
      </c>
    </row>
    <row r="1714" spans="1:6">
      <c r="A1714" s="10">
        <v>2017</v>
      </c>
      <c r="B1714" t="s">
        <v>579</v>
      </c>
      <c r="C1714" t="s">
        <v>1447</v>
      </c>
      <c r="D1714" t="s">
        <v>1447</v>
      </c>
      <c r="E1714" s="10"/>
      <c r="F1714" s="12">
        <v>0</v>
      </c>
    </row>
    <row r="1715" spans="1:6">
      <c r="A1715" s="10">
        <v>2017</v>
      </c>
      <c r="B1715" t="s">
        <v>379</v>
      </c>
      <c r="C1715" t="s">
        <v>1706</v>
      </c>
      <c r="D1715" t="s">
        <v>1706</v>
      </c>
      <c r="E1715" s="10">
        <v>624521</v>
      </c>
      <c r="F1715" s="12">
        <v>5.9400000000000002E-4</v>
      </c>
    </row>
    <row r="1716" spans="1:6">
      <c r="A1716" s="10">
        <v>2017</v>
      </c>
      <c r="B1716" t="s">
        <v>1451</v>
      </c>
      <c r="C1716" t="s">
        <v>1707</v>
      </c>
      <c r="D1716" t="s">
        <v>1707</v>
      </c>
      <c r="E1716" s="10"/>
      <c r="F1716" s="12">
        <v>0</v>
      </c>
    </row>
    <row r="1717" spans="1:6">
      <c r="A1717" s="10">
        <v>2017</v>
      </c>
      <c r="B1717" t="s">
        <v>1450</v>
      </c>
      <c r="C1717" t="s">
        <v>1708</v>
      </c>
      <c r="D1717" t="s">
        <v>1708</v>
      </c>
      <c r="E1717" s="10"/>
      <c r="F1717" s="12">
        <v>0</v>
      </c>
    </row>
    <row r="1718" spans="1:6">
      <c r="A1718" s="10">
        <v>2017</v>
      </c>
      <c r="B1718" t="s">
        <v>580</v>
      </c>
      <c r="C1718" t="s">
        <v>1709</v>
      </c>
      <c r="D1718" t="s">
        <v>1709</v>
      </c>
      <c r="E1718" s="10">
        <v>63240</v>
      </c>
      <c r="F1718" s="12">
        <v>6.0099999999999997E-5</v>
      </c>
    </row>
    <row r="1719" spans="1:6">
      <c r="A1719" s="10">
        <v>2017</v>
      </c>
      <c r="B1719" t="s">
        <v>581</v>
      </c>
      <c r="C1719" t="s">
        <v>526</v>
      </c>
      <c r="D1719" t="s">
        <v>526</v>
      </c>
      <c r="E1719" s="10">
        <v>12617</v>
      </c>
      <c r="F1719" s="12">
        <v>1.2E-5</v>
      </c>
    </row>
    <row r="1720" spans="1:6">
      <c r="A1720" s="10">
        <v>2017</v>
      </c>
      <c r="B1720" t="s">
        <v>582</v>
      </c>
      <c r="C1720" t="s">
        <v>1710</v>
      </c>
      <c r="D1720" t="s">
        <v>1710</v>
      </c>
      <c r="E1720" s="10">
        <v>445975</v>
      </c>
      <c r="F1720" s="12">
        <v>4.2410000000000001E-4</v>
      </c>
    </row>
    <row r="1721" spans="1:6">
      <c r="A1721" s="10">
        <v>2017</v>
      </c>
      <c r="B1721" t="s">
        <v>583</v>
      </c>
      <c r="C1721" t="s">
        <v>1711</v>
      </c>
      <c r="D1721" t="s">
        <v>1711</v>
      </c>
      <c r="E1721" s="10">
        <v>13448</v>
      </c>
      <c r="F1721" s="12">
        <v>1.2799999999999999E-5</v>
      </c>
    </row>
    <row r="1722" spans="1:6">
      <c r="A1722" s="10">
        <v>2017</v>
      </c>
      <c r="B1722" t="s">
        <v>380</v>
      </c>
      <c r="C1722" t="s">
        <v>1712</v>
      </c>
      <c r="D1722" t="s">
        <v>1712</v>
      </c>
      <c r="E1722" s="10">
        <v>414288</v>
      </c>
      <c r="F1722" s="12">
        <v>3.9399999999999998E-4</v>
      </c>
    </row>
    <row r="1723" spans="1:6">
      <c r="A1723" s="10">
        <v>2017</v>
      </c>
      <c r="B1723" t="s">
        <v>584</v>
      </c>
      <c r="C1723" t="s">
        <v>529</v>
      </c>
      <c r="D1723" t="s">
        <v>529</v>
      </c>
      <c r="E1723" s="10"/>
      <c r="F1723" s="12">
        <v>0</v>
      </c>
    </row>
    <row r="1724" spans="1:6">
      <c r="A1724" s="10">
        <v>2017</v>
      </c>
      <c r="B1724" t="s">
        <v>585</v>
      </c>
      <c r="C1724" t="s">
        <v>1713</v>
      </c>
      <c r="D1724" t="s">
        <v>1713</v>
      </c>
      <c r="E1724" s="10">
        <v>263146</v>
      </c>
      <c r="F1724" s="12">
        <v>2.5030000000000001E-4</v>
      </c>
    </row>
    <row r="1725" spans="1:6">
      <c r="A1725" s="10">
        <v>2017</v>
      </c>
      <c r="B1725" t="s">
        <v>586</v>
      </c>
      <c r="C1725" t="s">
        <v>1714</v>
      </c>
      <c r="D1725" t="s">
        <v>1714</v>
      </c>
      <c r="E1725" s="10">
        <v>105730</v>
      </c>
      <c r="F1725" s="12">
        <v>1.0060000000000001E-4</v>
      </c>
    </row>
    <row r="1726" spans="1:6">
      <c r="A1726" s="10">
        <v>2017</v>
      </c>
      <c r="B1726" t="s">
        <v>587</v>
      </c>
      <c r="C1726" t="s">
        <v>532</v>
      </c>
      <c r="D1726" t="s">
        <v>532</v>
      </c>
      <c r="E1726" s="10">
        <v>149173</v>
      </c>
      <c r="F1726" s="12">
        <v>1.4190000000000001E-4</v>
      </c>
    </row>
    <row r="1727" spans="1:6">
      <c r="A1727" s="10">
        <v>2017</v>
      </c>
      <c r="B1727" t="s">
        <v>588</v>
      </c>
      <c r="C1727" t="s">
        <v>533</v>
      </c>
      <c r="D1727" t="s">
        <v>533</v>
      </c>
      <c r="E1727" s="10">
        <v>136348</v>
      </c>
      <c r="F1727" s="12">
        <v>1.2970000000000001E-4</v>
      </c>
    </row>
    <row r="1728" spans="1:6">
      <c r="A1728" s="10">
        <v>2017</v>
      </c>
      <c r="B1728" t="s">
        <v>589</v>
      </c>
      <c r="C1728" t="s">
        <v>1715</v>
      </c>
      <c r="D1728" t="s">
        <v>1715</v>
      </c>
      <c r="E1728" s="10">
        <v>5196465</v>
      </c>
      <c r="F1728" s="12">
        <v>4.9420999999999996E-3</v>
      </c>
    </row>
    <row r="1729" spans="1:6">
      <c r="A1729" s="10">
        <v>2017</v>
      </c>
      <c r="B1729" t="s">
        <v>381</v>
      </c>
      <c r="C1729" t="s">
        <v>1716</v>
      </c>
      <c r="D1729" t="s">
        <v>1716</v>
      </c>
      <c r="E1729" s="10">
        <v>3287507</v>
      </c>
      <c r="F1729" s="12">
        <v>3.1266000000000002E-3</v>
      </c>
    </row>
    <row r="1730" spans="1:6">
      <c r="A1730" s="10">
        <v>2017</v>
      </c>
      <c r="B1730" t="s">
        <v>590</v>
      </c>
      <c r="C1730" t="s">
        <v>1717</v>
      </c>
      <c r="D1730" t="s">
        <v>1717</v>
      </c>
      <c r="E1730" s="10">
        <v>4301567</v>
      </c>
      <c r="F1730" s="12">
        <v>4.091E-3</v>
      </c>
    </row>
    <row r="1731" spans="1:6">
      <c r="A1731" s="10">
        <v>2017</v>
      </c>
      <c r="B1731" t="s">
        <v>1227</v>
      </c>
      <c r="C1731" t="s">
        <v>1718</v>
      </c>
      <c r="D1731" t="s">
        <v>1718</v>
      </c>
      <c r="E1731" s="10">
        <v>554877</v>
      </c>
      <c r="F1731" s="12">
        <v>5.2769999999999998E-4</v>
      </c>
    </row>
    <row r="1732" spans="1:6">
      <c r="A1732" s="10">
        <v>2017</v>
      </c>
      <c r="B1732" t="s">
        <v>591</v>
      </c>
      <c r="C1732" t="s">
        <v>536</v>
      </c>
      <c r="D1732" t="s">
        <v>536</v>
      </c>
      <c r="E1732" s="10">
        <v>52637</v>
      </c>
      <c r="F1732" s="12">
        <v>5.0099999999999998E-5</v>
      </c>
    </row>
    <row r="1733" spans="1:6">
      <c r="A1733" s="10">
        <v>2017</v>
      </c>
      <c r="B1733" t="s">
        <v>592</v>
      </c>
      <c r="C1733" t="s">
        <v>1719</v>
      </c>
      <c r="D1733" t="s">
        <v>1719</v>
      </c>
      <c r="E1733" s="10">
        <v>2649409</v>
      </c>
      <c r="F1733" s="12">
        <v>2.5197000000000002E-3</v>
      </c>
    </row>
    <row r="1734" spans="1:6">
      <c r="A1734" s="10">
        <v>2017</v>
      </c>
      <c r="B1734" t="s">
        <v>1456</v>
      </c>
      <c r="C1734" t="s">
        <v>1720</v>
      </c>
      <c r="D1734" t="s">
        <v>1720</v>
      </c>
      <c r="E1734" s="10">
        <v>15190</v>
      </c>
      <c r="F1734" s="12">
        <v>1.4399999999999999E-5</v>
      </c>
    </row>
    <row r="1735" spans="1:6">
      <c r="A1735" s="10">
        <v>2017</v>
      </c>
      <c r="B1735" t="s">
        <v>593</v>
      </c>
      <c r="C1735" t="s">
        <v>1721</v>
      </c>
      <c r="D1735" t="s">
        <v>1721</v>
      </c>
      <c r="E1735" s="10">
        <v>652972</v>
      </c>
      <c r="F1735" s="12">
        <v>6.2100000000000002E-4</v>
      </c>
    </row>
    <row r="1736" spans="1:6">
      <c r="A1736" s="10">
        <v>2017</v>
      </c>
      <c r="B1736" t="s">
        <v>594</v>
      </c>
      <c r="C1736" t="s">
        <v>2190</v>
      </c>
      <c r="D1736" t="s">
        <v>539</v>
      </c>
      <c r="E1736" s="10">
        <v>13980</v>
      </c>
      <c r="F1736" s="12">
        <v>1.33E-5</v>
      </c>
    </row>
    <row r="1737" spans="1:6">
      <c r="A1737" s="10">
        <v>2017</v>
      </c>
      <c r="B1737" t="s">
        <v>595</v>
      </c>
      <c r="C1737" t="s">
        <v>1722</v>
      </c>
      <c r="D1737" t="s">
        <v>1722</v>
      </c>
      <c r="E1737" s="10">
        <v>490110</v>
      </c>
      <c r="F1737" s="12">
        <v>4.661E-4</v>
      </c>
    </row>
    <row r="1738" spans="1:6">
      <c r="A1738" s="10">
        <v>2017</v>
      </c>
      <c r="B1738" t="s">
        <v>596</v>
      </c>
      <c r="C1738" t="s">
        <v>1723</v>
      </c>
      <c r="D1738" t="s">
        <v>1723</v>
      </c>
      <c r="E1738" s="10">
        <v>709444</v>
      </c>
      <c r="F1738" s="12">
        <v>6.7469999999999997E-4</v>
      </c>
    </row>
    <row r="1739" spans="1:6">
      <c r="A1739" s="10">
        <v>2017</v>
      </c>
      <c r="B1739" t="s">
        <v>597</v>
      </c>
      <c r="C1739" t="s">
        <v>1724</v>
      </c>
      <c r="D1739" t="s">
        <v>1724</v>
      </c>
      <c r="E1739" s="10">
        <v>2155905</v>
      </c>
      <c r="F1739" s="12">
        <v>2.0504E-3</v>
      </c>
    </row>
    <row r="1740" spans="1:6">
      <c r="A1740" s="10">
        <v>2017</v>
      </c>
      <c r="B1740" t="s">
        <v>598</v>
      </c>
      <c r="C1740" t="s">
        <v>543</v>
      </c>
      <c r="D1740" t="s">
        <v>543</v>
      </c>
      <c r="E1740" s="10">
        <v>191031</v>
      </c>
      <c r="F1740" s="12">
        <v>1.817E-4</v>
      </c>
    </row>
    <row r="1741" spans="1:6">
      <c r="A1741" s="10">
        <v>2017</v>
      </c>
      <c r="B1741" t="s">
        <v>1228</v>
      </c>
      <c r="C1741" t="s">
        <v>1725</v>
      </c>
      <c r="D1741" t="s">
        <v>1725</v>
      </c>
      <c r="E1741" s="10">
        <v>32018</v>
      </c>
      <c r="F1741" s="12">
        <v>3.0499999999999999E-5</v>
      </c>
    </row>
    <row r="1742" spans="1:6">
      <c r="A1742" s="10">
        <v>2017</v>
      </c>
      <c r="B1742" t="s">
        <v>599</v>
      </c>
      <c r="C1742" t="s">
        <v>1726</v>
      </c>
      <c r="D1742" t="s">
        <v>1726</v>
      </c>
      <c r="E1742" s="10">
        <v>134547</v>
      </c>
      <c r="F1742" s="12">
        <v>1.2799999999999999E-4</v>
      </c>
    </row>
    <row r="1743" spans="1:6">
      <c r="A1743" s="10">
        <v>2017</v>
      </c>
      <c r="B1743" t="s">
        <v>600</v>
      </c>
      <c r="C1743" t="s">
        <v>1727</v>
      </c>
      <c r="D1743" t="s">
        <v>1727</v>
      </c>
      <c r="E1743" s="10">
        <v>2043275</v>
      </c>
      <c r="F1743" s="12">
        <v>1.9433E-3</v>
      </c>
    </row>
    <row r="1744" spans="1:6">
      <c r="A1744" s="10">
        <v>2017</v>
      </c>
      <c r="B1744" t="s">
        <v>601</v>
      </c>
      <c r="C1744" t="s">
        <v>1728</v>
      </c>
      <c r="D1744" t="s">
        <v>1728</v>
      </c>
      <c r="E1744" s="10">
        <v>1133551</v>
      </c>
      <c r="F1744" s="12">
        <v>1.0781E-3</v>
      </c>
    </row>
    <row r="1745" spans="1:6">
      <c r="A1745" s="10">
        <v>2017</v>
      </c>
      <c r="B1745" t="s">
        <v>602</v>
      </c>
      <c r="C1745" t="s">
        <v>547</v>
      </c>
      <c r="D1745" t="s">
        <v>547</v>
      </c>
      <c r="E1745" s="10">
        <v>72683</v>
      </c>
      <c r="F1745" s="12">
        <v>6.9099999999999999E-5</v>
      </c>
    </row>
    <row r="1746" spans="1:6">
      <c r="A1746" s="10">
        <v>2017</v>
      </c>
      <c r="B1746" t="s">
        <v>603</v>
      </c>
      <c r="C1746" t="s">
        <v>548</v>
      </c>
      <c r="D1746" t="s">
        <v>548</v>
      </c>
      <c r="E1746" s="10">
        <v>103046</v>
      </c>
      <c r="F1746" s="12">
        <v>9.7999999999999997E-5</v>
      </c>
    </row>
    <row r="1747" spans="1:6">
      <c r="A1747" s="10">
        <v>2017</v>
      </c>
      <c r="B1747" t="s">
        <v>604</v>
      </c>
      <c r="C1747" t="s">
        <v>1729</v>
      </c>
      <c r="D1747" t="s">
        <v>1729</v>
      </c>
      <c r="E1747" s="10">
        <v>229621</v>
      </c>
      <c r="F1747" s="12">
        <v>2.184E-4</v>
      </c>
    </row>
    <row r="1748" spans="1:6">
      <c r="A1748" s="10">
        <v>2017</v>
      </c>
      <c r="B1748" t="s">
        <v>1229</v>
      </c>
      <c r="C1748" t="s">
        <v>1730</v>
      </c>
      <c r="D1748" t="s">
        <v>1730</v>
      </c>
      <c r="E1748" s="10">
        <v>135138</v>
      </c>
      <c r="F1748" s="12">
        <v>1.2850000000000001E-4</v>
      </c>
    </row>
    <row r="1749" spans="1:6">
      <c r="A1749" s="10">
        <v>2017</v>
      </c>
      <c r="B1749" t="s">
        <v>660</v>
      </c>
      <c r="C1749" t="s">
        <v>605</v>
      </c>
      <c r="D1749" t="s">
        <v>605</v>
      </c>
      <c r="E1749" s="10">
        <v>1716124</v>
      </c>
      <c r="F1749" s="12">
        <v>1.6321E-3</v>
      </c>
    </row>
    <row r="1750" spans="1:6">
      <c r="A1750" s="10">
        <v>2017</v>
      </c>
      <c r="B1750" t="s">
        <v>661</v>
      </c>
      <c r="C1750" t="s">
        <v>1455</v>
      </c>
      <c r="D1750" t="s">
        <v>1455</v>
      </c>
      <c r="E1750" s="10">
        <v>17913</v>
      </c>
      <c r="F1750" s="12">
        <v>1.7E-5</v>
      </c>
    </row>
    <row r="1751" spans="1:6">
      <c r="A1751" s="10">
        <v>2017</v>
      </c>
      <c r="B1751" t="s">
        <v>662</v>
      </c>
      <c r="C1751" t="s">
        <v>607</v>
      </c>
      <c r="D1751" t="s">
        <v>607</v>
      </c>
      <c r="E1751" s="10">
        <v>12208</v>
      </c>
      <c r="F1751" s="12">
        <v>1.1600000000000001E-5</v>
      </c>
    </row>
    <row r="1752" spans="1:6">
      <c r="A1752" s="10">
        <v>2017</v>
      </c>
      <c r="B1752" t="s">
        <v>663</v>
      </c>
      <c r="C1752" t="s">
        <v>608</v>
      </c>
      <c r="D1752" t="s">
        <v>608</v>
      </c>
      <c r="E1752" s="10">
        <v>26483</v>
      </c>
      <c r="F1752" s="12">
        <v>2.5199999999999999E-5</v>
      </c>
    </row>
    <row r="1753" spans="1:6">
      <c r="A1753" s="10">
        <v>2017</v>
      </c>
      <c r="B1753" t="s">
        <v>664</v>
      </c>
      <c r="C1753" t="s">
        <v>609</v>
      </c>
      <c r="D1753" t="s">
        <v>609</v>
      </c>
      <c r="E1753" s="10">
        <v>17879453</v>
      </c>
      <c r="F1753" s="12">
        <v>1.70043E-2</v>
      </c>
    </row>
    <row r="1754" spans="1:6">
      <c r="A1754" s="10">
        <v>2017</v>
      </c>
      <c r="B1754" t="s">
        <v>1230</v>
      </c>
      <c r="C1754" t="s">
        <v>1731</v>
      </c>
      <c r="D1754" t="s">
        <v>1731</v>
      </c>
      <c r="E1754" s="10">
        <v>5185910</v>
      </c>
      <c r="F1754" s="12">
        <v>4.9321E-3</v>
      </c>
    </row>
    <row r="1755" spans="1:6">
      <c r="A1755" s="10">
        <v>2017</v>
      </c>
      <c r="B1755" t="s">
        <v>665</v>
      </c>
      <c r="C1755" t="s">
        <v>1732</v>
      </c>
      <c r="D1755" t="s">
        <v>1732</v>
      </c>
      <c r="E1755" s="10">
        <v>5831853</v>
      </c>
      <c r="F1755" s="12">
        <v>5.5463999999999999E-3</v>
      </c>
    </row>
    <row r="1756" spans="1:6">
      <c r="A1756" s="10">
        <v>2017</v>
      </c>
      <c r="B1756" t="s">
        <v>666</v>
      </c>
      <c r="C1756" t="s">
        <v>1733</v>
      </c>
      <c r="D1756" t="s">
        <v>1733</v>
      </c>
      <c r="E1756" s="10">
        <v>8580447</v>
      </c>
      <c r="F1756" s="12">
        <v>8.1603999999999999E-3</v>
      </c>
    </row>
    <row r="1757" spans="1:6">
      <c r="A1757" s="10">
        <v>2017</v>
      </c>
      <c r="B1757" t="s">
        <v>382</v>
      </c>
      <c r="C1757" t="s">
        <v>1734</v>
      </c>
      <c r="D1757" t="s">
        <v>1734</v>
      </c>
      <c r="E1757" s="10">
        <v>7007003</v>
      </c>
      <c r="F1757" s="12">
        <v>6.6639999999999998E-3</v>
      </c>
    </row>
    <row r="1758" spans="1:6">
      <c r="A1758" s="10">
        <v>2017</v>
      </c>
      <c r="B1758" t="s">
        <v>667</v>
      </c>
      <c r="C1758" t="s">
        <v>1735</v>
      </c>
      <c r="D1758" t="s">
        <v>1735</v>
      </c>
      <c r="E1758" s="10">
        <v>726048</v>
      </c>
      <c r="F1758" s="12">
        <v>6.9050000000000003E-4</v>
      </c>
    </row>
    <row r="1759" spans="1:6">
      <c r="A1759" s="10">
        <v>2017</v>
      </c>
      <c r="B1759" t="s">
        <v>383</v>
      </c>
      <c r="C1759" t="s">
        <v>1736</v>
      </c>
      <c r="D1759" t="s">
        <v>1736</v>
      </c>
      <c r="E1759" s="10">
        <v>237341</v>
      </c>
      <c r="F1759" s="12">
        <v>2.2570000000000001E-4</v>
      </c>
    </row>
    <row r="1760" spans="1:6">
      <c r="A1760" s="10">
        <v>2017</v>
      </c>
      <c r="B1760" t="s">
        <v>668</v>
      </c>
      <c r="C1760" t="s">
        <v>613</v>
      </c>
      <c r="D1760" t="s">
        <v>613</v>
      </c>
      <c r="E1760" s="10">
        <v>207060</v>
      </c>
      <c r="F1760" s="12">
        <v>1.9689999999999999E-4</v>
      </c>
    </row>
    <row r="1761" spans="1:6">
      <c r="A1761" s="10">
        <v>2017</v>
      </c>
      <c r="B1761" t="s">
        <v>384</v>
      </c>
      <c r="C1761" t="s">
        <v>1737</v>
      </c>
      <c r="D1761" t="s">
        <v>1737</v>
      </c>
      <c r="E1761" s="10">
        <v>2529219</v>
      </c>
      <c r="F1761" s="12">
        <v>2.4053999999999998E-3</v>
      </c>
    </row>
    <row r="1762" spans="1:6">
      <c r="A1762" s="10">
        <v>2017</v>
      </c>
      <c r="B1762" t="s">
        <v>669</v>
      </c>
      <c r="C1762" t="s">
        <v>614</v>
      </c>
      <c r="D1762" t="s">
        <v>614</v>
      </c>
      <c r="E1762" s="10">
        <v>76267</v>
      </c>
      <c r="F1762" s="12">
        <v>7.25E-5</v>
      </c>
    </row>
    <row r="1763" spans="1:6">
      <c r="A1763" s="10">
        <v>2017</v>
      </c>
      <c r="B1763" t="s">
        <v>670</v>
      </c>
      <c r="C1763" t="s">
        <v>615</v>
      </c>
      <c r="D1763" t="s">
        <v>615</v>
      </c>
      <c r="E1763" s="10">
        <v>657941</v>
      </c>
      <c r="F1763" s="12">
        <v>6.2569999999999998E-4</v>
      </c>
    </row>
    <row r="1764" spans="1:6">
      <c r="A1764" s="10">
        <v>2017</v>
      </c>
      <c r="B1764" t="s">
        <v>671</v>
      </c>
      <c r="C1764" t="s">
        <v>1738</v>
      </c>
      <c r="D1764" t="s">
        <v>1738</v>
      </c>
      <c r="E1764" s="10"/>
      <c r="F1764" s="12">
        <v>0</v>
      </c>
    </row>
    <row r="1765" spans="1:6">
      <c r="A1765" s="10">
        <v>2017</v>
      </c>
      <c r="B1765" t="s">
        <v>672</v>
      </c>
      <c r="C1765" t="s">
        <v>1739</v>
      </c>
      <c r="D1765" t="s">
        <v>1739</v>
      </c>
      <c r="E1765" s="10">
        <v>273949</v>
      </c>
      <c r="F1765" s="12">
        <v>2.6049999999999999E-4</v>
      </c>
    </row>
    <row r="1766" spans="1:6">
      <c r="A1766" s="10">
        <v>2017</v>
      </c>
      <c r="B1766" t="s">
        <v>673</v>
      </c>
      <c r="C1766" t="s">
        <v>618</v>
      </c>
      <c r="D1766" t="s">
        <v>618</v>
      </c>
      <c r="E1766" s="10">
        <v>79722</v>
      </c>
      <c r="F1766" s="12">
        <v>7.5799999999999999E-5</v>
      </c>
    </row>
    <row r="1767" spans="1:6">
      <c r="A1767" s="10">
        <v>2017</v>
      </c>
      <c r="B1767" t="s">
        <v>674</v>
      </c>
      <c r="C1767" t="s">
        <v>2429</v>
      </c>
      <c r="D1767" t="s">
        <v>619</v>
      </c>
      <c r="E1767" s="10">
        <v>43705</v>
      </c>
      <c r="F1767" s="12">
        <v>4.1600000000000002E-5</v>
      </c>
    </row>
    <row r="1768" spans="1:6">
      <c r="A1768" s="10">
        <v>2017</v>
      </c>
      <c r="B1768" t="s">
        <v>675</v>
      </c>
      <c r="C1768" t="s">
        <v>620</v>
      </c>
      <c r="D1768" t="s">
        <v>620</v>
      </c>
      <c r="E1768" s="10">
        <v>594439</v>
      </c>
      <c r="F1768" s="12">
        <v>5.6530000000000003E-4</v>
      </c>
    </row>
    <row r="1769" spans="1:6">
      <c r="A1769" s="10">
        <v>2017</v>
      </c>
      <c r="B1769" t="s">
        <v>676</v>
      </c>
      <c r="C1769" t="s">
        <v>1740</v>
      </c>
      <c r="D1769" t="s">
        <v>1740</v>
      </c>
      <c r="E1769" s="10">
        <v>7022</v>
      </c>
      <c r="F1769" s="12">
        <v>6.7000000000000002E-6</v>
      </c>
    </row>
    <row r="1770" spans="1:6">
      <c r="A1770" s="10">
        <v>2017</v>
      </c>
      <c r="B1770" t="s">
        <v>677</v>
      </c>
      <c r="C1770" t="s">
        <v>622</v>
      </c>
      <c r="D1770" t="s">
        <v>622</v>
      </c>
      <c r="E1770" s="10">
        <v>5713</v>
      </c>
      <c r="F1770" s="12">
        <v>5.4E-6</v>
      </c>
    </row>
    <row r="1771" spans="1:6">
      <c r="A1771" s="10">
        <v>2017</v>
      </c>
      <c r="B1771" t="s">
        <v>1463</v>
      </c>
      <c r="C1771" t="s">
        <v>1741</v>
      </c>
      <c r="D1771" t="s">
        <v>1741</v>
      </c>
      <c r="E1771" s="10">
        <v>76149</v>
      </c>
      <c r="F1771" s="12">
        <v>7.2399999999999998E-5</v>
      </c>
    </row>
    <row r="1772" spans="1:6">
      <c r="A1772" s="10">
        <v>2017</v>
      </c>
      <c r="B1772" t="s">
        <v>678</v>
      </c>
      <c r="C1772" t="s">
        <v>1458</v>
      </c>
      <c r="D1772" t="s">
        <v>1458</v>
      </c>
      <c r="E1772" s="10">
        <v>155</v>
      </c>
      <c r="F1772" s="12">
        <v>9.9999999999999995E-8</v>
      </c>
    </row>
    <row r="1773" spans="1:6">
      <c r="A1773" s="10">
        <v>2017</v>
      </c>
      <c r="B1773" t="s">
        <v>1231</v>
      </c>
      <c r="C1773" t="s">
        <v>1742</v>
      </c>
      <c r="D1773" t="s">
        <v>1742</v>
      </c>
      <c r="E1773" s="10">
        <v>79603</v>
      </c>
      <c r="F1773" s="12">
        <v>7.5699999999999997E-5</v>
      </c>
    </row>
    <row r="1774" spans="1:6">
      <c r="A1774" s="10">
        <v>2017</v>
      </c>
      <c r="B1774" t="s">
        <v>679</v>
      </c>
      <c r="C1774" t="s">
        <v>1459</v>
      </c>
      <c r="D1774" t="s">
        <v>1459</v>
      </c>
      <c r="E1774" s="10"/>
      <c r="F1774" s="12">
        <v>0</v>
      </c>
    </row>
    <row r="1775" spans="1:6">
      <c r="A1775" s="10">
        <v>2017</v>
      </c>
      <c r="B1775" t="s">
        <v>680</v>
      </c>
      <c r="C1775" t="s">
        <v>1743</v>
      </c>
      <c r="D1775" t="s">
        <v>1743</v>
      </c>
      <c r="E1775" s="10">
        <v>42695</v>
      </c>
      <c r="F1775" s="12">
        <v>4.0599999999999998E-5</v>
      </c>
    </row>
    <row r="1776" spans="1:6">
      <c r="A1776" s="10">
        <v>2017</v>
      </c>
      <c r="B1776" t="s">
        <v>681</v>
      </c>
      <c r="C1776" t="s">
        <v>626</v>
      </c>
      <c r="D1776" t="s">
        <v>626</v>
      </c>
      <c r="E1776" s="10">
        <v>254762</v>
      </c>
      <c r="F1776" s="12">
        <v>2.4230000000000001E-4</v>
      </c>
    </row>
    <row r="1777" spans="1:6">
      <c r="A1777" s="10">
        <v>2017</v>
      </c>
      <c r="B1777" t="s">
        <v>682</v>
      </c>
      <c r="C1777" t="s">
        <v>1744</v>
      </c>
      <c r="D1777" t="s">
        <v>1744</v>
      </c>
      <c r="E1777" s="10">
        <v>29898</v>
      </c>
      <c r="F1777" s="12">
        <v>2.8399999999999999E-5</v>
      </c>
    </row>
    <row r="1778" spans="1:6">
      <c r="A1778" s="10">
        <v>2017</v>
      </c>
      <c r="B1778" t="s">
        <v>1232</v>
      </c>
      <c r="C1778" t="s">
        <v>1745</v>
      </c>
      <c r="D1778" t="s">
        <v>1745</v>
      </c>
      <c r="E1778" s="10">
        <v>67287</v>
      </c>
      <c r="F1778" s="12">
        <v>6.3999999999999997E-5</v>
      </c>
    </row>
    <row r="1779" spans="1:6">
      <c r="A1779" s="10">
        <v>2017</v>
      </c>
      <c r="B1779" t="s">
        <v>683</v>
      </c>
      <c r="C1779" t="s">
        <v>1746</v>
      </c>
      <c r="D1779" t="s">
        <v>1746</v>
      </c>
      <c r="E1779" s="10">
        <v>205908</v>
      </c>
      <c r="F1779" s="12">
        <v>1.9579999999999999E-4</v>
      </c>
    </row>
    <row r="1780" spans="1:6">
      <c r="A1780" s="10">
        <v>2017</v>
      </c>
      <c r="B1780" t="s">
        <v>685</v>
      </c>
      <c r="C1780" t="s">
        <v>1461</v>
      </c>
      <c r="D1780" t="s">
        <v>1461</v>
      </c>
      <c r="E1780" s="10">
        <v>20683</v>
      </c>
      <c r="F1780" s="12">
        <v>1.9700000000000001E-5</v>
      </c>
    </row>
    <row r="1781" spans="1:6">
      <c r="A1781" s="10">
        <v>2017</v>
      </c>
      <c r="B1781" t="s">
        <v>686</v>
      </c>
      <c r="C1781" t="s">
        <v>1747</v>
      </c>
      <c r="D1781" t="s">
        <v>1747</v>
      </c>
      <c r="E1781" s="10">
        <v>261091</v>
      </c>
      <c r="F1781" s="12">
        <v>2.4830000000000002E-4</v>
      </c>
    </row>
    <row r="1782" spans="1:6">
      <c r="A1782" s="10">
        <v>2017</v>
      </c>
      <c r="B1782" t="s">
        <v>687</v>
      </c>
      <c r="C1782" t="s">
        <v>632</v>
      </c>
      <c r="D1782" t="s">
        <v>632</v>
      </c>
      <c r="E1782" s="10">
        <v>669495</v>
      </c>
      <c r="F1782" s="12">
        <v>6.3670000000000003E-4</v>
      </c>
    </row>
    <row r="1783" spans="1:6">
      <c r="A1783" s="10">
        <v>2017</v>
      </c>
      <c r="B1783" t="s">
        <v>688</v>
      </c>
      <c r="C1783" t="s">
        <v>1748</v>
      </c>
      <c r="D1783" t="s">
        <v>1748</v>
      </c>
      <c r="E1783" s="10">
        <v>13990</v>
      </c>
      <c r="F1783" s="12">
        <v>1.33E-5</v>
      </c>
    </row>
    <row r="1784" spans="1:6">
      <c r="A1784" s="10">
        <v>2017</v>
      </c>
      <c r="B1784" t="s">
        <v>689</v>
      </c>
      <c r="C1784" t="s">
        <v>1749</v>
      </c>
      <c r="D1784" t="s">
        <v>1749</v>
      </c>
      <c r="E1784" s="10">
        <v>5141043</v>
      </c>
      <c r="F1784" s="12">
        <v>4.8894000000000003E-3</v>
      </c>
    </row>
    <row r="1785" spans="1:6">
      <c r="A1785" s="10">
        <v>2017</v>
      </c>
      <c r="B1785" t="s">
        <v>690</v>
      </c>
      <c r="C1785" t="s">
        <v>1750</v>
      </c>
      <c r="D1785" t="s">
        <v>1750</v>
      </c>
      <c r="E1785" s="10">
        <v>17489</v>
      </c>
      <c r="F1785" s="12">
        <v>1.66E-5</v>
      </c>
    </row>
    <row r="1786" spans="1:6">
      <c r="A1786" s="10">
        <v>2017</v>
      </c>
      <c r="B1786" t="s">
        <v>691</v>
      </c>
      <c r="C1786" t="s">
        <v>1751</v>
      </c>
      <c r="D1786" t="s">
        <v>1751</v>
      </c>
      <c r="E1786" s="10">
        <v>1353097</v>
      </c>
      <c r="F1786" s="12">
        <v>1.2868999999999999E-3</v>
      </c>
    </row>
    <row r="1787" spans="1:6">
      <c r="A1787" s="10">
        <v>2017</v>
      </c>
      <c r="B1787" t="s">
        <v>440</v>
      </c>
      <c r="C1787" t="s">
        <v>1752</v>
      </c>
      <c r="D1787" t="s">
        <v>1752</v>
      </c>
      <c r="E1787" s="10">
        <v>167986</v>
      </c>
      <c r="F1787" s="12">
        <v>1.5980000000000001E-4</v>
      </c>
    </row>
    <row r="1788" spans="1:6">
      <c r="A1788" s="10">
        <v>2017</v>
      </c>
      <c r="B1788" t="s">
        <v>1464</v>
      </c>
      <c r="C1788" t="s">
        <v>1753</v>
      </c>
      <c r="D1788" t="s">
        <v>1753</v>
      </c>
      <c r="E1788" s="10">
        <v>286632</v>
      </c>
      <c r="F1788" s="12">
        <v>2.7260000000000001E-4</v>
      </c>
    </row>
    <row r="1789" spans="1:6">
      <c r="A1789" s="10">
        <v>2017</v>
      </c>
      <c r="B1789" t="s">
        <v>684</v>
      </c>
      <c r="C1789" t="s">
        <v>1754</v>
      </c>
      <c r="D1789" t="s">
        <v>1754</v>
      </c>
      <c r="E1789" s="10">
        <v>332436</v>
      </c>
      <c r="F1789" s="12">
        <v>3.1619999999999999E-4</v>
      </c>
    </row>
    <row r="1790" spans="1:6">
      <c r="A1790" s="10">
        <v>2017</v>
      </c>
      <c r="B1790" t="s">
        <v>692</v>
      </c>
      <c r="C1790" t="s">
        <v>637</v>
      </c>
      <c r="D1790" t="s">
        <v>637</v>
      </c>
      <c r="E1790" s="10">
        <v>222544</v>
      </c>
      <c r="F1790" s="12">
        <v>2.117E-4</v>
      </c>
    </row>
    <row r="1791" spans="1:6">
      <c r="A1791" s="10">
        <v>2017</v>
      </c>
      <c r="B1791" t="s">
        <v>1356</v>
      </c>
      <c r="C1791" t="s">
        <v>1755</v>
      </c>
      <c r="D1791" t="s">
        <v>1755</v>
      </c>
      <c r="E1791" s="10">
        <v>157065</v>
      </c>
      <c r="F1791" s="12">
        <v>1.494E-4</v>
      </c>
    </row>
    <row r="1792" spans="1:6">
      <c r="A1792" s="10">
        <v>2017</v>
      </c>
      <c r="B1792" t="s">
        <v>693</v>
      </c>
      <c r="C1792" t="s">
        <v>2442</v>
      </c>
      <c r="D1792" t="s">
        <v>1756</v>
      </c>
      <c r="E1792" s="10">
        <v>69596</v>
      </c>
      <c r="F1792" s="12">
        <v>6.6199999999999996E-5</v>
      </c>
    </row>
    <row r="1793" spans="1:6">
      <c r="A1793" s="10">
        <v>2017</v>
      </c>
      <c r="B1793" t="s">
        <v>694</v>
      </c>
      <c r="C1793" t="s">
        <v>1757</v>
      </c>
      <c r="D1793" t="s">
        <v>1757</v>
      </c>
      <c r="E1793" s="10">
        <v>2541303</v>
      </c>
      <c r="F1793" s="12">
        <v>2.4169E-3</v>
      </c>
    </row>
    <row r="1794" spans="1:6">
      <c r="A1794" s="10">
        <v>2017</v>
      </c>
      <c r="B1794" t="s">
        <v>695</v>
      </c>
      <c r="C1794" t="s">
        <v>1758</v>
      </c>
      <c r="D1794" t="s">
        <v>1758</v>
      </c>
      <c r="E1794" s="10">
        <v>96049</v>
      </c>
      <c r="F1794" s="12">
        <v>9.1299999999999997E-5</v>
      </c>
    </row>
    <row r="1795" spans="1:6">
      <c r="A1795" s="10">
        <v>2017</v>
      </c>
      <c r="B1795" t="s">
        <v>1781</v>
      </c>
      <c r="C1795" t="s">
        <v>1759</v>
      </c>
      <c r="D1795" t="s">
        <v>1759</v>
      </c>
      <c r="E1795" s="10">
        <v>118785</v>
      </c>
      <c r="F1795" s="12">
        <v>1.1299999999999999E-2</v>
      </c>
    </row>
    <row r="1796" spans="1:6">
      <c r="A1796" s="10">
        <v>2017</v>
      </c>
      <c r="B1796" t="s">
        <v>916</v>
      </c>
      <c r="C1796" t="s">
        <v>2443</v>
      </c>
      <c r="D1796" t="s">
        <v>1760</v>
      </c>
      <c r="E1796" s="10">
        <v>49380</v>
      </c>
      <c r="F1796" s="12">
        <v>4.6999999999999997E-5</v>
      </c>
    </row>
    <row r="1797" spans="1:6">
      <c r="A1797" s="10">
        <v>2017</v>
      </c>
      <c r="B1797" t="s">
        <v>696</v>
      </c>
      <c r="C1797" t="s">
        <v>641</v>
      </c>
      <c r="D1797" t="s">
        <v>641</v>
      </c>
      <c r="E1797" s="10">
        <v>21668</v>
      </c>
      <c r="F1797" s="12">
        <v>2.0599999999999999E-5</v>
      </c>
    </row>
    <row r="1798" spans="1:6">
      <c r="A1798" s="10">
        <v>2017</v>
      </c>
      <c r="B1798" t="s">
        <v>697</v>
      </c>
      <c r="C1798" t="s">
        <v>1761</v>
      </c>
      <c r="D1798" t="s">
        <v>1761</v>
      </c>
      <c r="E1798" s="10">
        <v>139519</v>
      </c>
      <c r="F1798" s="12">
        <v>1.327E-4</v>
      </c>
    </row>
    <row r="1799" spans="1:6">
      <c r="A1799" s="10">
        <v>2017</v>
      </c>
      <c r="B1799" t="s">
        <v>698</v>
      </c>
      <c r="C1799" t="s">
        <v>1762</v>
      </c>
      <c r="D1799" t="s">
        <v>1762</v>
      </c>
      <c r="E1799" s="10">
        <v>4027814</v>
      </c>
      <c r="F1799" s="12">
        <v>3.8306999999999998E-3</v>
      </c>
    </row>
    <row r="1800" spans="1:6">
      <c r="A1800" s="10">
        <v>2017</v>
      </c>
      <c r="B1800" t="s">
        <v>699</v>
      </c>
      <c r="C1800" t="s">
        <v>1763</v>
      </c>
      <c r="D1800" t="s">
        <v>1763</v>
      </c>
      <c r="E1800" s="10">
        <v>1975257</v>
      </c>
      <c r="F1800" s="12">
        <v>1.8786E-3</v>
      </c>
    </row>
    <row r="1801" spans="1:6">
      <c r="A1801" s="10">
        <v>2017</v>
      </c>
      <c r="B1801" t="s">
        <v>700</v>
      </c>
      <c r="C1801" t="s">
        <v>2374</v>
      </c>
      <c r="D1801" t="s">
        <v>1764</v>
      </c>
      <c r="E1801" s="10">
        <v>18695</v>
      </c>
      <c r="F1801" s="12">
        <v>1.7799999999999999E-5</v>
      </c>
    </row>
    <row r="1802" spans="1:6">
      <c r="A1802" s="10">
        <v>2017</v>
      </c>
      <c r="B1802" t="s">
        <v>701</v>
      </c>
      <c r="C1802" t="s">
        <v>2405</v>
      </c>
      <c r="D1802" t="s">
        <v>1765</v>
      </c>
      <c r="E1802" s="10">
        <v>277787</v>
      </c>
      <c r="F1802" s="12">
        <v>2.6420000000000003E-4</v>
      </c>
    </row>
    <row r="1803" spans="1:6">
      <c r="A1803" s="10">
        <v>2017</v>
      </c>
      <c r="B1803" t="s">
        <v>702</v>
      </c>
      <c r="C1803" t="s">
        <v>1766</v>
      </c>
      <c r="D1803" t="s">
        <v>1766</v>
      </c>
      <c r="E1803" s="10">
        <v>322210</v>
      </c>
      <c r="F1803" s="12">
        <v>3.0640000000000002E-4</v>
      </c>
    </row>
    <row r="1804" spans="1:6">
      <c r="A1804" s="10">
        <v>2017</v>
      </c>
      <c r="B1804" t="s">
        <v>703</v>
      </c>
      <c r="C1804" t="s">
        <v>1767</v>
      </c>
      <c r="D1804" t="s">
        <v>1767</v>
      </c>
      <c r="E1804" s="10">
        <v>1504054</v>
      </c>
      <c r="F1804" s="12">
        <v>1.4304000000000001E-3</v>
      </c>
    </row>
    <row r="1805" spans="1:6">
      <c r="A1805" s="10">
        <v>2017</v>
      </c>
      <c r="B1805" t="s">
        <v>1233</v>
      </c>
      <c r="C1805" t="s">
        <v>1768</v>
      </c>
      <c r="D1805" t="s">
        <v>1768</v>
      </c>
      <c r="E1805" s="10">
        <v>78440</v>
      </c>
      <c r="F1805" s="12">
        <v>7.4599999999999997E-5</v>
      </c>
    </row>
    <row r="1806" spans="1:6">
      <c r="A1806" s="10">
        <v>2017</v>
      </c>
      <c r="B1806" t="s">
        <v>704</v>
      </c>
      <c r="C1806" t="s">
        <v>1769</v>
      </c>
      <c r="D1806" t="s">
        <v>1769</v>
      </c>
      <c r="E1806" s="10">
        <v>106204</v>
      </c>
      <c r="F1806" s="12">
        <v>1.01E-4</v>
      </c>
    </row>
    <row r="1807" spans="1:6">
      <c r="A1807" s="10">
        <v>2017</v>
      </c>
      <c r="B1807" t="s">
        <v>705</v>
      </c>
      <c r="C1807" t="s">
        <v>1770</v>
      </c>
      <c r="D1807" t="s">
        <v>1770</v>
      </c>
      <c r="E1807" s="10">
        <v>508206</v>
      </c>
      <c r="F1807" s="12">
        <v>4.8329999999999998E-4</v>
      </c>
    </row>
    <row r="1808" spans="1:6">
      <c r="A1808" s="10">
        <v>2017</v>
      </c>
      <c r="B1808" t="s">
        <v>706</v>
      </c>
      <c r="C1808" t="s">
        <v>1771</v>
      </c>
      <c r="D1808" t="s">
        <v>1771</v>
      </c>
      <c r="E1808" s="10">
        <v>2747848</v>
      </c>
      <c r="F1808" s="12">
        <v>2.6132999999999998E-3</v>
      </c>
    </row>
    <row r="1809" spans="1:6">
      <c r="A1809" s="10">
        <v>2017</v>
      </c>
      <c r="B1809" t="s">
        <v>441</v>
      </c>
      <c r="C1809" t="s">
        <v>1772</v>
      </c>
      <c r="D1809" t="s">
        <v>1772</v>
      </c>
      <c r="E1809" s="10">
        <v>1152039</v>
      </c>
      <c r="F1809" s="12">
        <v>1.0956E-3</v>
      </c>
    </row>
    <row r="1810" spans="1:6">
      <c r="A1810" s="10">
        <v>2017</v>
      </c>
      <c r="B1810" t="s">
        <v>707</v>
      </c>
      <c r="C1810" t="s">
        <v>1773</v>
      </c>
      <c r="D1810" t="s">
        <v>1773</v>
      </c>
      <c r="E1810" s="10">
        <v>55489</v>
      </c>
      <c r="F1810" s="12">
        <v>5.2800000000000003E-5</v>
      </c>
    </row>
    <row r="1811" spans="1:6">
      <c r="A1811" s="10">
        <v>2017</v>
      </c>
      <c r="B1811" t="s">
        <v>708</v>
      </c>
      <c r="C1811" t="s">
        <v>1774</v>
      </c>
      <c r="D1811" t="s">
        <v>1774</v>
      </c>
      <c r="E1811" s="10">
        <v>8634031</v>
      </c>
      <c r="F1811" s="12">
        <v>8.2114000000000006E-3</v>
      </c>
    </row>
    <row r="1812" spans="1:6">
      <c r="A1812" s="10">
        <v>2017</v>
      </c>
      <c r="B1812" t="s">
        <v>709</v>
      </c>
      <c r="C1812" t="s">
        <v>654</v>
      </c>
      <c r="D1812" t="s">
        <v>654</v>
      </c>
      <c r="E1812" s="10">
        <v>856295</v>
      </c>
      <c r="F1812" s="12">
        <v>8.1439999999999995E-4</v>
      </c>
    </row>
    <row r="1813" spans="1:6">
      <c r="A1813" s="10">
        <v>2017</v>
      </c>
      <c r="B1813" t="s">
        <v>710</v>
      </c>
      <c r="C1813" t="s">
        <v>1775</v>
      </c>
      <c r="D1813" t="s">
        <v>1775</v>
      </c>
      <c r="E1813" s="10">
        <v>2000696</v>
      </c>
      <c r="F1813" s="12">
        <v>1.9028000000000001E-3</v>
      </c>
    </row>
    <row r="1814" spans="1:6">
      <c r="A1814" s="10">
        <v>2017</v>
      </c>
      <c r="B1814" t="s">
        <v>442</v>
      </c>
      <c r="C1814" t="s">
        <v>1776</v>
      </c>
      <c r="D1814" t="s">
        <v>1776</v>
      </c>
      <c r="E1814" s="10">
        <v>1824643</v>
      </c>
      <c r="F1814" s="12">
        <v>1.7353E-3</v>
      </c>
    </row>
    <row r="1815" spans="1:6">
      <c r="A1815" s="10">
        <v>2017</v>
      </c>
      <c r="B1815" t="s">
        <v>711</v>
      </c>
      <c r="C1815" t="s">
        <v>1777</v>
      </c>
      <c r="D1815" t="s">
        <v>1777</v>
      </c>
      <c r="E1815" s="10"/>
      <c r="F1815" s="12">
        <v>0</v>
      </c>
    </row>
    <row r="1816" spans="1:6">
      <c r="A1816" s="10">
        <v>2017</v>
      </c>
      <c r="B1816" t="s">
        <v>712</v>
      </c>
      <c r="C1816" t="s">
        <v>1778</v>
      </c>
      <c r="D1816" t="s">
        <v>1778</v>
      </c>
      <c r="E1816" s="10">
        <v>3272522</v>
      </c>
      <c r="F1816" s="12">
        <v>3.1123000000000001E-3</v>
      </c>
    </row>
    <row r="1817" spans="1:6">
      <c r="A1817" s="10">
        <v>2017</v>
      </c>
      <c r="B1817" t="s">
        <v>713</v>
      </c>
      <c r="C1817" t="s">
        <v>1779</v>
      </c>
      <c r="D1817" t="s">
        <v>1779</v>
      </c>
      <c r="E1817" s="10">
        <v>139060</v>
      </c>
      <c r="F1817" s="12">
        <v>1.3229999999999999E-4</v>
      </c>
    </row>
    <row r="1818" spans="1:6">
      <c r="A1818" s="10">
        <v>2017</v>
      </c>
      <c r="B1818" t="s">
        <v>714</v>
      </c>
      <c r="C1818" t="s">
        <v>1780</v>
      </c>
      <c r="D1818" t="s">
        <v>1780</v>
      </c>
      <c r="E1818" s="10">
        <v>1368483</v>
      </c>
      <c r="F1818" s="12">
        <v>1.3014999999999999E-3</v>
      </c>
    </row>
    <row r="1819" spans="1:6">
      <c r="A1819" s="10">
        <v>2017</v>
      </c>
      <c r="B1819" t="s">
        <v>770</v>
      </c>
      <c r="C1819" t="s">
        <v>715</v>
      </c>
      <c r="D1819" t="s">
        <v>715</v>
      </c>
      <c r="E1819" s="10">
        <v>43545</v>
      </c>
      <c r="F1819" s="12">
        <v>4.1399999999999997E-5</v>
      </c>
    </row>
    <row r="1820" spans="1:6">
      <c r="A1820" s="10">
        <v>2017</v>
      </c>
      <c r="B1820" t="s">
        <v>771</v>
      </c>
      <c r="C1820" t="s">
        <v>1782</v>
      </c>
      <c r="D1820" t="s">
        <v>1782</v>
      </c>
      <c r="E1820" s="10">
        <v>45059</v>
      </c>
      <c r="F1820" s="12">
        <v>4.2899999999999999E-5</v>
      </c>
    </row>
    <row r="1821" spans="1:6">
      <c r="A1821" s="10">
        <v>2017</v>
      </c>
      <c r="B1821" t="s">
        <v>772</v>
      </c>
      <c r="C1821" t="s">
        <v>1783</v>
      </c>
      <c r="D1821" t="s">
        <v>1783</v>
      </c>
      <c r="E1821" s="10"/>
      <c r="F1821" s="12">
        <v>0</v>
      </c>
    </row>
    <row r="1822" spans="1:6">
      <c r="A1822" s="10">
        <v>2017</v>
      </c>
      <c r="B1822" t="s">
        <v>773</v>
      </c>
      <c r="C1822" t="s">
        <v>1784</v>
      </c>
      <c r="D1822" t="s">
        <v>1784</v>
      </c>
      <c r="E1822" s="10">
        <v>5106671</v>
      </c>
      <c r="F1822" s="12">
        <v>4.8567000000000003E-3</v>
      </c>
    </row>
    <row r="1823" spans="1:6">
      <c r="A1823" s="10">
        <v>2017</v>
      </c>
      <c r="B1823" t="s">
        <v>443</v>
      </c>
      <c r="C1823" t="s">
        <v>1785</v>
      </c>
      <c r="D1823" t="s">
        <v>1785</v>
      </c>
      <c r="E1823" s="10">
        <v>216960</v>
      </c>
      <c r="F1823" s="12">
        <v>2.063E-4</v>
      </c>
    </row>
    <row r="1824" spans="1:6">
      <c r="A1824" s="10">
        <v>2017</v>
      </c>
      <c r="B1824" t="s">
        <v>774</v>
      </c>
      <c r="C1824" t="s">
        <v>1786</v>
      </c>
      <c r="D1824" t="s">
        <v>1786</v>
      </c>
      <c r="E1824" s="10">
        <v>226820</v>
      </c>
      <c r="F1824" s="12">
        <v>2.1570000000000001E-4</v>
      </c>
    </row>
    <row r="1825" spans="1:6">
      <c r="A1825" s="10">
        <v>2017</v>
      </c>
      <c r="B1825" t="s">
        <v>775</v>
      </c>
      <c r="C1825" t="s">
        <v>1787</v>
      </c>
      <c r="D1825" t="s">
        <v>1787</v>
      </c>
      <c r="E1825" s="10">
        <v>2532596</v>
      </c>
      <c r="F1825" s="12">
        <v>2.4085999999999999E-3</v>
      </c>
    </row>
    <row r="1826" spans="1:6">
      <c r="A1826" s="10">
        <v>2017</v>
      </c>
      <c r="B1826" t="s">
        <v>776</v>
      </c>
      <c r="C1826" t="s">
        <v>721</v>
      </c>
      <c r="D1826" t="s">
        <v>721</v>
      </c>
      <c r="E1826" s="10">
        <v>10336</v>
      </c>
      <c r="F1826" s="12">
        <v>9.7999999999999993E-6</v>
      </c>
    </row>
    <row r="1827" spans="1:6">
      <c r="A1827" s="10">
        <v>2017</v>
      </c>
      <c r="B1827" t="s">
        <v>778</v>
      </c>
      <c r="C1827" t="s">
        <v>1788</v>
      </c>
      <c r="D1827" t="s">
        <v>1788</v>
      </c>
      <c r="E1827" s="10">
        <v>2819238</v>
      </c>
      <c r="F1827" s="12">
        <v>2.6811999999999999E-3</v>
      </c>
    </row>
    <row r="1828" spans="1:6">
      <c r="A1828" s="10">
        <v>2017</v>
      </c>
      <c r="B1828" t="s">
        <v>779</v>
      </c>
      <c r="C1828" t="s">
        <v>1789</v>
      </c>
      <c r="D1828" t="s">
        <v>1789</v>
      </c>
      <c r="E1828" s="10">
        <v>131341</v>
      </c>
      <c r="F1828" s="12">
        <v>1.249E-4</v>
      </c>
    </row>
    <row r="1829" spans="1:6">
      <c r="A1829" s="10">
        <v>2017</v>
      </c>
      <c r="B1829" t="s">
        <v>780</v>
      </c>
      <c r="C1829" t="s">
        <v>1790</v>
      </c>
      <c r="D1829" t="s">
        <v>1790</v>
      </c>
      <c r="E1829" s="10">
        <v>424428</v>
      </c>
      <c r="F1829" s="12">
        <v>4.037E-4</v>
      </c>
    </row>
    <row r="1830" spans="1:6">
      <c r="A1830" s="10">
        <v>2017</v>
      </c>
      <c r="B1830" t="s">
        <v>781</v>
      </c>
      <c r="C1830" t="s">
        <v>1791</v>
      </c>
      <c r="D1830" t="s">
        <v>1791</v>
      </c>
      <c r="E1830" s="10">
        <v>15306</v>
      </c>
      <c r="F1830" s="12">
        <v>1.4600000000000001E-5</v>
      </c>
    </row>
    <row r="1831" spans="1:6">
      <c r="A1831" s="10">
        <v>2017</v>
      </c>
      <c r="B1831" t="s">
        <v>782</v>
      </c>
      <c r="C1831" t="s">
        <v>1792</v>
      </c>
      <c r="D1831" t="s">
        <v>1792</v>
      </c>
      <c r="E1831" s="10">
        <v>6160224</v>
      </c>
      <c r="F1831" s="12">
        <v>5.8586999999999997E-3</v>
      </c>
    </row>
    <row r="1832" spans="1:6">
      <c r="A1832" s="10">
        <v>2017</v>
      </c>
      <c r="B1832" t="s">
        <v>1234</v>
      </c>
      <c r="C1832" t="s">
        <v>1793</v>
      </c>
      <c r="D1832" t="s">
        <v>1793</v>
      </c>
      <c r="E1832" s="10">
        <v>1502091</v>
      </c>
      <c r="F1832" s="12">
        <v>1.4285999999999999E-3</v>
      </c>
    </row>
    <row r="1833" spans="1:6">
      <c r="A1833" s="10">
        <v>2017</v>
      </c>
      <c r="B1833" t="s">
        <v>783</v>
      </c>
      <c r="C1833" t="s">
        <v>1794</v>
      </c>
      <c r="D1833" t="s">
        <v>1794</v>
      </c>
      <c r="E1833" s="10">
        <v>973461</v>
      </c>
      <c r="F1833" s="12">
        <v>9.2579999999999995E-4</v>
      </c>
    </row>
    <row r="1834" spans="1:6">
      <c r="A1834" s="10">
        <v>2017</v>
      </c>
      <c r="B1834" t="s">
        <v>787</v>
      </c>
      <c r="C1834" t="s">
        <v>732</v>
      </c>
      <c r="D1834" t="s">
        <v>732</v>
      </c>
      <c r="E1834" s="10">
        <v>51581009</v>
      </c>
      <c r="F1834" s="12">
        <v>4.9055500000000002E-2</v>
      </c>
    </row>
    <row r="1835" spans="1:6">
      <c r="A1835" s="10">
        <v>2017</v>
      </c>
      <c r="B1835" t="s">
        <v>784</v>
      </c>
      <c r="C1835" t="s">
        <v>1795</v>
      </c>
      <c r="D1835" t="s">
        <v>1795</v>
      </c>
      <c r="E1835" s="10">
        <v>38591304</v>
      </c>
      <c r="F1835" s="12">
        <v>3.67023E-2</v>
      </c>
    </row>
    <row r="1836" spans="1:6">
      <c r="A1836" s="10">
        <v>2017</v>
      </c>
      <c r="B1836" t="s">
        <v>785</v>
      </c>
      <c r="C1836" t="s">
        <v>1796</v>
      </c>
      <c r="D1836" t="s">
        <v>1796</v>
      </c>
      <c r="E1836" s="10">
        <v>385214</v>
      </c>
      <c r="F1836" s="12">
        <v>3.6640000000000002E-4</v>
      </c>
    </row>
    <row r="1837" spans="1:6">
      <c r="A1837" s="10">
        <v>2017</v>
      </c>
      <c r="B1837" t="s">
        <v>788</v>
      </c>
      <c r="C1837" t="s">
        <v>1797</v>
      </c>
      <c r="D1837" t="s">
        <v>1797</v>
      </c>
      <c r="E1837" s="10">
        <v>325522</v>
      </c>
      <c r="F1837" s="12">
        <v>3.0959999999999999E-4</v>
      </c>
    </row>
    <row r="1838" spans="1:6">
      <c r="A1838" s="10">
        <v>2017</v>
      </c>
      <c r="B1838" t="s">
        <v>786</v>
      </c>
      <c r="C1838" t="s">
        <v>2460</v>
      </c>
      <c r="D1838" t="s">
        <v>1798</v>
      </c>
      <c r="E1838" s="10">
        <v>20560829</v>
      </c>
      <c r="F1838" s="12">
        <v>1.95544E-2</v>
      </c>
    </row>
    <row r="1839" spans="1:6">
      <c r="A1839" s="10">
        <v>2017</v>
      </c>
      <c r="B1839" t="s">
        <v>789</v>
      </c>
      <c r="C1839" t="s">
        <v>1799</v>
      </c>
      <c r="D1839" t="s">
        <v>1799</v>
      </c>
      <c r="E1839" s="10">
        <v>2848522</v>
      </c>
      <c r="F1839" s="12">
        <v>2.7090999999999999E-3</v>
      </c>
    </row>
    <row r="1840" spans="1:6">
      <c r="A1840" s="10">
        <v>2017</v>
      </c>
      <c r="B1840" t="s">
        <v>444</v>
      </c>
      <c r="C1840" t="s">
        <v>1800</v>
      </c>
      <c r="D1840" t="s">
        <v>1800</v>
      </c>
      <c r="E1840" s="10">
        <v>892672</v>
      </c>
      <c r="F1840" s="12">
        <v>8.4900000000000004E-4</v>
      </c>
    </row>
    <row r="1841" spans="1:6">
      <c r="A1841" s="10">
        <v>2017</v>
      </c>
      <c r="B1841" t="s">
        <v>790</v>
      </c>
      <c r="C1841" t="s">
        <v>1801</v>
      </c>
      <c r="D1841" t="s">
        <v>1801</v>
      </c>
      <c r="E1841" s="10">
        <v>288820</v>
      </c>
      <c r="F1841" s="12">
        <v>2.7470000000000001E-4</v>
      </c>
    </row>
    <row r="1842" spans="1:6">
      <c r="A1842" s="10">
        <v>2017</v>
      </c>
      <c r="B1842" t="s">
        <v>777</v>
      </c>
      <c r="C1842" t="s">
        <v>1802</v>
      </c>
      <c r="D1842" t="s">
        <v>1802</v>
      </c>
      <c r="E1842" s="10">
        <v>103023</v>
      </c>
      <c r="F1842" s="12">
        <v>9.7999999999999997E-5</v>
      </c>
    </row>
    <row r="1843" spans="1:6">
      <c r="A1843" s="10">
        <v>2017</v>
      </c>
      <c r="B1843" t="s">
        <v>791</v>
      </c>
      <c r="C1843" t="s">
        <v>736</v>
      </c>
      <c r="D1843" t="s">
        <v>736</v>
      </c>
      <c r="E1843" s="10">
        <v>232597</v>
      </c>
      <c r="F1843" s="12">
        <v>2.2120000000000001E-4</v>
      </c>
    </row>
    <row r="1844" spans="1:6">
      <c r="A1844" s="10">
        <v>2017</v>
      </c>
      <c r="B1844" t="s">
        <v>792</v>
      </c>
      <c r="C1844" t="s">
        <v>1803</v>
      </c>
      <c r="D1844" t="s">
        <v>1803</v>
      </c>
      <c r="E1844" s="10">
        <v>334279</v>
      </c>
      <c r="F1844" s="12">
        <v>3.1789999999999998E-4</v>
      </c>
    </row>
    <row r="1845" spans="1:6">
      <c r="A1845" s="10">
        <v>2017</v>
      </c>
      <c r="B1845" t="s">
        <v>793</v>
      </c>
      <c r="C1845" t="s">
        <v>1804</v>
      </c>
      <c r="D1845" t="s">
        <v>1804</v>
      </c>
      <c r="E1845" s="10">
        <v>113504</v>
      </c>
      <c r="F1845" s="12">
        <v>1.0789999999999999E-4</v>
      </c>
    </row>
    <row r="1846" spans="1:6">
      <c r="A1846" s="10">
        <v>2017</v>
      </c>
      <c r="B1846" t="s">
        <v>794</v>
      </c>
      <c r="C1846" t="s">
        <v>1805</v>
      </c>
      <c r="D1846" t="s">
        <v>1805</v>
      </c>
      <c r="E1846" s="10">
        <v>43393</v>
      </c>
      <c r="F1846" s="12">
        <v>4.1300000000000001E-5</v>
      </c>
    </row>
    <row r="1847" spans="1:6">
      <c r="A1847" s="10">
        <v>2017</v>
      </c>
      <c r="B1847" t="s">
        <v>795</v>
      </c>
      <c r="C1847" t="s">
        <v>1806</v>
      </c>
      <c r="D1847" t="s">
        <v>1806</v>
      </c>
      <c r="E1847" s="10">
        <v>33897298</v>
      </c>
      <c r="F1847" s="12">
        <v>3.2238000000000003E-2</v>
      </c>
    </row>
    <row r="1848" spans="1:6">
      <c r="A1848" s="10">
        <v>2017</v>
      </c>
      <c r="B1848" t="s">
        <v>445</v>
      </c>
      <c r="C1848" t="s">
        <v>1807</v>
      </c>
      <c r="D1848" t="s">
        <v>1807</v>
      </c>
      <c r="E1848" s="10">
        <v>17260909</v>
      </c>
      <c r="F1848" s="12">
        <v>1.6416E-2</v>
      </c>
    </row>
    <row r="1849" spans="1:6">
      <c r="A1849" s="10">
        <v>2017</v>
      </c>
      <c r="B1849" t="s">
        <v>796</v>
      </c>
      <c r="C1849" t="s">
        <v>741</v>
      </c>
      <c r="D1849" t="s">
        <v>741</v>
      </c>
      <c r="E1849" s="10">
        <v>109113</v>
      </c>
      <c r="F1849" s="12">
        <v>1.038E-4</v>
      </c>
    </row>
    <row r="1850" spans="1:6">
      <c r="A1850" s="10">
        <v>2017</v>
      </c>
      <c r="B1850" t="s">
        <v>797</v>
      </c>
      <c r="C1850" t="s">
        <v>1808</v>
      </c>
      <c r="D1850" t="s">
        <v>1808</v>
      </c>
      <c r="E1850" s="10">
        <v>343199</v>
      </c>
      <c r="F1850" s="12">
        <v>3.2640000000000002E-4</v>
      </c>
    </row>
    <row r="1851" spans="1:6">
      <c r="A1851" s="10">
        <v>2017</v>
      </c>
      <c r="B1851" t="s">
        <v>798</v>
      </c>
      <c r="C1851" t="s">
        <v>743</v>
      </c>
      <c r="D1851" t="s">
        <v>743</v>
      </c>
      <c r="E1851" s="10">
        <v>107963</v>
      </c>
      <c r="F1851" s="12">
        <v>1.027E-4</v>
      </c>
    </row>
    <row r="1852" spans="1:6">
      <c r="A1852" s="10">
        <v>2017</v>
      </c>
      <c r="B1852" t="s">
        <v>799</v>
      </c>
      <c r="C1852" t="s">
        <v>1809</v>
      </c>
      <c r="D1852" t="s">
        <v>1809</v>
      </c>
      <c r="E1852" s="10">
        <v>508558</v>
      </c>
      <c r="F1852" s="12">
        <v>4.8369999999999999E-4</v>
      </c>
    </row>
    <row r="1853" spans="1:6">
      <c r="A1853" s="10">
        <v>2017</v>
      </c>
      <c r="B1853" t="s">
        <v>1235</v>
      </c>
      <c r="C1853" t="s">
        <v>1810</v>
      </c>
      <c r="D1853" t="s">
        <v>1810</v>
      </c>
      <c r="E1853" s="10">
        <v>89457</v>
      </c>
      <c r="F1853" s="12">
        <v>8.5099999999999995E-5</v>
      </c>
    </row>
    <row r="1854" spans="1:6">
      <c r="A1854" s="10">
        <v>2017</v>
      </c>
      <c r="B1854" t="s">
        <v>800</v>
      </c>
      <c r="C1854" t="s">
        <v>745</v>
      </c>
      <c r="D1854" t="s">
        <v>745</v>
      </c>
      <c r="E1854" s="10">
        <v>67937</v>
      </c>
      <c r="F1854" s="12">
        <v>6.4599999999999998E-5</v>
      </c>
    </row>
    <row r="1855" spans="1:6">
      <c r="A1855" s="10">
        <v>2017</v>
      </c>
      <c r="B1855" t="s">
        <v>801</v>
      </c>
      <c r="C1855" t="s">
        <v>1811</v>
      </c>
      <c r="D1855" t="s">
        <v>1811</v>
      </c>
      <c r="E1855" s="10">
        <v>563871</v>
      </c>
      <c r="F1855" s="12">
        <v>5.3629999999999997E-4</v>
      </c>
    </row>
    <row r="1856" spans="1:6">
      <c r="A1856" s="10">
        <v>2017</v>
      </c>
      <c r="B1856" t="s">
        <v>802</v>
      </c>
      <c r="C1856" t="s">
        <v>1812</v>
      </c>
      <c r="D1856" t="s">
        <v>1812</v>
      </c>
      <c r="E1856" s="10">
        <v>35441</v>
      </c>
      <c r="F1856" s="12">
        <v>3.3699999999999999E-5</v>
      </c>
    </row>
    <row r="1857" spans="1:6">
      <c r="A1857" s="10">
        <v>2017</v>
      </c>
      <c r="B1857" t="s">
        <v>803</v>
      </c>
      <c r="C1857" t="s">
        <v>748</v>
      </c>
      <c r="D1857" t="s">
        <v>748</v>
      </c>
      <c r="E1857" s="10">
        <v>172312</v>
      </c>
      <c r="F1857" s="12">
        <v>1.639E-4</v>
      </c>
    </row>
    <row r="1858" spans="1:6">
      <c r="A1858" s="10">
        <v>2017</v>
      </c>
      <c r="B1858" t="s">
        <v>804</v>
      </c>
      <c r="C1858" t="s">
        <v>749</v>
      </c>
      <c r="D1858" t="s">
        <v>749</v>
      </c>
      <c r="E1858" s="10">
        <v>262428</v>
      </c>
      <c r="F1858" s="12">
        <v>2.496E-4</v>
      </c>
    </row>
    <row r="1859" spans="1:6">
      <c r="A1859" s="10">
        <v>2017</v>
      </c>
      <c r="B1859" t="s">
        <v>805</v>
      </c>
      <c r="C1859" t="s">
        <v>750</v>
      </c>
      <c r="D1859" t="s">
        <v>750</v>
      </c>
      <c r="E1859" s="10">
        <v>1394173</v>
      </c>
      <c r="F1859" s="12">
        <v>1.3259000000000001E-3</v>
      </c>
    </row>
    <row r="1860" spans="1:6">
      <c r="A1860" s="10">
        <v>2017</v>
      </c>
      <c r="B1860" t="s">
        <v>806</v>
      </c>
      <c r="C1860" t="s">
        <v>751</v>
      </c>
      <c r="D1860" t="s">
        <v>751</v>
      </c>
      <c r="E1860" s="10">
        <v>3727283</v>
      </c>
      <c r="F1860" s="12">
        <v>3.5447999999999999E-3</v>
      </c>
    </row>
    <row r="1861" spans="1:6">
      <c r="A1861" s="10">
        <v>2017</v>
      </c>
      <c r="B1861" t="s">
        <v>807</v>
      </c>
      <c r="C1861" t="s">
        <v>752</v>
      </c>
      <c r="D1861" t="s">
        <v>752</v>
      </c>
      <c r="E1861" s="10">
        <v>73983</v>
      </c>
      <c r="F1861" s="12">
        <v>7.0400000000000004E-5</v>
      </c>
    </row>
    <row r="1862" spans="1:6">
      <c r="A1862" s="10">
        <v>2017</v>
      </c>
      <c r="B1862" t="s">
        <v>808</v>
      </c>
      <c r="C1862" t="s">
        <v>2430</v>
      </c>
      <c r="D1862" t="s">
        <v>1813</v>
      </c>
      <c r="E1862" s="10">
        <v>150326</v>
      </c>
      <c r="F1862" s="12">
        <v>1.4300000000000001E-4</v>
      </c>
    </row>
    <row r="1863" spans="1:6">
      <c r="A1863" s="10">
        <v>2017</v>
      </c>
      <c r="B1863" t="s">
        <v>809</v>
      </c>
      <c r="C1863" t="s">
        <v>1814</v>
      </c>
      <c r="D1863" t="s">
        <v>1814</v>
      </c>
      <c r="E1863" s="10">
        <v>579189</v>
      </c>
      <c r="F1863" s="12">
        <v>5.5080000000000005E-4</v>
      </c>
    </row>
    <row r="1864" spans="1:6">
      <c r="A1864" s="10">
        <v>2017</v>
      </c>
      <c r="B1864" t="s">
        <v>1470</v>
      </c>
      <c r="C1864" t="s">
        <v>1815</v>
      </c>
      <c r="D1864" t="s">
        <v>1815</v>
      </c>
      <c r="E1864" s="10">
        <v>12672</v>
      </c>
      <c r="F1864" s="12">
        <v>1.2099999999999999E-5</v>
      </c>
    </row>
    <row r="1865" spans="1:6">
      <c r="A1865" s="10">
        <v>2017</v>
      </c>
      <c r="B1865" t="s">
        <v>810</v>
      </c>
      <c r="C1865" t="s">
        <v>1816</v>
      </c>
      <c r="D1865" t="s">
        <v>1816</v>
      </c>
      <c r="E1865" s="10">
        <v>89535</v>
      </c>
      <c r="F1865" s="12">
        <v>8.5199999999999997E-5</v>
      </c>
    </row>
    <row r="1866" spans="1:6">
      <c r="A1866" s="10">
        <v>2017</v>
      </c>
      <c r="B1866" t="s">
        <v>811</v>
      </c>
      <c r="C1866" t="s">
        <v>1817</v>
      </c>
      <c r="D1866" t="s">
        <v>1817</v>
      </c>
      <c r="E1866" s="10"/>
      <c r="F1866" s="12">
        <v>0</v>
      </c>
    </row>
    <row r="1867" spans="1:6">
      <c r="A1867" s="10">
        <v>2017</v>
      </c>
      <c r="B1867" t="s">
        <v>812</v>
      </c>
      <c r="C1867" t="s">
        <v>1818</v>
      </c>
      <c r="D1867" t="s">
        <v>1818</v>
      </c>
      <c r="E1867" s="10">
        <v>805119</v>
      </c>
      <c r="F1867" s="12">
        <v>7.6570000000000002E-4</v>
      </c>
    </row>
    <row r="1868" spans="1:6">
      <c r="A1868" s="10">
        <v>2017</v>
      </c>
      <c r="B1868" t="s">
        <v>813</v>
      </c>
      <c r="C1868" t="s">
        <v>1819</v>
      </c>
      <c r="D1868" t="s">
        <v>1819</v>
      </c>
      <c r="E1868" s="10">
        <v>87527</v>
      </c>
      <c r="F1868" s="12">
        <v>8.3200000000000003E-5</v>
      </c>
    </row>
    <row r="1869" spans="1:6">
      <c r="A1869" s="10">
        <v>2017</v>
      </c>
      <c r="B1869" t="s">
        <v>814</v>
      </c>
      <c r="C1869" t="s">
        <v>1820</v>
      </c>
      <c r="D1869" t="s">
        <v>1820</v>
      </c>
      <c r="E1869" s="10">
        <v>60635</v>
      </c>
      <c r="F1869" s="12">
        <v>5.77E-5</v>
      </c>
    </row>
    <row r="1870" spans="1:6">
      <c r="A1870" s="10">
        <v>2017</v>
      </c>
      <c r="B1870" t="s">
        <v>815</v>
      </c>
      <c r="C1870" t="s">
        <v>760</v>
      </c>
      <c r="D1870" t="s">
        <v>760</v>
      </c>
      <c r="E1870" s="10">
        <v>20250</v>
      </c>
      <c r="F1870" s="12">
        <v>1.9300000000000002E-5</v>
      </c>
    </row>
    <row r="1871" spans="1:6">
      <c r="A1871" s="10">
        <v>2017</v>
      </c>
      <c r="B1871" t="s">
        <v>816</v>
      </c>
      <c r="C1871" t="s">
        <v>761</v>
      </c>
      <c r="D1871" t="s">
        <v>761</v>
      </c>
      <c r="E1871" s="10">
        <v>54055</v>
      </c>
      <c r="F1871" s="12">
        <v>5.1400000000000003E-5</v>
      </c>
    </row>
    <row r="1872" spans="1:6">
      <c r="A1872" s="10">
        <v>2017</v>
      </c>
      <c r="B1872" t="s">
        <v>817</v>
      </c>
      <c r="C1872" t="s">
        <v>762</v>
      </c>
      <c r="D1872" t="s">
        <v>762</v>
      </c>
      <c r="E1872" s="10">
        <v>72041</v>
      </c>
      <c r="F1872" s="12">
        <v>6.8499999999999998E-5</v>
      </c>
    </row>
    <row r="1873" spans="1:6">
      <c r="A1873" s="10">
        <v>2017</v>
      </c>
      <c r="B1873" t="s">
        <v>818</v>
      </c>
      <c r="C1873" t="s">
        <v>2445</v>
      </c>
      <c r="D1873" t="s">
        <v>1821</v>
      </c>
      <c r="E1873" s="10">
        <v>23030</v>
      </c>
      <c r="F1873" s="12">
        <v>2.19E-5</v>
      </c>
    </row>
    <row r="1874" spans="1:6">
      <c r="A1874" s="10">
        <v>2017</v>
      </c>
      <c r="B1874" t="s">
        <v>820</v>
      </c>
      <c r="C1874" t="s">
        <v>1822</v>
      </c>
      <c r="D1874" t="s">
        <v>1822</v>
      </c>
      <c r="E1874" s="10">
        <v>975428</v>
      </c>
      <c r="F1874" s="12">
        <v>9.2770000000000005E-4</v>
      </c>
    </row>
    <row r="1875" spans="1:6">
      <c r="A1875" s="10">
        <v>2017</v>
      </c>
      <c r="B1875" t="s">
        <v>822</v>
      </c>
      <c r="C1875" t="s">
        <v>2406</v>
      </c>
      <c r="D1875" t="s">
        <v>1823</v>
      </c>
      <c r="E1875" s="10">
        <v>128356</v>
      </c>
      <c r="F1875" s="12">
        <v>1.2210000000000001E-4</v>
      </c>
    </row>
    <row r="1876" spans="1:6">
      <c r="A1876" s="10">
        <v>2017</v>
      </c>
      <c r="B1876" t="s">
        <v>880</v>
      </c>
      <c r="C1876" t="s">
        <v>2407</v>
      </c>
      <c r="D1876" t="s">
        <v>1824</v>
      </c>
      <c r="E1876" s="10">
        <v>551979</v>
      </c>
      <c r="F1876" s="12">
        <v>5.2499999999999997E-4</v>
      </c>
    </row>
    <row r="1877" spans="1:6">
      <c r="A1877" s="10">
        <v>2017</v>
      </c>
      <c r="B1877" t="s">
        <v>884</v>
      </c>
      <c r="C1877" t="s">
        <v>829</v>
      </c>
      <c r="D1877" t="s">
        <v>829</v>
      </c>
      <c r="E1877" s="10">
        <v>1969320</v>
      </c>
      <c r="F1877" s="12">
        <v>1.8729E-3</v>
      </c>
    </row>
    <row r="1878" spans="1:6">
      <c r="A1878" s="10">
        <v>2017</v>
      </c>
      <c r="B1878" t="s">
        <v>881</v>
      </c>
      <c r="C1878" t="s">
        <v>1825</v>
      </c>
      <c r="D1878" t="s">
        <v>1825</v>
      </c>
      <c r="E1878" s="10">
        <v>33085</v>
      </c>
      <c r="F1878" s="12">
        <v>3.15E-5</v>
      </c>
    </row>
    <row r="1879" spans="1:6">
      <c r="A1879" s="10">
        <v>2017</v>
      </c>
      <c r="B1879" t="s">
        <v>883</v>
      </c>
      <c r="C1879" t="s">
        <v>2418</v>
      </c>
      <c r="D1879" t="s">
        <v>1826</v>
      </c>
      <c r="E1879" s="10"/>
      <c r="F1879" s="12">
        <v>0</v>
      </c>
    </row>
    <row r="1880" spans="1:6">
      <c r="A1880" s="10">
        <v>2017</v>
      </c>
      <c r="B1880" t="s">
        <v>882</v>
      </c>
      <c r="C1880" t="s">
        <v>1827</v>
      </c>
      <c r="D1880" t="s">
        <v>1827</v>
      </c>
      <c r="E1880" s="10"/>
      <c r="F1880" s="12">
        <v>0</v>
      </c>
    </row>
    <row r="1881" spans="1:6">
      <c r="A1881" s="10">
        <v>2017</v>
      </c>
      <c r="B1881" t="s">
        <v>885</v>
      </c>
      <c r="C1881" t="s">
        <v>1828</v>
      </c>
      <c r="D1881" t="s">
        <v>1828</v>
      </c>
      <c r="E1881" s="10">
        <v>128795</v>
      </c>
      <c r="F1881" s="12">
        <v>1.225E-4</v>
      </c>
    </row>
    <row r="1882" spans="1:6">
      <c r="A1882" s="10">
        <v>2017</v>
      </c>
      <c r="B1882" t="s">
        <v>886</v>
      </c>
      <c r="C1882" t="s">
        <v>1829</v>
      </c>
      <c r="D1882" t="s">
        <v>1829</v>
      </c>
      <c r="E1882" s="10">
        <v>48216</v>
      </c>
      <c r="F1882" s="12">
        <v>4.5899999999999998E-5</v>
      </c>
    </row>
    <row r="1883" spans="1:6">
      <c r="A1883" s="10">
        <v>2017</v>
      </c>
      <c r="B1883" t="s">
        <v>887</v>
      </c>
      <c r="C1883" t="s">
        <v>1830</v>
      </c>
      <c r="D1883" t="s">
        <v>1830</v>
      </c>
      <c r="E1883" s="10">
        <v>55850</v>
      </c>
      <c r="F1883" s="12">
        <v>5.3100000000000003E-5</v>
      </c>
    </row>
    <row r="1884" spans="1:6">
      <c r="A1884" s="10">
        <v>2017</v>
      </c>
      <c r="B1884" t="s">
        <v>888</v>
      </c>
      <c r="C1884" t="s">
        <v>1831</v>
      </c>
      <c r="D1884" t="s">
        <v>1831</v>
      </c>
      <c r="E1884" s="10">
        <v>20078</v>
      </c>
      <c r="F1884" s="12">
        <v>1.91E-5</v>
      </c>
    </row>
    <row r="1885" spans="1:6">
      <c r="A1885" s="10">
        <v>2017</v>
      </c>
      <c r="B1885" t="s">
        <v>889</v>
      </c>
      <c r="C1885" t="s">
        <v>834</v>
      </c>
      <c r="D1885" t="s">
        <v>834</v>
      </c>
      <c r="E1885" s="10"/>
      <c r="F1885" s="12">
        <v>0</v>
      </c>
    </row>
    <row r="1886" spans="1:6">
      <c r="A1886" s="10">
        <v>2017</v>
      </c>
      <c r="B1886" t="s">
        <v>890</v>
      </c>
      <c r="C1886" t="s">
        <v>1832</v>
      </c>
      <c r="D1886" t="s">
        <v>1832</v>
      </c>
      <c r="E1886" s="10">
        <v>2420507</v>
      </c>
      <c r="F1886" s="12">
        <v>2.3019999999999998E-3</v>
      </c>
    </row>
    <row r="1887" spans="1:6">
      <c r="A1887" s="10">
        <v>2017</v>
      </c>
      <c r="B1887" t="s">
        <v>446</v>
      </c>
      <c r="C1887" t="s">
        <v>1833</v>
      </c>
      <c r="D1887" t="s">
        <v>1833</v>
      </c>
      <c r="E1887" s="10">
        <v>702430</v>
      </c>
      <c r="F1887" s="12">
        <v>6.6799999999999997E-4</v>
      </c>
    </row>
    <row r="1888" spans="1:6">
      <c r="A1888" s="10">
        <v>2017</v>
      </c>
      <c r="B1888" t="s">
        <v>821</v>
      </c>
      <c r="C1888" t="s">
        <v>1834</v>
      </c>
      <c r="D1888" t="s">
        <v>1834</v>
      </c>
      <c r="E1888" s="10">
        <v>50878</v>
      </c>
      <c r="F1888" s="12">
        <v>4.8399999999999997E-5</v>
      </c>
    </row>
    <row r="1889" spans="1:6">
      <c r="A1889" s="10">
        <v>2017</v>
      </c>
      <c r="B1889" t="s">
        <v>891</v>
      </c>
      <c r="C1889" t="s">
        <v>1835</v>
      </c>
      <c r="D1889" t="s">
        <v>1835</v>
      </c>
      <c r="E1889" s="10">
        <v>38044</v>
      </c>
      <c r="F1889" s="12">
        <v>3.6199999999999999E-5</v>
      </c>
    </row>
    <row r="1890" spans="1:6">
      <c r="A1890" s="10">
        <v>2017</v>
      </c>
      <c r="B1890" t="s">
        <v>892</v>
      </c>
      <c r="C1890" t="s">
        <v>1836</v>
      </c>
      <c r="D1890" t="s">
        <v>1836</v>
      </c>
      <c r="E1890" s="10">
        <v>102491</v>
      </c>
      <c r="F1890" s="12">
        <v>9.7499999999999998E-5</v>
      </c>
    </row>
    <row r="1891" spans="1:6">
      <c r="A1891" s="10">
        <v>2017</v>
      </c>
      <c r="B1891" t="s">
        <v>896</v>
      </c>
      <c r="C1891" t="s">
        <v>1837</v>
      </c>
      <c r="D1891" t="s">
        <v>1837</v>
      </c>
      <c r="E1891" s="10">
        <v>47339</v>
      </c>
      <c r="F1891" s="12">
        <v>4.5000000000000003E-5</v>
      </c>
    </row>
    <row r="1892" spans="1:6">
      <c r="A1892" s="10">
        <v>2017</v>
      </c>
      <c r="B1892" t="s">
        <v>893</v>
      </c>
      <c r="C1892" t="s">
        <v>2432</v>
      </c>
      <c r="D1892" t="s">
        <v>1838</v>
      </c>
      <c r="E1892" s="10">
        <v>3631</v>
      </c>
      <c r="F1892" s="12">
        <v>3.4999999999999999E-6</v>
      </c>
    </row>
    <row r="1893" spans="1:6">
      <c r="A1893" s="10">
        <v>2017</v>
      </c>
      <c r="B1893" t="s">
        <v>824</v>
      </c>
      <c r="C1893" t="s">
        <v>1839</v>
      </c>
      <c r="D1893" t="s">
        <v>1839</v>
      </c>
      <c r="E1893" s="10">
        <v>344364</v>
      </c>
      <c r="F1893" s="12">
        <v>3.2749999999999999E-4</v>
      </c>
    </row>
    <row r="1894" spans="1:6">
      <c r="A1894" s="10">
        <v>2017</v>
      </c>
      <c r="B1894" t="s">
        <v>823</v>
      </c>
      <c r="C1894" t="s">
        <v>1840</v>
      </c>
      <c r="D1894" t="s">
        <v>1840</v>
      </c>
      <c r="E1894" s="10">
        <v>818648</v>
      </c>
      <c r="F1894" s="12">
        <v>7.7859999999999995E-4</v>
      </c>
    </row>
    <row r="1895" spans="1:6">
      <c r="A1895" s="10">
        <v>2017</v>
      </c>
      <c r="B1895" t="s">
        <v>897</v>
      </c>
      <c r="C1895" t="s">
        <v>1841</v>
      </c>
      <c r="D1895" t="s">
        <v>1841</v>
      </c>
      <c r="E1895" s="10">
        <v>434795</v>
      </c>
      <c r="F1895" s="12">
        <v>4.1350000000000002E-4</v>
      </c>
    </row>
    <row r="1896" spans="1:6">
      <c r="A1896" s="10">
        <v>2017</v>
      </c>
      <c r="B1896" t="s">
        <v>894</v>
      </c>
      <c r="C1896" t="s">
        <v>839</v>
      </c>
      <c r="D1896" t="s">
        <v>839</v>
      </c>
      <c r="E1896" s="10">
        <v>11987682</v>
      </c>
      <c r="F1896" s="12">
        <v>1.14009E-2</v>
      </c>
    </row>
    <row r="1897" spans="1:6">
      <c r="A1897" s="10">
        <v>2017</v>
      </c>
      <c r="B1897" t="s">
        <v>895</v>
      </c>
      <c r="C1897" t="s">
        <v>1842</v>
      </c>
      <c r="D1897" t="s">
        <v>1842</v>
      </c>
      <c r="E1897" s="10">
        <v>33266</v>
      </c>
      <c r="F1897" s="12">
        <v>3.1600000000000002E-5</v>
      </c>
    </row>
    <row r="1898" spans="1:6">
      <c r="A1898" s="10">
        <v>2017</v>
      </c>
      <c r="B1898" t="s">
        <v>898</v>
      </c>
      <c r="C1898" t="s">
        <v>843</v>
      </c>
      <c r="D1898" t="s">
        <v>843</v>
      </c>
      <c r="E1898" s="10">
        <v>1291580</v>
      </c>
      <c r="F1898" s="12">
        <v>1.2283999999999999E-3</v>
      </c>
    </row>
    <row r="1899" spans="1:6">
      <c r="A1899" s="10">
        <v>2017</v>
      </c>
      <c r="B1899" t="s">
        <v>899</v>
      </c>
      <c r="C1899" t="s">
        <v>844</v>
      </c>
      <c r="D1899" t="s">
        <v>844</v>
      </c>
      <c r="E1899" s="10">
        <v>311493</v>
      </c>
      <c r="F1899" s="12">
        <v>2.9619999999999999E-4</v>
      </c>
    </row>
    <row r="1900" spans="1:6">
      <c r="A1900" s="10">
        <v>2017</v>
      </c>
      <c r="B1900" t="s">
        <v>900</v>
      </c>
      <c r="C1900" t="s">
        <v>845</v>
      </c>
      <c r="D1900" t="s">
        <v>845</v>
      </c>
      <c r="E1900" s="10">
        <v>247527</v>
      </c>
      <c r="F1900" s="12">
        <v>2.354E-4</v>
      </c>
    </row>
    <row r="1901" spans="1:6">
      <c r="A1901" s="10">
        <v>2017</v>
      </c>
      <c r="B1901" t="s">
        <v>901</v>
      </c>
      <c r="C1901" t="s">
        <v>846</v>
      </c>
      <c r="D1901" t="s">
        <v>846</v>
      </c>
      <c r="E1901" s="10">
        <v>81969</v>
      </c>
      <c r="F1901" s="12">
        <v>7.7999999999999999E-5</v>
      </c>
    </row>
    <row r="1902" spans="1:6">
      <c r="A1902" s="10">
        <v>2017</v>
      </c>
      <c r="B1902" t="s">
        <v>902</v>
      </c>
      <c r="C1902" t="s">
        <v>1843</v>
      </c>
      <c r="D1902" t="s">
        <v>1843</v>
      </c>
      <c r="E1902" s="10">
        <v>288421</v>
      </c>
      <c r="F1902" s="12">
        <v>2.743E-4</v>
      </c>
    </row>
    <row r="1903" spans="1:6">
      <c r="A1903" s="10">
        <v>2017</v>
      </c>
      <c r="B1903" t="s">
        <v>1236</v>
      </c>
      <c r="C1903" t="s">
        <v>1844</v>
      </c>
      <c r="D1903" t="s">
        <v>1844</v>
      </c>
      <c r="E1903" s="10">
        <v>1313050</v>
      </c>
      <c r="F1903" s="12">
        <v>1.2488E-3</v>
      </c>
    </row>
    <row r="1904" spans="1:6">
      <c r="A1904" s="10">
        <v>2017</v>
      </c>
      <c r="B1904" t="s">
        <v>903</v>
      </c>
      <c r="C1904" t="s">
        <v>1845</v>
      </c>
      <c r="D1904" t="s">
        <v>1845</v>
      </c>
      <c r="E1904" s="10">
        <v>1610516</v>
      </c>
      <c r="F1904" s="12">
        <v>1.5317E-3</v>
      </c>
    </row>
    <row r="1905" spans="1:6">
      <c r="A1905" s="10">
        <v>2017</v>
      </c>
      <c r="B1905" t="s">
        <v>904</v>
      </c>
      <c r="C1905" t="s">
        <v>1846</v>
      </c>
      <c r="D1905" t="s">
        <v>1846</v>
      </c>
      <c r="E1905" s="10">
        <v>17884</v>
      </c>
      <c r="F1905" s="12">
        <v>1.7E-5</v>
      </c>
    </row>
    <row r="1906" spans="1:6">
      <c r="A1906" s="10">
        <v>2017</v>
      </c>
      <c r="B1906" t="s">
        <v>905</v>
      </c>
      <c r="C1906" t="s">
        <v>1847</v>
      </c>
      <c r="D1906" t="s">
        <v>1847</v>
      </c>
      <c r="E1906" s="10">
        <v>35375</v>
      </c>
      <c r="F1906" s="12">
        <v>3.3599999999999997E-5</v>
      </c>
    </row>
    <row r="1907" spans="1:6">
      <c r="A1907" s="10">
        <v>2017</v>
      </c>
      <c r="B1907" t="s">
        <v>906</v>
      </c>
      <c r="C1907" t="s">
        <v>1848</v>
      </c>
      <c r="D1907" t="s">
        <v>1848</v>
      </c>
      <c r="E1907" s="10">
        <v>1608628</v>
      </c>
      <c r="F1907" s="12">
        <v>1.5299000000000001E-3</v>
      </c>
    </row>
    <row r="1908" spans="1:6">
      <c r="A1908" s="10">
        <v>2017</v>
      </c>
      <c r="B1908" t="s">
        <v>447</v>
      </c>
      <c r="C1908" t="s">
        <v>1849</v>
      </c>
      <c r="D1908" t="s">
        <v>1849</v>
      </c>
      <c r="E1908" s="10">
        <v>519238</v>
      </c>
      <c r="F1908" s="12">
        <v>4.9379999999999997E-4</v>
      </c>
    </row>
    <row r="1909" spans="1:6">
      <c r="A1909" s="10">
        <v>2017</v>
      </c>
      <c r="B1909" t="s">
        <v>1034</v>
      </c>
      <c r="C1909" t="s">
        <v>1850</v>
      </c>
      <c r="D1909" t="s">
        <v>1850</v>
      </c>
      <c r="E1909" s="10">
        <v>197546</v>
      </c>
      <c r="F1909" s="12">
        <v>1.8789999999999999E-4</v>
      </c>
    </row>
    <row r="1910" spans="1:6">
      <c r="A1910" s="10">
        <v>2017</v>
      </c>
      <c r="B1910" t="s">
        <v>908</v>
      </c>
      <c r="C1910" t="s">
        <v>1851</v>
      </c>
      <c r="D1910" t="s">
        <v>1851</v>
      </c>
      <c r="E1910" s="10">
        <v>249485</v>
      </c>
      <c r="F1910" s="12">
        <v>2.3729999999999999E-4</v>
      </c>
    </row>
    <row r="1911" spans="1:6">
      <c r="A1911" s="10">
        <v>2017</v>
      </c>
      <c r="B1911" t="s">
        <v>909</v>
      </c>
      <c r="C1911" t="s">
        <v>1852</v>
      </c>
      <c r="D1911" t="s">
        <v>1852</v>
      </c>
      <c r="E1911" s="10">
        <v>86234</v>
      </c>
      <c r="F1911" s="12">
        <v>8.2000000000000001E-5</v>
      </c>
    </row>
    <row r="1912" spans="1:6">
      <c r="A1912" s="10">
        <v>2017</v>
      </c>
      <c r="B1912" t="s">
        <v>910</v>
      </c>
      <c r="C1912" t="s">
        <v>1853</v>
      </c>
      <c r="D1912" t="s">
        <v>1853</v>
      </c>
      <c r="E1912" s="10">
        <v>499403</v>
      </c>
      <c r="F1912" s="12">
        <v>4.75E-4</v>
      </c>
    </row>
    <row r="1913" spans="1:6">
      <c r="A1913" s="10">
        <v>2017</v>
      </c>
      <c r="B1913" t="s">
        <v>912</v>
      </c>
      <c r="C1913" t="s">
        <v>1854</v>
      </c>
      <c r="D1913" t="s">
        <v>1854</v>
      </c>
      <c r="E1913" s="10">
        <v>788149</v>
      </c>
      <c r="F1913" s="12">
        <v>7.4960000000000001E-4</v>
      </c>
    </row>
    <row r="1914" spans="1:6">
      <c r="A1914" s="10">
        <v>2017</v>
      </c>
      <c r="B1914" t="s">
        <v>911</v>
      </c>
      <c r="C1914" t="s">
        <v>1855</v>
      </c>
      <c r="D1914" t="s">
        <v>1855</v>
      </c>
      <c r="E1914" s="10">
        <v>16220132</v>
      </c>
      <c r="F1914" s="12">
        <v>1.5426199999999999E-2</v>
      </c>
    </row>
    <row r="1915" spans="1:6">
      <c r="A1915" s="10">
        <v>2017</v>
      </c>
      <c r="B1915" t="s">
        <v>1237</v>
      </c>
      <c r="C1915" t="s">
        <v>1856</v>
      </c>
      <c r="D1915" t="s">
        <v>1856</v>
      </c>
      <c r="E1915" s="10">
        <v>436345</v>
      </c>
      <c r="F1915" s="12">
        <v>4.15E-4</v>
      </c>
    </row>
    <row r="1916" spans="1:6">
      <c r="A1916" s="10">
        <v>2017</v>
      </c>
      <c r="B1916" t="s">
        <v>1474</v>
      </c>
      <c r="C1916" t="s">
        <v>1473</v>
      </c>
      <c r="D1916" t="s">
        <v>1473</v>
      </c>
      <c r="E1916" s="10">
        <v>10870</v>
      </c>
      <c r="F1916" s="12">
        <v>1.03E-5</v>
      </c>
    </row>
    <row r="1917" spans="1:6">
      <c r="A1917" s="10">
        <v>2017</v>
      </c>
      <c r="B1917" t="s">
        <v>913</v>
      </c>
      <c r="C1917" t="s">
        <v>1857</v>
      </c>
      <c r="D1917" t="s">
        <v>1857</v>
      </c>
      <c r="E1917" s="10">
        <v>108673</v>
      </c>
      <c r="F1917" s="12">
        <v>1.0340000000000001E-4</v>
      </c>
    </row>
    <row r="1918" spans="1:6">
      <c r="A1918" s="10">
        <v>2017</v>
      </c>
      <c r="B1918" t="s">
        <v>914</v>
      </c>
      <c r="C1918" t="s">
        <v>1858</v>
      </c>
      <c r="D1918" t="s">
        <v>1858</v>
      </c>
      <c r="E1918" s="10">
        <v>31114</v>
      </c>
      <c r="F1918" s="12">
        <v>2.9600000000000001E-5</v>
      </c>
    </row>
    <row r="1919" spans="1:6">
      <c r="A1919" s="10">
        <v>2017</v>
      </c>
      <c r="B1919" t="s">
        <v>915</v>
      </c>
      <c r="C1919" t="s">
        <v>1859</v>
      </c>
      <c r="D1919" t="s">
        <v>1859</v>
      </c>
      <c r="E1919" s="10">
        <v>1061631</v>
      </c>
      <c r="F1919" s="12">
        <v>1.0097000000000001E-3</v>
      </c>
    </row>
    <row r="1920" spans="1:6">
      <c r="A1920" s="10">
        <v>2017</v>
      </c>
      <c r="B1920" t="s">
        <v>1238</v>
      </c>
      <c r="C1920" t="s">
        <v>1860</v>
      </c>
      <c r="D1920" t="s">
        <v>1860</v>
      </c>
      <c r="E1920" s="10">
        <v>125869</v>
      </c>
      <c r="F1920" s="12">
        <v>1.197E-4</v>
      </c>
    </row>
    <row r="1921" spans="1:6">
      <c r="A1921" s="10">
        <v>2017</v>
      </c>
      <c r="B1921" t="s">
        <v>917</v>
      </c>
      <c r="C1921" t="s">
        <v>1861</v>
      </c>
      <c r="D1921" t="s">
        <v>1861</v>
      </c>
      <c r="E1921" s="10">
        <v>70139</v>
      </c>
      <c r="F1921" s="12">
        <v>6.6699999999999995E-5</v>
      </c>
    </row>
    <row r="1922" spans="1:6">
      <c r="A1922" s="10">
        <v>2017</v>
      </c>
      <c r="B1922" t="s">
        <v>918</v>
      </c>
      <c r="C1922" t="s">
        <v>863</v>
      </c>
      <c r="D1922" t="s">
        <v>863</v>
      </c>
      <c r="E1922" s="10">
        <v>15106</v>
      </c>
      <c r="F1922" s="12">
        <v>1.4399999999999999E-5</v>
      </c>
    </row>
    <row r="1923" spans="1:6">
      <c r="A1923" s="10">
        <v>2017</v>
      </c>
      <c r="B1923" t="s">
        <v>919</v>
      </c>
      <c r="C1923" t="s">
        <v>1862</v>
      </c>
      <c r="D1923" t="s">
        <v>1862</v>
      </c>
      <c r="E1923" s="10">
        <v>102452</v>
      </c>
      <c r="F1923" s="12">
        <v>9.7399999999999996E-5</v>
      </c>
    </row>
    <row r="1924" spans="1:6">
      <c r="A1924" s="10">
        <v>2017</v>
      </c>
      <c r="B1924" t="s">
        <v>1239</v>
      </c>
      <c r="C1924" t="s">
        <v>1863</v>
      </c>
      <c r="D1924" t="s">
        <v>1863</v>
      </c>
      <c r="E1924" s="10">
        <v>33896</v>
      </c>
      <c r="F1924" s="12">
        <v>3.2199999999999997E-5</v>
      </c>
    </row>
    <row r="1925" spans="1:6">
      <c r="A1925" s="10">
        <v>2017</v>
      </c>
      <c r="B1925" t="s">
        <v>1030</v>
      </c>
      <c r="C1925" t="s">
        <v>1864</v>
      </c>
      <c r="D1925" t="s">
        <v>1864</v>
      </c>
      <c r="E1925" s="10">
        <v>53846</v>
      </c>
      <c r="F1925" s="12">
        <v>5.1199999999999998E-5</v>
      </c>
    </row>
    <row r="1926" spans="1:6">
      <c r="A1926" s="10">
        <v>2017</v>
      </c>
      <c r="B1926" t="s">
        <v>921</v>
      </c>
      <c r="C1926" t="s">
        <v>1865</v>
      </c>
      <c r="D1926" t="s">
        <v>1865</v>
      </c>
      <c r="E1926" s="10">
        <v>1083160</v>
      </c>
      <c r="F1926" s="12">
        <v>1.0300999999999999E-3</v>
      </c>
    </row>
    <row r="1927" spans="1:6">
      <c r="A1927" s="10">
        <v>2017</v>
      </c>
      <c r="B1927" t="s">
        <v>1240</v>
      </c>
      <c r="C1927" t="s">
        <v>1866</v>
      </c>
      <c r="D1927" t="s">
        <v>1866</v>
      </c>
      <c r="E1927" s="10">
        <v>578065</v>
      </c>
      <c r="F1927" s="12">
        <v>5.4980000000000003E-4</v>
      </c>
    </row>
    <row r="1928" spans="1:6">
      <c r="A1928" s="10">
        <v>2017</v>
      </c>
      <c r="B1928" t="s">
        <v>922</v>
      </c>
      <c r="C1928" t="s">
        <v>1867</v>
      </c>
      <c r="D1928" t="s">
        <v>1867</v>
      </c>
      <c r="E1928" s="10">
        <v>98861</v>
      </c>
      <c r="F1928" s="12">
        <v>9.3999999999999994E-5</v>
      </c>
    </row>
    <row r="1929" spans="1:6">
      <c r="A1929" s="10">
        <v>2017</v>
      </c>
      <c r="B1929" t="s">
        <v>923</v>
      </c>
      <c r="C1929" t="s">
        <v>868</v>
      </c>
      <c r="D1929" t="s">
        <v>868</v>
      </c>
      <c r="E1929" s="10">
        <v>69067</v>
      </c>
      <c r="F1929" s="12">
        <v>6.5699999999999998E-5</v>
      </c>
    </row>
    <row r="1930" spans="1:6">
      <c r="A1930" s="10">
        <v>2017</v>
      </c>
      <c r="B1930" t="s">
        <v>924</v>
      </c>
      <c r="C1930" t="s">
        <v>1868</v>
      </c>
      <c r="D1930" t="s">
        <v>1868</v>
      </c>
      <c r="E1930" s="10">
        <v>84179</v>
      </c>
      <c r="F1930" s="12">
        <v>8.0099999999999995E-5</v>
      </c>
    </row>
    <row r="1931" spans="1:6">
      <c r="A1931" s="10">
        <v>2017</v>
      </c>
      <c r="B1931" t="s">
        <v>925</v>
      </c>
      <c r="C1931" t="s">
        <v>1869</v>
      </c>
      <c r="D1931" t="s">
        <v>1869</v>
      </c>
      <c r="E1931" s="10">
        <v>4319812</v>
      </c>
      <c r="F1931" s="12">
        <v>4.1083999999999999E-3</v>
      </c>
    </row>
    <row r="1932" spans="1:6">
      <c r="A1932" s="10">
        <v>2017</v>
      </c>
      <c r="B1932" t="s">
        <v>926</v>
      </c>
      <c r="C1932" t="s">
        <v>1870</v>
      </c>
      <c r="D1932" t="s">
        <v>1870</v>
      </c>
      <c r="E1932" s="10">
        <v>17148629</v>
      </c>
      <c r="F1932" s="12">
        <v>1.6309199999999999E-2</v>
      </c>
    </row>
    <row r="1933" spans="1:6">
      <c r="A1933" s="10">
        <v>2017</v>
      </c>
      <c r="B1933" t="s">
        <v>448</v>
      </c>
      <c r="C1933" t="s">
        <v>1871</v>
      </c>
      <c r="D1933" t="s">
        <v>1871</v>
      </c>
      <c r="E1933" s="10">
        <v>6008703</v>
      </c>
      <c r="F1933" s="12">
        <v>5.7146000000000002E-3</v>
      </c>
    </row>
    <row r="1934" spans="1:6">
      <c r="A1934" s="10">
        <v>2017</v>
      </c>
      <c r="B1934" t="s">
        <v>927</v>
      </c>
      <c r="C1934" t="s">
        <v>1872</v>
      </c>
      <c r="D1934" t="s">
        <v>1872</v>
      </c>
      <c r="E1934" s="10">
        <v>4477256</v>
      </c>
      <c r="F1934" s="12">
        <v>4.2580999999999999E-3</v>
      </c>
    </row>
    <row r="1935" spans="1:6">
      <c r="A1935" s="10">
        <v>2017</v>
      </c>
      <c r="B1935" t="s">
        <v>930</v>
      </c>
      <c r="C1935" t="s">
        <v>1873</v>
      </c>
      <c r="D1935" t="s">
        <v>1873</v>
      </c>
      <c r="E1935" s="10">
        <v>59124</v>
      </c>
      <c r="F1935" s="12">
        <v>5.6199999999999997E-5</v>
      </c>
    </row>
    <row r="1936" spans="1:6">
      <c r="A1936" s="10">
        <v>2017</v>
      </c>
      <c r="B1936" t="s">
        <v>929</v>
      </c>
      <c r="C1936" t="s">
        <v>1874</v>
      </c>
      <c r="D1936" t="s">
        <v>1874</v>
      </c>
      <c r="E1936" s="10">
        <v>18318765</v>
      </c>
      <c r="F1936" s="12">
        <v>1.7422099999999999E-2</v>
      </c>
    </row>
    <row r="1937" spans="1:6">
      <c r="A1937" s="10">
        <v>2017</v>
      </c>
      <c r="B1937" t="s">
        <v>928</v>
      </c>
      <c r="C1937" t="s">
        <v>1875</v>
      </c>
      <c r="D1937" t="s">
        <v>1875</v>
      </c>
      <c r="E1937" s="10">
        <v>607856</v>
      </c>
      <c r="F1937" s="12">
        <v>5.7810000000000001E-4</v>
      </c>
    </row>
    <row r="1938" spans="1:6">
      <c r="A1938" s="10">
        <v>2017</v>
      </c>
      <c r="B1938" t="s">
        <v>931</v>
      </c>
      <c r="C1938" t="s">
        <v>1876</v>
      </c>
      <c r="D1938" t="s">
        <v>1876</v>
      </c>
      <c r="E1938" s="10">
        <v>97332</v>
      </c>
      <c r="F1938" s="12">
        <v>9.2600000000000001E-5</v>
      </c>
    </row>
    <row r="1939" spans="1:6">
      <c r="A1939" s="10">
        <v>2017</v>
      </c>
      <c r="B1939" t="s">
        <v>932</v>
      </c>
      <c r="C1939" t="s">
        <v>1877</v>
      </c>
      <c r="D1939" t="s">
        <v>1877</v>
      </c>
      <c r="E1939" s="10">
        <v>4413</v>
      </c>
      <c r="F1939" s="12">
        <v>4.1999999999999996E-6</v>
      </c>
    </row>
    <row r="1940" spans="1:6">
      <c r="A1940" s="10">
        <v>2017</v>
      </c>
      <c r="B1940" t="s">
        <v>933</v>
      </c>
      <c r="C1940" t="s">
        <v>1878</v>
      </c>
      <c r="D1940" t="s">
        <v>1878</v>
      </c>
      <c r="E1940" s="10">
        <v>16288</v>
      </c>
      <c r="F1940" s="12">
        <v>1.5500000000000001E-5</v>
      </c>
    </row>
    <row r="1941" spans="1:6">
      <c r="A1941" s="10">
        <v>2017</v>
      </c>
      <c r="B1941" t="s">
        <v>992</v>
      </c>
      <c r="C1941" t="s">
        <v>1879</v>
      </c>
      <c r="D1941" t="s">
        <v>1879</v>
      </c>
      <c r="E1941" s="10">
        <v>65514</v>
      </c>
      <c r="F1941" s="12">
        <v>6.2299999999999996E-5</v>
      </c>
    </row>
    <row r="1942" spans="1:6">
      <c r="A1942" s="10">
        <v>2017</v>
      </c>
      <c r="B1942" t="s">
        <v>934</v>
      </c>
      <c r="C1942" t="s">
        <v>1880</v>
      </c>
      <c r="D1942" t="s">
        <v>1880</v>
      </c>
      <c r="E1942" s="10">
        <v>431589</v>
      </c>
      <c r="F1942" s="12">
        <v>4.105E-4</v>
      </c>
    </row>
    <row r="1943" spans="1:6">
      <c r="A1943" s="10">
        <v>2017</v>
      </c>
      <c r="B1943" t="s">
        <v>990</v>
      </c>
      <c r="C1943" t="s">
        <v>935</v>
      </c>
      <c r="D1943" t="s">
        <v>935</v>
      </c>
      <c r="E1943" s="10">
        <v>7964124</v>
      </c>
      <c r="F1943" s="12">
        <v>7.5743E-3</v>
      </c>
    </row>
    <row r="1944" spans="1:6">
      <c r="A1944" s="10">
        <v>2017</v>
      </c>
      <c r="B1944" t="s">
        <v>991</v>
      </c>
      <c r="C1944" t="s">
        <v>936</v>
      </c>
      <c r="D1944" t="s">
        <v>936</v>
      </c>
      <c r="E1944" s="10">
        <v>25209381</v>
      </c>
      <c r="F1944" s="12">
        <v>2.3975400000000001E-2</v>
      </c>
    </row>
    <row r="1945" spans="1:6">
      <c r="A1945" s="10">
        <v>2017</v>
      </c>
      <c r="B1945" t="s">
        <v>993</v>
      </c>
      <c r="C1945" t="s">
        <v>1881</v>
      </c>
      <c r="D1945" t="s">
        <v>1881</v>
      </c>
      <c r="E1945" s="10">
        <v>490162</v>
      </c>
      <c r="F1945" s="12">
        <v>4.662E-4</v>
      </c>
    </row>
    <row r="1946" spans="1:6">
      <c r="A1946" s="10">
        <v>2017</v>
      </c>
      <c r="B1946" t="s">
        <v>1885</v>
      </c>
      <c r="C1946" t="s">
        <v>1882</v>
      </c>
      <c r="D1946" t="s">
        <v>1882</v>
      </c>
      <c r="E1946" s="10"/>
      <c r="F1946" s="12">
        <v>0</v>
      </c>
    </row>
    <row r="1947" spans="1:6">
      <c r="A1947" s="10">
        <v>2017</v>
      </c>
      <c r="B1947" t="s">
        <v>994</v>
      </c>
      <c r="C1947" t="s">
        <v>939</v>
      </c>
      <c r="D1947" t="s">
        <v>939</v>
      </c>
      <c r="E1947" s="10">
        <v>49743</v>
      </c>
      <c r="F1947" s="12">
        <v>4.7299999999999998E-5</v>
      </c>
    </row>
    <row r="1948" spans="1:6">
      <c r="A1948" s="10">
        <v>2017</v>
      </c>
      <c r="B1948" t="s">
        <v>995</v>
      </c>
      <c r="C1948" t="s">
        <v>2434</v>
      </c>
      <c r="D1948" t="s">
        <v>940</v>
      </c>
      <c r="E1948" s="10">
        <v>69724</v>
      </c>
      <c r="F1948" s="12">
        <v>6.6299999999999999E-5</v>
      </c>
    </row>
    <row r="1949" spans="1:6">
      <c r="A1949" s="10">
        <v>2017</v>
      </c>
      <c r="B1949" t="s">
        <v>996</v>
      </c>
      <c r="C1949" t="s">
        <v>2435</v>
      </c>
      <c r="D1949" t="s">
        <v>941</v>
      </c>
      <c r="E1949" s="10">
        <v>39741</v>
      </c>
      <c r="F1949" s="12">
        <v>3.7799999999999997E-5</v>
      </c>
    </row>
    <row r="1950" spans="1:6">
      <c r="A1950" s="10">
        <v>2017</v>
      </c>
      <c r="B1950" t="s">
        <v>997</v>
      </c>
      <c r="C1950" t="s">
        <v>2436</v>
      </c>
      <c r="D1950" t="s">
        <v>1883</v>
      </c>
      <c r="E1950" s="10">
        <v>171418</v>
      </c>
      <c r="F1950" s="12">
        <v>1.63E-4</v>
      </c>
    </row>
    <row r="1951" spans="1:6">
      <c r="A1951" s="10">
        <v>2017</v>
      </c>
      <c r="B1951" t="s">
        <v>999</v>
      </c>
      <c r="C1951" t="s">
        <v>1884</v>
      </c>
      <c r="D1951" t="s">
        <v>1884</v>
      </c>
      <c r="E1951" s="10">
        <v>315867</v>
      </c>
      <c r="F1951" s="12">
        <v>3.0039999999999998E-4</v>
      </c>
    </row>
    <row r="1952" spans="1:6">
      <c r="A1952" s="10">
        <v>2017</v>
      </c>
      <c r="B1952" t="s">
        <v>1241</v>
      </c>
      <c r="C1952" t="s">
        <v>1886</v>
      </c>
      <c r="D1952" t="s">
        <v>1886</v>
      </c>
      <c r="E1952" s="10">
        <v>32600</v>
      </c>
      <c r="F1952" s="12">
        <v>3.1000000000000001E-5</v>
      </c>
    </row>
    <row r="1953" spans="1:6">
      <c r="A1953" s="10">
        <v>2017</v>
      </c>
      <c r="B1953" t="s">
        <v>1001</v>
      </c>
      <c r="C1953" t="s">
        <v>2433</v>
      </c>
      <c r="D1953" t="s">
        <v>946</v>
      </c>
      <c r="E1953" s="10">
        <v>19898</v>
      </c>
      <c r="F1953" s="12">
        <v>1.8899999999999999E-5</v>
      </c>
    </row>
    <row r="1954" spans="1:6">
      <c r="A1954" s="10">
        <v>2017</v>
      </c>
      <c r="B1954" t="s">
        <v>1000</v>
      </c>
      <c r="C1954" t="s">
        <v>2384</v>
      </c>
      <c r="D1954" t="s">
        <v>1887</v>
      </c>
      <c r="E1954" s="10">
        <v>19192</v>
      </c>
      <c r="F1954" s="12">
        <v>1.8300000000000001E-5</v>
      </c>
    </row>
    <row r="1955" spans="1:6">
      <c r="A1955" s="10">
        <v>2017</v>
      </c>
      <c r="B1955" t="s">
        <v>1002</v>
      </c>
      <c r="C1955" t="s">
        <v>947</v>
      </c>
      <c r="D1955" t="s">
        <v>947</v>
      </c>
      <c r="E1955" s="10">
        <v>6962419</v>
      </c>
      <c r="F1955" s="12">
        <v>6.6216000000000001E-3</v>
      </c>
    </row>
    <row r="1956" spans="1:6">
      <c r="A1956" s="10">
        <v>2017</v>
      </c>
      <c r="B1956" t="s">
        <v>1003</v>
      </c>
      <c r="C1956" t="s">
        <v>1478</v>
      </c>
      <c r="D1956" t="s">
        <v>1478</v>
      </c>
      <c r="E1956" s="10">
        <v>24952</v>
      </c>
      <c r="F1956" s="12">
        <v>2.37E-5</v>
      </c>
    </row>
    <row r="1957" spans="1:6">
      <c r="A1957" s="10">
        <v>2017</v>
      </c>
      <c r="B1957" t="s">
        <v>1004</v>
      </c>
      <c r="C1957" t="s">
        <v>949</v>
      </c>
      <c r="D1957" t="s">
        <v>949</v>
      </c>
      <c r="E1957" s="10"/>
      <c r="F1957" s="12">
        <v>0</v>
      </c>
    </row>
    <row r="1958" spans="1:6">
      <c r="A1958" s="10">
        <v>2017</v>
      </c>
      <c r="B1958" t="s">
        <v>1005</v>
      </c>
      <c r="C1958" t="s">
        <v>1888</v>
      </c>
      <c r="D1958" t="s">
        <v>1888</v>
      </c>
      <c r="E1958" s="10">
        <v>136301</v>
      </c>
      <c r="F1958" s="12">
        <v>1.2960000000000001E-4</v>
      </c>
    </row>
    <row r="1959" spans="1:6">
      <c r="A1959" s="10">
        <v>2017</v>
      </c>
      <c r="B1959" t="s">
        <v>1006</v>
      </c>
      <c r="C1959" t="s">
        <v>1889</v>
      </c>
      <c r="D1959" t="s">
        <v>1889</v>
      </c>
      <c r="E1959" s="10">
        <v>172413</v>
      </c>
      <c r="F1959" s="12">
        <v>1.64E-4</v>
      </c>
    </row>
    <row r="1960" spans="1:6">
      <c r="A1960" s="10">
        <v>2017</v>
      </c>
      <c r="B1960" t="s">
        <v>1007</v>
      </c>
      <c r="C1960" t="s">
        <v>1890</v>
      </c>
      <c r="D1960" t="s">
        <v>1890</v>
      </c>
      <c r="E1960" s="10">
        <v>8746</v>
      </c>
      <c r="F1960" s="12">
        <v>8.3000000000000002E-6</v>
      </c>
    </row>
    <row r="1961" spans="1:6">
      <c r="A1961" s="10">
        <v>2017</v>
      </c>
      <c r="B1961" t="s">
        <v>1008</v>
      </c>
      <c r="C1961" t="s">
        <v>2286</v>
      </c>
      <c r="D1961" t="s">
        <v>1891</v>
      </c>
      <c r="E1961" s="10">
        <v>30333</v>
      </c>
      <c r="F1961" s="12">
        <v>2.8799999999999999E-5</v>
      </c>
    </row>
    <row r="1962" spans="1:6">
      <c r="A1962" s="10">
        <v>2017</v>
      </c>
      <c r="B1962" t="s">
        <v>1009</v>
      </c>
      <c r="C1962" t="s">
        <v>1892</v>
      </c>
      <c r="D1962" t="s">
        <v>1892</v>
      </c>
      <c r="E1962" s="10">
        <v>33405</v>
      </c>
      <c r="F1962" s="12">
        <v>3.18E-5</v>
      </c>
    </row>
    <row r="1963" spans="1:6">
      <c r="A1963" s="10">
        <v>2017</v>
      </c>
      <c r="B1963" t="s">
        <v>1010</v>
      </c>
      <c r="C1963" t="s">
        <v>1893</v>
      </c>
      <c r="D1963" t="s">
        <v>1893</v>
      </c>
      <c r="E1963" s="10">
        <v>112293</v>
      </c>
      <c r="F1963" s="12">
        <v>1.0679999999999999E-4</v>
      </c>
    </row>
    <row r="1964" spans="1:6">
      <c r="A1964" s="10">
        <v>2017</v>
      </c>
      <c r="B1964" t="s">
        <v>1242</v>
      </c>
      <c r="C1964" t="s">
        <v>1894</v>
      </c>
      <c r="D1964" t="s">
        <v>1894</v>
      </c>
      <c r="E1964" s="10">
        <v>160163</v>
      </c>
      <c r="F1964" s="12">
        <v>1.5229999999999999E-4</v>
      </c>
    </row>
    <row r="1965" spans="1:6">
      <c r="A1965" s="10">
        <v>2017</v>
      </c>
      <c r="B1965" t="s">
        <v>1011</v>
      </c>
      <c r="C1965" t="s">
        <v>2288</v>
      </c>
      <c r="D1965" t="s">
        <v>1895</v>
      </c>
      <c r="E1965" s="10">
        <v>7891</v>
      </c>
      <c r="F1965" s="12">
        <v>7.5000000000000002E-6</v>
      </c>
    </row>
    <row r="1966" spans="1:6">
      <c r="A1966" s="10">
        <v>2017</v>
      </c>
      <c r="B1966" t="s">
        <v>1012</v>
      </c>
      <c r="C1966" t="s">
        <v>957</v>
      </c>
      <c r="D1966" t="s">
        <v>957</v>
      </c>
      <c r="E1966" s="10">
        <v>97241</v>
      </c>
      <c r="F1966" s="12">
        <v>9.2499999999999999E-5</v>
      </c>
    </row>
    <row r="1967" spans="1:6">
      <c r="A1967" s="10">
        <v>2017</v>
      </c>
      <c r="B1967" t="s">
        <v>1013</v>
      </c>
      <c r="C1967" t="s">
        <v>2408</v>
      </c>
      <c r="D1967" t="s">
        <v>1896</v>
      </c>
      <c r="E1967" s="10">
        <v>984810</v>
      </c>
      <c r="F1967" s="12">
        <v>9.366E-4</v>
      </c>
    </row>
    <row r="1968" spans="1:6">
      <c r="A1968" s="10">
        <v>2017</v>
      </c>
      <c r="B1968" t="s">
        <v>1016</v>
      </c>
      <c r="C1968" t="s">
        <v>1897</v>
      </c>
      <c r="D1968" t="s">
        <v>1897</v>
      </c>
      <c r="E1968" s="10">
        <v>396757</v>
      </c>
      <c r="F1968" s="12">
        <v>3.7730000000000001E-4</v>
      </c>
    </row>
    <row r="1969" spans="1:6">
      <c r="A1969" s="10">
        <v>2017</v>
      </c>
      <c r="B1969" t="s">
        <v>1017</v>
      </c>
      <c r="C1969" t="s">
        <v>1898</v>
      </c>
      <c r="D1969" t="s">
        <v>1898</v>
      </c>
      <c r="E1969" s="10">
        <v>53748</v>
      </c>
      <c r="F1969" s="12">
        <v>5.1100000000000002E-5</v>
      </c>
    </row>
    <row r="1970" spans="1:6">
      <c r="A1970" s="10">
        <v>2017</v>
      </c>
      <c r="B1970" t="s">
        <v>1018</v>
      </c>
      <c r="C1970" t="s">
        <v>1899</v>
      </c>
      <c r="D1970" t="s">
        <v>1899</v>
      </c>
      <c r="E1970" s="10">
        <v>25200</v>
      </c>
      <c r="F1970" s="12">
        <v>2.4000000000000001E-5</v>
      </c>
    </row>
    <row r="1971" spans="1:6">
      <c r="A1971" s="10">
        <v>2017</v>
      </c>
      <c r="B1971" t="s">
        <v>1020</v>
      </c>
      <c r="C1971" t="s">
        <v>1900</v>
      </c>
      <c r="D1971" t="s">
        <v>1900</v>
      </c>
      <c r="E1971" s="10">
        <v>1709248</v>
      </c>
      <c r="F1971" s="12">
        <v>1.6256E-3</v>
      </c>
    </row>
    <row r="1972" spans="1:6">
      <c r="A1972" s="10">
        <v>2017</v>
      </c>
      <c r="B1972" t="s">
        <v>1019</v>
      </c>
      <c r="C1972" t="s">
        <v>1901</v>
      </c>
      <c r="D1972" t="s">
        <v>1901</v>
      </c>
      <c r="E1972" s="10">
        <v>57118</v>
      </c>
      <c r="F1972" s="12">
        <v>5.4299999999999998E-5</v>
      </c>
    </row>
    <row r="1973" spans="1:6">
      <c r="A1973" s="10">
        <v>2017</v>
      </c>
      <c r="B1973" t="s">
        <v>1021</v>
      </c>
      <c r="C1973" t="s">
        <v>1902</v>
      </c>
      <c r="D1973" t="s">
        <v>1902</v>
      </c>
      <c r="E1973" s="10">
        <v>11879</v>
      </c>
      <c r="F1973" s="12">
        <v>1.13E-5</v>
      </c>
    </row>
    <row r="1974" spans="1:6">
      <c r="A1974" s="10">
        <v>2017</v>
      </c>
      <c r="B1974" t="s">
        <v>449</v>
      </c>
      <c r="C1974" t="s">
        <v>1903</v>
      </c>
      <c r="D1974" t="s">
        <v>1903</v>
      </c>
      <c r="E1974" s="10">
        <v>2124955</v>
      </c>
      <c r="F1974" s="12">
        <v>2.0209E-3</v>
      </c>
    </row>
    <row r="1975" spans="1:6">
      <c r="A1975" s="10">
        <v>2017</v>
      </c>
      <c r="B1975" t="s">
        <v>1022</v>
      </c>
      <c r="C1975" t="s">
        <v>1904</v>
      </c>
      <c r="D1975" t="s">
        <v>1904</v>
      </c>
      <c r="E1975" s="10">
        <v>152610</v>
      </c>
      <c r="F1975" s="12">
        <v>1.451E-4</v>
      </c>
    </row>
    <row r="1976" spans="1:6">
      <c r="A1976" s="10">
        <v>2017</v>
      </c>
      <c r="B1976" t="s">
        <v>1023</v>
      </c>
      <c r="C1976" t="s">
        <v>1905</v>
      </c>
      <c r="D1976" t="s">
        <v>1905</v>
      </c>
      <c r="E1976" s="10">
        <v>475195</v>
      </c>
      <c r="F1976" s="12">
        <v>4.5189999999999998E-4</v>
      </c>
    </row>
    <row r="1977" spans="1:6">
      <c r="A1977" s="10">
        <v>2017</v>
      </c>
      <c r="B1977" t="s">
        <v>1024</v>
      </c>
      <c r="C1977" t="s">
        <v>969</v>
      </c>
      <c r="D1977" t="s">
        <v>969</v>
      </c>
      <c r="E1977" s="10">
        <v>43935</v>
      </c>
      <c r="F1977" s="12">
        <v>4.18E-5</v>
      </c>
    </row>
    <row r="1978" spans="1:6">
      <c r="A1978" s="10">
        <v>2017</v>
      </c>
      <c r="B1978" t="s">
        <v>1025</v>
      </c>
      <c r="C1978" t="s">
        <v>1906</v>
      </c>
      <c r="D1978" t="s">
        <v>1906</v>
      </c>
      <c r="E1978" s="10">
        <v>117189</v>
      </c>
      <c r="F1978" s="12">
        <v>1.115E-4</v>
      </c>
    </row>
    <row r="1979" spans="1:6">
      <c r="A1979" s="10">
        <v>2017</v>
      </c>
      <c r="B1979" t="s">
        <v>1026</v>
      </c>
      <c r="C1979" t="s">
        <v>1907</v>
      </c>
      <c r="D1979" t="s">
        <v>1907</v>
      </c>
      <c r="E1979" s="10">
        <v>3035263</v>
      </c>
      <c r="F1979" s="12">
        <v>2.8866999999999999E-3</v>
      </c>
    </row>
    <row r="1980" spans="1:6">
      <c r="A1980" s="10">
        <v>2017</v>
      </c>
      <c r="B1980" t="s">
        <v>1243</v>
      </c>
      <c r="C1980" t="s">
        <v>1908</v>
      </c>
      <c r="D1980" t="s">
        <v>1908</v>
      </c>
      <c r="E1980" s="10">
        <v>1422375</v>
      </c>
      <c r="F1980" s="12">
        <v>1.3527000000000001E-3</v>
      </c>
    </row>
    <row r="1981" spans="1:6">
      <c r="A1981" s="10">
        <v>2017</v>
      </c>
      <c r="B1981" t="s">
        <v>1027</v>
      </c>
      <c r="C1981" t="s">
        <v>1909</v>
      </c>
      <c r="D1981" t="s">
        <v>1909</v>
      </c>
      <c r="E1981" s="10">
        <v>20201</v>
      </c>
      <c r="F1981" s="12">
        <v>1.9199999999999999E-5</v>
      </c>
    </row>
    <row r="1982" spans="1:6">
      <c r="A1982" s="10">
        <v>2017</v>
      </c>
      <c r="B1982" t="s">
        <v>1028</v>
      </c>
      <c r="C1982" t="s">
        <v>973</v>
      </c>
      <c r="D1982" t="s">
        <v>973</v>
      </c>
      <c r="E1982" s="10">
        <v>8958</v>
      </c>
      <c r="F1982" s="12">
        <v>8.4999999999999999E-6</v>
      </c>
    </row>
    <row r="1983" spans="1:6">
      <c r="A1983" s="10">
        <v>2017</v>
      </c>
      <c r="B1983" t="s">
        <v>1029</v>
      </c>
      <c r="C1983" t="s">
        <v>2409</v>
      </c>
      <c r="D1983" t="s">
        <v>1910</v>
      </c>
      <c r="E1983" s="10">
        <v>265037</v>
      </c>
      <c r="F1983" s="12">
        <v>2.521E-4</v>
      </c>
    </row>
    <row r="1984" spans="1:6">
      <c r="A1984" s="10">
        <v>2017</v>
      </c>
      <c r="B1984" t="s">
        <v>1031</v>
      </c>
      <c r="C1984" t="s">
        <v>1911</v>
      </c>
      <c r="D1984" t="s">
        <v>1911</v>
      </c>
      <c r="E1984" s="10">
        <v>552004</v>
      </c>
      <c r="F1984" s="12">
        <v>5.2499999999999997E-4</v>
      </c>
    </row>
    <row r="1985" spans="1:6">
      <c r="A1985" s="10">
        <v>2017</v>
      </c>
      <c r="B1985" t="s">
        <v>1032</v>
      </c>
      <c r="C1985" t="s">
        <v>1912</v>
      </c>
      <c r="D1985" t="s">
        <v>1912</v>
      </c>
      <c r="E1985" s="10">
        <v>151046</v>
      </c>
      <c r="F1985" s="12">
        <v>1.437E-4</v>
      </c>
    </row>
    <row r="1986" spans="1:6">
      <c r="A1986" s="10">
        <v>2017</v>
      </c>
      <c r="B1986" t="s">
        <v>1036</v>
      </c>
      <c r="C1986" t="s">
        <v>1913</v>
      </c>
      <c r="D1986" t="s">
        <v>1913</v>
      </c>
      <c r="E1986" s="10"/>
      <c r="F1986" s="12">
        <v>0</v>
      </c>
    </row>
    <row r="1987" spans="1:6">
      <c r="A1987" s="10">
        <v>2017</v>
      </c>
      <c r="B1987" t="s">
        <v>920</v>
      </c>
      <c r="C1987" t="s">
        <v>1914</v>
      </c>
      <c r="D1987" t="s">
        <v>1914</v>
      </c>
      <c r="E1987" s="10">
        <v>1509</v>
      </c>
      <c r="F1987" s="12">
        <v>1.3999999999999999E-6</v>
      </c>
    </row>
    <row r="1988" spans="1:6">
      <c r="A1988" s="10">
        <v>2017</v>
      </c>
      <c r="B1988" t="s">
        <v>1037</v>
      </c>
      <c r="C1988" t="s">
        <v>1915</v>
      </c>
      <c r="D1988" t="s">
        <v>1915</v>
      </c>
      <c r="E1988" s="10">
        <v>47220</v>
      </c>
      <c r="F1988" s="12">
        <v>4.49E-5</v>
      </c>
    </row>
    <row r="1989" spans="1:6">
      <c r="A1989" s="10">
        <v>2017</v>
      </c>
      <c r="B1989" t="s">
        <v>1038</v>
      </c>
      <c r="C1989" t="s">
        <v>1916</v>
      </c>
      <c r="D1989" t="s">
        <v>1916</v>
      </c>
      <c r="E1989" s="10">
        <v>488674</v>
      </c>
      <c r="F1989" s="12">
        <v>4.6480000000000002E-4</v>
      </c>
    </row>
    <row r="1990" spans="1:6">
      <c r="A1990" s="10">
        <v>2017</v>
      </c>
      <c r="B1990" t="s">
        <v>1039</v>
      </c>
      <c r="C1990" t="s">
        <v>1917</v>
      </c>
      <c r="D1990" t="s">
        <v>1917</v>
      </c>
      <c r="E1990" s="10">
        <v>5244836</v>
      </c>
      <c r="F1990" s="12">
        <v>4.9880999999999997E-3</v>
      </c>
    </row>
    <row r="1991" spans="1:6">
      <c r="A1991" s="10">
        <v>2017</v>
      </c>
      <c r="B1991" t="s">
        <v>1040</v>
      </c>
      <c r="C1991" t="s">
        <v>985</v>
      </c>
      <c r="D1991" t="s">
        <v>985</v>
      </c>
      <c r="E1991" s="10">
        <v>148310</v>
      </c>
      <c r="F1991" s="12">
        <v>1.4109999999999999E-4</v>
      </c>
    </row>
    <row r="1992" spans="1:6">
      <c r="A1992" s="10">
        <v>2017</v>
      </c>
      <c r="B1992" t="s">
        <v>998</v>
      </c>
      <c r="C1992" t="s">
        <v>1918</v>
      </c>
      <c r="D1992" t="s">
        <v>1918</v>
      </c>
      <c r="E1992" s="10">
        <v>67668</v>
      </c>
      <c r="F1992" s="12">
        <v>6.4399999999999993E-5</v>
      </c>
    </row>
    <row r="1993" spans="1:6">
      <c r="A1993" s="10">
        <v>2017</v>
      </c>
      <c r="B1993" t="s">
        <v>1041</v>
      </c>
      <c r="C1993" t="s">
        <v>1919</v>
      </c>
      <c r="D1993" t="s">
        <v>1919</v>
      </c>
      <c r="E1993" s="10">
        <v>566894</v>
      </c>
      <c r="F1993" s="12">
        <v>5.3910000000000004E-4</v>
      </c>
    </row>
    <row r="1994" spans="1:6">
      <c r="A1994" s="10">
        <v>2017</v>
      </c>
      <c r="B1994" t="s">
        <v>1042</v>
      </c>
      <c r="C1994" t="s">
        <v>2296</v>
      </c>
      <c r="D1994" t="s">
        <v>1920</v>
      </c>
      <c r="E1994" s="10">
        <v>18096</v>
      </c>
      <c r="F1994" s="12">
        <v>1.7200000000000001E-5</v>
      </c>
    </row>
    <row r="1995" spans="1:6">
      <c r="A1995" s="10">
        <v>2017</v>
      </c>
      <c r="B1995" t="s">
        <v>1043</v>
      </c>
      <c r="C1995" t="s">
        <v>1921</v>
      </c>
      <c r="D1995" t="s">
        <v>1921</v>
      </c>
      <c r="E1995" s="10">
        <v>611698</v>
      </c>
      <c r="F1995" s="12">
        <v>5.8180000000000005E-4</v>
      </c>
    </row>
    <row r="1996" spans="1:6">
      <c r="A1996" s="10">
        <v>2017</v>
      </c>
      <c r="B1996" t="s">
        <v>1044</v>
      </c>
      <c r="C1996" t="s">
        <v>1922</v>
      </c>
      <c r="D1996" t="s">
        <v>1922</v>
      </c>
      <c r="E1996" s="10">
        <v>673769</v>
      </c>
      <c r="F1996" s="12">
        <v>6.4079999999999996E-4</v>
      </c>
    </row>
    <row r="1997" spans="1:6">
      <c r="A1997" s="10">
        <v>2017</v>
      </c>
      <c r="B1997" t="s">
        <v>1100</v>
      </c>
      <c r="C1997" t="s">
        <v>1923</v>
      </c>
      <c r="D1997" t="s">
        <v>1923</v>
      </c>
      <c r="E1997" s="10">
        <v>1428974</v>
      </c>
      <c r="F1997" s="12">
        <v>1.359E-3</v>
      </c>
    </row>
    <row r="1998" spans="1:6">
      <c r="A1998" s="10">
        <v>2017</v>
      </c>
      <c r="B1998" t="s">
        <v>450</v>
      </c>
      <c r="C1998" t="s">
        <v>1924</v>
      </c>
      <c r="D1998" t="s">
        <v>1924</v>
      </c>
      <c r="E1998" s="10">
        <v>669528</v>
      </c>
      <c r="F1998" s="12">
        <v>6.3679999999999997E-4</v>
      </c>
    </row>
    <row r="1999" spans="1:6">
      <c r="A1999" s="10">
        <v>2017</v>
      </c>
      <c r="B1999" t="s">
        <v>1101</v>
      </c>
      <c r="C1999" t="s">
        <v>1925</v>
      </c>
      <c r="D1999" t="s">
        <v>1925</v>
      </c>
      <c r="E1999" s="10">
        <v>2896010</v>
      </c>
      <c r="F1999" s="12">
        <v>2.7542999999999999E-3</v>
      </c>
    </row>
    <row r="2000" spans="1:6">
      <c r="A2000" s="10">
        <v>2017</v>
      </c>
      <c r="B2000" t="s">
        <v>1244</v>
      </c>
      <c r="C2000" t="s">
        <v>1926</v>
      </c>
      <c r="D2000" t="s">
        <v>1926</v>
      </c>
      <c r="E2000" s="10">
        <v>602259</v>
      </c>
      <c r="F2000" s="12">
        <v>5.7280000000000005E-4</v>
      </c>
    </row>
    <row r="2001" spans="1:6">
      <c r="A2001" s="10">
        <v>2017</v>
      </c>
      <c r="B2001" t="s">
        <v>1102</v>
      </c>
      <c r="C2001" t="s">
        <v>1927</v>
      </c>
      <c r="D2001" t="s">
        <v>1927</v>
      </c>
      <c r="E2001" s="10">
        <v>79419</v>
      </c>
      <c r="F2001" s="12">
        <v>7.5500000000000006E-5</v>
      </c>
    </row>
    <row r="2002" spans="1:6">
      <c r="A2002" s="10">
        <v>2017</v>
      </c>
      <c r="B2002" t="s">
        <v>1134</v>
      </c>
      <c r="C2002" t="s">
        <v>1928</v>
      </c>
      <c r="D2002" t="s">
        <v>1928</v>
      </c>
      <c r="E2002" s="10">
        <v>445848</v>
      </c>
      <c r="F2002" s="12">
        <v>4.2400000000000001E-4</v>
      </c>
    </row>
    <row r="2003" spans="1:6">
      <c r="A2003" s="10">
        <v>2017</v>
      </c>
      <c r="B2003" t="s">
        <v>1103</v>
      </c>
      <c r="C2003" t="s">
        <v>1929</v>
      </c>
      <c r="D2003" t="s">
        <v>1929</v>
      </c>
      <c r="E2003" s="10">
        <v>131906</v>
      </c>
      <c r="F2003" s="12">
        <v>1.2540000000000001E-4</v>
      </c>
    </row>
    <row r="2004" spans="1:6">
      <c r="A2004" s="10">
        <v>2017</v>
      </c>
      <c r="B2004" t="s">
        <v>1104</v>
      </c>
      <c r="C2004" t="s">
        <v>1930</v>
      </c>
      <c r="D2004" t="s">
        <v>1930</v>
      </c>
      <c r="E2004" s="10">
        <v>1216966</v>
      </c>
      <c r="F2004" s="12">
        <v>1.1574000000000001E-3</v>
      </c>
    </row>
    <row r="2005" spans="1:6">
      <c r="A2005" s="10">
        <v>2017</v>
      </c>
      <c r="B2005" t="s">
        <v>1105</v>
      </c>
      <c r="C2005" t="s">
        <v>1931</v>
      </c>
      <c r="D2005" t="s">
        <v>1931</v>
      </c>
      <c r="E2005" s="10">
        <v>15269</v>
      </c>
      <c r="F2005" s="12">
        <v>1.45E-5</v>
      </c>
    </row>
    <row r="2006" spans="1:6">
      <c r="A2006" s="10">
        <v>2017</v>
      </c>
      <c r="B2006" t="s">
        <v>451</v>
      </c>
      <c r="C2006" t="s">
        <v>1932</v>
      </c>
      <c r="D2006" t="s">
        <v>1932</v>
      </c>
      <c r="E2006" s="10">
        <v>666419</v>
      </c>
      <c r="F2006" s="12">
        <v>6.3380000000000001E-4</v>
      </c>
    </row>
    <row r="2007" spans="1:6">
      <c r="A2007" s="10">
        <v>2017</v>
      </c>
      <c r="B2007" t="s">
        <v>1106</v>
      </c>
      <c r="C2007" t="s">
        <v>1933</v>
      </c>
      <c r="D2007" t="s">
        <v>1933</v>
      </c>
      <c r="E2007" s="10">
        <v>91670</v>
      </c>
      <c r="F2007" s="12">
        <v>8.7200000000000005E-5</v>
      </c>
    </row>
    <row r="2008" spans="1:6">
      <c r="A2008" s="10">
        <v>2017</v>
      </c>
      <c r="B2008" t="s">
        <v>1107</v>
      </c>
      <c r="C2008" t="s">
        <v>1934</v>
      </c>
      <c r="D2008" t="s">
        <v>1934</v>
      </c>
      <c r="E2008" s="10">
        <v>618420</v>
      </c>
      <c r="F2008" s="12">
        <v>5.8810000000000004E-4</v>
      </c>
    </row>
    <row r="2009" spans="1:6">
      <c r="A2009" s="10">
        <v>2017</v>
      </c>
      <c r="B2009" t="s">
        <v>1108</v>
      </c>
      <c r="C2009" t="s">
        <v>1053</v>
      </c>
      <c r="D2009" t="s">
        <v>1053</v>
      </c>
      <c r="E2009" s="10">
        <v>1082862</v>
      </c>
      <c r="F2009" s="12">
        <v>1.0299E-3</v>
      </c>
    </row>
    <row r="2010" spans="1:6">
      <c r="A2010" s="10">
        <v>2017</v>
      </c>
      <c r="B2010" t="s">
        <v>1110</v>
      </c>
      <c r="C2010" t="s">
        <v>2410</v>
      </c>
      <c r="D2010" t="s">
        <v>1935</v>
      </c>
      <c r="E2010" s="10">
        <v>1504863</v>
      </c>
      <c r="F2010" s="12">
        <v>1.4312000000000001E-3</v>
      </c>
    </row>
    <row r="2011" spans="1:6">
      <c r="A2011" s="10">
        <v>2017</v>
      </c>
      <c r="B2011" t="s">
        <v>1109</v>
      </c>
      <c r="C2011" t="s">
        <v>1936</v>
      </c>
      <c r="D2011" t="s">
        <v>1936</v>
      </c>
      <c r="E2011" s="10">
        <v>234110</v>
      </c>
      <c r="F2011" s="12">
        <v>2.2269999999999999E-4</v>
      </c>
    </row>
    <row r="2012" spans="1:6">
      <c r="A2012" s="10">
        <v>2017</v>
      </c>
      <c r="B2012" t="s">
        <v>1111</v>
      </c>
      <c r="C2012" t="s">
        <v>1937</v>
      </c>
      <c r="D2012" t="s">
        <v>1937</v>
      </c>
      <c r="E2012" s="10">
        <v>25652</v>
      </c>
      <c r="F2012" s="12">
        <v>2.44E-5</v>
      </c>
    </row>
    <row r="2013" spans="1:6">
      <c r="A2013" s="10">
        <v>2017</v>
      </c>
      <c r="B2013" t="s">
        <v>1112</v>
      </c>
      <c r="C2013" t="s">
        <v>1938</v>
      </c>
      <c r="D2013" t="s">
        <v>1938</v>
      </c>
      <c r="E2013" s="10">
        <v>12273248</v>
      </c>
      <c r="F2013" s="12">
        <v>1.1672500000000001E-2</v>
      </c>
    </row>
    <row r="2014" spans="1:6">
      <c r="A2014" s="10">
        <v>2017</v>
      </c>
      <c r="B2014" t="s">
        <v>452</v>
      </c>
      <c r="C2014" t="s">
        <v>1939</v>
      </c>
      <c r="D2014" t="s">
        <v>1939</v>
      </c>
      <c r="E2014" s="10">
        <v>11112186</v>
      </c>
      <c r="F2014" s="12">
        <v>1.05682E-2</v>
      </c>
    </row>
    <row r="2015" spans="1:6">
      <c r="A2015" s="10">
        <v>2017</v>
      </c>
      <c r="B2015" t="s">
        <v>1113</v>
      </c>
      <c r="C2015" t="s">
        <v>1058</v>
      </c>
      <c r="D2015" t="s">
        <v>1058</v>
      </c>
      <c r="E2015" s="10">
        <v>65731</v>
      </c>
      <c r="F2015" s="12">
        <v>6.2500000000000001E-5</v>
      </c>
    </row>
    <row r="2016" spans="1:6">
      <c r="A2016" s="10">
        <v>2017</v>
      </c>
      <c r="B2016" t="s">
        <v>1481</v>
      </c>
      <c r="C2016" t="s">
        <v>1479</v>
      </c>
      <c r="D2016" t="s">
        <v>1479</v>
      </c>
      <c r="E2016" s="10">
        <v>125003</v>
      </c>
      <c r="F2016" s="12">
        <v>1.189E-4</v>
      </c>
    </row>
    <row r="2017" spans="1:6">
      <c r="A2017" s="10">
        <v>2017</v>
      </c>
      <c r="B2017" t="s">
        <v>453</v>
      </c>
      <c r="C2017" t="s">
        <v>1940</v>
      </c>
      <c r="D2017" t="s">
        <v>1940</v>
      </c>
      <c r="E2017" s="10">
        <v>614831</v>
      </c>
      <c r="F2017" s="12">
        <v>5.8469999999999996E-4</v>
      </c>
    </row>
    <row r="2018" spans="1:6">
      <c r="A2018" s="10">
        <v>2017</v>
      </c>
      <c r="B2018" t="s">
        <v>1115</v>
      </c>
      <c r="C2018" t="s">
        <v>1941</v>
      </c>
      <c r="D2018" t="s">
        <v>1941</v>
      </c>
      <c r="E2018" s="10">
        <v>36893</v>
      </c>
      <c r="F2018" s="12">
        <v>3.5099999999999999E-5</v>
      </c>
    </row>
    <row r="2019" spans="1:6">
      <c r="A2019" s="10">
        <v>2017</v>
      </c>
      <c r="B2019" t="s">
        <v>1114</v>
      </c>
      <c r="C2019" t="s">
        <v>1942</v>
      </c>
      <c r="D2019" t="s">
        <v>1942</v>
      </c>
      <c r="E2019" s="10">
        <v>503059</v>
      </c>
      <c r="F2019" s="12">
        <v>4.7839999999999997E-4</v>
      </c>
    </row>
    <row r="2020" spans="1:6">
      <c r="A2020" s="10">
        <v>2017</v>
      </c>
      <c r="B2020" t="s">
        <v>1116</v>
      </c>
      <c r="C2020" t="s">
        <v>2388</v>
      </c>
      <c r="D2020" t="s">
        <v>1943</v>
      </c>
      <c r="E2020" s="10">
        <v>122986</v>
      </c>
      <c r="F2020" s="12">
        <v>1.17E-4</v>
      </c>
    </row>
    <row r="2021" spans="1:6">
      <c r="A2021" s="10">
        <v>2017</v>
      </c>
      <c r="B2021" t="s">
        <v>1117</v>
      </c>
      <c r="C2021" t="s">
        <v>1944</v>
      </c>
      <c r="D2021" t="s">
        <v>1944</v>
      </c>
      <c r="E2021" s="10">
        <v>156393</v>
      </c>
      <c r="F2021" s="12">
        <v>1.4870000000000001E-4</v>
      </c>
    </row>
    <row r="2022" spans="1:6">
      <c r="A2022" s="10">
        <v>2017</v>
      </c>
      <c r="B2022" t="s">
        <v>1118</v>
      </c>
      <c r="C2022" t="s">
        <v>2411</v>
      </c>
      <c r="D2022" t="s">
        <v>1945</v>
      </c>
      <c r="E2022" s="10">
        <v>46942</v>
      </c>
      <c r="F2022" s="12">
        <v>4.46E-5</v>
      </c>
    </row>
    <row r="2023" spans="1:6">
      <c r="A2023" s="10">
        <v>2017</v>
      </c>
      <c r="B2023" t="s">
        <v>1119</v>
      </c>
      <c r="C2023" t="s">
        <v>2412</v>
      </c>
      <c r="D2023" t="s">
        <v>1946</v>
      </c>
      <c r="E2023" s="10">
        <v>1075876</v>
      </c>
      <c r="F2023" s="12">
        <v>1.0231999999999999E-3</v>
      </c>
    </row>
    <row r="2024" spans="1:6">
      <c r="A2024" s="10">
        <v>2017</v>
      </c>
      <c r="B2024" t="s">
        <v>454</v>
      </c>
      <c r="C2024" t="s">
        <v>1947</v>
      </c>
      <c r="D2024" t="s">
        <v>1947</v>
      </c>
      <c r="E2024" s="10">
        <v>555090</v>
      </c>
      <c r="F2024" s="12">
        <v>5.2789999999999998E-4</v>
      </c>
    </row>
    <row r="2025" spans="1:6">
      <c r="A2025" s="10">
        <v>2017</v>
      </c>
      <c r="B2025" t="s">
        <v>1120</v>
      </c>
      <c r="C2025" t="s">
        <v>1948</v>
      </c>
      <c r="D2025" t="s">
        <v>1948</v>
      </c>
      <c r="E2025" s="10"/>
      <c r="F2025" s="12">
        <v>0</v>
      </c>
    </row>
    <row r="2026" spans="1:6">
      <c r="A2026" s="10">
        <v>2017</v>
      </c>
      <c r="B2026" t="s">
        <v>1121</v>
      </c>
      <c r="C2026" t="s">
        <v>1949</v>
      </c>
      <c r="D2026" t="s">
        <v>1949</v>
      </c>
      <c r="E2026" s="10">
        <v>2961416</v>
      </c>
      <c r="F2026" s="12">
        <v>2.8165E-3</v>
      </c>
    </row>
    <row r="2027" spans="1:6">
      <c r="A2027" s="10">
        <v>2017</v>
      </c>
      <c r="B2027" t="s">
        <v>455</v>
      </c>
      <c r="C2027" t="s">
        <v>1950</v>
      </c>
      <c r="D2027" t="s">
        <v>1950</v>
      </c>
      <c r="E2027" s="10">
        <v>1159722</v>
      </c>
      <c r="F2027" s="12">
        <v>1.103E-3</v>
      </c>
    </row>
    <row r="2028" spans="1:6">
      <c r="A2028" s="10">
        <v>2017</v>
      </c>
      <c r="B2028" t="s">
        <v>1122</v>
      </c>
      <c r="C2028" t="s">
        <v>1951</v>
      </c>
      <c r="D2028" t="s">
        <v>1951</v>
      </c>
      <c r="E2028" s="10">
        <v>20360</v>
      </c>
      <c r="F2028" s="12">
        <v>1.9400000000000001E-5</v>
      </c>
    </row>
    <row r="2029" spans="1:6">
      <c r="A2029" s="10">
        <v>2017</v>
      </c>
      <c r="B2029" t="s">
        <v>1123</v>
      </c>
      <c r="C2029" t="s">
        <v>1952</v>
      </c>
      <c r="D2029" t="s">
        <v>1952</v>
      </c>
      <c r="E2029" s="10">
        <v>54127</v>
      </c>
      <c r="F2029" s="12">
        <v>5.1499999999999998E-5</v>
      </c>
    </row>
    <row r="2030" spans="1:6">
      <c r="A2030" s="10">
        <v>2017</v>
      </c>
      <c r="B2030" t="s">
        <v>1124</v>
      </c>
      <c r="C2030" t="s">
        <v>1953</v>
      </c>
      <c r="D2030" t="s">
        <v>1953</v>
      </c>
      <c r="E2030" s="10">
        <v>102978</v>
      </c>
      <c r="F2030" s="12">
        <v>9.7899999999999994E-5</v>
      </c>
    </row>
    <row r="2031" spans="1:6">
      <c r="A2031" s="10">
        <v>2017</v>
      </c>
      <c r="B2031" t="s">
        <v>1125</v>
      </c>
      <c r="C2031" t="s">
        <v>1954</v>
      </c>
      <c r="D2031" t="s">
        <v>1954</v>
      </c>
      <c r="E2031" s="10">
        <v>915068</v>
      </c>
      <c r="F2031" s="12">
        <v>8.7029999999999996E-4</v>
      </c>
    </row>
    <row r="2032" spans="1:6">
      <c r="A2032" s="10">
        <v>2017</v>
      </c>
      <c r="B2032" t="s">
        <v>1245</v>
      </c>
      <c r="C2032" t="s">
        <v>1955</v>
      </c>
      <c r="D2032" t="s">
        <v>1955</v>
      </c>
      <c r="E2032" s="10">
        <v>140986</v>
      </c>
      <c r="F2032" s="12">
        <v>1.3410000000000001E-4</v>
      </c>
    </row>
    <row r="2033" spans="1:6">
      <c r="A2033" s="10">
        <v>2017</v>
      </c>
      <c r="B2033" t="s">
        <v>1126</v>
      </c>
      <c r="C2033" t="s">
        <v>1956</v>
      </c>
      <c r="D2033" t="s">
        <v>1956</v>
      </c>
      <c r="E2033" s="10">
        <v>84660</v>
      </c>
      <c r="F2033" s="12">
        <v>8.0500000000000005E-5</v>
      </c>
    </row>
    <row r="2034" spans="1:6">
      <c r="A2034" s="10">
        <v>2017</v>
      </c>
      <c r="B2034" t="s">
        <v>1127</v>
      </c>
      <c r="C2034" t="s">
        <v>2413</v>
      </c>
      <c r="D2034" t="s">
        <v>1957</v>
      </c>
      <c r="E2034" s="10">
        <v>1331025</v>
      </c>
      <c r="F2034" s="12">
        <v>1.2658999999999999E-3</v>
      </c>
    </row>
    <row r="2035" spans="1:6">
      <c r="A2035" s="10">
        <v>2017</v>
      </c>
      <c r="B2035" t="s">
        <v>456</v>
      </c>
      <c r="C2035" t="s">
        <v>1958</v>
      </c>
      <c r="D2035" t="s">
        <v>1958</v>
      </c>
      <c r="E2035" s="10">
        <v>294169</v>
      </c>
      <c r="F2035" s="12">
        <v>2.7980000000000002E-4</v>
      </c>
    </row>
    <row r="2036" spans="1:6">
      <c r="A2036" s="10">
        <v>2017</v>
      </c>
      <c r="B2036" t="s">
        <v>1128</v>
      </c>
      <c r="C2036" t="s">
        <v>1959</v>
      </c>
      <c r="D2036" t="s">
        <v>1959</v>
      </c>
      <c r="E2036" s="10">
        <v>126849</v>
      </c>
      <c r="F2036" s="12">
        <v>1.206E-4</v>
      </c>
    </row>
    <row r="2037" spans="1:6">
      <c r="A2037" s="10">
        <v>2017</v>
      </c>
      <c r="B2037" t="s">
        <v>1129</v>
      </c>
      <c r="C2037" t="s">
        <v>1074</v>
      </c>
      <c r="D2037" t="s">
        <v>1074</v>
      </c>
      <c r="E2037" s="10">
        <v>5514</v>
      </c>
      <c r="F2037" s="12">
        <v>5.2000000000000002E-6</v>
      </c>
    </row>
    <row r="2038" spans="1:6">
      <c r="A2038" s="10">
        <v>2017</v>
      </c>
      <c r="B2038" t="s">
        <v>1130</v>
      </c>
      <c r="C2038" t="s">
        <v>1075</v>
      </c>
      <c r="D2038" t="s">
        <v>1075</v>
      </c>
      <c r="E2038" s="10">
        <v>10392</v>
      </c>
      <c r="F2038" s="12">
        <v>9.9000000000000001E-6</v>
      </c>
    </row>
    <row r="2039" spans="1:6">
      <c r="A2039" s="10">
        <v>2017</v>
      </c>
      <c r="B2039" t="s">
        <v>1131</v>
      </c>
      <c r="C2039" t="s">
        <v>1960</v>
      </c>
      <c r="D2039" t="s">
        <v>1960</v>
      </c>
      <c r="E2039" s="10">
        <v>18608</v>
      </c>
      <c r="F2039" s="12">
        <v>1.77E-5</v>
      </c>
    </row>
    <row r="2040" spans="1:6">
      <c r="A2040" s="10">
        <v>2017</v>
      </c>
      <c r="B2040" t="s">
        <v>457</v>
      </c>
      <c r="C2040" t="s">
        <v>1961</v>
      </c>
      <c r="D2040" t="s">
        <v>1961</v>
      </c>
      <c r="E2040" s="10">
        <v>123749</v>
      </c>
      <c r="F2040" s="12">
        <v>1.177E-4</v>
      </c>
    </row>
    <row r="2041" spans="1:6">
      <c r="A2041" s="10">
        <v>2017</v>
      </c>
      <c r="B2041" t="s">
        <v>1132</v>
      </c>
      <c r="C2041" t="s">
        <v>2389</v>
      </c>
      <c r="D2041" t="s">
        <v>1077</v>
      </c>
      <c r="E2041" s="10">
        <v>61036</v>
      </c>
      <c r="F2041" s="12">
        <v>5.8E-5</v>
      </c>
    </row>
    <row r="2042" spans="1:6">
      <c r="A2042" s="10">
        <v>2017</v>
      </c>
      <c r="B2042" t="s">
        <v>1133</v>
      </c>
      <c r="C2042" t="s">
        <v>1962</v>
      </c>
      <c r="D2042" t="s">
        <v>1962</v>
      </c>
      <c r="E2042" s="10">
        <v>81991</v>
      </c>
      <c r="F2042" s="12">
        <v>7.7999999999999999E-5</v>
      </c>
    </row>
    <row r="2043" spans="1:6">
      <c r="A2043" s="10">
        <v>2017</v>
      </c>
      <c r="B2043" t="s">
        <v>1994</v>
      </c>
      <c r="C2043" t="s">
        <v>1963</v>
      </c>
      <c r="D2043" t="s">
        <v>1963</v>
      </c>
      <c r="E2043" s="10">
        <v>22312</v>
      </c>
      <c r="F2043" s="12">
        <v>2.1199999999999999E-3</v>
      </c>
    </row>
    <row r="2044" spans="1:6">
      <c r="A2044" s="10">
        <v>2017</v>
      </c>
      <c r="B2044" t="s">
        <v>1246</v>
      </c>
      <c r="C2044" t="s">
        <v>1964</v>
      </c>
      <c r="D2044" t="s">
        <v>1964</v>
      </c>
      <c r="E2044" s="10">
        <v>109261</v>
      </c>
      <c r="F2044" s="12">
        <v>1.039E-4</v>
      </c>
    </row>
    <row r="2045" spans="1:6">
      <c r="A2045" s="10">
        <v>2017</v>
      </c>
      <c r="B2045" t="s">
        <v>1135</v>
      </c>
      <c r="C2045" t="s">
        <v>1965</v>
      </c>
      <c r="D2045" t="s">
        <v>1965</v>
      </c>
      <c r="E2045" s="10">
        <v>240094</v>
      </c>
      <c r="F2045" s="12">
        <v>2.2829999999999999E-4</v>
      </c>
    </row>
    <row r="2046" spans="1:6">
      <c r="A2046" s="10">
        <v>2017</v>
      </c>
      <c r="B2046" t="s">
        <v>1136</v>
      </c>
      <c r="C2046" t="s">
        <v>1966</v>
      </c>
      <c r="D2046" t="s">
        <v>1966</v>
      </c>
      <c r="E2046" s="10">
        <v>435773</v>
      </c>
      <c r="F2046" s="12">
        <v>4.1439999999999999E-4</v>
      </c>
    </row>
    <row r="2047" spans="1:6">
      <c r="A2047" s="10">
        <v>2017</v>
      </c>
      <c r="B2047" t="s">
        <v>458</v>
      </c>
      <c r="C2047" t="s">
        <v>1967</v>
      </c>
      <c r="D2047" t="s">
        <v>1967</v>
      </c>
      <c r="E2047" s="10">
        <v>123602</v>
      </c>
      <c r="F2047" s="12">
        <v>1.176E-4</v>
      </c>
    </row>
    <row r="2048" spans="1:6">
      <c r="A2048" s="10">
        <v>2017</v>
      </c>
      <c r="B2048" t="s">
        <v>1137</v>
      </c>
      <c r="C2048" t="s">
        <v>1968</v>
      </c>
      <c r="D2048" t="s">
        <v>1968</v>
      </c>
      <c r="E2048" s="10">
        <v>273809</v>
      </c>
      <c r="F2048" s="12">
        <v>2.6039999999999999E-4</v>
      </c>
    </row>
    <row r="2049" spans="1:6">
      <c r="A2049" s="10">
        <v>2017</v>
      </c>
      <c r="B2049" t="s">
        <v>1247</v>
      </c>
      <c r="C2049" t="s">
        <v>1969</v>
      </c>
      <c r="D2049" t="s">
        <v>1969</v>
      </c>
      <c r="E2049" s="10">
        <v>27969</v>
      </c>
      <c r="F2049" s="12">
        <v>2.6599999999999999E-5</v>
      </c>
    </row>
    <row r="2050" spans="1:6">
      <c r="A2050" s="10">
        <v>2017</v>
      </c>
      <c r="B2050" t="s">
        <v>1138</v>
      </c>
      <c r="C2050" t="s">
        <v>1083</v>
      </c>
      <c r="D2050" t="s">
        <v>1083</v>
      </c>
      <c r="E2050" s="10">
        <v>9179</v>
      </c>
      <c r="F2050" s="12">
        <v>8.6999999999999997E-6</v>
      </c>
    </row>
    <row r="2051" spans="1:6">
      <c r="A2051" s="10">
        <v>2017</v>
      </c>
      <c r="B2051" t="s">
        <v>96</v>
      </c>
      <c r="C2051" t="s">
        <v>1970</v>
      </c>
      <c r="D2051" t="s">
        <v>1970</v>
      </c>
      <c r="E2051" s="10">
        <v>19873</v>
      </c>
      <c r="F2051" s="12">
        <v>1.8899999999999999E-5</v>
      </c>
    </row>
    <row r="2052" spans="1:6">
      <c r="A2052" s="10">
        <v>2017</v>
      </c>
      <c r="B2052" t="s">
        <v>1139</v>
      </c>
      <c r="C2052" t="s">
        <v>1084</v>
      </c>
      <c r="D2052" t="s">
        <v>1084</v>
      </c>
      <c r="E2052" s="10">
        <v>48707</v>
      </c>
      <c r="F2052" s="12">
        <v>4.6300000000000001E-5</v>
      </c>
    </row>
    <row r="2053" spans="1:6">
      <c r="A2053" s="10">
        <v>2017</v>
      </c>
      <c r="B2053" t="s">
        <v>1141</v>
      </c>
      <c r="C2053" t="s">
        <v>1971</v>
      </c>
      <c r="D2053" t="s">
        <v>1971</v>
      </c>
      <c r="E2053" s="10">
        <v>18479</v>
      </c>
      <c r="F2053" s="12">
        <v>1.7600000000000001E-5</v>
      </c>
    </row>
    <row r="2054" spans="1:6">
      <c r="A2054" s="10">
        <v>2017</v>
      </c>
      <c r="B2054" t="s">
        <v>1142</v>
      </c>
      <c r="C2054" t="s">
        <v>1087</v>
      </c>
      <c r="D2054" t="s">
        <v>1087</v>
      </c>
      <c r="E2054" s="10">
        <v>75608</v>
      </c>
      <c r="F2054" s="12">
        <v>7.1899999999999999E-5</v>
      </c>
    </row>
    <row r="2055" spans="1:6">
      <c r="A2055" s="10">
        <v>2017</v>
      </c>
      <c r="B2055" t="s">
        <v>1143</v>
      </c>
      <c r="C2055" t="s">
        <v>1088</v>
      </c>
      <c r="D2055" t="s">
        <v>1088</v>
      </c>
      <c r="E2055" s="10">
        <v>206356</v>
      </c>
      <c r="F2055" s="12">
        <v>1.963E-4</v>
      </c>
    </row>
    <row r="2056" spans="1:6">
      <c r="A2056" s="10">
        <v>2017</v>
      </c>
      <c r="B2056" t="s">
        <v>1144</v>
      </c>
      <c r="C2056" t="s">
        <v>1089</v>
      </c>
      <c r="D2056" t="s">
        <v>1089</v>
      </c>
      <c r="E2056" s="10">
        <v>62027</v>
      </c>
      <c r="F2056" s="12">
        <v>5.8999999999999998E-5</v>
      </c>
    </row>
    <row r="2057" spans="1:6">
      <c r="A2057" s="10">
        <v>2017</v>
      </c>
      <c r="B2057" t="s">
        <v>1145</v>
      </c>
      <c r="C2057" t="s">
        <v>2319</v>
      </c>
      <c r="D2057" t="s">
        <v>1972</v>
      </c>
      <c r="E2057" s="10"/>
      <c r="F2057" s="12">
        <v>0</v>
      </c>
    </row>
    <row r="2058" spans="1:6">
      <c r="A2058" s="10">
        <v>2017</v>
      </c>
      <c r="B2058" t="s">
        <v>1146</v>
      </c>
      <c r="C2058" t="s">
        <v>1973</v>
      </c>
      <c r="D2058" t="s">
        <v>1973</v>
      </c>
      <c r="E2058" s="10">
        <v>7626005</v>
      </c>
      <c r="F2058" s="12">
        <v>7.2526999999999999E-3</v>
      </c>
    </row>
    <row r="2059" spans="1:6">
      <c r="A2059" s="10">
        <v>2017</v>
      </c>
      <c r="B2059" t="s">
        <v>1147</v>
      </c>
      <c r="C2059" t="s">
        <v>1092</v>
      </c>
      <c r="D2059" t="s">
        <v>1092</v>
      </c>
      <c r="E2059" s="10">
        <v>3857</v>
      </c>
      <c r="F2059" s="12">
        <v>3.7000000000000002E-6</v>
      </c>
    </row>
    <row r="2060" spans="1:6">
      <c r="A2060" s="10">
        <v>2017</v>
      </c>
      <c r="B2060" t="s">
        <v>1148</v>
      </c>
      <c r="C2060" t="s">
        <v>1974</v>
      </c>
      <c r="D2060" t="s">
        <v>1974</v>
      </c>
      <c r="E2060" s="10">
        <v>215073</v>
      </c>
      <c r="F2060" s="12">
        <v>2.0450000000000001E-4</v>
      </c>
    </row>
    <row r="2061" spans="1:6">
      <c r="A2061" s="10">
        <v>2017</v>
      </c>
      <c r="B2061" t="s">
        <v>1248</v>
      </c>
      <c r="C2061" t="s">
        <v>1975</v>
      </c>
      <c r="D2061" t="s">
        <v>1975</v>
      </c>
      <c r="E2061" s="10">
        <v>51321</v>
      </c>
      <c r="F2061" s="12">
        <v>4.88E-5</v>
      </c>
    </row>
    <row r="2062" spans="1:6">
      <c r="A2062" s="10">
        <v>2017</v>
      </c>
      <c r="B2062" t="s">
        <v>1149</v>
      </c>
      <c r="C2062" t="s">
        <v>1094</v>
      </c>
      <c r="D2062" t="s">
        <v>1094</v>
      </c>
      <c r="E2062" s="10">
        <v>185816</v>
      </c>
      <c r="F2062" s="12">
        <v>1.7670000000000001E-4</v>
      </c>
    </row>
    <row r="2063" spans="1:6">
      <c r="A2063" s="10">
        <v>2017</v>
      </c>
      <c r="B2063" t="s">
        <v>1150</v>
      </c>
      <c r="C2063" t="s">
        <v>1976</v>
      </c>
      <c r="D2063" t="s">
        <v>1976</v>
      </c>
      <c r="E2063" s="10">
        <v>181640</v>
      </c>
      <c r="F2063" s="12">
        <v>1.727E-4</v>
      </c>
    </row>
    <row r="2064" spans="1:6">
      <c r="A2064" s="10">
        <v>2017</v>
      </c>
      <c r="B2064" t="s">
        <v>459</v>
      </c>
      <c r="C2064" t="s">
        <v>1977</v>
      </c>
      <c r="D2064" t="s">
        <v>1977</v>
      </c>
      <c r="E2064" s="10">
        <v>3797149</v>
      </c>
      <c r="F2064" s="12">
        <v>3.6113E-3</v>
      </c>
    </row>
    <row r="2065" spans="1:6">
      <c r="A2065" s="10">
        <v>2017</v>
      </c>
      <c r="B2065" t="s">
        <v>1151</v>
      </c>
      <c r="C2065" t="s">
        <v>1978</v>
      </c>
      <c r="D2065" t="s">
        <v>1978</v>
      </c>
      <c r="E2065" s="10"/>
      <c r="F2065" s="12">
        <v>0</v>
      </c>
    </row>
    <row r="2066" spans="1:6">
      <c r="A2066" s="10">
        <v>2017</v>
      </c>
      <c r="B2066" t="s">
        <v>1152</v>
      </c>
      <c r="C2066" t="s">
        <v>1979</v>
      </c>
      <c r="D2066" t="s">
        <v>1979</v>
      </c>
      <c r="E2066" s="10">
        <v>983058</v>
      </c>
      <c r="F2066" s="12">
        <v>9.3490000000000001E-4</v>
      </c>
    </row>
    <row r="2067" spans="1:6">
      <c r="A2067" s="10">
        <v>2017</v>
      </c>
      <c r="B2067" t="s">
        <v>1249</v>
      </c>
      <c r="C2067" t="s">
        <v>1980</v>
      </c>
      <c r="D2067" t="s">
        <v>1980</v>
      </c>
      <c r="E2067" s="10">
        <v>119631</v>
      </c>
      <c r="F2067" s="12">
        <v>1.138E-4</v>
      </c>
    </row>
    <row r="2068" spans="1:6">
      <c r="A2068" s="10">
        <v>2017</v>
      </c>
      <c r="B2068" t="s">
        <v>1153</v>
      </c>
      <c r="C2068" t="s">
        <v>1981</v>
      </c>
      <c r="D2068" t="s">
        <v>1981</v>
      </c>
      <c r="E2068" s="10">
        <v>148615</v>
      </c>
      <c r="F2068" s="12">
        <v>1.4129999999999999E-4</v>
      </c>
    </row>
    <row r="2069" spans="1:6">
      <c r="A2069" s="10">
        <v>2017</v>
      </c>
      <c r="B2069" t="s">
        <v>1154</v>
      </c>
      <c r="C2069" t="s">
        <v>1982</v>
      </c>
      <c r="D2069" t="s">
        <v>1982</v>
      </c>
      <c r="E2069" s="10">
        <v>6872338</v>
      </c>
      <c r="F2069" s="12">
        <v>6.5358999999999999E-3</v>
      </c>
    </row>
    <row r="2070" spans="1:6">
      <c r="A2070" s="10">
        <v>2017</v>
      </c>
      <c r="B2070" t="s">
        <v>1209</v>
      </c>
      <c r="C2070" t="s">
        <v>1983</v>
      </c>
      <c r="D2070" t="s">
        <v>1983</v>
      </c>
      <c r="E2070" s="10">
        <v>7286241</v>
      </c>
      <c r="F2070" s="12">
        <v>6.9296000000000002E-3</v>
      </c>
    </row>
    <row r="2071" spans="1:6">
      <c r="A2071" s="10">
        <v>2017</v>
      </c>
      <c r="B2071" t="s">
        <v>460</v>
      </c>
      <c r="C2071" t="s">
        <v>1984</v>
      </c>
      <c r="D2071" t="s">
        <v>1984</v>
      </c>
      <c r="E2071" s="10">
        <v>7998436</v>
      </c>
      <c r="F2071" s="12">
        <v>7.6068999999999998E-3</v>
      </c>
    </row>
    <row r="2072" spans="1:6">
      <c r="A2072" s="10">
        <v>2017</v>
      </c>
      <c r="B2072" t="s">
        <v>1210</v>
      </c>
      <c r="C2072" t="s">
        <v>1985</v>
      </c>
      <c r="D2072" t="s">
        <v>1985</v>
      </c>
      <c r="E2072" s="10">
        <v>618644</v>
      </c>
      <c r="F2072" s="12">
        <v>5.8839999999999999E-4</v>
      </c>
    </row>
    <row r="2073" spans="1:6">
      <c r="A2073" s="10">
        <v>2017</v>
      </c>
      <c r="B2073" t="s">
        <v>1250</v>
      </c>
      <c r="C2073" t="s">
        <v>1986</v>
      </c>
      <c r="D2073" t="s">
        <v>1986</v>
      </c>
      <c r="E2073" s="10">
        <v>153432</v>
      </c>
      <c r="F2073" s="12">
        <v>1.459E-4</v>
      </c>
    </row>
    <row r="2074" spans="1:6">
      <c r="A2074" s="10">
        <v>2017</v>
      </c>
      <c r="B2074" t="s">
        <v>1211</v>
      </c>
      <c r="C2074" t="s">
        <v>1157</v>
      </c>
      <c r="D2074" t="s">
        <v>1157</v>
      </c>
      <c r="E2074" s="10">
        <v>2210</v>
      </c>
      <c r="F2074" s="12">
        <v>2.0999999999999998E-6</v>
      </c>
    </row>
    <row r="2075" spans="1:6">
      <c r="A2075" s="10">
        <v>2017</v>
      </c>
      <c r="B2075" t="s">
        <v>1483</v>
      </c>
      <c r="C2075" t="s">
        <v>1482</v>
      </c>
      <c r="D2075" t="s">
        <v>1482</v>
      </c>
      <c r="E2075" s="10">
        <v>66651</v>
      </c>
      <c r="F2075" s="12">
        <v>6.3399999999999996E-5</v>
      </c>
    </row>
    <row r="2076" spans="1:6">
      <c r="A2076" s="10">
        <v>2017</v>
      </c>
      <c r="B2076" t="s">
        <v>1212</v>
      </c>
      <c r="C2076" t="s">
        <v>1987</v>
      </c>
      <c r="D2076" t="s">
        <v>1987</v>
      </c>
      <c r="E2076" s="10">
        <v>1548330</v>
      </c>
      <c r="F2076" s="12">
        <v>1.4725000000000001E-3</v>
      </c>
    </row>
    <row r="2077" spans="1:6">
      <c r="A2077" s="10">
        <v>2017</v>
      </c>
      <c r="B2077" t="s">
        <v>1213</v>
      </c>
      <c r="C2077" t="s">
        <v>1988</v>
      </c>
      <c r="D2077" t="s">
        <v>1988</v>
      </c>
      <c r="E2077" s="10">
        <v>4788335</v>
      </c>
      <c r="F2077" s="12">
        <v>4.5538999999999996E-3</v>
      </c>
    </row>
    <row r="2078" spans="1:6">
      <c r="A2078" s="10">
        <v>2017</v>
      </c>
      <c r="B2078" t="s">
        <v>461</v>
      </c>
      <c r="C2078" t="s">
        <v>1989</v>
      </c>
      <c r="D2078" t="s">
        <v>1989</v>
      </c>
      <c r="E2078" s="10">
        <v>858312</v>
      </c>
      <c r="F2078" s="12">
        <v>8.1629999999999995E-4</v>
      </c>
    </row>
    <row r="2079" spans="1:6">
      <c r="A2079" s="10">
        <v>2017</v>
      </c>
      <c r="B2079" t="s">
        <v>1214</v>
      </c>
      <c r="C2079" t="s">
        <v>1990</v>
      </c>
      <c r="D2079" t="s">
        <v>1990</v>
      </c>
      <c r="E2079" s="10">
        <v>435094</v>
      </c>
      <c r="F2079" s="12">
        <v>4.1379999999999998E-4</v>
      </c>
    </row>
    <row r="2080" spans="1:6">
      <c r="A2080" s="10">
        <v>2017</v>
      </c>
      <c r="B2080" t="s">
        <v>1215</v>
      </c>
      <c r="C2080" t="s">
        <v>1991</v>
      </c>
      <c r="D2080" t="s">
        <v>1991</v>
      </c>
      <c r="E2080" s="10">
        <v>390382</v>
      </c>
      <c r="F2080" s="12">
        <v>3.7130000000000003E-4</v>
      </c>
    </row>
    <row r="2081" spans="1:6">
      <c r="A2081" s="10">
        <v>2017</v>
      </c>
      <c r="B2081" t="s">
        <v>462</v>
      </c>
      <c r="C2081" t="s">
        <v>1992</v>
      </c>
      <c r="D2081" t="s">
        <v>1992</v>
      </c>
      <c r="E2081" s="10">
        <v>64646</v>
      </c>
      <c r="F2081" s="12">
        <v>6.1500000000000004E-5</v>
      </c>
    </row>
    <row r="2082" spans="1:6">
      <c r="A2082" s="10">
        <v>2017</v>
      </c>
      <c r="B2082" t="s">
        <v>1216</v>
      </c>
      <c r="C2082" t="s">
        <v>1162</v>
      </c>
      <c r="D2082" t="s">
        <v>1162</v>
      </c>
      <c r="E2082" s="10"/>
      <c r="F2082" s="12">
        <v>0</v>
      </c>
    </row>
    <row r="2083" spans="1:6">
      <c r="A2083" s="10">
        <v>2017</v>
      </c>
      <c r="B2083" t="s">
        <v>1217</v>
      </c>
      <c r="C2083" t="s">
        <v>1993</v>
      </c>
      <c r="D2083" t="s">
        <v>1993</v>
      </c>
      <c r="E2083" s="10">
        <v>89697</v>
      </c>
      <c r="F2083" s="12">
        <v>8.53E-5</v>
      </c>
    </row>
    <row r="2084" spans="1:6">
      <c r="A2084" s="10">
        <v>2017</v>
      </c>
      <c r="B2084" t="s">
        <v>1218</v>
      </c>
      <c r="C2084" t="s">
        <v>1995</v>
      </c>
      <c r="D2084" t="s">
        <v>1995</v>
      </c>
      <c r="E2084" s="10">
        <v>65721</v>
      </c>
      <c r="F2084" s="12">
        <v>6.2500000000000001E-5</v>
      </c>
    </row>
    <row r="2085" spans="1:6">
      <c r="A2085" s="10">
        <v>2017</v>
      </c>
      <c r="B2085" t="s">
        <v>1255</v>
      </c>
      <c r="C2085" t="s">
        <v>1201</v>
      </c>
      <c r="D2085" t="s">
        <v>1201</v>
      </c>
      <c r="E2085" s="10">
        <v>13286</v>
      </c>
      <c r="F2085" s="12">
        <v>1.26E-5</v>
      </c>
    </row>
    <row r="2086" spans="1:6">
      <c r="A2086" s="10">
        <v>2017</v>
      </c>
      <c r="B2086" t="s">
        <v>1256</v>
      </c>
      <c r="C2086" t="s">
        <v>1202</v>
      </c>
      <c r="D2086" t="s">
        <v>1202</v>
      </c>
      <c r="E2086" s="10">
        <v>40515</v>
      </c>
      <c r="F2086" s="12">
        <v>3.8500000000000001E-5</v>
      </c>
    </row>
    <row r="2087" spans="1:6">
      <c r="A2087" s="10">
        <v>2017</v>
      </c>
      <c r="B2087" t="s">
        <v>1257</v>
      </c>
      <c r="C2087" t="s">
        <v>1996</v>
      </c>
      <c r="D2087" t="s">
        <v>1996</v>
      </c>
      <c r="E2087" s="10">
        <v>1184683</v>
      </c>
      <c r="F2087" s="12">
        <v>1.1267E-3</v>
      </c>
    </row>
    <row r="2088" spans="1:6">
      <c r="A2088" s="10">
        <v>2017</v>
      </c>
      <c r="B2088" t="s">
        <v>1258</v>
      </c>
      <c r="C2088" t="s">
        <v>1204</v>
      </c>
      <c r="D2088" t="s">
        <v>1204</v>
      </c>
      <c r="E2088" s="10">
        <v>1104722</v>
      </c>
      <c r="F2088" s="12">
        <v>1.0506000000000001E-3</v>
      </c>
    </row>
    <row r="2089" spans="1:6">
      <c r="A2089" s="10">
        <v>2017</v>
      </c>
      <c r="B2089" t="s">
        <v>1259</v>
      </c>
      <c r="C2089" t="s">
        <v>1205</v>
      </c>
      <c r="D2089" t="s">
        <v>1205</v>
      </c>
      <c r="E2089" s="10">
        <v>279694</v>
      </c>
      <c r="F2089" s="12">
        <v>2.6600000000000001E-4</v>
      </c>
    </row>
    <row r="2090" spans="1:6">
      <c r="A2090" s="10">
        <v>2017</v>
      </c>
      <c r="B2090" t="s">
        <v>1260</v>
      </c>
      <c r="C2090" t="s">
        <v>1206</v>
      </c>
      <c r="D2090" t="s">
        <v>1206</v>
      </c>
      <c r="E2090" s="10">
        <v>56322</v>
      </c>
      <c r="F2090" s="12">
        <v>5.3600000000000002E-5</v>
      </c>
    </row>
    <row r="2091" spans="1:6">
      <c r="A2091" s="10">
        <v>2017</v>
      </c>
      <c r="B2091" t="s">
        <v>1261</v>
      </c>
      <c r="C2091" t="s">
        <v>1997</v>
      </c>
      <c r="D2091" t="s">
        <v>1997</v>
      </c>
      <c r="E2091" s="10">
        <v>27661624</v>
      </c>
      <c r="F2091" s="12">
        <v>2.63076E-2</v>
      </c>
    </row>
    <row r="2092" spans="1:6">
      <c r="A2092" s="10">
        <v>2017</v>
      </c>
      <c r="B2092" t="s">
        <v>1262</v>
      </c>
      <c r="C2092" t="s">
        <v>1208</v>
      </c>
      <c r="D2092" t="s">
        <v>1208</v>
      </c>
      <c r="E2092" s="10">
        <v>32651</v>
      </c>
      <c r="F2092" s="12">
        <v>3.1099999999999997E-5</v>
      </c>
    </row>
    <row r="2093" spans="1:6">
      <c r="A2093" s="10">
        <v>2017</v>
      </c>
      <c r="B2093" t="s">
        <v>1251</v>
      </c>
      <c r="C2093" t="s">
        <v>1998</v>
      </c>
      <c r="D2093" t="s">
        <v>1998</v>
      </c>
      <c r="E2093" s="10">
        <v>23618</v>
      </c>
      <c r="F2093" s="12">
        <v>2.2500000000000001E-5</v>
      </c>
    </row>
    <row r="2094" spans="1:6">
      <c r="A2094" s="10">
        <v>2017</v>
      </c>
      <c r="B2094" t="s">
        <v>1311</v>
      </c>
      <c r="C2094" t="s">
        <v>2414</v>
      </c>
      <c r="D2094" t="s">
        <v>1999</v>
      </c>
      <c r="E2094" s="10">
        <v>799364</v>
      </c>
      <c r="F2094" s="12">
        <v>7.6020000000000005E-4</v>
      </c>
    </row>
    <row r="2095" spans="1:6">
      <c r="A2095" s="10">
        <v>2017</v>
      </c>
      <c r="B2095" t="s">
        <v>1312</v>
      </c>
      <c r="C2095" t="s">
        <v>2000</v>
      </c>
      <c r="D2095" t="s">
        <v>2000</v>
      </c>
      <c r="E2095" s="10">
        <v>40396427</v>
      </c>
      <c r="F2095" s="12">
        <v>3.8419000000000002E-2</v>
      </c>
    </row>
    <row r="2096" spans="1:6">
      <c r="A2096" s="10">
        <v>2017</v>
      </c>
      <c r="B2096" t="s">
        <v>1313</v>
      </c>
      <c r="C2096" t="s">
        <v>2001</v>
      </c>
      <c r="D2096" t="s">
        <v>2001</v>
      </c>
      <c r="E2096" s="10">
        <v>6761334</v>
      </c>
      <c r="F2096" s="12">
        <v>6.4304000000000002E-3</v>
      </c>
    </row>
    <row r="2097" spans="1:6">
      <c r="A2097" s="10">
        <v>2017</v>
      </c>
      <c r="B2097" t="s">
        <v>1314</v>
      </c>
      <c r="C2097" t="s">
        <v>2002</v>
      </c>
      <c r="D2097" t="s">
        <v>2002</v>
      </c>
      <c r="E2097" s="10">
        <v>41705</v>
      </c>
      <c r="F2097" s="12">
        <v>3.9700000000000003E-5</v>
      </c>
    </row>
    <row r="2098" spans="1:6">
      <c r="A2098" s="10">
        <v>2017</v>
      </c>
      <c r="B2098" t="s">
        <v>1035</v>
      </c>
      <c r="C2098" t="s">
        <v>2003</v>
      </c>
      <c r="D2098" t="s">
        <v>2003</v>
      </c>
      <c r="E2098" s="10">
        <v>260347</v>
      </c>
      <c r="F2098" s="12">
        <v>2.476E-4</v>
      </c>
    </row>
    <row r="2099" spans="1:6">
      <c r="A2099" s="10">
        <v>2017</v>
      </c>
      <c r="B2099" t="s">
        <v>1315</v>
      </c>
      <c r="C2099" t="s">
        <v>2394</v>
      </c>
      <c r="D2099" t="s">
        <v>2004</v>
      </c>
      <c r="E2099" s="10">
        <v>29952</v>
      </c>
      <c r="F2099" s="12">
        <v>2.8500000000000002E-5</v>
      </c>
    </row>
    <row r="2100" spans="1:6">
      <c r="A2100" s="10">
        <v>2017</v>
      </c>
      <c r="B2100" t="s">
        <v>1033</v>
      </c>
      <c r="C2100" t="s">
        <v>2005</v>
      </c>
      <c r="D2100" t="s">
        <v>2005</v>
      </c>
      <c r="E2100" s="10">
        <v>1948727</v>
      </c>
      <c r="F2100" s="12">
        <v>1.8533E-3</v>
      </c>
    </row>
    <row r="2101" spans="1:6">
      <c r="A2101" s="10">
        <v>2017</v>
      </c>
      <c r="B2101" t="s">
        <v>1316</v>
      </c>
      <c r="C2101" t="s">
        <v>2459</v>
      </c>
      <c r="D2101" t="s">
        <v>2006</v>
      </c>
      <c r="E2101" s="10">
        <v>259659</v>
      </c>
      <c r="F2101" s="12">
        <v>2.4689999999999998E-4</v>
      </c>
    </row>
    <row r="2102" spans="1:6">
      <c r="A2102" s="10">
        <v>2017</v>
      </c>
      <c r="B2102" t="s">
        <v>1317</v>
      </c>
      <c r="C2102" t="s">
        <v>2007</v>
      </c>
      <c r="D2102" t="s">
        <v>2007</v>
      </c>
      <c r="E2102" s="10">
        <v>94353</v>
      </c>
      <c r="F2102" s="12">
        <v>8.9699999999999998E-5</v>
      </c>
    </row>
    <row r="2103" spans="1:6">
      <c r="A2103" s="10">
        <v>2017</v>
      </c>
      <c r="B2103" t="s">
        <v>1318</v>
      </c>
      <c r="C2103" t="s">
        <v>2008</v>
      </c>
      <c r="D2103" t="s">
        <v>2008</v>
      </c>
      <c r="E2103" s="10"/>
      <c r="F2103" s="12">
        <v>0</v>
      </c>
    </row>
    <row r="2104" spans="1:6">
      <c r="A2104" s="10">
        <v>2017</v>
      </c>
      <c r="B2104" t="s">
        <v>1319</v>
      </c>
      <c r="C2104" t="s">
        <v>1271</v>
      </c>
      <c r="D2104" t="s">
        <v>1271</v>
      </c>
      <c r="E2104" s="10">
        <v>25905</v>
      </c>
      <c r="F2104" s="12">
        <v>2.4600000000000002E-5</v>
      </c>
    </row>
    <row r="2105" spans="1:6">
      <c r="A2105" s="10">
        <v>2017</v>
      </c>
      <c r="B2105" t="s">
        <v>1320</v>
      </c>
      <c r="C2105" t="s">
        <v>2009</v>
      </c>
      <c r="D2105" t="s">
        <v>2009</v>
      </c>
      <c r="E2105" s="10">
        <v>77521</v>
      </c>
      <c r="F2105" s="12">
        <v>7.3700000000000002E-5</v>
      </c>
    </row>
    <row r="2106" spans="1:6">
      <c r="A2106" s="10">
        <v>2017</v>
      </c>
      <c r="B2106" t="s">
        <v>1321</v>
      </c>
      <c r="C2106" t="s">
        <v>1273</v>
      </c>
      <c r="D2106" t="s">
        <v>1273</v>
      </c>
      <c r="E2106" s="10"/>
      <c r="F2106" s="12">
        <v>0</v>
      </c>
    </row>
    <row r="2107" spans="1:6">
      <c r="A2107" s="10">
        <v>2017</v>
      </c>
      <c r="B2107" t="s">
        <v>1322</v>
      </c>
      <c r="C2107" t="s">
        <v>2333</v>
      </c>
      <c r="D2107" t="s">
        <v>2010</v>
      </c>
      <c r="E2107" s="10"/>
      <c r="F2107" s="12">
        <v>0</v>
      </c>
    </row>
    <row r="2108" spans="1:6">
      <c r="A2108" s="10">
        <v>2017</v>
      </c>
      <c r="B2108" t="s">
        <v>1323</v>
      </c>
      <c r="C2108" t="s">
        <v>2011</v>
      </c>
      <c r="D2108" t="s">
        <v>2011</v>
      </c>
      <c r="E2108" s="10">
        <v>12395346</v>
      </c>
      <c r="F2108" s="12">
        <v>1.17886E-2</v>
      </c>
    </row>
    <row r="2109" spans="1:6">
      <c r="A2109" s="10">
        <v>2017</v>
      </c>
      <c r="B2109" t="s">
        <v>1325</v>
      </c>
      <c r="C2109" t="s">
        <v>2395</v>
      </c>
      <c r="D2109" t="s">
        <v>2012</v>
      </c>
      <c r="E2109" s="10">
        <v>114582</v>
      </c>
      <c r="F2109" s="12">
        <v>1.0900000000000001E-4</v>
      </c>
    </row>
    <row r="2110" spans="1:6">
      <c r="A2110" s="10">
        <v>2017</v>
      </c>
      <c r="B2110" t="s">
        <v>1252</v>
      </c>
      <c r="C2110" t="s">
        <v>2013</v>
      </c>
      <c r="D2110" t="s">
        <v>2013</v>
      </c>
      <c r="E2110" s="10">
        <v>84404</v>
      </c>
      <c r="F2110" s="12">
        <v>8.03E-5</v>
      </c>
    </row>
    <row r="2111" spans="1:6">
      <c r="A2111" s="10">
        <v>2017</v>
      </c>
      <c r="B2111" t="s">
        <v>1326</v>
      </c>
      <c r="C2111" t="s">
        <v>2014</v>
      </c>
      <c r="D2111" t="s">
        <v>2014</v>
      </c>
      <c r="E2111" s="10">
        <v>68749</v>
      </c>
      <c r="F2111" s="12">
        <v>6.5400000000000004E-5</v>
      </c>
    </row>
    <row r="2112" spans="1:6">
      <c r="A2112" s="10">
        <v>2017</v>
      </c>
      <c r="B2112" t="s">
        <v>1327</v>
      </c>
      <c r="C2112" t="s">
        <v>1279</v>
      </c>
      <c r="D2112" t="s">
        <v>1279</v>
      </c>
      <c r="E2112" s="10">
        <v>802004</v>
      </c>
      <c r="F2112" s="12">
        <v>7.6270000000000005E-4</v>
      </c>
    </row>
    <row r="2113" spans="1:6">
      <c r="A2113" s="10">
        <v>2017</v>
      </c>
      <c r="B2113" t="s">
        <v>1328</v>
      </c>
      <c r="C2113" t="s">
        <v>1484</v>
      </c>
      <c r="D2113" t="s">
        <v>1484</v>
      </c>
      <c r="E2113" s="10">
        <v>25704</v>
      </c>
      <c r="F2113" s="12">
        <v>2.44E-5</v>
      </c>
    </row>
    <row r="2114" spans="1:6">
      <c r="A2114" s="10">
        <v>2017</v>
      </c>
      <c r="B2114" t="s">
        <v>1329</v>
      </c>
      <c r="C2114" t="s">
        <v>1485</v>
      </c>
      <c r="D2114" t="s">
        <v>1485</v>
      </c>
      <c r="E2114" s="10">
        <v>700959</v>
      </c>
      <c r="F2114" s="12">
        <v>6.6660000000000005E-4</v>
      </c>
    </row>
    <row r="2115" spans="1:6">
      <c r="A2115" s="10">
        <v>2017</v>
      </c>
      <c r="B2115" t="s">
        <v>1330</v>
      </c>
      <c r="C2115" t="s">
        <v>1282</v>
      </c>
      <c r="D2115" t="s">
        <v>1282</v>
      </c>
      <c r="E2115" s="10"/>
      <c r="F2115" s="12">
        <v>0</v>
      </c>
    </row>
    <row r="2116" spans="1:6">
      <c r="A2116" s="10">
        <v>2017</v>
      </c>
      <c r="B2116" t="s">
        <v>1331</v>
      </c>
      <c r="C2116" t="s">
        <v>1283</v>
      </c>
      <c r="D2116" t="s">
        <v>1283</v>
      </c>
      <c r="E2116" s="10"/>
      <c r="F2116" s="12">
        <v>0</v>
      </c>
    </row>
    <row r="2117" spans="1:6">
      <c r="A2117" s="10">
        <v>2017</v>
      </c>
      <c r="B2117" t="s">
        <v>1332</v>
      </c>
      <c r="C2117" t="s">
        <v>1284</v>
      </c>
      <c r="D2117" t="s">
        <v>1284</v>
      </c>
      <c r="E2117" s="10">
        <v>25606</v>
      </c>
      <c r="F2117" s="12">
        <v>2.44E-5</v>
      </c>
    </row>
    <row r="2118" spans="1:6">
      <c r="A2118" s="10">
        <v>2017</v>
      </c>
      <c r="B2118" t="s">
        <v>1333</v>
      </c>
      <c r="C2118" t="s">
        <v>2015</v>
      </c>
      <c r="D2118" t="s">
        <v>2015</v>
      </c>
      <c r="E2118" s="10">
        <v>5529</v>
      </c>
      <c r="F2118" s="12">
        <v>5.3000000000000001E-6</v>
      </c>
    </row>
    <row r="2119" spans="1:6">
      <c r="A2119" s="10">
        <v>2017</v>
      </c>
      <c r="B2119" t="s">
        <v>1334</v>
      </c>
      <c r="C2119" t="s">
        <v>2016</v>
      </c>
      <c r="D2119" t="s">
        <v>2016</v>
      </c>
      <c r="E2119" s="10">
        <v>1340702</v>
      </c>
      <c r="F2119" s="12">
        <v>1.2750999999999999E-3</v>
      </c>
    </row>
    <row r="2120" spans="1:6">
      <c r="A2120" s="10">
        <v>2017</v>
      </c>
      <c r="B2120" t="s">
        <v>1335</v>
      </c>
      <c r="C2120" t="s">
        <v>2017</v>
      </c>
      <c r="D2120" t="s">
        <v>2017</v>
      </c>
      <c r="E2120" s="10">
        <v>713080</v>
      </c>
      <c r="F2120" s="12">
        <v>6.7820000000000001E-4</v>
      </c>
    </row>
    <row r="2121" spans="1:6">
      <c r="A2121" s="10">
        <v>2017</v>
      </c>
      <c r="B2121" t="s">
        <v>1253</v>
      </c>
      <c r="C2121" t="s">
        <v>2018</v>
      </c>
      <c r="D2121" t="s">
        <v>2018</v>
      </c>
      <c r="E2121" s="10">
        <v>254182</v>
      </c>
      <c r="F2121" s="12">
        <v>2.4169999999999999E-4</v>
      </c>
    </row>
    <row r="2122" spans="1:6">
      <c r="A2122" s="10">
        <v>2017</v>
      </c>
      <c r="B2122" t="s">
        <v>1336</v>
      </c>
      <c r="C2122" t="s">
        <v>2019</v>
      </c>
      <c r="D2122" t="s">
        <v>2019</v>
      </c>
      <c r="E2122" s="10">
        <v>564776</v>
      </c>
      <c r="F2122" s="12">
        <v>5.3709999999999999E-4</v>
      </c>
    </row>
    <row r="2123" spans="1:6">
      <c r="A2123" s="10">
        <v>2017</v>
      </c>
      <c r="B2123" t="s">
        <v>463</v>
      </c>
      <c r="C2123" t="s">
        <v>2020</v>
      </c>
      <c r="D2123" t="s">
        <v>2020</v>
      </c>
      <c r="E2123" s="10">
        <v>177906</v>
      </c>
      <c r="F2123" s="12">
        <v>1.6919999999999999E-4</v>
      </c>
    </row>
    <row r="2124" spans="1:6">
      <c r="A2124" s="10">
        <v>2017</v>
      </c>
      <c r="B2124" t="s">
        <v>1337</v>
      </c>
      <c r="C2124" t="s">
        <v>2021</v>
      </c>
      <c r="D2124" t="s">
        <v>2021</v>
      </c>
      <c r="E2124" s="10">
        <v>332801</v>
      </c>
      <c r="F2124" s="12">
        <v>3.165E-4</v>
      </c>
    </row>
    <row r="2125" spans="1:6">
      <c r="A2125" s="10">
        <v>2017</v>
      </c>
      <c r="B2125" t="s">
        <v>464</v>
      </c>
      <c r="C2125" t="s">
        <v>2022</v>
      </c>
      <c r="D2125" t="s">
        <v>2022</v>
      </c>
      <c r="E2125" s="10">
        <v>295646</v>
      </c>
      <c r="F2125" s="12">
        <v>2.812E-4</v>
      </c>
    </row>
    <row r="2126" spans="1:6">
      <c r="A2126" s="10">
        <v>2017</v>
      </c>
      <c r="B2126" t="s">
        <v>1338</v>
      </c>
      <c r="C2126" t="s">
        <v>2023</v>
      </c>
      <c r="D2126" t="s">
        <v>2023</v>
      </c>
      <c r="E2126" s="10">
        <v>2394</v>
      </c>
      <c r="F2126" s="12">
        <v>2.3E-6</v>
      </c>
    </row>
    <row r="2127" spans="1:6">
      <c r="A2127" s="10">
        <v>2017</v>
      </c>
      <c r="B2127" t="s">
        <v>907</v>
      </c>
      <c r="C2127" t="s">
        <v>2024</v>
      </c>
      <c r="D2127" t="s">
        <v>2024</v>
      </c>
      <c r="E2127" s="10">
        <v>36775</v>
      </c>
      <c r="F2127" s="12">
        <v>3.4999999999999997E-5</v>
      </c>
    </row>
    <row r="2128" spans="1:6">
      <c r="A2128" s="10">
        <v>2017</v>
      </c>
      <c r="B2128" t="s">
        <v>1339</v>
      </c>
      <c r="C2128" t="s">
        <v>2025</v>
      </c>
      <c r="D2128" t="s">
        <v>2025</v>
      </c>
      <c r="E2128" s="10">
        <v>844375</v>
      </c>
      <c r="F2128" s="12">
        <v>8.03E-4</v>
      </c>
    </row>
    <row r="2129" spans="1:6">
      <c r="A2129" s="10">
        <v>2017</v>
      </c>
      <c r="B2129" t="s">
        <v>1340</v>
      </c>
      <c r="C2129" t="s">
        <v>2026</v>
      </c>
      <c r="D2129" t="s">
        <v>2026</v>
      </c>
      <c r="E2129" s="10">
        <v>1655934</v>
      </c>
      <c r="F2129" s="12">
        <v>1.5749E-3</v>
      </c>
    </row>
    <row r="2130" spans="1:6">
      <c r="A2130" s="10">
        <v>2017</v>
      </c>
      <c r="B2130" t="s">
        <v>1341</v>
      </c>
      <c r="C2130" t="s">
        <v>2027</v>
      </c>
      <c r="D2130" t="s">
        <v>2027</v>
      </c>
      <c r="E2130" s="10">
        <v>1086268</v>
      </c>
      <c r="F2130" s="12">
        <v>1.0330999999999999E-3</v>
      </c>
    </row>
    <row r="2131" spans="1:6">
      <c r="A2131" s="10">
        <v>2017</v>
      </c>
      <c r="B2131" t="s">
        <v>465</v>
      </c>
      <c r="C2131" t="s">
        <v>2028</v>
      </c>
      <c r="D2131" t="s">
        <v>2028</v>
      </c>
      <c r="E2131" s="10">
        <v>280507</v>
      </c>
      <c r="F2131" s="12">
        <v>2.6679999999999998E-4</v>
      </c>
    </row>
    <row r="2132" spans="1:6">
      <c r="A2132" s="10">
        <v>2017</v>
      </c>
      <c r="B2132" t="s">
        <v>1342</v>
      </c>
      <c r="C2132" t="s">
        <v>1294</v>
      </c>
      <c r="D2132" t="s">
        <v>1294</v>
      </c>
      <c r="E2132" s="10"/>
      <c r="F2132" s="12">
        <v>0</v>
      </c>
    </row>
    <row r="2133" spans="1:6">
      <c r="A2133" s="10">
        <v>2017</v>
      </c>
      <c r="B2133" t="s">
        <v>1343</v>
      </c>
      <c r="C2133" t="s">
        <v>2029</v>
      </c>
      <c r="D2133" t="s">
        <v>2029</v>
      </c>
      <c r="E2133" s="10">
        <v>36963</v>
      </c>
      <c r="F2133" s="12">
        <v>3.5200000000000002E-5</v>
      </c>
    </row>
    <row r="2134" spans="1:6">
      <c r="A2134" s="10">
        <v>2017</v>
      </c>
      <c r="B2134" t="s">
        <v>1344</v>
      </c>
      <c r="C2134" t="s">
        <v>2030</v>
      </c>
      <c r="D2134" t="s">
        <v>2030</v>
      </c>
      <c r="E2134" s="10">
        <v>56734</v>
      </c>
      <c r="F2134" s="12">
        <v>5.3999999999999998E-5</v>
      </c>
    </row>
    <row r="2135" spans="1:6">
      <c r="A2135" s="10">
        <v>2017</v>
      </c>
      <c r="B2135" t="s">
        <v>1346</v>
      </c>
      <c r="C2135" t="s">
        <v>1298</v>
      </c>
      <c r="D2135" t="s">
        <v>1298</v>
      </c>
      <c r="E2135" s="10">
        <v>2076402</v>
      </c>
      <c r="F2135" s="12">
        <v>1.9748000000000001E-3</v>
      </c>
    </row>
    <row r="2136" spans="1:6">
      <c r="A2136" s="10">
        <v>2017</v>
      </c>
      <c r="B2136" t="s">
        <v>1347</v>
      </c>
      <c r="C2136" t="s">
        <v>1299</v>
      </c>
      <c r="D2136" t="s">
        <v>1299</v>
      </c>
      <c r="E2136" s="10">
        <v>5436322</v>
      </c>
      <c r="F2136" s="12">
        <v>5.1701999999999998E-3</v>
      </c>
    </row>
    <row r="2137" spans="1:6">
      <c r="A2137" s="10">
        <v>2017</v>
      </c>
      <c r="B2137" t="s">
        <v>1345</v>
      </c>
      <c r="C2137" t="s">
        <v>2031</v>
      </c>
      <c r="D2137" t="s">
        <v>2031</v>
      </c>
      <c r="E2137" s="10"/>
      <c r="F2137" s="12">
        <v>0</v>
      </c>
    </row>
    <row r="2138" spans="1:6">
      <c r="A2138" s="10">
        <v>2017</v>
      </c>
      <c r="B2138" t="s">
        <v>1348</v>
      </c>
      <c r="C2138" t="s">
        <v>2032</v>
      </c>
      <c r="D2138" t="s">
        <v>2032</v>
      </c>
      <c r="E2138" s="10">
        <v>77127</v>
      </c>
      <c r="F2138" s="12">
        <v>7.3399999999999995E-5</v>
      </c>
    </row>
    <row r="2139" spans="1:6">
      <c r="A2139" s="10">
        <v>2017</v>
      </c>
      <c r="B2139" t="s">
        <v>1349</v>
      </c>
      <c r="C2139" t="s">
        <v>2033</v>
      </c>
      <c r="D2139" t="s">
        <v>2033</v>
      </c>
      <c r="E2139" s="10">
        <v>157161</v>
      </c>
      <c r="F2139" s="12">
        <v>1.495E-4</v>
      </c>
    </row>
    <row r="2140" spans="1:6">
      <c r="A2140" s="10">
        <v>2017</v>
      </c>
      <c r="B2140" t="s">
        <v>1254</v>
      </c>
      <c r="C2140" t="s">
        <v>2034</v>
      </c>
      <c r="D2140" t="s">
        <v>2034</v>
      </c>
      <c r="E2140" s="10">
        <v>81379</v>
      </c>
      <c r="F2140" s="12">
        <v>7.7399999999999998E-5</v>
      </c>
    </row>
    <row r="2141" spans="1:6">
      <c r="A2141" s="10">
        <v>2017</v>
      </c>
      <c r="B2141" t="s">
        <v>1350</v>
      </c>
      <c r="C2141" t="s">
        <v>2035</v>
      </c>
      <c r="D2141" t="s">
        <v>2035</v>
      </c>
      <c r="E2141" s="10">
        <v>27796</v>
      </c>
      <c r="F2141" s="12">
        <v>2.6400000000000001E-5</v>
      </c>
    </row>
    <row r="2142" spans="1:6">
      <c r="A2142" s="10">
        <v>2017</v>
      </c>
      <c r="B2142" t="s">
        <v>1352</v>
      </c>
      <c r="C2142" t="s">
        <v>1304</v>
      </c>
      <c r="D2142" t="s">
        <v>1304</v>
      </c>
      <c r="E2142" s="10">
        <v>4338519</v>
      </c>
      <c r="F2142" s="12">
        <v>4.1260999999999997E-3</v>
      </c>
    </row>
    <row r="2143" spans="1:6">
      <c r="A2143" s="10">
        <v>2017</v>
      </c>
      <c r="B2143" t="s">
        <v>1353</v>
      </c>
      <c r="C2143" t="s">
        <v>1305</v>
      </c>
      <c r="D2143" t="s">
        <v>1305</v>
      </c>
      <c r="E2143" s="10">
        <v>123098</v>
      </c>
      <c r="F2143" s="12">
        <v>1.171E-4</v>
      </c>
    </row>
    <row r="2144" spans="1:6">
      <c r="A2144" s="10">
        <v>2017</v>
      </c>
      <c r="B2144" t="s">
        <v>1351</v>
      </c>
      <c r="C2144" t="s">
        <v>2415</v>
      </c>
      <c r="D2144" t="s">
        <v>2036</v>
      </c>
      <c r="E2144" s="10">
        <v>26473</v>
      </c>
      <c r="F2144" s="12">
        <v>2.5199999999999999E-5</v>
      </c>
    </row>
    <row r="2145" spans="1:6">
      <c r="A2145" s="10">
        <v>2017</v>
      </c>
      <c r="B2145" t="s">
        <v>1354</v>
      </c>
      <c r="C2145" t="s">
        <v>2037</v>
      </c>
      <c r="D2145" t="s">
        <v>2037</v>
      </c>
      <c r="E2145" s="10">
        <v>4911</v>
      </c>
      <c r="F2145" s="12">
        <v>4.6999999999999999E-6</v>
      </c>
    </row>
    <row r="2146" spans="1:6">
      <c r="A2146" s="10">
        <v>2017</v>
      </c>
      <c r="B2146" t="s">
        <v>1355</v>
      </c>
      <c r="C2146" t="s">
        <v>2038</v>
      </c>
      <c r="D2146" t="s">
        <v>2038</v>
      </c>
      <c r="E2146" s="10">
        <v>3760796</v>
      </c>
      <c r="F2146" s="12">
        <v>3.5766999999999999E-3</v>
      </c>
    </row>
    <row r="2147" spans="1:6">
      <c r="A2147" s="10">
        <v>2017</v>
      </c>
      <c r="B2147" t="s">
        <v>1357</v>
      </c>
      <c r="C2147" t="s">
        <v>2039</v>
      </c>
      <c r="D2147" t="s">
        <v>2039</v>
      </c>
      <c r="E2147" s="10">
        <v>141229</v>
      </c>
      <c r="F2147" s="12">
        <v>1.3430000000000001E-4</v>
      </c>
    </row>
    <row r="2148" spans="1:6">
      <c r="A2148" s="10">
        <v>2017</v>
      </c>
      <c r="B2148" t="s">
        <v>2043</v>
      </c>
      <c r="C2148" t="s">
        <v>2040</v>
      </c>
      <c r="D2148" t="s">
        <v>2040</v>
      </c>
      <c r="E2148" s="10">
        <v>23322</v>
      </c>
      <c r="F2148" s="12">
        <v>2.2200000000000001E-5</v>
      </c>
    </row>
    <row r="2149" spans="1:6">
      <c r="A2149" s="10">
        <v>2017</v>
      </c>
      <c r="B2149" t="s">
        <v>1358</v>
      </c>
      <c r="C2149" t="s">
        <v>2041</v>
      </c>
      <c r="D2149" t="s">
        <v>2041</v>
      </c>
      <c r="E2149" s="10">
        <v>4509870</v>
      </c>
      <c r="F2149" s="12">
        <v>4.2890999999999997E-3</v>
      </c>
    </row>
    <row r="2150" spans="1:6">
      <c r="A2150" s="10">
        <v>2017</v>
      </c>
      <c r="B2150" t="s">
        <v>466</v>
      </c>
      <c r="C2150" t="s">
        <v>2042</v>
      </c>
      <c r="D2150" t="s">
        <v>2042</v>
      </c>
      <c r="E2150" s="10">
        <v>3287812</v>
      </c>
      <c r="F2150" s="12">
        <v>3.1269000000000002E-3</v>
      </c>
    </row>
    <row r="2151" spans="1:6">
      <c r="A2151" s="10">
        <v>2018</v>
      </c>
      <c r="B2151" t="s">
        <v>59</v>
      </c>
      <c r="C2151" t="s">
        <v>6</v>
      </c>
      <c r="D2151" t="s">
        <v>6</v>
      </c>
      <c r="E2151" s="10"/>
    </row>
    <row r="2152" spans="1:6">
      <c r="A2152" s="10">
        <v>2018</v>
      </c>
      <c r="B2152" t="s">
        <v>60</v>
      </c>
      <c r="C2152" t="s">
        <v>7</v>
      </c>
      <c r="D2152" t="s">
        <v>7</v>
      </c>
      <c r="E2152" s="10">
        <v>304511</v>
      </c>
      <c r="F2152" s="12">
        <v>2.811E-4</v>
      </c>
    </row>
    <row r="2153" spans="1:6">
      <c r="A2153" s="10">
        <v>2018</v>
      </c>
      <c r="B2153" t="s">
        <v>61</v>
      </c>
      <c r="C2153" t="s">
        <v>1487</v>
      </c>
      <c r="D2153" t="s">
        <v>2044</v>
      </c>
      <c r="E2153" s="10">
        <v>72857</v>
      </c>
      <c r="F2153" s="12">
        <v>6.7199999999999994E-5</v>
      </c>
    </row>
    <row r="2154" spans="1:6">
      <c r="A2154" s="10">
        <v>2018</v>
      </c>
      <c r="B2154" t="s">
        <v>62</v>
      </c>
      <c r="C2154" t="s">
        <v>9</v>
      </c>
      <c r="D2154" t="s">
        <v>9</v>
      </c>
      <c r="E2154" s="10">
        <v>69868</v>
      </c>
      <c r="F2154" s="12">
        <v>6.4499999999999996E-5</v>
      </c>
    </row>
    <row r="2155" spans="1:6">
      <c r="A2155" s="10">
        <v>2018</v>
      </c>
      <c r="B2155" t="s">
        <v>63</v>
      </c>
      <c r="C2155" t="s">
        <v>1488</v>
      </c>
      <c r="D2155" t="s">
        <v>1488</v>
      </c>
      <c r="E2155" s="10">
        <v>144687</v>
      </c>
      <c r="F2155" s="12">
        <v>1.3349999999999999E-4</v>
      </c>
    </row>
    <row r="2156" spans="1:6">
      <c r="A2156" s="10">
        <v>2018</v>
      </c>
      <c r="B2156" t="s">
        <v>64</v>
      </c>
      <c r="C2156" t="s">
        <v>1489</v>
      </c>
      <c r="D2156" t="s">
        <v>2045</v>
      </c>
      <c r="E2156" s="10">
        <v>3826849</v>
      </c>
      <c r="F2156" s="12">
        <v>3.5322000000000001E-3</v>
      </c>
    </row>
    <row r="2157" spans="1:6">
      <c r="A2157" s="10">
        <v>2018</v>
      </c>
      <c r="B2157" t="s">
        <v>65</v>
      </c>
      <c r="C2157" t="s">
        <v>1490</v>
      </c>
      <c r="D2157" t="s">
        <v>2046</v>
      </c>
      <c r="E2157" s="10">
        <v>81272</v>
      </c>
      <c r="F2157" s="12">
        <v>7.4999999999999993E-5</v>
      </c>
    </row>
    <row r="2158" spans="1:6">
      <c r="A2158" s="10">
        <v>2018</v>
      </c>
      <c r="B2158" t="s">
        <v>66</v>
      </c>
      <c r="C2158" t="s">
        <v>1491</v>
      </c>
      <c r="D2158" t="s">
        <v>1491</v>
      </c>
      <c r="E2158" s="10">
        <v>46181</v>
      </c>
      <c r="F2158" s="12">
        <v>4.2599999999999999E-5</v>
      </c>
    </row>
    <row r="2159" spans="1:6">
      <c r="A2159" s="10">
        <v>2018</v>
      </c>
      <c r="B2159" t="s">
        <v>67</v>
      </c>
      <c r="C2159" t="s">
        <v>1492</v>
      </c>
      <c r="D2159" t="s">
        <v>1492</v>
      </c>
      <c r="E2159" s="10">
        <v>195117</v>
      </c>
      <c r="F2159" s="12">
        <v>1.8009999999999999E-4</v>
      </c>
    </row>
    <row r="2160" spans="1:6">
      <c r="A2160" s="10">
        <v>2018</v>
      </c>
      <c r="B2160" t="s">
        <v>68</v>
      </c>
      <c r="C2160" t="s">
        <v>1493</v>
      </c>
      <c r="D2160" t="s">
        <v>1493</v>
      </c>
      <c r="E2160" s="10">
        <v>13839</v>
      </c>
      <c r="F2160" s="12">
        <v>1.2799999999999999E-5</v>
      </c>
    </row>
    <row r="2161" spans="1:6">
      <c r="A2161" s="10">
        <v>2018</v>
      </c>
      <c r="B2161" t="s">
        <v>69</v>
      </c>
      <c r="C2161" t="s">
        <v>1494</v>
      </c>
      <c r="D2161" t="s">
        <v>1494</v>
      </c>
      <c r="E2161" s="10">
        <v>343642</v>
      </c>
      <c r="F2161" s="12">
        <v>3.1720000000000001E-4</v>
      </c>
    </row>
    <row r="2162" spans="1:6">
      <c r="A2162" s="10">
        <v>2018</v>
      </c>
      <c r="B2162" t="s">
        <v>70</v>
      </c>
      <c r="C2162" t="s">
        <v>1495</v>
      </c>
      <c r="D2162" t="s">
        <v>1495</v>
      </c>
      <c r="E2162" s="10">
        <v>7057014</v>
      </c>
      <c r="F2162" s="12">
        <v>6.5135999999999996E-3</v>
      </c>
    </row>
    <row r="2163" spans="1:6">
      <c r="A2163" s="10">
        <v>2018</v>
      </c>
      <c r="B2163" t="s">
        <v>71</v>
      </c>
      <c r="C2163" t="s">
        <v>1496</v>
      </c>
      <c r="D2163" t="s">
        <v>2047</v>
      </c>
      <c r="E2163" s="10">
        <v>52262</v>
      </c>
      <c r="F2163" s="12">
        <v>4.8199999999999999E-5</v>
      </c>
    </row>
    <row r="2164" spans="1:6">
      <c r="A2164" s="10">
        <v>2018</v>
      </c>
      <c r="B2164" t="s">
        <v>72</v>
      </c>
      <c r="C2164" t="s">
        <v>1497</v>
      </c>
      <c r="D2164" t="s">
        <v>1497</v>
      </c>
      <c r="E2164" s="10">
        <v>382373</v>
      </c>
      <c r="F2164" s="12">
        <v>3.5290000000000001E-4</v>
      </c>
    </row>
    <row r="2165" spans="1:6">
      <c r="A2165" s="10">
        <v>2018</v>
      </c>
      <c r="B2165" t="s">
        <v>74</v>
      </c>
      <c r="C2165" t="s">
        <v>1498</v>
      </c>
      <c r="D2165" t="s">
        <v>1498</v>
      </c>
      <c r="E2165" s="10">
        <v>32906</v>
      </c>
      <c r="F2165" s="12">
        <v>3.04E-5</v>
      </c>
    </row>
    <row r="2166" spans="1:6">
      <c r="A2166" s="10">
        <v>2018</v>
      </c>
      <c r="B2166" t="s">
        <v>75</v>
      </c>
      <c r="C2166" t="s">
        <v>1365</v>
      </c>
      <c r="D2166" t="s">
        <v>1365</v>
      </c>
      <c r="E2166" s="10">
        <v>29089</v>
      </c>
      <c r="F2166" s="12">
        <v>2.6800000000000001E-5</v>
      </c>
    </row>
    <row r="2167" spans="1:6">
      <c r="A2167" s="10">
        <v>2018</v>
      </c>
      <c r="B2167" t="s">
        <v>76</v>
      </c>
      <c r="C2167" t="s">
        <v>1499</v>
      </c>
      <c r="D2167" t="s">
        <v>2048</v>
      </c>
      <c r="E2167" s="10">
        <v>7333602</v>
      </c>
      <c r="F2167" s="12">
        <v>6.7688999999999996E-3</v>
      </c>
    </row>
    <row r="2168" spans="1:6">
      <c r="A2168" s="10">
        <v>2018</v>
      </c>
      <c r="B2168" t="s">
        <v>77</v>
      </c>
      <c r="C2168" t="s">
        <v>1500</v>
      </c>
      <c r="D2168" t="s">
        <v>2049</v>
      </c>
      <c r="E2168" s="10">
        <v>186373</v>
      </c>
      <c r="F2168" s="12">
        <v>1.7200000000000001E-4</v>
      </c>
    </row>
    <row r="2169" spans="1:6">
      <c r="A2169" s="10">
        <v>2018</v>
      </c>
      <c r="B2169" t="s">
        <v>78</v>
      </c>
      <c r="C2169" t="s">
        <v>25</v>
      </c>
      <c r="D2169" t="s">
        <v>25</v>
      </c>
      <c r="E2169" s="10">
        <v>1227703</v>
      </c>
      <c r="F2169" s="12">
        <v>1.1332E-3</v>
      </c>
    </row>
    <row r="2170" spans="1:6">
      <c r="A2170" s="10">
        <v>2018</v>
      </c>
      <c r="B2170" t="s">
        <v>1524</v>
      </c>
      <c r="C2170" t="s">
        <v>1501</v>
      </c>
      <c r="D2170" t="s">
        <v>2050</v>
      </c>
      <c r="E2170" s="10"/>
    </row>
    <row r="2171" spans="1:6">
      <c r="A2171" s="10">
        <v>2018</v>
      </c>
      <c r="B2171" t="s">
        <v>79</v>
      </c>
      <c r="C2171" t="s">
        <v>1502</v>
      </c>
      <c r="D2171" t="s">
        <v>2051</v>
      </c>
      <c r="E2171" s="10">
        <v>9777</v>
      </c>
      <c r="F2171" s="12">
        <v>9.0000000000000002E-6</v>
      </c>
    </row>
    <row r="2172" spans="1:6">
      <c r="A2172" s="10">
        <v>2018</v>
      </c>
      <c r="B2172" t="s">
        <v>80</v>
      </c>
      <c r="C2172" t="s">
        <v>1503</v>
      </c>
      <c r="D2172" t="s">
        <v>2052</v>
      </c>
      <c r="E2172" s="10">
        <v>1686684</v>
      </c>
      <c r="F2172" s="12">
        <v>1.5567999999999999E-3</v>
      </c>
    </row>
    <row r="2173" spans="1:6">
      <c r="A2173" s="10">
        <v>2018</v>
      </c>
      <c r="B2173" t="s">
        <v>1324</v>
      </c>
      <c r="C2173" t="s">
        <v>1504</v>
      </c>
      <c r="D2173" t="s">
        <v>1504</v>
      </c>
      <c r="E2173" s="10">
        <v>80668</v>
      </c>
      <c r="F2173" s="12">
        <v>7.4499999999999995E-5</v>
      </c>
    </row>
    <row r="2174" spans="1:6">
      <c r="A2174" s="10">
        <v>2018</v>
      </c>
      <c r="B2174" t="s">
        <v>369</v>
      </c>
      <c r="C2174" t="s">
        <v>1505</v>
      </c>
      <c r="D2174" t="s">
        <v>1505</v>
      </c>
      <c r="E2174" s="10">
        <v>1112894</v>
      </c>
      <c r="F2174" s="12">
        <v>1.0272E-3</v>
      </c>
    </row>
    <row r="2175" spans="1:6">
      <c r="A2175" s="10">
        <v>2018</v>
      </c>
      <c r="B2175" t="s">
        <v>81</v>
      </c>
      <c r="C2175" t="s">
        <v>1506</v>
      </c>
      <c r="D2175" t="s">
        <v>1506</v>
      </c>
      <c r="E2175" s="10">
        <v>134880</v>
      </c>
      <c r="F2175" s="12">
        <v>1.2449999999999999E-4</v>
      </c>
    </row>
    <row r="2176" spans="1:6">
      <c r="A2176" s="10">
        <v>2018</v>
      </c>
      <c r="B2176" t="s">
        <v>1371</v>
      </c>
      <c r="C2176" t="s">
        <v>1507</v>
      </c>
      <c r="D2176" t="s">
        <v>2053</v>
      </c>
      <c r="E2176" s="10">
        <v>3706</v>
      </c>
      <c r="F2176" s="12">
        <v>3.4000000000000001E-6</v>
      </c>
    </row>
    <row r="2177" spans="1:6">
      <c r="A2177" s="10">
        <v>2018</v>
      </c>
      <c r="B2177" t="s">
        <v>58</v>
      </c>
      <c r="C2177" t="s">
        <v>1508</v>
      </c>
      <c r="D2177" t="s">
        <v>2054</v>
      </c>
      <c r="E2177" s="10">
        <v>606855</v>
      </c>
      <c r="F2177" s="12">
        <v>5.6010000000000001E-4</v>
      </c>
    </row>
    <row r="2178" spans="1:6">
      <c r="A2178" s="10">
        <v>2018</v>
      </c>
      <c r="B2178" t="s">
        <v>82</v>
      </c>
      <c r="C2178" t="s">
        <v>1509</v>
      </c>
      <c r="D2178" t="s">
        <v>1509</v>
      </c>
      <c r="E2178" s="10">
        <v>37897</v>
      </c>
      <c r="F2178" s="12">
        <v>3.4999999999999997E-5</v>
      </c>
    </row>
    <row r="2179" spans="1:6">
      <c r="A2179" s="10">
        <v>2018</v>
      </c>
      <c r="B2179" t="s">
        <v>83</v>
      </c>
      <c r="C2179" t="s">
        <v>30</v>
      </c>
      <c r="D2179" t="s">
        <v>30</v>
      </c>
      <c r="E2179" s="10">
        <v>7200248</v>
      </c>
      <c r="F2179" s="12">
        <v>6.6458000000000003E-3</v>
      </c>
    </row>
    <row r="2180" spans="1:6">
      <c r="A2180" s="10">
        <v>2018</v>
      </c>
      <c r="B2180" t="s">
        <v>84</v>
      </c>
      <c r="C2180" t="s">
        <v>31</v>
      </c>
      <c r="D2180" t="s">
        <v>31</v>
      </c>
      <c r="E2180" s="10">
        <v>34396</v>
      </c>
      <c r="F2180" s="12">
        <v>3.1699999999999998E-5</v>
      </c>
    </row>
    <row r="2181" spans="1:6">
      <c r="A2181" s="10">
        <v>2018</v>
      </c>
      <c r="B2181" t="s">
        <v>1426</v>
      </c>
      <c r="C2181" t="s">
        <v>1510</v>
      </c>
      <c r="D2181" t="s">
        <v>1510</v>
      </c>
      <c r="E2181" s="10">
        <v>430</v>
      </c>
      <c r="F2181" s="12">
        <v>3.9999999999999998E-7</v>
      </c>
    </row>
    <row r="2182" spans="1:6">
      <c r="A2182" s="10">
        <v>2018</v>
      </c>
      <c r="B2182" t="s">
        <v>91</v>
      </c>
      <c r="C2182" t="s">
        <v>1511</v>
      </c>
      <c r="D2182" t="s">
        <v>2055</v>
      </c>
      <c r="E2182" s="10">
        <v>20229</v>
      </c>
      <c r="F2182" s="12">
        <v>1.8700000000000001E-5</v>
      </c>
    </row>
    <row r="2183" spans="1:6">
      <c r="A2183" s="10">
        <v>2018</v>
      </c>
      <c r="B2183" t="s">
        <v>97</v>
      </c>
      <c r="C2183" t="s">
        <v>1512</v>
      </c>
      <c r="D2183" t="s">
        <v>1512</v>
      </c>
      <c r="E2183" s="10">
        <v>48302</v>
      </c>
      <c r="F2183" s="12">
        <v>4.46E-5</v>
      </c>
    </row>
    <row r="2184" spans="1:6">
      <c r="A2184" s="10">
        <v>2018</v>
      </c>
      <c r="B2184" t="s">
        <v>98</v>
      </c>
      <c r="C2184" t="s">
        <v>1513</v>
      </c>
      <c r="D2184" t="s">
        <v>1513</v>
      </c>
      <c r="E2184" s="10">
        <v>35633</v>
      </c>
      <c r="F2184" s="12">
        <v>3.29E-5</v>
      </c>
    </row>
    <row r="2185" spans="1:6">
      <c r="A2185" s="10">
        <v>2018</v>
      </c>
      <c r="B2185" t="s">
        <v>99</v>
      </c>
      <c r="C2185" t="s">
        <v>1514</v>
      </c>
      <c r="D2185" t="s">
        <v>2056</v>
      </c>
      <c r="E2185" s="10">
        <v>15411</v>
      </c>
      <c r="F2185" s="12">
        <v>1.42E-5</v>
      </c>
    </row>
    <row r="2186" spans="1:6">
      <c r="A2186" s="10">
        <v>2018</v>
      </c>
      <c r="B2186" t="s">
        <v>210</v>
      </c>
      <c r="C2186" t="s">
        <v>1515</v>
      </c>
      <c r="D2186" t="s">
        <v>2057</v>
      </c>
      <c r="E2186" s="10">
        <v>3300</v>
      </c>
      <c r="F2186" s="12">
        <v>3.0000000000000001E-6</v>
      </c>
    </row>
    <row r="2187" spans="1:6">
      <c r="A2187" s="10">
        <v>2018</v>
      </c>
      <c r="B2187" t="s">
        <v>85</v>
      </c>
      <c r="C2187" t="s">
        <v>1516</v>
      </c>
      <c r="D2187" t="s">
        <v>2058</v>
      </c>
      <c r="E2187" s="10">
        <v>26035</v>
      </c>
      <c r="F2187" s="12">
        <v>2.4000000000000001E-5</v>
      </c>
    </row>
    <row r="2188" spans="1:6">
      <c r="A2188" s="10">
        <v>2018</v>
      </c>
      <c r="B2188" t="s">
        <v>102</v>
      </c>
      <c r="C2188" t="s">
        <v>1517</v>
      </c>
      <c r="D2188" t="s">
        <v>2059</v>
      </c>
      <c r="E2188" s="10">
        <v>13310</v>
      </c>
      <c r="F2188" s="12">
        <v>1.2300000000000001E-5</v>
      </c>
    </row>
    <row r="2189" spans="1:6">
      <c r="A2189" s="10">
        <v>2018</v>
      </c>
      <c r="B2189" t="s">
        <v>104</v>
      </c>
      <c r="C2189" t="s">
        <v>1518</v>
      </c>
      <c r="D2189" t="s">
        <v>2060</v>
      </c>
      <c r="E2189" s="10">
        <v>39694</v>
      </c>
      <c r="F2189" s="12">
        <v>3.6600000000000002E-5</v>
      </c>
    </row>
    <row r="2190" spans="1:6">
      <c r="A2190" s="10">
        <v>2018</v>
      </c>
      <c r="B2190" t="s">
        <v>106</v>
      </c>
      <c r="C2190" t="s">
        <v>1519</v>
      </c>
      <c r="D2190" t="s">
        <v>1519</v>
      </c>
      <c r="E2190" s="10">
        <v>7446</v>
      </c>
      <c r="F2190" s="12">
        <v>6.9E-6</v>
      </c>
    </row>
    <row r="2191" spans="1:6">
      <c r="A2191" s="10">
        <v>2018</v>
      </c>
      <c r="B2191" t="s">
        <v>107</v>
      </c>
      <c r="C2191" t="s">
        <v>1520</v>
      </c>
      <c r="D2191" t="s">
        <v>2061</v>
      </c>
      <c r="E2191" s="10">
        <v>22716</v>
      </c>
      <c r="F2191" s="12">
        <v>2.0999999999999999E-5</v>
      </c>
    </row>
    <row r="2192" spans="1:6">
      <c r="A2192" s="10">
        <v>2018</v>
      </c>
      <c r="B2192" t="s">
        <v>108</v>
      </c>
      <c r="C2192" t="s">
        <v>1521</v>
      </c>
      <c r="D2192" t="s">
        <v>1521</v>
      </c>
      <c r="E2192" s="10">
        <v>309105</v>
      </c>
      <c r="F2192" s="12">
        <v>2.853E-4</v>
      </c>
    </row>
    <row r="2193" spans="1:6">
      <c r="A2193" s="10">
        <v>2018</v>
      </c>
      <c r="B2193" t="s">
        <v>109</v>
      </c>
      <c r="C2193" t="s">
        <v>1522</v>
      </c>
      <c r="D2193" t="s">
        <v>1522</v>
      </c>
      <c r="E2193" s="10">
        <v>18273</v>
      </c>
      <c r="F2193" s="12">
        <v>1.6900000000000001E-5</v>
      </c>
    </row>
    <row r="2194" spans="1:6">
      <c r="A2194" s="10">
        <v>2018</v>
      </c>
      <c r="B2194" t="s">
        <v>167</v>
      </c>
      <c r="C2194" t="s">
        <v>2062</v>
      </c>
      <c r="D2194" t="s">
        <v>2062</v>
      </c>
      <c r="E2194" s="10"/>
    </row>
    <row r="2195" spans="1:6">
      <c r="A2195" s="10">
        <v>2018</v>
      </c>
      <c r="B2195" t="s">
        <v>1140</v>
      </c>
      <c r="C2195" t="s">
        <v>1525</v>
      </c>
      <c r="D2195" t="s">
        <v>1525</v>
      </c>
      <c r="E2195" s="10">
        <v>313442</v>
      </c>
      <c r="F2195" s="12">
        <v>2.8929999999999998E-4</v>
      </c>
    </row>
    <row r="2196" spans="1:6">
      <c r="A2196" s="10">
        <v>2018</v>
      </c>
      <c r="B2196" t="s">
        <v>168</v>
      </c>
      <c r="C2196" t="s">
        <v>113</v>
      </c>
      <c r="D2196" t="s">
        <v>113</v>
      </c>
      <c r="E2196" s="10">
        <v>49443</v>
      </c>
      <c r="F2196" s="12">
        <v>4.5599999999999997E-5</v>
      </c>
    </row>
    <row r="2197" spans="1:6">
      <c r="A2197" s="10">
        <v>2018</v>
      </c>
      <c r="B2197" t="s">
        <v>170</v>
      </c>
      <c r="C2197" t="s">
        <v>1526</v>
      </c>
      <c r="D2197" t="s">
        <v>2063</v>
      </c>
      <c r="E2197" s="10">
        <v>37353</v>
      </c>
      <c r="F2197" s="12">
        <v>3.4499999999999998E-5</v>
      </c>
    </row>
    <row r="2198" spans="1:6">
      <c r="A2198" s="10">
        <v>2018</v>
      </c>
      <c r="B2198" t="s">
        <v>169</v>
      </c>
      <c r="C2198" t="s">
        <v>1527</v>
      </c>
      <c r="D2198" t="s">
        <v>2064</v>
      </c>
      <c r="E2198" s="10">
        <v>100466</v>
      </c>
      <c r="F2198" s="12">
        <v>9.2700000000000004E-5</v>
      </c>
    </row>
    <row r="2199" spans="1:6">
      <c r="A2199" s="10">
        <v>2018</v>
      </c>
      <c r="B2199" t="s">
        <v>1381</v>
      </c>
      <c r="C2199" t="s">
        <v>1528</v>
      </c>
      <c r="D2199" t="s">
        <v>2065</v>
      </c>
      <c r="E2199" s="10">
        <v>7439</v>
      </c>
      <c r="F2199" s="12">
        <v>6.9E-6</v>
      </c>
    </row>
    <row r="2200" spans="1:6">
      <c r="A2200" s="10">
        <v>2018</v>
      </c>
      <c r="B2200" t="s">
        <v>171</v>
      </c>
      <c r="C2200" t="s">
        <v>1529</v>
      </c>
      <c r="D2200" t="s">
        <v>1529</v>
      </c>
      <c r="E2200" s="10">
        <v>54048</v>
      </c>
      <c r="F2200" s="12">
        <v>4.99E-5</v>
      </c>
    </row>
    <row r="2201" spans="1:6">
      <c r="A2201" s="10">
        <v>2018</v>
      </c>
      <c r="B2201" t="s">
        <v>1427</v>
      </c>
      <c r="C2201" t="s">
        <v>1530</v>
      </c>
      <c r="D2201" t="s">
        <v>2066</v>
      </c>
      <c r="E2201" s="10">
        <v>552749</v>
      </c>
      <c r="F2201" s="12">
        <v>5.1020000000000004E-4</v>
      </c>
    </row>
    <row r="2202" spans="1:6">
      <c r="A2202" s="10">
        <v>2018</v>
      </c>
      <c r="B2202" t="s">
        <v>172</v>
      </c>
      <c r="C2202" t="s">
        <v>117</v>
      </c>
      <c r="D2202" t="s">
        <v>117</v>
      </c>
      <c r="E2202" s="10">
        <v>1625598</v>
      </c>
      <c r="F2202" s="12">
        <v>1.5004E-3</v>
      </c>
    </row>
    <row r="2203" spans="1:6">
      <c r="A2203" s="10">
        <v>2018</v>
      </c>
      <c r="B2203" t="s">
        <v>173</v>
      </c>
      <c r="C2203" t="s">
        <v>1531</v>
      </c>
      <c r="D2203" t="s">
        <v>2067</v>
      </c>
      <c r="E2203" s="10">
        <v>129158</v>
      </c>
      <c r="F2203" s="12">
        <v>1.192E-4</v>
      </c>
    </row>
    <row r="2204" spans="1:6">
      <c r="A2204" s="10">
        <v>2018</v>
      </c>
      <c r="B2204" t="s">
        <v>174</v>
      </c>
      <c r="C2204" t="s">
        <v>119</v>
      </c>
      <c r="D2204" t="s">
        <v>119</v>
      </c>
      <c r="E2204" s="10">
        <v>87747</v>
      </c>
      <c r="F2204" s="12">
        <v>8.1000000000000004E-5</v>
      </c>
    </row>
    <row r="2205" spans="1:6">
      <c r="A2205" s="10">
        <v>2018</v>
      </c>
      <c r="B2205" t="s">
        <v>175</v>
      </c>
      <c r="C2205" t="s">
        <v>1532</v>
      </c>
      <c r="D2205" t="s">
        <v>2068</v>
      </c>
      <c r="E2205" s="10">
        <v>400627</v>
      </c>
      <c r="F2205" s="12">
        <v>3.6979999999999999E-4</v>
      </c>
    </row>
    <row r="2206" spans="1:6">
      <c r="A2206" s="10">
        <v>2018</v>
      </c>
      <c r="B2206" t="s">
        <v>176</v>
      </c>
      <c r="C2206" t="s">
        <v>1533</v>
      </c>
      <c r="D2206" t="s">
        <v>2069</v>
      </c>
      <c r="E2206" s="10">
        <v>192389</v>
      </c>
      <c r="F2206" s="12">
        <v>1.7760000000000001E-4</v>
      </c>
    </row>
    <row r="2207" spans="1:6">
      <c r="A2207" s="10">
        <v>2018</v>
      </c>
      <c r="B2207" t="s">
        <v>177</v>
      </c>
      <c r="C2207" t="s">
        <v>122</v>
      </c>
      <c r="D2207" t="s">
        <v>122</v>
      </c>
      <c r="E2207" s="10">
        <v>143946</v>
      </c>
      <c r="F2207" s="12">
        <v>1.329E-4</v>
      </c>
    </row>
    <row r="2208" spans="1:6">
      <c r="A2208" s="10">
        <v>2018</v>
      </c>
      <c r="B2208" t="s">
        <v>178</v>
      </c>
      <c r="C2208" t="s">
        <v>1534</v>
      </c>
      <c r="D2208" t="s">
        <v>2070</v>
      </c>
      <c r="E2208" s="10">
        <v>3590201</v>
      </c>
      <c r="F2208" s="12">
        <v>3.3137000000000002E-3</v>
      </c>
    </row>
    <row r="2209" spans="1:6">
      <c r="A2209" s="10">
        <v>2018</v>
      </c>
      <c r="B2209" t="s">
        <v>181</v>
      </c>
      <c r="C2209" t="s">
        <v>1535</v>
      </c>
      <c r="D2209" t="s">
        <v>1535</v>
      </c>
      <c r="E2209" s="10">
        <v>1166668</v>
      </c>
      <c r="F2209" s="12">
        <v>1.0767999999999999E-3</v>
      </c>
    </row>
    <row r="2210" spans="1:6">
      <c r="A2210" s="10">
        <v>2018</v>
      </c>
      <c r="B2210" t="s">
        <v>1382</v>
      </c>
      <c r="C2210" t="s">
        <v>1536</v>
      </c>
      <c r="D2210" t="s">
        <v>1536</v>
      </c>
      <c r="E2210" s="10">
        <v>12107741</v>
      </c>
      <c r="F2210" s="12">
        <v>1.11754E-2</v>
      </c>
    </row>
    <row r="2211" spans="1:6">
      <c r="A2211" s="10">
        <v>2018</v>
      </c>
      <c r="B2211" t="s">
        <v>182</v>
      </c>
      <c r="C2211" t="s">
        <v>1537</v>
      </c>
      <c r="D2211" t="s">
        <v>1537</v>
      </c>
      <c r="E2211" s="10">
        <v>5310000</v>
      </c>
      <c r="F2211" s="12">
        <v>4.9011000000000002E-3</v>
      </c>
    </row>
    <row r="2212" spans="1:6">
      <c r="A2212" s="10">
        <v>2018</v>
      </c>
      <c r="B2212" t="s">
        <v>183</v>
      </c>
      <c r="C2212" t="s">
        <v>1538</v>
      </c>
      <c r="D2212" t="s">
        <v>2071</v>
      </c>
      <c r="E2212" s="10">
        <v>32199779</v>
      </c>
      <c r="F2212" s="12">
        <v>2.9720199999999999E-2</v>
      </c>
    </row>
    <row r="2213" spans="1:6">
      <c r="A2213" s="10">
        <v>2018</v>
      </c>
      <c r="B2213" t="s">
        <v>184</v>
      </c>
      <c r="C2213" t="s">
        <v>1539</v>
      </c>
      <c r="D2213" t="s">
        <v>1539</v>
      </c>
      <c r="E2213" s="10">
        <v>3140138</v>
      </c>
      <c r="F2213" s="12">
        <v>2.8982999999999999E-3</v>
      </c>
    </row>
    <row r="2214" spans="1:6">
      <c r="A2214" s="10">
        <v>2018</v>
      </c>
      <c r="B2214" t="s">
        <v>185</v>
      </c>
      <c r="C2214" t="s">
        <v>1540</v>
      </c>
      <c r="D2214" t="s">
        <v>2072</v>
      </c>
      <c r="E2214" s="10">
        <v>1764546</v>
      </c>
      <c r="F2214" s="12">
        <v>1.6287000000000001E-3</v>
      </c>
    </row>
    <row r="2215" spans="1:6">
      <c r="A2215" s="10">
        <v>2018</v>
      </c>
      <c r="B2215" t="s">
        <v>186</v>
      </c>
      <c r="C2215" t="s">
        <v>1541</v>
      </c>
      <c r="D2215" t="s">
        <v>2073</v>
      </c>
      <c r="E2215" s="10">
        <v>2681386</v>
      </c>
      <c r="F2215" s="12">
        <v>2.4748999999999999E-3</v>
      </c>
    </row>
    <row r="2216" spans="1:6">
      <c r="A2216" s="10">
        <v>2018</v>
      </c>
      <c r="B2216" t="s">
        <v>89</v>
      </c>
      <c r="C2216" t="s">
        <v>36</v>
      </c>
      <c r="D2216" t="s">
        <v>2074</v>
      </c>
      <c r="E2216" s="10"/>
    </row>
    <row r="2217" spans="1:6">
      <c r="A2217" s="10">
        <v>2018</v>
      </c>
      <c r="B2217" t="s">
        <v>187</v>
      </c>
      <c r="C2217" t="s">
        <v>1542</v>
      </c>
      <c r="D2217" t="s">
        <v>2074</v>
      </c>
      <c r="E2217" s="10">
        <v>319270</v>
      </c>
      <c r="F2217" s="12">
        <v>2.9470000000000001E-4</v>
      </c>
    </row>
    <row r="2218" spans="1:6">
      <c r="A2218" s="10">
        <v>2018</v>
      </c>
      <c r="B2218" t="s">
        <v>180</v>
      </c>
      <c r="C2218" t="s">
        <v>1543</v>
      </c>
      <c r="D2218" t="s">
        <v>2075</v>
      </c>
      <c r="E2218" s="10"/>
    </row>
    <row r="2219" spans="1:6">
      <c r="A2219" s="10">
        <v>2018</v>
      </c>
      <c r="B2219" t="s">
        <v>189</v>
      </c>
      <c r="C2219" t="s">
        <v>1544</v>
      </c>
      <c r="D2219" t="s">
        <v>1544</v>
      </c>
      <c r="E2219" s="10">
        <v>658649</v>
      </c>
      <c r="F2219" s="12">
        <v>6.0789999999999998E-4</v>
      </c>
    </row>
    <row r="2220" spans="1:6">
      <c r="A2220" s="10">
        <v>2018</v>
      </c>
      <c r="B2220" t="s">
        <v>179</v>
      </c>
      <c r="C2220" t="s">
        <v>1545</v>
      </c>
      <c r="D2220" t="s">
        <v>2076</v>
      </c>
      <c r="E2220" s="10"/>
    </row>
    <row r="2221" spans="1:6">
      <c r="A2221" s="10">
        <v>2018</v>
      </c>
      <c r="B2221" t="s">
        <v>190</v>
      </c>
      <c r="C2221" t="s">
        <v>1546</v>
      </c>
      <c r="D2221" t="s">
        <v>2077</v>
      </c>
      <c r="E2221" s="10">
        <v>7709118</v>
      </c>
      <c r="F2221" s="12">
        <v>7.1155000000000003E-3</v>
      </c>
    </row>
    <row r="2222" spans="1:6">
      <c r="A2222" s="10">
        <v>2018</v>
      </c>
      <c r="B2222" t="s">
        <v>191</v>
      </c>
      <c r="C2222" t="s">
        <v>1547</v>
      </c>
      <c r="D2222" t="s">
        <v>2078</v>
      </c>
      <c r="E2222" s="10">
        <v>94450</v>
      </c>
      <c r="F2222" s="12">
        <v>8.7200000000000005E-5</v>
      </c>
    </row>
    <row r="2223" spans="1:6">
      <c r="A2223" s="10">
        <v>2018</v>
      </c>
      <c r="B2223" t="s">
        <v>192</v>
      </c>
      <c r="C2223" t="s">
        <v>1548</v>
      </c>
      <c r="D2223" t="s">
        <v>1548</v>
      </c>
      <c r="E2223" s="10">
        <v>426149</v>
      </c>
      <c r="F2223" s="12">
        <v>3.9330000000000002E-4</v>
      </c>
    </row>
    <row r="2224" spans="1:6">
      <c r="A2224" s="10">
        <v>2018</v>
      </c>
      <c r="B2224" t="s">
        <v>193</v>
      </c>
      <c r="C2224" t="s">
        <v>1549</v>
      </c>
      <c r="D2224" t="s">
        <v>1549</v>
      </c>
      <c r="E2224" s="10">
        <v>458462</v>
      </c>
      <c r="F2224" s="12">
        <v>4.2319999999999999E-4</v>
      </c>
    </row>
    <row r="2225" spans="1:6">
      <c r="A2225" s="10">
        <v>2018</v>
      </c>
      <c r="B2225" t="s">
        <v>194</v>
      </c>
      <c r="C2225" t="s">
        <v>1550</v>
      </c>
      <c r="D2225" t="s">
        <v>2079</v>
      </c>
      <c r="E2225" s="10">
        <v>486171</v>
      </c>
      <c r="F2225" s="12">
        <v>4.4870000000000001E-4</v>
      </c>
    </row>
    <row r="2226" spans="1:6">
      <c r="A2226" s="10">
        <v>2018</v>
      </c>
      <c r="B2226" t="s">
        <v>196</v>
      </c>
      <c r="C2226" t="s">
        <v>1551</v>
      </c>
      <c r="D2226" t="s">
        <v>2080</v>
      </c>
      <c r="E2226" s="10">
        <v>122866</v>
      </c>
      <c r="F2226" s="12">
        <v>1.1340000000000001E-4</v>
      </c>
    </row>
    <row r="2227" spans="1:6">
      <c r="A2227" s="10">
        <v>2018</v>
      </c>
      <c r="B2227" t="s">
        <v>197</v>
      </c>
      <c r="C2227" t="s">
        <v>1552</v>
      </c>
      <c r="D2227" t="s">
        <v>1552</v>
      </c>
      <c r="E2227" s="10">
        <v>4776424</v>
      </c>
      <c r="F2227" s="12">
        <v>4.4086000000000004E-3</v>
      </c>
    </row>
    <row r="2228" spans="1:6">
      <c r="A2228" s="10">
        <v>2018</v>
      </c>
      <c r="B2228" t="s">
        <v>198</v>
      </c>
      <c r="C2228" t="s">
        <v>1553</v>
      </c>
      <c r="D2228" t="s">
        <v>1553</v>
      </c>
      <c r="E2228" s="10">
        <v>141156</v>
      </c>
      <c r="F2228" s="12">
        <v>1.303E-4</v>
      </c>
    </row>
    <row r="2229" spans="1:6">
      <c r="A2229" s="10">
        <v>2018</v>
      </c>
      <c r="B2229" t="s">
        <v>199</v>
      </c>
      <c r="C2229" t="s">
        <v>1554</v>
      </c>
      <c r="D2229" t="s">
        <v>1554</v>
      </c>
      <c r="E2229" s="10">
        <v>2967891</v>
      </c>
      <c r="F2229" s="12">
        <v>2.7393000000000001E-3</v>
      </c>
    </row>
    <row r="2230" spans="1:6">
      <c r="A2230" s="10">
        <v>2018</v>
      </c>
      <c r="B2230" t="s">
        <v>200</v>
      </c>
      <c r="C2230" t="s">
        <v>1555</v>
      </c>
      <c r="D2230" t="s">
        <v>2081</v>
      </c>
      <c r="E2230" s="10">
        <v>19272894</v>
      </c>
      <c r="F2230" s="12">
        <v>1.7788700000000001E-2</v>
      </c>
    </row>
    <row r="2231" spans="1:6">
      <c r="A2231" s="10">
        <v>2018</v>
      </c>
      <c r="B2231" t="s">
        <v>201</v>
      </c>
      <c r="C2231" t="s">
        <v>1556</v>
      </c>
      <c r="D2231" t="s">
        <v>2082</v>
      </c>
      <c r="E2231" s="10">
        <v>1594645</v>
      </c>
      <c r="F2231" s="12">
        <v>1.4718000000000001E-3</v>
      </c>
    </row>
    <row r="2232" spans="1:6">
      <c r="A2232" s="10">
        <v>2018</v>
      </c>
      <c r="B2232" t="s">
        <v>202</v>
      </c>
      <c r="C2232" t="s">
        <v>1557</v>
      </c>
      <c r="D2232" t="s">
        <v>2083</v>
      </c>
      <c r="E2232" s="10">
        <v>892054</v>
      </c>
      <c r="F2232" s="12">
        <v>8.2339999999999996E-4</v>
      </c>
    </row>
    <row r="2233" spans="1:6">
      <c r="A2233" s="10">
        <v>2018</v>
      </c>
      <c r="B2233" t="s">
        <v>203</v>
      </c>
      <c r="C2233" t="s">
        <v>1558</v>
      </c>
      <c r="D2233" t="s">
        <v>2084</v>
      </c>
      <c r="E2233" s="10"/>
    </row>
    <row r="2234" spans="1:6">
      <c r="A2234" s="10">
        <v>2018</v>
      </c>
      <c r="B2234" t="s">
        <v>204</v>
      </c>
      <c r="C2234" t="s">
        <v>1559</v>
      </c>
      <c r="D2234" t="s">
        <v>2085</v>
      </c>
      <c r="E2234" s="10">
        <v>958607</v>
      </c>
      <c r="F2234" s="12">
        <v>8.8480000000000004E-4</v>
      </c>
    </row>
    <row r="2235" spans="1:6">
      <c r="A2235" s="10">
        <v>2018</v>
      </c>
      <c r="B2235" t="s">
        <v>205</v>
      </c>
      <c r="C2235" t="s">
        <v>150</v>
      </c>
      <c r="D2235" t="s">
        <v>150</v>
      </c>
      <c r="E2235" s="10">
        <v>224633</v>
      </c>
      <c r="F2235" s="12">
        <v>2.073E-4</v>
      </c>
    </row>
    <row r="2236" spans="1:6">
      <c r="A2236" s="10">
        <v>2018</v>
      </c>
      <c r="B2236" t="s">
        <v>1563</v>
      </c>
      <c r="C2236" t="s">
        <v>1560</v>
      </c>
      <c r="D2236" t="s">
        <v>1560</v>
      </c>
      <c r="E2236" s="10">
        <v>100417</v>
      </c>
      <c r="F2236" s="12">
        <v>9.2700000000000004E-5</v>
      </c>
    </row>
    <row r="2237" spans="1:6">
      <c r="A2237" s="10">
        <v>2018</v>
      </c>
      <c r="B2237" t="s">
        <v>2088</v>
      </c>
      <c r="C2237" t="s">
        <v>2086</v>
      </c>
      <c r="D2237" t="s">
        <v>2086</v>
      </c>
      <c r="E2237" s="10">
        <v>369666</v>
      </c>
      <c r="F2237" s="12">
        <v>3.412E-4</v>
      </c>
    </row>
    <row r="2238" spans="1:6">
      <c r="A2238" s="10">
        <v>2018</v>
      </c>
      <c r="B2238" t="s">
        <v>2089</v>
      </c>
      <c r="C2238" t="s">
        <v>2087</v>
      </c>
      <c r="D2238" t="s">
        <v>2087</v>
      </c>
      <c r="E2238" s="10">
        <v>7746</v>
      </c>
      <c r="F2238" s="12">
        <v>7.0999999999999998E-6</v>
      </c>
    </row>
    <row r="2239" spans="1:6">
      <c r="A2239" s="10">
        <v>2018</v>
      </c>
      <c r="B2239" t="s">
        <v>188</v>
      </c>
      <c r="C2239" t="s">
        <v>1561</v>
      </c>
      <c r="D2239" t="s">
        <v>1561</v>
      </c>
      <c r="E2239" s="10">
        <v>2642731</v>
      </c>
      <c r="F2239" s="12">
        <v>2.4391999999999999E-3</v>
      </c>
    </row>
    <row r="2240" spans="1:6">
      <c r="A2240" s="10">
        <v>2018</v>
      </c>
      <c r="B2240" t="s">
        <v>206</v>
      </c>
      <c r="C2240" t="s">
        <v>1562</v>
      </c>
      <c r="D2240" t="s">
        <v>1562</v>
      </c>
      <c r="E2240" s="10"/>
    </row>
    <row r="2241" spans="1:6">
      <c r="A2241" s="10">
        <v>2018</v>
      </c>
      <c r="B2241" t="s">
        <v>207</v>
      </c>
      <c r="C2241" t="s">
        <v>152</v>
      </c>
      <c r="D2241" t="s">
        <v>152</v>
      </c>
      <c r="E2241" s="10">
        <v>756692</v>
      </c>
      <c r="F2241" s="12">
        <v>6.9839999999999995E-4</v>
      </c>
    </row>
    <row r="2242" spans="1:6">
      <c r="A2242" s="10">
        <v>2018</v>
      </c>
      <c r="B2242" t="s">
        <v>57</v>
      </c>
      <c r="C2242" t="s">
        <v>1564</v>
      </c>
      <c r="D2242" t="s">
        <v>2090</v>
      </c>
      <c r="E2242" s="10">
        <v>5820522</v>
      </c>
      <c r="F2242" s="12">
        <v>5.3723E-3</v>
      </c>
    </row>
    <row r="2243" spans="1:6">
      <c r="A2243" s="10">
        <v>2018</v>
      </c>
      <c r="B2243" t="s">
        <v>208</v>
      </c>
      <c r="C2243" t="s">
        <v>153</v>
      </c>
      <c r="D2243" t="s">
        <v>153</v>
      </c>
      <c r="E2243" s="10"/>
    </row>
    <row r="2244" spans="1:6">
      <c r="A2244" s="10">
        <v>2018</v>
      </c>
      <c r="B2244" t="s">
        <v>209</v>
      </c>
      <c r="C2244" t="s">
        <v>154</v>
      </c>
      <c r="D2244" t="s">
        <v>154</v>
      </c>
      <c r="E2244" s="10">
        <v>159007</v>
      </c>
      <c r="F2244" s="12">
        <v>1.4679999999999999E-4</v>
      </c>
    </row>
    <row r="2245" spans="1:6">
      <c r="A2245" s="10">
        <v>2018</v>
      </c>
      <c r="B2245" t="s">
        <v>211</v>
      </c>
      <c r="C2245" t="s">
        <v>1565</v>
      </c>
      <c r="D2245" t="s">
        <v>1565</v>
      </c>
      <c r="E2245" s="10">
        <v>733524</v>
      </c>
      <c r="F2245" s="12">
        <v>6.7699999999999998E-4</v>
      </c>
    </row>
    <row r="2246" spans="1:6">
      <c r="A2246" s="10">
        <v>2018</v>
      </c>
      <c r="B2246" t="s">
        <v>212</v>
      </c>
      <c r="C2246" t="s">
        <v>1566</v>
      </c>
      <c r="D2246" t="s">
        <v>2091</v>
      </c>
      <c r="E2246" s="10"/>
    </row>
    <row r="2247" spans="1:6">
      <c r="A2247" s="10">
        <v>2018</v>
      </c>
      <c r="B2247" t="s">
        <v>213</v>
      </c>
      <c r="C2247" t="s">
        <v>158</v>
      </c>
      <c r="D2247" t="s">
        <v>158</v>
      </c>
      <c r="E2247" s="10">
        <v>1033054</v>
      </c>
      <c r="F2247" s="12">
        <v>9.5350000000000003E-4</v>
      </c>
    </row>
    <row r="2248" spans="1:6">
      <c r="A2248" s="10">
        <v>2018</v>
      </c>
      <c r="B2248" t="s">
        <v>1597</v>
      </c>
      <c r="C2248" t="s">
        <v>1567</v>
      </c>
      <c r="D2248" t="s">
        <v>2092</v>
      </c>
      <c r="E2248" s="10">
        <v>9352</v>
      </c>
      <c r="F2248" s="12">
        <v>8.6000000000000007E-6</v>
      </c>
    </row>
    <row r="2249" spans="1:6">
      <c r="A2249" s="10">
        <v>2018</v>
      </c>
      <c r="B2249" t="s">
        <v>214</v>
      </c>
      <c r="C2249" t="s">
        <v>159</v>
      </c>
      <c r="D2249" t="s">
        <v>159</v>
      </c>
      <c r="E2249" s="10">
        <v>167198</v>
      </c>
      <c r="F2249" s="12">
        <v>1.5430000000000001E-4</v>
      </c>
    </row>
    <row r="2250" spans="1:6">
      <c r="A2250" s="10">
        <v>2018</v>
      </c>
      <c r="B2250" t="s">
        <v>215</v>
      </c>
      <c r="C2250" t="s">
        <v>1568</v>
      </c>
      <c r="D2250" t="s">
        <v>2093</v>
      </c>
      <c r="E2250" s="10">
        <v>175470</v>
      </c>
      <c r="F2250" s="12">
        <v>1.6200000000000001E-4</v>
      </c>
    </row>
    <row r="2251" spans="1:6">
      <c r="A2251" s="10">
        <v>2018</v>
      </c>
      <c r="B2251" t="s">
        <v>216</v>
      </c>
      <c r="C2251" t="s">
        <v>2094</v>
      </c>
      <c r="D2251" t="s">
        <v>2094</v>
      </c>
      <c r="E2251" s="10"/>
    </row>
    <row r="2252" spans="1:6">
      <c r="A2252" s="10">
        <v>2018</v>
      </c>
      <c r="B2252" t="s">
        <v>217</v>
      </c>
      <c r="C2252" t="s">
        <v>162</v>
      </c>
      <c r="D2252" t="s">
        <v>162</v>
      </c>
      <c r="E2252" s="10">
        <v>353504</v>
      </c>
      <c r="F2252" s="12">
        <v>3.2630000000000002E-4</v>
      </c>
    </row>
    <row r="2253" spans="1:6">
      <c r="A2253" s="10">
        <v>2018</v>
      </c>
      <c r="B2253" t="s">
        <v>219</v>
      </c>
      <c r="C2253" t="s">
        <v>164</v>
      </c>
      <c r="D2253" t="s">
        <v>164</v>
      </c>
      <c r="E2253" s="10">
        <v>309405</v>
      </c>
      <c r="F2253" s="12">
        <v>2.856E-4</v>
      </c>
    </row>
    <row r="2254" spans="1:6">
      <c r="A2254" s="10">
        <v>2018</v>
      </c>
      <c r="B2254" t="s">
        <v>73</v>
      </c>
      <c r="C2254" t="s">
        <v>2354</v>
      </c>
      <c r="D2254" t="s">
        <v>2095</v>
      </c>
      <c r="E2254" s="10">
        <v>155991</v>
      </c>
      <c r="F2254" s="12">
        <v>1.44E-4</v>
      </c>
    </row>
    <row r="2255" spans="1:6">
      <c r="A2255" s="10">
        <v>2018</v>
      </c>
      <c r="B2255" t="s">
        <v>220</v>
      </c>
      <c r="C2255" t="s">
        <v>1571</v>
      </c>
      <c r="D2255" t="s">
        <v>2096</v>
      </c>
      <c r="E2255" s="10">
        <v>67890</v>
      </c>
      <c r="F2255" s="12">
        <v>6.2700000000000006E-5</v>
      </c>
    </row>
    <row r="2256" spans="1:6">
      <c r="A2256" s="10">
        <v>2018</v>
      </c>
      <c r="B2256" t="s">
        <v>1387</v>
      </c>
      <c r="C2256" t="s">
        <v>1572</v>
      </c>
      <c r="D2256" t="s">
        <v>2097</v>
      </c>
      <c r="E2256" s="10">
        <v>9997</v>
      </c>
      <c r="F2256" s="12">
        <v>9.2E-6</v>
      </c>
    </row>
    <row r="2257" spans="1:6">
      <c r="A2257" s="10">
        <v>2018</v>
      </c>
      <c r="B2257" t="s">
        <v>1388</v>
      </c>
      <c r="C2257" t="s">
        <v>1573</v>
      </c>
      <c r="D2257" t="s">
        <v>2098</v>
      </c>
      <c r="E2257" s="10">
        <v>7715</v>
      </c>
      <c r="F2257" s="12">
        <v>7.0999999999999998E-6</v>
      </c>
    </row>
    <row r="2258" spans="1:6">
      <c r="A2258" s="10">
        <v>2018</v>
      </c>
      <c r="B2258" t="s">
        <v>1389</v>
      </c>
      <c r="C2258" t="s">
        <v>1574</v>
      </c>
      <c r="D2258" t="s">
        <v>2099</v>
      </c>
      <c r="E2258" s="10">
        <v>95642</v>
      </c>
      <c r="F2258" s="12">
        <v>8.8300000000000005E-5</v>
      </c>
    </row>
    <row r="2259" spans="1:6">
      <c r="A2259" s="10">
        <v>2018</v>
      </c>
      <c r="B2259" t="s">
        <v>1598</v>
      </c>
      <c r="C2259" t="s">
        <v>1575</v>
      </c>
      <c r="D2259" t="s">
        <v>2100</v>
      </c>
      <c r="E2259" s="10">
        <v>182909</v>
      </c>
      <c r="F2259" s="12">
        <v>1.6880000000000001E-4</v>
      </c>
    </row>
    <row r="2260" spans="1:6">
      <c r="A2260" s="10">
        <v>2018</v>
      </c>
      <c r="B2260" t="s">
        <v>1391</v>
      </c>
      <c r="C2260" t="s">
        <v>1576</v>
      </c>
      <c r="D2260" t="s">
        <v>1576</v>
      </c>
      <c r="E2260" s="10"/>
    </row>
    <row r="2261" spans="1:6">
      <c r="A2261" s="10">
        <v>2018</v>
      </c>
      <c r="B2261" t="s">
        <v>1392</v>
      </c>
      <c r="C2261" t="s">
        <v>1577</v>
      </c>
      <c r="D2261" t="s">
        <v>1577</v>
      </c>
      <c r="E2261" s="10"/>
    </row>
    <row r="2262" spans="1:6">
      <c r="A2262" s="10">
        <v>2018</v>
      </c>
      <c r="B2262" t="s">
        <v>1390</v>
      </c>
      <c r="C2262" t="s">
        <v>1578</v>
      </c>
      <c r="D2262" t="s">
        <v>2101</v>
      </c>
      <c r="E2262" s="10">
        <v>1475207</v>
      </c>
      <c r="F2262" s="12">
        <v>1.3615999999999999E-3</v>
      </c>
    </row>
    <row r="2263" spans="1:6">
      <c r="A2263" s="10">
        <v>2018</v>
      </c>
      <c r="B2263" t="s">
        <v>1393</v>
      </c>
      <c r="C2263" t="s">
        <v>1579</v>
      </c>
      <c r="D2263" t="s">
        <v>1579</v>
      </c>
      <c r="E2263" s="10">
        <v>174182</v>
      </c>
      <c r="F2263" s="12">
        <v>1.6080000000000001E-4</v>
      </c>
    </row>
    <row r="2264" spans="1:6">
      <c r="A2264" s="10">
        <v>2018</v>
      </c>
      <c r="B2264" t="s">
        <v>1395</v>
      </c>
      <c r="C2264" t="s">
        <v>230</v>
      </c>
      <c r="D2264" t="s">
        <v>230</v>
      </c>
      <c r="E2264" s="10">
        <v>354243</v>
      </c>
      <c r="F2264" s="12">
        <v>3.2699999999999998E-4</v>
      </c>
    </row>
    <row r="2265" spans="1:6">
      <c r="A2265" s="10">
        <v>2018</v>
      </c>
      <c r="B2265" t="s">
        <v>1396</v>
      </c>
      <c r="C2265" t="s">
        <v>231</v>
      </c>
      <c r="D2265" t="s">
        <v>231</v>
      </c>
      <c r="E2265" s="10">
        <v>70562</v>
      </c>
      <c r="F2265" s="12">
        <v>6.5099999999999997E-5</v>
      </c>
    </row>
    <row r="2266" spans="1:6">
      <c r="A2266" s="10">
        <v>2018</v>
      </c>
      <c r="B2266" t="s">
        <v>1398</v>
      </c>
      <c r="C2266" t="s">
        <v>1580</v>
      </c>
      <c r="D2266" t="s">
        <v>2102</v>
      </c>
      <c r="E2266" s="10">
        <v>35081</v>
      </c>
      <c r="F2266" s="12">
        <v>3.2400000000000001E-5</v>
      </c>
    </row>
    <row r="2267" spans="1:6">
      <c r="A2267" s="10">
        <v>2018</v>
      </c>
      <c r="B2267" t="s">
        <v>1399</v>
      </c>
      <c r="C2267" t="s">
        <v>234</v>
      </c>
      <c r="D2267" t="s">
        <v>234</v>
      </c>
      <c r="E2267" s="10">
        <v>71541</v>
      </c>
      <c r="F2267" s="12">
        <v>6.6000000000000005E-5</v>
      </c>
    </row>
    <row r="2268" spans="1:6">
      <c r="A2268" s="10">
        <v>2018</v>
      </c>
      <c r="B2268" t="s">
        <v>1400</v>
      </c>
      <c r="C2268" t="s">
        <v>1581</v>
      </c>
      <c r="D2268" t="s">
        <v>1581</v>
      </c>
      <c r="E2268" s="10">
        <v>509021</v>
      </c>
      <c r="F2268" s="12">
        <v>4.6979999999999998E-4</v>
      </c>
    </row>
    <row r="2269" spans="1:6">
      <c r="A2269" s="10">
        <v>2018</v>
      </c>
      <c r="B2269" t="s">
        <v>1401</v>
      </c>
      <c r="C2269" t="s">
        <v>1582</v>
      </c>
      <c r="D2269" t="s">
        <v>2103</v>
      </c>
      <c r="E2269" s="10">
        <v>61175</v>
      </c>
      <c r="F2269" s="12">
        <v>5.6499999999999998E-5</v>
      </c>
    </row>
    <row r="2270" spans="1:6">
      <c r="A2270" s="10">
        <v>2018</v>
      </c>
      <c r="B2270" t="s">
        <v>1402</v>
      </c>
      <c r="C2270" t="s">
        <v>237</v>
      </c>
      <c r="D2270" t="s">
        <v>237</v>
      </c>
      <c r="E2270" s="10">
        <v>102053</v>
      </c>
      <c r="F2270" s="12">
        <v>9.4199999999999999E-5</v>
      </c>
    </row>
    <row r="2271" spans="1:6">
      <c r="A2271" s="10">
        <v>2018</v>
      </c>
      <c r="B2271" t="s">
        <v>1428</v>
      </c>
      <c r="C2271" t="s">
        <v>2104</v>
      </c>
      <c r="D2271" t="s">
        <v>2104</v>
      </c>
      <c r="E2271" s="10"/>
    </row>
    <row r="2272" spans="1:6">
      <c r="A2272" s="10">
        <v>2018</v>
      </c>
      <c r="B2272" t="s">
        <v>1403</v>
      </c>
      <c r="C2272" t="s">
        <v>1584</v>
      </c>
      <c r="D2272" t="s">
        <v>1584</v>
      </c>
      <c r="E2272" s="10">
        <v>407114</v>
      </c>
      <c r="F2272" s="12">
        <v>3.7579999999999997E-4</v>
      </c>
    </row>
    <row r="2273" spans="1:6">
      <c r="A2273" s="10">
        <v>2018</v>
      </c>
      <c r="B2273" t="s">
        <v>1404</v>
      </c>
      <c r="C2273" t="s">
        <v>1585</v>
      </c>
      <c r="D2273" t="s">
        <v>1585</v>
      </c>
      <c r="E2273" s="10">
        <v>660070</v>
      </c>
      <c r="F2273" s="12">
        <v>6.0919999999999995E-4</v>
      </c>
    </row>
    <row r="2274" spans="1:6">
      <c r="A2274" s="10">
        <v>2018</v>
      </c>
      <c r="B2274" t="s">
        <v>1405</v>
      </c>
      <c r="C2274" t="s">
        <v>1586</v>
      </c>
      <c r="D2274" t="s">
        <v>2105</v>
      </c>
      <c r="E2274" s="10">
        <v>55811</v>
      </c>
      <c r="F2274" s="12">
        <v>5.1499999999999998E-5</v>
      </c>
    </row>
    <row r="2275" spans="1:6">
      <c r="A2275" s="10">
        <v>2018</v>
      </c>
      <c r="B2275" t="s">
        <v>1406</v>
      </c>
      <c r="C2275" t="s">
        <v>1587</v>
      </c>
      <c r="D2275" t="s">
        <v>2106</v>
      </c>
      <c r="E2275" s="10">
        <v>64368</v>
      </c>
      <c r="F2275" s="12">
        <v>5.94E-5</v>
      </c>
    </row>
    <row r="2276" spans="1:6">
      <c r="A2276" s="10">
        <v>2018</v>
      </c>
      <c r="B2276" t="s">
        <v>1397</v>
      </c>
      <c r="C2276" t="s">
        <v>2356</v>
      </c>
      <c r="D2276" t="s">
        <v>2107</v>
      </c>
      <c r="E2276" s="10">
        <v>38390</v>
      </c>
      <c r="F2276" s="12">
        <v>3.54E-5</v>
      </c>
    </row>
    <row r="2277" spans="1:6">
      <c r="A2277" s="10">
        <v>2018</v>
      </c>
      <c r="B2277" t="s">
        <v>88</v>
      </c>
      <c r="C2277" t="s">
        <v>1589</v>
      </c>
      <c r="D2277" t="s">
        <v>1589</v>
      </c>
      <c r="E2277" s="10">
        <v>78051</v>
      </c>
      <c r="F2277" s="12">
        <v>7.2000000000000002E-5</v>
      </c>
    </row>
    <row r="2278" spans="1:6">
      <c r="A2278" s="10">
        <v>2018</v>
      </c>
      <c r="B2278" t="s">
        <v>90</v>
      </c>
      <c r="C2278" t="s">
        <v>1590</v>
      </c>
      <c r="D2278" t="s">
        <v>1590</v>
      </c>
      <c r="E2278" s="10">
        <v>20225</v>
      </c>
      <c r="F2278" s="12">
        <v>1.8700000000000001E-5</v>
      </c>
    </row>
    <row r="2279" spans="1:6">
      <c r="A2279" s="10">
        <v>2018</v>
      </c>
      <c r="B2279" t="s">
        <v>87</v>
      </c>
      <c r="C2279" t="s">
        <v>2357</v>
      </c>
      <c r="D2279" t="s">
        <v>2108</v>
      </c>
      <c r="E2279" s="10">
        <v>75430</v>
      </c>
      <c r="F2279" s="12">
        <v>6.9599999999999998E-5</v>
      </c>
    </row>
    <row r="2280" spans="1:6">
      <c r="A2280" s="10">
        <v>2018</v>
      </c>
      <c r="B2280" t="s">
        <v>92</v>
      </c>
      <c r="C2280" t="s">
        <v>2419</v>
      </c>
      <c r="D2280" t="s">
        <v>1592</v>
      </c>
      <c r="E2280" s="10">
        <v>80819</v>
      </c>
      <c r="F2280" s="12">
        <v>7.4599999999999997E-5</v>
      </c>
    </row>
    <row r="2281" spans="1:6">
      <c r="A2281" s="10">
        <v>2018</v>
      </c>
      <c r="B2281" t="s">
        <v>93</v>
      </c>
      <c r="C2281" t="s">
        <v>1593</v>
      </c>
      <c r="D2281" t="s">
        <v>2109</v>
      </c>
      <c r="E2281" s="10">
        <v>54259</v>
      </c>
      <c r="F2281" s="12">
        <v>5.0099999999999998E-5</v>
      </c>
    </row>
    <row r="2282" spans="1:6">
      <c r="A2282" s="10">
        <v>2018</v>
      </c>
      <c r="B2282" t="s">
        <v>94</v>
      </c>
      <c r="C2282" t="s">
        <v>2420</v>
      </c>
      <c r="D2282" t="s">
        <v>2110</v>
      </c>
      <c r="E2282" s="10">
        <v>8054</v>
      </c>
      <c r="F2282" s="12">
        <v>7.4000000000000003E-6</v>
      </c>
    </row>
    <row r="2283" spans="1:6">
      <c r="A2283" s="10">
        <v>2018</v>
      </c>
      <c r="B2283" t="s">
        <v>95</v>
      </c>
      <c r="C2283" t="s">
        <v>1595</v>
      </c>
      <c r="D2283" t="s">
        <v>1595</v>
      </c>
      <c r="E2283" s="10">
        <v>37125</v>
      </c>
      <c r="F2283" s="12">
        <v>3.43E-5</v>
      </c>
    </row>
    <row r="2284" spans="1:6">
      <c r="A2284" s="10">
        <v>2018</v>
      </c>
      <c r="B2284" t="s">
        <v>100</v>
      </c>
      <c r="C2284" t="s">
        <v>1596</v>
      </c>
      <c r="D2284" t="s">
        <v>2111</v>
      </c>
      <c r="E2284" s="10">
        <v>20888</v>
      </c>
      <c r="F2284" s="12">
        <v>1.9300000000000002E-5</v>
      </c>
    </row>
    <row r="2285" spans="1:6">
      <c r="A2285" s="10">
        <v>2018</v>
      </c>
      <c r="B2285" t="s">
        <v>101</v>
      </c>
      <c r="C2285" t="s">
        <v>1599</v>
      </c>
      <c r="D2285" t="s">
        <v>1599</v>
      </c>
      <c r="E2285" s="10">
        <v>329368</v>
      </c>
      <c r="F2285" s="12">
        <v>3.0400000000000002E-4</v>
      </c>
    </row>
    <row r="2286" spans="1:6">
      <c r="A2286" s="10">
        <v>2018</v>
      </c>
      <c r="B2286" t="s">
        <v>103</v>
      </c>
      <c r="C2286" t="s">
        <v>2421</v>
      </c>
      <c r="D2286" t="s">
        <v>1600</v>
      </c>
      <c r="E2286" s="10">
        <v>13435</v>
      </c>
      <c r="F2286" s="12">
        <v>1.24E-5</v>
      </c>
    </row>
    <row r="2287" spans="1:6">
      <c r="A2287" s="10">
        <v>2018</v>
      </c>
      <c r="B2287" t="s">
        <v>105</v>
      </c>
      <c r="C2287" t="s">
        <v>1601</v>
      </c>
      <c r="D2287" t="s">
        <v>1601</v>
      </c>
      <c r="E2287" s="10">
        <v>159487</v>
      </c>
      <c r="F2287" s="12">
        <v>1.472E-4</v>
      </c>
    </row>
    <row r="2288" spans="1:6">
      <c r="A2288" s="10">
        <v>2018</v>
      </c>
      <c r="B2288" t="s">
        <v>166</v>
      </c>
      <c r="C2288" t="s">
        <v>1602</v>
      </c>
      <c r="D2288" t="s">
        <v>2112</v>
      </c>
      <c r="E2288" s="10">
        <v>21811</v>
      </c>
      <c r="F2288" s="12">
        <v>2.0100000000000001E-5</v>
      </c>
    </row>
    <row r="2289" spans="1:6">
      <c r="A2289" s="10">
        <v>2018</v>
      </c>
      <c r="B2289" t="s">
        <v>86</v>
      </c>
      <c r="C2289" t="s">
        <v>1603</v>
      </c>
      <c r="D2289" t="s">
        <v>2113</v>
      </c>
      <c r="E2289" s="10">
        <v>18235</v>
      </c>
      <c r="F2289" s="12">
        <v>1.6799999999999998E-5</v>
      </c>
    </row>
    <row r="2290" spans="1:6">
      <c r="A2290" s="10">
        <v>2018</v>
      </c>
      <c r="B2290" t="s">
        <v>110</v>
      </c>
      <c r="C2290" t="s">
        <v>1604</v>
      </c>
      <c r="D2290" t="s">
        <v>2114</v>
      </c>
      <c r="E2290" s="10">
        <v>102385</v>
      </c>
      <c r="F2290" s="12">
        <v>9.4500000000000007E-5</v>
      </c>
    </row>
    <row r="2291" spans="1:6">
      <c r="A2291" s="10">
        <v>2018</v>
      </c>
      <c r="B2291" t="s">
        <v>1409</v>
      </c>
      <c r="C2291" t="s">
        <v>1605</v>
      </c>
      <c r="D2291" t="s">
        <v>1605</v>
      </c>
      <c r="E2291" s="10">
        <v>668942</v>
      </c>
      <c r="F2291" s="12">
        <v>6.1740000000000005E-4</v>
      </c>
    </row>
    <row r="2292" spans="1:6">
      <c r="A2292" s="10">
        <v>2018</v>
      </c>
      <c r="B2292" t="s">
        <v>195</v>
      </c>
      <c r="C2292" t="s">
        <v>1606</v>
      </c>
      <c r="D2292" t="s">
        <v>1606</v>
      </c>
      <c r="E2292" s="10">
        <v>617752</v>
      </c>
      <c r="F2292" s="12">
        <v>5.7019999999999998E-4</v>
      </c>
    </row>
    <row r="2293" spans="1:6">
      <c r="A2293" s="10">
        <v>2018</v>
      </c>
      <c r="B2293" t="s">
        <v>218</v>
      </c>
      <c r="C2293" t="s">
        <v>1607</v>
      </c>
      <c r="D2293" t="s">
        <v>1607</v>
      </c>
      <c r="E2293" s="10">
        <v>426967</v>
      </c>
      <c r="F2293" s="12">
        <v>3.9409999999999998E-4</v>
      </c>
    </row>
    <row r="2294" spans="1:6">
      <c r="A2294" s="10">
        <v>2018</v>
      </c>
      <c r="B2294" t="s">
        <v>1410</v>
      </c>
      <c r="C2294" t="s">
        <v>243</v>
      </c>
      <c r="D2294" t="s">
        <v>243</v>
      </c>
      <c r="E2294" s="10">
        <v>74642</v>
      </c>
      <c r="F2294" s="12">
        <v>6.8899999999999994E-5</v>
      </c>
    </row>
    <row r="2295" spans="1:6">
      <c r="A2295" s="10">
        <v>2018</v>
      </c>
      <c r="B2295" t="s">
        <v>1411</v>
      </c>
      <c r="C2295" t="s">
        <v>244</v>
      </c>
      <c r="D2295" t="s">
        <v>244</v>
      </c>
      <c r="E2295" s="10">
        <v>856648</v>
      </c>
      <c r="F2295" s="12">
        <v>7.9069999999999997E-4</v>
      </c>
    </row>
    <row r="2296" spans="1:6">
      <c r="A2296" s="10">
        <v>2018</v>
      </c>
      <c r="B2296" t="s">
        <v>1394</v>
      </c>
      <c r="C2296" t="s">
        <v>1608</v>
      </c>
      <c r="D2296" t="s">
        <v>1608</v>
      </c>
      <c r="E2296" s="10">
        <v>7620</v>
      </c>
      <c r="F2296" s="12">
        <v>6.9999999999999999E-6</v>
      </c>
    </row>
    <row r="2297" spans="1:6">
      <c r="A2297" s="10">
        <v>2018</v>
      </c>
      <c r="B2297" t="s">
        <v>1412</v>
      </c>
      <c r="C2297" t="s">
        <v>1609</v>
      </c>
      <c r="D2297" t="s">
        <v>2115</v>
      </c>
      <c r="E2297" s="10">
        <v>3031094</v>
      </c>
      <c r="F2297" s="12">
        <v>2.7977000000000002E-3</v>
      </c>
    </row>
    <row r="2298" spans="1:6">
      <c r="A2298" s="10">
        <v>2018</v>
      </c>
      <c r="B2298" t="s">
        <v>1413</v>
      </c>
      <c r="C2298" t="s">
        <v>246</v>
      </c>
      <c r="D2298" t="s">
        <v>246</v>
      </c>
      <c r="E2298" s="10">
        <v>519832</v>
      </c>
      <c r="F2298" s="12">
        <v>4.7980000000000001E-4</v>
      </c>
    </row>
    <row r="2299" spans="1:6">
      <c r="A2299" s="10">
        <v>2018</v>
      </c>
      <c r="B2299" t="s">
        <v>1414</v>
      </c>
      <c r="C2299" t="s">
        <v>247</v>
      </c>
      <c r="D2299" t="s">
        <v>247</v>
      </c>
      <c r="E2299" s="10">
        <v>202889</v>
      </c>
      <c r="F2299" s="12">
        <v>1.873E-4</v>
      </c>
    </row>
    <row r="2300" spans="1:6">
      <c r="A2300" s="10">
        <v>2018</v>
      </c>
      <c r="B2300" t="s">
        <v>1415</v>
      </c>
      <c r="C2300" t="s">
        <v>248</v>
      </c>
      <c r="D2300" t="s">
        <v>248</v>
      </c>
      <c r="E2300" s="10">
        <v>39725777</v>
      </c>
      <c r="F2300" s="12">
        <v>3.6666600000000001E-2</v>
      </c>
    </row>
    <row r="2301" spans="1:6">
      <c r="A2301" s="10">
        <v>2018</v>
      </c>
      <c r="B2301" t="s">
        <v>1417</v>
      </c>
      <c r="C2301" t="s">
        <v>1610</v>
      </c>
      <c r="D2301" t="s">
        <v>2116</v>
      </c>
      <c r="E2301" s="10">
        <v>22468</v>
      </c>
      <c r="F2301" s="12">
        <v>2.0699999999999998E-5</v>
      </c>
    </row>
    <row r="2302" spans="1:6">
      <c r="A2302" s="10">
        <v>2018</v>
      </c>
      <c r="B2302" t="s">
        <v>1416</v>
      </c>
      <c r="C2302" t="s">
        <v>249</v>
      </c>
      <c r="D2302" t="s">
        <v>249</v>
      </c>
      <c r="E2302" s="10">
        <v>2975713</v>
      </c>
      <c r="F2302" s="12">
        <v>2.7466000000000001E-3</v>
      </c>
    </row>
    <row r="2303" spans="1:6">
      <c r="A2303" s="10">
        <v>2018</v>
      </c>
      <c r="B2303" t="s">
        <v>1418</v>
      </c>
      <c r="C2303" t="s">
        <v>1611</v>
      </c>
      <c r="D2303" t="s">
        <v>2117</v>
      </c>
      <c r="E2303" s="10"/>
    </row>
    <row r="2304" spans="1:6">
      <c r="A2304" s="10">
        <v>2018</v>
      </c>
      <c r="B2304" t="s">
        <v>1419</v>
      </c>
      <c r="C2304" t="s">
        <v>252</v>
      </c>
      <c r="D2304" t="s">
        <v>252</v>
      </c>
      <c r="E2304" s="10">
        <v>2568256</v>
      </c>
      <c r="F2304" s="12">
        <v>2.3705000000000002E-3</v>
      </c>
    </row>
    <row r="2305" spans="1:6">
      <c r="A2305" s="10">
        <v>2018</v>
      </c>
      <c r="B2305" t="s">
        <v>1420</v>
      </c>
      <c r="C2305" t="s">
        <v>1612</v>
      </c>
      <c r="D2305" t="s">
        <v>2118</v>
      </c>
      <c r="E2305" s="10">
        <v>177367</v>
      </c>
      <c r="F2305" s="12">
        <v>1.6369999999999999E-4</v>
      </c>
    </row>
    <row r="2306" spans="1:6">
      <c r="A2306" s="10">
        <v>2018</v>
      </c>
      <c r="B2306" t="s">
        <v>1015</v>
      </c>
      <c r="C2306" t="s">
        <v>1613</v>
      </c>
      <c r="D2306" t="s">
        <v>1613</v>
      </c>
      <c r="E2306" s="10">
        <v>480898</v>
      </c>
      <c r="F2306" s="12">
        <v>4.439E-4</v>
      </c>
    </row>
    <row r="2307" spans="1:6">
      <c r="A2307" s="10">
        <v>2018</v>
      </c>
      <c r="B2307" t="s">
        <v>1014</v>
      </c>
      <c r="C2307" t="s">
        <v>1614</v>
      </c>
      <c r="D2307" t="s">
        <v>1614</v>
      </c>
      <c r="E2307" s="10">
        <v>63358</v>
      </c>
      <c r="F2307" s="12">
        <v>5.8499999999999999E-5</v>
      </c>
    </row>
    <row r="2308" spans="1:6">
      <c r="A2308" s="10">
        <v>2018</v>
      </c>
      <c r="B2308" t="s">
        <v>1421</v>
      </c>
      <c r="C2308" t="s">
        <v>1615</v>
      </c>
      <c r="D2308" t="s">
        <v>2119</v>
      </c>
      <c r="E2308" s="10">
        <v>27445</v>
      </c>
      <c r="F2308" s="12">
        <v>2.5299999999999998E-5</v>
      </c>
    </row>
    <row r="2309" spans="1:6">
      <c r="A2309" s="10">
        <v>2018</v>
      </c>
      <c r="B2309" t="s">
        <v>1422</v>
      </c>
      <c r="C2309" t="s">
        <v>1616</v>
      </c>
      <c r="D2309" t="s">
        <v>2120</v>
      </c>
      <c r="E2309" s="10">
        <v>152634</v>
      </c>
      <c r="F2309" s="12">
        <v>1.4090000000000001E-4</v>
      </c>
    </row>
    <row r="2310" spans="1:6">
      <c r="A2310" s="10">
        <v>2018</v>
      </c>
      <c r="B2310" t="s">
        <v>1423</v>
      </c>
      <c r="C2310" t="s">
        <v>256</v>
      </c>
      <c r="D2310" t="s">
        <v>256</v>
      </c>
      <c r="E2310" s="10">
        <v>1670923</v>
      </c>
      <c r="F2310" s="12">
        <v>1.5422000000000001E-3</v>
      </c>
    </row>
    <row r="2311" spans="1:6">
      <c r="A2311" s="10">
        <v>2018</v>
      </c>
      <c r="B2311" t="s">
        <v>1424</v>
      </c>
      <c r="C2311" t="s">
        <v>257</v>
      </c>
      <c r="D2311" t="s">
        <v>2121</v>
      </c>
      <c r="E2311" s="10">
        <v>2786083</v>
      </c>
      <c r="F2311" s="12">
        <v>2.5715E-3</v>
      </c>
    </row>
    <row r="2312" spans="1:6">
      <c r="A2312" s="10">
        <v>2018</v>
      </c>
      <c r="B2312" t="s">
        <v>370</v>
      </c>
      <c r="C2312" t="s">
        <v>1617</v>
      </c>
      <c r="D2312" t="s">
        <v>1617</v>
      </c>
      <c r="E2312" s="10">
        <v>2396364</v>
      </c>
      <c r="F2312" s="12">
        <v>2.2117999999999999E-3</v>
      </c>
    </row>
    <row r="2313" spans="1:6">
      <c r="A2313" s="10">
        <v>2018</v>
      </c>
      <c r="B2313" t="s">
        <v>1425</v>
      </c>
      <c r="C2313" t="s">
        <v>258</v>
      </c>
      <c r="D2313" t="s">
        <v>258</v>
      </c>
      <c r="E2313" s="10">
        <v>32683</v>
      </c>
      <c r="F2313" s="12">
        <v>3.0199999999999999E-5</v>
      </c>
    </row>
    <row r="2314" spans="1:6">
      <c r="A2314" s="10">
        <v>2018</v>
      </c>
      <c r="B2314" t="s">
        <v>1429</v>
      </c>
      <c r="C2314" t="s">
        <v>2422</v>
      </c>
      <c r="D2314" t="s">
        <v>2122</v>
      </c>
      <c r="E2314" s="10">
        <v>1020007</v>
      </c>
      <c r="F2314" s="12">
        <v>9.4149999999999995E-4</v>
      </c>
    </row>
    <row r="2315" spans="1:6">
      <c r="A2315" s="10">
        <v>2018</v>
      </c>
      <c r="B2315" t="s">
        <v>1430</v>
      </c>
      <c r="C2315" t="s">
        <v>1619</v>
      </c>
      <c r="D2315" t="s">
        <v>1619</v>
      </c>
      <c r="E2315" s="10">
        <v>323386</v>
      </c>
      <c r="F2315" s="12">
        <v>2.9849999999999999E-4</v>
      </c>
    </row>
    <row r="2316" spans="1:6">
      <c r="A2316" s="10">
        <v>2018</v>
      </c>
      <c r="B2316" t="s">
        <v>1431</v>
      </c>
      <c r="C2316" t="s">
        <v>264</v>
      </c>
      <c r="D2316" t="s">
        <v>2123</v>
      </c>
      <c r="E2316" s="10">
        <v>235330</v>
      </c>
      <c r="F2316" s="12">
        <v>2.1719999999999999E-4</v>
      </c>
    </row>
    <row r="2317" spans="1:6">
      <c r="A2317" s="10">
        <v>2018</v>
      </c>
      <c r="B2317" t="s">
        <v>1432</v>
      </c>
      <c r="C2317" t="s">
        <v>265</v>
      </c>
      <c r="D2317" t="s">
        <v>2124</v>
      </c>
      <c r="E2317" s="10">
        <v>292517</v>
      </c>
      <c r="F2317" s="12">
        <v>2.7E-4</v>
      </c>
    </row>
    <row r="2318" spans="1:6">
      <c r="A2318" s="10">
        <v>2018</v>
      </c>
      <c r="B2318" t="s">
        <v>1433</v>
      </c>
      <c r="C2318" t="s">
        <v>266</v>
      </c>
      <c r="D2318" t="s">
        <v>2125</v>
      </c>
      <c r="E2318" s="10">
        <v>138431</v>
      </c>
      <c r="F2318" s="12">
        <v>1.2779999999999999E-4</v>
      </c>
    </row>
    <row r="2319" spans="1:6">
      <c r="A2319" s="10">
        <v>2018</v>
      </c>
      <c r="B2319" t="s">
        <v>1434</v>
      </c>
      <c r="C2319" t="s">
        <v>1620</v>
      </c>
      <c r="D2319" t="s">
        <v>2126</v>
      </c>
      <c r="E2319" s="10">
        <v>1344679</v>
      </c>
      <c r="F2319" s="12">
        <v>1.2411E-3</v>
      </c>
    </row>
    <row r="2320" spans="1:6">
      <c r="A2320" s="10">
        <v>2018</v>
      </c>
      <c r="B2320" t="s">
        <v>1435</v>
      </c>
      <c r="C2320" t="s">
        <v>2359</v>
      </c>
      <c r="D2320" t="s">
        <v>2127</v>
      </c>
      <c r="E2320" s="10">
        <v>157622</v>
      </c>
      <c r="F2320" s="12">
        <v>1.4550000000000001E-4</v>
      </c>
    </row>
    <row r="2321" spans="1:6">
      <c r="A2321" s="10">
        <v>2018</v>
      </c>
      <c r="B2321" t="s">
        <v>1436</v>
      </c>
      <c r="C2321" t="s">
        <v>269</v>
      </c>
      <c r="D2321" t="s">
        <v>269</v>
      </c>
      <c r="E2321" s="10">
        <v>169031</v>
      </c>
      <c r="F2321" s="12">
        <v>1.56E-4</v>
      </c>
    </row>
    <row r="2322" spans="1:6">
      <c r="A2322" s="10">
        <v>2018</v>
      </c>
      <c r="B2322" t="s">
        <v>1437</v>
      </c>
      <c r="C2322" t="s">
        <v>270</v>
      </c>
      <c r="D2322" t="s">
        <v>270</v>
      </c>
      <c r="E2322" s="10">
        <v>970602</v>
      </c>
      <c r="F2322" s="12">
        <v>8.9590000000000004E-4</v>
      </c>
    </row>
    <row r="2323" spans="1:6">
      <c r="A2323" s="10">
        <v>2018</v>
      </c>
      <c r="B2323" t="s">
        <v>1438</v>
      </c>
      <c r="C2323" t="s">
        <v>1622</v>
      </c>
      <c r="D2323" t="s">
        <v>1622</v>
      </c>
      <c r="E2323" s="10">
        <v>654267</v>
      </c>
      <c r="F2323" s="12">
        <v>6.0389999999999999E-4</v>
      </c>
    </row>
    <row r="2324" spans="1:6">
      <c r="A2324" s="10">
        <v>2018</v>
      </c>
      <c r="B2324" t="s">
        <v>371</v>
      </c>
      <c r="C2324" t="s">
        <v>1623</v>
      </c>
      <c r="D2324" t="s">
        <v>1623</v>
      </c>
      <c r="E2324" s="10">
        <v>278210</v>
      </c>
      <c r="F2324" s="12">
        <v>2.5680000000000001E-4</v>
      </c>
    </row>
    <row r="2325" spans="1:6">
      <c r="A2325" s="10">
        <v>2018</v>
      </c>
      <c r="B2325" t="s">
        <v>1439</v>
      </c>
      <c r="C2325" t="s">
        <v>1624</v>
      </c>
      <c r="D2325" t="s">
        <v>2128</v>
      </c>
      <c r="E2325" s="10">
        <v>86554</v>
      </c>
      <c r="F2325" s="12">
        <v>7.9900000000000004E-5</v>
      </c>
    </row>
    <row r="2326" spans="1:6">
      <c r="A2326" s="10">
        <v>2018</v>
      </c>
      <c r="B2326" t="s">
        <v>1440</v>
      </c>
      <c r="C2326" t="s">
        <v>1625</v>
      </c>
      <c r="D2326" t="s">
        <v>1625</v>
      </c>
      <c r="E2326" s="10">
        <v>417873</v>
      </c>
      <c r="F2326" s="12">
        <v>3.857E-4</v>
      </c>
    </row>
    <row r="2327" spans="1:6">
      <c r="A2327" s="10">
        <v>2018</v>
      </c>
      <c r="B2327" t="s">
        <v>372</v>
      </c>
      <c r="C2327" t="s">
        <v>1626</v>
      </c>
      <c r="D2327" t="s">
        <v>1626</v>
      </c>
      <c r="E2327" s="10">
        <v>211806</v>
      </c>
      <c r="F2327" s="12">
        <v>1.9550000000000001E-4</v>
      </c>
    </row>
    <row r="2328" spans="1:6">
      <c r="A2328" s="10">
        <v>2018</v>
      </c>
      <c r="B2328" t="s">
        <v>1441</v>
      </c>
      <c r="C2328" t="s">
        <v>274</v>
      </c>
      <c r="D2328" t="s">
        <v>274</v>
      </c>
      <c r="E2328" s="10"/>
    </row>
    <row r="2329" spans="1:6">
      <c r="A2329" s="10">
        <v>2018</v>
      </c>
      <c r="B2329" t="s">
        <v>1442</v>
      </c>
      <c r="C2329" t="s">
        <v>1627</v>
      </c>
      <c r="D2329" t="s">
        <v>1627</v>
      </c>
      <c r="E2329" s="10">
        <v>9884</v>
      </c>
      <c r="F2329" s="12">
        <v>9.0999999999999993E-6</v>
      </c>
    </row>
    <row r="2330" spans="1:6">
      <c r="A2330" s="10">
        <v>2018</v>
      </c>
      <c r="B2330" t="s">
        <v>1443</v>
      </c>
      <c r="C2330" t="s">
        <v>1628</v>
      </c>
      <c r="D2330" t="s">
        <v>2129</v>
      </c>
      <c r="E2330" s="10">
        <v>1067113</v>
      </c>
      <c r="F2330" s="12">
        <v>9.8489999999999992E-4</v>
      </c>
    </row>
    <row r="2331" spans="1:6">
      <c r="A2331" s="10">
        <v>2018</v>
      </c>
      <c r="B2331" t="s">
        <v>331</v>
      </c>
      <c r="C2331" t="s">
        <v>1629</v>
      </c>
      <c r="D2331" t="s">
        <v>2130</v>
      </c>
      <c r="E2331" s="10"/>
    </row>
    <row r="2332" spans="1:6">
      <c r="A2332" s="10">
        <v>2018</v>
      </c>
      <c r="B2332" t="s">
        <v>332</v>
      </c>
      <c r="C2332" t="s">
        <v>1630</v>
      </c>
      <c r="D2332" t="s">
        <v>2131</v>
      </c>
      <c r="E2332" s="10">
        <v>92800</v>
      </c>
      <c r="F2332" s="12">
        <v>8.5699999999999996E-5</v>
      </c>
    </row>
    <row r="2333" spans="1:6">
      <c r="A2333" s="10">
        <v>2018</v>
      </c>
      <c r="B2333" t="s">
        <v>333</v>
      </c>
      <c r="C2333" t="s">
        <v>1631</v>
      </c>
      <c r="D2333" t="s">
        <v>2132</v>
      </c>
      <c r="E2333" s="10">
        <v>36717</v>
      </c>
      <c r="F2333" s="12">
        <v>3.3899999999999997E-5</v>
      </c>
    </row>
    <row r="2334" spans="1:6">
      <c r="A2334" s="10">
        <v>2018</v>
      </c>
      <c r="B2334" t="s">
        <v>334</v>
      </c>
      <c r="C2334" t="s">
        <v>1632</v>
      </c>
      <c r="D2334" t="s">
        <v>1632</v>
      </c>
      <c r="E2334" s="10">
        <v>64794</v>
      </c>
      <c r="F2334" s="12">
        <v>5.9799999999999997E-5</v>
      </c>
    </row>
    <row r="2335" spans="1:6">
      <c r="A2335" s="10">
        <v>2018</v>
      </c>
      <c r="B2335" t="s">
        <v>335</v>
      </c>
      <c r="C2335" t="s">
        <v>1633</v>
      </c>
      <c r="D2335" t="s">
        <v>2133</v>
      </c>
      <c r="E2335" s="10">
        <v>2283953</v>
      </c>
      <c r="F2335" s="12">
        <v>2.1080999999999999E-3</v>
      </c>
    </row>
    <row r="2336" spans="1:6">
      <c r="A2336" s="10">
        <v>2018</v>
      </c>
      <c r="B2336" t="s">
        <v>336</v>
      </c>
      <c r="C2336" t="s">
        <v>1634</v>
      </c>
      <c r="D2336" t="s">
        <v>2134</v>
      </c>
      <c r="E2336" s="10">
        <v>2081473</v>
      </c>
      <c r="F2336" s="12">
        <v>1.9212000000000001E-3</v>
      </c>
    </row>
    <row r="2337" spans="1:6">
      <c r="A2337" s="10">
        <v>2018</v>
      </c>
      <c r="B2337" t="s">
        <v>337</v>
      </c>
      <c r="C2337" t="s">
        <v>283</v>
      </c>
      <c r="D2337" t="s">
        <v>283</v>
      </c>
      <c r="E2337" s="10">
        <v>145651</v>
      </c>
      <c r="F2337" s="12">
        <v>1.3439999999999999E-4</v>
      </c>
    </row>
    <row r="2338" spans="1:6">
      <c r="A2338" s="10">
        <v>2018</v>
      </c>
      <c r="B2338" t="s">
        <v>338</v>
      </c>
      <c r="C2338" t="s">
        <v>1635</v>
      </c>
      <c r="D2338" t="s">
        <v>2135</v>
      </c>
      <c r="E2338" s="10">
        <v>58610</v>
      </c>
      <c r="F2338" s="12">
        <v>5.41E-5</v>
      </c>
    </row>
    <row r="2339" spans="1:6">
      <c r="A2339" s="10">
        <v>2018</v>
      </c>
      <c r="B2339" t="s">
        <v>373</v>
      </c>
      <c r="C2339" t="s">
        <v>1636</v>
      </c>
      <c r="D2339" t="s">
        <v>1636</v>
      </c>
      <c r="E2339" s="10">
        <v>2249834</v>
      </c>
      <c r="F2339" s="12">
        <v>2.0766000000000001E-3</v>
      </c>
    </row>
    <row r="2340" spans="1:6">
      <c r="A2340" s="10">
        <v>2018</v>
      </c>
      <c r="B2340" t="s">
        <v>339</v>
      </c>
      <c r="C2340" t="s">
        <v>1637</v>
      </c>
      <c r="D2340" t="s">
        <v>2136</v>
      </c>
      <c r="E2340" s="10">
        <v>1166105</v>
      </c>
      <c r="F2340" s="12">
        <v>1.0763000000000001E-3</v>
      </c>
    </row>
    <row r="2341" spans="1:6">
      <c r="A2341" s="10">
        <v>2018</v>
      </c>
      <c r="B2341" t="s">
        <v>340</v>
      </c>
      <c r="C2341" t="s">
        <v>286</v>
      </c>
      <c r="D2341" t="s">
        <v>286</v>
      </c>
      <c r="E2341" s="10">
        <v>133567</v>
      </c>
      <c r="F2341" s="12">
        <v>1.2329999999999999E-4</v>
      </c>
    </row>
    <row r="2342" spans="1:6">
      <c r="A2342" s="10">
        <v>2018</v>
      </c>
      <c r="B2342" t="s">
        <v>341</v>
      </c>
      <c r="C2342" t="s">
        <v>287</v>
      </c>
      <c r="D2342" t="s">
        <v>287</v>
      </c>
      <c r="E2342" s="10"/>
    </row>
    <row r="2343" spans="1:6">
      <c r="A2343" s="10">
        <v>2018</v>
      </c>
      <c r="B2343" t="s">
        <v>342</v>
      </c>
      <c r="C2343" t="s">
        <v>1638</v>
      </c>
      <c r="D2343" t="s">
        <v>2137</v>
      </c>
      <c r="E2343" s="10">
        <v>811779</v>
      </c>
      <c r="F2343" s="12">
        <v>7.4930000000000005E-4</v>
      </c>
    </row>
    <row r="2344" spans="1:6">
      <c r="A2344" s="10">
        <v>2018</v>
      </c>
      <c r="B2344" t="s">
        <v>1219</v>
      </c>
      <c r="C2344" t="s">
        <v>1639</v>
      </c>
      <c r="D2344" t="s">
        <v>1639</v>
      </c>
      <c r="E2344" s="10">
        <v>345499</v>
      </c>
      <c r="F2344" s="12">
        <v>3.189E-4</v>
      </c>
    </row>
    <row r="2345" spans="1:6">
      <c r="A2345" s="10">
        <v>2018</v>
      </c>
      <c r="B2345" t="s">
        <v>343</v>
      </c>
      <c r="C2345" t="s">
        <v>1640</v>
      </c>
      <c r="D2345" t="s">
        <v>2138</v>
      </c>
      <c r="E2345" s="10">
        <v>90814</v>
      </c>
      <c r="F2345" s="12">
        <v>8.3800000000000004E-5</v>
      </c>
    </row>
    <row r="2346" spans="1:6">
      <c r="A2346" s="10">
        <v>2018</v>
      </c>
      <c r="B2346" t="s">
        <v>344</v>
      </c>
      <c r="C2346" t="s">
        <v>290</v>
      </c>
      <c r="D2346" t="s">
        <v>290</v>
      </c>
      <c r="E2346" s="10">
        <v>79934</v>
      </c>
      <c r="F2346" s="12">
        <v>7.3800000000000005E-5</v>
      </c>
    </row>
    <row r="2347" spans="1:6">
      <c r="A2347" s="10">
        <v>2018</v>
      </c>
      <c r="B2347" t="s">
        <v>1220</v>
      </c>
      <c r="C2347" t="s">
        <v>1641</v>
      </c>
      <c r="D2347" t="s">
        <v>1641</v>
      </c>
      <c r="E2347" s="10">
        <v>112950</v>
      </c>
      <c r="F2347" s="12">
        <v>1.043E-4</v>
      </c>
    </row>
    <row r="2348" spans="1:6">
      <c r="A2348" s="10">
        <v>2018</v>
      </c>
      <c r="B2348" t="s">
        <v>345</v>
      </c>
      <c r="C2348" t="s">
        <v>1642</v>
      </c>
      <c r="D2348" t="s">
        <v>2139</v>
      </c>
      <c r="E2348" s="10">
        <v>83294</v>
      </c>
      <c r="F2348" s="12">
        <v>7.6899999999999999E-5</v>
      </c>
    </row>
    <row r="2349" spans="1:6">
      <c r="A2349" s="10">
        <v>2018</v>
      </c>
      <c r="B2349" t="s">
        <v>346</v>
      </c>
      <c r="C2349" t="s">
        <v>1643</v>
      </c>
      <c r="D2349" t="s">
        <v>2140</v>
      </c>
      <c r="E2349" s="10">
        <v>9042998</v>
      </c>
      <c r="F2349" s="12">
        <v>8.3465999999999992E-3</v>
      </c>
    </row>
    <row r="2350" spans="1:6">
      <c r="A2350" s="10">
        <v>2018</v>
      </c>
      <c r="B2350" t="s">
        <v>347</v>
      </c>
      <c r="C2350" t="s">
        <v>1644</v>
      </c>
      <c r="D2350" t="s">
        <v>2141</v>
      </c>
      <c r="E2350" s="10">
        <v>3377011</v>
      </c>
      <c r="F2350" s="12">
        <v>3.117E-3</v>
      </c>
    </row>
    <row r="2351" spans="1:6">
      <c r="A2351" s="10">
        <v>2018</v>
      </c>
      <c r="B2351" t="s">
        <v>348</v>
      </c>
      <c r="C2351" t="s">
        <v>1645</v>
      </c>
      <c r="D2351" t="s">
        <v>2142</v>
      </c>
      <c r="E2351" s="10">
        <v>1519369</v>
      </c>
      <c r="F2351" s="12">
        <v>1.4024E-3</v>
      </c>
    </row>
    <row r="2352" spans="1:6">
      <c r="A2352" s="10">
        <v>2018</v>
      </c>
      <c r="B2352" t="s">
        <v>374</v>
      </c>
      <c r="C2352" t="s">
        <v>1646</v>
      </c>
      <c r="D2352" t="s">
        <v>1646</v>
      </c>
      <c r="E2352" s="10">
        <v>1560881</v>
      </c>
      <c r="F2352" s="12">
        <v>1.4407000000000001E-3</v>
      </c>
    </row>
    <row r="2353" spans="1:6">
      <c r="A2353" s="10">
        <v>2018</v>
      </c>
      <c r="B2353" t="s">
        <v>349</v>
      </c>
      <c r="C2353" t="s">
        <v>1647</v>
      </c>
      <c r="D2353" t="s">
        <v>2143</v>
      </c>
      <c r="E2353" s="10">
        <v>2606687</v>
      </c>
      <c r="F2353" s="12">
        <v>2.4060000000000002E-3</v>
      </c>
    </row>
    <row r="2354" spans="1:6">
      <c r="A2354" s="10">
        <v>2018</v>
      </c>
      <c r="B2354" t="s">
        <v>350</v>
      </c>
      <c r="C2354" t="s">
        <v>1648</v>
      </c>
      <c r="D2354" t="s">
        <v>2144</v>
      </c>
      <c r="E2354" s="10">
        <v>2579570</v>
      </c>
      <c r="F2354" s="12">
        <v>2.3809E-3</v>
      </c>
    </row>
    <row r="2355" spans="1:6">
      <c r="A2355" s="10">
        <v>2018</v>
      </c>
      <c r="B2355" t="s">
        <v>1221</v>
      </c>
      <c r="C2355" t="s">
        <v>1649</v>
      </c>
      <c r="D2355" t="s">
        <v>1649</v>
      </c>
      <c r="E2355" s="10">
        <v>266384</v>
      </c>
      <c r="F2355" s="12">
        <v>2.4590000000000001E-4</v>
      </c>
    </row>
    <row r="2356" spans="1:6">
      <c r="A2356" s="10">
        <v>2018</v>
      </c>
      <c r="B2356" t="s">
        <v>351</v>
      </c>
      <c r="C2356" t="s">
        <v>297</v>
      </c>
      <c r="D2356" t="s">
        <v>297</v>
      </c>
      <c r="E2356" s="10">
        <v>22891</v>
      </c>
      <c r="F2356" s="12">
        <v>2.1100000000000001E-5</v>
      </c>
    </row>
    <row r="2357" spans="1:6">
      <c r="A2357" s="10">
        <v>2018</v>
      </c>
      <c r="B2357" t="s">
        <v>352</v>
      </c>
      <c r="C2357" t="s">
        <v>2398</v>
      </c>
      <c r="D2357" t="s">
        <v>298</v>
      </c>
      <c r="E2357" s="10">
        <v>168580</v>
      </c>
      <c r="F2357" s="12">
        <v>1.5559999999999999E-4</v>
      </c>
    </row>
    <row r="2358" spans="1:6">
      <c r="A2358" s="10">
        <v>2018</v>
      </c>
      <c r="B2358" t="s">
        <v>353</v>
      </c>
      <c r="C2358" t="s">
        <v>1650</v>
      </c>
      <c r="D2358" t="s">
        <v>2145</v>
      </c>
      <c r="E2358" s="10">
        <v>58006</v>
      </c>
      <c r="F2358" s="12">
        <v>5.3499999999999999E-5</v>
      </c>
    </row>
    <row r="2359" spans="1:6">
      <c r="A2359" s="10">
        <v>2018</v>
      </c>
      <c r="B2359" t="s">
        <v>354</v>
      </c>
      <c r="C2359" t="s">
        <v>300</v>
      </c>
      <c r="D2359" t="s">
        <v>300</v>
      </c>
      <c r="E2359" s="10">
        <v>2462455</v>
      </c>
      <c r="F2359" s="12">
        <v>2.2728000000000002E-3</v>
      </c>
    </row>
    <row r="2360" spans="1:6">
      <c r="A2360" s="10">
        <v>2018</v>
      </c>
      <c r="B2360" t="s">
        <v>1659</v>
      </c>
      <c r="C2360" t="s">
        <v>1651</v>
      </c>
      <c r="D2360" t="s">
        <v>2146</v>
      </c>
      <c r="E2360" s="10">
        <v>170567</v>
      </c>
      <c r="F2360" s="12">
        <v>1.574E-4</v>
      </c>
    </row>
    <row r="2361" spans="1:6">
      <c r="A2361" s="10">
        <v>2018</v>
      </c>
      <c r="B2361" t="s">
        <v>355</v>
      </c>
      <c r="C2361" t="s">
        <v>2423</v>
      </c>
      <c r="D2361" t="s">
        <v>2147</v>
      </c>
      <c r="E2361" s="10">
        <v>332907</v>
      </c>
      <c r="F2361" s="12">
        <v>3.0729999999999999E-4</v>
      </c>
    </row>
    <row r="2362" spans="1:6">
      <c r="A2362" s="10">
        <v>2018</v>
      </c>
      <c r="B2362" t="s">
        <v>356</v>
      </c>
      <c r="C2362" t="s">
        <v>1444</v>
      </c>
      <c r="D2362" t="s">
        <v>1444</v>
      </c>
      <c r="E2362" s="10">
        <v>5591715</v>
      </c>
      <c r="F2362" s="12">
        <v>5.1611000000000001E-3</v>
      </c>
    </row>
    <row r="2363" spans="1:6">
      <c r="A2363" s="10">
        <v>2018</v>
      </c>
      <c r="B2363" t="s">
        <v>357</v>
      </c>
      <c r="C2363" t="s">
        <v>2424</v>
      </c>
      <c r="D2363" t="s">
        <v>2148</v>
      </c>
      <c r="E2363" s="10">
        <v>116846</v>
      </c>
      <c r="F2363" s="12">
        <v>1.078E-4</v>
      </c>
    </row>
    <row r="2364" spans="1:6">
      <c r="A2364" s="10">
        <v>2018</v>
      </c>
      <c r="B2364" t="s">
        <v>358</v>
      </c>
      <c r="C2364" t="s">
        <v>304</v>
      </c>
      <c r="D2364" t="s">
        <v>304</v>
      </c>
      <c r="E2364" s="10"/>
    </row>
    <row r="2365" spans="1:6">
      <c r="A2365" s="10">
        <v>2018</v>
      </c>
      <c r="B2365" t="s">
        <v>359</v>
      </c>
      <c r="C2365" t="s">
        <v>305</v>
      </c>
      <c r="D2365" t="s">
        <v>305</v>
      </c>
      <c r="E2365" s="10">
        <v>226611</v>
      </c>
      <c r="F2365" s="12">
        <v>2.0919999999999999E-4</v>
      </c>
    </row>
    <row r="2366" spans="1:6">
      <c r="A2366" s="10">
        <v>2018</v>
      </c>
      <c r="B2366" t="s">
        <v>360</v>
      </c>
      <c r="C2366" t="s">
        <v>1653</v>
      </c>
      <c r="D2366" t="s">
        <v>2149</v>
      </c>
      <c r="E2366" s="10">
        <v>23281675</v>
      </c>
      <c r="F2366" s="12">
        <v>2.1488799999999999E-2</v>
      </c>
    </row>
    <row r="2367" spans="1:6">
      <c r="A2367" s="10">
        <v>2018</v>
      </c>
      <c r="B2367" t="s">
        <v>375</v>
      </c>
      <c r="C2367" t="s">
        <v>1654</v>
      </c>
      <c r="D2367" t="s">
        <v>1654</v>
      </c>
      <c r="E2367" s="10">
        <v>8266698</v>
      </c>
      <c r="F2367" s="12">
        <v>7.6300999999999999E-3</v>
      </c>
    </row>
    <row r="2368" spans="1:6">
      <c r="A2368" s="10">
        <v>2018</v>
      </c>
      <c r="B2368" t="s">
        <v>361</v>
      </c>
      <c r="C2368" t="s">
        <v>1655</v>
      </c>
      <c r="D2368" t="s">
        <v>2150</v>
      </c>
      <c r="E2368" s="10">
        <v>153220</v>
      </c>
      <c r="F2368" s="12">
        <v>1.4139999999999999E-4</v>
      </c>
    </row>
    <row r="2369" spans="1:6">
      <c r="A2369" s="10">
        <v>2018</v>
      </c>
      <c r="B2369" t="s">
        <v>362</v>
      </c>
      <c r="C2369" t="s">
        <v>1656</v>
      </c>
      <c r="D2369" t="s">
        <v>2151</v>
      </c>
      <c r="E2369" s="10">
        <v>6534</v>
      </c>
      <c r="F2369" s="12">
        <v>6.0000000000000002E-6</v>
      </c>
    </row>
    <row r="2370" spans="1:6">
      <c r="A2370" s="10">
        <v>2018</v>
      </c>
      <c r="B2370" t="s">
        <v>363</v>
      </c>
      <c r="C2370" t="s">
        <v>1657</v>
      </c>
      <c r="D2370" t="s">
        <v>1657</v>
      </c>
      <c r="E2370" s="10">
        <v>2811318</v>
      </c>
      <c r="F2370" s="12">
        <v>2.5948E-3</v>
      </c>
    </row>
    <row r="2371" spans="1:6">
      <c r="A2371" s="10">
        <v>2018</v>
      </c>
      <c r="B2371" t="s">
        <v>364</v>
      </c>
      <c r="C2371" t="s">
        <v>310</v>
      </c>
      <c r="D2371" t="s">
        <v>310</v>
      </c>
      <c r="E2371" s="10"/>
    </row>
    <row r="2372" spans="1:6">
      <c r="A2372" s="10">
        <v>2018</v>
      </c>
      <c r="B2372" t="s">
        <v>365</v>
      </c>
      <c r="C2372" t="s">
        <v>1658</v>
      </c>
      <c r="D2372" t="s">
        <v>2152</v>
      </c>
      <c r="E2372" s="10">
        <v>956687</v>
      </c>
      <c r="F2372" s="12">
        <v>8.83E-4</v>
      </c>
    </row>
    <row r="2373" spans="1:6">
      <c r="A2373" s="10">
        <v>2018</v>
      </c>
      <c r="B2373" t="s">
        <v>1222</v>
      </c>
      <c r="C2373" t="s">
        <v>1660</v>
      </c>
      <c r="D2373" t="s">
        <v>1660</v>
      </c>
      <c r="E2373" s="10">
        <v>349314</v>
      </c>
      <c r="F2373" s="12">
        <v>3.2239999999999998E-4</v>
      </c>
    </row>
    <row r="2374" spans="1:6">
      <c r="A2374" s="10">
        <v>2018</v>
      </c>
      <c r="B2374" t="s">
        <v>366</v>
      </c>
      <c r="C2374" t="s">
        <v>312</v>
      </c>
      <c r="D2374" t="s">
        <v>312</v>
      </c>
      <c r="E2374" s="10">
        <v>3269</v>
      </c>
      <c r="F2374" s="12">
        <v>3.0000000000000001E-6</v>
      </c>
    </row>
    <row r="2375" spans="1:6">
      <c r="A2375" s="10">
        <v>2018</v>
      </c>
      <c r="B2375" t="s">
        <v>367</v>
      </c>
      <c r="C2375" t="s">
        <v>313</v>
      </c>
      <c r="D2375" t="s">
        <v>313</v>
      </c>
      <c r="E2375" s="10">
        <v>59732</v>
      </c>
      <c r="F2375" s="12">
        <v>5.5099999999999998E-5</v>
      </c>
    </row>
    <row r="2376" spans="1:6">
      <c r="A2376" s="10">
        <v>2018</v>
      </c>
      <c r="B2376" t="s">
        <v>368</v>
      </c>
      <c r="C2376" t="s">
        <v>1661</v>
      </c>
      <c r="D2376" t="s">
        <v>2153</v>
      </c>
      <c r="E2376" s="10">
        <v>209544</v>
      </c>
      <c r="F2376" s="12">
        <v>1.9340000000000001E-4</v>
      </c>
    </row>
    <row r="2377" spans="1:6">
      <c r="A2377" s="10">
        <v>2018</v>
      </c>
      <c r="B2377" t="s">
        <v>467</v>
      </c>
      <c r="C2377" t="s">
        <v>412</v>
      </c>
      <c r="D2377" t="s">
        <v>412</v>
      </c>
      <c r="E2377" s="10"/>
    </row>
    <row r="2378" spans="1:6">
      <c r="A2378" s="10">
        <v>2018</v>
      </c>
      <c r="B2378" t="s">
        <v>1223</v>
      </c>
      <c r="C2378" t="s">
        <v>1662</v>
      </c>
      <c r="D2378" t="s">
        <v>1662</v>
      </c>
      <c r="E2378" s="10">
        <v>166972</v>
      </c>
      <c r="F2378" s="12">
        <v>1.5410000000000001E-4</v>
      </c>
    </row>
    <row r="2379" spans="1:6">
      <c r="A2379" s="10">
        <v>2018</v>
      </c>
      <c r="B2379" t="s">
        <v>468</v>
      </c>
      <c r="C2379" t="s">
        <v>1663</v>
      </c>
      <c r="D2379" t="s">
        <v>2154</v>
      </c>
      <c r="E2379" s="10">
        <v>225259</v>
      </c>
      <c r="F2379" s="12">
        <v>2.0790000000000001E-4</v>
      </c>
    </row>
    <row r="2380" spans="1:6">
      <c r="A2380" s="10">
        <v>2018</v>
      </c>
      <c r="B2380" t="s">
        <v>469</v>
      </c>
      <c r="C2380" t="s">
        <v>1664</v>
      </c>
      <c r="D2380" t="s">
        <v>1664</v>
      </c>
      <c r="E2380" s="10"/>
    </row>
    <row r="2381" spans="1:6">
      <c r="A2381" s="10">
        <v>2018</v>
      </c>
      <c r="B2381" t="s">
        <v>1224</v>
      </c>
      <c r="C2381" t="s">
        <v>1665</v>
      </c>
      <c r="D2381" t="s">
        <v>1665</v>
      </c>
      <c r="E2381" s="10">
        <v>90727</v>
      </c>
      <c r="F2381" s="12">
        <v>8.3700000000000002E-5</v>
      </c>
    </row>
    <row r="2382" spans="1:6">
      <c r="A2382" s="10">
        <v>2018</v>
      </c>
      <c r="B2382" t="s">
        <v>470</v>
      </c>
      <c r="C2382" t="s">
        <v>2361</v>
      </c>
      <c r="D2382" t="s">
        <v>415</v>
      </c>
      <c r="E2382" s="10">
        <v>25198</v>
      </c>
      <c r="F2382" s="12">
        <v>2.3300000000000001E-5</v>
      </c>
    </row>
    <row r="2383" spans="1:6">
      <c r="A2383" s="10">
        <v>2018</v>
      </c>
      <c r="B2383" t="s">
        <v>471</v>
      </c>
      <c r="C2383" t="s">
        <v>416</v>
      </c>
      <c r="D2383" t="s">
        <v>416</v>
      </c>
      <c r="E2383" s="10">
        <v>2183290</v>
      </c>
      <c r="F2383" s="12">
        <v>2.0152E-3</v>
      </c>
    </row>
    <row r="2384" spans="1:6">
      <c r="A2384" s="10">
        <v>2018</v>
      </c>
      <c r="B2384" t="s">
        <v>472</v>
      </c>
      <c r="C2384" t="s">
        <v>417</v>
      </c>
      <c r="D2384" t="s">
        <v>417</v>
      </c>
      <c r="E2384" s="10">
        <v>2958880</v>
      </c>
      <c r="F2384" s="12">
        <v>2.7309999999999999E-3</v>
      </c>
    </row>
    <row r="2385" spans="1:6">
      <c r="A2385" s="10">
        <v>2018</v>
      </c>
      <c r="B2385" t="s">
        <v>473</v>
      </c>
      <c r="C2385" t="s">
        <v>418</v>
      </c>
      <c r="D2385" t="s">
        <v>418</v>
      </c>
      <c r="E2385" s="10"/>
    </row>
    <row r="2386" spans="1:6">
      <c r="A2386" s="10">
        <v>2018</v>
      </c>
      <c r="B2386" t="s">
        <v>474</v>
      </c>
      <c r="C2386" t="s">
        <v>1666</v>
      </c>
      <c r="D2386" t="s">
        <v>2155</v>
      </c>
      <c r="E2386" s="10">
        <v>79891</v>
      </c>
      <c r="F2386" s="12">
        <v>7.3700000000000002E-5</v>
      </c>
    </row>
    <row r="2387" spans="1:6">
      <c r="A2387" s="10">
        <v>2018</v>
      </c>
      <c r="B2387" t="s">
        <v>475</v>
      </c>
      <c r="C2387" t="s">
        <v>1667</v>
      </c>
      <c r="D2387" t="s">
        <v>1667</v>
      </c>
      <c r="E2387" s="10">
        <v>16845</v>
      </c>
      <c r="F2387" s="12">
        <v>1.5500000000000001E-5</v>
      </c>
    </row>
    <row r="2388" spans="1:6">
      <c r="A2388" s="10">
        <v>2018</v>
      </c>
      <c r="B2388" t="s">
        <v>476</v>
      </c>
      <c r="C2388" t="s">
        <v>421</v>
      </c>
      <c r="D2388" t="s">
        <v>421</v>
      </c>
      <c r="E2388" s="10">
        <v>4443252</v>
      </c>
      <c r="F2388" s="12">
        <v>4.1010999999999999E-3</v>
      </c>
    </row>
    <row r="2389" spans="1:6">
      <c r="A2389" s="10">
        <v>2018</v>
      </c>
      <c r="B2389" t="s">
        <v>477</v>
      </c>
      <c r="C2389" t="s">
        <v>422</v>
      </c>
      <c r="D2389" t="s">
        <v>422</v>
      </c>
      <c r="E2389" s="10">
        <v>974114</v>
      </c>
      <c r="F2389" s="12">
        <v>8.9910000000000001E-4</v>
      </c>
    </row>
    <row r="2390" spans="1:6">
      <c r="A2390" s="10">
        <v>2018</v>
      </c>
      <c r="B2390" t="s">
        <v>478</v>
      </c>
      <c r="C2390" t="s">
        <v>1668</v>
      </c>
      <c r="D2390" t="s">
        <v>2156</v>
      </c>
      <c r="E2390" s="10">
        <v>110149</v>
      </c>
      <c r="F2390" s="12">
        <v>1.0170000000000001E-4</v>
      </c>
    </row>
    <row r="2391" spans="1:6">
      <c r="A2391" s="10">
        <v>2018</v>
      </c>
      <c r="B2391" t="s">
        <v>479</v>
      </c>
      <c r="C2391" t="s">
        <v>1669</v>
      </c>
      <c r="D2391" t="s">
        <v>2157</v>
      </c>
      <c r="E2391" s="10">
        <v>307259</v>
      </c>
      <c r="F2391" s="12">
        <v>2.8360000000000001E-4</v>
      </c>
    </row>
    <row r="2392" spans="1:6">
      <c r="A2392" s="10">
        <v>2018</v>
      </c>
      <c r="B2392" t="s">
        <v>480</v>
      </c>
      <c r="C2392" t="s">
        <v>1670</v>
      </c>
      <c r="D2392" t="s">
        <v>2158</v>
      </c>
      <c r="E2392" s="10">
        <v>38492</v>
      </c>
      <c r="F2392" s="12">
        <v>3.5500000000000002E-5</v>
      </c>
    </row>
    <row r="2393" spans="1:6">
      <c r="A2393" s="10">
        <v>2018</v>
      </c>
      <c r="B2393" t="s">
        <v>481</v>
      </c>
      <c r="C2393" t="s">
        <v>1671</v>
      </c>
      <c r="D2393" t="s">
        <v>2159</v>
      </c>
      <c r="E2393" s="10">
        <v>803113</v>
      </c>
      <c r="F2393" s="12">
        <v>7.4129999999999997E-4</v>
      </c>
    </row>
    <row r="2394" spans="1:6">
      <c r="A2394" s="10">
        <v>2018</v>
      </c>
      <c r="B2394" t="s">
        <v>482</v>
      </c>
      <c r="C2394" t="s">
        <v>1672</v>
      </c>
      <c r="D2394" t="s">
        <v>2160</v>
      </c>
      <c r="E2394" s="10">
        <v>154591</v>
      </c>
      <c r="F2394" s="12">
        <v>1.427E-4</v>
      </c>
    </row>
    <row r="2395" spans="1:6">
      <c r="A2395" s="10">
        <v>2018</v>
      </c>
      <c r="B2395" t="s">
        <v>483</v>
      </c>
      <c r="C2395" t="s">
        <v>1673</v>
      </c>
      <c r="D2395" t="s">
        <v>2161</v>
      </c>
      <c r="E2395" s="10">
        <v>104054</v>
      </c>
      <c r="F2395" s="12">
        <v>9.6000000000000002E-5</v>
      </c>
    </row>
    <row r="2396" spans="1:6">
      <c r="A2396" s="10">
        <v>2018</v>
      </c>
      <c r="B2396" t="s">
        <v>484</v>
      </c>
      <c r="C2396" t="s">
        <v>1674</v>
      </c>
      <c r="D2396" t="s">
        <v>1674</v>
      </c>
      <c r="E2396" s="10">
        <v>308542</v>
      </c>
      <c r="F2396" s="12">
        <v>2.8479999999999998E-4</v>
      </c>
    </row>
    <row r="2397" spans="1:6">
      <c r="A2397" s="10">
        <v>2018</v>
      </c>
      <c r="B2397" t="s">
        <v>485</v>
      </c>
      <c r="C2397" t="s">
        <v>1675</v>
      </c>
      <c r="D2397" t="s">
        <v>1675</v>
      </c>
      <c r="E2397" s="10">
        <v>1110945</v>
      </c>
      <c r="F2397" s="12">
        <v>1.0254000000000001E-3</v>
      </c>
    </row>
    <row r="2398" spans="1:6">
      <c r="A2398" s="10">
        <v>2018</v>
      </c>
      <c r="B2398" t="s">
        <v>376</v>
      </c>
      <c r="C2398" t="s">
        <v>1676</v>
      </c>
      <c r="D2398" t="s">
        <v>1676</v>
      </c>
      <c r="E2398" s="10">
        <v>471557</v>
      </c>
      <c r="F2398" s="12">
        <v>4.3520000000000001E-4</v>
      </c>
    </row>
    <row r="2399" spans="1:6">
      <c r="A2399" s="10">
        <v>2018</v>
      </c>
      <c r="B2399" t="s">
        <v>1690</v>
      </c>
      <c r="C2399" t="s">
        <v>1677</v>
      </c>
      <c r="D2399" t="s">
        <v>2162</v>
      </c>
      <c r="E2399" s="10">
        <v>42079</v>
      </c>
      <c r="F2399" s="12">
        <v>3.8800000000000001E-5</v>
      </c>
    </row>
    <row r="2400" spans="1:6">
      <c r="A2400" s="10">
        <v>2018</v>
      </c>
      <c r="B2400" t="s">
        <v>377</v>
      </c>
      <c r="C2400" t="s">
        <v>1678</v>
      </c>
      <c r="D2400" t="s">
        <v>1678</v>
      </c>
      <c r="E2400" s="10">
        <v>872011</v>
      </c>
      <c r="F2400" s="12">
        <v>8.0489999999999999E-4</v>
      </c>
    </row>
    <row r="2401" spans="1:6">
      <c r="A2401" s="10">
        <v>2018</v>
      </c>
      <c r="B2401" t="s">
        <v>486</v>
      </c>
      <c r="C2401" t="s">
        <v>1679</v>
      </c>
      <c r="D2401" t="s">
        <v>2163</v>
      </c>
      <c r="E2401" s="10">
        <v>919764</v>
      </c>
      <c r="F2401" s="12">
        <v>8.4889999999999998E-4</v>
      </c>
    </row>
    <row r="2402" spans="1:6">
      <c r="A2402" s="10">
        <v>2018</v>
      </c>
      <c r="B2402" t="s">
        <v>487</v>
      </c>
      <c r="C2402" t="s">
        <v>432</v>
      </c>
      <c r="D2402" t="s">
        <v>432</v>
      </c>
      <c r="E2402" s="10">
        <v>6396</v>
      </c>
      <c r="F2402" s="12">
        <v>5.9000000000000003E-6</v>
      </c>
    </row>
    <row r="2403" spans="1:6">
      <c r="A2403" s="10">
        <v>2018</v>
      </c>
      <c r="B2403" t="s">
        <v>488</v>
      </c>
      <c r="C2403" t="s">
        <v>1680</v>
      </c>
      <c r="D2403" t="s">
        <v>2164</v>
      </c>
      <c r="E2403" s="10">
        <v>150721</v>
      </c>
      <c r="F2403" s="12">
        <v>1.3909999999999999E-4</v>
      </c>
    </row>
    <row r="2404" spans="1:6">
      <c r="A2404" s="10">
        <v>2018</v>
      </c>
      <c r="B2404" t="s">
        <v>489</v>
      </c>
      <c r="C2404" t="s">
        <v>434</v>
      </c>
      <c r="D2404" t="s">
        <v>2165</v>
      </c>
      <c r="E2404" s="10">
        <v>54062</v>
      </c>
      <c r="F2404" s="12">
        <v>4.99E-5</v>
      </c>
    </row>
    <row r="2405" spans="1:6">
      <c r="A2405" s="10">
        <v>2018</v>
      </c>
      <c r="B2405" t="s">
        <v>490</v>
      </c>
      <c r="C2405" t="s">
        <v>1681</v>
      </c>
      <c r="D2405" t="s">
        <v>2166</v>
      </c>
      <c r="E2405" s="10">
        <v>2683100</v>
      </c>
      <c r="F2405" s="12">
        <v>2.4765E-3</v>
      </c>
    </row>
    <row r="2406" spans="1:6">
      <c r="A2406" s="10">
        <v>2018</v>
      </c>
      <c r="B2406" t="s">
        <v>491</v>
      </c>
      <c r="C2406" t="s">
        <v>1682</v>
      </c>
      <c r="D2406" t="s">
        <v>2167</v>
      </c>
      <c r="E2406" s="10">
        <v>3294135</v>
      </c>
      <c r="F2406" s="12">
        <v>3.0404999999999998E-3</v>
      </c>
    </row>
    <row r="2407" spans="1:6">
      <c r="A2407" s="10">
        <v>2018</v>
      </c>
      <c r="B2407" t="s">
        <v>492</v>
      </c>
      <c r="C2407" t="s">
        <v>1683</v>
      </c>
      <c r="D2407" t="s">
        <v>2168</v>
      </c>
      <c r="E2407" s="10">
        <v>6228</v>
      </c>
      <c r="F2407" s="12">
        <v>5.6999999999999996E-6</v>
      </c>
    </row>
    <row r="2408" spans="1:6">
      <c r="A2408" s="10">
        <v>2018</v>
      </c>
      <c r="B2408" t="s">
        <v>493</v>
      </c>
      <c r="C2408" t="s">
        <v>1684</v>
      </c>
      <c r="D2408" t="s">
        <v>1684</v>
      </c>
      <c r="E2408" s="10">
        <v>9652</v>
      </c>
      <c r="F2408" s="12">
        <v>8.8999999999999995E-6</v>
      </c>
    </row>
    <row r="2409" spans="1:6">
      <c r="A2409" s="10">
        <v>2018</v>
      </c>
      <c r="B2409" t="s">
        <v>494</v>
      </c>
      <c r="C2409" t="s">
        <v>1685</v>
      </c>
      <c r="D2409" t="s">
        <v>2169</v>
      </c>
      <c r="E2409" s="10">
        <v>7578</v>
      </c>
      <c r="F2409" s="12">
        <v>6.9999999999999999E-6</v>
      </c>
    </row>
    <row r="2410" spans="1:6">
      <c r="A2410" s="10">
        <v>2018</v>
      </c>
      <c r="B2410" t="s">
        <v>550</v>
      </c>
      <c r="C2410" t="s">
        <v>1686</v>
      </c>
      <c r="D2410" t="s">
        <v>2169</v>
      </c>
      <c r="E2410" s="10">
        <v>63388</v>
      </c>
      <c r="F2410" s="12">
        <v>5.8499999999999999E-5</v>
      </c>
    </row>
    <row r="2411" spans="1:6">
      <c r="A2411" s="10">
        <v>2018</v>
      </c>
      <c r="B2411" t="s">
        <v>551</v>
      </c>
      <c r="C2411" t="s">
        <v>1687</v>
      </c>
      <c r="D2411" t="s">
        <v>2170</v>
      </c>
      <c r="E2411" s="10">
        <v>74829</v>
      </c>
      <c r="F2411" s="12">
        <v>6.9099999999999999E-5</v>
      </c>
    </row>
    <row r="2412" spans="1:6">
      <c r="A2412" s="10">
        <v>2018</v>
      </c>
      <c r="B2412" t="s">
        <v>552</v>
      </c>
      <c r="C2412" t="s">
        <v>1688</v>
      </c>
      <c r="D2412" t="s">
        <v>2171</v>
      </c>
      <c r="E2412" s="10">
        <v>16319115</v>
      </c>
      <c r="F2412" s="12">
        <v>1.50624E-2</v>
      </c>
    </row>
    <row r="2413" spans="1:6">
      <c r="A2413" s="10">
        <v>2018</v>
      </c>
      <c r="B2413" t="s">
        <v>819</v>
      </c>
      <c r="C2413" t="s">
        <v>1689</v>
      </c>
      <c r="D2413" t="s">
        <v>1689</v>
      </c>
      <c r="E2413" s="10"/>
    </row>
    <row r="2414" spans="1:6">
      <c r="A2414" s="10">
        <v>2018</v>
      </c>
      <c r="B2414" t="s">
        <v>553</v>
      </c>
      <c r="C2414" t="s">
        <v>498</v>
      </c>
      <c r="D2414" t="s">
        <v>498</v>
      </c>
      <c r="E2414" s="10">
        <v>29807</v>
      </c>
      <c r="F2414" s="12">
        <v>2.7500000000000001E-5</v>
      </c>
    </row>
    <row r="2415" spans="1:6">
      <c r="A2415" s="10">
        <v>2018</v>
      </c>
      <c r="B2415" t="s">
        <v>554</v>
      </c>
      <c r="C2415" t="s">
        <v>499</v>
      </c>
      <c r="D2415" t="s">
        <v>499</v>
      </c>
      <c r="E2415" s="10">
        <v>26568</v>
      </c>
      <c r="F2415" s="12">
        <v>2.4499999999999999E-5</v>
      </c>
    </row>
    <row r="2416" spans="1:6">
      <c r="A2416" s="10">
        <v>2018</v>
      </c>
      <c r="B2416" t="s">
        <v>555</v>
      </c>
      <c r="C2416" t="s">
        <v>500</v>
      </c>
      <c r="D2416" t="s">
        <v>500</v>
      </c>
      <c r="E2416" s="10">
        <v>169337</v>
      </c>
      <c r="F2416" s="12">
        <v>1.563E-4</v>
      </c>
    </row>
    <row r="2417" spans="1:6">
      <c r="A2417" s="10">
        <v>2018</v>
      </c>
      <c r="B2417" t="s">
        <v>556</v>
      </c>
      <c r="C2417" t="s">
        <v>501</v>
      </c>
      <c r="D2417" t="s">
        <v>501</v>
      </c>
      <c r="E2417" s="10"/>
    </row>
    <row r="2418" spans="1:6">
      <c r="A2418" s="10">
        <v>2018</v>
      </c>
      <c r="B2418" t="s">
        <v>557</v>
      </c>
      <c r="C2418" t="s">
        <v>502</v>
      </c>
      <c r="D2418" t="s">
        <v>502</v>
      </c>
      <c r="E2418" s="10">
        <v>46253</v>
      </c>
      <c r="F2418" s="12">
        <v>4.2700000000000001E-5</v>
      </c>
    </row>
    <row r="2419" spans="1:6">
      <c r="A2419" s="10">
        <v>2018</v>
      </c>
      <c r="B2419" t="s">
        <v>558</v>
      </c>
      <c r="C2419" t="s">
        <v>1691</v>
      </c>
      <c r="D2419" t="s">
        <v>2172</v>
      </c>
      <c r="E2419" s="10">
        <v>29291</v>
      </c>
      <c r="F2419" s="12">
        <v>2.6999999999999999E-5</v>
      </c>
    </row>
    <row r="2420" spans="1:6">
      <c r="A2420" s="10">
        <v>2018</v>
      </c>
      <c r="B2420" t="s">
        <v>559</v>
      </c>
      <c r="C2420" t="s">
        <v>1692</v>
      </c>
      <c r="D2420" t="s">
        <v>1692</v>
      </c>
      <c r="E2420" s="10">
        <v>1659970</v>
      </c>
      <c r="F2420" s="12">
        <v>1.5321E-3</v>
      </c>
    </row>
    <row r="2421" spans="1:6">
      <c r="A2421" s="10">
        <v>2018</v>
      </c>
      <c r="B2421" t="s">
        <v>378</v>
      </c>
      <c r="C2421" t="s">
        <v>1693</v>
      </c>
      <c r="D2421" t="s">
        <v>1693</v>
      </c>
      <c r="E2421" s="10">
        <v>482755</v>
      </c>
      <c r="F2421" s="12">
        <v>4.4559999999999999E-4</v>
      </c>
    </row>
    <row r="2422" spans="1:6">
      <c r="A2422" s="10">
        <v>2018</v>
      </c>
      <c r="B2422" t="s">
        <v>560</v>
      </c>
      <c r="C2422" t="s">
        <v>505</v>
      </c>
      <c r="D2422" t="s">
        <v>505</v>
      </c>
      <c r="E2422" s="10">
        <v>105922</v>
      </c>
      <c r="F2422" s="12">
        <v>9.7800000000000006E-5</v>
      </c>
    </row>
    <row r="2423" spans="1:6">
      <c r="A2423" s="10">
        <v>2018</v>
      </c>
      <c r="B2423" t="s">
        <v>561</v>
      </c>
      <c r="C2423" t="s">
        <v>1694</v>
      </c>
      <c r="D2423" t="s">
        <v>1694</v>
      </c>
      <c r="E2423" s="10">
        <v>202868</v>
      </c>
      <c r="F2423" s="12">
        <v>1.872E-4</v>
      </c>
    </row>
    <row r="2424" spans="1:6">
      <c r="A2424" s="10">
        <v>2018</v>
      </c>
      <c r="B2424" t="s">
        <v>1225</v>
      </c>
      <c r="C2424" t="s">
        <v>1695</v>
      </c>
      <c r="D2424" t="s">
        <v>1695</v>
      </c>
      <c r="E2424" s="10">
        <v>22030</v>
      </c>
      <c r="F2424" s="12">
        <v>2.0299999999999999E-5</v>
      </c>
    </row>
    <row r="2425" spans="1:6">
      <c r="A2425" s="10">
        <v>2018</v>
      </c>
      <c r="B2425" t="s">
        <v>562</v>
      </c>
      <c r="C2425" t="s">
        <v>2367</v>
      </c>
      <c r="D2425" t="s">
        <v>1696</v>
      </c>
      <c r="E2425" s="10">
        <v>10944608</v>
      </c>
      <c r="F2425" s="12">
        <v>1.0101799999999999E-2</v>
      </c>
    </row>
    <row r="2426" spans="1:6">
      <c r="A2426" s="10">
        <v>2018</v>
      </c>
      <c r="B2426" t="s">
        <v>1226</v>
      </c>
      <c r="C2426" t="s">
        <v>1697</v>
      </c>
      <c r="D2426" t="s">
        <v>1697</v>
      </c>
      <c r="E2426" s="10">
        <v>132013</v>
      </c>
      <c r="F2426" s="12">
        <v>1.2180000000000001E-4</v>
      </c>
    </row>
    <row r="2427" spans="1:6">
      <c r="A2427" s="10">
        <v>2018</v>
      </c>
      <c r="B2427" t="s">
        <v>563</v>
      </c>
      <c r="C2427" t="s">
        <v>1698</v>
      </c>
      <c r="D2427" t="s">
        <v>2173</v>
      </c>
      <c r="E2427" s="10">
        <v>6022</v>
      </c>
      <c r="F2427" s="12">
        <v>5.5999999999999997E-6</v>
      </c>
    </row>
    <row r="2428" spans="1:6">
      <c r="A2428" s="10">
        <v>2018</v>
      </c>
      <c r="B2428" t="s">
        <v>564</v>
      </c>
      <c r="C2428" t="s">
        <v>509</v>
      </c>
      <c r="D2428" t="s">
        <v>509</v>
      </c>
      <c r="E2428" s="10">
        <v>987242</v>
      </c>
      <c r="F2428" s="12">
        <v>9.1120000000000003E-4</v>
      </c>
    </row>
    <row r="2429" spans="1:6">
      <c r="A2429" s="10">
        <v>2018</v>
      </c>
      <c r="B2429" t="s">
        <v>565</v>
      </c>
      <c r="C2429" t="s">
        <v>510</v>
      </c>
      <c r="D2429" t="s">
        <v>510</v>
      </c>
      <c r="E2429" s="10">
        <v>2088689</v>
      </c>
      <c r="F2429" s="12">
        <v>1.9277999999999999E-3</v>
      </c>
    </row>
    <row r="2430" spans="1:6">
      <c r="A2430" s="10">
        <v>2018</v>
      </c>
      <c r="B2430" t="s">
        <v>566</v>
      </c>
      <c r="C2430" t="s">
        <v>1699</v>
      </c>
      <c r="D2430" t="s">
        <v>1699</v>
      </c>
      <c r="E2430" s="10">
        <v>125116</v>
      </c>
      <c r="F2430" s="12">
        <v>1.155E-4</v>
      </c>
    </row>
    <row r="2431" spans="1:6">
      <c r="A2431" s="10">
        <v>2018</v>
      </c>
      <c r="B2431" t="s">
        <v>569</v>
      </c>
      <c r="C2431" t="s">
        <v>1446</v>
      </c>
      <c r="D2431" t="s">
        <v>1446</v>
      </c>
      <c r="E2431" s="10">
        <v>172374</v>
      </c>
      <c r="F2431" s="12">
        <v>1.5909999999999999E-4</v>
      </c>
    </row>
    <row r="2432" spans="1:6">
      <c r="A2432" s="10">
        <v>2018</v>
      </c>
      <c r="B2432" t="s">
        <v>567</v>
      </c>
      <c r="C2432" t="s">
        <v>1700</v>
      </c>
      <c r="D2432" t="s">
        <v>2174</v>
      </c>
      <c r="E2432" s="10">
        <v>87527</v>
      </c>
      <c r="F2432" s="12">
        <v>8.0799999999999999E-5</v>
      </c>
    </row>
    <row r="2433" spans="1:6">
      <c r="A2433" s="10">
        <v>2018</v>
      </c>
      <c r="B2433" t="s">
        <v>568</v>
      </c>
      <c r="C2433" t="s">
        <v>2446</v>
      </c>
      <c r="D2433" t="s">
        <v>2175</v>
      </c>
      <c r="E2433" s="10">
        <v>157898</v>
      </c>
      <c r="F2433" s="12">
        <v>1.4569999999999999E-4</v>
      </c>
    </row>
    <row r="2434" spans="1:6">
      <c r="A2434" s="10">
        <v>2018</v>
      </c>
      <c r="B2434" t="s">
        <v>570</v>
      </c>
      <c r="C2434" t="s">
        <v>515</v>
      </c>
      <c r="D2434" t="s">
        <v>515</v>
      </c>
      <c r="E2434" s="10">
        <v>248980</v>
      </c>
      <c r="F2434" s="12">
        <v>2.298E-4</v>
      </c>
    </row>
    <row r="2435" spans="1:6">
      <c r="A2435" s="10">
        <v>2018</v>
      </c>
      <c r="B2435" t="s">
        <v>571</v>
      </c>
      <c r="C2435" t="s">
        <v>516</v>
      </c>
      <c r="D2435" t="s">
        <v>516</v>
      </c>
      <c r="E2435" s="10">
        <v>709077</v>
      </c>
      <c r="F2435" s="12">
        <v>6.5450000000000003E-4</v>
      </c>
    </row>
    <row r="2436" spans="1:6">
      <c r="A2436" s="10">
        <v>2018</v>
      </c>
      <c r="B2436" t="s">
        <v>572</v>
      </c>
      <c r="C2436" t="s">
        <v>517</v>
      </c>
      <c r="D2436" t="s">
        <v>517</v>
      </c>
      <c r="E2436" s="10">
        <v>257852</v>
      </c>
      <c r="F2436" s="12">
        <v>2.3800000000000001E-4</v>
      </c>
    </row>
    <row r="2437" spans="1:6">
      <c r="A2437" s="10">
        <v>2018</v>
      </c>
      <c r="B2437" t="s">
        <v>573</v>
      </c>
      <c r="C2437" t="s">
        <v>518</v>
      </c>
      <c r="D2437" t="s">
        <v>518</v>
      </c>
      <c r="E2437" s="10">
        <v>338872</v>
      </c>
      <c r="F2437" s="12">
        <v>3.1280000000000001E-4</v>
      </c>
    </row>
    <row r="2438" spans="1:6">
      <c r="A2438" s="10">
        <v>2018</v>
      </c>
      <c r="B2438" t="s">
        <v>574</v>
      </c>
      <c r="C2438" t="s">
        <v>1702</v>
      </c>
      <c r="D2438" t="s">
        <v>2176</v>
      </c>
      <c r="E2438" s="10">
        <v>107722</v>
      </c>
      <c r="F2438" s="12">
        <v>9.9400000000000004E-5</v>
      </c>
    </row>
    <row r="2439" spans="1:6">
      <c r="A2439" s="10">
        <v>2018</v>
      </c>
      <c r="B2439" t="s">
        <v>575</v>
      </c>
      <c r="C2439" t="s">
        <v>2437</v>
      </c>
      <c r="D2439" t="s">
        <v>2177</v>
      </c>
      <c r="E2439" s="10">
        <v>115491</v>
      </c>
      <c r="F2439" s="12">
        <v>1.066E-4</v>
      </c>
    </row>
    <row r="2440" spans="1:6">
      <c r="A2440" s="10">
        <v>2018</v>
      </c>
      <c r="B2440" t="s">
        <v>576</v>
      </c>
      <c r="C2440" t="s">
        <v>521</v>
      </c>
      <c r="D2440" t="s">
        <v>521</v>
      </c>
      <c r="E2440" s="10">
        <v>182995</v>
      </c>
      <c r="F2440" s="12">
        <v>1.6890000000000001E-4</v>
      </c>
    </row>
    <row r="2441" spans="1:6">
      <c r="A2441" s="10">
        <v>2018</v>
      </c>
      <c r="B2441" t="s">
        <v>577</v>
      </c>
      <c r="C2441" t="s">
        <v>1704</v>
      </c>
      <c r="D2441" t="s">
        <v>2178</v>
      </c>
      <c r="E2441" s="10">
        <v>34949</v>
      </c>
      <c r="F2441" s="12">
        <v>3.2299999999999999E-5</v>
      </c>
    </row>
    <row r="2442" spans="1:6">
      <c r="A2442" s="10">
        <v>2018</v>
      </c>
      <c r="B2442" t="s">
        <v>578</v>
      </c>
      <c r="C2442" t="s">
        <v>1705</v>
      </c>
      <c r="D2442" t="s">
        <v>1705</v>
      </c>
      <c r="E2442" s="10">
        <v>1379109</v>
      </c>
      <c r="F2442" s="12">
        <v>1.2729E-3</v>
      </c>
    </row>
    <row r="2443" spans="1:6">
      <c r="A2443" s="10">
        <v>2018</v>
      </c>
      <c r="B2443" t="s">
        <v>579</v>
      </c>
      <c r="C2443" t="s">
        <v>1447</v>
      </c>
      <c r="D2443" t="s">
        <v>2179</v>
      </c>
      <c r="E2443" s="10"/>
    </row>
    <row r="2444" spans="1:6">
      <c r="A2444" s="10">
        <v>2018</v>
      </c>
      <c r="B2444" t="s">
        <v>379</v>
      </c>
      <c r="C2444" t="s">
        <v>1706</v>
      </c>
      <c r="D2444" t="s">
        <v>1706</v>
      </c>
      <c r="E2444" s="10">
        <v>641354</v>
      </c>
      <c r="F2444" s="12">
        <v>5.9199999999999997E-4</v>
      </c>
    </row>
    <row r="2445" spans="1:6">
      <c r="A2445" s="10">
        <v>2018</v>
      </c>
      <c r="B2445" t="s">
        <v>1451</v>
      </c>
      <c r="C2445" t="s">
        <v>1707</v>
      </c>
      <c r="D2445" t="s">
        <v>2180</v>
      </c>
      <c r="E2445" s="10"/>
    </row>
    <row r="2446" spans="1:6">
      <c r="A2446" s="10">
        <v>2018</v>
      </c>
      <c r="B2446" t="s">
        <v>1450</v>
      </c>
      <c r="C2446" t="s">
        <v>1708</v>
      </c>
      <c r="D2446" t="s">
        <v>2180</v>
      </c>
      <c r="E2446" s="10"/>
    </row>
    <row r="2447" spans="1:6">
      <c r="A2447" s="10">
        <v>2018</v>
      </c>
      <c r="B2447" t="s">
        <v>580</v>
      </c>
      <c r="C2447" t="s">
        <v>1709</v>
      </c>
      <c r="D2447" t="s">
        <v>2181</v>
      </c>
      <c r="E2447" s="10">
        <v>69864</v>
      </c>
      <c r="F2447" s="12">
        <v>6.4499999999999996E-5</v>
      </c>
    </row>
    <row r="2448" spans="1:6">
      <c r="A2448" s="10">
        <v>2018</v>
      </c>
      <c r="B2448" t="s">
        <v>581</v>
      </c>
      <c r="C2448" t="s">
        <v>526</v>
      </c>
      <c r="D2448" t="s">
        <v>526</v>
      </c>
      <c r="E2448" s="10">
        <v>16038</v>
      </c>
      <c r="F2448" s="12">
        <v>1.4800000000000001E-5</v>
      </c>
    </row>
    <row r="2449" spans="1:6">
      <c r="A2449" s="10">
        <v>2018</v>
      </c>
      <c r="B2449" t="s">
        <v>582</v>
      </c>
      <c r="C2449" t="s">
        <v>1710</v>
      </c>
      <c r="D2449" t="s">
        <v>1710</v>
      </c>
      <c r="E2449" s="10">
        <v>436948</v>
      </c>
      <c r="F2449" s="12">
        <v>4.0329999999999999E-4</v>
      </c>
    </row>
    <row r="2450" spans="1:6">
      <c r="A2450" s="10">
        <v>2018</v>
      </c>
      <c r="B2450" t="s">
        <v>583</v>
      </c>
      <c r="C2450" t="s">
        <v>1711</v>
      </c>
      <c r="D2450" t="s">
        <v>1711</v>
      </c>
      <c r="E2450" s="10">
        <v>15980</v>
      </c>
      <c r="F2450" s="12">
        <v>1.47E-5</v>
      </c>
    </row>
    <row r="2451" spans="1:6">
      <c r="A2451" s="10">
        <v>2018</v>
      </c>
      <c r="B2451" t="s">
        <v>380</v>
      </c>
      <c r="C2451" t="s">
        <v>1712</v>
      </c>
      <c r="D2451" t="s">
        <v>1712</v>
      </c>
      <c r="E2451" s="10">
        <v>428518</v>
      </c>
      <c r="F2451" s="12">
        <v>3.9550000000000002E-4</v>
      </c>
    </row>
    <row r="2452" spans="1:6">
      <c r="A2452" s="10">
        <v>2018</v>
      </c>
      <c r="B2452" t="s">
        <v>584</v>
      </c>
      <c r="C2452" t="s">
        <v>529</v>
      </c>
      <c r="D2452" t="s">
        <v>2182</v>
      </c>
      <c r="E2452" s="10"/>
    </row>
    <row r="2453" spans="1:6">
      <c r="A2453" s="10">
        <v>2018</v>
      </c>
      <c r="B2453" t="s">
        <v>585</v>
      </c>
      <c r="C2453" t="s">
        <v>1713</v>
      </c>
      <c r="D2453" t="s">
        <v>2183</v>
      </c>
      <c r="E2453" s="10">
        <v>313228</v>
      </c>
      <c r="F2453" s="12">
        <v>2.8909999999999998E-4</v>
      </c>
    </row>
    <row r="2454" spans="1:6">
      <c r="A2454" s="10">
        <v>2018</v>
      </c>
      <c r="B2454" t="s">
        <v>586</v>
      </c>
      <c r="C2454" t="s">
        <v>1714</v>
      </c>
      <c r="D2454" t="s">
        <v>2184</v>
      </c>
      <c r="E2454" s="10">
        <v>103789</v>
      </c>
      <c r="F2454" s="12">
        <v>9.5799999999999998E-5</v>
      </c>
    </row>
    <row r="2455" spans="1:6">
      <c r="A2455" s="10">
        <v>2018</v>
      </c>
      <c r="B2455" t="s">
        <v>587</v>
      </c>
      <c r="C2455" t="s">
        <v>532</v>
      </c>
      <c r="D2455" t="s">
        <v>2185</v>
      </c>
      <c r="E2455" s="10">
        <v>155245</v>
      </c>
      <c r="F2455" s="12">
        <v>1.4329999999999999E-4</v>
      </c>
    </row>
    <row r="2456" spans="1:6">
      <c r="A2456" s="10">
        <v>2018</v>
      </c>
      <c r="B2456" t="s">
        <v>588</v>
      </c>
      <c r="C2456" t="s">
        <v>533</v>
      </c>
      <c r="D2456" t="s">
        <v>533</v>
      </c>
      <c r="E2456" s="10">
        <v>142995</v>
      </c>
      <c r="F2456" s="12">
        <v>1.3200000000000001E-4</v>
      </c>
    </row>
    <row r="2457" spans="1:6">
      <c r="A2457" s="10">
        <v>2018</v>
      </c>
      <c r="B2457" t="s">
        <v>589</v>
      </c>
      <c r="C2457" t="s">
        <v>1715</v>
      </c>
      <c r="D2457" t="s">
        <v>2186</v>
      </c>
      <c r="E2457" s="10">
        <v>5352017</v>
      </c>
      <c r="F2457" s="12">
        <v>4.9398999999999997E-3</v>
      </c>
    </row>
    <row r="2458" spans="1:6">
      <c r="A2458" s="10">
        <v>2018</v>
      </c>
      <c r="B2458" t="s">
        <v>381</v>
      </c>
      <c r="C2458" t="s">
        <v>1716</v>
      </c>
      <c r="D2458" t="s">
        <v>1716</v>
      </c>
      <c r="E2458" s="10">
        <v>3611134</v>
      </c>
      <c r="F2458" s="12">
        <v>3.3330999999999999E-3</v>
      </c>
    </row>
    <row r="2459" spans="1:6">
      <c r="A2459" s="10">
        <v>2018</v>
      </c>
      <c r="B2459" t="s">
        <v>590</v>
      </c>
      <c r="C2459" t="s">
        <v>1717</v>
      </c>
      <c r="D2459" t="s">
        <v>2187</v>
      </c>
      <c r="E2459" s="10">
        <v>4394381</v>
      </c>
      <c r="F2459" s="12">
        <v>4.0559999999999997E-3</v>
      </c>
    </row>
    <row r="2460" spans="1:6">
      <c r="A2460" s="10">
        <v>2018</v>
      </c>
      <c r="B2460" t="s">
        <v>1227</v>
      </c>
      <c r="C2460" t="s">
        <v>1718</v>
      </c>
      <c r="D2460" t="s">
        <v>1718</v>
      </c>
      <c r="E2460" s="10">
        <v>556343</v>
      </c>
      <c r="F2460" s="12">
        <v>5.1349999999999996E-4</v>
      </c>
    </row>
    <row r="2461" spans="1:6">
      <c r="A2461" s="10">
        <v>2018</v>
      </c>
      <c r="B2461" t="s">
        <v>591</v>
      </c>
      <c r="C2461" t="s">
        <v>536</v>
      </c>
      <c r="D2461" t="s">
        <v>536</v>
      </c>
      <c r="E2461" s="10">
        <v>52235</v>
      </c>
      <c r="F2461" s="12">
        <v>4.8199999999999999E-5</v>
      </c>
    </row>
    <row r="2462" spans="1:6">
      <c r="A2462" s="10">
        <v>2018</v>
      </c>
      <c r="B2462" t="s">
        <v>592</v>
      </c>
      <c r="C2462" t="s">
        <v>1719</v>
      </c>
      <c r="D2462" t="s">
        <v>2188</v>
      </c>
      <c r="E2462" s="10">
        <v>2715429</v>
      </c>
      <c r="F2462" s="12">
        <v>2.5062999999999999E-3</v>
      </c>
    </row>
    <row r="2463" spans="1:6">
      <c r="A2463" s="10">
        <v>2018</v>
      </c>
      <c r="B2463" t="s">
        <v>1456</v>
      </c>
      <c r="C2463" t="s">
        <v>1720</v>
      </c>
      <c r="D2463" t="s">
        <v>2189</v>
      </c>
      <c r="E2463" s="10">
        <v>16191</v>
      </c>
      <c r="F2463" s="12">
        <v>1.49E-5</v>
      </c>
    </row>
    <row r="2464" spans="1:6">
      <c r="A2464" s="10">
        <v>2018</v>
      </c>
      <c r="B2464" t="s">
        <v>593</v>
      </c>
      <c r="C2464" t="s">
        <v>1721</v>
      </c>
      <c r="D2464" t="s">
        <v>1721</v>
      </c>
      <c r="E2464" s="10">
        <v>596683</v>
      </c>
      <c r="F2464" s="12">
        <v>5.507E-4</v>
      </c>
    </row>
    <row r="2465" spans="1:6">
      <c r="A2465" s="10">
        <v>2018</v>
      </c>
      <c r="B2465" t="s">
        <v>594</v>
      </c>
      <c r="C2465" t="s">
        <v>2190</v>
      </c>
      <c r="D2465" t="s">
        <v>2190</v>
      </c>
      <c r="E2465" s="10">
        <v>16920</v>
      </c>
      <c r="F2465" s="12">
        <v>1.56E-5</v>
      </c>
    </row>
    <row r="2466" spans="1:6">
      <c r="A2466" s="10">
        <v>2018</v>
      </c>
      <c r="B2466" t="s">
        <v>595</v>
      </c>
      <c r="C2466" t="s">
        <v>1722</v>
      </c>
      <c r="D2466" t="s">
        <v>2191</v>
      </c>
      <c r="E2466" s="10">
        <v>510661</v>
      </c>
      <c r="F2466" s="12">
        <v>4.7130000000000002E-4</v>
      </c>
    </row>
    <row r="2467" spans="1:6">
      <c r="A2467" s="10">
        <v>2018</v>
      </c>
      <c r="B2467" t="s">
        <v>596</v>
      </c>
      <c r="C2467" t="s">
        <v>1723</v>
      </c>
      <c r="D2467" t="s">
        <v>2192</v>
      </c>
      <c r="E2467" s="10">
        <v>691030</v>
      </c>
      <c r="F2467" s="12">
        <v>6.378E-4</v>
      </c>
    </row>
    <row r="2468" spans="1:6">
      <c r="A2468" s="10">
        <v>2018</v>
      </c>
      <c r="B2468" t="s">
        <v>597</v>
      </c>
      <c r="C2468" t="s">
        <v>1724</v>
      </c>
      <c r="D2468" t="s">
        <v>2193</v>
      </c>
      <c r="E2468" s="10">
        <v>2194444</v>
      </c>
      <c r="F2468" s="12">
        <v>2.0255E-3</v>
      </c>
    </row>
    <row r="2469" spans="1:6">
      <c r="A2469" s="10">
        <v>2018</v>
      </c>
      <c r="B2469" t="s">
        <v>598</v>
      </c>
      <c r="C2469" t="s">
        <v>543</v>
      </c>
      <c r="D2469" t="s">
        <v>543</v>
      </c>
      <c r="E2469" s="10">
        <v>249793</v>
      </c>
      <c r="F2469" s="12">
        <v>2.3059999999999999E-4</v>
      </c>
    </row>
    <row r="2470" spans="1:6">
      <c r="A2470" s="10">
        <v>2018</v>
      </c>
      <c r="B2470" t="s">
        <v>1228</v>
      </c>
      <c r="C2470" t="s">
        <v>1725</v>
      </c>
      <c r="D2470" t="s">
        <v>1725</v>
      </c>
      <c r="E2470" s="10">
        <v>34871</v>
      </c>
      <c r="F2470" s="12">
        <v>3.2199999999999997E-5</v>
      </c>
    </row>
    <row r="2471" spans="1:6">
      <c r="A2471" s="10">
        <v>2018</v>
      </c>
      <c r="B2471" t="s">
        <v>599</v>
      </c>
      <c r="C2471" t="s">
        <v>1726</v>
      </c>
      <c r="D2471" t="s">
        <v>2194</v>
      </c>
      <c r="E2471" s="10">
        <v>140699</v>
      </c>
      <c r="F2471" s="12">
        <v>1.2990000000000001E-4</v>
      </c>
    </row>
    <row r="2472" spans="1:6">
      <c r="A2472" s="10">
        <v>2018</v>
      </c>
      <c r="B2472" t="s">
        <v>600</v>
      </c>
      <c r="C2472" t="s">
        <v>1727</v>
      </c>
      <c r="D2472" t="s">
        <v>2195</v>
      </c>
      <c r="E2472" s="10">
        <v>2097812</v>
      </c>
      <c r="F2472" s="12">
        <v>1.9363E-3</v>
      </c>
    </row>
    <row r="2473" spans="1:6">
      <c r="A2473" s="10">
        <v>2018</v>
      </c>
      <c r="B2473" t="s">
        <v>601</v>
      </c>
      <c r="C2473" t="s">
        <v>1728</v>
      </c>
      <c r="D2473" t="s">
        <v>1728</v>
      </c>
      <c r="E2473" s="10">
        <v>1062198</v>
      </c>
      <c r="F2473" s="12">
        <v>9.8039999999999998E-4</v>
      </c>
    </row>
    <row r="2474" spans="1:6">
      <c r="A2474" s="10">
        <v>2018</v>
      </c>
      <c r="B2474" t="s">
        <v>602</v>
      </c>
      <c r="C2474" t="s">
        <v>547</v>
      </c>
      <c r="D2474" t="s">
        <v>547</v>
      </c>
      <c r="E2474" s="10">
        <v>70929</v>
      </c>
      <c r="F2474" s="12">
        <v>6.5500000000000006E-5</v>
      </c>
    </row>
    <row r="2475" spans="1:6">
      <c r="A2475" s="10">
        <v>2018</v>
      </c>
      <c r="B2475" t="s">
        <v>603</v>
      </c>
      <c r="C2475" t="s">
        <v>548</v>
      </c>
      <c r="D2475" t="s">
        <v>548</v>
      </c>
      <c r="E2475" s="10">
        <v>98087</v>
      </c>
      <c r="F2475" s="12">
        <v>9.0500000000000004E-5</v>
      </c>
    </row>
    <row r="2476" spans="1:6">
      <c r="A2476" s="10">
        <v>2018</v>
      </c>
      <c r="B2476" t="s">
        <v>604</v>
      </c>
      <c r="C2476" t="s">
        <v>1729</v>
      </c>
      <c r="D2476" t="s">
        <v>2196</v>
      </c>
      <c r="E2476" s="10">
        <v>216504</v>
      </c>
      <c r="F2476" s="12">
        <v>1.998E-4</v>
      </c>
    </row>
    <row r="2477" spans="1:6">
      <c r="A2477" s="10">
        <v>2018</v>
      </c>
      <c r="B2477" t="s">
        <v>1229</v>
      </c>
      <c r="C2477" t="s">
        <v>1730</v>
      </c>
      <c r="D2477" t="s">
        <v>1730</v>
      </c>
      <c r="E2477" s="10">
        <v>148399</v>
      </c>
      <c r="F2477" s="12">
        <v>1.37E-4</v>
      </c>
    </row>
    <row r="2478" spans="1:6">
      <c r="A2478" s="10">
        <v>2018</v>
      </c>
      <c r="B2478" t="s">
        <v>660</v>
      </c>
      <c r="C2478" t="s">
        <v>605</v>
      </c>
      <c r="D2478" t="s">
        <v>605</v>
      </c>
      <c r="E2478" s="10">
        <v>1815533</v>
      </c>
      <c r="F2478" s="12">
        <v>1.6757E-3</v>
      </c>
    </row>
    <row r="2479" spans="1:6">
      <c r="A2479" s="10">
        <v>2018</v>
      </c>
      <c r="B2479" t="s">
        <v>661</v>
      </c>
      <c r="C2479" t="s">
        <v>1455</v>
      </c>
      <c r="D2479" t="s">
        <v>2197</v>
      </c>
      <c r="E2479" s="10">
        <v>19021</v>
      </c>
      <c r="F2479" s="12">
        <v>1.7600000000000001E-5</v>
      </c>
    </row>
    <row r="2480" spans="1:6">
      <c r="A2480" s="10">
        <v>2018</v>
      </c>
      <c r="B2480" t="s">
        <v>662</v>
      </c>
      <c r="C2480" t="s">
        <v>607</v>
      </c>
      <c r="D2480" t="s">
        <v>2198</v>
      </c>
      <c r="E2480" s="10">
        <v>15700</v>
      </c>
      <c r="F2480" s="12">
        <v>1.45E-5</v>
      </c>
    </row>
    <row r="2481" spans="1:6">
      <c r="A2481" s="10">
        <v>2018</v>
      </c>
      <c r="B2481" t="s">
        <v>663</v>
      </c>
      <c r="C2481" t="s">
        <v>608</v>
      </c>
      <c r="D2481" t="s">
        <v>608</v>
      </c>
      <c r="E2481" s="10">
        <v>28036</v>
      </c>
      <c r="F2481" s="12">
        <v>2.5899999999999999E-5</v>
      </c>
    </row>
    <row r="2482" spans="1:6">
      <c r="A2482" s="10">
        <v>2018</v>
      </c>
      <c r="B2482" t="s">
        <v>664</v>
      </c>
      <c r="C2482" t="s">
        <v>609</v>
      </c>
      <c r="D2482" t="s">
        <v>609</v>
      </c>
      <c r="E2482" s="10">
        <v>18021817</v>
      </c>
      <c r="F2482" s="12">
        <v>1.6633999999999999E-2</v>
      </c>
    </row>
    <row r="2483" spans="1:6">
      <c r="A2483" s="10">
        <v>2018</v>
      </c>
      <c r="B2483" t="s">
        <v>1230</v>
      </c>
      <c r="C2483" t="s">
        <v>1731</v>
      </c>
      <c r="D2483" t="s">
        <v>1731</v>
      </c>
      <c r="E2483" s="10">
        <v>5388610</v>
      </c>
      <c r="F2483" s="12">
        <v>4.9735999999999999E-3</v>
      </c>
    </row>
    <row r="2484" spans="1:6">
      <c r="A2484" s="10">
        <v>2018</v>
      </c>
      <c r="B2484" t="s">
        <v>665</v>
      </c>
      <c r="C2484" t="s">
        <v>1732</v>
      </c>
      <c r="D2484" t="s">
        <v>1732</v>
      </c>
      <c r="E2484" s="10">
        <v>5768106</v>
      </c>
      <c r="F2484" s="12">
        <v>5.3239000000000003E-3</v>
      </c>
    </row>
    <row r="2485" spans="1:6">
      <c r="A2485" s="10">
        <v>2018</v>
      </c>
      <c r="B2485" t="s">
        <v>666</v>
      </c>
      <c r="C2485" t="s">
        <v>1733</v>
      </c>
      <c r="D2485" t="s">
        <v>2199</v>
      </c>
      <c r="E2485" s="10">
        <v>8850107</v>
      </c>
      <c r="F2485" s="12">
        <v>8.1685999999999998E-3</v>
      </c>
    </row>
    <row r="2486" spans="1:6">
      <c r="A2486" s="10">
        <v>2018</v>
      </c>
      <c r="B2486" t="s">
        <v>382</v>
      </c>
      <c r="C2486" t="s">
        <v>1734</v>
      </c>
      <c r="D2486" t="s">
        <v>1734</v>
      </c>
      <c r="E2486" s="10">
        <v>7489055</v>
      </c>
      <c r="F2486" s="12">
        <v>6.9122999999999997E-3</v>
      </c>
    </row>
    <row r="2487" spans="1:6">
      <c r="A2487" s="10">
        <v>2018</v>
      </c>
      <c r="B2487" t="s">
        <v>667</v>
      </c>
      <c r="C2487" t="s">
        <v>1735</v>
      </c>
      <c r="D2487" t="s">
        <v>1735</v>
      </c>
      <c r="E2487" s="10">
        <v>772057</v>
      </c>
      <c r="F2487" s="12">
        <v>7.1259999999999997E-4</v>
      </c>
    </row>
    <row r="2488" spans="1:6">
      <c r="A2488" s="10">
        <v>2018</v>
      </c>
      <c r="B2488" t="s">
        <v>383</v>
      </c>
      <c r="C2488" t="s">
        <v>1736</v>
      </c>
      <c r="D2488" t="s">
        <v>1736</v>
      </c>
      <c r="E2488" s="10">
        <v>266529</v>
      </c>
      <c r="F2488" s="12">
        <v>2.4600000000000002E-4</v>
      </c>
    </row>
    <row r="2489" spans="1:6">
      <c r="A2489" s="10">
        <v>2018</v>
      </c>
      <c r="B2489" t="s">
        <v>668</v>
      </c>
      <c r="C2489" t="s">
        <v>613</v>
      </c>
      <c r="D2489" t="s">
        <v>613</v>
      </c>
      <c r="E2489" s="10">
        <v>243120</v>
      </c>
      <c r="F2489" s="12">
        <v>2.2440000000000001E-4</v>
      </c>
    </row>
    <row r="2490" spans="1:6">
      <c r="A2490" s="10">
        <v>2018</v>
      </c>
      <c r="B2490" t="s">
        <v>384</v>
      </c>
      <c r="C2490" t="s">
        <v>1737</v>
      </c>
      <c r="D2490" t="s">
        <v>1737</v>
      </c>
      <c r="E2490" s="10">
        <v>2891615</v>
      </c>
      <c r="F2490" s="12">
        <v>2.6689000000000001E-3</v>
      </c>
    </row>
    <row r="2491" spans="1:6">
      <c r="A2491" s="10">
        <v>2018</v>
      </c>
      <c r="B2491" t="s">
        <v>669</v>
      </c>
      <c r="C2491" t="s">
        <v>614</v>
      </c>
      <c r="D2491" t="s">
        <v>614</v>
      </c>
      <c r="E2491" s="10">
        <v>70711</v>
      </c>
      <c r="F2491" s="12">
        <v>6.5300000000000002E-5</v>
      </c>
    </row>
    <row r="2492" spans="1:6">
      <c r="A2492" s="10">
        <v>2018</v>
      </c>
      <c r="B2492" t="s">
        <v>670</v>
      </c>
      <c r="C2492" t="s">
        <v>615</v>
      </c>
      <c r="D2492" t="s">
        <v>615</v>
      </c>
      <c r="E2492" s="10">
        <v>655399</v>
      </c>
      <c r="F2492" s="12">
        <v>6.0490000000000001E-4</v>
      </c>
    </row>
    <row r="2493" spans="1:6">
      <c r="A2493" s="10">
        <v>2018</v>
      </c>
      <c r="B2493" t="s">
        <v>671</v>
      </c>
      <c r="C2493" t="s">
        <v>1738</v>
      </c>
      <c r="D2493" t="s">
        <v>2200</v>
      </c>
      <c r="E2493" s="10"/>
    </row>
    <row r="2494" spans="1:6">
      <c r="A2494" s="10">
        <v>2018</v>
      </c>
      <c r="B2494" t="s">
        <v>672</v>
      </c>
      <c r="C2494" t="s">
        <v>1739</v>
      </c>
      <c r="D2494" t="s">
        <v>2201</v>
      </c>
      <c r="E2494" s="10">
        <v>295791</v>
      </c>
      <c r="F2494" s="12">
        <v>2.7300000000000002E-4</v>
      </c>
    </row>
    <row r="2495" spans="1:6">
      <c r="A2495" s="10">
        <v>2018</v>
      </c>
      <c r="B2495" t="s">
        <v>673</v>
      </c>
      <c r="C2495" t="s">
        <v>618</v>
      </c>
      <c r="D2495" t="s">
        <v>618</v>
      </c>
      <c r="E2495" s="10">
        <v>98060</v>
      </c>
      <c r="F2495" s="12">
        <v>9.0500000000000004E-5</v>
      </c>
    </row>
    <row r="2496" spans="1:6">
      <c r="A2496" s="10">
        <v>2018</v>
      </c>
      <c r="B2496" t="s">
        <v>674</v>
      </c>
      <c r="C2496" t="s">
        <v>2429</v>
      </c>
      <c r="D2496" t="s">
        <v>2202</v>
      </c>
      <c r="E2496" s="10">
        <v>45611</v>
      </c>
      <c r="F2496" s="12">
        <v>4.21E-5</v>
      </c>
    </row>
    <row r="2497" spans="1:6">
      <c r="A2497" s="10">
        <v>2018</v>
      </c>
      <c r="B2497" t="s">
        <v>675</v>
      </c>
      <c r="C2497" t="s">
        <v>620</v>
      </c>
      <c r="D2497" t="s">
        <v>620</v>
      </c>
      <c r="E2497" s="10">
        <v>630473</v>
      </c>
      <c r="F2497" s="12">
        <v>5.819E-4</v>
      </c>
    </row>
    <row r="2498" spans="1:6">
      <c r="A2498" s="10">
        <v>2018</v>
      </c>
      <c r="B2498" t="s">
        <v>676</v>
      </c>
      <c r="C2498" t="s">
        <v>1740</v>
      </c>
      <c r="D2498" t="s">
        <v>2203</v>
      </c>
      <c r="E2498" s="10">
        <v>7385</v>
      </c>
      <c r="F2498" s="12">
        <v>6.8000000000000001E-6</v>
      </c>
    </row>
    <row r="2499" spans="1:6">
      <c r="A2499" s="10">
        <v>2018</v>
      </c>
      <c r="B2499" t="s">
        <v>677</v>
      </c>
      <c r="C2499" t="s">
        <v>622</v>
      </c>
      <c r="D2499" t="s">
        <v>622</v>
      </c>
      <c r="E2499" s="10">
        <v>5848</v>
      </c>
      <c r="F2499" s="12">
        <v>5.4E-6</v>
      </c>
    </row>
    <row r="2500" spans="1:6">
      <c r="A2500" s="10">
        <v>2018</v>
      </c>
      <c r="B2500" t="s">
        <v>1463</v>
      </c>
      <c r="C2500" t="s">
        <v>1741</v>
      </c>
      <c r="D2500" t="s">
        <v>2204</v>
      </c>
      <c r="E2500" s="10">
        <v>67600</v>
      </c>
      <c r="F2500" s="12">
        <v>6.2399999999999999E-5</v>
      </c>
    </row>
    <row r="2501" spans="1:6">
      <c r="A2501" s="10">
        <v>2018</v>
      </c>
      <c r="B2501" t="s">
        <v>678</v>
      </c>
      <c r="C2501" t="s">
        <v>1458</v>
      </c>
      <c r="D2501" t="s">
        <v>1458</v>
      </c>
      <c r="E2501" s="10"/>
    </row>
    <row r="2502" spans="1:6">
      <c r="A2502" s="10">
        <v>2018</v>
      </c>
      <c r="B2502" t="s">
        <v>1231</v>
      </c>
      <c r="C2502" t="s">
        <v>1742</v>
      </c>
      <c r="D2502" t="s">
        <v>1742</v>
      </c>
      <c r="E2502" s="10">
        <v>84599</v>
      </c>
      <c r="F2502" s="12">
        <v>7.8100000000000001E-5</v>
      </c>
    </row>
    <row r="2503" spans="1:6">
      <c r="A2503" s="10">
        <v>2018</v>
      </c>
      <c r="B2503" t="s">
        <v>679</v>
      </c>
      <c r="C2503" t="s">
        <v>1459</v>
      </c>
      <c r="D2503" t="s">
        <v>1459</v>
      </c>
      <c r="E2503" s="10"/>
    </row>
    <row r="2504" spans="1:6">
      <c r="A2504" s="10">
        <v>2018</v>
      </c>
      <c r="B2504" t="s">
        <v>680</v>
      </c>
      <c r="C2504" t="s">
        <v>1743</v>
      </c>
      <c r="D2504" t="s">
        <v>2205</v>
      </c>
      <c r="E2504" s="10">
        <v>46285</v>
      </c>
      <c r="F2504" s="12">
        <v>4.2700000000000001E-5</v>
      </c>
    </row>
    <row r="2505" spans="1:6">
      <c r="A2505" s="10">
        <v>2018</v>
      </c>
      <c r="B2505" t="s">
        <v>681</v>
      </c>
      <c r="C2505" t="s">
        <v>626</v>
      </c>
      <c r="D2505" t="s">
        <v>626</v>
      </c>
      <c r="E2505" s="10">
        <v>237220</v>
      </c>
      <c r="F2505" s="12">
        <v>2.1900000000000001E-4</v>
      </c>
    </row>
    <row r="2506" spans="1:6">
      <c r="A2506" s="10">
        <v>2018</v>
      </c>
      <c r="B2506" t="s">
        <v>682</v>
      </c>
      <c r="C2506" t="s">
        <v>1744</v>
      </c>
      <c r="D2506" t="s">
        <v>2206</v>
      </c>
      <c r="E2506" s="10">
        <v>31875</v>
      </c>
      <c r="F2506" s="12">
        <v>2.94E-5</v>
      </c>
    </row>
    <row r="2507" spans="1:6">
      <c r="A2507" s="10">
        <v>2018</v>
      </c>
      <c r="B2507" t="s">
        <v>1232</v>
      </c>
      <c r="C2507" t="s">
        <v>1745</v>
      </c>
      <c r="D2507" t="s">
        <v>1745</v>
      </c>
      <c r="E2507" s="10">
        <v>86154</v>
      </c>
      <c r="F2507" s="12">
        <v>7.9499999999999994E-5</v>
      </c>
    </row>
    <row r="2508" spans="1:6">
      <c r="A2508" s="10">
        <v>2018</v>
      </c>
      <c r="B2508" t="s">
        <v>683</v>
      </c>
      <c r="C2508" t="s">
        <v>1746</v>
      </c>
      <c r="D2508" t="s">
        <v>2207</v>
      </c>
      <c r="E2508" s="10">
        <v>192784</v>
      </c>
      <c r="F2508" s="12">
        <v>1.7789999999999999E-4</v>
      </c>
    </row>
    <row r="2509" spans="1:6">
      <c r="A2509" s="10">
        <v>2018</v>
      </c>
      <c r="B2509" t="s">
        <v>685</v>
      </c>
      <c r="C2509" t="s">
        <v>1461</v>
      </c>
      <c r="D2509" t="s">
        <v>1461</v>
      </c>
      <c r="E2509" s="10">
        <v>19007</v>
      </c>
      <c r="F2509" s="12">
        <v>1.7499999999999998E-5</v>
      </c>
    </row>
    <row r="2510" spans="1:6">
      <c r="A2510" s="10">
        <v>2018</v>
      </c>
      <c r="B2510" t="s">
        <v>686</v>
      </c>
      <c r="C2510" t="s">
        <v>1747</v>
      </c>
      <c r="D2510" t="s">
        <v>2208</v>
      </c>
      <c r="E2510" s="10">
        <v>274117</v>
      </c>
      <c r="F2510" s="12">
        <v>2.5300000000000002E-4</v>
      </c>
    </row>
    <row r="2511" spans="1:6">
      <c r="A2511" s="10">
        <v>2018</v>
      </c>
      <c r="B2511" t="s">
        <v>687</v>
      </c>
      <c r="C2511" t="s">
        <v>632</v>
      </c>
      <c r="D2511" t="s">
        <v>632</v>
      </c>
      <c r="E2511" s="10">
        <v>745523</v>
      </c>
      <c r="F2511" s="12">
        <v>6.8809999999999997E-4</v>
      </c>
    </row>
    <row r="2512" spans="1:6">
      <c r="A2512" s="10">
        <v>2018</v>
      </c>
      <c r="B2512" t="s">
        <v>688</v>
      </c>
      <c r="C2512" t="s">
        <v>1748</v>
      </c>
      <c r="D2512" t="s">
        <v>1748</v>
      </c>
      <c r="E2512" s="10">
        <v>17192</v>
      </c>
      <c r="F2512" s="12">
        <v>1.59E-5</v>
      </c>
    </row>
    <row r="2513" spans="1:6">
      <c r="A2513" s="10">
        <v>2018</v>
      </c>
      <c r="B2513" t="s">
        <v>689</v>
      </c>
      <c r="C2513" t="s">
        <v>1749</v>
      </c>
      <c r="D2513" t="s">
        <v>1749</v>
      </c>
      <c r="E2513" s="10">
        <v>5444951</v>
      </c>
      <c r="F2513" s="12">
        <v>5.0257000000000001E-3</v>
      </c>
    </row>
    <row r="2514" spans="1:6">
      <c r="A2514" s="10">
        <v>2018</v>
      </c>
      <c r="B2514" t="s">
        <v>690</v>
      </c>
      <c r="C2514" t="s">
        <v>1750</v>
      </c>
      <c r="D2514" t="s">
        <v>2209</v>
      </c>
      <c r="E2514" s="10">
        <v>17266</v>
      </c>
      <c r="F2514" s="12">
        <v>1.59E-5</v>
      </c>
    </row>
    <row r="2515" spans="1:6">
      <c r="A2515" s="10">
        <v>2018</v>
      </c>
      <c r="B2515" t="s">
        <v>691</v>
      </c>
      <c r="C2515" t="s">
        <v>1751</v>
      </c>
      <c r="D2515" t="s">
        <v>1751</v>
      </c>
      <c r="E2515" s="10">
        <v>1350421</v>
      </c>
      <c r="F2515" s="12">
        <v>1.2463999999999999E-3</v>
      </c>
    </row>
    <row r="2516" spans="1:6">
      <c r="A2516" s="10">
        <v>2018</v>
      </c>
      <c r="B2516" t="s">
        <v>440</v>
      </c>
      <c r="C2516" t="s">
        <v>1752</v>
      </c>
      <c r="D2516" t="s">
        <v>1752</v>
      </c>
      <c r="E2516" s="10">
        <v>168768</v>
      </c>
      <c r="F2516" s="12">
        <v>1.5579999999999999E-4</v>
      </c>
    </row>
    <row r="2517" spans="1:6">
      <c r="A2517" s="10">
        <v>2018</v>
      </c>
      <c r="B2517" t="s">
        <v>1464</v>
      </c>
      <c r="C2517" t="s">
        <v>1753</v>
      </c>
      <c r="D2517" t="s">
        <v>2210</v>
      </c>
      <c r="E2517" s="10">
        <v>305402</v>
      </c>
      <c r="F2517" s="12">
        <v>2.8190000000000002E-4</v>
      </c>
    </row>
    <row r="2518" spans="1:6">
      <c r="A2518" s="10">
        <v>2018</v>
      </c>
      <c r="B2518" t="s">
        <v>684</v>
      </c>
      <c r="C2518" t="s">
        <v>1754</v>
      </c>
      <c r="D2518" t="s">
        <v>2210</v>
      </c>
      <c r="E2518" s="10">
        <v>349254</v>
      </c>
      <c r="F2518" s="12">
        <v>3.2239999999999998E-4</v>
      </c>
    </row>
    <row r="2519" spans="1:6">
      <c r="A2519" s="10">
        <v>2018</v>
      </c>
      <c r="B2519" t="s">
        <v>692</v>
      </c>
      <c r="C2519" t="s">
        <v>637</v>
      </c>
      <c r="D2519" t="s">
        <v>2211</v>
      </c>
      <c r="E2519" s="10">
        <v>221677</v>
      </c>
      <c r="F2519" s="12">
        <v>2.0460000000000001E-4</v>
      </c>
    </row>
    <row r="2520" spans="1:6">
      <c r="A2520" s="10">
        <v>2018</v>
      </c>
      <c r="B2520" t="s">
        <v>1356</v>
      </c>
      <c r="C2520" t="s">
        <v>1755</v>
      </c>
      <c r="D2520" t="s">
        <v>2212</v>
      </c>
      <c r="E2520" s="10">
        <v>159951</v>
      </c>
      <c r="F2520" s="12">
        <v>1.4760000000000001E-4</v>
      </c>
    </row>
    <row r="2521" spans="1:6">
      <c r="A2521" s="10">
        <v>2018</v>
      </c>
      <c r="B2521" t="s">
        <v>693</v>
      </c>
      <c r="C2521" t="s">
        <v>2442</v>
      </c>
      <c r="D2521" t="s">
        <v>2213</v>
      </c>
      <c r="E2521" s="10">
        <v>87927</v>
      </c>
      <c r="F2521" s="12">
        <v>8.1199999999999995E-5</v>
      </c>
    </row>
    <row r="2522" spans="1:6">
      <c r="A2522" s="10">
        <v>2018</v>
      </c>
      <c r="B2522" t="s">
        <v>694</v>
      </c>
      <c r="C2522" t="s">
        <v>1757</v>
      </c>
      <c r="D2522" t="s">
        <v>2214</v>
      </c>
      <c r="E2522" s="10">
        <v>2639512</v>
      </c>
      <c r="F2522" s="12">
        <v>2.4363000000000002E-3</v>
      </c>
    </row>
    <row r="2523" spans="1:6">
      <c r="A2523" s="10">
        <v>2018</v>
      </c>
      <c r="B2523" t="s">
        <v>695</v>
      </c>
      <c r="C2523" t="s">
        <v>1758</v>
      </c>
      <c r="D2523" t="s">
        <v>2215</v>
      </c>
      <c r="E2523" s="10">
        <v>97477</v>
      </c>
      <c r="F2523" s="12">
        <v>9.0000000000000006E-5</v>
      </c>
    </row>
    <row r="2524" spans="1:6">
      <c r="A2524" s="10">
        <v>2018</v>
      </c>
      <c r="B2524" t="s">
        <v>1781</v>
      </c>
      <c r="C2524" t="s">
        <v>1759</v>
      </c>
      <c r="D2524" t="s">
        <v>1759</v>
      </c>
      <c r="E2524" s="10">
        <v>206424</v>
      </c>
      <c r="F2524" s="12">
        <v>1.905E-4</v>
      </c>
    </row>
    <row r="2525" spans="1:6">
      <c r="A2525" s="10">
        <v>2018</v>
      </c>
      <c r="B2525" t="s">
        <v>916</v>
      </c>
      <c r="C2525" t="s">
        <v>2443</v>
      </c>
      <c r="D2525" t="s">
        <v>1760</v>
      </c>
      <c r="E2525" s="10">
        <v>55790</v>
      </c>
      <c r="F2525" s="12">
        <v>5.1499999999999998E-5</v>
      </c>
    </row>
    <row r="2526" spans="1:6">
      <c r="A2526" s="10">
        <v>2018</v>
      </c>
      <c r="B2526" t="s">
        <v>696</v>
      </c>
      <c r="C2526" t="s">
        <v>641</v>
      </c>
      <c r="D2526" t="s">
        <v>641</v>
      </c>
      <c r="E2526" s="10">
        <v>24893</v>
      </c>
      <c r="F2526" s="12">
        <v>2.3E-5</v>
      </c>
    </row>
    <row r="2527" spans="1:6">
      <c r="A2527" s="10">
        <v>2018</v>
      </c>
      <c r="B2527" t="s">
        <v>697</v>
      </c>
      <c r="C2527" t="s">
        <v>1761</v>
      </c>
      <c r="D2527" t="s">
        <v>2216</v>
      </c>
      <c r="E2527" s="10">
        <v>139015</v>
      </c>
      <c r="F2527" s="12">
        <v>1.283E-4</v>
      </c>
    </row>
    <row r="2528" spans="1:6">
      <c r="A2528" s="10">
        <v>2018</v>
      </c>
      <c r="B2528" t="s">
        <v>698</v>
      </c>
      <c r="C2528" t="s">
        <v>1762</v>
      </c>
      <c r="D2528" t="s">
        <v>1762</v>
      </c>
      <c r="E2528" s="10">
        <v>4086886</v>
      </c>
      <c r="F2528" s="12">
        <v>3.7721999999999999E-3</v>
      </c>
    </row>
    <row r="2529" spans="1:6">
      <c r="A2529" s="10">
        <v>2018</v>
      </c>
      <c r="B2529" t="s">
        <v>699</v>
      </c>
      <c r="C2529" t="s">
        <v>1763</v>
      </c>
      <c r="D2529" t="s">
        <v>1763</v>
      </c>
      <c r="E2529" s="10">
        <v>2052525</v>
      </c>
      <c r="F2529" s="12">
        <v>1.8944999999999999E-3</v>
      </c>
    </row>
    <row r="2530" spans="1:6">
      <c r="A2530" s="10">
        <v>2018</v>
      </c>
      <c r="B2530" t="s">
        <v>700</v>
      </c>
      <c r="C2530" t="s">
        <v>2374</v>
      </c>
      <c r="D2530" t="s">
        <v>2217</v>
      </c>
      <c r="E2530" s="10">
        <v>15548</v>
      </c>
      <c r="F2530" s="12">
        <v>1.4399999999999999E-5</v>
      </c>
    </row>
    <row r="2531" spans="1:6">
      <c r="A2531" s="10">
        <v>2018</v>
      </c>
      <c r="B2531" t="s">
        <v>701</v>
      </c>
      <c r="C2531" t="s">
        <v>2405</v>
      </c>
      <c r="D2531" t="s">
        <v>1765</v>
      </c>
      <c r="E2531" s="10">
        <v>284217</v>
      </c>
      <c r="F2531" s="12">
        <v>2.6229999999999998E-4</v>
      </c>
    </row>
    <row r="2532" spans="1:6">
      <c r="A2532" s="10">
        <v>2018</v>
      </c>
      <c r="B2532" t="s">
        <v>702</v>
      </c>
      <c r="C2532" t="s">
        <v>1766</v>
      </c>
      <c r="D2532" t="s">
        <v>2218</v>
      </c>
      <c r="E2532" s="10">
        <v>313503</v>
      </c>
      <c r="F2532" s="12">
        <v>2.8939999999999999E-4</v>
      </c>
    </row>
    <row r="2533" spans="1:6">
      <c r="A2533" s="10">
        <v>2018</v>
      </c>
      <c r="B2533" t="s">
        <v>703</v>
      </c>
      <c r="C2533" t="s">
        <v>1767</v>
      </c>
      <c r="D2533" t="s">
        <v>1767</v>
      </c>
      <c r="E2533" s="10">
        <v>1688446</v>
      </c>
      <c r="F2533" s="12">
        <v>1.5583999999999999E-3</v>
      </c>
    </row>
    <row r="2534" spans="1:6">
      <c r="A2534" s="10">
        <v>2018</v>
      </c>
      <c r="B2534" t="s">
        <v>1233</v>
      </c>
      <c r="C2534" t="s">
        <v>1768</v>
      </c>
      <c r="D2534" t="s">
        <v>1768</v>
      </c>
      <c r="E2534" s="10">
        <v>81196</v>
      </c>
      <c r="F2534" s="12">
        <v>7.4900000000000005E-5</v>
      </c>
    </row>
    <row r="2535" spans="1:6">
      <c r="A2535" s="10">
        <v>2018</v>
      </c>
      <c r="B2535" t="s">
        <v>704</v>
      </c>
      <c r="C2535" t="s">
        <v>1769</v>
      </c>
      <c r="D2535" t="s">
        <v>1769</v>
      </c>
      <c r="E2535" s="10">
        <v>105424</v>
      </c>
      <c r="F2535" s="12">
        <v>9.7299999999999993E-5</v>
      </c>
    </row>
    <row r="2536" spans="1:6">
      <c r="A2536" s="10">
        <v>2018</v>
      </c>
      <c r="B2536" t="s">
        <v>705</v>
      </c>
      <c r="C2536" t="s">
        <v>1770</v>
      </c>
      <c r="D2536" t="s">
        <v>1770</v>
      </c>
      <c r="E2536" s="10">
        <v>523712</v>
      </c>
      <c r="F2536" s="12">
        <v>4.8339999999999999E-4</v>
      </c>
    </row>
    <row r="2537" spans="1:6">
      <c r="A2537" s="10">
        <v>2018</v>
      </c>
      <c r="B2537" t="s">
        <v>706</v>
      </c>
      <c r="C2537" t="s">
        <v>1771</v>
      </c>
      <c r="D2537" t="s">
        <v>1771</v>
      </c>
      <c r="E2537" s="10">
        <v>2952028</v>
      </c>
      <c r="F2537" s="12">
        <v>2.7247E-3</v>
      </c>
    </row>
    <row r="2538" spans="1:6">
      <c r="A2538" s="10">
        <v>2018</v>
      </c>
      <c r="B2538" t="s">
        <v>441</v>
      </c>
      <c r="C2538" t="s">
        <v>1772</v>
      </c>
      <c r="D2538" t="s">
        <v>1772</v>
      </c>
      <c r="E2538" s="10">
        <v>1170093</v>
      </c>
      <c r="F2538" s="12">
        <v>1.08E-3</v>
      </c>
    </row>
    <row r="2539" spans="1:6">
      <c r="A2539" s="10">
        <v>2018</v>
      </c>
      <c r="B2539" t="s">
        <v>707</v>
      </c>
      <c r="C2539" t="s">
        <v>1773</v>
      </c>
      <c r="D2539" t="s">
        <v>2219</v>
      </c>
      <c r="E2539" s="10">
        <v>62481</v>
      </c>
      <c r="F2539" s="12">
        <v>5.77E-5</v>
      </c>
    </row>
    <row r="2540" spans="1:6">
      <c r="A2540" s="10">
        <v>2018</v>
      </c>
      <c r="B2540" t="s">
        <v>708</v>
      </c>
      <c r="C2540" t="s">
        <v>1774</v>
      </c>
      <c r="D2540" t="s">
        <v>1774</v>
      </c>
      <c r="E2540" s="10">
        <v>8980173</v>
      </c>
      <c r="F2540" s="12">
        <v>8.2886000000000001E-3</v>
      </c>
    </row>
    <row r="2541" spans="1:6">
      <c r="A2541" s="10">
        <v>2018</v>
      </c>
      <c r="B2541" t="s">
        <v>709</v>
      </c>
      <c r="C2541" t="s">
        <v>654</v>
      </c>
      <c r="D2541" t="s">
        <v>654</v>
      </c>
      <c r="E2541" s="10">
        <v>737012</v>
      </c>
      <c r="F2541" s="12">
        <v>6.803E-4</v>
      </c>
    </row>
    <row r="2542" spans="1:6">
      <c r="A2542" s="10">
        <v>2018</v>
      </c>
      <c r="B2542" t="s">
        <v>710</v>
      </c>
      <c r="C2542" t="s">
        <v>1775</v>
      </c>
      <c r="D2542" t="s">
        <v>2220</v>
      </c>
      <c r="E2542" s="10">
        <v>2387099</v>
      </c>
      <c r="F2542" s="12">
        <v>2.2033000000000001E-3</v>
      </c>
    </row>
    <row r="2543" spans="1:6">
      <c r="A2543" s="10">
        <v>2018</v>
      </c>
      <c r="B2543" t="s">
        <v>442</v>
      </c>
      <c r="C2543" t="s">
        <v>1776</v>
      </c>
      <c r="D2543" t="s">
        <v>1776</v>
      </c>
      <c r="E2543" s="10">
        <v>1785000</v>
      </c>
      <c r="F2543" s="12">
        <v>1.6475000000000001E-3</v>
      </c>
    </row>
    <row r="2544" spans="1:6">
      <c r="A2544" s="10">
        <v>2018</v>
      </c>
      <c r="B2544" t="s">
        <v>711</v>
      </c>
      <c r="C2544" t="s">
        <v>1777</v>
      </c>
      <c r="D2544" t="s">
        <v>1777</v>
      </c>
      <c r="E2544" s="10"/>
    </row>
    <row r="2545" spans="1:6">
      <c r="A2545" s="10">
        <v>2018</v>
      </c>
      <c r="B2545" t="s">
        <v>712</v>
      </c>
      <c r="C2545" t="s">
        <v>1778</v>
      </c>
      <c r="D2545" t="s">
        <v>2221</v>
      </c>
      <c r="E2545" s="10">
        <v>3360829</v>
      </c>
      <c r="F2545" s="12">
        <v>3.1020000000000002E-3</v>
      </c>
    </row>
    <row r="2546" spans="1:6">
      <c r="A2546" s="10">
        <v>2018</v>
      </c>
      <c r="B2546" t="s">
        <v>713</v>
      </c>
      <c r="C2546" t="s">
        <v>1779</v>
      </c>
      <c r="D2546" t="s">
        <v>1779</v>
      </c>
      <c r="E2546" s="10">
        <v>150028</v>
      </c>
      <c r="F2546" s="12">
        <v>1.3850000000000001E-4</v>
      </c>
    </row>
    <row r="2547" spans="1:6">
      <c r="A2547" s="10">
        <v>2018</v>
      </c>
      <c r="B2547" t="s">
        <v>714</v>
      </c>
      <c r="C2547" t="s">
        <v>1780</v>
      </c>
      <c r="D2547" t="s">
        <v>2222</v>
      </c>
      <c r="E2547" s="10">
        <v>1547887</v>
      </c>
      <c r="F2547" s="12">
        <v>1.4287E-3</v>
      </c>
    </row>
    <row r="2548" spans="1:6">
      <c r="A2548" s="10">
        <v>2018</v>
      </c>
      <c r="B2548" t="s">
        <v>770</v>
      </c>
      <c r="C2548" t="s">
        <v>715</v>
      </c>
      <c r="D2548" t="s">
        <v>715</v>
      </c>
      <c r="E2548" s="10">
        <v>50574</v>
      </c>
      <c r="F2548" s="12">
        <v>4.6699999999999997E-5</v>
      </c>
    </row>
    <row r="2549" spans="1:6">
      <c r="A2549" s="10">
        <v>2018</v>
      </c>
      <c r="B2549" t="s">
        <v>771</v>
      </c>
      <c r="C2549" t="s">
        <v>1782</v>
      </c>
      <c r="D2549" t="s">
        <v>1782</v>
      </c>
      <c r="E2549" s="10">
        <v>32604</v>
      </c>
      <c r="F2549" s="12">
        <v>3.01E-5</v>
      </c>
    </row>
    <row r="2550" spans="1:6">
      <c r="A2550" s="10">
        <v>2018</v>
      </c>
      <c r="B2550" t="s">
        <v>772</v>
      </c>
      <c r="C2550" t="s">
        <v>1783</v>
      </c>
      <c r="D2550" t="s">
        <v>1783</v>
      </c>
      <c r="E2550" s="10"/>
    </row>
    <row r="2551" spans="1:6">
      <c r="A2551" s="10">
        <v>2018</v>
      </c>
      <c r="B2551" t="s">
        <v>773</v>
      </c>
      <c r="C2551" t="s">
        <v>1784</v>
      </c>
      <c r="D2551" t="s">
        <v>2223</v>
      </c>
      <c r="E2551" s="10">
        <v>5176139</v>
      </c>
      <c r="F2551" s="12">
        <v>4.7774999999999996E-3</v>
      </c>
    </row>
    <row r="2552" spans="1:6">
      <c r="A2552" s="10">
        <v>2018</v>
      </c>
      <c r="B2552" t="s">
        <v>443</v>
      </c>
      <c r="C2552" t="s">
        <v>1785</v>
      </c>
      <c r="D2552" t="s">
        <v>1785</v>
      </c>
      <c r="E2552" s="10">
        <v>227991</v>
      </c>
      <c r="F2552" s="12">
        <v>2.1039999999999999E-4</v>
      </c>
    </row>
    <row r="2553" spans="1:6">
      <c r="A2553" s="10">
        <v>2018</v>
      </c>
      <c r="B2553" t="s">
        <v>774</v>
      </c>
      <c r="C2553" t="s">
        <v>1786</v>
      </c>
      <c r="D2553" t="s">
        <v>2224</v>
      </c>
      <c r="E2553" s="10">
        <v>212105</v>
      </c>
      <c r="F2553" s="12">
        <v>1.9579999999999999E-4</v>
      </c>
    </row>
    <row r="2554" spans="1:6">
      <c r="A2554" s="10">
        <v>2018</v>
      </c>
      <c r="B2554" t="s">
        <v>775</v>
      </c>
      <c r="C2554" t="s">
        <v>1787</v>
      </c>
      <c r="D2554" t="s">
        <v>2225</v>
      </c>
      <c r="E2554" s="10">
        <v>2609832</v>
      </c>
      <c r="F2554" s="12">
        <v>2.4088999999999998E-3</v>
      </c>
    </row>
    <row r="2555" spans="1:6">
      <c r="A2555" s="10">
        <v>2018</v>
      </c>
      <c r="B2555" t="s">
        <v>776</v>
      </c>
      <c r="C2555" t="s">
        <v>721</v>
      </c>
      <c r="D2555" t="s">
        <v>721</v>
      </c>
      <c r="E2555" s="10"/>
    </row>
    <row r="2556" spans="1:6">
      <c r="A2556" s="10">
        <v>2018</v>
      </c>
      <c r="B2556" t="s">
        <v>778</v>
      </c>
      <c r="C2556" t="s">
        <v>1788</v>
      </c>
      <c r="D2556" t="s">
        <v>1788</v>
      </c>
      <c r="E2556" s="10">
        <v>2856714</v>
      </c>
      <c r="F2556" s="12">
        <v>2.6367000000000001E-3</v>
      </c>
    </row>
    <row r="2557" spans="1:6">
      <c r="A2557" s="10">
        <v>2018</v>
      </c>
      <c r="B2557" t="s">
        <v>779</v>
      </c>
      <c r="C2557" t="s">
        <v>1789</v>
      </c>
      <c r="D2557" t="s">
        <v>2226</v>
      </c>
      <c r="E2557" s="10">
        <v>135034</v>
      </c>
      <c r="F2557" s="12">
        <v>1.2459999999999999E-4</v>
      </c>
    </row>
    <row r="2558" spans="1:6">
      <c r="A2558" s="10">
        <v>2018</v>
      </c>
      <c r="B2558" t="s">
        <v>780</v>
      </c>
      <c r="C2558" t="s">
        <v>1790</v>
      </c>
      <c r="D2558" t="s">
        <v>2227</v>
      </c>
      <c r="E2558" s="10">
        <v>421109</v>
      </c>
      <c r="F2558" s="12">
        <v>3.8870000000000002E-4</v>
      </c>
    </row>
    <row r="2559" spans="1:6">
      <c r="A2559" s="10">
        <v>2018</v>
      </c>
      <c r="B2559" t="s">
        <v>781</v>
      </c>
      <c r="C2559" t="s">
        <v>1791</v>
      </c>
      <c r="D2559" t="s">
        <v>2228</v>
      </c>
      <c r="E2559" s="10">
        <v>15178</v>
      </c>
      <c r="F2559" s="12">
        <v>1.4E-5</v>
      </c>
    </row>
    <row r="2560" spans="1:6">
      <c r="A2560" s="10">
        <v>2018</v>
      </c>
      <c r="B2560" t="s">
        <v>782</v>
      </c>
      <c r="C2560" t="s">
        <v>1792</v>
      </c>
      <c r="D2560" t="s">
        <v>1792</v>
      </c>
      <c r="E2560" s="10">
        <v>6325762</v>
      </c>
      <c r="F2560" s="12">
        <v>5.8386000000000002E-3</v>
      </c>
    </row>
    <row r="2561" spans="1:6">
      <c r="A2561" s="10">
        <v>2018</v>
      </c>
      <c r="B2561" t="s">
        <v>1234</v>
      </c>
      <c r="C2561" t="s">
        <v>1793</v>
      </c>
      <c r="D2561" t="s">
        <v>1793</v>
      </c>
      <c r="E2561" s="10">
        <v>1540798</v>
      </c>
      <c r="F2561" s="12">
        <v>1.4220999999999999E-3</v>
      </c>
    </row>
    <row r="2562" spans="1:6">
      <c r="A2562" s="10">
        <v>2018</v>
      </c>
      <c r="B2562" t="s">
        <v>783</v>
      </c>
      <c r="C2562" t="s">
        <v>1794</v>
      </c>
      <c r="D2562" t="s">
        <v>1794</v>
      </c>
      <c r="E2562" s="10">
        <v>991409</v>
      </c>
      <c r="F2562" s="12">
        <v>9.1509999999999996E-4</v>
      </c>
    </row>
    <row r="2563" spans="1:6">
      <c r="A2563" s="10">
        <v>2018</v>
      </c>
      <c r="B2563" t="s">
        <v>787</v>
      </c>
      <c r="C2563" t="s">
        <v>732</v>
      </c>
      <c r="D2563" t="s">
        <v>732</v>
      </c>
      <c r="E2563" s="10">
        <v>52816124</v>
      </c>
      <c r="F2563" s="12">
        <v>4.8748800000000002E-2</v>
      </c>
    </row>
    <row r="2564" spans="1:6">
      <c r="A2564" s="10">
        <v>2018</v>
      </c>
      <c r="B2564" t="s">
        <v>784</v>
      </c>
      <c r="C2564" t="s">
        <v>1795</v>
      </c>
      <c r="D2564" t="s">
        <v>2229</v>
      </c>
      <c r="E2564" s="10">
        <v>38352260</v>
      </c>
      <c r="F2564" s="12">
        <v>3.5398899999999997E-2</v>
      </c>
    </row>
    <row r="2565" spans="1:6">
      <c r="A2565" s="10">
        <v>2018</v>
      </c>
      <c r="B2565" t="s">
        <v>785</v>
      </c>
      <c r="C2565" t="s">
        <v>1796</v>
      </c>
      <c r="D2565" t="s">
        <v>2230</v>
      </c>
      <c r="E2565" s="10">
        <v>411379</v>
      </c>
      <c r="F2565" s="12">
        <v>3.7970000000000001E-4</v>
      </c>
    </row>
    <row r="2566" spans="1:6">
      <c r="A2566" s="10">
        <v>2018</v>
      </c>
      <c r="B2566" t="s">
        <v>788</v>
      </c>
      <c r="C2566" t="s">
        <v>1797</v>
      </c>
      <c r="D2566" t="s">
        <v>2231</v>
      </c>
      <c r="E2566" s="10">
        <v>405386</v>
      </c>
      <c r="F2566" s="12">
        <v>3.7419999999999999E-4</v>
      </c>
    </row>
    <row r="2567" spans="1:6">
      <c r="A2567" s="10">
        <v>2018</v>
      </c>
      <c r="B2567" t="s">
        <v>786</v>
      </c>
      <c r="C2567" t="s">
        <v>2460</v>
      </c>
      <c r="D2567" t="s">
        <v>2232</v>
      </c>
      <c r="E2567" s="10">
        <v>23324022</v>
      </c>
      <c r="F2567" s="12">
        <v>2.1527899999999999E-2</v>
      </c>
    </row>
    <row r="2568" spans="1:6">
      <c r="A2568" s="10">
        <v>2018</v>
      </c>
      <c r="B2568" t="s">
        <v>789</v>
      </c>
      <c r="C2568" t="s">
        <v>1799</v>
      </c>
      <c r="D2568" t="s">
        <v>2233</v>
      </c>
      <c r="E2568" s="10">
        <v>3175368</v>
      </c>
      <c r="F2568" s="12">
        <v>2.9307999999999999E-3</v>
      </c>
    </row>
    <row r="2569" spans="1:6">
      <c r="A2569" s="10">
        <v>2018</v>
      </c>
      <c r="B2569" t="s">
        <v>444</v>
      </c>
      <c r="C2569" t="s">
        <v>1800</v>
      </c>
      <c r="D2569" t="s">
        <v>1800</v>
      </c>
      <c r="E2569" s="10">
        <v>939865</v>
      </c>
      <c r="F2569" s="12">
        <v>8.675E-4</v>
      </c>
    </row>
    <row r="2570" spans="1:6">
      <c r="A2570" s="10">
        <v>2018</v>
      </c>
      <c r="B2570" t="s">
        <v>790</v>
      </c>
      <c r="C2570" t="s">
        <v>1801</v>
      </c>
      <c r="D2570" t="s">
        <v>2234</v>
      </c>
      <c r="E2570" s="10">
        <v>237689</v>
      </c>
      <c r="F2570" s="12">
        <v>2.1939999999999999E-4</v>
      </c>
    </row>
    <row r="2571" spans="1:6">
      <c r="A2571" s="10">
        <v>2018</v>
      </c>
      <c r="B2571" t="s">
        <v>777</v>
      </c>
      <c r="C2571" t="s">
        <v>1802</v>
      </c>
      <c r="D2571" t="s">
        <v>2235</v>
      </c>
      <c r="E2571" s="10">
        <v>110942</v>
      </c>
      <c r="F2571" s="12">
        <v>1.024E-4</v>
      </c>
    </row>
    <row r="2572" spans="1:6">
      <c r="A2572" s="10">
        <v>2018</v>
      </c>
      <c r="B2572" t="s">
        <v>791</v>
      </c>
      <c r="C2572" t="s">
        <v>736</v>
      </c>
      <c r="D2572" t="s">
        <v>736</v>
      </c>
      <c r="E2572" s="10">
        <v>249697</v>
      </c>
      <c r="F2572" s="12">
        <v>2.3049999999999999E-4</v>
      </c>
    </row>
    <row r="2573" spans="1:6">
      <c r="A2573" s="10">
        <v>2018</v>
      </c>
      <c r="B2573" t="s">
        <v>792</v>
      </c>
      <c r="C2573" t="s">
        <v>1803</v>
      </c>
      <c r="D2573" t="s">
        <v>1803</v>
      </c>
      <c r="E2573" s="10">
        <v>341374</v>
      </c>
      <c r="F2573" s="12">
        <v>3.1510000000000002E-4</v>
      </c>
    </row>
    <row r="2574" spans="1:6">
      <c r="A2574" s="10">
        <v>2018</v>
      </c>
      <c r="B2574" t="s">
        <v>793</v>
      </c>
      <c r="C2574" t="s">
        <v>1804</v>
      </c>
      <c r="D2574" t="s">
        <v>2236</v>
      </c>
      <c r="E2574" s="10">
        <v>113787</v>
      </c>
      <c r="F2574" s="12">
        <v>1.05E-4</v>
      </c>
    </row>
    <row r="2575" spans="1:6">
      <c r="A2575" s="10">
        <v>2018</v>
      </c>
      <c r="B2575" t="s">
        <v>794</v>
      </c>
      <c r="C2575" t="s">
        <v>1805</v>
      </c>
      <c r="D2575" t="s">
        <v>2237</v>
      </c>
      <c r="E2575" s="10">
        <v>42644</v>
      </c>
      <c r="F2575" s="12">
        <v>3.9400000000000002E-5</v>
      </c>
    </row>
    <row r="2576" spans="1:6">
      <c r="A2576" s="10">
        <v>2018</v>
      </c>
      <c r="B2576" t="s">
        <v>795</v>
      </c>
      <c r="C2576" t="s">
        <v>1806</v>
      </c>
      <c r="D2576" t="s">
        <v>1806</v>
      </c>
      <c r="E2576" s="10">
        <v>33996825</v>
      </c>
      <c r="F2576" s="12">
        <v>3.1378799999999998E-2</v>
      </c>
    </row>
    <row r="2577" spans="1:6">
      <c r="A2577" s="10">
        <v>2018</v>
      </c>
      <c r="B2577" t="s">
        <v>445</v>
      </c>
      <c r="C2577" t="s">
        <v>1807</v>
      </c>
      <c r="D2577" t="s">
        <v>1807</v>
      </c>
      <c r="E2577" s="10">
        <v>17652538</v>
      </c>
      <c r="F2577" s="12">
        <v>1.6293200000000001E-2</v>
      </c>
    </row>
    <row r="2578" spans="1:6">
      <c r="A2578" s="10">
        <v>2018</v>
      </c>
      <c r="B2578" t="s">
        <v>796</v>
      </c>
      <c r="C2578" t="s">
        <v>741</v>
      </c>
      <c r="D2578" t="s">
        <v>741</v>
      </c>
      <c r="E2578" s="10">
        <v>118958</v>
      </c>
      <c r="F2578" s="12">
        <v>1.098E-4</v>
      </c>
    </row>
    <row r="2579" spans="1:6">
      <c r="A2579" s="10">
        <v>2018</v>
      </c>
      <c r="B2579" t="s">
        <v>797</v>
      </c>
      <c r="C2579" t="s">
        <v>1808</v>
      </c>
      <c r="D2579" t="s">
        <v>2238</v>
      </c>
      <c r="E2579" s="10">
        <v>360807</v>
      </c>
      <c r="F2579" s="12">
        <v>3.3300000000000002E-4</v>
      </c>
    </row>
    <row r="2580" spans="1:6">
      <c r="A2580" s="10">
        <v>2018</v>
      </c>
      <c r="B2580" t="s">
        <v>798</v>
      </c>
      <c r="C2580" t="s">
        <v>743</v>
      </c>
      <c r="D2580" t="s">
        <v>743</v>
      </c>
      <c r="E2580" s="10">
        <v>128789</v>
      </c>
      <c r="F2580" s="12">
        <v>1.189E-4</v>
      </c>
    </row>
    <row r="2581" spans="1:6">
      <c r="A2581" s="10">
        <v>2018</v>
      </c>
      <c r="B2581" t="s">
        <v>799</v>
      </c>
      <c r="C2581" t="s">
        <v>1809</v>
      </c>
      <c r="D2581" t="s">
        <v>1809</v>
      </c>
      <c r="E2581" s="10">
        <v>484058</v>
      </c>
      <c r="F2581" s="12">
        <v>4.4680000000000002E-4</v>
      </c>
    </row>
    <row r="2582" spans="1:6">
      <c r="A2582" s="10">
        <v>2018</v>
      </c>
      <c r="B2582" t="s">
        <v>1235</v>
      </c>
      <c r="C2582" t="s">
        <v>1810</v>
      </c>
      <c r="D2582" t="s">
        <v>1810</v>
      </c>
      <c r="E2582" s="10">
        <v>104962</v>
      </c>
      <c r="F2582" s="12">
        <v>9.6899999999999997E-5</v>
      </c>
    </row>
    <row r="2583" spans="1:6">
      <c r="A2583" s="10">
        <v>2018</v>
      </c>
      <c r="B2583" t="s">
        <v>800</v>
      </c>
      <c r="C2583" t="s">
        <v>745</v>
      </c>
      <c r="D2583" t="s">
        <v>745</v>
      </c>
      <c r="E2583" s="10">
        <v>71259</v>
      </c>
      <c r="F2583" s="12">
        <v>6.58E-5</v>
      </c>
    </row>
    <row r="2584" spans="1:6">
      <c r="A2584" s="10">
        <v>2018</v>
      </c>
      <c r="B2584" t="s">
        <v>801</v>
      </c>
      <c r="C2584" t="s">
        <v>1811</v>
      </c>
      <c r="D2584" t="s">
        <v>2239</v>
      </c>
      <c r="E2584" s="10">
        <v>600503</v>
      </c>
      <c r="F2584" s="12">
        <v>5.5429999999999998E-4</v>
      </c>
    </row>
    <row r="2585" spans="1:6">
      <c r="A2585" s="10">
        <v>2018</v>
      </c>
      <c r="B2585" t="s">
        <v>802</v>
      </c>
      <c r="C2585" t="s">
        <v>1812</v>
      </c>
      <c r="D2585" t="s">
        <v>2240</v>
      </c>
      <c r="E2585" s="10">
        <v>41852</v>
      </c>
      <c r="F2585" s="12">
        <v>3.8600000000000003E-5</v>
      </c>
    </row>
    <row r="2586" spans="1:6">
      <c r="A2586" s="10">
        <v>2018</v>
      </c>
      <c r="B2586" t="s">
        <v>803</v>
      </c>
      <c r="C2586" t="s">
        <v>748</v>
      </c>
      <c r="D2586" t="s">
        <v>2241</v>
      </c>
      <c r="E2586" s="10">
        <v>197307</v>
      </c>
      <c r="F2586" s="12">
        <v>1.8210000000000001E-4</v>
      </c>
    </row>
    <row r="2587" spans="1:6">
      <c r="A2587" s="10">
        <v>2018</v>
      </c>
      <c r="B2587" t="s">
        <v>804</v>
      </c>
      <c r="C2587" t="s">
        <v>749</v>
      </c>
      <c r="D2587" t="s">
        <v>749</v>
      </c>
      <c r="E2587" s="10">
        <v>278216</v>
      </c>
      <c r="F2587" s="12">
        <v>2.5680000000000001E-4</v>
      </c>
    </row>
    <row r="2588" spans="1:6">
      <c r="A2588" s="10">
        <v>2018</v>
      </c>
      <c r="B2588" t="s">
        <v>805</v>
      </c>
      <c r="C2588" t="s">
        <v>750</v>
      </c>
      <c r="D2588" t="s">
        <v>750</v>
      </c>
      <c r="E2588" s="10">
        <v>1452803</v>
      </c>
      <c r="F2588" s="12">
        <v>1.3408999999999999E-3</v>
      </c>
    </row>
    <row r="2589" spans="1:6">
      <c r="A2589" s="10">
        <v>2018</v>
      </c>
      <c r="B2589" t="s">
        <v>806</v>
      </c>
      <c r="C2589" t="s">
        <v>751</v>
      </c>
      <c r="D2589" t="s">
        <v>751</v>
      </c>
      <c r="E2589" s="10">
        <v>3877116</v>
      </c>
      <c r="F2589" s="12">
        <v>3.5785000000000001E-3</v>
      </c>
    </row>
    <row r="2590" spans="1:6">
      <c r="A2590" s="10">
        <v>2018</v>
      </c>
      <c r="B2590" t="s">
        <v>807</v>
      </c>
      <c r="C2590" t="s">
        <v>752</v>
      </c>
      <c r="D2590" t="s">
        <v>752</v>
      </c>
      <c r="E2590" s="10">
        <v>77340</v>
      </c>
      <c r="F2590" s="12">
        <v>7.1400000000000001E-5</v>
      </c>
    </row>
    <row r="2591" spans="1:6">
      <c r="A2591" s="10">
        <v>2018</v>
      </c>
      <c r="B2591" t="s">
        <v>808</v>
      </c>
      <c r="C2591" t="s">
        <v>2430</v>
      </c>
      <c r="D2591" t="s">
        <v>2242</v>
      </c>
      <c r="E2591" s="10">
        <v>168192</v>
      </c>
      <c r="F2591" s="12">
        <v>1.552E-4</v>
      </c>
    </row>
    <row r="2592" spans="1:6">
      <c r="A2592" s="10">
        <v>2018</v>
      </c>
      <c r="B2592" t="s">
        <v>809</v>
      </c>
      <c r="C2592" t="s">
        <v>1814</v>
      </c>
      <c r="D2592" t="s">
        <v>2243</v>
      </c>
      <c r="E2592" s="10">
        <v>625969</v>
      </c>
      <c r="F2592" s="12">
        <v>5.7779999999999995E-4</v>
      </c>
    </row>
    <row r="2593" spans="1:6">
      <c r="A2593" s="10">
        <v>2018</v>
      </c>
      <c r="B2593" t="s">
        <v>1470</v>
      </c>
      <c r="C2593" t="s">
        <v>1815</v>
      </c>
      <c r="D2593" t="s">
        <v>1815</v>
      </c>
      <c r="E2593" s="10">
        <v>14224</v>
      </c>
      <c r="F2593" s="12">
        <v>1.31E-5</v>
      </c>
    </row>
    <row r="2594" spans="1:6">
      <c r="A2594" s="10">
        <v>2018</v>
      </c>
      <c r="B2594" t="s">
        <v>810</v>
      </c>
      <c r="C2594" t="s">
        <v>1816</v>
      </c>
      <c r="D2594" t="s">
        <v>2244</v>
      </c>
      <c r="E2594" s="10">
        <v>93378</v>
      </c>
      <c r="F2594" s="12">
        <v>8.6199999999999995E-5</v>
      </c>
    </row>
    <row r="2595" spans="1:6">
      <c r="A2595" s="10">
        <v>2018</v>
      </c>
      <c r="B2595" t="s">
        <v>811</v>
      </c>
      <c r="C2595" t="s">
        <v>1817</v>
      </c>
      <c r="D2595" t="s">
        <v>1817</v>
      </c>
      <c r="E2595" s="10"/>
    </row>
    <row r="2596" spans="1:6">
      <c r="A2596" s="10">
        <v>2018</v>
      </c>
      <c r="B2596" t="s">
        <v>812</v>
      </c>
      <c r="C2596" t="s">
        <v>1818</v>
      </c>
      <c r="D2596" t="s">
        <v>1818</v>
      </c>
      <c r="E2596" s="10">
        <v>800189</v>
      </c>
      <c r="F2596" s="12">
        <v>7.3859999999999996E-4</v>
      </c>
    </row>
    <row r="2597" spans="1:6">
      <c r="A2597" s="10">
        <v>2018</v>
      </c>
      <c r="B2597" t="s">
        <v>813</v>
      </c>
      <c r="C2597" t="s">
        <v>1819</v>
      </c>
      <c r="D2597" t="s">
        <v>2245</v>
      </c>
      <c r="E2597" s="10">
        <v>70655</v>
      </c>
      <c r="F2597" s="12">
        <v>6.5199999999999999E-5</v>
      </c>
    </row>
    <row r="2598" spans="1:6">
      <c r="A2598" s="10">
        <v>2018</v>
      </c>
      <c r="B2598" t="s">
        <v>814</v>
      </c>
      <c r="C2598" t="s">
        <v>1820</v>
      </c>
      <c r="D2598" t="s">
        <v>1820</v>
      </c>
      <c r="E2598" s="10">
        <v>71408</v>
      </c>
      <c r="F2598" s="12">
        <v>6.5900000000000003E-5</v>
      </c>
    </row>
    <row r="2599" spans="1:6">
      <c r="A2599" s="10">
        <v>2018</v>
      </c>
      <c r="B2599" t="s">
        <v>815</v>
      </c>
      <c r="C2599" t="s">
        <v>760</v>
      </c>
      <c r="D2599" t="s">
        <v>760</v>
      </c>
      <c r="E2599" s="10">
        <v>31636</v>
      </c>
      <c r="F2599" s="12">
        <v>2.9200000000000002E-5</v>
      </c>
    </row>
    <row r="2600" spans="1:6">
      <c r="A2600" s="10">
        <v>2018</v>
      </c>
      <c r="B2600" t="s">
        <v>816</v>
      </c>
      <c r="C2600" t="s">
        <v>761</v>
      </c>
      <c r="D2600" t="s">
        <v>761</v>
      </c>
      <c r="E2600" s="10">
        <v>46130</v>
      </c>
      <c r="F2600" s="12">
        <v>4.2599999999999999E-5</v>
      </c>
    </row>
    <row r="2601" spans="1:6">
      <c r="A2601" s="10">
        <v>2018</v>
      </c>
      <c r="B2601" t="s">
        <v>817</v>
      </c>
      <c r="C2601" t="s">
        <v>762</v>
      </c>
      <c r="D2601" t="s">
        <v>762</v>
      </c>
      <c r="E2601" s="10">
        <v>84393</v>
      </c>
      <c r="F2601" s="12">
        <v>7.7899999999999996E-5</v>
      </c>
    </row>
    <row r="2602" spans="1:6">
      <c r="A2602" s="10">
        <v>2018</v>
      </c>
      <c r="B2602" t="s">
        <v>818</v>
      </c>
      <c r="C2602" t="s">
        <v>2445</v>
      </c>
      <c r="D2602" t="s">
        <v>2246</v>
      </c>
      <c r="E2602" s="10">
        <v>23274</v>
      </c>
      <c r="F2602" s="12">
        <v>2.1500000000000001E-5</v>
      </c>
    </row>
    <row r="2603" spans="1:6">
      <c r="A2603" s="10">
        <v>2018</v>
      </c>
      <c r="B2603" t="s">
        <v>820</v>
      </c>
      <c r="C2603" t="s">
        <v>1822</v>
      </c>
      <c r="D2603" t="s">
        <v>2247</v>
      </c>
      <c r="E2603" s="10">
        <v>937427</v>
      </c>
      <c r="F2603" s="12">
        <v>8.652E-4</v>
      </c>
    </row>
    <row r="2604" spans="1:6">
      <c r="A2604" s="10">
        <v>2018</v>
      </c>
      <c r="B2604" t="s">
        <v>822</v>
      </c>
      <c r="C2604" t="s">
        <v>2406</v>
      </c>
      <c r="D2604" t="s">
        <v>2248</v>
      </c>
      <c r="E2604" s="10">
        <v>131640</v>
      </c>
      <c r="F2604" s="12">
        <v>1.215E-4</v>
      </c>
    </row>
    <row r="2605" spans="1:6">
      <c r="A2605" s="10">
        <v>2018</v>
      </c>
      <c r="B2605" t="s">
        <v>880</v>
      </c>
      <c r="C2605" t="s">
        <v>2407</v>
      </c>
      <c r="D2605" t="s">
        <v>2249</v>
      </c>
      <c r="E2605" s="10">
        <v>517056</v>
      </c>
      <c r="F2605" s="12">
        <v>4.772E-4</v>
      </c>
    </row>
    <row r="2606" spans="1:6">
      <c r="A2606" s="10">
        <v>2018</v>
      </c>
      <c r="B2606" t="s">
        <v>884</v>
      </c>
      <c r="C2606" t="s">
        <v>829</v>
      </c>
      <c r="D2606" t="s">
        <v>829</v>
      </c>
      <c r="E2606" s="10">
        <v>1893735</v>
      </c>
      <c r="F2606" s="12">
        <v>1.7478999999999999E-3</v>
      </c>
    </row>
    <row r="2607" spans="1:6">
      <c r="A2607" s="10">
        <v>2018</v>
      </c>
      <c r="B2607" t="s">
        <v>881</v>
      </c>
      <c r="C2607" t="s">
        <v>1825</v>
      </c>
      <c r="D2607" t="s">
        <v>2250</v>
      </c>
      <c r="E2607" s="10">
        <v>23931</v>
      </c>
      <c r="F2607" s="12">
        <v>2.2099999999999998E-5</v>
      </c>
    </row>
    <row r="2608" spans="1:6">
      <c r="A2608" s="10">
        <v>2018</v>
      </c>
      <c r="B2608" t="s">
        <v>883</v>
      </c>
      <c r="C2608" t="s">
        <v>2418</v>
      </c>
      <c r="D2608" t="s">
        <v>2251</v>
      </c>
      <c r="E2608" s="10"/>
    </row>
    <row r="2609" spans="1:6">
      <c r="A2609" s="10">
        <v>2018</v>
      </c>
      <c r="B2609" t="s">
        <v>882</v>
      </c>
      <c r="C2609" t="s">
        <v>1827</v>
      </c>
      <c r="D2609" t="s">
        <v>1827</v>
      </c>
      <c r="E2609" s="10"/>
    </row>
    <row r="2610" spans="1:6">
      <c r="A2610" s="10">
        <v>2018</v>
      </c>
      <c r="B2610" t="s">
        <v>885</v>
      </c>
      <c r="C2610" t="s">
        <v>1828</v>
      </c>
      <c r="D2610" t="s">
        <v>2252</v>
      </c>
      <c r="E2610" s="10">
        <v>132037</v>
      </c>
      <c r="F2610" s="12">
        <v>1.219E-4</v>
      </c>
    </row>
    <row r="2611" spans="1:6">
      <c r="A2611" s="10">
        <v>2018</v>
      </c>
      <c r="B2611" t="s">
        <v>886</v>
      </c>
      <c r="C2611" t="s">
        <v>1829</v>
      </c>
      <c r="D2611" t="s">
        <v>2253</v>
      </c>
      <c r="E2611" s="10">
        <v>46236</v>
      </c>
      <c r="F2611" s="12">
        <v>4.2700000000000001E-5</v>
      </c>
    </row>
    <row r="2612" spans="1:6">
      <c r="A2612" s="10">
        <v>2018</v>
      </c>
      <c r="B2612" t="s">
        <v>887</v>
      </c>
      <c r="C2612" t="s">
        <v>1830</v>
      </c>
      <c r="D2612" t="s">
        <v>1830</v>
      </c>
      <c r="E2612" s="10">
        <v>62586</v>
      </c>
      <c r="F2612" s="12">
        <v>5.7800000000000002E-5</v>
      </c>
    </row>
    <row r="2613" spans="1:6">
      <c r="A2613" s="10">
        <v>2018</v>
      </c>
      <c r="B2613" t="s">
        <v>888</v>
      </c>
      <c r="C2613" t="s">
        <v>1831</v>
      </c>
      <c r="D2613" t="s">
        <v>2254</v>
      </c>
      <c r="E2613" s="10">
        <v>22806</v>
      </c>
      <c r="F2613" s="12">
        <v>2.0999999999999999E-5</v>
      </c>
    </row>
    <row r="2614" spans="1:6">
      <c r="A2614" s="10">
        <v>2018</v>
      </c>
      <c r="B2614" t="s">
        <v>889</v>
      </c>
      <c r="C2614" t="s">
        <v>834</v>
      </c>
      <c r="D2614" t="s">
        <v>834</v>
      </c>
      <c r="E2614" s="10"/>
    </row>
    <row r="2615" spans="1:6">
      <c r="A2615" s="10">
        <v>2018</v>
      </c>
      <c r="B2615" t="s">
        <v>890</v>
      </c>
      <c r="C2615" t="s">
        <v>1832</v>
      </c>
      <c r="D2615" t="s">
        <v>1832</v>
      </c>
      <c r="E2615" s="10">
        <v>2526999</v>
      </c>
      <c r="F2615" s="12">
        <v>2.3324000000000001E-3</v>
      </c>
    </row>
    <row r="2616" spans="1:6">
      <c r="A2616" s="10">
        <v>2018</v>
      </c>
      <c r="B2616" t="s">
        <v>446</v>
      </c>
      <c r="C2616" t="s">
        <v>1833</v>
      </c>
      <c r="D2616" t="s">
        <v>1833</v>
      </c>
      <c r="E2616" s="10">
        <v>711033</v>
      </c>
      <c r="F2616" s="12">
        <v>6.5629999999999996E-4</v>
      </c>
    </row>
    <row r="2617" spans="1:6">
      <c r="A2617" s="10">
        <v>2018</v>
      </c>
      <c r="B2617" t="s">
        <v>821</v>
      </c>
      <c r="C2617" t="s">
        <v>1834</v>
      </c>
      <c r="D2617" t="s">
        <v>1834</v>
      </c>
      <c r="E2617" s="10">
        <v>27634</v>
      </c>
      <c r="F2617" s="12">
        <v>2.55E-5</v>
      </c>
    </row>
    <row r="2618" spans="1:6">
      <c r="A2618" s="10">
        <v>2018</v>
      </c>
      <c r="B2618" t="s">
        <v>891</v>
      </c>
      <c r="C2618" t="s">
        <v>1835</v>
      </c>
      <c r="D2618" t="s">
        <v>2255</v>
      </c>
      <c r="E2618" s="10">
        <v>43680</v>
      </c>
      <c r="F2618" s="12">
        <v>4.0299999999999997E-5</v>
      </c>
    </row>
    <row r="2619" spans="1:6">
      <c r="A2619" s="10">
        <v>2018</v>
      </c>
      <c r="B2619" t="s">
        <v>892</v>
      </c>
      <c r="C2619" t="s">
        <v>1836</v>
      </c>
      <c r="D2619" t="s">
        <v>2256</v>
      </c>
      <c r="E2619" s="10">
        <v>110670</v>
      </c>
      <c r="F2619" s="12">
        <v>1.021E-4</v>
      </c>
    </row>
    <row r="2620" spans="1:6">
      <c r="A2620" s="10">
        <v>2018</v>
      </c>
      <c r="B2620" t="s">
        <v>896</v>
      </c>
      <c r="C2620" t="s">
        <v>1837</v>
      </c>
      <c r="D2620" t="s">
        <v>2257</v>
      </c>
      <c r="E2620" s="10">
        <v>34566</v>
      </c>
      <c r="F2620" s="12">
        <v>3.1900000000000003E-5</v>
      </c>
    </row>
    <row r="2621" spans="1:6">
      <c r="A2621" s="10">
        <v>2018</v>
      </c>
      <c r="B2621" t="s">
        <v>893</v>
      </c>
      <c r="C2621" t="s">
        <v>2432</v>
      </c>
      <c r="D2621" t="s">
        <v>2258</v>
      </c>
      <c r="E2621" s="10">
        <v>3415</v>
      </c>
      <c r="F2621" s="12">
        <v>3.1999999999999999E-6</v>
      </c>
    </row>
    <row r="2622" spans="1:6">
      <c r="A2622" s="10">
        <v>2018</v>
      </c>
      <c r="B2622" t="s">
        <v>824</v>
      </c>
      <c r="C2622" t="s">
        <v>1839</v>
      </c>
      <c r="D2622" t="s">
        <v>2259</v>
      </c>
      <c r="E2622" s="10">
        <v>345266</v>
      </c>
      <c r="F2622" s="12">
        <v>3.1869999999999999E-4</v>
      </c>
    </row>
    <row r="2623" spans="1:6">
      <c r="A2623" s="10">
        <v>2018</v>
      </c>
      <c r="B2623" t="s">
        <v>823</v>
      </c>
      <c r="C2623" t="s">
        <v>1840</v>
      </c>
      <c r="D2623" t="s">
        <v>2259</v>
      </c>
      <c r="E2623" s="10">
        <v>848746</v>
      </c>
      <c r="F2623" s="12">
        <v>7.8339999999999996E-4</v>
      </c>
    </row>
    <row r="2624" spans="1:6">
      <c r="A2624" s="10">
        <v>2018</v>
      </c>
      <c r="B2624" t="s">
        <v>897</v>
      </c>
      <c r="C2624" t="s">
        <v>1841</v>
      </c>
      <c r="D2624" t="s">
        <v>2260</v>
      </c>
      <c r="E2624" s="10">
        <v>489472</v>
      </c>
      <c r="F2624" s="12">
        <v>4.5179999999999998E-4</v>
      </c>
    </row>
    <row r="2625" spans="1:6">
      <c r="A2625" s="10">
        <v>2018</v>
      </c>
      <c r="B2625" t="s">
        <v>894</v>
      </c>
      <c r="C2625" t="s">
        <v>839</v>
      </c>
      <c r="D2625" t="s">
        <v>839</v>
      </c>
      <c r="E2625" s="10">
        <v>12677069</v>
      </c>
      <c r="F2625" s="12">
        <v>1.1700800000000001E-2</v>
      </c>
    </row>
    <row r="2626" spans="1:6">
      <c r="A2626" s="10">
        <v>2018</v>
      </c>
      <c r="B2626" t="s">
        <v>895</v>
      </c>
      <c r="C2626" t="s">
        <v>1842</v>
      </c>
      <c r="D2626" t="s">
        <v>2261</v>
      </c>
      <c r="E2626" s="10">
        <v>34773</v>
      </c>
      <c r="F2626" s="12">
        <v>3.2100000000000001E-5</v>
      </c>
    </row>
    <row r="2627" spans="1:6">
      <c r="A2627" s="10">
        <v>2018</v>
      </c>
      <c r="B2627" t="s">
        <v>898</v>
      </c>
      <c r="C2627" t="s">
        <v>843</v>
      </c>
      <c r="D2627" t="s">
        <v>843</v>
      </c>
      <c r="E2627" s="10">
        <v>1310988</v>
      </c>
      <c r="F2627" s="12">
        <v>1.2099999999999999E-3</v>
      </c>
    </row>
    <row r="2628" spans="1:6">
      <c r="A2628" s="10">
        <v>2018</v>
      </c>
      <c r="B2628" t="s">
        <v>899</v>
      </c>
      <c r="C2628" t="s">
        <v>844</v>
      </c>
      <c r="D2628" t="s">
        <v>844</v>
      </c>
      <c r="E2628" s="10">
        <v>341387</v>
      </c>
      <c r="F2628" s="12">
        <v>3.1510000000000002E-4</v>
      </c>
    </row>
    <row r="2629" spans="1:6">
      <c r="A2629" s="10">
        <v>2018</v>
      </c>
      <c r="B2629" t="s">
        <v>900</v>
      </c>
      <c r="C2629" t="s">
        <v>845</v>
      </c>
      <c r="D2629" t="s">
        <v>845</v>
      </c>
      <c r="E2629" s="10">
        <v>230010</v>
      </c>
      <c r="F2629" s="12">
        <v>2.1230000000000001E-4</v>
      </c>
    </row>
    <row r="2630" spans="1:6">
      <c r="A2630" s="10">
        <v>2018</v>
      </c>
      <c r="B2630" t="s">
        <v>901</v>
      </c>
      <c r="C2630" t="s">
        <v>846</v>
      </c>
      <c r="D2630" t="s">
        <v>846</v>
      </c>
      <c r="E2630" s="10">
        <v>98058</v>
      </c>
      <c r="F2630" s="12">
        <v>9.0500000000000004E-5</v>
      </c>
    </row>
    <row r="2631" spans="1:6">
      <c r="A2631" s="10">
        <v>2018</v>
      </c>
      <c r="B2631" t="s">
        <v>902</v>
      </c>
      <c r="C2631" t="s">
        <v>1843</v>
      </c>
      <c r="D2631" t="s">
        <v>1843</v>
      </c>
      <c r="E2631" s="10">
        <v>267292</v>
      </c>
      <c r="F2631" s="12">
        <v>2.4669999999999998E-4</v>
      </c>
    </row>
    <row r="2632" spans="1:6">
      <c r="A2632" s="10">
        <v>2018</v>
      </c>
      <c r="B2632" t="s">
        <v>1236</v>
      </c>
      <c r="C2632" t="s">
        <v>1844</v>
      </c>
      <c r="D2632" t="s">
        <v>1844</v>
      </c>
      <c r="E2632" s="10">
        <v>1416784</v>
      </c>
      <c r="F2632" s="12">
        <v>1.3077E-3</v>
      </c>
    </row>
    <row r="2633" spans="1:6">
      <c r="A2633" s="10">
        <v>2018</v>
      </c>
      <c r="B2633" t="s">
        <v>903</v>
      </c>
      <c r="C2633" t="s">
        <v>1845</v>
      </c>
      <c r="D2633" t="s">
        <v>1845</v>
      </c>
      <c r="E2633" s="10">
        <v>1555773</v>
      </c>
      <c r="F2633" s="12">
        <v>1.436E-3</v>
      </c>
    </row>
    <row r="2634" spans="1:6">
      <c r="A2634" s="10">
        <v>2018</v>
      </c>
      <c r="B2634" t="s">
        <v>904</v>
      </c>
      <c r="C2634" t="s">
        <v>1846</v>
      </c>
      <c r="D2634" t="s">
        <v>2262</v>
      </c>
      <c r="E2634" s="10">
        <v>18075</v>
      </c>
      <c r="F2634" s="12">
        <v>1.6699999999999999E-5</v>
      </c>
    </row>
    <row r="2635" spans="1:6">
      <c r="A2635" s="10">
        <v>2018</v>
      </c>
      <c r="B2635" t="s">
        <v>905</v>
      </c>
      <c r="C2635" t="s">
        <v>1847</v>
      </c>
      <c r="D2635" t="s">
        <v>1847</v>
      </c>
      <c r="E2635" s="10">
        <v>32225</v>
      </c>
      <c r="F2635" s="12">
        <v>2.97E-5</v>
      </c>
    </row>
    <row r="2636" spans="1:6">
      <c r="A2636" s="10">
        <v>2018</v>
      </c>
      <c r="B2636" t="s">
        <v>906</v>
      </c>
      <c r="C2636" t="s">
        <v>1848</v>
      </c>
      <c r="D2636" t="s">
        <v>1848</v>
      </c>
      <c r="E2636" s="10">
        <v>1628955</v>
      </c>
      <c r="F2636" s="12">
        <v>1.5035000000000001E-3</v>
      </c>
    </row>
    <row r="2637" spans="1:6">
      <c r="A2637" s="10">
        <v>2018</v>
      </c>
      <c r="B2637" t="s">
        <v>447</v>
      </c>
      <c r="C2637" t="s">
        <v>1849</v>
      </c>
      <c r="D2637" t="s">
        <v>1849</v>
      </c>
      <c r="E2637" s="10">
        <v>549366</v>
      </c>
      <c r="F2637" s="12">
        <v>5.0710000000000002E-4</v>
      </c>
    </row>
    <row r="2638" spans="1:6">
      <c r="A2638" s="10">
        <v>2018</v>
      </c>
      <c r="B2638" t="s">
        <v>1034</v>
      </c>
      <c r="C2638" t="s">
        <v>1850</v>
      </c>
      <c r="D2638" t="s">
        <v>1850</v>
      </c>
      <c r="E2638" s="10">
        <v>218883</v>
      </c>
      <c r="F2638" s="12">
        <v>2.02E-4</v>
      </c>
    </row>
    <row r="2639" spans="1:6">
      <c r="A2639" s="10">
        <v>2018</v>
      </c>
      <c r="B2639" t="s">
        <v>908</v>
      </c>
      <c r="C2639" t="s">
        <v>1851</v>
      </c>
      <c r="D2639" t="s">
        <v>1851</v>
      </c>
      <c r="E2639" s="10">
        <v>254807</v>
      </c>
      <c r="F2639" s="12">
        <v>2.352E-4</v>
      </c>
    </row>
    <row r="2640" spans="1:6">
      <c r="A2640" s="10">
        <v>2018</v>
      </c>
      <c r="B2640" t="s">
        <v>909</v>
      </c>
      <c r="C2640" t="s">
        <v>1852</v>
      </c>
      <c r="D2640" t="s">
        <v>2263</v>
      </c>
      <c r="E2640" s="10">
        <v>99315</v>
      </c>
      <c r="F2640" s="12">
        <v>9.1700000000000006E-5</v>
      </c>
    </row>
    <row r="2641" spans="1:6">
      <c r="A2641" s="10">
        <v>2018</v>
      </c>
      <c r="B2641" t="s">
        <v>910</v>
      </c>
      <c r="C2641" t="s">
        <v>1853</v>
      </c>
      <c r="D2641" t="s">
        <v>2264</v>
      </c>
      <c r="E2641" s="10">
        <v>497427</v>
      </c>
      <c r="F2641" s="12">
        <v>4.5909999999999999E-4</v>
      </c>
    </row>
    <row r="2642" spans="1:6">
      <c r="A2642" s="10">
        <v>2018</v>
      </c>
      <c r="B2642" t="s">
        <v>912</v>
      </c>
      <c r="C2642" t="s">
        <v>1854</v>
      </c>
      <c r="D2642" t="s">
        <v>2265</v>
      </c>
      <c r="E2642" s="10">
        <v>972978</v>
      </c>
      <c r="F2642" s="12">
        <v>8.9809999999999998E-4</v>
      </c>
    </row>
    <row r="2643" spans="1:6">
      <c r="A2643" s="10">
        <v>2018</v>
      </c>
      <c r="B2643" t="s">
        <v>911</v>
      </c>
      <c r="C2643" t="s">
        <v>1855</v>
      </c>
      <c r="D2643" t="s">
        <v>2266</v>
      </c>
      <c r="E2643" s="10">
        <v>15394863</v>
      </c>
      <c r="F2643" s="12">
        <v>1.4209299999999999E-2</v>
      </c>
    </row>
    <row r="2644" spans="1:6">
      <c r="A2644" s="10">
        <v>2018</v>
      </c>
      <c r="B2644" t="s">
        <v>1237</v>
      </c>
      <c r="C2644" t="s">
        <v>1856</v>
      </c>
      <c r="D2644" t="s">
        <v>1856</v>
      </c>
      <c r="E2644" s="10">
        <v>507658</v>
      </c>
      <c r="F2644" s="12">
        <v>4.6860000000000001E-4</v>
      </c>
    </row>
    <row r="2645" spans="1:6">
      <c r="A2645" s="10">
        <v>2018</v>
      </c>
      <c r="B2645" t="s">
        <v>1474</v>
      </c>
      <c r="C2645" t="s">
        <v>1473</v>
      </c>
      <c r="D2645" t="s">
        <v>2267</v>
      </c>
      <c r="E2645" s="10">
        <v>7085</v>
      </c>
      <c r="F2645" s="12">
        <v>6.4999999999999996E-6</v>
      </c>
    </row>
    <row r="2646" spans="1:6">
      <c r="A2646" s="10">
        <v>2018</v>
      </c>
      <c r="B2646" t="s">
        <v>913</v>
      </c>
      <c r="C2646" t="s">
        <v>1857</v>
      </c>
      <c r="D2646" t="s">
        <v>1857</v>
      </c>
      <c r="E2646" s="10">
        <v>96532</v>
      </c>
      <c r="F2646" s="12">
        <v>8.9099999999999997E-5</v>
      </c>
    </row>
    <row r="2647" spans="1:6">
      <c r="A2647" s="10">
        <v>2018</v>
      </c>
      <c r="B2647" t="s">
        <v>914</v>
      </c>
      <c r="C2647" t="s">
        <v>1858</v>
      </c>
      <c r="D2647" t="s">
        <v>1858</v>
      </c>
      <c r="E2647" s="10">
        <v>45806</v>
      </c>
      <c r="F2647" s="12">
        <v>4.2299999999999998E-5</v>
      </c>
    </row>
    <row r="2648" spans="1:6">
      <c r="A2648" s="10">
        <v>2018</v>
      </c>
      <c r="B2648" t="s">
        <v>915</v>
      </c>
      <c r="C2648" t="s">
        <v>1859</v>
      </c>
      <c r="D2648" t="s">
        <v>1859</v>
      </c>
      <c r="E2648" s="10">
        <v>1088294</v>
      </c>
      <c r="F2648" s="12">
        <v>1.0045E-3</v>
      </c>
    </row>
    <row r="2649" spans="1:6">
      <c r="A2649" s="10">
        <v>2018</v>
      </c>
      <c r="B2649" t="s">
        <v>1238</v>
      </c>
      <c r="C2649" t="s">
        <v>1860</v>
      </c>
      <c r="D2649" t="s">
        <v>1860</v>
      </c>
      <c r="E2649" s="10">
        <v>144684</v>
      </c>
      <c r="F2649" s="12">
        <v>1.3349999999999999E-4</v>
      </c>
    </row>
    <row r="2650" spans="1:6">
      <c r="A2650" s="10">
        <v>2018</v>
      </c>
      <c r="B2650" t="s">
        <v>917</v>
      </c>
      <c r="C2650" t="s">
        <v>1861</v>
      </c>
      <c r="D2650" t="s">
        <v>2268</v>
      </c>
      <c r="E2650" s="10">
        <v>65240</v>
      </c>
      <c r="F2650" s="12">
        <v>6.02E-5</v>
      </c>
    </row>
    <row r="2651" spans="1:6">
      <c r="A2651" s="10">
        <v>2018</v>
      </c>
      <c r="B2651" t="s">
        <v>918</v>
      </c>
      <c r="C2651" t="s">
        <v>863</v>
      </c>
      <c r="D2651" t="s">
        <v>2269</v>
      </c>
      <c r="E2651" s="10">
        <v>17503</v>
      </c>
      <c r="F2651" s="12">
        <v>1.6200000000000001E-5</v>
      </c>
    </row>
    <row r="2652" spans="1:6">
      <c r="A2652" s="10">
        <v>2018</v>
      </c>
      <c r="B2652" t="s">
        <v>919</v>
      </c>
      <c r="C2652" t="s">
        <v>1862</v>
      </c>
      <c r="D2652" t="s">
        <v>2270</v>
      </c>
      <c r="E2652" s="10">
        <v>107833</v>
      </c>
      <c r="F2652" s="12">
        <v>9.9500000000000006E-5</v>
      </c>
    </row>
    <row r="2653" spans="1:6">
      <c r="A2653" s="10">
        <v>2018</v>
      </c>
      <c r="B2653" t="s">
        <v>1239</v>
      </c>
      <c r="C2653" t="s">
        <v>1863</v>
      </c>
      <c r="D2653" t="s">
        <v>1863</v>
      </c>
      <c r="E2653" s="10">
        <v>35148</v>
      </c>
      <c r="F2653" s="12">
        <v>3.2400000000000001E-5</v>
      </c>
    </row>
    <row r="2654" spans="1:6">
      <c r="A2654" s="10">
        <v>2018</v>
      </c>
      <c r="B2654" t="s">
        <v>1030</v>
      </c>
      <c r="C2654" t="s">
        <v>1864</v>
      </c>
      <c r="D2654" t="s">
        <v>1864</v>
      </c>
      <c r="E2654" s="10">
        <v>55577</v>
      </c>
      <c r="F2654" s="12">
        <v>5.13E-5</v>
      </c>
    </row>
    <row r="2655" spans="1:6">
      <c r="A2655" s="10">
        <v>2018</v>
      </c>
      <c r="B2655" t="s">
        <v>921</v>
      </c>
      <c r="C2655" t="s">
        <v>1865</v>
      </c>
      <c r="D2655" t="s">
        <v>1865</v>
      </c>
      <c r="E2655" s="10">
        <v>1097957</v>
      </c>
      <c r="F2655" s="12">
        <v>1.0134E-3</v>
      </c>
    </row>
    <row r="2656" spans="1:6">
      <c r="A2656" s="10">
        <v>2018</v>
      </c>
      <c r="B2656" t="s">
        <v>1240</v>
      </c>
      <c r="C2656" t="s">
        <v>1866</v>
      </c>
      <c r="D2656" t="s">
        <v>1866</v>
      </c>
      <c r="E2656" s="10">
        <v>579767</v>
      </c>
      <c r="F2656" s="12">
        <v>5.3510000000000005E-4</v>
      </c>
    </row>
    <row r="2657" spans="1:6">
      <c r="A2657" s="10">
        <v>2018</v>
      </c>
      <c r="B2657" t="s">
        <v>922</v>
      </c>
      <c r="C2657" t="s">
        <v>1867</v>
      </c>
      <c r="D2657" t="s">
        <v>2271</v>
      </c>
      <c r="E2657" s="10">
        <v>34819</v>
      </c>
      <c r="F2657" s="12">
        <v>3.2100000000000001E-5</v>
      </c>
    </row>
    <row r="2658" spans="1:6">
      <c r="A2658" s="10">
        <v>2018</v>
      </c>
      <c r="B2658" t="s">
        <v>923</v>
      </c>
      <c r="C2658" t="s">
        <v>868</v>
      </c>
      <c r="D2658" t="s">
        <v>868</v>
      </c>
      <c r="E2658" s="10">
        <v>78545</v>
      </c>
      <c r="F2658" s="12">
        <v>7.25E-5</v>
      </c>
    </row>
    <row r="2659" spans="1:6">
      <c r="A2659" s="10">
        <v>2018</v>
      </c>
      <c r="B2659" t="s">
        <v>924</v>
      </c>
      <c r="C2659" t="s">
        <v>1868</v>
      </c>
      <c r="D2659" t="s">
        <v>2272</v>
      </c>
      <c r="E2659" s="10">
        <v>93357</v>
      </c>
      <c r="F2659" s="12">
        <v>8.6199999999999995E-5</v>
      </c>
    </row>
    <row r="2660" spans="1:6">
      <c r="A2660" s="10">
        <v>2018</v>
      </c>
      <c r="B2660" t="s">
        <v>925</v>
      </c>
      <c r="C2660" t="s">
        <v>1869</v>
      </c>
      <c r="D2660" t="s">
        <v>2273</v>
      </c>
      <c r="E2660" s="10">
        <v>4146240</v>
      </c>
      <c r="F2660" s="12">
        <v>3.8268999999999998E-3</v>
      </c>
    </row>
    <row r="2661" spans="1:6">
      <c r="A2661" s="10">
        <v>2018</v>
      </c>
      <c r="B2661" t="s">
        <v>926</v>
      </c>
      <c r="C2661" t="s">
        <v>1870</v>
      </c>
      <c r="D2661" t="s">
        <v>1870</v>
      </c>
      <c r="E2661" s="10">
        <v>17171370</v>
      </c>
      <c r="F2661" s="12">
        <v>1.5848999999999999E-2</v>
      </c>
    </row>
    <row r="2662" spans="1:6">
      <c r="A2662" s="10">
        <v>2018</v>
      </c>
      <c r="B2662" t="s">
        <v>448</v>
      </c>
      <c r="C2662" t="s">
        <v>1871</v>
      </c>
      <c r="D2662" t="s">
        <v>1871</v>
      </c>
      <c r="E2662" s="10">
        <v>5918233</v>
      </c>
      <c r="F2662" s="12">
        <v>5.4625000000000003E-3</v>
      </c>
    </row>
    <row r="2663" spans="1:6">
      <c r="A2663" s="10">
        <v>2018</v>
      </c>
      <c r="B2663" t="s">
        <v>927</v>
      </c>
      <c r="C2663" t="s">
        <v>1872</v>
      </c>
      <c r="D2663" t="s">
        <v>2274</v>
      </c>
      <c r="E2663" s="10">
        <v>4765856</v>
      </c>
      <c r="F2663" s="12">
        <v>4.3988999999999999E-3</v>
      </c>
    </row>
    <row r="2664" spans="1:6">
      <c r="A2664" s="10">
        <v>2018</v>
      </c>
      <c r="B2664" t="s">
        <v>930</v>
      </c>
      <c r="C2664" t="s">
        <v>1873</v>
      </c>
      <c r="D2664" t="s">
        <v>2275</v>
      </c>
      <c r="E2664" s="10">
        <v>52283</v>
      </c>
      <c r="F2664" s="12">
        <v>4.8300000000000002E-5</v>
      </c>
    </row>
    <row r="2665" spans="1:6">
      <c r="A2665" s="10">
        <v>2018</v>
      </c>
      <c r="B2665" t="s">
        <v>929</v>
      </c>
      <c r="C2665" t="s">
        <v>1874</v>
      </c>
      <c r="D2665" t="s">
        <v>1874</v>
      </c>
      <c r="E2665" s="10">
        <v>18705298</v>
      </c>
      <c r="F2665" s="12">
        <v>1.72649E-2</v>
      </c>
    </row>
    <row r="2666" spans="1:6">
      <c r="A2666" s="10">
        <v>2018</v>
      </c>
      <c r="B2666" t="s">
        <v>928</v>
      </c>
      <c r="C2666" t="s">
        <v>1875</v>
      </c>
      <c r="D2666" t="s">
        <v>2276</v>
      </c>
      <c r="E2666" s="10">
        <v>658962</v>
      </c>
      <c r="F2666" s="12">
        <v>6.0820000000000004E-4</v>
      </c>
    </row>
    <row r="2667" spans="1:6">
      <c r="A2667" s="10">
        <v>2018</v>
      </c>
      <c r="B2667" t="s">
        <v>931</v>
      </c>
      <c r="C2667" t="s">
        <v>1876</v>
      </c>
      <c r="D2667" t="s">
        <v>2277</v>
      </c>
      <c r="E2667" s="10">
        <v>104609</v>
      </c>
      <c r="F2667" s="12">
        <v>9.6600000000000003E-5</v>
      </c>
    </row>
    <row r="2668" spans="1:6">
      <c r="A2668" s="10">
        <v>2018</v>
      </c>
      <c r="B2668" t="s">
        <v>932</v>
      </c>
      <c r="C2668" t="s">
        <v>1877</v>
      </c>
      <c r="D2668" t="s">
        <v>2278</v>
      </c>
      <c r="E2668" s="10">
        <v>6120</v>
      </c>
      <c r="F2668" s="12">
        <v>5.5999999999999997E-6</v>
      </c>
    </row>
    <row r="2669" spans="1:6">
      <c r="A2669" s="10">
        <v>2018</v>
      </c>
      <c r="B2669" t="s">
        <v>933</v>
      </c>
      <c r="C2669" t="s">
        <v>1878</v>
      </c>
      <c r="D2669" t="s">
        <v>2279</v>
      </c>
      <c r="E2669" s="10">
        <v>12344</v>
      </c>
      <c r="F2669" s="12">
        <v>1.1399999999999999E-5</v>
      </c>
    </row>
    <row r="2670" spans="1:6">
      <c r="A2670" s="10">
        <v>2018</v>
      </c>
      <c r="B2670" t="s">
        <v>992</v>
      </c>
      <c r="C2670" t="s">
        <v>1879</v>
      </c>
      <c r="D2670" t="s">
        <v>1879</v>
      </c>
      <c r="E2670" s="10">
        <v>68712</v>
      </c>
      <c r="F2670" s="12">
        <v>6.3399999999999996E-5</v>
      </c>
    </row>
    <row r="2671" spans="1:6">
      <c r="A2671" s="10">
        <v>2018</v>
      </c>
      <c r="B2671" t="s">
        <v>934</v>
      </c>
      <c r="C2671" t="s">
        <v>1880</v>
      </c>
      <c r="D2671" t="s">
        <v>1880</v>
      </c>
      <c r="E2671" s="10">
        <v>458044</v>
      </c>
      <c r="F2671" s="12">
        <v>4.2279999999999998E-4</v>
      </c>
    </row>
    <row r="2672" spans="1:6">
      <c r="A2672" s="10">
        <v>2018</v>
      </c>
      <c r="B2672" t="s">
        <v>990</v>
      </c>
      <c r="C2672" t="s">
        <v>935</v>
      </c>
      <c r="D2672" t="s">
        <v>935</v>
      </c>
      <c r="E2672" s="10">
        <v>8019129</v>
      </c>
      <c r="F2672" s="12">
        <v>7.4016000000000004E-3</v>
      </c>
    </row>
    <row r="2673" spans="1:6">
      <c r="A2673" s="10">
        <v>2018</v>
      </c>
      <c r="B2673" t="s">
        <v>991</v>
      </c>
      <c r="C2673" t="s">
        <v>936</v>
      </c>
      <c r="D2673" t="s">
        <v>936</v>
      </c>
      <c r="E2673" s="10">
        <v>25446620</v>
      </c>
      <c r="F2673" s="12">
        <v>2.3487000000000001E-2</v>
      </c>
    </row>
    <row r="2674" spans="1:6">
      <c r="A2674" s="10">
        <v>2018</v>
      </c>
      <c r="B2674" t="s">
        <v>993</v>
      </c>
      <c r="C2674" t="s">
        <v>1881</v>
      </c>
      <c r="D2674" t="s">
        <v>2280</v>
      </c>
      <c r="E2674" s="10">
        <v>526140</v>
      </c>
      <c r="F2674" s="12">
        <v>4.8559999999999999E-4</v>
      </c>
    </row>
    <row r="2675" spans="1:6">
      <c r="A2675" s="10">
        <v>2018</v>
      </c>
      <c r="B2675" t="s">
        <v>1885</v>
      </c>
      <c r="C2675" t="s">
        <v>1882</v>
      </c>
      <c r="D2675" t="s">
        <v>1882</v>
      </c>
      <c r="E2675" s="10"/>
    </row>
    <row r="2676" spans="1:6">
      <c r="A2676" s="10">
        <v>2018</v>
      </c>
      <c r="B2676" t="s">
        <v>994</v>
      </c>
      <c r="C2676" t="s">
        <v>939</v>
      </c>
      <c r="D2676" t="s">
        <v>939</v>
      </c>
      <c r="E2676" s="10">
        <v>39910</v>
      </c>
      <c r="F2676" s="12">
        <v>3.68E-5</v>
      </c>
    </row>
    <row r="2677" spans="1:6">
      <c r="A2677" s="10">
        <v>2018</v>
      </c>
      <c r="B2677" t="s">
        <v>995</v>
      </c>
      <c r="C2677" t="s">
        <v>2434</v>
      </c>
      <c r="D2677" t="s">
        <v>2281</v>
      </c>
      <c r="E2677" s="10">
        <v>60491</v>
      </c>
      <c r="F2677" s="12">
        <v>5.5800000000000001E-5</v>
      </c>
    </row>
    <row r="2678" spans="1:6">
      <c r="A2678" s="10">
        <v>2018</v>
      </c>
      <c r="B2678" t="s">
        <v>996</v>
      </c>
      <c r="C2678" t="s">
        <v>2435</v>
      </c>
      <c r="D2678" t="s">
        <v>941</v>
      </c>
      <c r="E2678" s="10">
        <v>44611</v>
      </c>
      <c r="F2678" s="12">
        <v>4.1199999999999999E-5</v>
      </c>
    </row>
    <row r="2679" spans="1:6">
      <c r="A2679" s="10">
        <v>2018</v>
      </c>
      <c r="B2679" t="s">
        <v>997</v>
      </c>
      <c r="C2679" t="s">
        <v>2436</v>
      </c>
      <c r="D2679" t="s">
        <v>2282</v>
      </c>
      <c r="E2679" s="10">
        <v>135314</v>
      </c>
      <c r="F2679" s="12">
        <v>1.249E-4</v>
      </c>
    </row>
    <row r="2680" spans="1:6">
      <c r="A2680" s="10">
        <v>2018</v>
      </c>
      <c r="B2680" t="s">
        <v>999</v>
      </c>
      <c r="C2680" t="s">
        <v>1884</v>
      </c>
      <c r="D2680" t="s">
        <v>1884</v>
      </c>
      <c r="E2680" s="10">
        <v>344040</v>
      </c>
      <c r="F2680" s="12">
        <v>3.1750000000000002E-4</v>
      </c>
    </row>
    <row r="2681" spans="1:6">
      <c r="A2681" s="10">
        <v>2018</v>
      </c>
      <c r="B2681" t="s">
        <v>1241</v>
      </c>
      <c r="C2681" t="s">
        <v>1886</v>
      </c>
      <c r="D2681" t="s">
        <v>1886</v>
      </c>
      <c r="E2681" s="10">
        <v>33201</v>
      </c>
      <c r="F2681" s="12">
        <v>3.0599999999999998E-5</v>
      </c>
    </row>
    <row r="2682" spans="1:6">
      <c r="A2682" s="10">
        <v>2018</v>
      </c>
      <c r="B2682" t="s">
        <v>1001</v>
      </c>
      <c r="C2682" t="s">
        <v>2433</v>
      </c>
      <c r="D2682" t="s">
        <v>2283</v>
      </c>
      <c r="E2682" s="10">
        <v>19510</v>
      </c>
      <c r="F2682" s="12">
        <v>1.8E-5</v>
      </c>
    </row>
    <row r="2683" spans="1:6">
      <c r="A2683" s="10">
        <v>2018</v>
      </c>
      <c r="B2683" t="s">
        <v>1000</v>
      </c>
      <c r="C2683" t="s">
        <v>2384</v>
      </c>
      <c r="D2683" t="s">
        <v>2284</v>
      </c>
      <c r="E2683" s="10">
        <v>19988</v>
      </c>
      <c r="F2683" s="12">
        <v>1.84E-5</v>
      </c>
    </row>
    <row r="2684" spans="1:6">
      <c r="A2684" s="10">
        <v>2018</v>
      </c>
      <c r="B2684" t="s">
        <v>1002</v>
      </c>
      <c r="C2684" t="s">
        <v>947</v>
      </c>
      <c r="D2684" t="s">
        <v>947</v>
      </c>
      <c r="E2684" s="10">
        <v>7605677</v>
      </c>
      <c r="F2684" s="12">
        <v>7.0200000000000002E-3</v>
      </c>
    </row>
    <row r="2685" spans="1:6">
      <c r="A2685" s="10">
        <v>2018</v>
      </c>
      <c r="B2685" t="s">
        <v>1003</v>
      </c>
      <c r="C2685" t="s">
        <v>1478</v>
      </c>
      <c r="D2685" t="s">
        <v>2285</v>
      </c>
      <c r="E2685" s="10">
        <v>26413</v>
      </c>
      <c r="F2685" s="12">
        <v>2.44E-5</v>
      </c>
    </row>
    <row r="2686" spans="1:6">
      <c r="A2686" s="10">
        <v>2018</v>
      </c>
      <c r="B2686" t="s">
        <v>1004</v>
      </c>
      <c r="C2686" t="s">
        <v>949</v>
      </c>
      <c r="D2686" t="s">
        <v>949</v>
      </c>
      <c r="E2686" s="10">
        <v>70303</v>
      </c>
      <c r="F2686" s="12">
        <v>6.4900000000000005E-5</v>
      </c>
    </row>
    <row r="2687" spans="1:6">
      <c r="A2687" s="10">
        <v>2018</v>
      </c>
      <c r="B2687" t="s">
        <v>1005</v>
      </c>
      <c r="C2687" t="s">
        <v>1888</v>
      </c>
      <c r="D2687" t="s">
        <v>1888</v>
      </c>
      <c r="E2687" s="10">
        <v>144988</v>
      </c>
      <c r="F2687" s="12">
        <v>1.338E-4</v>
      </c>
    </row>
    <row r="2688" spans="1:6">
      <c r="A2688" s="10">
        <v>2018</v>
      </c>
      <c r="B2688" t="s">
        <v>1006</v>
      </c>
      <c r="C2688" t="s">
        <v>1889</v>
      </c>
      <c r="D2688" t="s">
        <v>1889</v>
      </c>
      <c r="E2688" s="10">
        <v>186198</v>
      </c>
      <c r="F2688" s="12">
        <v>1.719E-4</v>
      </c>
    </row>
    <row r="2689" spans="1:6">
      <c r="A2689" s="10">
        <v>2018</v>
      </c>
      <c r="B2689" t="s">
        <v>1007</v>
      </c>
      <c r="C2689" t="s">
        <v>1890</v>
      </c>
      <c r="D2689" t="s">
        <v>1890</v>
      </c>
      <c r="E2689" s="10">
        <v>11124</v>
      </c>
      <c r="F2689" s="12">
        <v>1.03E-5</v>
      </c>
    </row>
    <row r="2690" spans="1:6">
      <c r="A2690" s="10">
        <v>2018</v>
      </c>
      <c r="B2690" t="s">
        <v>1008</v>
      </c>
      <c r="C2690" t="s">
        <v>2286</v>
      </c>
      <c r="D2690" t="s">
        <v>2286</v>
      </c>
      <c r="E2690" s="10">
        <v>54682</v>
      </c>
      <c r="F2690" s="12">
        <v>5.0500000000000001E-5</v>
      </c>
    </row>
    <row r="2691" spans="1:6">
      <c r="A2691" s="10">
        <v>2018</v>
      </c>
      <c r="B2691" t="s">
        <v>1009</v>
      </c>
      <c r="C2691" t="s">
        <v>1892</v>
      </c>
      <c r="D2691" t="s">
        <v>2287</v>
      </c>
      <c r="E2691" s="10">
        <v>34441</v>
      </c>
      <c r="F2691" s="12">
        <v>3.18E-5</v>
      </c>
    </row>
    <row r="2692" spans="1:6">
      <c r="A2692" s="10">
        <v>2018</v>
      </c>
      <c r="B2692" t="s">
        <v>1010</v>
      </c>
      <c r="C2692" t="s">
        <v>1893</v>
      </c>
      <c r="D2692" t="s">
        <v>1893</v>
      </c>
      <c r="E2692" s="10">
        <v>110674</v>
      </c>
      <c r="F2692" s="12">
        <v>1.022E-4</v>
      </c>
    </row>
    <row r="2693" spans="1:6">
      <c r="A2693" s="10">
        <v>2018</v>
      </c>
      <c r="B2693" t="s">
        <v>1242</v>
      </c>
      <c r="C2693" t="s">
        <v>1894</v>
      </c>
      <c r="D2693" t="s">
        <v>1894</v>
      </c>
      <c r="E2693" s="10">
        <v>196898</v>
      </c>
      <c r="F2693" s="12">
        <v>1.817E-4</v>
      </c>
    </row>
    <row r="2694" spans="1:6">
      <c r="A2694" s="10">
        <v>2018</v>
      </c>
      <c r="B2694" t="s">
        <v>1011</v>
      </c>
      <c r="C2694" t="s">
        <v>2288</v>
      </c>
      <c r="D2694" t="s">
        <v>2288</v>
      </c>
      <c r="E2694" s="10">
        <v>6049</v>
      </c>
      <c r="F2694" s="12">
        <v>5.5999999999999997E-6</v>
      </c>
    </row>
    <row r="2695" spans="1:6">
      <c r="A2695" s="10">
        <v>2018</v>
      </c>
      <c r="B2695" t="s">
        <v>1012</v>
      </c>
      <c r="C2695" t="s">
        <v>957</v>
      </c>
      <c r="D2695" t="s">
        <v>957</v>
      </c>
      <c r="E2695" s="10">
        <v>89411</v>
      </c>
      <c r="F2695" s="12">
        <v>8.25E-5</v>
      </c>
    </row>
    <row r="2696" spans="1:6">
      <c r="A2696" s="10">
        <v>2018</v>
      </c>
      <c r="B2696" t="s">
        <v>1013</v>
      </c>
      <c r="C2696" t="s">
        <v>2408</v>
      </c>
      <c r="D2696" t="s">
        <v>1896</v>
      </c>
      <c r="E2696" s="10">
        <v>920342</v>
      </c>
      <c r="F2696" s="12">
        <v>8.4949999999999999E-4</v>
      </c>
    </row>
    <row r="2697" spans="1:6">
      <c r="A2697" s="10">
        <v>2018</v>
      </c>
      <c r="B2697" t="s">
        <v>1016</v>
      </c>
      <c r="C2697" t="s">
        <v>1897</v>
      </c>
      <c r="D2697" t="s">
        <v>1897</v>
      </c>
      <c r="E2697" s="10">
        <v>339366</v>
      </c>
      <c r="F2697" s="12">
        <v>3.1320000000000002E-4</v>
      </c>
    </row>
    <row r="2698" spans="1:6">
      <c r="A2698" s="10">
        <v>2018</v>
      </c>
      <c r="B2698" t="s">
        <v>1017</v>
      </c>
      <c r="C2698" t="s">
        <v>1898</v>
      </c>
      <c r="D2698" t="s">
        <v>1898</v>
      </c>
      <c r="E2698" s="10">
        <v>60344</v>
      </c>
      <c r="F2698" s="12">
        <v>5.5699999999999999E-5</v>
      </c>
    </row>
    <row r="2699" spans="1:6">
      <c r="A2699" s="10">
        <v>2018</v>
      </c>
      <c r="B2699" t="s">
        <v>1018</v>
      </c>
      <c r="C2699" t="s">
        <v>1899</v>
      </c>
      <c r="D2699" t="s">
        <v>2289</v>
      </c>
      <c r="E2699" s="10">
        <v>28500</v>
      </c>
      <c r="F2699" s="12">
        <v>2.6299999999999999E-5</v>
      </c>
    </row>
    <row r="2700" spans="1:6">
      <c r="A2700" s="10">
        <v>2018</v>
      </c>
      <c r="B2700" t="s">
        <v>1020</v>
      </c>
      <c r="C2700" t="s">
        <v>1900</v>
      </c>
      <c r="D2700" t="s">
        <v>1900</v>
      </c>
      <c r="E2700" s="10">
        <v>1723131</v>
      </c>
      <c r="F2700" s="12">
        <v>1.5904000000000001E-3</v>
      </c>
    </row>
    <row r="2701" spans="1:6">
      <c r="A2701" s="10">
        <v>2018</v>
      </c>
      <c r="B2701" t="s">
        <v>1019</v>
      </c>
      <c r="C2701" t="s">
        <v>1901</v>
      </c>
      <c r="D2701" t="s">
        <v>1901</v>
      </c>
      <c r="E2701" s="10">
        <v>52898</v>
      </c>
      <c r="F2701" s="12">
        <v>4.88E-5</v>
      </c>
    </row>
    <row r="2702" spans="1:6">
      <c r="A2702" s="10">
        <v>2018</v>
      </c>
      <c r="B2702" t="s">
        <v>1021</v>
      </c>
      <c r="C2702" t="s">
        <v>1902</v>
      </c>
      <c r="D2702" t="s">
        <v>1902</v>
      </c>
      <c r="E2702" s="10">
        <v>27492</v>
      </c>
      <c r="F2702" s="12">
        <v>2.5400000000000001E-5</v>
      </c>
    </row>
    <row r="2703" spans="1:6">
      <c r="A2703" s="10">
        <v>2018</v>
      </c>
      <c r="B2703" t="s">
        <v>449</v>
      </c>
      <c r="C2703" t="s">
        <v>1903</v>
      </c>
      <c r="D2703" t="s">
        <v>1903</v>
      </c>
      <c r="E2703" s="10">
        <v>2224445</v>
      </c>
      <c r="F2703" s="12">
        <v>2.0531E-3</v>
      </c>
    </row>
    <row r="2704" spans="1:6">
      <c r="A2704" s="10">
        <v>2018</v>
      </c>
      <c r="B2704" t="s">
        <v>1022</v>
      </c>
      <c r="C2704" t="s">
        <v>1904</v>
      </c>
      <c r="D2704" t="s">
        <v>1904</v>
      </c>
      <c r="E2704" s="10">
        <v>161496</v>
      </c>
      <c r="F2704" s="12">
        <v>1.4909999999999999E-4</v>
      </c>
    </row>
    <row r="2705" spans="1:6">
      <c r="A2705" s="10">
        <v>2018</v>
      </c>
      <c r="B2705" t="s">
        <v>1023</v>
      </c>
      <c r="C2705" t="s">
        <v>1905</v>
      </c>
      <c r="D2705" t="s">
        <v>968</v>
      </c>
      <c r="E2705" s="10">
        <v>541968</v>
      </c>
      <c r="F2705" s="12">
        <v>5.0020000000000002E-4</v>
      </c>
    </row>
    <row r="2706" spans="1:6">
      <c r="A2706" s="10">
        <v>2018</v>
      </c>
      <c r="B2706" t="s">
        <v>1024</v>
      </c>
      <c r="C2706" t="s">
        <v>969</v>
      </c>
      <c r="D2706" t="s">
        <v>969</v>
      </c>
      <c r="E2706" s="10">
        <v>59928</v>
      </c>
      <c r="F2706" s="12">
        <v>5.5300000000000002E-5</v>
      </c>
    </row>
    <row r="2707" spans="1:6">
      <c r="A2707" s="10">
        <v>2018</v>
      </c>
      <c r="B2707" t="s">
        <v>1025</v>
      </c>
      <c r="C2707" t="s">
        <v>1906</v>
      </c>
      <c r="D2707" t="s">
        <v>2290</v>
      </c>
      <c r="E2707" s="10">
        <v>106095</v>
      </c>
      <c r="F2707" s="12">
        <v>9.7899999999999994E-5</v>
      </c>
    </row>
    <row r="2708" spans="1:6">
      <c r="A2708" s="10">
        <v>2018</v>
      </c>
      <c r="B2708" t="s">
        <v>1026</v>
      </c>
      <c r="C2708" t="s">
        <v>1907</v>
      </c>
      <c r="D2708" t="s">
        <v>2291</v>
      </c>
      <c r="E2708" s="10">
        <v>3510622</v>
      </c>
      <c r="F2708" s="12">
        <v>3.2403000000000002E-3</v>
      </c>
    </row>
    <row r="2709" spans="1:6">
      <c r="A2709" s="10">
        <v>2018</v>
      </c>
      <c r="B2709" t="s">
        <v>1243</v>
      </c>
      <c r="C2709" t="s">
        <v>1908</v>
      </c>
      <c r="D2709" t="s">
        <v>1908</v>
      </c>
      <c r="E2709" s="10">
        <v>1542460</v>
      </c>
      <c r="F2709" s="12">
        <v>1.4237E-3</v>
      </c>
    </row>
    <row r="2710" spans="1:6">
      <c r="A2710" s="10">
        <v>2018</v>
      </c>
      <c r="B2710" t="s">
        <v>1027</v>
      </c>
      <c r="C2710" t="s">
        <v>1909</v>
      </c>
      <c r="D2710" t="s">
        <v>2292</v>
      </c>
      <c r="E2710" s="10">
        <v>21001</v>
      </c>
      <c r="F2710" s="12">
        <v>1.9400000000000001E-5</v>
      </c>
    </row>
    <row r="2711" spans="1:6">
      <c r="A2711" s="10">
        <v>2018</v>
      </c>
      <c r="B2711" t="s">
        <v>1028</v>
      </c>
      <c r="C2711" t="s">
        <v>973</v>
      </c>
      <c r="D2711" t="s">
        <v>973</v>
      </c>
      <c r="E2711" s="10">
        <v>9569</v>
      </c>
      <c r="F2711" s="12">
        <v>8.8000000000000004E-6</v>
      </c>
    </row>
    <row r="2712" spans="1:6">
      <c r="A2712" s="10">
        <v>2018</v>
      </c>
      <c r="B2712" t="s">
        <v>1029</v>
      </c>
      <c r="C2712" t="s">
        <v>2409</v>
      </c>
      <c r="D2712" t="s">
        <v>1910</v>
      </c>
      <c r="E2712" s="10">
        <v>269093</v>
      </c>
      <c r="F2712" s="12">
        <v>2.4840000000000002E-4</v>
      </c>
    </row>
    <row r="2713" spans="1:6">
      <c r="A2713" s="10">
        <v>2018</v>
      </c>
      <c r="B2713" t="s">
        <v>1031</v>
      </c>
      <c r="C2713" t="s">
        <v>1911</v>
      </c>
      <c r="D2713" t="s">
        <v>2293</v>
      </c>
      <c r="E2713" s="10">
        <v>485120</v>
      </c>
      <c r="F2713" s="12">
        <v>4.4779999999999999E-4</v>
      </c>
    </row>
    <row r="2714" spans="1:6">
      <c r="A2714" s="10">
        <v>2018</v>
      </c>
      <c r="B2714" t="s">
        <v>1032</v>
      </c>
      <c r="C2714" t="s">
        <v>1912</v>
      </c>
      <c r="D2714" t="s">
        <v>1912</v>
      </c>
      <c r="E2714" s="10">
        <v>155349</v>
      </c>
      <c r="F2714" s="12">
        <v>1.4339999999999999E-4</v>
      </c>
    </row>
    <row r="2715" spans="1:6">
      <c r="A2715" s="10">
        <v>2018</v>
      </c>
      <c r="B2715" t="s">
        <v>1036</v>
      </c>
      <c r="C2715" t="s">
        <v>1913</v>
      </c>
      <c r="D2715" t="s">
        <v>1913</v>
      </c>
      <c r="E2715" s="10"/>
    </row>
    <row r="2716" spans="1:6">
      <c r="A2716" s="10">
        <v>2018</v>
      </c>
      <c r="B2716" t="s">
        <v>920</v>
      </c>
      <c r="C2716" t="s">
        <v>1914</v>
      </c>
      <c r="D2716" t="s">
        <v>1914</v>
      </c>
      <c r="E2716" s="10"/>
    </row>
    <row r="2717" spans="1:6">
      <c r="A2717" s="10">
        <v>2018</v>
      </c>
      <c r="B2717" t="s">
        <v>1037</v>
      </c>
      <c r="C2717" t="s">
        <v>1915</v>
      </c>
      <c r="D2717" t="s">
        <v>1915</v>
      </c>
      <c r="E2717" s="10">
        <v>38014</v>
      </c>
      <c r="F2717" s="12">
        <v>3.5099999999999999E-5</v>
      </c>
    </row>
    <row r="2718" spans="1:6">
      <c r="A2718" s="10">
        <v>2018</v>
      </c>
      <c r="B2718" t="s">
        <v>1038</v>
      </c>
      <c r="C2718" t="s">
        <v>1916</v>
      </c>
      <c r="D2718" t="s">
        <v>2294</v>
      </c>
      <c r="E2718" s="10">
        <v>486720</v>
      </c>
      <c r="F2718" s="12">
        <v>4.4920000000000002E-4</v>
      </c>
    </row>
    <row r="2719" spans="1:6">
      <c r="A2719" s="10">
        <v>2018</v>
      </c>
      <c r="B2719" t="s">
        <v>1039</v>
      </c>
      <c r="C2719" t="s">
        <v>1917</v>
      </c>
      <c r="D2719" t="s">
        <v>2295</v>
      </c>
      <c r="E2719" s="10">
        <v>5252693</v>
      </c>
      <c r="F2719" s="12">
        <v>4.8482000000000004E-3</v>
      </c>
    </row>
    <row r="2720" spans="1:6">
      <c r="A2720" s="10">
        <v>2018</v>
      </c>
      <c r="B2720" t="s">
        <v>1040</v>
      </c>
      <c r="C2720" t="s">
        <v>985</v>
      </c>
      <c r="D2720" t="s">
        <v>985</v>
      </c>
      <c r="E2720" s="10">
        <v>159984</v>
      </c>
      <c r="F2720" s="12">
        <v>1.4770000000000001E-4</v>
      </c>
    </row>
    <row r="2721" spans="1:6">
      <c r="A2721" s="10">
        <v>2018</v>
      </c>
      <c r="B2721" t="s">
        <v>998</v>
      </c>
      <c r="C2721" t="s">
        <v>1918</v>
      </c>
      <c r="D2721" t="s">
        <v>1918</v>
      </c>
      <c r="E2721" s="10">
        <v>69847</v>
      </c>
      <c r="F2721" s="12">
        <v>6.4499999999999996E-5</v>
      </c>
    </row>
    <row r="2722" spans="1:6">
      <c r="A2722" s="10">
        <v>2018</v>
      </c>
      <c r="B2722" t="s">
        <v>1041</v>
      </c>
      <c r="C2722" t="s">
        <v>1919</v>
      </c>
      <c r="D2722" t="s">
        <v>1919</v>
      </c>
      <c r="E2722" s="10">
        <v>584565</v>
      </c>
      <c r="F2722" s="12">
        <v>5.3950000000000005E-4</v>
      </c>
    </row>
    <row r="2723" spans="1:6">
      <c r="A2723" s="10">
        <v>2018</v>
      </c>
      <c r="B2723" t="s">
        <v>1042</v>
      </c>
      <c r="C2723" t="s">
        <v>2296</v>
      </c>
      <c r="D2723" t="s">
        <v>2296</v>
      </c>
      <c r="E2723" s="10">
        <v>327</v>
      </c>
      <c r="F2723" s="12">
        <v>2.9999999999999999E-7</v>
      </c>
    </row>
    <row r="2724" spans="1:6">
      <c r="A2724" s="10">
        <v>2018</v>
      </c>
      <c r="B2724" t="s">
        <v>1043</v>
      </c>
      <c r="C2724" t="s">
        <v>1921</v>
      </c>
      <c r="D2724" t="s">
        <v>2297</v>
      </c>
      <c r="E2724" s="10">
        <v>605759</v>
      </c>
      <c r="F2724" s="12">
        <v>5.5909999999999998E-4</v>
      </c>
    </row>
    <row r="2725" spans="1:6">
      <c r="A2725" s="10">
        <v>2018</v>
      </c>
      <c r="B2725" t="s">
        <v>1044</v>
      </c>
      <c r="C2725" t="s">
        <v>1922</v>
      </c>
      <c r="D2725" t="s">
        <v>2298</v>
      </c>
      <c r="E2725" s="10">
        <v>778291</v>
      </c>
      <c r="F2725" s="12">
        <v>7.1840000000000001E-4</v>
      </c>
    </row>
    <row r="2726" spans="1:6">
      <c r="A2726" s="10">
        <v>2018</v>
      </c>
      <c r="B2726" t="s">
        <v>1100</v>
      </c>
      <c r="C2726" t="s">
        <v>1923</v>
      </c>
      <c r="D2726" t="s">
        <v>1923</v>
      </c>
      <c r="E2726" s="10">
        <v>1468080</v>
      </c>
      <c r="F2726" s="12">
        <v>1.3550000000000001E-3</v>
      </c>
    </row>
    <row r="2727" spans="1:6">
      <c r="A2727" s="10">
        <v>2018</v>
      </c>
      <c r="B2727" t="s">
        <v>450</v>
      </c>
      <c r="C2727" t="s">
        <v>1924</v>
      </c>
      <c r="D2727" t="s">
        <v>1924</v>
      </c>
      <c r="E2727" s="10">
        <v>655712</v>
      </c>
      <c r="F2727" s="12">
        <v>6.0519999999999997E-4</v>
      </c>
    </row>
    <row r="2728" spans="1:6">
      <c r="A2728" s="10">
        <v>2018</v>
      </c>
      <c r="B2728" t="s">
        <v>1101</v>
      </c>
      <c r="C2728" t="s">
        <v>1925</v>
      </c>
      <c r="D2728" t="s">
        <v>1925</v>
      </c>
      <c r="E2728" s="10">
        <v>3137595</v>
      </c>
      <c r="F2728" s="12">
        <v>2.8960000000000001E-3</v>
      </c>
    </row>
    <row r="2729" spans="1:6">
      <c r="A2729" s="10">
        <v>2018</v>
      </c>
      <c r="B2729" t="s">
        <v>1244</v>
      </c>
      <c r="C2729" t="s">
        <v>1926</v>
      </c>
      <c r="D2729" t="s">
        <v>1926</v>
      </c>
      <c r="E2729" s="10">
        <v>630888</v>
      </c>
      <c r="F2729" s="12">
        <v>5.8230000000000001E-4</v>
      </c>
    </row>
    <row r="2730" spans="1:6">
      <c r="A2730" s="10">
        <v>2018</v>
      </c>
      <c r="B2730" t="s">
        <v>1102</v>
      </c>
      <c r="C2730" t="s">
        <v>1927</v>
      </c>
      <c r="D2730" t="s">
        <v>2299</v>
      </c>
      <c r="E2730" s="10">
        <v>55811</v>
      </c>
      <c r="F2730" s="12">
        <v>5.1499999999999998E-5</v>
      </c>
    </row>
    <row r="2731" spans="1:6">
      <c r="A2731" s="10">
        <v>2018</v>
      </c>
      <c r="B2731" t="s">
        <v>1134</v>
      </c>
      <c r="C2731" t="s">
        <v>1928</v>
      </c>
      <c r="D2731" t="s">
        <v>1928</v>
      </c>
      <c r="E2731" s="10">
        <v>411893</v>
      </c>
      <c r="F2731" s="12">
        <v>3.8020000000000003E-4</v>
      </c>
    </row>
    <row r="2732" spans="1:6">
      <c r="A2732" s="10">
        <v>2018</v>
      </c>
      <c r="B2732" t="s">
        <v>1103</v>
      </c>
      <c r="C2732" t="s">
        <v>1929</v>
      </c>
      <c r="D2732" t="s">
        <v>2300</v>
      </c>
      <c r="E2732" s="10">
        <v>127913</v>
      </c>
      <c r="F2732" s="12">
        <v>1.181E-4</v>
      </c>
    </row>
    <row r="2733" spans="1:6">
      <c r="A2733" s="10">
        <v>2018</v>
      </c>
      <c r="B2733" t="s">
        <v>1104</v>
      </c>
      <c r="C2733" t="s">
        <v>1930</v>
      </c>
      <c r="D2733" t="s">
        <v>2301</v>
      </c>
      <c r="E2733" s="10">
        <v>1223452</v>
      </c>
      <c r="F2733" s="12">
        <v>1.1291999999999999E-3</v>
      </c>
    </row>
    <row r="2734" spans="1:6">
      <c r="A2734" s="10">
        <v>2018</v>
      </c>
      <c r="B2734" t="s">
        <v>1105</v>
      </c>
      <c r="C2734" t="s">
        <v>1931</v>
      </c>
      <c r="D2734" t="s">
        <v>2302</v>
      </c>
      <c r="E2734" s="10">
        <v>16425</v>
      </c>
      <c r="F2734" s="12">
        <v>1.52E-5</v>
      </c>
    </row>
    <row r="2735" spans="1:6">
      <c r="A2735" s="10">
        <v>2018</v>
      </c>
      <c r="B2735" t="s">
        <v>451</v>
      </c>
      <c r="C2735" t="s">
        <v>1932</v>
      </c>
      <c r="D2735" t="s">
        <v>1932</v>
      </c>
      <c r="E2735" s="10">
        <v>686569</v>
      </c>
      <c r="F2735" s="12">
        <v>6.3369999999999995E-4</v>
      </c>
    </row>
    <row r="2736" spans="1:6">
      <c r="A2736" s="10">
        <v>2018</v>
      </c>
      <c r="B2736" t="s">
        <v>1106</v>
      </c>
      <c r="C2736" t="s">
        <v>1933</v>
      </c>
      <c r="D2736" t="s">
        <v>2303</v>
      </c>
      <c r="E2736" s="10">
        <v>89395</v>
      </c>
      <c r="F2736" s="12">
        <v>8.25E-5</v>
      </c>
    </row>
    <row r="2737" spans="1:6">
      <c r="A2737" s="10">
        <v>2018</v>
      </c>
      <c r="B2737" t="s">
        <v>1107</v>
      </c>
      <c r="C2737" t="s">
        <v>1934</v>
      </c>
      <c r="D2737" t="s">
        <v>1934</v>
      </c>
      <c r="E2737" s="10">
        <v>638614</v>
      </c>
      <c r="F2737" s="12">
        <v>5.8940000000000002E-4</v>
      </c>
    </row>
    <row r="2738" spans="1:6">
      <c r="A2738" s="10">
        <v>2018</v>
      </c>
      <c r="B2738" t="s">
        <v>1108</v>
      </c>
      <c r="C2738" t="s">
        <v>1053</v>
      </c>
      <c r="D2738" t="s">
        <v>1053</v>
      </c>
      <c r="E2738" s="10">
        <v>1073247</v>
      </c>
      <c r="F2738" s="12">
        <v>9.905999999999999E-4</v>
      </c>
    </row>
    <row r="2739" spans="1:6">
      <c r="A2739" s="10">
        <v>2018</v>
      </c>
      <c r="B2739" t="s">
        <v>1110</v>
      </c>
      <c r="C2739" t="s">
        <v>2410</v>
      </c>
      <c r="D2739" t="s">
        <v>2304</v>
      </c>
      <c r="E2739" s="10">
        <v>1608802</v>
      </c>
      <c r="F2739" s="12">
        <v>1.4848999999999999E-3</v>
      </c>
    </row>
    <row r="2740" spans="1:6">
      <c r="A2740" s="10">
        <v>2018</v>
      </c>
      <c r="B2740" t="s">
        <v>1109</v>
      </c>
      <c r="C2740" t="s">
        <v>1936</v>
      </c>
      <c r="D2740" t="s">
        <v>2305</v>
      </c>
      <c r="E2740" s="10">
        <v>233149</v>
      </c>
      <c r="F2740" s="12">
        <v>2.152E-4</v>
      </c>
    </row>
    <row r="2741" spans="1:6">
      <c r="A2741" s="10">
        <v>2018</v>
      </c>
      <c r="B2741" t="s">
        <v>1111</v>
      </c>
      <c r="C2741" t="s">
        <v>1937</v>
      </c>
      <c r="D2741" t="s">
        <v>2306</v>
      </c>
      <c r="E2741" s="10">
        <v>21464</v>
      </c>
      <c r="F2741" s="12">
        <v>1.98E-5</v>
      </c>
    </row>
    <row r="2742" spans="1:6">
      <c r="A2742" s="10">
        <v>2018</v>
      </c>
      <c r="B2742" t="s">
        <v>1112</v>
      </c>
      <c r="C2742" t="s">
        <v>1938</v>
      </c>
      <c r="D2742" t="s">
        <v>2307</v>
      </c>
      <c r="E2742" s="10">
        <v>12207895</v>
      </c>
      <c r="F2742" s="12">
        <v>1.12678E-2</v>
      </c>
    </row>
    <row r="2743" spans="1:6">
      <c r="A2743" s="10">
        <v>2018</v>
      </c>
      <c r="B2743" t="s">
        <v>452</v>
      </c>
      <c r="C2743" t="s">
        <v>1939</v>
      </c>
      <c r="D2743" t="s">
        <v>1939</v>
      </c>
      <c r="E2743" s="10">
        <v>11435737</v>
      </c>
      <c r="F2743" s="12">
        <v>1.05551E-2</v>
      </c>
    </row>
    <row r="2744" spans="1:6">
      <c r="A2744" s="10">
        <v>2018</v>
      </c>
      <c r="B2744" t="s">
        <v>1113</v>
      </c>
      <c r="C2744" t="s">
        <v>1058</v>
      </c>
      <c r="D2744" t="s">
        <v>1058</v>
      </c>
      <c r="E2744" s="10">
        <v>58996</v>
      </c>
      <c r="F2744" s="12">
        <v>5.4500000000000003E-5</v>
      </c>
    </row>
    <row r="2745" spans="1:6">
      <c r="A2745" s="10">
        <v>2018</v>
      </c>
      <c r="B2745" t="s">
        <v>1481</v>
      </c>
      <c r="C2745" t="s">
        <v>1479</v>
      </c>
      <c r="D2745" t="s">
        <v>1479</v>
      </c>
      <c r="E2745" s="10">
        <v>123099</v>
      </c>
      <c r="F2745" s="12">
        <v>1.136E-4</v>
      </c>
    </row>
    <row r="2746" spans="1:6">
      <c r="A2746" s="10">
        <v>2018</v>
      </c>
      <c r="B2746" t="s">
        <v>453</v>
      </c>
      <c r="C2746" t="s">
        <v>1940</v>
      </c>
      <c r="D2746" t="s">
        <v>1940</v>
      </c>
      <c r="E2746" s="10">
        <v>669532</v>
      </c>
      <c r="F2746" s="12">
        <v>6.1799999999999995E-4</v>
      </c>
    </row>
    <row r="2747" spans="1:6">
      <c r="A2747" s="10">
        <v>2018</v>
      </c>
      <c r="B2747" t="s">
        <v>1115</v>
      </c>
      <c r="C2747" t="s">
        <v>1941</v>
      </c>
      <c r="D2747" t="s">
        <v>1941</v>
      </c>
      <c r="E2747" s="10">
        <v>46680</v>
      </c>
      <c r="F2747" s="12">
        <v>4.3099999999999997E-5</v>
      </c>
    </row>
    <row r="2748" spans="1:6">
      <c r="A2748" s="10">
        <v>2018</v>
      </c>
      <c r="B2748" t="s">
        <v>1114</v>
      </c>
      <c r="C2748" t="s">
        <v>1942</v>
      </c>
      <c r="D2748" t="s">
        <v>2308</v>
      </c>
      <c r="E2748" s="10">
        <v>545463</v>
      </c>
      <c r="F2748" s="12">
        <v>5.0350000000000004E-4</v>
      </c>
    </row>
    <row r="2749" spans="1:6">
      <c r="A2749" s="10">
        <v>2018</v>
      </c>
      <c r="B2749" t="s">
        <v>1116</v>
      </c>
      <c r="C2749" t="s">
        <v>2388</v>
      </c>
      <c r="D2749" t="s">
        <v>1943</v>
      </c>
      <c r="E2749" s="10">
        <v>151779</v>
      </c>
      <c r="F2749" s="12">
        <v>1.4009999999999999E-4</v>
      </c>
    </row>
    <row r="2750" spans="1:6">
      <c r="A2750" s="10">
        <v>2018</v>
      </c>
      <c r="B2750" t="s">
        <v>1117</v>
      </c>
      <c r="C2750" t="s">
        <v>1944</v>
      </c>
      <c r="D2750" t="s">
        <v>2309</v>
      </c>
      <c r="E2750" s="10">
        <v>136037</v>
      </c>
      <c r="F2750" s="12">
        <v>1.2559999999999999E-4</v>
      </c>
    </row>
    <row r="2751" spans="1:6">
      <c r="A2751" s="10">
        <v>2018</v>
      </c>
      <c r="B2751" t="s">
        <v>1118</v>
      </c>
      <c r="C2751" t="s">
        <v>2411</v>
      </c>
      <c r="D2751" t="s">
        <v>1945</v>
      </c>
      <c r="E2751" s="10">
        <v>45408</v>
      </c>
      <c r="F2751" s="12">
        <v>4.1900000000000002E-5</v>
      </c>
    </row>
    <row r="2752" spans="1:6">
      <c r="A2752" s="10">
        <v>2018</v>
      </c>
      <c r="B2752" t="s">
        <v>1119</v>
      </c>
      <c r="C2752" t="s">
        <v>2412</v>
      </c>
      <c r="D2752" t="s">
        <v>2310</v>
      </c>
      <c r="E2752" s="10">
        <v>1116156</v>
      </c>
      <c r="F2752" s="12">
        <v>1.0302E-3</v>
      </c>
    </row>
    <row r="2753" spans="1:6">
      <c r="A2753" s="10">
        <v>2018</v>
      </c>
      <c r="B2753" t="s">
        <v>454</v>
      </c>
      <c r="C2753" t="s">
        <v>1947</v>
      </c>
      <c r="D2753" t="s">
        <v>1947</v>
      </c>
      <c r="E2753" s="10">
        <v>574665</v>
      </c>
      <c r="F2753" s="12">
        <v>5.3039999999999999E-4</v>
      </c>
    </row>
    <row r="2754" spans="1:6">
      <c r="A2754" s="10">
        <v>2018</v>
      </c>
      <c r="B2754" t="s">
        <v>1120</v>
      </c>
      <c r="C2754" t="s">
        <v>1948</v>
      </c>
      <c r="D2754" t="s">
        <v>1948</v>
      </c>
      <c r="E2754" s="10"/>
    </row>
    <row r="2755" spans="1:6">
      <c r="A2755" s="10">
        <v>2018</v>
      </c>
      <c r="B2755" t="s">
        <v>1121</v>
      </c>
      <c r="C2755" t="s">
        <v>1949</v>
      </c>
      <c r="D2755" t="s">
        <v>2311</v>
      </c>
      <c r="E2755" s="10">
        <v>2961487</v>
      </c>
      <c r="F2755" s="12">
        <v>2.7334E-3</v>
      </c>
    </row>
    <row r="2756" spans="1:6">
      <c r="A2756" s="10">
        <v>2018</v>
      </c>
      <c r="B2756" t="s">
        <v>455</v>
      </c>
      <c r="C2756" t="s">
        <v>1950</v>
      </c>
      <c r="D2756" t="s">
        <v>1950</v>
      </c>
      <c r="E2756" s="10">
        <v>1220458</v>
      </c>
      <c r="F2756" s="12">
        <v>1.1264999999999999E-3</v>
      </c>
    </row>
    <row r="2757" spans="1:6">
      <c r="A2757" s="10">
        <v>2018</v>
      </c>
      <c r="B2757" t="s">
        <v>1122</v>
      </c>
      <c r="C2757" t="s">
        <v>1951</v>
      </c>
      <c r="D2757" t="s">
        <v>1951</v>
      </c>
      <c r="E2757" s="10">
        <v>18610</v>
      </c>
      <c r="F2757" s="12">
        <v>1.7200000000000001E-5</v>
      </c>
    </row>
    <row r="2758" spans="1:6">
      <c r="A2758" s="10">
        <v>2018</v>
      </c>
      <c r="B2758" t="s">
        <v>1123</v>
      </c>
      <c r="C2758" t="s">
        <v>1952</v>
      </c>
      <c r="D2758" t="s">
        <v>1952</v>
      </c>
      <c r="E2758" s="10">
        <v>51533</v>
      </c>
      <c r="F2758" s="12">
        <v>4.7599999999999998E-5</v>
      </c>
    </row>
    <row r="2759" spans="1:6">
      <c r="A2759" s="10">
        <v>2018</v>
      </c>
      <c r="B2759" t="s">
        <v>1124</v>
      </c>
      <c r="C2759" t="s">
        <v>1953</v>
      </c>
      <c r="D2759" t="s">
        <v>1953</v>
      </c>
      <c r="E2759" s="10">
        <v>110646</v>
      </c>
      <c r="F2759" s="12">
        <v>1.021E-4</v>
      </c>
    </row>
    <row r="2760" spans="1:6">
      <c r="A2760" s="10">
        <v>2018</v>
      </c>
      <c r="B2760" t="s">
        <v>1125</v>
      </c>
      <c r="C2760" t="s">
        <v>1954</v>
      </c>
      <c r="D2760" t="s">
        <v>2312</v>
      </c>
      <c r="E2760" s="10">
        <v>970568</v>
      </c>
      <c r="F2760" s="12">
        <v>8.9579999999999998E-4</v>
      </c>
    </row>
    <row r="2761" spans="1:6">
      <c r="A2761" s="10">
        <v>2018</v>
      </c>
      <c r="B2761" t="s">
        <v>1245</v>
      </c>
      <c r="C2761" t="s">
        <v>1955</v>
      </c>
      <c r="D2761" t="s">
        <v>1955</v>
      </c>
      <c r="E2761" s="10">
        <v>152274</v>
      </c>
      <c r="F2761" s="12">
        <v>1.405E-4</v>
      </c>
    </row>
    <row r="2762" spans="1:6">
      <c r="A2762" s="10">
        <v>2018</v>
      </c>
      <c r="B2762" t="s">
        <v>1126</v>
      </c>
      <c r="C2762" t="s">
        <v>1956</v>
      </c>
      <c r="D2762" t="s">
        <v>1956</v>
      </c>
      <c r="E2762" s="10">
        <v>84124</v>
      </c>
      <c r="F2762" s="12">
        <v>7.7600000000000002E-5</v>
      </c>
    </row>
    <row r="2763" spans="1:6">
      <c r="A2763" s="10">
        <v>2018</v>
      </c>
      <c r="B2763" t="s">
        <v>1127</v>
      </c>
      <c r="C2763" t="s">
        <v>2413</v>
      </c>
      <c r="D2763" t="s">
        <v>1957</v>
      </c>
      <c r="E2763" s="10">
        <v>1366811</v>
      </c>
      <c r="F2763" s="12">
        <v>1.2616000000000001E-3</v>
      </c>
    </row>
    <row r="2764" spans="1:6">
      <c r="A2764" s="10">
        <v>2018</v>
      </c>
      <c r="B2764" t="s">
        <v>456</v>
      </c>
      <c r="C2764" t="s">
        <v>1958</v>
      </c>
      <c r="D2764" t="s">
        <v>1958</v>
      </c>
      <c r="E2764" s="10">
        <v>310599</v>
      </c>
      <c r="F2764" s="12">
        <v>2.8669999999999998E-4</v>
      </c>
    </row>
    <row r="2765" spans="1:6">
      <c r="A2765" s="10">
        <v>2018</v>
      </c>
      <c r="B2765" t="s">
        <v>1128</v>
      </c>
      <c r="C2765" t="s">
        <v>1959</v>
      </c>
      <c r="D2765" t="s">
        <v>2313</v>
      </c>
      <c r="E2765" s="10">
        <v>141972</v>
      </c>
      <c r="F2765" s="12">
        <v>1.3100000000000001E-4</v>
      </c>
    </row>
    <row r="2766" spans="1:6">
      <c r="A2766" s="10">
        <v>2018</v>
      </c>
      <c r="B2766" t="s">
        <v>1129</v>
      </c>
      <c r="C2766" t="s">
        <v>1074</v>
      </c>
      <c r="D2766" t="s">
        <v>1074</v>
      </c>
      <c r="E2766" s="10">
        <v>5786</v>
      </c>
      <c r="F2766" s="12">
        <v>5.3000000000000001E-6</v>
      </c>
    </row>
    <row r="2767" spans="1:6">
      <c r="A2767" s="10">
        <v>2018</v>
      </c>
      <c r="B2767" t="s">
        <v>1130</v>
      </c>
      <c r="C2767" t="s">
        <v>1075</v>
      </c>
      <c r="D2767" t="s">
        <v>1075</v>
      </c>
      <c r="E2767" s="10">
        <v>12220</v>
      </c>
      <c r="F2767" s="12">
        <v>1.13E-5</v>
      </c>
    </row>
    <row r="2768" spans="1:6">
      <c r="A2768" s="10">
        <v>2018</v>
      </c>
      <c r="B2768" t="s">
        <v>1131</v>
      </c>
      <c r="C2768" t="s">
        <v>1960</v>
      </c>
      <c r="D2768" t="s">
        <v>2314</v>
      </c>
      <c r="E2768" s="10">
        <v>21257</v>
      </c>
      <c r="F2768" s="12">
        <v>1.9599999999999999E-5</v>
      </c>
    </row>
    <row r="2769" spans="1:6">
      <c r="A2769" s="10">
        <v>2018</v>
      </c>
      <c r="B2769" t="s">
        <v>457</v>
      </c>
      <c r="C2769" t="s">
        <v>1961</v>
      </c>
      <c r="D2769" t="s">
        <v>1961</v>
      </c>
      <c r="E2769" s="10">
        <v>121245</v>
      </c>
      <c r="F2769" s="12">
        <v>1.119E-4</v>
      </c>
    </row>
    <row r="2770" spans="1:6">
      <c r="A2770" s="10">
        <v>2018</v>
      </c>
      <c r="B2770" t="s">
        <v>1132</v>
      </c>
      <c r="C2770" t="s">
        <v>2389</v>
      </c>
      <c r="D2770" t="s">
        <v>2315</v>
      </c>
      <c r="E2770" s="10">
        <v>65674</v>
      </c>
      <c r="F2770" s="12">
        <v>6.0600000000000003E-5</v>
      </c>
    </row>
    <row r="2771" spans="1:6">
      <c r="A2771" s="10">
        <v>2018</v>
      </c>
      <c r="B2771" t="s">
        <v>1133</v>
      </c>
      <c r="C2771" t="s">
        <v>1962</v>
      </c>
      <c r="D2771" t="s">
        <v>1962</v>
      </c>
      <c r="E2771" s="10">
        <v>77710</v>
      </c>
      <c r="F2771" s="12">
        <v>7.1699999999999995E-5</v>
      </c>
    </row>
    <row r="2772" spans="1:6">
      <c r="A2772" s="10">
        <v>2018</v>
      </c>
      <c r="B2772" t="s">
        <v>1994</v>
      </c>
      <c r="C2772" t="s">
        <v>1963</v>
      </c>
      <c r="D2772" t="s">
        <v>2316</v>
      </c>
      <c r="E2772" s="10">
        <v>36271</v>
      </c>
      <c r="F2772" s="12">
        <v>3.3500000000000001E-5</v>
      </c>
    </row>
    <row r="2773" spans="1:6">
      <c r="A2773" s="10">
        <v>2018</v>
      </c>
      <c r="B2773" t="s">
        <v>1246</v>
      </c>
      <c r="C2773" t="s">
        <v>1964</v>
      </c>
      <c r="D2773" t="s">
        <v>1964</v>
      </c>
      <c r="E2773" s="10">
        <v>110736</v>
      </c>
      <c r="F2773" s="12">
        <v>1.022E-4</v>
      </c>
    </row>
    <row r="2774" spans="1:6">
      <c r="A2774" s="10">
        <v>2018</v>
      </c>
      <c r="B2774" t="s">
        <v>1135</v>
      </c>
      <c r="C2774" t="s">
        <v>1965</v>
      </c>
      <c r="D2774" t="s">
        <v>2317</v>
      </c>
      <c r="E2774" s="10">
        <v>231290</v>
      </c>
      <c r="F2774" s="12">
        <v>2.1350000000000001E-4</v>
      </c>
    </row>
    <row r="2775" spans="1:6">
      <c r="A2775" s="10">
        <v>2018</v>
      </c>
      <c r="B2775" t="s">
        <v>1136</v>
      </c>
      <c r="C2775" t="s">
        <v>1966</v>
      </c>
      <c r="D2775" t="s">
        <v>1966</v>
      </c>
      <c r="E2775" s="10">
        <v>474557</v>
      </c>
      <c r="F2775" s="12">
        <v>4.3800000000000002E-4</v>
      </c>
    </row>
    <row r="2776" spans="1:6">
      <c r="A2776" s="10">
        <v>2018</v>
      </c>
      <c r="B2776" t="s">
        <v>458</v>
      </c>
      <c r="C2776" t="s">
        <v>1967</v>
      </c>
      <c r="D2776" t="s">
        <v>1967</v>
      </c>
      <c r="E2776" s="10">
        <v>128179</v>
      </c>
      <c r="F2776" s="12">
        <v>1.183E-4</v>
      </c>
    </row>
    <row r="2777" spans="1:6">
      <c r="A2777" s="10">
        <v>2018</v>
      </c>
      <c r="B2777" t="s">
        <v>1137</v>
      </c>
      <c r="C2777" t="s">
        <v>1968</v>
      </c>
      <c r="D2777" t="s">
        <v>2318</v>
      </c>
      <c r="E2777" s="10">
        <v>258967</v>
      </c>
      <c r="F2777" s="12">
        <v>2.3900000000000001E-4</v>
      </c>
    </row>
    <row r="2778" spans="1:6">
      <c r="A2778" s="10">
        <v>2018</v>
      </c>
      <c r="B2778" t="s">
        <v>1247</v>
      </c>
      <c r="C2778" t="s">
        <v>1969</v>
      </c>
      <c r="D2778" t="s">
        <v>1969</v>
      </c>
      <c r="E2778" s="10">
        <v>30192</v>
      </c>
      <c r="F2778" s="12">
        <v>2.7900000000000001E-5</v>
      </c>
    </row>
    <row r="2779" spans="1:6">
      <c r="A2779" s="10">
        <v>2018</v>
      </c>
      <c r="B2779" t="s">
        <v>1138</v>
      </c>
      <c r="C2779" t="s">
        <v>1083</v>
      </c>
      <c r="D2779" t="s">
        <v>1083</v>
      </c>
      <c r="E2779" s="10">
        <v>24538</v>
      </c>
      <c r="F2779" s="12">
        <v>2.26E-5</v>
      </c>
    </row>
    <row r="2780" spans="1:6">
      <c r="A2780" s="10">
        <v>2018</v>
      </c>
      <c r="B2780" t="s">
        <v>96</v>
      </c>
      <c r="C2780" t="s">
        <v>1970</v>
      </c>
      <c r="D2780" t="s">
        <v>1970</v>
      </c>
      <c r="E2780" s="10">
        <v>17500</v>
      </c>
      <c r="F2780" s="12">
        <v>1.6200000000000001E-5</v>
      </c>
    </row>
    <row r="2781" spans="1:6">
      <c r="A2781" s="10">
        <v>2018</v>
      </c>
      <c r="B2781" t="s">
        <v>1139</v>
      </c>
      <c r="C2781" t="s">
        <v>1084</v>
      </c>
      <c r="D2781" t="s">
        <v>1084</v>
      </c>
      <c r="E2781" s="10">
        <v>46893</v>
      </c>
      <c r="F2781" s="12">
        <v>4.3300000000000002E-5</v>
      </c>
    </row>
    <row r="2782" spans="1:6">
      <c r="A2782" s="10">
        <v>2018</v>
      </c>
      <c r="B2782" t="s">
        <v>1141</v>
      </c>
      <c r="C2782" t="s">
        <v>1971</v>
      </c>
      <c r="D2782" t="s">
        <v>1971</v>
      </c>
      <c r="E2782" s="10">
        <v>19051</v>
      </c>
      <c r="F2782" s="12">
        <v>1.7600000000000001E-5</v>
      </c>
    </row>
    <row r="2783" spans="1:6">
      <c r="A2783" s="10">
        <v>2018</v>
      </c>
      <c r="B2783" t="s">
        <v>1142</v>
      </c>
      <c r="C2783" t="s">
        <v>1087</v>
      </c>
      <c r="D2783" t="s">
        <v>1087</v>
      </c>
      <c r="E2783" s="10">
        <v>122839</v>
      </c>
      <c r="F2783" s="12">
        <v>1.1340000000000001E-4</v>
      </c>
    </row>
    <row r="2784" spans="1:6">
      <c r="A2784" s="10">
        <v>2018</v>
      </c>
      <c r="B2784" t="s">
        <v>1143</v>
      </c>
      <c r="C2784" t="s">
        <v>1088</v>
      </c>
      <c r="D2784" t="s">
        <v>1088</v>
      </c>
      <c r="E2784" s="10"/>
    </row>
    <row r="2785" spans="1:6">
      <c r="A2785" s="10">
        <v>2018</v>
      </c>
      <c r="B2785" t="s">
        <v>1144</v>
      </c>
      <c r="C2785" t="s">
        <v>1089</v>
      </c>
      <c r="D2785" t="s">
        <v>1089</v>
      </c>
      <c r="E2785" s="10"/>
    </row>
    <row r="2786" spans="1:6">
      <c r="A2786" s="10">
        <v>2018</v>
      </c>
      <c r="B2786" t="s">
        <v>1145</v>
      </c>
      <c r="C2786" t="s">
        <v>2319</v>
      </c>
      <c r="D2786" t="s">
        <v>2319</v>
      </c>
      <c r="E2786" s="10"/>
    </row>
    <row r="2787" spans="1:6">
      <c r="A2787" s="10">
        <v>2018</v>
      </c>
      <c r="B2787" t="s">
        <v>1146</v>
      </c>
      <c r="C2787" t="s">
        <v>1973</v>
      </c>
      <c r="D2787" t="s">
        <v>1973</v>
      </c>
      <c r="E2787" s="10">
        <v>7754982</v>
      </c>
      <c r="F2787" s="12">
        <v>7.1577999999999998E-3</v>
      </c>
    </row>
    <row r="2788" spans="1:6">
      <c r="A2788" s="10">
        <v>2018</v>
      </c>
      <c r="B2788" t="s">
        <v>1147</v>
      </c>
      <c r="C2788" t="s">
        <v>1092</v>
      </c>
      <c r="D2788" t="s">
        <v>1092</v>
      </c>
      <c r="E2788" s="10">
        <v>5202</v>
      </c>
      <c r="F2788" s="12">
        <v>4.7999999999999998E-6</v>
      </c>
    </row>
    <row r="2789" spans="1:6">
      <c r="A2789" s="10">
        <v>2018</v>
      </c>
      <c r="B2789" t="s">
        <v>1148</v>
      </c>
      <c r="C2789" t="s">
        <v>1974</v>
      </c>
      <c r="D2789" t="s">
        <v>2320</v>
      </c>
      <c r="E2789" s="10">
        <v>218112</v>
      </c>
      <c r="F2789" s="12">
        <v>2.0129999999999999E-4</v>
      </c>
    </row>
    <row r="2790" spans="1:6">
      <c r="A2790" s="10">
        <v>2018</v>
      </c>
      <c r="B2790" t="s">
        <v>1248</v>
      </c>
      <c r="C2790" t="s">
        <v>1975</v>
      </c>
      <c r="D2790" t="s">
        <v>1975</v>
      </c>
      <c r="E2790" s="10">
        <v>58056</v>
      </c>
      <c r="F2790" s="12">
        <v>5.3600000000000002E-5</v>
      </c>
    </row>
    <row r="2791" spans="1:6">
      <c r="A2791" s="10">
        <v>2018</v>
      </c>
      <c r="B2791" t="s">
        <v>1149</v>
      </c>
      <c r="C2791" t="s">
        <v>1094</v>
      </c>
      <c r="D2791" t="s">
        <v>2321</v>
      </c>
      <c r="E2791" s="10">
        <v>204197</v>
      </c>
      <c r="F2791" s="12">
        <v>1.885E-4</v>
      </c>
    </row>
    <row r="2792" spans="1:6">
      <c r="A2792" s="10">
        <v>2018</v>
      </c>
      <c r="B2792" t="s">
        <v>1150</v>
      </c>
      <c r="C2792" t="s">
        <v>1976</v>
      </c>
      <c r="D2792" t="s">
        <v>2322</v>
      </c>
      <c r="E2792" s="10">
        <v>181051</v>
      </c>
      <c r="F2792" s="12">
        <v>1.671E-4</v>
      </c>
    </row>
    <row r="2793" spans="1:6">
      <c r="A2793" s="10">
        <v>2018</v>
      </c>
      <c r="B2793" t="s">
        <v>459</v>
      </c>
      <c r="C2793" t="s">
        <v>1977</v>
      </c>
      <c r="D2793" t="s">
        <v>1977</v>
      </c>
      <c r="E2793" s="10">
        <v>3995587</v>
      </c>
      <c r="F2793" s="12">
        <v>3.6879E-3</v>
      </c>
    </row>
    <row r="2794" spans="1:6">
      <c r="A2794" s="10">
        <v>2018</v>
      </c>
      <c r="B2794" t="s">
        <v>1151</v>
      </c>
      <c r="C2794" t="s">
        <v>1978</v>
      </c>
      <c r="D2794" t="s">
        <v>1978</v>
      </c>
      <c r="E2794" s="10"/>
    </row>
    <row r="2795" spans="1:6">
      <c r="A2795" s="10">
        <v>2018</v>
      </c>
      <c r="B2795" t="s">
        <v>1152</v>
      </c>
      <c r="C2795" t="s">
        <v>1979</v>
      </c>
      <c r="D2795" t="s">
        <v>2323</v>
      </c>
      <c r="E2795" s="10">
        <v>1035764</v>
      </c>
      <c r="F2795" s="12">
        <v>9.5600000000000004E-4</v>
      </c>
    </row>
    <row r="2796" spans="1:6">
      <c r="A2796" s="10">
        <v>2018</v>
      </c>
      <c r="B2796" t="s">
        <v>1249</v>
      </c>
      <c r="C2796" t="s">
        <v>1980</v>
      </c>
      <c r="D2796" t="s">
        <v>1980</v>
      </c>
      <c r="E2796" s="10">
        <v>136500</v>
      </c>
      <c r="F2796" s="12">
        <v>1.26E-4</v>
      </c>
    </row>
    <row r="2797" spans="1:6">
      <c r="A2797" s="10">
        <v>2018</v>
      </c>
      <c r="B2797" t="s">
        <v>1153</v>
      </c>
      <c r="C2797" t="s">
        <v>1981</v>
      </c>
      <c r="D2797" t="s">
        <v>1981</v>
      </c>
      <c r="E2797" s="10">
        <v>178912</v>
      </c>
      <c r="F2797" s="12">
        <v>1.651E-4</v>
      </c>
    </row>
    <row r="2798" spans="1:6">
      <c r="A2798" s="10">
        <v>2018</v>
      </c>
      <c r="B2798" t="s">
        <v>1154</v>
      </c>
      <c r="C2798" t="s">
        <v>1982</v>
      </c>
      <c r="D2798" t="s">
        <v>1982</v>
      </c>
      <c r="E2798" s="10">
        <v>7112066</v>
      </c>
      <c r="F2798" s="12">
        <v>6.5643999999999997E-3</v>
      </c>
    </row>
    <row r="2799" spans="1:6">
      <c r="A2799" s="10">
        <v>2018</v>
      </c>
      <c r="B2799" t="s">
        <v>1209</v>
      </c>
      <c r="C2799" t="s">
        <v>1983</v>
      </c>
      <c r="D2799" t="s">
        <v>1983</v>
      </c>
      <c r="E2799" s="10">
        <v>7270224</v>
      </c>
      <c r="F2799" s="12">
        <v>6.7104E-3</v>
      </c>
    </row>
    <row r="2800" spans="1:6">
      <c r="A2800" s="10">
        <v>2018</v>
      </c>
      <c r="B2800" t="s">
        <v>460</v>
      </c>
      <c r="C2800" t="s">
        <v>1984</v>
      </c>
      <c r="D2800" t="s">
        <v>1984</v>
      </c>
      <c r="E2800" s="10">
        <v>8401411</v>
      </c>
      <c r="F2800" s="12">
        <v>7.7543999999999998E-3</v>
      </c>
    </row>
    <row r="2801" spans="1:6">
      <c r="A2801" s="10">
        <v>2018</v>
      </c>
      <c r="B2801" t="s">
        <v>1210</v>
      </c>
      <c r="C2801" t="s">
        <v>1985</v>
      </c>
      <c r="D2801" t="s">
        <v>1985</v>
      </c>
      <c r="E2801" s="10">
        <v>630177</v>
      </c>
      <c r="F2801" s="12">
        <v>5.8160000000000004E-4</v>
      </c>
    </row>
    <row r="2802" spans="1:6">
      <c r="A2802" s="10">
        <v>2018</v>
      </c>
      <c r="B2802" t="s">
        <v>1250</v>
      </c>
      <c r="C2802" t="s">
        <v>1986</v>
      </c>
      <c r="D2802" t="s">
        <v>1986</v>
      </c>
      <c r="E2802" s="10">
        <v>173165</v>
      </c>
      <c r="F2802" s="12">
        <v>1.5980000000000001E-4</v>
      </c>
    </row>
    <row r="2803" spans="1:6">
      <c r="A2803" s="10">
        <v>2018</v>
      </c>
      <c r="B2803" t="s">
        <v>1211</v>
      </c>
      <c r="C2803" t="s">
        <v>1157</v>
      </c>
      <c r="D2803" t="s">
        <v>1157</v>
      </c>
      <c r="E2803" s="10">
        <v>3245</v>
      </c>
      <c r="F2803" s="12">
        <v>3.0000000000000001E-6</v>
      </c>
    </row>
    <row r="2804" spans="1:6">
      <c r="A2804" s="10">
        <v>2018</v>
      </c>
      <c r="B2804" t="s">
        <v>1483</v>
      </c>
      <c r="C2804" t="s">
        <v>1482</v>
      </c>
      <c r="D2804" t="s">
        <v>2324</v>
      </c>
      <c r="E2804" s="10">
        <v>67955</v>
      </c>
      <c r="F2804" s="12">
        <v>6.2700000000000006E-5</v>
      </c>
    </row>
    <row r="2805" spans="1:6">
      <c r="A2805" s="10">
        <v>2018</v>
      </c>
      <c r="B2805" t="s">
        <v>1212</v>
      </c>
      <c r="C2805" t="s">
        <v>1987</v>
      </c>
      <c r="D2805" t="s">
        <v>2325</v>
      </c>
      <c r="E2805" s="10">
        <v>1646333</v>
      </c>
      <c r="F2805" s="12">
        <v>1.5196000000000001E-3</v>
      </c>
    </row>
    <row r="2806" spans="1:6">
      <c r="A2806" s="10">
        <v>2018</v>
      </c>
      <c r="B2806" t="s">
        <v>1213</v>
      </c>
      <c r="C2806" t="s">
        <v>1988</v>
      </c>
      <c r="D2806" t="s">
        <v>2326</v>
      </c>
      <c r="E2806" s="10">
        <v>5156729</v>
      </c>
      <c r="F2806" s="12">
        <v>4.7596000000000001E-3</v>
      </c>
    </row>
    <row r="2807" spans="1:6">
      <c r="A2807" s="10">
        <v>2018</v>
      </c>
      <c r="B2807" t="s">
        <v>461</v>
      </c>
      <c r="C2807" t="s">
        <v>1989</v>
      </c>
      <c r="D2807" t="s">
        <v>1989</v>
      </c>
      <c r="E2807" s="10">
        <v>925851</v>
      </c>
      <c r="F2807" s="12">
        <v>8.5459999999999996E-4</v>
      </c>
    </row>
    <row r="2808" spans="1:6">
      <c r="A2808" s="10">
        <v>2018</v>
      </c>
      <c r="B2808" t="s">
        <v>1214</v>
      </c>
      <c r="C2808" t="s">
        <v>1990</v>
      </c>
      <c r="D2808" t="s">
        <v>1990</v>
      </c>
      <c r="E2808" s="10">
        <v>396290</v>
      </c>
      <c r="F2808" s="12">
        <v>3.658E-4</v>
      </c>
    </row>
    <row r="2809" spans="1:6">
      <c r="A2809" s="10">
        <v>2018</v>
      </c>
      <c r="B2809" t="s">
        <v>1215</v>
      </c>
      <c r="C2809" t="s">
        <v>1991</v>
      </c>
      <c r="D2809" t="s">
        <v>2327</v>
      </c>
      <c r="E2809" s="10">
        <v>407187</v>
      </c>
      <c r="F2809" s="12">
        <v>3.7579999999999997E-4</v>
      </c>
    </row>
    <row r="2810" spans="1:6">
      <c r="A2810" s="10">
        <v>2018</v>
      </c>
      <c r="B2810" t="s">
        <v>462</v>
      </c>
      <c r="C2810" t="s">
        <v>1992</v>
      </c>
      <c r="D2810" t="s">
        <v>1992</v>
      </c>
      <c r="E2810" s="10">
        <v>63837</v>
      </c>
      <c r="F2810" s="12">
        <v>5.8900000000000002E-5</v>
      </c>
    </row>
    <row r="2811" spans="1:6">
      <c r="A2811" s="10">
        <v>2018</v>
      </c>
      <c r="B2811" t="s">
        <v>1216</v>
      </c>
      <c r="C2811" t="s">
        <v>1162</v>
      </c>
      <c r="D2811" t="s">
        <v>1162</v>
      </c>
      <c r="E2811" s="10"/>
    </row>
    <row r="2812" spans="1:6">
      <c r="A2812" s="10">
        <v>2018</v>
      </c>
      <c r="B2812" t="s">
        <v>1217</v>
      </c>
      <c r="C2812" t="s">
        <v>1993</v>
      </c>
      <c r="D2812" t="s">
        <v>1993</v>
      </c>
      <c r="E2812" s="10">
        <v>97227</v>
      </c>
      <c r="F2812" s="12">
        <v>8.9699999999999998E-5</v>
      </c>
    </row>
    <row r="2813" spans="1:6">
      <c r="A2813" s="10">
        <v>2018</v>
      </c>
      <c r="B2813" t="s">
        <v>1218</v>
      </c>
      <c r="C2813" t="s">
        <v>1995</v>
      </c>
      <c r="D2813" t="s">
        <v>1995</v>
      </c>
      <c r="E2813" s="10">
        <v>76677</v>
      </c>
      <c r="F2813" s="12">
        <v>7.08E-5</v>
      </c>
    </row>
    <row r="2814" spans="1:6">
      <c r="A2814" s="10">
        <v>2018</v>
      </c>
      <c r="B2814" t="s">
        <v>1255</v>
      </c>
      <c r="C2814" t="s">
        <v>1201</v>
      </c>
      <c r="D2814" t="s">
        <v>1201</v>
      </c>
      <c r="E2814" s="10">
        <v>9303</v>
      </c>
      <c r="F2814" s="12">
        <v>8.6000000000000007E-6</v>
      </c>
    </row>
    <row r="2815" spans="1:6">
      <c r="A2815" s="10">
        <v>2018</v>
      </c>
      <c r="B2815" t="s">
        <v>1256</v>
      </c>
      <c r="C2815" t="s">
        <v>1202</v>
      </c>
      <c r="D2815" t="s">
        <v>1202</v>
      </c>
      <c r="E2815" s="10">
        <v>45794</v>
      </c>
      <c r="F2815" s="12">
        <v>4.2299999999999998E-5</v>
      </c>
    </row>
    <row r="2816" spans="1:6">
      <c r="A2816" s="10">
        <v>2018</v>
      </c>
      <c r="B2816" t="s">
        <v>1257</v>
      </c>
      <c r="C2816" t="s">
        <v>1996</v>
      </c>
      <c r="D2816" t="s">
        <v>2328</v>
      </c>
      <c r="E2816" s="10">
        <v>1250592</v>
      </c>
      <c r="F2816" s="12">
        <v>1.1543E-3</v>
      </c>
    </row>
    <row r="2817" spans="1:6">
      <c r="A2817" s="10">
        <v>2018</v>
      </c>
      <c r="B2817" t="s">
        <v>1258</v>
      </c>
      <c r="C2817" t="s">
        <v>1204</v>
      </c>
      <c r="D2817" t="s">
        <v>1204</v>
      </c>
      <c r="E2817" s="10">
        <v>1171620</v>
      </c>
      <c r="F2817" s="12">
        <v>1.0813999999999999E-3</v>
      </c>
    </row>
    <row r="2818" spans="1:6">
      <c r="A2818" s="10">
        <v>2018</v>
      </c>
      <c r="B2818" t="s">
        <v>1259</v>
      </c>
      <c r="C2818" t="s">
        <v>1205</v>
      </c>
      <c r="D2818" t="s">
        <v>1205</v>
      </c>
      <c r="E2818" s="10">
        <v>288449</v>
      </c>
      <c r="F2818" s="12">
        <v>2.6620000000000002E-4</v>
      </c>
    </row>
    <row r="2819" spans="1:6">
      <c r="A2819" s="10">
        <v>2018</v>
      </c>
      <c r="B2819" t="s">
        <v>1260</v>
      </c>
      <c r="C2819" t="s">
        <v>1206</v>
      </c>
      <c r="D2819" t="s">
        <v>1206</v>
      </c>
      <c r="E2819" s="10">
        <v>60043</v>
      </c>
      <c r="F2819" s="12">
        <v>5.5399999999999998E-5</v>
      </c>
    </row>
    <row r="2820" spans="1:6">
      <c r="A2820" s="10">
        <v>2018</v>
      </c>
      <c r="B2820" t="s">
        <v>1261</v>
      </c>
      <c r="C2820" t="s">
        <v>1997</v>
      </c>
      <c r="D2820" t="s">
        <v>1997</v>
      </c>
      <c r="E2820" s="10">
        <v>28266002</v>
      </c>
      <c r="F2820" s="12">
        <v>2.6089299999999999E-2</v>
      </c>
    </row>
    <row r="2821" spans="1:6">
      <c r="A2821" s="10">
        <v>2018</v>
      </c>
      <c r="B2821" t="s">
        <v>1262</v>
      </c>
      <c r="C2821" t="s">
        <v>1208</v>
      </c>
      <c r="D2821" t="s">
        <v>1208</v>
      </c>
      <c r="E2821" s="10">
        <v>36498</v>
      </c>
      <c r="F2821" s="12">
        <v>3.3699999999999999E-5</v>
      </c>
    </row>
    <row r="2822" spans="1:6">
      <c r="A2822" s="10">
        <v>2018</v>
      </c>
      <c r="B2822" t="s">
        <v>1251</v>
      </c>
      <c r="C2822" t="s">
        <v>1998</v>
      </c>
      <c r="D2822" t="s">
        <v>1998</v>
      </c>
      <c r="E2822" s="10">
        <v>25614</v>
      </c>
      <c r="F2822" s="12">
        <v>2.3600000000000001E-5</v>
      </c>
    </row>
    <row r="2823" spans="1:6">
      <c r="A2823" s="10">
        <v>2018</v>
      </c>
      <c r="B2823" t="s">
        <v>1311</v>
      </c>
      <c r="C2823" t="s">
        <v>2414</v>
      </c>
      <c r="D2823" t="s">
        <v>2329</v>
      </c>
      <c r="E2823" s="10">
        <v>785347</v>
      </c>
      <c r="F2823" s="12">
        <v>7.249E-4</v>
      </c>
    </row>
    <row r="2824" spans="1:6">
      <c r="A2824" s="10">
        <v>2018</v>
      </c>
      <c r="B2824" t="s">
        <v>1312</v>
      </c>
      <c r="C2824" t="s">
        <v>2000</v>
      </c>
      <c r="D2824" t="s">
        <v>2000</v>
      </c>
      <c r="E2824" s="10">
        <v>43892011</v>
      </c>
      <c r="F2824" s="12">
        <v>4.0511999999999999E-2</v>
      </c>
    </row>
    <row r="2825" spans="1:6">
      <c r="A2825" s="10">
        <v>2018</v>
      </c>
      <c r="B2825" t="s">
        <v>1313</v>
      </c>
      <c r="C2825" t="s">
        <v>2001</v>
      </c>
      <c r="D2825" t="s">
        <v>2001</v>
      </c>
      <c r="E2825" s="10">
        <v>7216261</v>
      </c>
      <c r="F2825" s="12">
        <v>6.6606E-3</v>
      </c>
    </row>
    <row r="2826" spans="1:6">
      <c r="A2826" s="10">
        <v>2018</v>
      </c>
      <c r="B2826" t="s">
        <v>1314</v>
      </c>
      <c r="C2826" t="s">
        <v>2002</v>
      </c>
      <c r="D2826" t="s">
        <v>2002</v>
      </c>
      <c r="E2826" s="10">
        <v>49570</v>
      </c>
      <c r="F2826" s="12">
        <v>4.5800000000000002E-5</v>
      </c>
    </row>
    <row r="2827" spans="1:6">
      <c r="A2827" s="10">
        <v>2018</v>
      </c>
      <c r="B2827" t="s">
        <v>1035</v>
      </c>
      <c r="C2827" t="s">
        <v>2003</v>
      </c>
      <c r="D2827" t="s">
        <v>2003</v>
      </c>
      <c r="E2827" s="10">
        <v>273135</v>
      </c>
      <c r="F2827" s="12">
        <v>2.521E-4</v>
      </c>
    </row>
    <row r="2828" spans="1:6">
      <c r="A2828" s="10">
        <v>2018</v>
      </c>
      <c r="B2828" t="s">
        <v>1315</v>
      </c>
      <c r="C2828" t="s">
        <v>2394</v>
      </c>
      <c r="D2828" t="s">
        <v>2330</v>
      </c>
      <c r="E2828" s="10">
        <v>35996</v>
      </c>
      <c r="F2828" s="12">
        <v>3.3200000000000001E-5</v>
      </c>
    </row>
    <row r="2829" spans="1:6">
      <c r="A2829" s="10">
        <v>2018</v>
      </c>
      <c r="B2829" t="s">
        <v>1033</v>
      </c>
      <c r="C2829" t="s">
        <v>2005</v>
      </c>
      <c r="D2829" t="s">
        <v>2005</v>
      </c>
      <c r="E2829" s="10">
        <v>2201566</v>
      </c>
      <c r="F2829" s="12">
        <v>2.032E-3</v>
      </c>
    </row>
    <row r="2830" spans="1:6">
      <c r="A2830" s="10">
        <v>2018</v>
      </c>
      <c r="B2830" t="s">
        <v>1316</v>
      </c>
      <c r="C2830" t="s">
        <v>2459</v>
      </c>
      <c r="D2830" t="s">
        <v>2006</v>
      </c>
      <c r="E2830" s="10">
        <v>276741</v>
      </c>
      <c r="F2830" s="12">
        <v>2.5539999999999997E-4</v>
      </c>
    </row>
    <row r="2831" spans="1:6">
      <c r="A2831" s="10">
        <v>2018</v>
      </c>
      <c r="B2831" t="s">
        <v>1317</v>
      </c>
      <c r="C2831" t="s">
        <v>2007</v>
      </c>
      <c r="D2831" t="s">
        <v>2007</v>
      </c>
      <c r="E2831" s="10">
        <v>106282</v>
      </c>
      <c r="F2831" s="12">
        <v>9.8099999999999999E-5</v>
      </c>
    </row>
    <row r="2832" spans="1:6">
      <c r="A2832" s="10">
        <v>2018</v>
      </c>
      <c r="B2832" t="s">
        <v>1318</v>
      </c>
      <c r="C2832" t="s">
        <v>2008</v>
      </c>
      <c r="D2832" t="s">
        <v>2331</v>
      </c>
      <c r="E2832" s="10"/>
    </row>
    <row r="2833" spans="1:6">
      <c r="A2833" s="10">
        <v>2018</v>
      </c>
      <c r="B2833" t="s">
        <v>1319</v>
      </c>
      <c r="C2833" t="s">
        <v>1271</v>
      </c>
      <c r="D2833" t="s">
        <v>1271</v>
      </c>
      <c r="E2833" s="10">
        <v>27163</v>
      </c>
      <c r="F2833" s="12">
        <v>2.51E-5</v>
      </c>
    </row>
    <row r="2834" spans="1:6">
      <c r="A2834" s="10">
        <v>2018</v>
      </c>
      <c r="B2834" t="s">
        <v>1320</v>
      </c>
      <c r="C2834" t="s">
        <v>2009</v>
      </c>
      <c r="D2834" t="s">
        <v>2332</v>
      </c>
      <c r="E2834" s="10">
        <v>84324</v>
      </c>
      <c r="F2834" s="12">
        <v>7.7799999999999994E-5</v>
      </c>
    </row>
    <row r="2835" spans="1:6">
      <c r="A2835" s="10">
        <v>2018</v>
      </c>
      <c r="B2835" t="s">
        <v>1321</v>
      </c>
      <c r="C2835" t="s">
        <v>1273</v>
      </c>
      <c r="D2835" t="s">
        <v>1273</v>
      </c>
      <c r="E2835" s="10"/>
    </row>
    <row r="2836" spans="1:6">
      <c r="A2836" s="10">
        <v>2018</v>
      </c>
      <c r="B2836" t="s">
        <v>1322</v>
      </c>
      <c r="C2836" t="s">
        <v>2333</v>
      </c>
      <c r="D2836" t="s">
        <v>2333</v>
      </c>
      <c r="E2836" s="10"/>
    </row>
    <row r="2837" spans="1:6">
      <c r="A2837" s="10">
        <v>2018</v>
      </c>
      <c r="B2837" t="s">
        <v>1323</v>
      </c>
      <c r="C2837" t="s">
        <v>2011</v>
      </c>
      <c r="D2837" t="s">
        <v>2334</v>
      </c>
      <c r="E2837" s="10">
        <v>12530614</v>
      </c>
      <c r="F2837" s="12">
        <v>1.15657E-2</v>
      </c>
    </row>
    <row r="2838" spans="1:6">
      <c r="A2838" s="10">
        <v>2018</v>
      </c>
      <c r="B2838" t="s">
        <v>1325</v>
      </c>
      <c r="C2838" t="s">
        <v>2395</v>
      </c>
      <c r="D2838" t="s">
        <v>2012</v>
      </c>
      <c r="E2838" s="10">
        <v>111531</v>
      </c>
      <c r="F2838" s="12">
        <v>1.0289999999999999E-4</v>
      </c>
    </row>
    <row r="2839" spans="1:6">
      <c r="A2839" s="10">
        <v>2018</v>
      </c>
      <c r="B2839" t="s">
        <v>1252</v>
      </c>
      <c r="C2839" t="s">
        <v>2013</v>
      </c>
      <c r="D2839" t="s">
        <v>2013</v>
      </c>
      <c r="E2839" s="10">
        <v>92843</v>
      </c>
      <c r="F2839" s="12">
        <v>8.5699999999999996E-5</v>
      </c>
    </row>
    <row r="2840" spans="1:6">
      <c r="A2840" s="10">
        <v>2018</v>
      </c>
      <c r="B2840" t="s">
        <v>1326</v>
      </c>
      <c r="C2840" t="s">
        <v>2014</v>
      </c>
      <c r="D2840" t="s">
        <v>2335</v>
      </c>
      <c r="E2840" s="10">
        <v>80604</v>
      </c>
      <c r="F2840" s="12">
        <v>7.4400000000000006E-5</v>
      </c>
    </row>
    <row r="2841" spans="1:6">
      <c r="A2841" s="10">
        <v>2018</v>
      </c>
      <c r="B2841" t="s">
        <v>1327</v>
      </c>
      <c r="C2841" t="s">
        <v>1279</v>
      </c>
      <c r="D2841" t="s">
        <v>2336</v>
      </c>
      <c r="E2841" s="10">
        <v>839948</v>
      </c>
      <c r="F2841" s="12">
        <v>7.7530000000000003E-4</v>
      </c>
    </row>
    <row r="2842" spans="1:6">
      <c r="A2842" s="10">
        <v>2018</v>
      </c>
      <c r="B2842" t="s">
        <v>1328</v>
      </c>
      <c r="C2842" t="s">
        <v>1484</v>
      </c>
      <c r="D2842" t="s">
        <v>2337</v>
      </c>
      <c r="E2842" s="10">
        <v>31774</v>
      </c>
      <c r="F2842" s="12">
        <v>2.9300000000000001E-5</v>
      </c>
    </row>
    <row r="2843" spans="1:6">
      <c r="A2843" s="10">
        <v>2018</v>
      </c>
      <c r="B2843" t="s">
        <v>1329</v>
      </c>
      <c r="C2843" t="s">
        <v>1485</v>
      </c>
      <c r="D2843" t="s">
        <v>1485</v>
      </c>
      <c r="E2843" s="10">
        <v>848708</v>
      </c>
      <c r="F2843" s="12">
        <v>7.8339999999999996E-4</v>
      </c>
    </row>
    <row r="2844" spans="1:6">
      <c r="A2844" s="10">
        <v>2018</v>
      </c>
      <c r="B2844" t="s">
        <v>1330</v>
      </c>
      <c r="C2844" t="s">
        <v>1282</v>
      </c>
      <c r="D2844" t="s">
        <v>1282</v>
      </c>
      <c r="E2844" s="10"/>
    </row>
    <row r="2845" spans="1:6">
      <c r="A2845" s="10">
        <v>2018</v>
      </c>
      <c r="B2845" t="s">
        <v>1331</v>
      </c>
      <c r="C2845" t="s">
        <v>1283</v>
      </c>
      <c r="D2845" t="s">
        <v>1283</v>
      </c>
      <c r="E2845" s="10"/>
    </row>
    <row r="2846" spans="1:6">
      <c r="A2846" s="10">
        <v>2018</v>
      </c>
      <c r="B2846" t="s">
        <v>1332</v>
      </c>
      <c r="C2846" t="s">
        <v>1284</v>
      </c>
      <c r="D2846" t="s">
        <v>1284</v>
      </c>
      <c r="E2846" s="10">
        <v>29651</v>
      </c>
      <c r="F2846" s="12">
        <v>2.7399999999999999E-5</v>
      </c>
    </row>
    <row r="2847" spans="1:6">
      <c r="A2847" s="10">
        <v>2018</v>
      </c>
      <c r="B2847" t="s">
        <v>1333</v>
      </c>
      <c r="C2847" t="s">
        <v>2015</v>
      </c>
      <c r="D2847" t="s">
        <v>2338</v>
      </c>
      <c r="E2847" s="10">
        <v>4664</v>
      </c>
      <c r="F2847" s="12">
        <v>4.3000000000000003E-6</v>
      </c>
    </row>
    <row r="2848" spans="1:6">
      <c r="A2848" s="10">
        <v>2018</v>
      </c>
      <c r="B2848" t="s">
        <v>1334</v>
      </c>
      <c r="C2848" t="s">
        <v>2016</v>
      </c>
      <c r="D2848" t="s">
        <v>2339</v>
      </c>
      <c r="E2848" s="10">
        <v>1322023</v>
      </c>
      <c r="F2848" s="12">
        <v>1.2202000000000001E-3</v>
      </c>
    </row>
    <row r="2849" spans="1:6">
      <c r="A2849" s="10">
        <v>2018</v>
      </c>
      <c r="B2849" t="s">
        <v>1335</v>
      </c>
      <c r="C2849" t="s">
        <v>2017</v>
      </c>
      <c r="D2849" t="s">
        <v>2340</v>
      </c>
      <c r="E2849" s="10">
        <v>737564</v>
      </c>
      <c r="F2849" s="12">
        <v>6.8079999999999996E-4</v>
      </c>
    </row>
    <row r="2850" spans="1:6">
      <c r="A2850" s="10">
        <v>2018</v>
      </c>
      <c r="B2850" t="s">
        <v>1253</v>
      </c>
      <c r="C2850" t="s">
        <v>2018</v>
      </c>
      <c r="D2850" t="s">
        <v>2018</v>
      </c>
      <c r="E2850" s="10">
        <v>270923</v>
      </c>
      <c r="F2850" s="12">
        <v>2.5010000000000001E-4</v>
      </c>
    </row>
    <row r="2851" spans="1:6">
      <c r="A2851" s="10">
        <v>2018</v>
      </c>
      <c r="B2851" t="s">
        <v>1336</v>
      </c>
      <c r="C2851" t="s">
        <v>2019</v>
      </c>
      <c r="D2851" t="s">
        <v>2019</v>
      </c>
      <c r="E2851" s="10">
        <v>544403</v>
      </c>
      <c r="F2851" s="12">
        <v>5.0250000000000002E-4</v>
      </c>
    </row>
    <row r="2852" spans="1:6">
      <c r="A2852" s="10">
        <v>2018</v>
      </c>
      <c r="B2852" t="s">
        <v>463</v>
      </c>
      <c r="C2852" t="s">
        <v>2020</v>
      </c>
      <c r="D2852" t="s">
        <v>2020</v>
      </c>
      <c r="E2852" s="10">
        <v>175514</v>
      </c>
      <c r="F2852" s="12">
        <v>1.6200000000000001E-4</v>
      </c>
    </row>
    <row r="2853" spans="1:6">
      <c r="A2853" s="10">
        <v>2018</v>
      </c>
      <c r="B2853" t="s">
        <v>1337</v>
      </c>
      <c r="C2853" t="s">
        <v>2021</v>
      </c>
      <c r="D2853" t="s">
        <v>2021</v>
      </c>
      <c r="E2853" s="10">
        <v>367131</v>
      </c>
      <c r="F2853" s="12">
        <v>3.389E-4</v>
      </c>
    </row>
    <row r="2854" spans="1:6">
      <c r="A2854" s="10">
        <v>2018</v>
      </c>
      <c r="B2854" t="s">
        <v>464</v>
      </c>
      <c r="C2854" t="s">
        <v>2022</v>
      </c>
      <c r="D2854" t="s">
        <v>2022</v>
      </c>
      <c r="E2854" s="10">
        <v>286628</v>
      </c>
      <c r="F2854" s="12">
        <v>2.6459999999999998E-4</v>
      </c>
    </row>
    <row r="2855" spans="1:6">
      <c r="A2855" s="10">
        <v>2018</v>
      </c>
      <c r="B2855" t="s">
        <v>1338</v>
      </c>
      <c r="C2855" t="s">
        <v>2023</v>
      </c>
      <c r="D2855" t="s">
        <v>2341</v>
      </c>
      <c r="E2855" s="10">
        <v>2346</v>
      </c>
      <c r="F2855" s="12">
        <v>2.2000000000000001E-6</v>
      </c>
    </row>
    <row r="2856" spans="1:6">
      <c r="A2856" s="10">
        <v>2018</v>
      </c>
      <c r="B2856" t="s">
        <v>907</v>
      </c>
      <c r="C2856" t="s">
        <v>2024</v>
      </c>
      <c r="D2856" t="s">
        <v>2024</v>
      </c>
      <c r="E2856" s="10">
        <v>39532</v>
      </c>
      <c r="F2856" s="12">
        <v>3.65E-5</v>
      </c>
    </row>
    <row r="2857" spans="1:6">
      <c r="A2857" s="10">
        <v>2018</v>
      </c>
      <c r="B2857" t="s">
        <v>1339</v>
      </c>
      <c r="C2857" t="s">
        <v>2025</v>
      </c>
      <c r="D2857" t="s">
        <v>2025</v>
      </c>
      <c r="E2857" s="10">
        <v>834908</v>
      </c>
      <c r="F2857" s="12">
        <v>7.7059999999999997E-4</v>
      </c>
    </row>
    <row r="2858" spans="1:6">
      <c r="A2858" s="10">
        <v>2018</v>
      </c>
      <c r="B2858" t="s">
        <v>1340</v>
      </c>
      <c r="C2858" t="s">
        <v>2026</v>
      </c>
      <c r="D2858" t="s">
        <v>2342</v>
      </c>
      <c r="E2858" s="10">
        <v>1712059</v>
      </c>
      <c r="F2858" s="12">
        <v>1.5801999999999999E-3</v>
      </c>
    </row>
    <row r="2859" spans="1:6">
      <c r="A2859" s="10">
        <v>2018</v>
      </c>
      <c r="B2859" t="s">
        <v>1341</v>
      </c>
      <c r="C2859" t="s">
        <v>2027</v>
      </c>
      <c r="D2859" t="s">
        <v>2027</v>
      </c>
      <c r="E2859" s="10">
        <v>1061448</v>
      </c>
      <c r="F2859" s="12">
        <v>9.7970000000000002E-4</v>
      </c>
    </row>
    <row r="2860" spans="1:6">
      <c r="A2860" s="10">
        <v>2018</v>
      </c>
      <c r="B2860" t="s">
        <v>465</v>
      </c>
      <c r="C2860" t="s">
        <v>2028</v>
      </c>
      <c r="D2860" t="s">
        <v>2028</v>
      </c>
      <c r="E2860" s="10">
        <v>297426</v>
      </c>
      <c r="F2860" s="12">
        <v>2.745E-4</v>
      </c>
    </row>
    <row r="2861" spans="1:6">
      <c r="A2861" s="10">
        <v>2018</v>
      </c>
      <c r="B2861" t="s">
        <v>1342</v>
      </c>
      <c r="C2861" t="s">
        <v>1294</v>
      </c>
      <c r="D2861" t="s">
        <v>1294</v>
      </c>
      <c r="E2861" s="10"/>
    </row>
    <row r="2862" spans="1:6">
      <c r="A2862" s="10">
        <v>2018</v>
      </c>
      <c r="B2862" t="s">
        <v>1343</v>
      </c>
      <c r="C2862" t="s">
        <v>2029</v>
      </c>
      <c r="D2862" t="s">
        <v>2343</v>
      </c>
      <c r="E2862" s="10">
        <v>37325</v>
      </c>
      <c r="F2862" s="12">
        <v>3.4499999999999998E-5</v>
      </c>
    </row>
    <row r="2863" spans="1:6">
      <c r="A2863" s="10">
        <v>2018</v>
      </c>
      <c r="B2863" t="s">
        <v>1344</v>
      </c>
      <c r="C2863" t="s">
        <v>2030</v>
      </c>
      <c r="D2863" t="s">
        <v>2030</v>
      </c>
      <c r="E2863" s="10">
        <v>61867</v>
      </c>
      <c r="F2863" s="12">
        <v>5.7099999999999999E-5</v>
      </c>
    </row>
    <row r="2864" spans="1:6">
      <c r="A2864" s="10">
        <v>2018</v>
      </c>
      <c r="B2864" t="s">
        <v>1346</v>
      </c>
      <c r="C2864" t="s">
        <v>1298</v>
      </c>
      <c r="D2864" t="s">
        <v>1298</v>
      </c>
      <c r="E2864" s="10">
        <v>2133308</v>
      </c>
      <c r="F2864" s="12">
        <v>1.9689999999999998E-3</v>
      </c>
    </row>
    <row r="2865" spans="1:6">
      <c r="A2865" s="10">
        <v>2018</v>
      </c>
      <c r="B2865" t="s">
        <v>1347</v>
      </c>
      <c r="C2865" t="s">
        <v>1299</v>
      </c>
      <c r="D2865" t="s">
        <v>1299</v>
      </c>
      <c r="E2865" s="10">
        <v>5815728</v>
      </c>
      <c r="F2865" s="12">
        <v>5.3679000000000001E-3</v>
      </c>
    </row>
    <row r="2866" spans="1:6">
      <c r="A2866" s="10">
        <v>2018</v>
      </c>
      <c r="B2866" t="s">
        <v>1345</v>
      </c>
      <c r="C2866" t="s">
        <v>2031</v>
      </c>
      <c r="D2866" t="s">
        <v>2344</v>
      </c>
      <c r="E2866" s="10"/>
    </row>
    <row r="2867" spans="1:6">
      <c r="A2867" s="10">
        <v>2018</v>
      </c>
      <c r="B2867" t="s">
        <v>1348</v>
      </c>
      <c r="C2867" t="s">
        <v>2032</v>
      </c>
      <c r="D2867" t="s">
        <v>2032</v>
      </c>
      <c r="E2867" s="10">
        <v>85680</v>
      </c>
      <c r="F2867" s="12">
        <v>7.9099999999999998E-5</v>
      </c>
    </row>
    <row r="2868" spans="1:6">
      <c r="A2868" s="10">
        <v>2018</v>
      </c>
      <c r="B2868" t="s">
        <v>1349</v>
      </c>
      <c r="C2868" t="s">
        <v>2033</v>
      </c>
      <c r="D2868" t="s">
        <v>2033</v>
      </c>
      <c r="E2868" s="10">
        <v>179996</v>
      </c>
      <c r="F2868" s="12">
        <v>1.661E-4</v>
      </c>
    </row>
    <row r="2869" spans="1:6">
      <c r="A2869" s="10">
        <v>2018</v>
      </c>
      <c r="B2869" t="s">
        <v>1254</v>
      </c>
      <c r="C2869" t="s">
        <v>2034</v>
      </c>
      <c r="D2869" t="s">
        <v>2034</v>
      </c>
      <c r="E2869" s="10">
        <v>92962</v>
      </c>
      <c r="F2869" s="12">
        <v>8.5799999999999998E-5</v>
      </c>
    </row>
    <row r="2870" spans="1:6">
      <c r="A2870" s="10">
        <v>2018</v>
      </c>
      <c r="B2870" t="s">
        <v>1350</v>
      </c>
      <c r="C2870" t="s">
        <v>2035</v>
      </c>
      <c r="D2870" t="s">
        <v>2345</v>
      </c>
      <c r="E2870" s="10">
        <v>28981</v>
      </c>
      <c r="F2870" s="12">
        <v>2.6699999999999998E-5</v>
      </c>
    </row>
    <row r="2871" spans="1:6">
      <c r="A2871" s="10">
        <v>2018</v>
      </c>
      <c r="B2871" t="s">
        <v>1352</v>
      </c>
      <c r="C2871" t="s">
        <v>1304</v>
      </c>
      <c r="D2871" t="s">
        <v>1304</v>
      </c>
      <c r="E2871" s="10">
        <v>4635144</v>
      </c>
      <c r="F2871" s="12">
        <v>4.2782000000000002E-3</v>
      </c>
    </row>
    <row r="2872" spans="1:6">
      <c r="A2872" s="10">
        <v>2018</v>
      </c>
      <c r="B2872" t="s">
        <v>1353</v>
      </c>
      <c r="C2872" t="s">
        <v>1305</v>
      </c>
      <c r="D2872" t="s">
        <v>1305</v>
      </c>
      <c r="E2872" s="10">
        <v>136298</v>
      </c>
      <c r="F2872" s="12">
        <v>1.2579999999999999E-4</v>
      </c>
    </row>
    <row r="2873" spans="1:6">
      <c r="A2873" s="10">
        <v>2018</v>
      </c>
      <c r="B2873" t="s">
        <v>1351</v>
      </c>
      <c r="C2873" t="s">
        <v>2415</v>
      </c>
      <c r="D2873" t="s">
        <v>2346</v>
      </c>
      <c r="E2873" s="10">
        <v>33344</v>
      </c>
      <c r="F2873" s="12">
        <v>3.0800000000000003E-5</v>
      </c>
    </row>
    <row r="2874" spans="1:6">
      <c r="A2874" s="10">
        <v>2018</v>
      </c>
      <c r="B2874" t="s">
        <v>1354</v>
      </c>
      <c r="C2874" t="s">
        <v>2037</v>
      </c>
      <c r="D2874" t="s">
        <v>2037</v>
      </c>
      <c r="E2874" s="10">
        <v>827</v>
      </c>
      <c r="F2874" s="12">
        <v>7.9999999999999996E-7</v>
      </c>
    </row>
    <row r="2875" spans="1:6">
      <c r="A2875" s="10">
        <v>2018</v>
      </c>
      <c r="B2875" t="s">
        <v>1355</v>
      </c>
      <c r="C2875" t="s">
        <v>2038</v>
      </c>
      <c r="D2875" t="s">
        <v>2038</v>
      </c>
      <c r="E2875" s="10">
        <v>3904200</v>
      </c>
      <c r="F2875" s="12">
        <v>3.6034999999999999E-3</v>
      </c>
    </row>
    <row r="2876" spans="1:6">
      <c r="A2876" s="10">
        <v>2018</v>
      </c>
      <c r="B2876" t="s">
        <v>1357</v>
      </c>
      <c r="C2876" t="s">
        <v>2039</v>
      </c>
      <c r="D2876" t="s">
        <v>2347</v>
      </c>
      <c r="E2876" s="10">
        <v>142713</v>
      </c>
      <c r="F2876" s="12">
        <v>1.317E-4</v>
      </c>
    </row>
    <row r="2877" spans="1:6">
      <c r="A2877" s="10">
        <v>2018</v>
      </c>
      <c r="B2877" t="s">
        <v>2043</v>
      </c>
      <c r="C2877" t="s">
        <v>2040</v>
      </c>
      <c r="D2877" t="s">
        <v>2348</v>
      </c>
      <c r="E2877" s="10">
        <v>28234</v>
      </c>
      <c r="F2877" s="12">
        <v>2.6100000000000001E-5</v>
      </c>
    </row>
    <row r="2878" spans="1:6">
      <c r="A2878" s="10">
        <v>2018</v>
      </c>
      <c r="B2878" t="s">
        <v>1358</v>
      </c>
      <c r="C2878" t="s">
        <v>2041</v>
      </c>
      <c r="D2878" t="s">
        <v>2041</v>
      </c>
      <c r="E2878" s="10">
        <v>4588713</v>
      </c>
      <c r="F2878" s="12">
        <v>4.2353E-3</v>
      </c>
    </row>
    <row r="2879" spans="1:6">
      <c r="A2879" s="10">
        <v>2018</v>
      </c>
      <c r="B2879" t="s">
        <v>466</v>
      </c>
      <c r="C2879" t="s">
        <v>2042</v>
      </c>
      <c r="D2879" t="s">
        <v>2042</v>
      </c>
      <c r="E2879" s="10">
        <v>3361380</v>
      </c>
      <c r="F2879" s="12">
        <v>3.1024999999999998E-3</v>
      </c>
    </row>
    <row r="2880" spans="1:6">
      <c r="A2880" s="10">
        <v>2019</v>
      </c>
      <c r="B2880" t="s">
        <v>59</v>
      </c>
      <c r="C2880" t="s">
        <v>6</v>
      </c>
      <c r="D2880" t="s">
        <v>6</v>
      </c>
      <c r="E2880" s="10"/>
    </row>
    <row r="2881" spans="1:6">
      <c r="A2881" s="10">
        <v>2019</v>
      </c>
      <c r="B2881" t="s">
        <v>60</v>
      </c>
      <c r="C2881" t="s">
        <v>7</v>
      </c>
      <c r="D2881" t="s">
        <v>7</v>
      </c>
      <c r="E2881" s="10">
        <v>321887</v>
      </c>
      <c r="F2881" s="12">
        <v>2.7300000000000002E-4</v>
      </c>
    </row>
    <row r="2882" spans="1:6">
      <c r="A2882" s="10">
        <v>2019</v>
      </c>
      <c r="B2882" t="s">
        <v>61</v>
      </c>
      <c r="C2882" t="s">
        <v>1487</v>
      </c>
      <c r="D2882" t="s">
        <v>1487</v>
      </c>
      <c r="E2882" s="10">
        <v>68051</v>
      </c>
      <c r="F2882" s="12">
        <v>5.77E-5</v>
      </c>
    </row>
    <row r="2883" spans="1:6">
      <c r="A2883" s="10">
        <v>2019</v>
      </c>
      <c r="B2883" t="s">
        <v>62</v>
      </c>
      <c r="C2883" t="s">
        <v>9</v>
      </c>
      <c r="D2883" t="s">
        <v>9</v>
      </c>
      <c r="E2883" s="10">
        <v>71528</v>
      </c>
      <c r="F2883" s="12">
        <v>6.0699999999999998E-5</v>
      </c>
    </row>
    <row r="2884" spans="1:6">
      <c r="A2884" s="10">
        <v>2019</v>
      </c>
      <c r="B2884" t="s">
        <v>63</v>
      </c>
      <c r="C2884" t="s">
        <v>1488</v>
      </c>
      <c r="D2884" t="s">
        <v>1488</v>
      </c>
      <c r="E2884" s="10">
        <v>115199</v>
      </c>
      <c r="F2884" s="12">
        <v>9.7700000000000003E-5</v>
      </c>
    </row>
    <row r="2885" spans="1:6">
      <c r="A2885" s="10">
        <v>2019</v>
      </c>
      <c r="B2885" t="s">
        <v>64</v>
      </c>
      <c r="C2885" t="s">
        <v>1489</v>
      </c>
      <c r="D2885" t="s">
        <v>1489</v>
      </c>
      <c r="E2885" s="10">
        <v>4649538</v>
      </c>
      <c r="F2885" s="12">
        <v>3.9433000000000003E-3</v>
      </c>
    </row>
    <row r="2886" spans="1:6">
      <c r="A2886" s="10">
        <v>2019</v>
      </c>
      <c r="B2886" t="s">
        <v>65</v>
      </c>
      <c r="C2886" t="s">
        <v>1490</v>
      </c>
      <c r="D2886" t="s">
        <v>1490</v>
      </c>
      <c r="E2886" s="10">
        <v>81487</v>
      </c>
      <c r="F2886" s="12">
        <v>6.9099999999999999E-5</v>
      </c>
    </row>
    <row r="2887" spans="1:6">
      <c r="A2887" s="10">
        <v>2019</v>
      </c>
      <c r="B2887" t="s">
        <v>66</v>
      </c>
      <c r="C2887" t="s">
        <v>1491</v>
      </c>
      <c r="D2887" t="s">
        <v>1491</v>
      </c>
      <c r="E2887" s="10">
        <v>39738</v>
      </c>
      <c r="F2887" s="12">
        <v>3.3699999999999999E-5</v>
      </c>
    </row>
    <row r="2888" spans="1:6">
      <c r="A2888" s="10">
        <v>2019</v>
      </c>
      <c r="B2888" t="s">
        <v>67</v>
      </c>
      <c r="C2888" t="s">
        <v>1492</v>
      </c>
      <c r="D2888" t="s">
        <v>1492</v>
      </c>
      <c r="E2888" s="10">
        <v>191454</v>
      </c>
      <c r="F2888" s="12">
        <v>1.6239999999999999E-4</v>
      </c>
    </row>
    <row r="2889" spans="1:6">
      <c r="A2889" s="10">
        <v>2019</v>
      </c>
      <c r="B2889" t="s">
        <v>68</v>
      </c>
      <c r="C2889" t="s">
        <v>1493</v>
      </c>
      <c r="D2889" t="s">
        <v>1493</v>
      </c>
      <c r="E2889" s="10">
        <v>14770</v>
      </c>
      <c r="F2889" s="12">
        <v>1.2500000000000001E-5</v>
      </c>
    </row>
    <row r="2890" spans="1:6">
      <c r="A2890" s="10">
        <v>2019</v>
      </c>
      <c r="B2890" t="s">
        <v>69</v>
      </c>
      <c r="C2890" t="s">
        <v>1494</v>
      </c>
      <c r="D2890" t="s">
        <v>1494</v>
      </c>
      <c r="E2890" s="10">
        <v>399987</v>
      </c>
      <c r="F2890" s="12">
        <v>3.392E-4</v>
      </c>
    </row>
    <row r="2891" spans="1:6">
      <c r="A2891" s="10">
        <v>2019</v>
      </c>
      <c r="B2891" t="s">
        <v>70</v>
      </c>
      <c r="C2891" t="s">
        <v>1495</v>
      </c>
      <c r="D2891" t="s">
        <v>1495</v>
      </c>
      <c r="E2891" s="10">
        <v>7580376</v>
      </c>
      <c r="F2891" s="12">
        <v>6.4289999999999998E-3</v>
      </c>
    </row>
    <row r="2892" spans="1:6">
      <c r="A2892" s="10">
        <v>2019</v>
      </c>
      <c r="B2892" t="s">
        <v>71</v>
      </c>
      <c r="C2892" t="s">
        <v>1496</v>
      </c>
      <c r="D2892" t="s">
        <v>1496</v>
      </c>
      <c r="E2892" s="10">
        <v>62492</v>
      </c>
      <c r="F2892" s="12">
        <v>5.3000000000000001E-5</v>
      </c>
    </row>
    <row r="2893" spans="1:6">
      <c r="A2893" s="10">
        <v>2019</v>
      </c>
      <c r="B2893" t="s">
        <v>72</v>
      </c>
      <c r="C2893" t="s">
        <v>1497</v>
      </c>
      <c r="D2893" t="s">
        <v>1497</v>
      </c>
      <c r="E2893" s="10">
        <v>402458</v>
      </c>
      <c r="F2893" s="12">
        <v>3.413E-4</v>
      </c>
    </row>
    <row r="2894" spans="1:6">
      <c r="A2894" s="10">
        <v>2019</v>
      </c>
      <c r="B2894" t="s">
        <v>74</v>
      </c>
      <c r="C2894" t="s">
        <v>1498</v>
      </c>
      <c r="D2894" t="s">
        <v>1498</v>
      </c>
      <c r="E2894" s="10">
        <v>35564</v>
      </c>
      <c r="F2894" s="12">
        <v>3.0199999999999999E-5</v>
      </c>
    </row>
    <row r="2895" spans="1:6">
      <c r="A2895" s="10">
        <v>2019</v>
      </c>
      <c r="B2895" t="s">
        <v>75</v>
      </c>
      <c r="C2895" t="s">
        <v>1365</v>
      </c>
      <c r="D2895" t="s">
        <v>1365</v>
      </c>
      <c r="E2895" s="10">
        <v>9067</v>
      </c>
      <c r="F2895" s="12">
        <v>7.7000000000000008E-6</v>
      </c>
    </row>
    <row r="2896" spans="1:6">
      <c r="A2896" s="10">
        <v>2019</v>
      </c>
      <c r="B2896" t="s">
        <v>76</v>
      </c>
      <c r="C2896" t="s">
        <v>1499</v>
      </c>
      <c r="D2896" t="s">
        <v>1499</v>
      </c>
      <c r="E2896" s="10">
        <v>7925826</v>
      </c>
      <c r="F2896" s="12">
        <v>6.7219999999999997E-3</v>
      </c>
    </row>
    <row r="2897" spans="1:6">
      <c r="A2897" s="10">
        <v>2019</v>
      </c>
      <c r="B2897" t="s">
        <v>77</v>
      </c>
      <c r="C2897" t="s">
        <v>1500</v>
      </c>
      <c r="D2897" t="s">
        <v>1500</v>
      </c>
      <c r="E2897" s="10">
        <v>198729</v>
      </c>
      <c r="F2897" s="12">
        <v>1.685E-4</v>
      </c>
    </row>
    <row r="2898" spans="1:6">
      <c r="A2898" s="10">
        <v>2019</v>
      </c>
      <c r="B2898" t="s">
        <v>78</v>
      </c>
      <c r="C2898" t="s">
        <v>25</v>
      </c>
      <c r="D2898" t="s">
        <v>25</v>
      </c>
      <c r="E2898" s="10">
        <v>1316548</v>
      </c>
      <c r="F2898" s="12">
        <v>1.1165999999999999E-3</v>
      </c>
    </row>
    <row r="2899" spans="1:6">
      <c r="A2899" s="10">
        <v>2019</v>
      </c>
      <c r="B2899" t="s">
        <v>1524</v>
      </c>
      <c r="C2899" t="s">
        <v>1501</v>
      </c>
      <c r="D2899" t="s">
        <v>1501</v>
      </c>
      <c r="E2899" s="10"/>
    </row>
    <row r="2900" spans="1:6">
      <c r="A2900" s="10">
        <v>2019</v>
      </c>
      <c r="B2900" t="s">
        <v>79</v>
      </c>
      <c r="C2900" t="s">
        <v>1502</v>
      </c>
      <c r="D2900" t="s">
        <v>1502</v>
      </c>
      <c r="E2900" s="10">
        <v>11895</v>
      </c>
      <c r="F2900" s="12">
        <v>1.01E-5</v>
      </c>
    </row>
    <row r="2901" spans="1:6">
      <c r="A2901" s="10">
        <v>2019</v>
      </c>
      <c r="B2901" t="s">
        <v>80</v>
      </c>
      <c r="C2901" t="s">
        <v>1503</v>
      </c>
      <c r="D2901" t="s">
        <v>1503</v>
      </c>
      <c r="E2901" s="10">
        <v>1789391</v>
      </c>
      <c r="F2901" s="12">
        <v>1.5176E-3</v>
      </c>
    </row>
    <row r="2902" spans="1:6">
      <c r="A2902" s="10">
        <v>2019</v>
      </c>
      <c r="B2902" t="s">
        <v>1324</v>
      </c>
      <c r="C2902" t="s">
        <v>1504</v>
      </c>
      <c r="D2902" t="s">
        <v>1504</v>
      </c>
      <c r="E2902" s="10">
        <v>85950</v>
      </c>
      <c r="F2902" s="12">
        <v>7.2899999999999997E-5</v>
      </c>
    </row>
    <row r="2903" spans="1:6">
      <c r="A2903" s="10">
        <v>2019</v>
      </c>
      <c r="B2903" t="s">
        <v>369</v>
      </c>
      <c r="C2903" t="s">
        <v>1505</v>
      </c>
      <c r="D2903" t="s">
        <v>1505</v>
      </c>
      <c r="E2903" s="10">
        <v>1157260</v>
      </c>
      <c r="F2903" s="12">
        <v>9.8149999999999995E-4</v>
      </c>
    </row>
    <row r="2904" spans="1:6">
      <c r="A2904" s="10">
        <v>2019</v>
      </c>
      <c r="B2904" t="s">
        <v>81</v>
      </c>
      <c r="C2904" t="s">
        <v>1506</v>
      </c>
      <c r="D2904" t="s">
        <v>1506</v>
      </c>
      <c r="E2904" s="10">
        <v>149056</v>
      </c>
      <c r="F2904" s="12">
        <v>1.2640000000000001E-4</v>
      </c>
    </row>
    <row r="2905" spans="1:6">
      <c r="A2905" s="10">
        <v>2019</v>
      </c>
      <c r="B2905" t="s">
        <v>1371</v>
      </c>
      <c r="C2905" t="s">
        <v>1507</v>
      </c>
      <c r="D2905" t="s">
        <v>1507</v>
      </c>
      <c r="E2905" s="10">
        <v>8679</v>
      </c>
      <c r="F2905" s="12">
        <v>7.4000000000000003E-6</v>
      </c>
    </row>
    <row r="2906" spans="1:6">
      <c r="A2906" s="10">
        <v>2019</v>
      </c>
      <c r="B2906" t="s">
        <v>58</v>
      </c>
      <c r="C2906" t="s">
        <v>1508</v>
      </c>
      <c r="D2906" t="s">
        <v>1508</v>
      </c>
      <c r="E2906" s="10">
        <v>651414</v>
      </c>
      <c r="F2906" s="12">
        <v>5.5250000000000004E-4</v>
      </c>
    </row>
    <row r="2907" spans="1:6">
      <c r="A2907" s="10">
        <v>2019</v>
      </c>
      <c r="B2907" t="s">
        <v>82</v>
      </c>
      <c r="C2907" t="s">
        <v>1509</v>
      </c>
      <c r="D2907" t="s">
        <v>1509</v>
      </c>
      <c r="E2907" s="10">
        <v>36164</v>
      </c>
      <c r="F2907" s="12">
        <v>3.0700000000000001E-5</v>
      </c>
    </row>
    <row r="2908" spans="1:6">
      <c r="A2908" s="10">
        <v>2019</v>
      </c>
      <c r="B2908" t="s">
        <v>83</v>
      </c>
      <c r="C2908" t="s">
        <v>30</v>
      </c>
      <c r="D2908" t="s">
        <v>30</v>
      </c>
      <c r="E2908" s="10">
        <v>7379467</v>
      </c>
      <c r="F2908" s="12">
        <v>6.2585999999999996E-3</v>
      </c>
    </row>
    <row r="2909" spans="1:6">
      <c r="A2909" s="10">
        <v>2019</v>
      </c>
      <c r="B2909" t="s">
        <v>84</v>
      </c>
      <c r="C2909" t="s">
        <v>31</v>
      </c>
      <c r="D2909" t="s">
        <v>31</v>
      </c>
      <c r="E2909" s="10">
        <v>35971</v>
      </c>
      <c r="F2909" s="12">
        <v>3.0499999999999999E-5</v>
      </c>
    </row>
    <row r="2910" spans="1:6">
      <c r="A2910" s="10">
        <v>2019</v>
      </c>
      <c r="B2910" t="s">
        <v>1426</v>
      </c>
      <c r="C2910" t="s">
        <v>1510</v>
      </c>
      <c r="D2910" t="s">
        <v>1510</v>
      </c>
      <c r="E2910" s="10">
        <v>1542</v>
      </c>
      <c r="F2910" s="12">
        <v>1.3E-6</v>
      </c>
    </row>
    <row r="2911" spans="1:6">
      <c r="A2911" s="10">
        <v>2019</v>
      </c>
      <c r="B2911" t="s">
        <v>91</v>
      </c>
      <c r="C2911" t="s">
        <v>1511</v>
      </c>
      <c r="D2911" t="s">
        <v>1511</v>
      </c>
      <c r="E2911" s="10">
        <v>18740</v>
      </c>
      <c r="F2911" s="12">
        <v>1.59E-5</v>
      </c>
    </row>
    <row r="2912" spans="1:6">
      <c r="A2912" s="10">
        <v>2019</v>
      </c>
      <c r="B2912" t="s">
        <v>97</v>
      </c>
      <c r="C2912" t="s">
        <v>1512</v>
      </c>
      <c r="D2912" t="s">
        <v>1512</v>
      </c>
      <c r="E2912" s="10">
        <v>66475</v>
      </c>
      <c r="F2912" s="12">
        <v>5.6400000000000002E-5</v>
      </c>
    </row>
    <row r="2913" spans="1:6">
      <c r="A2913" s="10">
        <v>2019</v>
      </c>
      <c r="B2913" t="s">
        <v>98</v>
      </c>
      <c r="C2913" t="s">
        <v>1513</v>
      </c>
      <c r="D2913" t="s">
        <v>1513</v>
      </c>
      <c r="E2913" s="10">
        <v>35462</v>
      </c>
      <c r="F2913" s="12">
        <v>3.01E-5</v>
      </c>
    </row>
    <row r="2914" spans="1:6">
      <c r="A2914" s="10">
        <v>2019</v>
      </c>
      <c r="B2914" t="s">
        <v>99</v>
      </c>
      <c r="C2914" t="s">
        <v>1514</v>
      </c>
      <c r="D2914" t="s">
        <v>1514</v>
      </c>
      <c r="E2914" s="10">
        <v>18968</v>
      </c>
      <c r="F2914" s="12">
        <v>1.6099999999999998E-5</v>
      </c>
    </row>
    <row r="2915" spans="1:6">
      <c r="A2915" s="10">
        <v>2019</v>
      </c>
      <c r="B2915" t="s">
        <v>210</v>
      </c>
      <c r="C2915" t="s">
        <v>1515</v>
      </c>
      <c r="D2915" t="s">
        <v>2349</v>
      </c>
      <c r="E2915" s="10">
        <v>65</v>
      </c>
      <c r="F2915" s="12">
        <v>9.9999999999999995E-8</v>
      </c>
    </row>
    <row r="2916" spans="1:6">
      <c r="A2916" s="10">
        <v>2019</v>
      </c>
      <c r="B2916" t="s">
        <v>85</v>
      </c>
      <c r="C2916" t="s">
        <v>1516</v>
      </c>
      <c r="D2916" t="s">
        <v>1516</v>
      </c>
      <c r="E2916" s="10">
        <v>26778</v>
      </c>
      <c r="F2916" s="12">
        <v>2.27E-5</v>
      </c>
    </row>
    <row r="2917" spans="1:6">
      <c r="A2917" s="10">
        <v>2019</v>
      </c>
      <c r="B2917" t="s">
        <v>102</v>
      </c>
      <c r="C2917" t="s">
        <v>1517</v>
      </c>
      <c r="D2917" t="s">
        <v>1517</v>
      </c>
      <c r="E2917" s="10">
        <v>13131</v>
      </c>
      <c r="F2917" s="12">
        <v>1.11E-5</v>
      </c>
    </row>
    <row r="2918" spans="1:6">
      <c r="A2918" s="10">
        <v>2019</v>
      </c>
      <c r="B2918" t="s">
        <v>104</v>
      </c>
      <c r="C2918" t="s">
        <v>1518</v>
      </c>
      <c r="D2918" t="s">
        <v>1518</v>
      </c>
      <c r="E2918" s="10">
        <v>36916</v>
      </c>
      <c r="F2918" s="12">
        <v>3.1300000000000002E-5</v>
      </c>
    </row>
    <row r="2919" spans="1:6">
      <c r="A2919" s="10">
        <v>2019</v>
      </c>
      <c r="B2919" t="s">
        <v>106</v>
      </c>
      <c r="C2919" t="s">
        <v>1519</v>
      </c>
      <c r="D2919" t="s">
        <v>1519</v>
      </c>
      <c r="E2919" s="10">
        <v>6488</v>
      </c>
      <c r="F2919" s="12">
        <v>5.4999999999999999E-6</v>
      </c>
    </row>
    <row r="2920" spans="1:6">
      <c r="A2920" s="10">
        <v>2019</v>
      </c>
      <c r="B2920" t="s">
        <v>107</v>
      </c>
      <c r="C2920" t="s">
        <v>1520</v>
      </c>
      <c r="D2920" t="s">
        <v>1520</v>
      </c>
      <c r="E2920" s="10">
        <v>24991</v>
      </c>
      <c r="F2920" s="12">
        <v>2.12E-5</v>
      </c>
    </row>
    <row r="2921" spans="1:6">
      <c r="A2921" s="10">
        <v>2019</v>
      </c>
      <c r="B2921" t="s">
        <v>108</v>
      </c>
      <c r="C2921" t="s">
        <v>1521</v>
      </c>
      <c r="D2921" t="s">
        <v>1521</v>
      </c>
      <c r="E2921" s="10">
        <v>317745</v>
      </c>
      <c r="F2921" s="12">
        <v>2.6949999999999999E-4</v>
      </c>
    </row>
    <row r="2922" spans="1:6">
      <c r="A2922" s="10">
        <v>2019</v>
      </c>
      <c r="B2922" t="s">
        <v>109</v>
      </c>
      <c r="C2922" t="s">
        <v>1522</v>
      </c>
      <c r="D2922" t="s">
        <v>1522</v>
      </c>
      <c r="E2922" s="10">
        <v>18819</v>
      </c>
      <c r="F2922" s="12">
        <v>1.5999999999999999E-5</v>
      </c>
    </row>
    <row r="2923" spans="1:6">
      <c r="A2923" s="10">
        <v>2019</v>
      </c>
      <c r="B2923" t="s">
        <v>1140</v>
      </c>
      <c r="C2923" t="s">
        <v>1525</v>
      </c>
      <c r="D2923" t="s">
        <v>1525</v>
      </c>
      <c r="E2923" s="10">
        <v>373444</v>
      </c>
      <c r="F2923" s="12">
        <v>3.167E-4</v>
      </c>
    </row>
    <row r="2924" spans="1:6">
      <c r="A2924" s="10">
        <v>2019</v>
      </c>
      <c r="B2924" t="s">
        <v>168</v>
      </c>
      <c r="C2924" t="s">
        <v>113</v>
      </c>
      <c r="D2924" t="s">
        <v>113</v>
      </c>
      <c r="E2924" s="10">
        <v>47865</v>
      </c>
      <c r="F2924" s="12">
        <v>4.0599999999999998E-5</v>
      </c>
    </row>
    <row r="2925" spans="1:6">
      <c r="A2925" s="10">
        <v>2019</v>
      </c>
      <c r="B2925" t="s">
        <v>170</v>
      </c>
      <c r="C2925" t="s">
        <v>1526</v>
      </c>
      <c r="D2925" t="s">
        <v>1526</v>
      </c>
      <c r="E2925" s="10">
        <v>44000</v>
      </c>
      <c r="F2925" s="12">
        <v>3.7299999999999999E-5</v>
      </c>
    </row>
    <row r="2926" spans="1:6">
      <c r="A2926" s="10">
        <v>2019</v>
      </c>
      <c r="B2926" t="s">
        <v>169</v>
      </c>
      <c r="C2926" t="s">
        <v>1527</v>
      </c>
      <c r="D2926" t="s">
        <v>2350</v>
      </c>
      <c r="E2926" s="10">
        <v>109243</v>
      </c>
      <c r="F2926" s="12">
        <v>9.2700000000000004E-5</v>
      </c>
    </row>
    <row r="2927" spans="1:6">
      <c r="A2927" s="10">
        <v>2019</v>
      </c>
      <c r="B2927" t="s">
        <v>1381</v>
      </c>
      <c r="C2927" t="s">
        <v>1528</v>
      </c>
      <c r="D2927" t="s">
        <v>1528</v>
      </c>
      <c r="E2927" s="10">
        <v>7630</v>
      </c>
      <c r="F2927" s="12">
        <v>6.4999999999999996E-6</v>
      </c>
    </row>
    <row r="2928" spans="1:6">
      <c r="A2928" s="10">
        <v>2019</v>
      </c>
      <c r="B2928" t="s">
        <v>171</v>
      </c>
      <c r="C2928" t="s">
        <v>1529</v>
      </c>
      <c r="D2928" t="s">
        <v>1529</v>
      </c>
      <c r="E2928" s="10">
        <v>58391</v>
      </c>
      <c r="F2928" s="12">
        <v>4.9499999999999997E-5</v>
      </c>
    </row>
    <row r="2929" spans="1:6">
      <c r="A2929" s="10">
        <v>2019</v>
      </c>
      <c r="B2929" t="s">
        <v>1427</v>
      </c>
      <c r="C2929" t="s">
        <v>1530</v>
      </c>
      <c r="D2929" t="s">
        <v>1530</v>
      </c>
      <c r="E2929" s="10">
        <v>639749</v>
      </c>
      <c r="F2929" s="12">
        <v>5.4259999999999996E-4</v>
      </c>
    </row>
    <row r="2930" spans="1:6">
      <c r="A2930" s="10">
        <v>2019</v>
      </c>
      <c r="B2930" t="s">
        <v>172</v>
      </c>
      <c r="C2930" t="s">
        <v>117</v>
      </c>
      <c r="D2930" t="s">
        <v>117</v>
      </c>
      <c r="E2930" s="10">
        <v>1631957</v>
      </c>
      <c r="F2930" s="12">
        <v>1.3841000000000001E-3</v>
      </c>
    </row>
    <row r="2931" spans="1:6">
      <c r="A2931" s="10">
        <v>2019</v>
      </c>
      <c r="B2931" t="s">
        <v>173</v>
      </c>
      <c r="C2931" t="s">
        <v>1531</v>
      </c>
      <c r="D2931" t="s">
        <v>1531</v>
      </c>
      <c r="E2931" s="10">
        <v>162946</v>
      </c>
      <c r="F2931" s="12">
        <v>1.382E-4</v>
      </c>
    </row>
    <row r="2932" spans="1:6">
      <c r="A2932" s="10">
        <v>2019</v>
      </c>
      <c r="B2932" t="s">
        <v>174</v>
      </c>
      <c r="C2932" t="s">
        <v>119</v>
      </c>
      <c r="D2932" t="s">
        <v>119</v>
      </c>
      <c r="E2932" s="10">
        <v>94965</v>
      </c>
      <c r="F2932" s="12">
        <v>8.0500000000000005E-5</v>
      </c>
    </row>
    <row r="2933" spans="1:6">
      <c r="A2933" s="10">
        <v>2019</v>
      </c>
      <c r="B2933" t="s">
        <v>175</v>
      </c>
      <c r="C2933" t="s">
        <v>1532</v>
      </c>
      <c r="D2933" t="s">
        <v>1532</v>
      </c>
      <c r="E2933" s="10">
        <v>412405</v>
      </c>
      <c r="F2933" s="12">
        <v>3.4979999999999999E-4</v>
      </c>
    </row>
    <row r="2934" spans="1:6">
      <c r="A2934" s="10">
        <v>2019</v>
      </c>
      <c r="B2934" t="s">
        <v>176</v>
      </c>
      <c r="C2934" t="s">
        <v>1533</v>
      </c>
      <c r="D2934" t="s">
        <v>1533</v>
      </c>
      <c r="E2934" s="10">
        <v>172945</v>
      </c>
      <c r="F2934" s="12">
        <v>1.4669999999999999E-4</v>
      </c>
    </row>
    <row r="2935" spans="1:6">
      <c r="A2935" s="10">
        <v>2019</v>
      </c>
      <c r="B2935" t="s">
        <v>177</v>
      </c>
      <c r="C2935" t="s">
        <v>122</v>
      </c>
      <c r="D2935" t="s">
        <v>122</v>
      </c>
      <c r="E2935" s="10">
        <v>135242</v>
      </c>
      <c r="F2935" s="12">
        <v>1.147E-4</v>
      </c>
    </row>
    <row r="2936" spans="1:6">
      <c r="A2936" s="10">
        <v>2019</v>
      </c>
      <c r="B2936" t="s">
        <v>178</v>
      </c>
      <c r="C2936" t="s">
        <v>1534</v>
      </c>
      <c r="D2936" t="s">
        <v>1534</v>
      </c>
      <c r="E2936" s="10">
        <v>3635238</v>
      </c>
      <c r="F2936" s="12">
        <v>3.0831000000000001E-3</v>
      </c>
    </row>
    <row r="2937" spans="1:6">
      <c r="A2937" s="10">
        <v>2019</v>
      </c>
      <c r="B2937" t="s">
        <v>181</v>
      </c>
      <c r="C2937" t="s">
        <v>1535</v>
      </c>
      <c r="D2937" t="s">
        <v>1535</v>
      </c>
      <c r="E2937" s="10">
        <v>1339043</v>
      </c>
      <c r="F2937" s="12">
        <v>1.1356999999999999E-3</v>
      </c>
    </row>
    <row r="2938" spans="1:6">
      <c r="A2938" s="10">
        <v>2019</v>
      </c>
      <c r="B2938" t="s">
        <v>1382</v>
      </c>
      <c r="C2938" t="s">
        <v>1536</v>
      </c>
      <c r="D2938" t="s">
        <v>1536</v>
      </c>
      <c r="E2938" s="10">
        <v>12460338</v>
      </c>
      <c r="F2938" s="12">
        <v>1.0567699999999999E-2</v>
      </c>
    </row>
    <row r="2939" spans="1:6">
      <c r="A2939" s="10">
        <v>2019</v>
      </c>
      <c r="B2939" t="s">
        <v>182</v>
      </c>
      <c r="C2939" t="s">
        <v>1537</v>
      </c>
      <c r="D2939" t="s">
        <v>1537</v>
      </c>
      <c r="E2939" s="10">
        <v>5600784</v>
      </c>
      <c r="F2939" s="12">
        <v>4.7501000000000002E-3</v>
      </c>
    </row>
    <row r="2940" spans="1:6">
      <c r="A2940" s="10">
        <v>2019</v>
      </c>
      <c r="B2940" t="s">
        <v>183</v>
      </c>
      <c r="C2940" t="s">
        <v>1538</v>
      </c>
      <c r="D2940" t="s">
        <v>1538</v>
      </c>
      <c r="E2940" s="10">
        <v>34196344</v>
      </c>
      <c r="F2940" s="12">
        <v>2.9002199999999999E-2</v>
      </c>
    </row>
    <row r="2941" spans="1:6">
      <c r="A2941" s="10">
        <v>2019</v>
      </c>
      <c r="B2941" t="s">
        <v>184</v>
      </c>
      <c r="C2941" t="s">
        <v>1539</v>
      </c>
      <c r="D2941" t="s">
        <v>1539</v>
      </c>
      <c r="E2941" s="10">
        <v>3175508</v>
      </c>
      <c r="F2941" s="12">
        <v>2.6932000000000002E-3</v>
      </c>
    </row>
    <row r="2942" spans="1:6">
      <c r="A2942" s="10">
        <v>2019</v>
      </c>
      <c r="B2942" t="s">
        <v>185</v>
      </c>
      <c r="C2942" t="s">
        <v>1540</v>
      </c>
      <c r="D2942" t="s">
        <v>2351</v>
      </c>
      <c r="E2942" s="10">
        <v>1809557</v>
      </c>
      <c r="F2942" s="12">
        <v>1.5347E-3</v>
      </c>
    </row>
    <row r="2943" spans="1:6">
      <c r="A2943" s="10">
        <v>2019</v>
      </c>
      <c r="B2943" t="s">
        <v>186</v>
      </c>
      <c r="C2943" t="s">
        <v>1541</v>
      </c>
      <c r="D2943" t="s">
        <v>1541</v>
      </c>
      <c r="E2943" s="10">
        <v>2964141</v>
      </c>
      <c r="F2943" s="12">
        <v>2.5138999999999999E-3</v>
      </c>
    </row>
    <row r="2944" spans="1:6">
      <c r="A2944" s="10">
        <v>2019</v>
      </c>
      <c r="B2944" t="s">
        <v>89</v>
      </c>
      <c r="C2944" t="s">
        <v>36</v>
      </c>
      <c r="D2944" t="s">
        <v>1542</v>
      </c>
      <c r="E2944" s="10"/>
    </row>
    <row r="2945" spans="1:6">
      <c r="A2945" s="10">
        <v>2019</v>
      </c>
      <c r="B2945" t="s">
        <v>187</v>
      </c>
      <c r="C2945" t="s">
        <v>1542</v>
      </c>
      <c r="D2945" t="s">
        <v>1542</v>
      </c>
      <c r="E2945" s="10">
        <v>334596</v>
      </c>
      <c r="F2945" s="12">
        <v>2.8380000000000001E-4</v>
      </c>
    </row>
    <row r="2946" spans="1:6">
      <c r="A2946" s="10">
        <v>2019</v>
      </c>
      <c r="B2946" t="s">
        <v>180</v>
      </c>
      <c r="C2946" t="s">
        <v>1543</v>
      </c>
      <c r="D2946" t="s">
        <v>2352</v>
      </c>
      <c r="E2946" s="10"/>
    </row>
    <row r="2947" spans="1:6">
      <c r="A2947" s="10">
        <v>2019</v>
      </c>
      <c r="B2947" t="s">
        <v>189</v>
      </c>
      <c r="C2947" t="s">
        <v>1544</v>
      </c>
      <c r="D2947" t="s">
        <v>1544</v>
      </c>
      <c r="E2947" s="10">
        <v>687114</v>
      </c>
      <c r="F2947" s="12">
        <v>5.8270000000000001E-4</v>
      </c>
    </row>
    <row r="2948" spans="1:6">
      <c r="A2948" s="10">
        <v>2019</v>
      </c>
      <c r="B2948" t="s">
        <v>179</v>
      </c>
      <c r="C2948" t="s">
        <v>1545</v>
      </c>
      <c r="D2948" t="s">
        <v>1545</v>
      </c>
      <c r="E2948" s="10"/>
    </row>
    <row r="2949" spans="1:6">
      <c r="A2949" s="10">
        <v>2019</v>
      </c>
      <c r="B2949" t="s">
        <v>190</v>
      </c>
      <c r="C2949" t="s">
        <v>1546</v>
      </c>
      <c r="D2949" t="s">
        <v>1546</v>
      </c>
      <c r="E2949" s="10">
        <v>8168891</v>
      </c>
      <c r="F2949" s="12">
        <v>6.9281000000000004E-3</v>
      </c>
    </row>
    <row r="2950" spans="1:6">
      <c r="A2950" s="10">
        <v>2019</v>
      </c>
      <c r="B2950" t="s">
        <v>191</v>
      </c>
      <c r="C2950" t="s">
        <v>1547</v>
      </c>
      <c r="D2950" t="s">
        <v>1547</v>
      </c>
      <c r="E2950" s="10">
        <v>90455</v>
      </c>
      <c r="F2950" s="12">
        <v>7.6699999999999994E-5</v>
      </c>
    </row>
    <row r="2951" spans="1:6">
      <c r="A2951" s="10">
        <v>2019</v>
      </c>
      <c r="B2951" t="s">
        <v>192</v>
      </c>
      <c r="C2951" t="s">
        <v>1548</v>
      </c>
      <c r="D2951" t="s">
        <v>1548</v>
      </c>
      <c r="E2951" s="10">
        <v>456447</v>
      </c>
      <c r="F2951" s="12">
        <v>3.8709999999999998E-4</v>
      </c>
    </row>
    <row r="2952" spans="1:6">
      <c r="A2952" s="10">
        <v>2019</v>
      </c>
      <c r="B2952" t="s">
        <v>193</v>
      </c>
      <c r="C2952" t="s">
        <v>1549</v>
      </c>
      <c r="D2952" t="s">
        <v>1549</v>
      </c>
      <c r="E2952" s="10">
        <v>489910</v>
      </c>
      <c r="F2952" s="12">
        <v>4.1550000000000002E-4</v>
      </c>
    </row>
    <row r="2953" spans="1:6">
      <c r="A2953" s="10">
        <v>2019</v>
      </c>
      <c r="B2953" t="s">
        <v>194</v>
      </c>
      <c r="C2953" t="s">
        <v>1550</v>
      </c>
      <c r="D2953" t="s">
        <v>1550</v>
      </c>
      <c r="E2953" s="10">
        <v>476004</v>
      </c>
      <c r="F2953" s="12">
        <v>4.037E-4</v>
      </c>
    </row>
    <row r="2954" spans="1:6">
      <c r="A2954" s="10">
        <v>2019</v>
      </c>
      <c r="B2954" t="s">
        <v>196</v>
      </c>
      <c r="C2954" t="s">
        <v>1551</v>
      </c>
      <c r="D2954" t="s">
        <v>2353</v>
      </c>
      <c r="E2954" s="10">
        <v>127596</v>
      </c>
      <c r="F2954" s="12">
        <v>1.082E-4</v>
      </c>
    </row>
    <row r="2955" spans="1:6">
      <c r="A2955" s="10">
        <v>2019</v>
      </c>
      <c r="B2955" t="s">
        <v>197</v>
      </c>
      <c r="C2955" t="s">
        <v>1552</v>
      </c>
      <c r="D2955" t="s">
        <v>1552</v>
      </c>
      <c r="E2955" s="10">
        <v>4833697</v>
      </c>
      <c r="F2955" s="12">
        <v>4.0994999999999998E-3</v>
      </c>
    </row>
    <row r="2956" spans="1:6">
      <c r="A2956" s="10">
        <v>2019</v>
      </c>
      <c r="B2956" t="s">
        <v>198</v>
      </c>
      <c r="C2956" t="s">
        <v>1553</v>
      </c>
      <c r="D2956" t="s">
        <v>1553</v>
      </c>
      <c r="E2956" s="10">
        <v>141584</v>
      </c>
      <c r="F2956" s="12">
        <v>1.2010000000000001E-4</v>
      </c>
    </row>
    <row r="2957" spans="1:6">
      <c r="A2957" s="10">
        <v>2019</v>
      </c>
      <c r="B2957" t="s">
        <v>199</v>
      </c>
      <c r="C2957" t="s">
        <v>1554</v>
      </c>
      <c r="D2957" t="s">
        <v>1554</v>
      </c>
      <c r="E2957" s="10">
        <v>3071445</v>
      </c>
      <c r="F2957" s="12">
        <v>2.6048999999999998E-3</v>
      </c>
    </row>
    <row r="2958" spans="1:6">
      <c r="A2958" s="10">
        <v>2019</v>
      </c>
      <c r="B2958" t="s">
        <v>200</v>
      </c>
      <c r="C2958" t="s">
        <v>1555</v>
      </c>
      <c r="D2958" t="s">
        <v>1555</v>
      </c>
      <c r="E2958" s="10">
        <v>19988863</v>
      </c>
      <c r="F2958" s="12">
        <v>1.6952700000000001E-2</v>
      </c>
    </row>
    <row r="2959" spans="1:6">
      <c r="A2959" s="10">
        <v>2019</v>
      </c>
      <c r="B2959" t="s">
        <v>201</v>
      </c>
      <c r="C2959" t="s">
        <v>1556</v>
      </c>
      <c r="D2959" t="s">
        <v>1556</v>
      </c>
      <c r="E2959" s="10">
        <v>1882697</v>
      </c>
      <c r="F2959" s="12">
        <v>1.5966999999999999E-3</v>
      </c>
    </row>
    <row r="2960" spans="1:6">
      <c r="A2960" s="10">
        <v>2019</v>
      </c>
      <c r="B2960" t="s">
        <v>202</v>
      </c>
      <c r="C2960" t="s">
        <v>1557</v>
      </c>
      <c r="D2960" t="s">
        <v>1557</v>
      </c>
      <c r="E2960" s="10">
        <v>983611</v>
      </c>
      <c r="F2960" s="12">
        <v>8.342E-4</v>
      </c>
    </row>
    <row r="2961" spans="1:6">
      <c r="A2961" s="10">
        <v>2019</v>
      </c>
      <c r="B2961" t="s">
        <v>203</v>
      </c>
      <c r="C2961" t="s">
        <v>1558</v>
      </c>
      <c r="D2961" t="s">
        <v>1558</v>
      </c>
      <c r="E2961" s="10"/>
    </row>
    <row r="2962" spans="1:6">
      <c r="A2962" s="10">
        <v>2019</v>
      </c>
      <c r="B2962" t="s">
        <v>204</v>
      </c>
      <c r="C2962" t="s">
        <v>1559</v>
      </c>
      <c r="D2962" t="s">
        <v>1559</v>
      </c>
      <c r="E2962" s="10">
        <v>1001236</v>
      </c>
      <c r="F2962" s="12">
        <v>8.4920000000000004E-4</v>
      </c>
    </row>
    <row r="2963" spans="1:6">
      <c r="A2963" s="10">
        <v>2019</v>
      </c>
      <c r="B2963" t="s">
        <v>205</v>
      </c>
      <c r="C2963" t="s">
        <v>150</v>
      </c>
      <c r="D2963" t="s">
        <v>150</v>
      </c>
      <c r="E2963" s="10">
        <v>230696</v>
      </c>
      <c r="F2963" s="12">
        <v>1.9570000000000001E-4</v>
      </c>
    </row>
    <row r="2964" spans="1:6">
      <c r="A2964" s="10">
        <v>2019</v>
      </c>
      <c r="B2964" t="s">
        <v>1563</v>
      </c>
      <c r="C2964" t="s">
        <v>1560</v>
      </c>
      <c r="D2964" t="s">
        <v>1560</v>
      </c>
      <c r="E2964" s="10">
        <v>94775</v>
      </c>
      <c r="F2964" s="12">
        <v>8.0400000000000003E-5</v>
      </c>
    </row>
    <row r="2965" spans="1:6">
      <c r="A2965" s="10">
        <v>2019</v>
      </c>
      <c r="B2965" t="s">
        <v>2088</v>
      </c>
      <c r="C2965" t="s">
        <v>2086</v>
      </c>
      <c r="D2965" t="s">
        <v>2086</v>
      </c>
      <c r="E2965" s="10">
        <v>409910</v>
      </c>
      <c r="F2965" s="12">
        <v>3.4759999999999999E-4</v>
      </c>
    </row>
    <row r="2966" spans="1:6">
      <c r="A2966" s="10">
        <v>2019</v>
      </c>
      <c r="B2966" t="s">
        <v>188</v>
      </c>
      <c r="C2966" t="s">
        <v>1561</v>
      </c>
      <c r="D2966" t="s">
        <v>1561</v>
      </c>
      <c r="E2966" s="10">
        <v>2706306</v>
      </c>
      <c r="F2966" s="12">
        <v>2.2951999999999998E-3</v>
      </c>
    </row>
    <row r="2967" spans="1:6">
      <c r="A2967" s="10">
        <v>2019</v>
      </c>
      <c r="B2967" t="s">
        <v>206</v>
      </c>
      <c r="C2967" t="s">
        <v>1562</v>
      </c>
      <c r="D2967" t="s">
        <v>1562</v>
      </c>
      <c r="E2967" s="10"/>
    </row>
    <row r="2968" spans="1:6">
      <c r="A2968" s="10">
        <v>2019</v>
      </c>
      <c r="B2968" t="s">
        <v>207</v>
      </c>
      <c r="C2968" t="s">
        <v>152</v>
      </c>
      <c r="D2968" t="s">
        <v>152</v>
      </c>
      <c r="E2968" s="10">
        <v>809439</v>
      </c>
      <c r="F2968" s="12">
        <v>6.8650000000000004E-4</v>
      </c>
    </row>
    <row r="2969" spans="1:6">
      <c r="A2969" s="10">
        <v>2019</v>
      </c>
      <c r="B2969" t="s">
        <v>57</v>
      </c>
      <c r="C2969" t="s">
        <v>1564</v>
      </c>
      <c r="D2969" t="s">
        <v>1564</v>
      </c>
      <c r="E2969" s="10">
        <v>6164988</v>
      </c>
      <c r="F2969" s="12">
        <v>5.2285999999999999E-3</v>
      </c>
    </row>
    <row r="2970" spans="1:6">
      <c r="A2970" s="10">
        <v>2019</v>
      </c>
      <c r="B2970" t="s">
        <v>208</v>
      </c>
      <c r="C2970" t="s">
        <v>153</v>
      </c>
      <c r="D2970" t="s">
        <v>153</v>
      </c>
      <c r="E2970" s="10"/>
    </row>
    <row r="2971" spans="1:6">
      <c r="A2971" s="10">
        <v>2019</v>
      </c>
      <c r="B2971" t="s">
        <v>209</v>
      </c>
      <c r="C2971" t="s">
        <v>154</v>
      </c>
      <c r="D2971" t="s">
        <v>154</v>
      </c>
      <c r="E2971" s="10">
        <v>170465</v>
      </c>
      <c r="F2971" s="12">
        <v>1.4459999999999999E-4</v>
      </c>
    </row>
    <row r="2972" spans="1:6">
      <c r="A2972" s="10">
        <v>2019</v>
      </c>
      <c r="B2972" t="s">
        <v>211</v>
      </c>
      <c r="C2972" t="s">
        <v>1565</v>
      </c>
      <c r="D2972" t="s">
        <v>1565</v>
      </c>
      <c r="E2972" s="10">
        <v>781103</v>
      </c>
      <c r="F2972" s="12">
        <v>6.625E-4</v>
      </c>
    </row>
    <row r="2973" spans="1:6">
      <c r="A2973" s="10">
        <v>2019</v>
      </c>
      <c r="B2973" t="s">
        <v>212</v>
      </c>
      <c r="C2973" t="s">
        <v>1566</v>
      </c>
      <c r="D2973" t="s">
        <v>1566</v>
      </c>
      <c r="E2973" s="10"/>
    </row>
    <row r="2974" spans="1:6">
      <c r="A2974" s="10">
        <v>2019</v>
      </c>
      <c r="B2974" t="s">
        <v>213</v>
      </c>
      <c r="C2974" t="s">
        <v>158</v>
      </c>
      <c r="D2974" t="s">
        <v>158</v>
      </c>
      <c r="E2974" s="10">
        <v>1068797</v>
      </c>
      <c r="F2974" s="12">
        <v>9.0649999999999997E-4</v>
      </c>
    </row>
    <row r="2975" spans="1:6">
      <c r="A2975" s="10">
        <v>2019</v>
      </c>
      <c r="B2975" t="s">
        <v>1597</v>
      </c>
      <c r="C2975" t="s">
        <v>1567</v>
      </c>
      <c r="D2975" t="s">
        <v>1567</v>
      </c>
      <c r="E2975" s="10">
        <v>11180</v>
      </c>
      <c r="F2975" s="12">
        <v>9.5000000000000005E-6</v>
      </c>
    </row>
    <row r="2976" spans="1:6">
      <c r="A2976" s="10">
        <v>2019</v>
      </c>
      <c r="B2976" t="s">
        <v>214</v>
      </c>
      <c r="C2976" t="s">
        <v>159</v>
      </c>
      <c r="D2976" t="s">
        <v>159</v>
      </c>
      <c r="E2976" s="10">
        <v>184480</v>
      </c>
      <c r="F2976" s="12">
        <v>1.5650000000000001E-4</v>
      </c>
    </row>
    <row r="2977" spans="1:6">
      <c r="A2977" s="10">
        <v>2019</v>
      </c>
      <c r="B2977" t="s">
        <v>215</v>
      </c>
      <c r="C2977" t="s">
        <v>1568</v>
      </c>
      <c r="D2977" t="s">
        <v>1568</v>
      </c>
      <c r="E2977" s="10">
        <v>176532</v>
      </c>
      <c r="F2977" s="12">
        <v>1.4970000000000001E-4</v>
      </c>
    </row>
    <row r="2978" spans="1:6">
      <c r="A2978" s="10">
        <v>2019</v>
      </c>
      <c r="B2978" t="s">
        <v>217</v>
      </c>
      <c r="C2978" t="s">
        <v>162</v>
      </c>
      <c r="D2978" t="s">
        <v>162</v>
      </c>
      <c r="E2978" s="10">
        <v>383891</v>
      </c>
      <c r="F2978" s="12">
        <v>3.256E-4</v>
      </c>
    </row>
    <row r="2979" spans="1:6">
      <c r="A2979" s="10">
        <v>2019</v>
      </c>
      <c r="B2979" t="s">
        <v>219</v>
      </c>
      <c r="C2979" t="s">
        <v>164</v>
      </c>
      <c r="D2979" t="s">
        <v>164</v>
      </c>
      <c r="E2979" s="10">
        <v>308009</v>
      </c>
      <c r="F2979" s="12">
        <v>2.6120000000000001E-4</v>
      </c>
    </row>
    <row r="2980" spans="1:6">
      <c r="A2980" s="10">
        <v>2019</v>
      </c>
      <c r="B2980" t="s">
        <v>73</v>
      </c>
      <c r="C2980" t="s">
        <v>2354</v>
      </c>
      <c r="D2980" t="s">
        <v>2354</v>
      </c>
      <c r="E2980" s="10">
        <v>219254</v>
      </c>
      <c r="F2980" s="12">
        <v>1.8599999999999999E-4</v>
      </c>
    </row>
    <row r="2981" spans="1:6">
      <c r="A2981" s="10">
        <v>2019</v>
      </c>
      <c r="B2981" t="s">
        <v>220</v>
      </c>
      <c r="C2981" t="s">
        <v>1571</v>
      </c>
      <c r="D2981" t="s">
        <v>1571</v>
      </c>
      <c r="E2981" s="10">
        <v>69496</v>
      </c>
      <c r="F2981" s="12">
        <v>5.8900000000000002E-5</v>
      </c>
    </row>
    <row r="2982" spans="1:6">
      <c r="A2982" s="10">
        <v>2019</v>
      </c>
      <c r="B2982" t="s">
        <v>1387</v>
      </c>
      <c r="C2982" t="s">
        <v>1572</v>
      </c>
      <c r="D2982" t="s">
        <v>1572</v>
      </c>
      <c r="E2982" s="10">
        <v>7166</v>
      </c>
      <c r="F2982" s="12">
        <v>6.1E-6</v>
      </c>
    </row>
    <row r="2983" spans="1:6">
      <c r="A2983" s="10">
        <v>2019</v>
      </c>
      <c r="B2983" t="s">
        <v>1388</v>
      </c>
      <c r="C2983" t="s">
        <v>1573</v>
      </c>
      <c r="D2983" t="s">
        <v>2355</v>
      </c>
      <c r="E2983" s="10">
        <v>7913</v>
      </c>
      <c r="F2983" s="12">
        <v>6.7000000000000002E-6</v>
      </c>
    </row>
    <row r="2984" spans="1:6">
      <c r="A2984" s="10">
        <v>2019</v>
      </c>
      <c r="B2984" t="s">
        <v>1389</v>
      </c>
      <c r="C2984" t="s">
        <v>1574</v>
      </c>
      <c r="D2984" t="s">
        <v>1574</v>
      </c>
      <c r="E2984" s="10">
        <v>89907</v>
      </c>
      <c r="F2984" s="12">
        <v>7.6299999999999998E-5</v>
      </c>
    </row>
    <row r="2985" spans="1:6">
      <c r="A2985" s="10">
        <v>2019</v>
      </c>
      <c r="B2985" t="s">
        <v>1598</v>
      </c>
      <c r="C2985" t="s">
        <v>1575</v>
      </c>
      <c r="D2985" t="s">
        <v>1575</v>
      </c>
      <c r="E2985" s="10">
        <v>191075</v>
      </c>
      <c r="F2985" s="12">
        <v>1.6210000000000001E-4</v>
      </c>
    </row>
    <row r="2986" spans="1:6">
      <c r="A2986" s="10">
        <v>2019</v>
      </c>
      <c r="B2986" t="s">
        <v>1392</v>
      </c>
      <c r="C2986" t="s">
        <v>1577</v>
      </c>
      <c r="D2986" t="s">
        <v>1577</v>
      </c>
      <c r="E2986" s="10"/>
    </row>
    <row r="2987" spans="1:6">
      <c r="A2987" s="10">
        <v>2019</v>
      </c>
      <c r="B2987" t="s">
        <v>1390</v>
      </c>
      <c r="C2987" t="s">
        <v>1578</v>
      </c>
      <c r="D2987" t="s">
        <v>1578</v>
      </c>
      <c r="E2987" s="10">
        <v>1515971</v>
      </c>
      <c r="F2987" s="12">
        <v>1.2857000000000001E-3</v>
      </c>
    </row>
    <row r="2988" spans="1:6">
      <c r="A2988" s="10">
        <v>2019</v>
      </c>
      <c r="B2988" t="s">
        <v>1393</v>
      </c>
      <c r="C2988" t="s">
        <v>1579</v>
      </c>
      <c r="D2988" t="s">
        <v>1579</v>
      </c>
      <c r="E2988" s="10">
        <v>198319</v>
      </c>
      <c r="F2988" s="12">
        <v>1.682E-4</v>
      </c>
    </row>
    <row r="2989" spans="1:6">
      <c r="A2989" s="10">
        <v>2019</v>
      </c>
      <c r="B2989" t="s">
        <v>1395</v>
      </c>
      <c r="C2989" t="s">
        <v>230</v>
      </c>
      <c r="D2989" t="s">
        <v>230</v>
      </c>
      <c r="E2989" s="10">
        <v>356713</v>
      </c>
      <c r="F2989" s="12">
        <v>3.0249999999999998E-4</v>
      </c>
    </row>
    <row r="2990" spans="1:6">
      <c r="A2990" s="10">
        <v>2019</v>
      </c>
      <c r="B2990" t="s">
        <v>1396</v>
      </c>
      <c r="C2990" t="s">
        <v>231</v>
      </c>
      <c r="D2990" t="s">
        <v>231</v>
      </c>
      <c r="E2990" s="10">
        <v>76306</v>
      </c>
      <c r="F2990" s="12">
        <v>6.4700000000000001E-5</v>
      </c>
    </row>
    <row r="2991" spans="1:6">
      <c r="A2991" s="10">
        <v>2019</v>
      </c>
      <c r="B2991" t="s">
        <v>1398</v>
      </c>
      <c r="C2991" t="s">
        <v>1580</v>
      </c>
      <c r="D2991" t="s">
        <v>1580</v>
      </c>
      <c r="E2991" s="10">
        <v>38529</v>
      </c>
      <c r="F2991" s="12">
        <v>3.2700000000000002E-5</v>
      </c>
    </row>
    <row r="2992" spans="1:6">
      <c r="A2992" s="10">
        <v>2019</v>
      </c>
      <c r="B2992" t="s">
        <v>1399</v>
      </c>
      <c r="C2992" t="s">
        <v>234</v>
      </c>
      <c r="D2992" t="s">
        <v>234</v>
      </c>
      <c r="E2992" s="10"/>
    </row>
    <row r="2993" spans="1:6">
      <c r="A2993" s="10">
        <v>2019</v>
      </c>
      <c r="B2993" t="s">
        <v>1400</v>
      </c>
      <c r="C2993" t="s">
        <v>1581</v>
      </c>
      <c r="D2993" t="s">
        <v>1581</v>
      </c>
      <c r="E2993" s="10">
        <v>540082</v>
      </c>
      <c r="F2993" s="12">
        <v>4.5800000000000002E-4</v>
      </c>
    </row>
    <row r="2994" spans="1:6">
      <c r="A2994" s="10">
        <v>2019</v>
      </c>
      <c r="B2994" t="s">
        <v>1401</v>
      </c>
      <c r="C2994" t="s">
        <v>1582</v>
      </c>
      <c r="D2994" t="s">
        <v>1582</v>
      </c>
      <c r="E2994" s="10">
        <v>61914</v>
      </c>
      <c r="F2994" s="12">
        <v>5.2500000000000002E-5</v>
      </c>
    </row>
    <row r="2995" spans="1:6">
      <c r="A2995" s="10">
        <v>2019</v>
      </c>
      <c r="B2995" t="s">
        <v>1402</v>
      </c>
      <c r="C2995" t="s">
        <v>237</v>
      </c>
      <c r="D2995" t="s">
        <v>237</v>
      </c>
      <c r="E2995" s="10">
        <v>102214</v>
      </c>
      <c r="F2995" s="12">
        <v>8.6700000000000007E-5</v>
      </c>
    </row>
    <row r="2996" spans="1:6">
      <c r="A2996" s="10">
        <v>2019</v>
      </c>
      <c r="B2996" t="s">
        <v>1403</v>
      </c>
      <c r="C2996" t="s">
        <v>1584</v>
      </c>
      <c r="D2996" t="s">
        <v>1584</v>
      </c>
      <c r="E2996" s="10">
        <v>452175</v>
      </c>
      <c r="F2996" s="12">
        <v>3.835E-4</v>
      </c>
    </row>
    <row r="2997" spans="1:6">
      <c r="A2997" s="10">
        <v>2019</v>
      </c>
      <c r="B2997" t="s">
        <v>1404</v>
      </c>
      <c r="C2997" t="s">
        <v>1585</v>
      </c>
      <c r="D2997" t="s">
        <v>1585</v>
      </c>
      <c r="E2997" s="10">
        <v>647139</v>
      </c>
      <c r="F2997" s="12">
        <v>5.488E-4</v>
      </c>
    </row>
    <row r="2998" spans="1:6">
      <c r="A2998" s="10">
        <v>2019</v>
      </c>
      <c r="B2998" t="s">
        <v>1405</v>
      </c>
      <c r="C2998" t="s">
        <v>1586</v>
      </c>
      <c r="D2998" t="s">
        <v>1586</v>
      </c>
      <c r="E2998" s="10">
        <v>59957</v>
      </c>
      <c r="F2998" s="12">
        <v>5.0899999999999997E-5</v>
      </c>
    </row>
    <row r="2999" spans="1:6">
      <c r="A2999" s="10">
        <v>2019</v>
      </c>
      <c r="B2999" t="s">
        <v>1406</v>
      </c>
      <c r="C2999" t="s">
        <v>1587</v>
      </c>
      <c r="D2999" t="s">
        <v>1587</v>
      </c>
      <c r="E2999" s="10">
        <v>66503</v>
      </c>
      <c r="F2999" s="12">
        <v>5.6400000000000002E-5</v>
      </c>
    </row>
    <row r="3000" spans="1:6">
      <c r="A3000" s="10">
        <v>2019</v>
      </c>
      <c r="B3000" t="s">
        <v>1397</v>
      </c>
      <c r="C3000" t="s">
        <v>2356</v>
      </c>
      <c r="D3000" t="s">
        <v>2356</v>
      </c>
      <c r="E3000" s="10">
        <v>40373</v>
      </c>
      <c r="F3000" s="12">
        <v>3.4199999999999998E-5</v>
      </c>
    </row>
    <row r="3001" spans="1:6">
      <c r="A3001" s="10">
        <v>2019</v>
      </c>
      <c r="B3001" t="s">
        <v>88</v>
      </c>
      <c r="C3001" t="s">
        <v>1589</v>
      </c>
      <c r="D3001" t="s">
        <v>1589</v>
      </c>
      <c r="E3001" s="10">
        <v>74273</v>
      </c>
      <c r="F3001" s="12">
        <v>6.3E-5</v>
      </c>
    </row>
    <row r="3002" spans="1:6">
      <c r="A3002" s="10">
        <v>2019</v>
      </c>
      <c r="B3002" t="s">
        <v>90</v>
      </c>
      <c r="C3002" t="s">
        <v>1590</v>
      </c>
      <c r="D3002" t="s">
        <v>1590</v>
      </c>
      <c r="E3002" s="10">
        <v>20876</v>
      </c>
      <c r="F3002" s="12">
        <v>1.77E-5</v>
      </c>
    </row>
    <row r="3003" spans="1:6">
      <c r="A3003" s="10">
        <v>2019</v>
      </c>
      <c r="B3003" t="s">
        <v>87</v>
      </c>
      <c r="C3003" t="s">
        <v>2357</v>
      </c>
      <c r="D3003" t="s">
        <v>2357</v>
      </c>
      <c r="E3003" s="10">
        <v>76914</v>
      </c>
      <c r="F3003" s="12">
        <v>6.5199999999999999E-5</v>
      </c>
    </row>
    <row r="3004" spans="1:6">
      <c r="A3004" s="10">
        <v>2019</v>
      </c>
      <c r="B3004" t="s">
        <v>92</v>
      </c>
      <c r="C3004" t="s">
        <v>2419</v>
      </c>
      <c r="D3004" t="s">
        <v>1592</v>
      </c>
      <c r="E3004" s="10">
        <v>79500</v>
      </c>
      <c r="F3004" s="12">
        <v>6.7399999999999998E-5</v>
      </c>
    </row>
    <row r="3005" spans="1:6">
      <c r="A3005" s="10">
        <v>2019</v>
      </c>
      <c r="B3005" t="s">
        <v>93</v>
      </c>
      <c r="C3005" t="s">
        <v>1593</v>
      </c>
      <c r="D3005" t="s">
        <v>1593</v>
      </c>
      <c r="E3005" s="10">
        <v>43782</v>
      </c>
      <c r="F3005" s="12">
        <v>3.7100000000000001E-5</v>
      </c>
    </row>
    <row r="3006" spans="1:6">
      <c r="A3006" s="10">
        <v>2019</v>
      </c>
      <c r="B3006" t="s">
        <v>94</v>
      </c>
      <c r="C3006" t="s">
        <v>2420</v>
      </c>
      <c r="D3006" t="s">
        <v>1594</v>
      </c>
      <c r="E3006" s="10">
        <v>8385</v>
      </c>
      <c r="F3006" s="12">
        <v>7.0999999999999998E-6</v>
      </c>
    </row>
    <row r="3007" spans="1:6">
      <c r="A3007" s="10">
        <v>2019</v>
      </c>
      <c r="B3007" t="s">
        <v>95</v>
      </c>
      <c r="C3007" t="s">
        <v>1595</v>
      </c>
      <c r="D3007" t="s">
        <v>1595</v>
      </c>
      <c r="E3007" s="10">
        <v>38868</v>
      </c>
      <c r="F3007" s="12">
        <v>3.3000000000000003E-5</v>
      </c>
    </row>
    <row r="3008" spans="1:6">
      <c r="A3008" s="10">
        <v>2019</v>
      </c>
      <c r="B3008" t="s">
        <v>100</v>
      </c>
      <c r="C3008" t="s">
        <v>1596</v>
      </c>
      <c r="D3008" t="s">
        <v>1596</v>
      </c>
      <c r="E3008" s="10">
        <v>25072</v>
      </c>
      <c r="F3008" s="12">
        <v>2.1299999999999999E-5</v>
      </c>
    </row>
    <row r="3009" spans="1:6">
      <c r="A3009" s="10">
        <v>2019</v>
      </c>
      <c r="B3009" t="s">
        <v>101</v>
      </c>
      <c r="C3009" t="s">
        <v>1599</v>
      </c>
      <c r="D3009" t="s">
        <v>1599</v>
      </c>
      <c r="E3009" s="10">
        <v>344982</v>
      </c>
      <c r="F3009" s="12">
        <v>2.9260000000000001E-4</v>
      </c>
    </row>
    <row r="3010" spans="1:6">
      <c r="A3010" s="10">
        <v>2019</v>
      </c>
      <c r="B3010" t="s">
        <v>103</v>
      </c>
      <c r="C3010" t="s">
        <v>2421</v>
      </c>
      <c r="D3010" t="s">
        <v>1600</v>
      </c>
      <c r="E3010" s="10">
        <v>13847</v>
      </c>
      <c r="F3010" s="12">
        <v>1.17E-5</v>
      </c>
    </row>
    <row r="3011" spans="1:6">
      <c r="A3011" s="10">
        <v>2019</v>
      </c>
      <c r="B3011" t="s">
        <v>105</v>
      </c>
      <c r="C3011" t="s">
        <v>1601</v>
      </c>
      <c r="D3011" t="s">
        <v>1601</v>
      </c>
      <c r="E3011" s="10">
        <v>167238</v>
      </c>
      <c r="F3011" s="12">
        <v>1.418E-4</v>
      </c>
    </row>
    <row r="3012" spans="1:6">
      <c r="A3012" s="10">
        <v>2019</v>
      </c>
      <c r="B3012" t="s">
        <v>166</v>
      </c>
      <c r="C3012" t="s">
        <v>1602</v>
      </c>
      <c r="D3012" t="s">
        <v>1602</v>
      </c>
      <c r="E3012" s="10">
        <v>20345</v>
      </c>
      <c r="F3012" s="12">
        <v>1.73E-5</v>
      </c>
    </row>
    <row r="3013" spans="1:6">
      <c r="A3013" s="10">
        <v>2019</v>
      </c>
      <c r="B3013" t="s">
        <v>86</v>
      </c>
      <c r="C3013" t="s">
        <v>1603</v>
      </c>
      <c r="D3013" t="s">
        <v>1603</v>
      </c>
      <c r="E3013" s="10">
        <v>18234</v>
      </c>
      <c r="F3013" s="12">
        <v>1.5500000000000001E-5</v>
      </c>
    </row>
    <row r="3014" spans="1:6">
      <c r="A3014" s="10">
        <v>2019</v>
      </c>
      <c r="B3014" t="s">
        <v>110</v>
      </c>
      <c r="C3014" t="s">
        <v>1604</v>
      </c>
      <c r="D3014" t="s">
        <v>1604</v>
      </c>
      <c r="E3014" s="10">
        <v>107276</v>
      </c>
      <c r="F3014" s="12">
        <v>9.1000000000000003E-5</v>
      </c>
    </row>
    <row r="3015" spans="1:6">
      <c r="A3015" s="10">
        <v>2019</v>
      </c>
      <c r="B3015" t="s">
        <v>1409</v>
      </c>
      <c r="C3015" t="s">
        <v>1605</v>
      </c>
      <c r="D3015" t="s">
        <v>1605</v>
      </c>
      <c r="E3015" s="10">
        <v>777787</v>
      </c>
      <c r="F3015" s="12">
        <v>6.5959999999999999E-4</v>
      </c>
    </row>
    <row r="3016" spans="1:6">
      <c r="A3016" s="10">
        <v>2019</v>
      </c>
      <c r="B3016" t="s">
        <v>195</v>
      </c>
      <c r="C3016" t="s">
        <v>1606</v>
      </c>
      <c r="D3016" t="s">
        <v>1606</v>
      </c>
      <c r="E3016" s="10">
        <v>664996</v>
      </c>
      <c r="F3016" s="12">
        <v>5.6400000000000005E-4</v>
      </c>
    </row>
    <row r="3017" spans="1:6">
      <c r="A3017" s="10">
        <v>2019</v>
      </c>
      <c r="B3017" t="s">
        <v>218</v>
      </c>
      <c r="C3017" t="s">
        <v>1607</v>
      </c>
      <c r="D3017" t="s">
        <v>1607</v>
      </c>
      <c r="E3017" s="10">
        <v>458172</v>
      </c>
      <c r="F3017" s="12">
        <v>3.8860000000000001E-4</v>
      </c>
    </row>
    <row r="3018" spans="1:6">
      <c r="A3018" s="10">
        <v>2019</v>
      </c>
      <c r="B3018" t="s">
        <v>1410</v>
      </c>
      <c r="C3018" t="s">
        <v>243</v>
      </c>
      <c r="D3018" t="s">
        <v>243</v>
      </c>
      <c r="E3018" s="10">
        <v>73582</v>
      </c>
      <c r="F3018" s="12">
        <v>6.2399999999999999E-5</v>
      </c>
    </row>
    <row r="3019" spans="1:6">
      <c r="A3019" s="10">
        <v>2019</v>
      </c>
      <c r="B3019" t="s">
        <v>1411</v>
      </c>
      <c r="C3019" t="s">
        <v>244</v>
      </c>
      <c r="D3019" t="s">
        <v>244</v>
      </c>
      <c r="E3019" s="10">
        <v>895749</v>
      </c>
      <c r="F3019" s="12">
        <v>7.5969999999999998E-4</v>
      </c>
    </row>
    <row r="3020" spans="1:6">
      <c r="A3020" s="10">
        <v>2019</v>
      </c>
      <c r="B3020" t="s">
        <v>1394</v>
      </c>
      <c r="C3020" t="s">
        <v>1608</v>
      </c>
      <c r="D3020" t="s">
        <v>1608</v>
      </c>
      <c r="E3020" s="10">
        <v>6118</v>
      </c>
      <c r="F3020" s="12">
        <v>5.2000000000000002E-6</v>
      </c>
    </row>
    <row r="3021" spans="1:6">
      <c r="A3021" s="10">
        <v>2019</v>
      </c>
      <c r="B3021" t="s">
        <v>1412</v>
      </c>
      <c r="C3021" t="s">
        <v>1609</v>
      </c>
      <c r="D3021" t="s">
        <v>1609</v>
      </c>
      <c r="E3021" s="10">
        <v>3180332</v>
      </c>
      <c r="F3021" s="12">
        <v>2.6973000000000001E-3</v>
      </c>
    </row>
    <row r="3022" spans="1:6">
      <c r="A3022" s="10">
        <v>2019</v>
      </c>
      <c r="B3022" t="s">
        <v>1413</v>
      </c>
      <c r="C3022" t="s">
        <v>246</v>
      </c>
      <c r="D3022" t="s">
        <v>246</v>
      </c>
      <c r="E3022" s="10">
        <v>560700</v>
      </c>
      <c r="F3022" s="12">
        <v>4.7550000000000001E-4</v>
      </c>
    </row>
    <row r="3023" spans="1:6">
      <c r="A3023" s="10">
        <v>2019</v>
      </c>
      <c r="B3023" t="s">
        <v>1414</v>
      </c>
      <c r="C3023" t="s">
        <v>247</v>
      </c>
      <c r="D3023" t="s">
        <v>247</v>
      </c>
      <c r="E3023" s="10">
        <v>211990</v>
      </c>
      <c r="F3023" s="12">
        <v>1.7980000000000001E-4</v>
      </c>
    </row>
    <row r="3024" spans="1:6">
      <c r="A3024" s="10">
        <v>2019</v>
      </c>
      <c r="B3024" t="s">
        <v>1415</v>
      </c>
      <c r="C3024" t="s">
        <v>248</v>
      </c>
      <c r="D3024" t="s">
        <v>248</v>
      </c>
      <c r="E3024" s="10">
        <v>44992032</v>
      </c>
      <c r="F3024" s="12">
        <v>3.8158200000000003E-2</v>
      </c>
    </row>
    <row r="3025" spans="1:6">
      <c r="A3025" s="10">
        <v>2019</v>
      </c>
      <c r="B3025" t="s">
        <v>1417</v>
      </c>
      <c r="C3025" t="s">
        <v>1610</v>
      </c>
      <c r="D3025" t="s">
        <v>1610</v>
      </c>
      <c r="E3025" s="10">
        <v>23352</v>
      </c>
      <c r="F3025" s="12">
        <v>1.98E-5</v>
      </c>
    </row>
    <row r="3026" spans="1:6">
      <c r="A3026" s="10">
        <v>2019</v>
      </c>
      <c r="B3026" t="s">
        <v>1416</v>
      </c>
      <c r="C3026" t="s">
        <v>249</v>
      </c>
      <c r="D3026" t="s">
        <v>249</v>
      </c>
      <c r="E3026" s="10">
        <v>3092437</v>
      </c>
      <c r="F3026" s="12">
        <v>2.6226999999999999E-3</v>
      </c>
    </row>
    <row r="3027" spans="1:6">
      <c r="A3027" s="10">
        <v>2019</v>
      </c>
      <c r="B3027" t="s">
        <v>1418</v>
      </c>
      <c r="C3027" t="s">
        <v>1611</v>
      </c>
      <c r="D3027" t="s">
        <v>1611</v>
      </c>
      <c r="E3027" s="10"/>
    </row>
    <row r="3028" spans="1:6">
      <c r="A3028" s="10">
        <v>2019</v>
      </c>
      <c r="B3028" t="s">
        <v>1419</v>
      </c>
      <c r="C3028" t="s">
        <v>252</v>
      </c>
      <c r="D3028" t="s">
        <v>252</v>
      </c>
      <c r="E3028" s="10">
        <v>2803020</v>
      </c>
      <c r="F3028" s="12">
        <v>2.3773000000000002E-3</v>
      </c>
    </row>
    <row r="3029" spans="1:6">
      <c r="A3029" s="10">
        <v>2019</v>
      </c>
      <c r="B3029" t="s">
        <v>1420</v>
      </c>
      <c r="C3029" t="s">
        <v>1612</v>
      </c>
      <c r="D3029" t="s">
        <v>1612</v>
      </c>
      <c r="E3029" s="10">
        <v>161385</v>
      </c>
      <c r="F3029" s="12">
        <v>1.3689999999999999E-4</v>
      </c>
    </row>
    <row r="3030" spans="1:6">
      <c r="A3030" s="10">
        <v>2019</v>
      </c>
      <c r="B3030" t="s">
        <v>1015</v>
      </c>
      <c r="C3030" t="s">
        <v>1613</v>
      </c>
      <c r="D3030" t="s">
        <v>1613</v>
      </c>
      <c r="E3030" s="10">
        <v>534783</v>
      </c>
      <c r="F3030" s="12">
        <v>4.5360000000000002E-4</v>
      </c>
    </row>
    <row r="3031" spans="1:6">
      <c r="A3031" s="10">
        <v>2019</v>
      </c>
      <c r="B3031" t="s">
        <v>1014</v>
      </c>
      <c r="C3031" t="s">
        <v>1614</v>
      </c>
      <c r="D3031" t="s">
        <v>1614</v>
      </c>
      <c r="E3031" s="10">
        <v>39629</v>
      </c>
      <c r="F3031" s="12">
        <v>3.3599999999999997E-5</v>
      </c>
    </row>
    <row r="3032" spans="1:6">
      <c r="A3032" s="10">
        <v>2019</v>
      </c>
      <c r="B3032" t="s">
        <v>1421</v>
      </c>
      <c r="C3032" t="s">
        <v>1615</v>
      </c>
      <c r="D3032" t="s">
        <v>1615</v>
      </c>
      <c r="E3032" s="10">
        <v>33767</v>
      </c>
      <c r="F3032" s="12">
        <v>2.8600000000000001E-5</v>
      </c>
    </row>
    <row r="3033" spans="1:6">
      <c r="A3033" s="10">
        <v>2019</v>
      </c>
      <c r="B3033" t="s">
        <v>1422</v>
      </c>
      <c r="C3033" t="s">
        <v>1616</v>
      </c>
      <c r="D3033" t="s">
        <v>1616</v>
      </c>
      <c r="E3033" s="10">
        <v>180648</v>
      </c>
      <c r="F3033" s="12">
        <v>1.5320000000000001E-4</v>
      </c>
    </row>
    <row r="3034" spans="1:6">
      <c r="A3034" s="10">
        <v>2019</v>
      </c>
      <c r="B3034" t="s">
        <v>1423</v>
      </c>
      <c r="C3034" t="s">
        <v>256</v>
      </c>
      <c r="D3034" t="s">
        <v>256</v>
      </c>
      <c r="E3034" s="10">
        <v>2409595</v>
      </c>
      <c r="F3034" s="12">
        <v>2.0436E-3</v>
      </c>
    </row>
    <row r="3035" spans="1:6">
      <c r="A3035" s="10">
        <v>2019</v>
      </c>
      <c r="B3035" t="s">
        <v>1424</v>
      </c>
      <c r="C3035" t="s">
        <v>257</v>
      </c>
      <c r="D3035" t="s">
        <v>257</v>
      </c>
      <c r="E3035" s="10">
        <v>3166189</v>
      </c>
      <c r="F3035" s="12">
        <v>2.6852999999999998E-3</v>
      </c>
    </row>
    <row r="3036" spans="1:6">
      <c r="A3036" s="10">
        <v>2019</v>
      </c>
      <c r="B3036" t="s">
        <v>370</v>
      </c>
      <c r="C3036" t="s">
        <v>1617</v>
      </c>
      <c r="D3036" t="s">
        <v>1617</v>
      </c>
      <c r="E3036" s="10">
        <v>2718965</v>
      </c>
      <c r="F3036" s="12">
        <v>2.3059999999999999E-3</v>
      </c>
    </row>
    <row r="3037" spans="1:6">
      <c r="A3037" s="10">
        <v>2019</v>
      </c>
      <c r="B3037" t="s">
        <v>1425</v>
      </c>
      <c r="C3037" t="s">
        <v>258</v>
      </c>
      <c r="D3037" t="s">
        <v>258</v>
      </c>
      <c r="E3037" s="10">
        <v>34734</v>
      </c>
      <c r="F3037" s="12">
        <v>2.9499999999999999E-5</v>
      </c>
    </row>
    <row r="3038" spans="1:6">
      <c r="A3038" s="10">
        <v>2019</v>
      </c>
      <c r="B3038" t="s">
        <v>1429</v>
      </c>
      <c r="C3038" t="s">
        <v>2422</v>
      </c>
      <c r="D3038" t="s">
        <v>2358</v>
      </c>
      <c r="E3038" s="10">
        <v>1096653</v>
      </c>
      <c r="F3038" s="12">
        <v>9.301E-4</v>
      </c>
    </row>
    <row r="3039" spans="1:6">
      <c r="A3039" s="10">
        <v>2019</v>
      </c>
      <c r="B3039" t="s">
        <v>1430</v>
      </c>
      <c r="C3039" t="s">
        <v>1619</v>
      </c>
      <c r="D3039" t="s">
        <v>1619</v>
      </c>
      <c r="E3039" s="10">
        <v>356521</v>
      </c>
      <c r="F3039" s="12">
        <v>3.0239999999999998E-4</v>
      </c>
    </row>
    <row r="3040" spans="1:6">
      <c r="A3040" s="10">
        <v>2019</v>
      </c>
      <c r="B3040" t="s">
        <v>1431</v>
      </c>
      <c r="C3040" t="s">
        <v>264</v>
      </c>
      <c r="D3040" t="s">
        <v>264</v>
      </c>
      <c r="E3040" s="10">
        <v>254703</v>
      </c>
      <c r="F3040" s="12">
        <v>2.1599999999999999E-4</v>
      </c>
    </row>
    <row r="3041" spans="1:6">
      <c r="A3041" s="10">
        <v>2019</v>
      </c>
      <c r="B3041" t="s">
        <v>1432</v>
      </c>
      <c r="C3041" t="s">
        <v>265</v>
      </c>
      <c r="D3041" t="s">
        <v>265</v>
      </c>
      <c r="E3041" s="10">
        <v>297550</v>
      </c>
      <c r="F3041" s="12">
        <v>2.5240000000000001E-4</v>
      </c>
    </row>
    <row r="3042" spans="1:6">
      <c r="A3042" s="10">
        <v>2019</v>
      </c>
      <c r="B3042" t="s">
        <v>1433</v>
      </c>
      <c r="C3042" t="s">
        <v>266</v>
      </c>
      <c r="D3042" t="s">
        <v>266</v>
      </c>
      <c r="E3042" s="10">
        <v>145403</v>
      </c>
      <c r="F3042" s="12">
        <v>1.2329999999999999E-4</v>
      </c>
    </row>
    <row r="3043" spans="1:6">
      <c r="A3043" s="10">
        <v>2019</v>
      </c>
      <c r="B3043" t="s">
        <v>1434</v>
      </c>
      <c r="C3043" t="s">
        <v>1620</v>
      </c>
      <c r="D3043" t="s">
        <v>1620</v>
      </c>
      <c r="E3043" s="10">
        <v>1351549</v>
      </c>
      <c r="F3043" s="12">
        <v>1.1463000000000001E-3</v>
      </c>
    </row>
    <row r="3044" spans="1:6">
      <c r="A3044" s="10">
        <v>2019</v>
      </c>
      <c r="B3044" t="s">
        <v>1435</v>
      </c>
      <c r="C3044" t="s">
        <v>2359</v>
      </c>
      <c r="D3044" t="s">
        <v>2359</v>
      </c>
      <c r="E3044" s="10">
        <v>180380</v>
      </c>
      <c r="F3044" s="12">
        <v>1.5300000000000001E-4</v>
      </c>
    </row>
    <row r="3045" spans="1:6">
      <c r="A3045" s="10">
        <v>2019</v>
      </c>
      <c r="B3045" t="s">
        <v>1436</v>
      </c>
      <c r="C3045" t="s">
        <v>269</v>
      </c>
      <c r="D3045" t="s">
        <v>269</v>
      </c>
      <c r="E3045" s="10">
        <v>195656</v>
      </c>
      <c r="F3045" s="12">
        <v>1.6589999999999999E-4</v>
      </c>
    </row>
    <row r="3046" spans="1:6">
      <c r="A3046" s="10">
        <v>2019</v>
      </c>
      <c r="B3046" t="s">
        <v>1437</v>
      </c>
      <c r="C3046" t="s">
        <v>270</v>
      </c>
      <c r="D3046" t="s">
        <v>270</v>
      </c>
      <c r="E3046" s="10">
        <v>1067745</v>
      </c>
      <c r="F3046" s="12">
        <v>9.056E-4</v>
      </c>
    </row>
    <row r="3047" spans="1:6">
      <c r="A3047" s="10">
        <v>2019</v>
      </c>
      <c r="B3047" t="s">
        <v>1438</v>
      </c>
      <c r="C3047" t="s">
        <v>1622</v>
      </c>
      <c r="D3047" t="s">
        <v>1622</v>
      </c>
      <c r="E3047" s="10">
        <v>724326</v>
      </c>
      <c r="F3047" s="12">
        <v>6.1430000000000002E-4</v>
      </c>
    </row>
    <row r="3048" spans="1:6">
      <c r="A3048" s="10">
        <v>2019</v>
      </c>
      <c r="B3048" t="s">
        <v>371</v>
      </c>
      <c r="C3048" t="s">
        <v>1623</v>
      </c>
      <c r="D3048" t="s">
        <v>1623</v>
      </c>
      <c r="E3048" s="10">
        <v>309062</v>
      </c>
      <c r="F3048" s="12">
        <v>2.6209999999999997E-4</v>
      </c>
    </row>
    <row r="3049" spans="1:6">
      <c r="A3049" s="10">
        <v>2019</v>
      </c>
      <c r="B3049" t="s">
        <v>1439</v>
      </c>
      <c r="C3049" t="s">
        <v>1624</v>
      </c>
      <c r="D3049" t="s">
        <v>1624</v>
      </c>
      <c r="E3049" s="10">
        <v>110257</v>
      </c>
      <c r="F3049" s="12">
        <v>9.3499999999999996E-5</v>
      </c>
    </row>
    <row r="3050" spans="1:6">
      <c r="A3050" s="10">
        <v>2019</v>
      </c>
      <c r="B3050" t="s">
        <v>1440</v>
      </c>
      <c r="C3050" t="s">
        <v>1625</v>
      </c>
      <c r="D3050" t="s">
        <v>1625</v>
      </c>
      <c r="E3050" s="10">
        <v>407336</v>
      </c>
      <c r="F3050" s="12">
        <v>3.455E-4</v>
      </c>
    </row>
    <row r="3051" spans="1:6">
      <c r="A3051" s="10">
        <v>2019</v>
      </c>
      <c r="B3051" t="s">
        <v>372</v>
      </c>
      <c r="C3051" t="s">
        <v>1626</v>
      </c>
      <c r="D3051" t="s">
        <v>1626</v>
      </c>
      <c r="E3051" s="10">
        <v>196557</v>
      </c>
      <c r="F3051" s="12">
        <v>1.6670000000000001E-4</v>
      </c>
    </row>
    <row r="3052" spans="1:6">
      <c r="A3052" s="10">
        <v>2019</v>
      </c>
      <c r="B3052" t="s">
        <v>1441</v>
      </c>
      <c r="C3052" t="s">
        <v>274</v>
      </c>
      <c r="D3052" t="s">
        <v>274</v>
      </c>
      <c r="E3052" s="10"/>
    </row>
    <row r="3053" spans="1:6">
      <c r="A3053" s="10">
        <v>2019</v>
      </c>
      <c r="B3053" t="s">
        <v>1442</v>
      </c>
      <c r="C3053" t="s">
        <v>1627</v>
      </c>
      <c r="D3053" t="s">
        <v>1627</v>
      </c>
      <c r="E3053" s="10">
        <v>7661</v>
      </c>
      <c r="F3053" s="12">
        <v>6.4999999999999996E-6</v>
      </c>
    </row>
    <row r="3054" spans="1:6">
      <c r="A3054" s="10">
        <v>2019</v>
      </c>
      <c r="B3054" t="s">
        <v>1443</v>
      </c>
      <c r="C3054" t="s">
        <v>1628</v>
      </c>
      <c r="D3054" t="s">
        <v>1628</v>
      </c>
      <c r="E3054" s="10">
        <v>1136005</v>
      </c>
      <c r="F3054" s="12">
        <v>9.6349999999999995E-4</v>
      </c>
    </row>
    <row r="3055" spans="1:6">
      <c r="A3055" s="10">
        <v>2019</v>
      </c>
      <c r="B3055" t="s">
        <v>331</v>
      </c>
      <c r="C3055" t="s">
        <v>1629</v>
      </c>
      <c r="D3055" t="s">
        <v>1629</v>
      </c>
      <c r="E3055" s="10"/>
    </row>
    <row r="3056" spans="1:6">
      <c r="A3056" s="10">
        <v>2019</v>
      </c>
      <c r="B3056" t="s">
        <v>332</v>
      </c>
      <c r="C3056" t="s">
        <v>1630</v>
      </c>
      <c r="D3056" t="s">
        <v>1630</v>
      </c>
      <c r="E3056" s="10">
        <v>96224</v>
      </c>
      <c r="F3056" s="12">
        <v>8.1600000000000005E-5</v>
      </c>
    </row>
    <row r="3057" spans="1:6">
      <c r="A3057" s="10">
        <v>2019</v>
      </c>
      <c r="B3057" t="s">
        <v>333</v>
      </c>
      <c r="C3057" t="s">
        <v>1631</v>
      </c>
      <c r="D3057" t="s">
        <v>1631</v>
      </c>
      <c r="E3057" s="10">
        <v>32344</v>
      </c>
      <c r="F3057" s="12">
        <v>2.7399999999999999E-5</v>
      </c>
    </row>
    <row r="3058" spans="1:6">
      <c r="A3058" s="10">
        <v>2019</v>
      </c>
      <c r="B3058" t="s">
        <v>334</v>
      </c>
      <c r="C3058" t="s">
        <v>1632</v>
      </c>
      <c r="D3058" t="s">
        <v>1632</v>
      </c>
      <c r="E3058" s="10">
        <v>83266</v>
      </c>
      <c r="F3058" s="12">
        <v>7.0599999999999995E-5</v>
      </c>
    </row>
    <row r="3059" spans="1:6">
      <c r="A3059" s="10">
        <v>2019</v>
      </c>
      <c r="B3059" t="s">
        <v>335</v>
      </c>
      <c r="C3059" t="s">
        <v>1633</v>
      </c>
      <c r="D3059" t="s">
        <v>1633</v>
      </c>
      <c r="E3059" s="10">
        <v>2824657</v>
      </c>
      <c r="F3059" s="12">
        <v>2.3955999999999999E-3</v>
      </c>
    </row>
    <row r="3060" spans="1:6">
      <c r="A3060" s="10">
        <v>2019</v>
      </c>
      <c r="B3060" t="s">
        <v>336</v>
      </c>
      <c r="C3060" t="s">
        <v>1634</v>
      </c>
      <c r="D3060" t="s">
        <v>1634</v>
      </c>
      <c r="E3060" s="10">
        <v>2351829</v>
      </c>
      <c r="F3060" s="12">
        <v>1.9946E-3</v>
      </c>
    </row>
    <row r="3061" spans="1:6">
      <c r="A3061" s="10">
        <v>2019</v>
      </c>
      <c r="B3061" t="s">
        <v>337</v>
      </c>
      <c r="C3061" t="s">
        <v>283</v>
      </c>
      <c r="D3061" t="s">
        <v>283</v>
      </c>
      <c r="E3061" s="10">
        <v>163189</v>
      </c>
      <c r="F3061" s="12">
        <v>1.384E-4</v>
      </c>
    </row>
    <row r="3062" spans="1:6">
      <c r="A3062" s="10">
        <v>2019</v>
      </c>
      <c r="B3062" t="s">
        <v>338</v>
      </c>
      <c r="C3062" t="s">
        <v>1635</v>
      </c>
      <c r="D3062" t="s">
        <v>1635</v>
      </c>
      <c r="E3062" s="10">
        <v>59868</v>
      </c>
      <c r="F3062" s="12">
        <v>5.0800000000000002E-5</v>
      </c>
    </row>
    <row r="3063" spans="1:6">
      <c r="A3063" s="10">
        <v>2019</v>
      </c>
      <c r="B3063" t="s">
        <v>373</v>
      </c>
      <c r="C3063" t="s">
        <v>1636</v>
      </c>
      <c r="D3063" t="s">
        <v>1636</v>
      </c>
      <c r="E3063" s="10">
        <v>2473683</v>
      </c>
      <c r="F3063" s="12">
        <v>2.098E-3</v>
      </c>
    </row>
    <row r="3064" spans="1:6">
      <c r="A3064" s="10">
        <v>2019</v>
      </c>
      <c r="B3064" t="s">
        <v>339</v>
      </c>
      <c r="C3064" t="s">
        <v>1637</v>
      </c>
      <c r="D3064" t="s">
        <v>1637</v>
      </c>
      <c r="E3064" s="10">
        <v>1188843</v>
      </c>
      <c r="F3064" s="12">
        <v>1.0083E-3</v>
      </c>
    </row>
    <row r="3065" spans="1:6">
      <c r="A3065" s="10">
        <v>2019</v>
      </c>
      <c r="B3065" t="s">
        <v>340</v>
      </c>
      <c r="C3065" t="s">
        <v>286</v>
      </c>
      <c r="D3065" t="s">
        <v>286</v>
      </c>
      <c r="E3065" s="10">
        <v>130729</v>
      </c>
      <c r="F3065" s="12">
        <v>1.109E-4</v>
      </c>
    </row>
    <row r="3066" spans="1:6">
      <c r="A3066" s="10">
        <v>2019</v>
      </c>
      <c r="B3066" t="s">
        <v>341</v>
      </c>
      <c r="C3066" t="s">
        <v>287</v>
      </c>
      <c r="D3066" t="s">
        <v>287</v>
      </c>
      <c r="E3066" s="10"/>
    </row>
    <row r="3067" spans="1:6">
      <c r="A3067" s="10">
        <v>2019</v>
      </c>
      <c r="B3067" t="s">
        <v>342</v>
      </c>
      <c r="C3067" t="s">
        <v>1638</v>
      </c>
      <c r="D3067" t="s">
        <v>1638</v>
      </c>
      <c r="E3067" s="10">
        <v>839995</v>
      </c>
      <c r="F3067" s="12">
        <v>7.1239999999999997E-4</v>
      </c>
    </row>
    <row r="3068" spans="1:6">
      <c r="A3068" s="10">
        <v>2019</v>
      </c>
      <c r="B3068" t="s">
        <v>1219</v>
      </c>
      <c r="C3068" t="s">
        <v>1639</v>
      </c>
      <c r="D3068" t="s">
        <v>1639</v>
      </c>
      <c r="E3068" s="10">
        <v>370617</v>
      </c>
      <c r="F3068" s="12">
        <v>3.143E-4</v>
      </c>
    </row>
    <row r="3069" spans="1:6">
      <c r="A3069" s="10">
        <v>2019</v>
      </c>
      <c r="B3069" t="s">
        <v>343</v>
      </c>
      <c r="C3069" t="s">
        <v>1640</v>
      </c>
      <c r="D3069" t="s">
        <v>1640</v>
      </c>
      <c r="E3069" s="10">
        <v>94611</v>
      </c>
      <c r="F3069" s="12">
        <v>8.0199999999999998E-5</v>
      </c>
    </row>
    <row r="3070" spans="1:6">
      <c r="A3070" s="10">
        <v>2019</v>
      </c>
      <c r="B3070" t="s">
        <v>344</v>
      </c>
      <c r="C3070" t="s">
        <v>290</v>
      </c>
      <c r="D3070" t="s">
        <v>290</v>
      </c>
      <c r="E3070" s="10">
        <v>83711</v>
      </c>
      <c r="F3070" s="12">
        <v>7.1000000000000005E-5</v>
      </c>
    </row>
    <row r="3071" spans="1:6">
      <c r="A3071" s="10">
        <v>2019</v>
      </c>
      <c r="B3071" t="s">
        <v>1220</v>
      </c>
      <c r="C3071" t="s">
        <v>1641</v>
      </c>
      <c r="D3071" t="s">
        <v>1641</v>
      </c>
      <c r="E3071" s="10">
        <v>116825</v>
      </c>
      <c r="F3071" s="12">
        <v>9.9099999999999996E-5</v>
      </c>
    </row>
    <row r="3072" spans="1:6">
      <c r="A3072" s="10">
        <v>2019</v>
      </c>
      <c r="B3072" t="s">
        <v>345</v>
      </c>
      <c r="C3072" t="s">
        <v>1642</v>
      </c>
      <c r="D3072" t="s">
        <v>1642</v>
      </c>
      <c r="E3072" s="10">
        <v>84595</v>
      </c>
      <c r="F3072" s="12">
        <v>7.1699999999999995E-5</v>
      </c>
    </row>
    <row r="3073" spans="1:6">
      <c r="A3073" s="10">
        <v>2019</v>
      </c>
      <c r="B3073" t="s">
        <v>346</v>
      </c>
      <c r="C3073" t="s">
        <v>1643</v>
      </c>
      <c r="D3073" t="s">
        <v>1643</v>
      </c>
      <c r="E3073" s="10">
        <v>9328621</v>
      </c>
      <c r="F3073" s="12">
        <v>7.9117000000000007E-3</v>
      </c>
    </row>
    <row r="3074" spans="1:6">
      <c r="A3074" s="10">
        <v>2019</v>
      </c>
      <c r="B3074" t="s">
        <v>347</v>
      </c>
      <c r="C3074" t="s">
        <v>1644</v>
      </c>
      <c r="D3074" t="s">
        <v>1644</v>
      </c>
      <c r="E3074" s="10">
        <v>3578380</v>
      </c>
      <c r="F3074" s="12">
        <v>3.0349000000000001E-3</v>
      </c>
    </row>
    <row r="3075" spans="1:6">
      <c r="A3075" s="10">
        <v>2019</v>
      </c>
      <c r="B3075" t="s">
        <v>348</v>
      </c>
      <c r="C3075" t="s">
        <v>1645</v>
      </c>
      <c r="D3075" t="s">
        <v>1645</v>
      </c>
      <c r="E3075" s="10">
        <v>1847315</v>
      </c>
      <c r="F3075" s="12">
        <v>1.5667000000000001E-3</v>
      </c>
    </row>
    <row r="3076" spans="1:6">
      <c r="A3076" s="10">
        <v>2019</v>
      </c>
      <c r="B3076" t="s">
        <v>374</v>
      </c>
      <c r="C3076" t="s">
        <v>1646</v>
      </c>
      <c r="D3076" t="s">
        <v>1646</v>
      </c>
      <c r="E3076" s="10">
        <v>1583655</v>
      </c>
      <c r="F3076" s="12">
        <v>1.3431000000000001E-3</v>
      </c>
    </row>
    <row r="3077" spans="1:6">
      <c r="A3077" s="10">
        <v>2019</v>
      </c>
      <c r="B3077" t="s">
        <v>349</v>
      </c>
      <c r="C3077" t="s">
        <v>1647</v>
      </c>
      <c r="D3077" t="s">
        <v>1647</v>
      </c>
      <c r="E3077" s="10">
        <v>2869509</v>
      </c>
      <c r="F3077" s="12">
        <v>2.4337E-3</v>
      </c>
    </row>
    <row r="3078" spans="1:6">
      <c r="A3078" s="10">
        <v>2019</v>
      </c>
      <c r="B3078" t="s">
        <v>350</v>
      </c>
      <c r="C3078" t="s">
        <v>1648</v>
      </c>
      <c r="D3078" t="s">
        <v>1648</v>
      </c>
      <c r="E3078" s="10">
        <v>2817900</v>
      </c>
      <c r="F3078" s="12">
        <v>2.3898999999999999E-3</v>
      </c>
    </row>
    <row r="3079" spans="1:6">
      <c r="A3079" s="10">
        <v>2019</v>
      </c>
      <c r="B3079" t="s">
        <v>1221</v>
      </c>
      <c r="C3079" t="s">
        <v>1649</v>
      </c>
      <c r="D3079" t="s">
        <v>1649</v>
      </c>
      <c r="E3079" s="10">
        <v>297123</v>
      </c>
      <c r="F3079" s="12">
        <v>2.52E-4</v>
      </c>
    </row>
    <row r="3080" spans="1:6">
      <c r="A3080" s="10">
        <v>2019</v>
      </c>
      <c r="B3080" t="s">
        <v>351</v>
      </c>
      <c r="C3080" t="s">
        <v>297</v>
      </c>
      <c r="D3080" t="s">
        <v>297</v>
      </c>
      <c r="E3080" s="10">
        <v>22772</v>
      </c>
      <c r="F3080" s="12">
        <v>1.9300000000000002E-5</v>
      </c>
    </row>
    <row r="3081" spans="1:6">
      <c r="A3081" s="10">
        <v>2019</v>
      </c>
      <c r="B3081" t="s">
        <v>352</v>
      </c>
      <c r="C3081" t="s">
        <v>2398</v>
      </c>
      <c r="D3081" t="s">
        <v>2360</v>
      </c>
      <c r="E3081" s="10">
        <v>171142</v>
      </c>
      <c r="F3081" s="12">
        <v>1.451E-4</v>
      </c>
    </row>
    <row r="3082" spans="1:6">
      <c r="A3082" s="10">
        <v>2019</v>
      </c>
      <c r="B3082" t="s">
        <v>353</v>
      </c>
      <c r="C3082" t="s">
        <v>1650</v>
      </c>
      <c r="D3082" t="s">
        <v>1650</v>
      </c>
      <c r="E3082" s="10">
        <v>59032</v>
      </c>
      <c r="F3082" s="12">
        <v>5.0099999999999998E-5</v>
      </c>
    </row>
    <row r="3083" spans="1:6">
      <c r="A3083" s="10">
        <v>2019</v>
      </c>
      <c r="B3083" t="s">
        <v>354</v>
      </c>
      <c r="C3083" t="s">
        <v>300</v>
      </c>
      <c r="D3083" t="s">
        <v>300</v>
      </c>
      <c r="E3083" s="10">
        <v>2613700</v>
      </c>
      <c r="F3083" s="12">
        <v>2.2166999999999998E-3</v>
      </c>
    </row>
    <row r="3084" spans="1:6">
      <c r="A3084" s="10">
        <v>2019</v>
      </c>
      <c r="B3084" t="s">
        <v>1659</v>
      </c>
      <c r="C3084" t="s">
        <v>1651</v>
      </c>
      <c r="D3084" t="s">
        <v>1651</v>
      </c>
      <c r="E3084" s="10">
        <v>183147</v>
      </c>
      <c r="F3084" s="12">
        <v>1.5530000000000001E-4</v>
      </c>
    </row>
    <row r="3085" spans="1:6">
      <c r="A3085" s="10">
        <v>2019</v>
      </c>
      <c r="B3085" t="s">
        <v>355</v>
      </c>
      <c r="C3085" t="s">
        <v>2423</v>
      </c>
      <c r="D3085" t="s">
        <v>301</v>
      </c>
      <c r="E3085" s="10">
        <v>364707</v>
      </c>
      <c r="F3085" s="12">
        <v>3.0929999999999998E-4</v>
      </c>
    </row>
    <row r="3086" spans="1:6">
      <c r="A3086" s="10">
        <v>2019</v>
      </c>
      <c r="B3086" t="s">
        <v>356</v>
      </c>
      <c r="C3086" t="s">
        <v>1444</v>
      </c>
      <c r="D3086" t="s">
        <v>1444</v>
      </c>
      <c r="E3086" s="10">
        <v>5792145</v>
      </c>
      <c r="F3086" s="12">
        <v>4.9123999999999999E-3</v>
      </c>
    </row>
    <row r="3087" spans="1:6">
      <c r="A3087" s="10">
        <v>2019</v>
      </c>
      <c r="B3087" t="s">
        <v>357</v>
      </c>
      <c r="C3087" t="s">
        <v>2424</v>
      </c>
      <c r="D3087" t="s">
        <v>1652</v>
      </c>
      <c r="E3087" s="10">
        <v>155573</v>
      </c>
      <c r="F3087" s="12">
        <v>1.3190000000000001E-4</v>
      </c>
    </row>
    <row r="3088" spans="1:6">
      <c r="A3088" s="10">
        <v>2019</v>
      </c>
      <c r="B3088" t="s">
        <v>358</v>
      </c>
      <c r="C3088" t="s">
        <v>304</v>
      </c>
      <c r="D3088" t="s">
        <v>304</v>
      </c>
      <c r="E3088" s="10"/>
    </row>
    <row r="3089" spans="1:6">
      <c r="A3089" s="10">
        <v>2019</v>
      </c>
      <c r="B3089" t="s">
        <v>359</v>
      </c>
      <c r="C3089" t="s">
        <v>305</v>
      </c>
      <c r="D3089" t="s">
        <v>305</v>
      </c>
      <c r="E3089" s="10">
        <v>232570</v>
      </c>
      <c r="F3089" s="12">
        <v>1.972E-4</v>
      </c>
    </row>
    <row r="3090" spans="1:6">
      <c r="A3090" s="10">
        <v>2019</v>
      </c>
      <c r="B3090" t="s">
        <v>360</v>
      </c>
      <c r="C3090" t="s">
        <v>1653</v>
      </c>
      <c r="D3090" t="s">
        <v>1653</v>
      </c>
      <c r="E3090" s="10">
        <v>26430198</v>
      </c>
      <c r="F3090" s="12">
        <v>2.24157E-2</v>
      </c>
    </row>
    <row r="3091" spans="1:6">
      <c r="A3091" s="10">
        <v>2019</v>
      </c>
      <c r="B3091" t="s">
        <v>375</v>
      </c>
      <c r="C3091" t="s">
        <v>1654</v>
      </c>
      <c r="D3091" t="s">
        <v>1654</v>
      </c>
      <c r="E3091" s="10">
        <v>8471098</v>
      </c>
      <c r="F3091" s="12">
        <v>7.1843999999999996E-3</v>
      </c>
    </row>
    <row r="3092" spans="1:6">
      <c r="A3092" s="10">
        <v>2019</v>
      </c>
      <c r="B3092" t="s">
        <v>361</v>
      </c>
      <c r="C3092" t="s">
        <v>1655</v>
      </c>
      <c r="D3092" t="s">
        <v>1655</v>
      </c>
      <c r="E3092" s="10">
        <v>194245</v>
      </c>
      <c r="F3092" s="12">
        <v>1.6469999999999999E-4</v>
      </c>
    </row>
    <row r="3093" spans="1:6">
      <c r="A3093" s="10">
        <v>2019</v>
      </c>
      <c r="B3093" t="s">
        <v>362</v>
      </c>
      <c r="C3093" t="s">
        <v>1656</v>
      </c>
      <c r="D3093" t="s">
        <v>1656</v>
      </c>
      <c r="E3093" s="10">
        <v>5780</v>
      </c>
      <c r="F3093" s="12">
        <v>4.8999999999999997E-6</v>
      </c>
    </row>
    <row r="3094" spans="1:6">
      <c r="A3094" s="10">
        <v>2019</v>
      </c>
      <c r="B3094" t="s">
        <v>363</v>
      </c>
      <c r="C3094" t="s">
        <v>1657</v>
      </c>
      <c r="D3094" t="s">
        <v>1657</v>
      </c>
      <c r="E3094" s="10">
        <v>3037377</v>
      </c>
      <c r="F3094" s="12">
        <v>2.5760000000000002E-3</v>
      </c>
    </row>
    <row r="3095" spans="1:6">
      <c r="A3095" s="10">
        <v>2019</v>
      </c>
      <c r="B3095" t="s">
        <v>364</v>
      </c>
      <c r="C3095" t="s">
        <v>310</v>
      </c>
      <c r="D3095" t="s">
        <v>310</v>
      </c>
      <c r="E3095" s="10"/>
    </row>
    <row r="3096" spans="1:6">
      <c r="A3096" s="10">
        <v>2019</v>
      </c>
      <c r="B3096" t="s">
        <v>365</v>
      </c>
      <c r="C3096" t="s">
        <v>1658</v>
      </c>
      <c r="D3096" t="s">
        <v>1658</v>
      </c>
      <c r="E3096" s="10">
        <v>1077499</v>
      </c>
      <c r="F3096" s="12">
        <v>9.1379999999999999E-4</v>
      </c>
    </row>
    <row r="3097" spans="1:6">
      <c r="A3097" s="10">
        <v>2019</v>
      </c>
      <c r="B3097" t="s">
        <v>1222</v>
      </c>
      <c r="C3097" t="s">
        <v>1660</v>
      </c>
      <c r="D3097" t="s">
        <v>1660</v>
      </c>
      <c r="E3097" s="10">
        <v>380389</v>
      </c>
      <c r="F3097" s="12">
        <v>3.2259999999999998E-4</v>
      </c>
    </row>
    <row r="3098" spans="1:6">
      <c r="A3098" s="10">
        <v>2019</v>
      </c>
      <c r="B3098" t="s">
        <v>366</v>
      </c>
      <c r="C3098" t="s">
        <v>312</v>
      </c>
      <c r="D3098" t="s">
        <v>312</v>
      </c>
      <c r="E3098" s="10">
        <v>3562</v>
      </c>
      <c r="F3098" s="12">
        <v>3.0000000000000001E-6</v>
      </c>
    </row>
    <row r="3099" spans="1:6">
      <c r="A3099" s="10">
        <v>2019</v>
      </c>
      <c r="B3099" t="s">
        <v>367</v>
      </c>
      <c r="C3099" t="s">
        <v>313</v>
      </c>
      <c r="D3099" t="s">
        <v>313</v>
      </c>
      <c r="E3099" s="10">
        <v>52314</v>
      </c>
      <c r="F3099" s="12">
        <v>4.4400000000000002E-5</v>
      </c>
    </row>
    <row r="3100" spans="1:6">
      <c r="A3100" s="10">
        <v>2019</v>
      </c>
      <c r="B3100" t="s">
        <v>368</v>
      </c>
      <c r="C3100" t="s">
        <v>1661</v>
      </c>
      <c r="D3100" t="s">
        <v>1661</v>
      </c>
      <c r="E3100" s="10">
        <v>243514</v>
      </c>
      <c r="F3100" s="12">
        <v>2.065E-4</v>
      </c>
    </row>
    <row r="3101" spans="1:6">
      <c r="A3101" s="10">
        <v>2019</v>
      </c>
      <c r="B3101" t="s">
        <v>467</v>
      </c>
      <c r="C3101" t="s">
        <v>412</v>
      </c>
      <c r="D3101" t="s">
        <v>412</v>
      </c>
      <c r="E3101" s="10"/>
    </row>
    <row r="3102" spans="1:6">
      <c r="A3102" s="10">
        <v>2019</v>
      </c>
      <c r="B3102" t="s">
        <v>1223</v>
      </c>
      <c r="C3102" t="s">
        <v>1662</v>
      </c>
      <c r="D3102" t="s">
        <v>1662</v>
      </c>
      <c r="E3102" s="10">
        <v>179550</v>
      </c>
      <c r="F3102" s="12">
        <v>1.5229999999999999E-4</v>
      </c>
    </row>
    <row r="3103" spans="1:6">
      <c r="A3103" s="10">
        <v>2019</v>
      </c>
      <c r="B3103" t="s">
        <v>468</v>
      </c>
      <c r="C3103" t="s">
        <v>1663</v>
      </c>
      <c r="D3103" t="s">
        <v>1663</v>
      </c>
      <c r="E3103" s="10">
        <v>250518</v>
      </c>
      <c r="F3103" s="12">
        <v>2.1249999999999999E-4</v>
      </c>
    </row>
    <row r="3104" spans="1:6">
      <c r="A3104" s="10">
        <v>2019</v>
      </c>
      <c r="B3104" t="s">
        <v>469</v>
      </c>
      <c r="C3104" t="s">
        <v>1664</v>
      </c>
      <c r="D3104" t="s">
        <v>1664</v>
      </c>
      <c r="E3104" s="10"/>
    </row>
    <row r="3105" spans="1:6">
      <c r="A3105" s="10">
        <v>2019</v>
      </c>
      <c r="B3105" t="s">
        <v>1224</v>
      </c>
      <c r="C3105" t="s">
        <v>1665</v>
      </c>
      <c r="D3105" t="s">
        <v>1665</v>
      </c>
      <c r="E3105" s="10">
        <v>86210</v>
      </c>
      <c r="F3105" s="12">
        <v>7.3100000000000001E-5</v>
      </c>
    </row>
    <row r="3106" spans="1:6">
      <c r="A3106" s="10">
        <v>2019</v>
      </c>
      <c r="B3106" t="s">
        <v>470</v>
      </c>
      <c r="C3106" t="s">
        <v>2361</v>
      </c>
      <c r="D3106" t="s">
        <v>2361</v>
      </c>
      <c r="E3106" s="10">
        <v>27690</v>
      </c>
      <c r="F3106" s="12">
        <v>2.3499999999999999E-5</v>
      </c>
    </row>
    <row r="3107" spans="1:6">
      <c r="A3107" s="10">
        <v>2019</v>
      </c>
      <c r="B3107" t="s">
        <v>471</v>
      </c>
      <c r="C3107" t="s">
        <v>416</v>
      </c>
      <c r="D3107" t="s">
        <v>416</v>
      </c>
      <c r="E3107" s="10">
        <v>2230443</v>
      </c>
      <c r="F3107" s="12">
        <v>1.8917000000000001E-3</v>
      </c>
    </row>
    <row r="3108" spans="1:6">
      <c r="A3108" s="10">
        <v>2019</v>
      </c>
      <c r="B3108" t="s">
        <v>472</v>
      </c>
      <c r="C3108" t="s">
        <v>417</v>
      </c>
      <c r="D3108" t="s">
        <v>417</v>
      </c>
      <c r="E3108" s="10">
        <v>3032411</v>
      </c>
      <c r="F3108" s="12">
        <v>2.5718E-3</v>
      </c>
    </row>
    <row r="3109" spans="1:6">
      <c r="A3109" s="10">
        <v>2019</v>
      </c>
      <c r="B3109" t="s">
        <v>474</v>
      </c>
      <c r="C3109" t="s">
        <v>1666</v>
      </c>
      <c r="D3109" t="s">
        <v>1666</v>
      </c>
      <c r="E3109" s="10">
        <v>93159</v>
      </c>
      <c r="F3109" s="12">
        <v>7.8999999999999996E-5</v>
      </c>
    </row>
    <row r="3110" spans="1:6">
      <c r="A3110" s="10">
        <v>2019</v>
      </c>
      <c r="B3110" t="s">
        <v>475</v>
      </c>
      <c r="C3110" t="s">
        <v>1667</v>
      </c>
      <c r="D3110" t="s">
        <v>1667</v>
      </c>
      <c r="E3110" s="10">
        <v>29196</v>
      </c>
      <c r="F3110" s="12">
        <v>2.48E-5</v>
      </c>
    </row>
    <row r="3111" spans="1:6">
      <c r="A3111" s="10">
        <v>2019</v>
      </c>
      <c r="B3111" t="s">
        <v>476</v>
      </c>
      <c r="C3111" t="s">
        <v>421</v>
      </c>
      <c r="D3111" t="s">
        <v>421</v>
      </c>
      <c r="E3111" s="10">
        <v>4874526</v>
      </c>
      <c r="F3111" s="12">
        <v>4.1340999999999999E-3</v>
      </c>
    </row>
    <row r="3112" spans="1:6">
      <c r="A3112" s="10">
        <v>2019</v>
      </c>
      <c r="B3112" t="s">
        <v>477</v>
      </c>
      <c r="C3112" t="s">
        <v>422</v>
      </c>
      <c r="D3112" t="s">
        <v>422</v>
      </c>
      <c r="E3112" s="10">
        <v>1044468</v>
      </c>
      <c r="F3112" s="12">
        <v>8.8579999999999996E-4</v>
      </c>
    </row>
    <row r="3113" spans="1:6">
      <c r="A3113" s="10">
        <v>2019</v>
      </c>
      <c r="B3113" t="s">
        <v>478</v>
      </c>
      <c r="C3113" t="s">
        <v>1668</v>
      </c>
      <c r="D3113" t="s">
        <v>2362</v>
      </c>
      <c r="E3113" s="10">
        <v>129697</v>
      </c>
      <c r="F3113" s="12">
        <v>1.1E-4</v>
      </c>
    </row>
    <row r="3114" spans="1:6">
      <c r="A3114" s="10">
        <v>2019</v>
      </c>
      <c r="B3114" t="s">
        <v>479</v>
      </c>
      <c r="C3114" t="s">
        <v>1669</v>
      </c>
      <c r="D3114" t="s">
        <v>1669</v>
      </c>
      <c r="E3114" s="10">
        <v>334188</v>
      </c>
      <c r="F3114" s="12">
        <v>2.834E-4</v>
      </c>
    </row>
    <row r="3115" spans="1:6">
      <c r="A3115" s="10">
        <v>2019</v>
      </c>
      <c r="B3115" t="s">
        <v>480</v>
      </c>
      <c r="C3115" t="s">
        <v>1670</v>
      </c>
      <c r="D3115" t="s">
        <v>1670</v>
      </c>
      <c r="E3115" s="10">
        <v>53753</v>
      </c>
      <c r="F3115" s="12">
        <v>4.5599999999999997E-5</v>
      </c>
    </row>
    <row r="3116" spans="1:6">
      <c r="A3116" s="10">
        <v>2019</v>
      </c>
      <c r="B3116" t="s">
        <v>481</v>
      </c>
      <c r="C3116" t="s">
        <v>1671</v>
      </c>
      <c r="D3116" t="s">
        <v>1671</v>
      </c>
      <c r="E3116" s="10">
        <v>827572</v>
      </c>
      <c r="F3116" s="12">
        <v>7.0189999999999998E-4</v>
      </c>
    </row>
    <row r="3117" spans="1:6">
      <c r="A3117" s="10">
        <v>2019</v>
      </c>
      <c r="B3117" t="s">
        <v>482</v>
      </c>
      <c r="C3117" t="s">
        <v>1672</v>
      </c>
      <c r="D3117" t="s">
        <v>1672</v>
      </c>
      <c r="E3117" s="10">
        <v>160657</v>
      </c>
      <c r="F3117" s="12">
        <v>1.3630000000000001E-4</v>
      </c>
    </row>
    <row r="3118" spans="1:6">
      <c r="A3118" s="10">
        <v>2019</v>
      </c>
      <c r="B3118" t="s">
        <v>483</v>
      </c>
      <c r="C3118" t="s">
        <v>1673</v>
      </c>
      <c r="D3118" t="s">
        <v>1673</v>
      </c>
      <c r="E3118" s="10">
        <v>125885</v>
      </c>
      <c r="F3118" s="12">
        <v>1.0679999999999999E-4</v>
      </c>
    </row>
    <row r="3119" spans="1:6">
      <c r="A3119" s="10">
        <v>2019</v>
      </c>
      <c r="B3119" t="s">
        <v>484</v>
      </c>
      <c r="C3119" t="s">
        <v>1674</v>
      </c>
      <c r="D3119" t="s">
        <v>1674</v>
      </c>
      <c r="E3119" s="10">
        <v>330852</v>
      </c>
      <c r="F3119" s="12">
        <v>2.8059999999999999E-4</v>
      </c>
    </row>
    <row r="3120" spans="1:6">
      <c r="A3120" s="10">
        <v>2019</v>
      </c>
      <c r="B3120" t="s">
        <v>485</v>
      </c>
      <c r="C3120" t="s">
        <v>1675</v>
      </c>
      <c r="D3120" t="s">
        <v>1675</v>
      </c>
      <c r="E3120" s="10">
        <v>1280439</v>
      </c>
      <c r="F3120" s="12">
        <v>1.0859999999999999E-3</v>
      </c>
    </row>
    <row r="3121" spans="1:6">
      <c r="A3121" s="10">
        <v>2019</v>
      </c>
      <c r="B3121" t="s">
        <v>376</v>
      </c>
      <c r="C3121" t="s">
        <v>1676</v>
      </c>
      <c r="D3121" t="s">
        <v>1676</v>
      </c>
      <c r="E3121" s="10">
        <v>500148</v>
      </c>
      <c r="F3121" s="12">
        <v>4.2420000000000001E-4</v>
      </c>
    </row>
    <row r="3122" spans="1:6">
      <c r="A3122" s="10">
        <v>2019</v>
      </c>
      <c r="B3122" t="s">
        <v>1690</v>
      </c>
      <c r="C3122" t="s">
        <v>1677</v>
      </c>
      <c r="D3122" t="s">
        <v>1677</v>
      </c>
      <c r="E3122" s="10"/>
    </row>
    <row r="3123" spans="1:6">
      <c r="A3123" s="10">
        <v>2019</v>
      </c>
      <c r="B3123" t="s">
        <v>2365</v>
      </c>
      <c r="C3123" t="s">
        <v>2363</v>
      </c>
      <c r="D3123" t="s">
        <v>2363</v>
      </c>
      <c r="E3123" s="10">
        <v>42650</v>
      </c>
      <c r="F3123" s="12">
        <v>3.6199999999999999E-5</v>
      </c>
    </row>
    <row r="3124" spans="1:6">
      <c r="A3124" s="10">
        <v>2019</v>
      </c>
      <c r="B3124" t="s">
        <v>377</v>
      </c>
      <c r="C3124" t="s">
        <v>1678</v>
      </c>
      <c r="D3124" t="s">
        <v>1678</v>
      </c>
      <c r="E3124" s="10">
        <v>926517</v>
      </c>
      <c r="F3124" s="12">
        <v>7.8580000000000002E-4</v>
      </c>
    </row>
    <row r="3125" spans="1:6">
      <c r="A3125" s="10">
        <v>2019</v>
      </c>
      <c r="B3125" t="s">
        <v>486</v>
      </c>
      <c r="C3125" t="s">
        <v>1679</v>
      </c>
      <c r="D3125" t="s">
        <v>1679</v>
      </c>
      <c r="E3125" s="10">
        <v>1092071</v>
      </c>
      <c r="F3125" s="12">
        <v>9.2619999999999996E-4</v>
      </c>
    </row>
    <row r="3126" spans="1:6">
      <c r="A3126" s="10">
        <v>2019</v>
      </c>
      <c r="B3126" t="s">
        <v>487</v>
      </c>
      <c r="C3126" t="s">
        <v>432</v>
      </c>
      <c r="D3126" t="s">
        <v>432</v>
      </c>
      <c r="E3126" s="10">
        <v>6903</v>
      </c>
      <c r="F3126" s="12">
        <v>5.9000000000000003E-6</v>
      </c>
    </row>
    <row r="3127" spans="1:6">
      <c r="A3127" s="10">
        <v>2019</v>
      </c>
      <c r="B3127" t="s">
        <v>488</v>
      </c>
      <c r="C3127" t="s">
        <v>1680</v>
      </c>
      <c r="D3127" t="s">
        <v>1680</v>
      </c>
      <c r="E3127" s="10">
        <v>157409</v>
      </c>
      <c r="F3127" s="12">
        <v>1.3349999999999999E-4</v>
      </c>
    </row>
    <row r="3128" spans="1:6">
      <c r="A3128" s="10">
        <v>2019</v>
      </c>
      <c r="B3128" t="s">
        <v>489</v>
      </c>
      <c r="C3128" t="s">
        <v>434</v>
      </c>
      <c r="D3128" t="s">
        <v>434</v>
      </c>
      <c r="E3128" s="10">
        <v>57375</v>
      </c>
      <c r="F3128" s="12">
        <v>4.8699999999999998E-5</v>
      </c>
    </row>
    <row r="3129" spans="1:6">
      <c r="A3129" s="10">
        <v>2019</v>
      </c>
      <c r="B3129" t="s">
        <v>490</v>
      </c>
      <c r="C3129" t="s">
        <v>1681</v>
      </c>
      <c r="D3129" t="s">
        <v>1681</v>
      </c>
      <c r="E3129" s="10">
        <v>2913932</v>
      </c>
      <c r="F3129" s="12">
        <v>2.4713000000000001E-3</v>
      </c>
    </row>
    <row r="3130" spans="1:6">
      <c r="A3130" s="10">
        <v>2019</v>
      </c>
      <c r="B3130" t="s">
        <v>491</v>
      </c>
      <c r="C3130" t="s">
        <v>1682</v>
      </c>
      <c r="D3130" t="s">
        <v>1682</v>
      </c>
      <c r="E3130" s="10">
        <v>3545417</v>
      </c>
      <c r="F3130" s="12">
        <v>3.0068999999999999E-3</v>
      </c>
    </row>
    <row r="3131" spans="1:6">
      <c r="A3131" s="10">
        <v>2019</v>
      </c>
      <c r="B3131" t="s">
        <v>492</v>
      </c>
      <c r="C3131" t="s">
        <v>1683</v>
      </c>
      <c r="D3131" t="s">
        <v>1683</v>
      </c>
      <c r="E3131" s="10">
        <v>7543</v>
      </c>
      <c r="F3131" s="12">
        <v>6.3999999999999997E-6</v>
      </c>
    </row>
    <row r="3132" spans="1:6">
      <c r="A3132" s="10">
        <v>2019</v>
      </c>
      <c r="B3132" t="s">
        <v>493</v>
      </c>
      <c r="C3132" t="s">
        <v>1684</v>
      </c>
      <c r="D3132" t="s">
        <v>1684</v>
      </c>
      <c r="E3132" s="10">
        <v>16718</v>
      </c>
      <c r="F3132" s="12">
        <v>1.42E-5</v>
      </c>
    </row>
    <row r="3133" spans="1:6">
      <c r="A3133" s="10">
        <v>2019</v>
      </c>
      <c r="B3133" t="s">
        <v>494</v>
      </c>
      <c r="C3133" t="s">
        <v>1685</v>
      </c>
      <c r="D3133" t="s">
        <v>1685</v>
      </c>
      <c r="E3133" s="10">
        <v>7851</v>
      </c>
      <c r="F3133" s="12">
        <v>6.7000000000000002E-6</v>
      </c>
    </row>
    <row r="3134" spans="1:6">
      <c r="A3134" s="10">
        <v>2019</v>
      </c>
      <c r="B3134" t="s">
        <v>550</v>
      </c>
      <c r="C3134" t="s">
        <v>1686</v>
      </c>
      <c r="D3134" t="s">
        <v>2366</v>
      </c>
      <c r="E3134" s="10">
        <v>63884</v>
      </c>
      <c r="F3134" s="12">
        <v>5.4200000000000003E-5</v>
      </c>
    </row>
    <row r="3135" spans="1:6">
      <c r="A3135" s="10">
        <v>2019</v>
      </c>
      <c r="B3135" t="s">
        <v>551</v>
      </c>
      <c r="C3135" t="s">
        <v>1687</v>
      </c>
      <c r="D3135" t="s">
        <v>2364</v>
      </c>
      <c r="E3135" s="10">
        <v>86356</v>
      </c>
      <c r="F3135" s="12">
        <v>7.3200000000000004E-5</v>
      </c>
    </row>
    <row r="3136" spans="1:6">
      <c r="A3136" s="10">
        <v>2019</v>
      </c>
      <c r="B3136" t="s">
        <v>552</v>
      </c>
      <c r="C3136" t="s">
        <v>1688</v>
      </c>
      <c r="D3136" t="s">
        <v>1688</v>
      </c>
      <c r="E3136" s="10">
        <v>18053054</v>
      </c>
      <c r="F3136" s="12">
        <v>1.5311E-2</v>
      </c>
    </row>
    <row r="3137" spans="1:6">
      <c r="A3137" s="10">
        <v>2019</v>
      </c>
      <c r="B3137" t="s">
        <v>819</v>
      </c>
      <c r="C3137" t="s">
        <v>1689</v>
      </c>
      <c r="D3137" t="s">
        <v>1689</v>
      </c>
      <c r="E3137" s="10"/>
    </row>
    <row r="3138" spans="1:6">
      <c r="A3138" s="10">
        <v>2019</v>
      </c>
      <c r="B3138" t="s">
        <v>553</v>
      </c>
      <c r="C3138" t="s">
        <v>498</v>
      </c>
      <c r="D3138" t="s">
        <v>498</v>
      </c>
      <c r="E3138" s="10">
        <v>24800</v>
      </c>
      <c r="F3138" s="12">
        <v>2.0999999999999999E-5</v>
      </c>
    </row>
    <row r="3139" spans="1:6">
      <c r="A3139" s="10">
        <v>2019</v>
      </c>
      <c r="B3139" t="s">
        <v>554</v>
      </c>
      <c r="C3139" t="s">
        <v>499</v>
      </c>
      <c r="D3139" t="s">
        <v>499</v>
      </c>
      <c r="E3139" s="10"/>
    </row>
    <row r="3140" spans="1:6">
      <c r="A3140" s="10">
        <v>2019</v>
      </c>
      <c r="B3140" t="s">
        <v>555</v>
      </c>
      <c r="C3140" t="s">
        <v>500</v>
      </c>
      <c r="D3140" t="s">
        <v>500</v>
      </c>
      <c r="E3140" s="10">
        <v>193306</v>
      </c>
      <c r="F3140" s="12">
        <v>1.639E-4</v>
      </c>
    </row>
    <row r="3141" spans="1:6">
      <c r="A3141" s="10">
        <v>2019</v>
      </c>
      <c r="B3141" t="s">
        <v>556</v>
      </c>
      <c r="C3141" t="s">
        <v>501</v>
      </c>
      <c r="D3141" t="s">
        <v>501</v>
      </c>
      <c r="E3141" s="10"/>
    </row>
    <row r="3142" spans="1:6">
      <c r="A3142" s="10">
        <v>2019</v>
      </c>
      <c r="B3142" t="s">
        <v>557</v>
      </c>
      <c r="C3142" t="s">
        <v>502</v>
      </c>
      <c r="D3142" t="s">
        <v>502</v>
      </c>
      <c r="E3142" s="10">
        <v>56384</v>
      </c>
      <c r="F3142" s="12">
        <v>4.7800000000000003E-5</v>
      </c>
    </row>
    <row r="3143" spans="1:6">
      <c r="A3143" s="10">
        <v>2019</v>
      </c>
      <c r="B3143" t="s">
        <v>558</v>
      </c>
      <c r="C3143" t="s">
        <v>1691</v>
      </c>
      <c r="D3143" t="s">
        <v>1691</v>
      </c>
      <c r="E3143" s="10">
        <v>32853</v>
      </c>
      <c r="F3143" s="12">
        <v>2.7900000000000001E-5</v>
      </c>
    </row>
    <row r="3144" spans="1:6">
      <c r="A3144" s="10">
        <v>2019</v>
      </c>
      <c r="B3144" t="s">
        <v>559</v>
      </c>
      <c r="C3144" t="s">
        <v>1692</v>
      </c>
      <c r="D3144" t="s">
        <v>1692</v>
      </c>
      <c r="E3144" s="10">
        <v>1866204</v>
      </c>
      <c r="F3144" s="12">
        <v>1.5827E-3</v>
      </c>
    </row>
    <row r="3145" spans="1:6">
      <c r="A3145" s="10">
        <v>2019</v>
      </c>
      <c r="B3145" t="s">
        <v>378</v>
      </c>
      <c r="C3145" t="s">
        <v>1693</v>
      </c>
      <c r="D3145" t="s">
        <v>1693</v>
      </c>
      <c r="E3145" s="10">
        <v>483691</v>
      </c>
      <c r="F3145" s="12">
        <v>4.102E-4</v>
      </c>
    </row>
    <row r="3146" spans="1:6">
      <c r="A3146" s="10">
        <v>2019</v>
      </c>
      <c r="B3146" t="s">
        <v>560</v>
      </c>
      <c r="C3146" t="s">
        <v>505</v>
      </c>
      <c r="D3146" t="s">
        <v>505</v>
      </c>
      <c r="E3146" s="10">
        <v>113089</v>
      </c>
      <c r="F3146" s="12">
        <v>9.59E-5</v>
      </c>
    </row>
    <row r="3147" spans="1:6">
      <c r="A3147" s="10">
        <v>2019</v>
      </c>
      <c r="B3147" t="s">
        <v>561</v>
      </c>
      <c r="C3147" t="s">
        <v>1694</v>
      </c>
      <c r="D3147" t="s">
        <v>1694</v>
      </c>
      <c r="E3147" s="10">
        <v>195904</v>
      </c>
      <c r="F3147" s="12">
        <v>1.661E-4</v>
      </c>
    </row>
    <row r="3148" spans="1:6">
      <c r="A3148" s="10">
        <v>2019</v>
      </c>
      <c r="B3148" t="s">
        <v>1225</v>
      </c>
      <c r="C3148" t="s">
        <v>1695</v>
      </c>
      <c r="D3148" t="s">
        <v>1695</v>
      </c>
      <c r="E3148" s="10">
        <v>29183</v>
      </c>
      <c r="F3148" s="12">
        <v>2.48E-5</v>
      </c>
    </row>
    <row r="3149" spans="1:6">
      <c r="A3149" s="10">
        <v>2019</v>
      </c>
      <c r="B3149" t="s">
        <v>562</v>
      </c>
      <c r="C3149" t="s">
        <v>2367</v>
      </c>
      <c r="D3149" t="s">
        <v>2367</v>
      </c>
      <c r="E3149" s="10">
        <v>12269477</v>
      </c>
      <c r="F3149" s="12">
        <v>1.0405899999999999E-2</v>
      </c>
    </row>
    <row r="3150" spans="1:6">
      <c r="A3150" s="10">
        <v>2019</v>
      </c>
      <c r="B3150" t="s">
        <v>1226</v>
      </c>
      <c r="C3150" t="s">
        <v>1697</v>
      </c>
      <c r="D3150" t="s">
        <v>1697</v>
      </c>
      <c r="E3150" s="10">
        <v>133513</v>
      </c>
      <c r="F3150" s="12">
        <v>1.132E-4</v>
      </c>
    </row>
    <row r="3151" spans="1:6">
      <c r="A3151" s="10">
        <v>2019</v>
      </c>
      <c r="B3151" t="s">
        <v>563</v>
      </c>
      <c r="C3151" t="s">
        <v>1698</v>
      </c>
      <c r="D3151" t="s">
        <v>1698</v>
      </c>
      <c r="E3151" s="10">
        <v>4919</v>
      </c>
      <c r="F3151" s="12">
        <v>4.1999999999999996E-6</v>
      </c>
    </row>
    <row r="3152" spans="1:6">
      <c r="A3152" s="10">
        <v>2019</v>
      </c>
      <c r="B3152" t="s">
        <v>564</v>
      </c>
      <c r="C3152" t="s">
        <v>509</v>
      </c>
      <c r="D3152" t="s">
        <v>509</v>
      </c>
      <c r="E3152" s="10">
        <v>1210242</v>
      </c>
      <c r="F3152" s="12">
        <v>1.0264E-3</v>
      </c>
    </row>
    <row r="3153" spans="1:6">
      <c r="A3153" s="10">
        <v>2019</v>
      </c>
      <c r="B3153" t="s">
        <v>565</v>
      </c>
      <c r="C3153" t="s">
        <v>510</v>
      </c>
      <c r="D3153" t="s">
        <v>510</v>
      </c>
      <c r="E3153" s="10">
        <v>2130772</v>
      </c>
      <c r="F3153" s="12">
        <v>1.8071000000000001E-3</v>
      </c>
    </row>
    <row r="3154" spans="1:6">
      <c r="A3154" s="10">
        <v>2019</v>
      </c>
      <c r="B3154" t="s">
        <v>566</v>
      </c>
      <c r="C3154" t="s">
        <v>1699</v>
      </c>
      <c r="D3154" t="s">
        <v>1699</v>
      </c>
      <c r="E3154" s="10">
        <v>122932</v>
      </c>
      <c r="F3154" s="12">
        <v>1.043E-4</v>
      </c>
    </row>
    <row r="3155" spans="1:6">
      <c r="A3155" s="10">
        <v>2019</v>
      </c>
      <c r="B3155" t="s">
        <v>569</v>
      </c>
      <c r="C3155" t="s">
        <v>1446</v>
      </c>
      <c r="D3155" t="s">
        <v>1446</v>
      </c>
      <c r="E3155" s="10">
        <v>177364</v>
      </c>
      <c r="F3155" s="12">
        <v>1.504E-4</v>
      </c>
    </row>
    <row r="3156" spans="1:6">
      <c r="A3156" s="10">
        <v>2019</v>
      </c>
      <c r="B3156" t="s">
        <v>567</v>
      </c>
      <c r="C3156" t="s">
        <v>1700</v>
      </c>
      <c r="D3156" t="s">
        <v>2368</v>
      </c>
      <c r="E3156" s="10">
        <v>90980</v>
      </c>
      <c r="F3156" s="12">
        <v>7.7200000000000006E-5</v>
      </c>
    </row>
    <row r="3157" spans="1:6">
      <c r="A3157" s="10">
        <v>2019</v>
      </c>
      <c r="B3157" t="s">
        <v>568</v>
      </c>
      <c r="C3157" t="s">
        <v>2446</v>
      </c>
      <c r="D3157" t="s">
        <v>1701</v>
      </c>
      <c r="E3157" s="10">
        <v>152541</v>
      </c>
      <c r="F3157" s="12">
        <v>1.294E-4</v>
      </c>
    </row>
    <row r="3158" spans="1:6">
      <c r="A3158" s="10">
        <v>2019</v>
      </c>
      <c r="B3158" t="s">
        <v>570</v>
      </c>
      <c r="C3158" t="s">
        <v>515</v>
      </c>
      <c r="D3158" t="s">
        <v>515</v>
      </c>
      <c r="E3158" s="10">
        <v>251274</v>
      </c>
      <c r="F3158" s="12">
        <v>2.131E-4</v>
      </c>
    </row>
    <row r="3159" spans="1:6">
      <c r="A3159" s="10">
        <v>2019</v>
      </c>
      <c r="B3159" t="s">
        <v>571</v>
      </c>
      <c r="C3159" t="s">
        <v>516</v>
      </c>
      <c r="D3159" t="s">
        <v>516</v>
      </c>
      <c r="E3159" s="10">
        <v>744667</v>
      </c>
      <c r="F3159" s="12">
        <v>6.3159999999999996E-4</v>
      </c>
    </row>
    <row r="3160" spans="1:6">
      <c r="A3160" s="10">
        <v>2019</v>
      </c>
      <c r="B3160" t="s">
        <v>572</v>
      </c>
      <c r="C3160" t="s">
        <v>517</v>
      </c>
      <c r="D3160" t="s">
        <v>517</v>
      </c>
      <c r="E3160" s="10">
        <v>225765</v>
      </c>
      <c r="F3160" s="12">
        <v>1.9149999999999999E-4</v>
      </c>
    </row>
    <row r="3161" spans="1:6">
      <c r="A3161" s="10">
        <v>2019</v>
      </c>
      <c r="B3161" t="s">
        <v>573</v>
      </c>
      <c r="C3161" t="s">
        <v>518</v>
      </c>
      <c r="D3161" t="s">
        <v>518</v>
      </c>
      <c r="E3161" s="10">
        <v>391582</v>
      </c>
      <c r="F3161" s="12">
        <v>3.321E-4</v>
      </c>
    </row>
    <row r="3162" spans="1:6">
      <c r="A3162" s="10">
        <v>2019</v>
      </c>
      <c r="B3162" t="s">
        <v>574</v>
      </c>
      <c r="C3162" t="s">
        <v>1702</v>
      </c>
      <c r="D3162" t="s">
        <v>1702</v>
      </c>
      <c r="E3162" s="10">
        <v>117520</v>
      </c>
      <c r="F3162" s="12">
        <v>9.9699999999999998E-5</v>
      </c>
    </row>
    <row r="3163" spans="1:6">
      <c r="A3163" s="10">
        <v>2019</v>
      </c>
      <c r="B3163" t="s">
        <v>575</v>
      </c>
      <c r="C3163" t="s">
        <v>2437</v>
      </c>
      <c r="D3163" t="s">
        <v>1703</v>
      </c>
      <c r="E3163" s="10">
        <v>119488</v>
      </c>
      <c r="F3163" s="12">
        <v>1.013E-4</v>
      </c>
    </row>
    <row r="3164" spans="1:6">
      <c r="A3164" s="10">
        <v>2019</v>
      </c>
      <c r="B3164" t="s">
        <v>576</v>
      </c>
      <c r="C3164" t="s">
        <v>521</v>
      </c>
      <c r="D3164" t="s">
        <v>521</v>
      </c>
      <c r="E3164" s="10">
        <v>201053</v>
      </c>
      <c r="F3164" s="12">
        <v>1.705E-4</v>
      </c>
    </row>
    <row r="3165" spans="1:6">
      <c r="A3165" s="10">
        <v>2019</v>
      </c>
      <c r="B3165" t="s">
        <v>577</v>
      </c>
      <c r="C3165" t="s">
        <v>1704</v>
      </c>
      <c r="D3165" t="s">
        <v>1704</v>
      </c>
      <c r="E3165" s="10">
        <v>35331</v>
      </c>
      <c r="F3165" s="12">
        <v>3.0000000000000001E-5</v>
      </c>
    </row>
    <row r="3166" spans="1:6">
      <c r="A3166" s="10">
        <v>2019</v>
      </c>
      <c r="B3166" t="s">
        <v>578</v>
      </c>
      <c r="C3166" t="s">
        <v>1705</v>
      </c>
      <c r="D3166" t="s">
        <v>1705</v>
      </c>
      <c r="E3166" s="10">
        <v>1534064</v>
      </c>
      <c r="F3166" s="12">
        <v>1.3010999999999999E-3</v>
      </c>
    </row>
    <row r="3167" spans="1:6">
      <c r="A3167" s="10">
        <v>2019</v>
      </c>
      <c r="B3167" t="s">
        <v>2371</v>
      </c>
      <c r="C3167" t="s">
        <v>2369</v>
      </c>
      <c r="D3167" t="s">
        <v>2369</v>
      </c>
      <c r="E3167" s="10">
        <v>9624</v>
      </c>
      <c r="F3167" s="12">
        <v>8.1999999999999994E-6</v>
      </c>
    </row>
    <row r="3168" spans="1:6">
      <c r="A3168" s="10">
        <v>2019</v>
      </c>
      <c r="B3168" t="s">
        <v>579</v>
      </c>
      <c r="C3168" t="s">
        <v>1447</v>
      </c>
      <c r="D3168" t="s">
        <v>1447</v>
      </c>
      <c r="E3168" s="10"/>
    </row>
    <row r="3169" spans="1:6">
      <c r="A3169" s="10">
        <v>2019</v>
      </c>
      <c r="B3169" t="s">
        <v>379</v>
      </c>
      <c r="C3169" t="s">
        <v>1706</v>
      </c>
      <c r="D3169" t="s">
        <v>1706</v>
      </c>
      <c r="E3169" s="10">
        <v>687381</v>
      </c>
      <c r="F3169" s="12">
        <v>5.8299999999999997E-4</v>
      </c>
    </row>
    <row r="3170" spans="1:6">
      <c r="A3170" s="10">
        <v>2019</v>
      </c>
      <c r="B3170" t="s">
        <v>1451</v>
      </c>
      <c r="C3170" t="s">
        <v>1707</v>
      </c>
      <c r="D3170" t="s">
        <v>1707</v>
      </c>
      <c r="E3170" s="10"/>
    </row>
    <row r="3171" spans="1:6">
      <c r="A3171" s="10">
        <v>2019</v>
      </c>
      <c r="B3171" t="s">
        <v>1450</v>
      </c>
      <c r="C3171" t="s">
        <v>1708</v>
      </c>
      <c r="D3171" t="s">
        <v>1708</v>
      </c>
      <c r="E3171" s="10"/>
    </row>
    <row r="3172" spans="1:6">
      <c r="A3172" s="10">
        <v>2019</v>
      </c>
      <c r="B3172" t="s">
        <v>580</v>
      </c>
      <c r="C3172" t="s">
        <v>1709</v>
      </c>
      <c r="D3172" t="s">
        <v>1709</v>
      </c>
      <c r="E3172" s="10">
        <v>73147</v>
      </c>
      <c r="F3172" s="12">
        <v>6.2000000000000003E-5</v>
      </c>
    </row>
    <row r="3173" spans="1:6">
      <c r="A3173" s="10">
        <v>2019</v>
      </c>
      <c r="B3173" t="s">
        <v>581</v>
      </c>
      <c r="C3173" t="s">
        <v>526</v>
      </c>
      <c r="D3173" t="s">
        <v>526</v>
      </c>
      <c r="E3173" s="10">
        <v>17601</v>
      </c>
      <c r="F3173" s="12">
        <v>1.49E-5</v>
      </c>
    </row>
    <row r="3174" spans="1:6">
      <c r="A3174" s="10">
        <v>2019</v>
      </c>
      <c r="B3174" t="s">
        <v>582</v>
      </c>
      <c r="C3174" t="s">
        <v>1710</v>
      </c>
      <c r="D3174" t="s">
        <v>1710</v>
      </c>
      <c r="E3174" s="10">
        <v>446466</v>
      </c>
      <c r="F3174" s="12">
        <v>3.7869999999999999E-4</v>
      </c>
    </row>
    <row r="3175" spans="1:6">
      <c r="A3175" s="10">
        <v>2019</v>
      </c>
      <c r="B3175" t="s">
        <v>583</v>
      </c>
      <c r="C3175" t="s">
        <v>1711</v>
      </c>
      <c r="D3175" t="s">
        <v>1711</v>
      </c>
      <c r="E3175" s="10">
        <v>14863</v>
      </c>
      <c r="F3175" s="12">
        <v>1.26E-5</v>
      </c>
    </row>
    <row r="3176" spans="1:6">
      <c r="A3176" s="10">
        <v>2019</v>
      </c>
      <c r="B3176" t="s">
        <v>380</v>
      </c>
      <c r="C3176" t="s">
        <v>1712</v>
      </c>
      <c r="D3176" t="s">
        <v>1712</v>
      </c>
      <c r="E3176" s="10">
        <v>475005</v>
      </c>
      <c r="F3176" s="12">
        <v>4.0289999999999998E-4</v>
      </c>
    </row>
    <row r="3177" spans="1:6">
      <c r="A3177" s="10">
        <v>2019</v>
      </c>
      <c r="B3177" t="s">
        <v>584</v>
      </c>
      <c r="C3177" t="s">
        <v>529</v>
      </c>
      <c r="D3177" t="s">
        <v>529</v>
      </c>
      <c r="E3177" s="10"/>
    </row>
    <row r="3178" spans="1:6">
      <c r="A3178" s="10">
        <v>2019</v>
      </c>
      <c r="B3178" t="s">
        <v>585</v>
      </c>
      <c r="C3178" t="s">
        <v>1713</v>
      </c>
      <c r="D3178" t="s">
        <v>2370</v>
      </c>
      <c r="E3178" s="10"/>
    </row>
    <row r="3179" spans="1:6">
      <c r="A3179" s="10">
        <v>2019</v>
      </c>
      <c r="B3179" t="s">
        <v>586</v>
      </c>
      <c r="C3179" t="s">
        <v>1714</v>
      </c>
      <c r="D3179" t="s">
        <v>1714</v>
      </c>
      <c r="E3179" s="10">
        <v>143180</v>
      </c>
      <c r="F3179" s="12">
        <v>1.214E-4</v>
      </c>
    </row>
    <row r="3180" spans="1:6">
      <c r="A3180" s="10">
        <v>2019</v>
      </c>
      <c r="B3180" t="s">
        <v>587</v>
      </c>
      <c r="C3180" t="s">
        <v>532</v>
      </c>
      <c r="D3180" t="s">
        <v>532</v>
      </c>
      <c r="E3180" s="10">
        <v>164380</v>
      </c>
      <c r="F3180" s="12">
        <v>1.394E-4</v>
      </c>
    </row>
    <row r="3181" spans="1:6">
      <c r="A3181" s="10">
        <v>2019</v>
      </c>
      <c r="B3181" t="s">
        <v>588</v>
      </c>
      <c r="C3181" t="s">
        <v>533</v>
      </c>
      <c r="D3181" t="s">
        <v>533</v>
      </c>
      <c r="E3181" s="10">
        <v>168487</v>
      </c>
      <c r="F3181" s="12">
        <v>1.429E-4</v>
      </c>
    </row>
    <row r="3182" spans="1:6">
      <c r="A3182" s="10">
        <v>2019</v>
      </c>
      <c r="B3182" t="s">
        <v>589</v>
      </c>
      <c r="C3182" t="s">
        <v>1715</v>
      </c>
      <c r="D3182" t="s">
        <v>1715</v>
      </c>
      <c r="E3182" s="10">
        <v>6003361</v>
      </c>
      <c r="F3182" s="12">
        <v>5.0914999999999997E-3</v>
      </c>
    </row>
    <row r="3183" spans="1:6">
      <c r="A3183" s="10">
        <v>2019</v>
      </c>
      <c r="B3183" t="s">
        <v>381</v>
      </c>
      <c r="C3183" t="s">
        <v>1716</v>
      </c>
      <c r="D3183" t="s">
        <v>1716</v>
      </c>
      <c r="E3183" s="10">
        <v>3596447</v>
      </c>
      <c r="F3183" s="12">
        <v>3.0501999999999999E-3</v>
      </c>
    </row>
    <row r="3184" spans="1:6">
      <c r="A3184" s="10">
        <v>2019</v>
      </c>
      <c r="B3184" t="s">
        <v>590</v>
      </c>
      <c r="C3184" t="s">
        <v>1717</v>
      </c>
      <c r="D3184" t="s">
        <v>1717</v>
      </c>
      <c r="E3184" s="10">
        <v>4975152</v>
      </c>
      <c r="F3184" s="12">
        <v>4.2195000000000002E-3</v>
      </c>
    </row>
    <row r="3185" spans="1:6">
      <c r="A3185" s="10">
        <v>2019</v>
      </c>
      <c r="B3185" t="s">
        <v>1227</v>
      </c>
      <c r="C3185" t="s">
        <v>1718</v>
      </c>
      <c r="D3185" t="s">
        <v>1718</v>
      </c>
      <c r="E3185" s="10">
        <v>585130</v>
      </c>
      <c r="F3185" s="12">
        <v>4.9629999999999997E-4</v>
      </c>
    </row>
    <row r="3186" spans="1:6">
      <c r="A3186" s="10">
        <v>2019</v>
      </c>
      <c r="B3186" t="s">
        <v>591</v>
      </c>
      <c r="C3186" t="s">
        <v>536</v>
      </c>
      <c r="D3186" t="s">
        <v>536</v>
      </c>
      <c r="E3186" s="10">
        <v>50581</v>
      </c>
      <c r="F3186" s="12">
        <v>4.2899999999999999E-5</v>
      </c>
    </row>
    <row r="3187" spans="1:6">
      <c r="A3187" s="10">
        <v>2019</v>
      </c>
      <c r="B3187" t="s">
        <v>592</v>
      </c>
      <c r="C3187" t="s">
        <v>1719</v>
      </c>
      <c r="D3187" t="s">
        <v>1719</v>
      </c>
      <c r="E3187" s="10">
        <v>2988943</v>
      </c>
      <c r="F3187" s="12">
        <v>2.5349999999999999E-3</v>
      </c>
    </row>
    <row r="3188" spans="1:6">
      <c r="A3188" s="10">
        <v>2019</v>
      </c>
      <c r="B3188" t="s">
        <v>1456</v>
      </c>
      <c r="C3188" t="s">
        <v>1720</v>
      </c>
      <c r="D3188" t="s">
        <v>2372</v>
      </c>
      <c r="E3188" s="10">
        <v>17396</v>
      </c>
      <c r="F3188" s="12">
        <v>1.4800000000000001E-5</v>
      </c>
    </row>
    <row r="3189" spans="1:6">
      <c r="A3189" s="10">
        <v>2019</v>
      </c>
      <c r="B3189" t="s">
        <v>593</v>
      </c>
      <c r="C3189" t="s">
        <v>1721</v>
      </c>
      <c r="D3189" t="s">
        <v>1721</v>
      </c>
      <c r="E3189" s="10">
        <v>670126</v>
      </c>
      <c r="F3189" s="12">
        <v>5.6829999999999999E-4</v>
      </c>
    </row>
    <row r="3190" spans="1:6">
      <c r="A3190" s="10">
        <v>2019</v>
      </c>
      <c r="B3190" t="s">
        <v>594</v>
      </c>
      <c r="C3190" t="s">
        <v>2190</v>
      </c>
      <c r="D3190" t="s">
        <v>2190</v>
      </c>
      <c r="E3190" s="10">
        <v>16327</v>
      </c>
      <c r="F3190" s="12">
        <v>1.38E-5</v>
      </c>
    </row>
    <row r="3191" spans="1:6">
      <c r="A3191" s="10">
        <v>2019</v>
      </c>
      <c r="B3191" t="s">
        <v>595</v>
      </c>
      <c r="C3191" t="s">
        <v>1722</v>
      </c>
      <c r="D3191" t="s">
        <v>1722</v>
      </c>
      <c r="E3191" s="10">
        <v>580589</v>
      </c>
      <c r="F3191" s="12">
        <v>4.9240000000000004E-4</v>
      </c>
    </row>
    <row r="3192" spans="1:6">
      <c r="A3192" s="10">
        <v>2019</v>
      </c>
      <c r="B3192" t="s">
        <v>596</v>
      </c>
      <c r="C3192" t="s">
        <v>1723</v>
      </c>
      <c r="D3192" t="s">
        <v>1723</v>
      </c>
      <c r="E3192" s="10">
        <v>754728</v>
      </c>
      <c r="F3192" s="12">
        <v>6.401E-4</v>
      </c>
    </row>
    <row r="3193" spans="1:6">
      <c r="A3193" s="10">
        <v>2019</v>
      </c>
      <c r="B3193" t="s">
        <v>597</v>
      </c>
      <c r="C3193" t="s">
        <v>1724</v>
      </c>
      <c r="D3193" t="s">
        <v>1724</v>
      </c>
      <c r="E3193" s="10">
        <v>2388134</v>
      </c>
      <c r="F3193" s="12">
        <v>2.0254000000000001E-3</v>
      </c>
    </row>
    <row r="3194" spans="1:6">
      <c r="A3194" s="10">
        <v>2019</v>
      </c>
      <c r="B3194" t="s">
        <v>598</v>
      </c>
      <c r="C3194" t="s">
        <v>543</v>
      </c>
      <c r="D3194" t="s">
        <v>543</v>
      </c>
      <c r="E3194" s="10">
        <v>233392</v>
      </c>
      <c r="F3194" s="12">
        <v>1.9790000000000001E-4</v>
      </c>
    </row>
    <row r="3195" spans="1:6">
      <c r="A3195" s="10">
        <v>2019</v>
      </c>
      <c r="B3195" t="s">
        <v>1228</v>
      </c>
      <c r="C3195" t="s">
        <v>1725</v>
      </c>
      <c r="D3195" t="s">
        <v>1725</v>
      </c>
      <c r="E3195" s="10">
        <v>36371</v>
      </c>
      <c r="F3195" s="12">
        <v>3.0800000000000003E-5</v>
      </c>
    </row>
    <row r="3196" spans="1:6">
      <c r="A3196" s="10">
        <v>2019</v>
      </c>
      <c r="B3196" t="s">
        <v>599</v>
      </c>
      <c r="C3196" t="s">
        <v>1726</v>
      </c>
      <c r="D3196" t="s">
        <v>1726</v>
      </c>
      <c r="E3196" s="10">
        <v>146776</v>
      </c>
      <c r="F3196" s="12">
        <v>1.2449999999999999E-4</v>
      </c>
    </row>
    <row r="3197" spans="1:6">
      <c r="A3197" s="10">
        <v>2019</v>
      </c>
      <c r="B3197" t="s">
        <v>600</v>
      </c>
      <c r="C3197" t="s">
        <v>1727</v>
      </c>
      <c r="D3197" t="s">
        <v>1727</v>
      </c>
      <c r="E3197" s="10">
        <v>2342591</v>
      </c>
      <c r="F3197" s="12">
        <v>1.9867999999999999E-3</v>
      </c>
    </row>
    <row r="3198" spans="1:6">
      <c r="A3198" s="10">
        <v>2019</v>
      </c>
      <c r="B3198" t="s">
        <v>601</v>
      </c>
      <c r="C3198" t="s">
        <v>1728</v>
      </c>
      <c r="D3198" t="s">
        <v>1728</v>
      </c>
      <c r="E3198" s="10">
        <v>1218369</v>
      </c>
      <c r="F3198" s="12">
        <v>1.0333E-3</v>
      </c>
    </row>
    <row r="3199" spans="1:6">
      <c r="A3199" s="10">
        <v>2019</v>
      </c>
      <c r="B3199" t="s">
        <v>602</v>
      </c>
      <c r="C3199" t="s">
        <v>547</v>
      </c>
      <c r="D3199" t="s">
        <v>547</v>
      </c>
      <c r="E3199" s="10">
        <v>74482</v>
      </c>
      <c r="F3199" s="12">
        <v>6.3200000000000005E-5</v>
      </c>
    </row>
    <row r="3200" spans="1:6">
      <c r="A3200" s="10">
        <v>2019</v>
      </c>
      <c r="B3200" t="s">
        <v>603</v>
      </c>
      <c r="C3200" t="s">
        <v>548</v>
      </c>
      <c r="D3200" t="s">
        <v>548</v>
      </c>
      <c r="E3200" s="10">
        <v>82259</v>
      </c>
      <c r="F3200" s="12">
        <v>6.9800000000000003E-5</v>
      </c>
    </row>
    <row r="3201" spans="1:6">
      <c r="A3201" s="10">
        <v>2019</v>
      </c>
      <c r="B3201" t="s">
        <v>604</v>
      </c>
      <c r="C3201" t="s">
        <v>1729</v>
      </c>
      <c r="D3201" t="s">
        <v>1729</v>
      </c>
      <c r="E3201" s="10">
        <v>183518</v>
      </c>
      <c r="F3201" s="12">
        <v>1.5559999999999999E-4</v>
      </c>
    </row>
    <row r="3202" spans="1:6">
      <c r="A3202" s="10">
        <v>2019</v>
      </c>
      <c r="B3202" t="s">
        <v>1229</v>
      </c>
      <c r="C3202" t="s">
        <v>1730</v>
      </c>
      <c r="D3202" t="s">
        <v>1730</v>
      </c>
      <c r="E3202" s="10">
        <v>154517</v>
      </c>
      <c r="F3202" s="12">
        <v>1.3100000000000001E-4</v>
      </c>
    </row>
    <row r="3203" spans="1:6">
      <c r="A3203" s="10">
        <v>2019</v>
      </c>
      <c r="B3203" t="s">
        <v>660</v>
      </c>
      <c r="C3203" t="s">
        <v>605</v>
      </c>
      <c r="D3203" t="s">
        <v>605</v>
      </c>
      <c r="E3203" s="10">
        <v>2044155</v>
      </c>
      <c r="F3203" s="12">
        <v>1.7336999999999999E-3</v>
      </c>
    </row>
    <row r="3204" spans="1:6">
      <c r="A3204" s="10">
        <v>2019</v>
      </c>
      <c r="B3204" t="s">
        <v>661</v>
      </c>
      <c r="C3204" t="s">
        <v>1455</v>
      </c>
      <c r="D3204" t="s">
        <v>1455</v>
      </c>
      <c r="E3204" s="10">
        <v>19414</v>
      </c>
      <c r="F3204" s="12">
        <v>1.6500000000000001E-5</v>
      </c>
    </row>
    <row r="3205" spans="1:6">
      <c r="A3205" s="10">
        <v>2019</v>
      </c>
      <c r="B3205" t="s">
        <v>662</v>
      </c>
      <c r="C3205" t="s">
        <v>607</v>
      </c>
      <c r="D3205" t="s">
        <v>607</v>
      </c>
      <c r="E3205" s="10">
        <v>17664</v>
      </c>
      <c r="F3205" s="12">
        <v>1.5E-5</v>
      </c>
    </row>
    <row r="3206" spans="1:6">
      <c r="A3206" s="10">
        <v>2019</v>
      </c>
      <c r="B3206" t="s">
        <v>663</v>
      </c>
      <c r="C3206" t="s">
        <v>608</v>
      </c>
      <c r="D3206" t="s">
        <v>608</v>
      </c>
      <c r="E3206" s="10">
        <v>30032</v>
      </c>
      <c r="F3206" s="12">
        <v>2.55E-5</v>
      </c>
    </row>
    <row r="3207" spans="1:6">
      <c r="A3207" s="10">
        <v>2019</v>
      </c>
      <c r="B3207" t="s">
        <v>664</v>
      </c>
      <c r="C3207" t="s">
        <v>609</v>
      </c>
      <c r="D3207" t="s">
        <v>609</v>
      </c>
      <c r="E3207" s="10">
        <v>19548640</v>
      </c>
      <c r="F3207" s="12">
        <v>1.6579400000000001E-2</v>
      </c>
    </row>
    <row r="3208" spans="1:6">
      <c r="A3208" s="10">
        <v>2019</v>
      </c>
      <c r="B3208" t="s">
        <v>1230</v>
      </c>
      <c r="C3208" t="s">
        <v>1731</v>
      </c>
      <c r="D3208" t="s">
        <v>1731</v>
      </c>
      <c r="E3208" s="10">
        <v>6133507</v>
      </c>
      <c r="F3208" s="12">
        <v>5.2018999999999998E-3</v>
      </c>
    </row>
    <row r="3209" spans="1:6">
      <c r="A3209" s="10">
        <v>2019</v>
      </c>
      <c r="B3209" t="s">
        <v>665</v>
      </c>
      <c r="C3209" t="s">
        <v>1732</v>
      </c>
      <c r="D3209" t="s">
        <v>1732</v>
      </c>
      <c r="E3209" s="10">
        <v>6258008</v>
      </c>
      <c r="F3209" s="12">
        <v>5.3074999999999997E-3</v>
      </c>
    </row>
    <row r="3210" spans="1:6">
      <c r="A3210" s="10">
        <v>2019</v>
      </c>
      <c r="B3210" t="s">
        <v>666</v>
      </c>
      <c r="C3210" t="s">
        <v>1733</v>
      </c>
      <c r="D3210" t="s">
        <v>1733</v>
      </c>
      <c r="E3210" s="10">
        <v>9724775</v>
      </c>
      <c r="F3210" s="12">
        <v>8.2477000000000002E-3</v>
      </c>
    </row>
    <row r="3211" spans="1:6">
      <c r="A3211" s="10">
        <v>2019</v>
      </c>
      <c r="B3211" t="s">
        <v>382</v>
      </c>
      <c r="C3211" t="s">
        <v>1734</v>
      </c>
      <c r="D3211" t="s">
        <v>1734</v>
      </c>
      <c r="E3211" s="10">
        <v>7904238</v>
      </c>
      <c r="F3211" s="12">
        <v>6.7036999999999999E-3</v>
      </c>
    </row>
    <row r="3212" spans="1:6">
      <c r="A3212" s="10">
        <v>2019</v>
      </c>
      <c r="B3212" t="s">
        <v>667</v>
      </c>
      <c r="C3212" t="s">
        <v>1735</v>
      </c>
      <c r="D3212" t="s">
        <v>1735</v>
      </c>
      <c r="E3212" s="10">
        <v>824400</v>
      </c>
      <c r="F3212" s="12">
        <v>6.9919999999999997E-4</v>
      </c>
    </row>
    <row r="3213" spans="1:6">
      <c r="A3213" s="10">
        <v>2019</v>
      </c>
      <c r="B3213" t="s">
        <v>383</v>
      </c>
      <c r="C3213" t="s">
        <v>1736</v>
      </c>
      <c r="D3213" t="s">
        <v>1736</v>
      </c>
      <c r="E3213" s="10">
        <v>290300</v>
      </c>
      <c r="F3213" s="12">
        <v>2.4620000000000002E-4</v>
      </c>
    </row>
    <row r="3214" spans="1:6">
      <c r="A3214" s="10">
        <v>2019</v>
      </c>
      <c r="B3214" t="s">
        <v>668</v>
      </c>
      <c r="C3214" t="s">
        <v>613</v>
      </c>
      <c r="D3214" t="s">
        <v>613</v>
      </c>
      <c r="E3214" s="10">
        <v>272030</v>
      </c>
      <c r="F3214" s="12">
        <v>2.307E-4</v>
      </c>
    </row>
    <row r="3215" spans="1:6">
      <c r="A3215" s="10">
        <v>2019</v>
      </c>
      <c r="B3215" t="s">
        <v>384</v>
      </c>
      <c r="C3215" t="s">
        <v>1737</v>
      </c>
      <c r="D3215" t="s">
        <v>1737</v>
      </c>
      <c r="E3215" s="10">
        <v>3002190</v>
      </c>
      <c r="F3215" s="12">
        <v>2.5462000000000002E-3</v>
      </c>
    </row>
    <row r="3216" spans="1:6">
      <c r="A3216" s="10">
        <v>2019</v>
      </c>
      <c r="B3216" t="s">
        <v>669</v>
      </c>
      <c r="C3216" t="s">
        <v>614</v>
      </c>
      <c r="D3216" t="s">
        <v>614</v>
      </c>
      <c r="E3216" s="10">
        <v>74632</v>
      </c>
      <c r="F3216" s="12">
        <v>6.3299999999999994E-5</v>
      </c>
    </row>
    <row r="3217" spans="1:6">
      <c r="A3217" s="10">
        <v>2019</v>
      </c>
      <c r="B3217" t="s">
        <v>670</v>
      </c>
      <c r="C3217" t="s">
        <v>615</v>
      </c>
      <c r="D3217" t="s">
        <v>615</v>
      </c>
      <c r="E3217" s="10">
        <v>676932</v>
      </c>
      <c r="F3217" s="12">
        <v>5.7410000000000002E-4</v>
      </c>
    </row>
    <row r="3218" spans="1:6">
      <c r="A3218" s="10">
        <v>2019</v>
      </c>
      <c r="B3218" t="s">
        <v>671</v>
      </c>
      <c r="C3218" t="s">
        <v>1738</v>
      </c>
      <c r="D3218" t="s">
        <v>1738</v>
      </c>
      <c r="E3218" s="10"/>
    </row>
    <row r="3219" spans="1:6">
      <c r="A3219" s="10">
        <v>2019</v>
      </c>
      <c r="B3219" t="s">
        <v>672</v>
      </c>
      <c r="C3219" t="s">
        <v>1739</v>
      </c>
      <c r="D3219" t="s">
        <v>1739</v>
      </c>
      <c r="E3219" s="10">
        <v>341819</v>
      </c>
      <c r="F3219" s="12">
        <v>2.899E-4</v>
      </c>
    </row>
    <row r="3220" spans="1:6">
      <c r="A3220" s="10">
        <v>2019</v>
      </c>
      <c r="B3220" t="s">
        <v>673</v>
      </c>
      <c r="C3220" t="s">
        <v>618</v>
      </c>
      <c r="D3220" t="s">
        <v>618</v>
      </c>
      <c r="E3220" s="10">
        <v>112892</v>
      </c>
      <c r="F3220" s="12">
        <v>9.5699999999999995E-5</v>
      </c>
    </row>
    <row r="3221" spans="1:6">
      <c r="A3221" s="10">
        <v>2019</v>
      </c>
      <c r="B3221" t="s">
        <v>674</v>
      </c>
      <c r="C3221" t="s">
        <v>2429</v>
      </c>
      <c r="D3221" t="s">
        <v>619</v>
      </c>
      <c r="E3221" s="10">
        <v>50250</v>
      </c>
      <c r="F3221" s="12">
        <v>4.2599999999999999E-5</v>
      </c>
    </row>
    <row r="3222" spans="1:6">
      <c r="A3222" s="10">
        <v>2019</v>
      </c>
      <c r="B3222" t="s">
        <v>675</v>
      </c>
      <c r="C3222" t="s">
        <v>620</v>
      </c>
      <c r="D3222" t="s">
        <v>620</v>
      </c>
      <c r="E3222" s="10">
        <v>641376</v>
      </c>
      <c r="F3222" s="12">
        <v>5.44E-4</v>
      </c>
    </row>
    <row r="3223" spans="1:6">
      <c r="A3223" s="10">
        <v>2019</v>
      </c>
      <c r="B3223" t="s">
        <v>676</v>
      </c>
      <c r="C3223" t="s">
        <v>1740</v>
      </c>
      <c r="D3223" t="s">
        <v>1740</v>
      </c>
      <c r="E3223" s="10"/>
    </row>
    <row r="3224" spans="1:6">
      <c r="A3224" s="10">
        <v>2019</v>
      </c>
      <c r="B3224" t="s">
        <v>677</v>
      </c>
      <c r="C3224" t="s">
        <v>622</v>
      </c>
      <c r="D3224" t="s">
        <v>622</v>
      </c>
      <c r="E3224" s="10"/>
    </row>
    <row r="3225" spans="1:6">
      <c r="A3225" s="10">
        <v>2019</v>
      </c>
      <c r="B3225" t="s">
        <v>1463</v>
      </c>
      <c r="C3225" t="s">
        <v>1741</v>
      </c>
      <c r="D3225" t="s">
        <v>1741</v>
      </c>
      <c r="E3225" s="10">
        <v>70952</v>
      </c>
      <c r="F3225" s="12">
        <v>6.02E-5</v>
      </c>
    </row>
    <row r="3226" spans="1:6">
      <c r="A3226" s="10">
        <v>2019</v>
      </c>
      <c r="B3226" t="s">
        <v>678</v>
      </c>
      <c r="C3226" t="s">
        <v>1458</v>
      </c>
      <c r="D3226" t="s">
        <v>1458</v>
      </c>
      <c r="E3226" s="10"/>
    </row>
    <row r="3227" spans="1:6">
      <c r="A3227" s="10">
        <v>2019</v>
      </c>
      <c r="B3227" t="s">
        <v>1231</v>
      </c>
      <c r="C3227" t="s">
        <v>1742</v>
      </c>
      <c r="D3227" t="s">
        <v>1742</v>
      </c>
      <c r="E3227" s="10">
        <v>88892</v>
      </c>
      <c r="F3227" s="12">
        <v>7.5400000000000003E-5</v>
      </c>
    </row>
    <row r="3228" spans="1:6">
      <c r="A3228" s="10">
        <v>2019</v>
      </c>
      <c r="B3228" t="s">
        <v>680</v>
      </c>
      <c r="C3228" t="s">
        <v>1743</v>
      </c>
      <c r="D3228" t="s">
        <v>1743</v>
      </c>
      <c r="E3228" s="10">
        <v>47914</v>
      </c>
      <c r="F3228" s="12">
        <v>4.0599999999999998E-5</v>
      </c>
    </row>
    <row r="3229" spans="1:6">
      <c r="A3229" s="10">
        <v>2019</v>
      </c>
      <c r="B3229" t="s">
        <v>681</v>
      </c>
      <c r="C3229" t="s">
        <v>626</v>
      </c>
      <c r="D3229" t="s">
        <v>626</v>
      </c>
      <c r="E3229" s="10">
        <v>230306</v>
      </c>
      <c r="F3229" s="12">
        <v>1.953E-4</v>
      </c>
    </row>
    <row r="3230" spans="1:6">
      <c r="A3230" s="10">
        <v>2019</v>
      </c>
      <c r="B3230" t="s">
        <v>682</v>
      </c>
      <c r="C3230" t="s">
        <v>1744</v>
      </c>
      <c r="D3230" t="s">
        <v>1744</v>
      </c>
      <c r="E3230" s="10">
        <v>32954</v>
      </c>
      <c r="F3230" s="12">
        <v>2.7900000000000001E-5</v>
      </c>
    </row>
    <row r="3231" spans="1:6">
      <c r="A3231" s="10">
        <v>2019</v>
      </c>
      <c r="B3231" t="s">
        <v>1232</v>
      </c>
      <c r="C3231" t="s">
        <v>1745</v>
      </c>
      <c r="D3231" t="s">
        <v>1745</v>
      </c>
      <c r="E3231" s="10">
        <v>91576</v>
      </c>
      <c r="F3231" s="12">
        <v>7.7700000000000005E-5</v>
      </c>
    </row>
    <row r="3232" spans="1:6">
      <c r="A3232" s="10">
        <v>2019</v>
      </c>
      <c r="B3232" t="s">
        <v>683</v>
      </c>
      <c r="C3232" t="s">
        <v>1746</v>
      </c>
      <c r="D3232" t="s">
        <v>1746</v>
      </c>
      <c r="E3232" s="10">
        <v>215771</v>
      </c>
      <c r="F3232" s="12">
        <v>1.83E-4</v>
      </c>
    </row>
    <row r="3233" spans="1:6">
      <c r="A3233" s="10">
        <v>2019</v>
      </c>
      <c r="B3233" t="s">
        <v>685</v>
      </c>
      <c r="C3233" t="s">
        <v>1461</v>
      </c>
      <c r="D3233" t="s">
        <v>1461</v>
      </c>
      <c r="E3233" s="10">
        <v>21373</v>
      </c>
      <c r="F3233" s="12">
        <v>1.8099999999999999E-5</v>
      </c>
    </row>
    <row r="3234" spans="1:6">
      <c r="A3234" s="10">
        <v>2019</v>
      </c>
      <c r="B3234" t="s">
        <v>686</v>
      </c>
      <c r="C3234" t="s">
        <v>1747</v>
      </c>
      <c r="D3234" t="s">
        <v>1747</v>
      </c>
      <c r="E3234" s="10">
        <v>315041</v>
      </c>
      <c r="F3234" s="12">
        <v>2.6719999999999999E-4</v>
      </c>
    </row>
    <row r="3235" spans="1:6">
      <c r="A3235" s="10">
        <v>2019</v>
      </c>
      <c r="B3235" t="s">
        <v>2089</v>
      </c>
      <c r="C3235" t="s">
        <v>2087</v>
      </c>
      <c r="D3235" t="s">
        <v>2087</v>
      </c>
      <c r="E3235" s="10">
        <v>8283</v>
      </c>
      <c r="F3235" s="12">
        <v>6.9999999999999999E-6</v>
      </c>
    </row>
    <row r="3236" spans="1:6">
      <c r="A3236" s="10">
        <v>2019</v>
      </c>
      <c r="B3236" t="s">
        <v>687</v>
      </c>
      <c r="C3236" t="s">
        <v>632</v>
      </c>
      <c r="D3236" t="s">
        <v>632</v>
      </c>
      <c r="E3236" s="10">
        <v>859580</v>
      </c>
      <c r="F3236" s="12">
        <v>7.2900000000000005E-4</v>
      </c>
    </row>
    <row r="3237" spans="1:6">
      <c r="A3237" s="10">
        <v>2019</v>
      </c>
      <c r="B3237" t="s">
        <v>688</v>
      </c>
      <c r="C3237" t="s">
        <v>1748</v>
      </c>
      <c r="D3237" t="s">
        <v>1748</v>
      </c>
      <c r="E3237" s="10">
        <v>27940</v>
      </c>
      <c r="F3237" s="12">
        <v>2.37E-5</v>
      </c>
    </row>
    <row r="3238" spans="1:6">
      <c r="A3238" s="10">
        <v>2019</v>
      </c>
      <c r="B3238" t="s">
        <v>689</v>
      </c>
      <c r="C3238" t="s">
        <v>1749</v>
      </c>
      <c r="D3238" t="s">
        <v>1749</v>
      </c>
      <c r="E3238" s="10">
        <v>6512757</v>
      </c>
      <c r="F3238" s="12">
        <v>5.5234999999999998E-3</v>
      </c>
    </row>
    <row r="3239" spans="1:6">
      <c r="A3239" s="10">
        <v>2019</v>
      </c>
      <c r="B3239" t="s">
        <v>690</v>
      </c>
      <c r="C3239" t="s">
        <v>1750</v>
      </c>
      <c r="D3239" t="s">
        <v>1750</v>
      </c>
      <c r="E3239" s="10">
        <v>10374</v>
      </c>
      <c r="F3239" s="12">
        <v>8.8000000000000004E-6</v>
      </c>
    </row>
    <row r="3240" spans="1:6">
      <c r="A3240" s="10">
        <v>2019</v>
      </c>
      <c r="B3240" t="s">
        <v>691</v>
      </c>
      <c r="C3240" t="s">
        <v>1751</v>
      </c>
      <c r="D3240" t="s">
        <v>1751</v>
      </c>
      <c r="E3240" s="10">
        <v>1424272</v>
      </c>
      <c r="F3240" s="12">
        <v>1.2079E-3</v>
      </c>
    </row>
    <row r="3241" spans="1:6">
      <c r="A3241" s="10">
        <v>2019</v>
      </c>
      <c r="B3241" t="s">
        <v>440</v>
      </c>
      <c r="C3241" t="s">
        <v>1752</v>
      </c>
      <c r="D3241" t="s">
        <v>1752</v>
      </c>
      <c r="E3241" s="10">
        <v>189038</v>
      </c>
      <c r="F3241" s="12">
        <v>1.6029999999999999E-4</v>
      </c>
    </row>
    <row r="3242" spans="1:6">
      <c r="A3242" s="10">
        <v>2019</v>
      </c>
      <c r="B3242" t="s">
        <v>1464</v>
      </c>
      <c r="C3242" t="s">
        <v>1753</v>
      </c>
      <c r="D3242" t="s">
        <v>1753</v>
      </c>
      <c r="E3242" s="10">
        <v>344905</v>
      </c>
      <c r="F3242" s="12">
        <v>2.9250000000000001E-4</v>
      </c>
    </row>
    <row r="3243" spans="1:6">
      <c r="A3243" s="10">
        <v>2019</v>
      </c>
      <c r="B3243" t="s">
        <v>684</v>
      </c>
      <c r="C3243" t="s">
        <v>1754</v>
      </c>
      <c r="D3243" t="s">
        <v>1754</v>
      </c>
      <c r="E3243" s="10">
        <v>397485</v>
      </c>
      <c r="F3243" s="12">
        <v>3.3710000000000001E-4</v>
      </c>
    </row>
    <row r="3244" spans="1:6">
      <c r="A3244" s="10">
        <v>2019</v>
      </c>
      <c r="B3244" t="s">
        <v>692</v>
      </c>
      <c r="C3244" t="s">
        <v>637</v>
      </c>
      <c r="D3244" t="s">
        <v>637</v>
      </c>
      <c r="E3244" s="10">
        <v>232114</v>
      </c>
      <c r="F3244" s="12">
        <v>1.9689999999999999E-4</v>
      </c>
    </row>
    <row r="3245" spans="1:6">
      <c r="A3245" s="10">
        <v>2019</v>
      </c>
      <c r="B3245" t="s">
        <v>1356</v>
      </c>
      <c r="C3245" t="s">
        <v>1755</v>
      </c>
      <c r="D3245" t="s">
        <v>1755</v>
      </c>
      <c r="E3245" s="10">
        <v>174133</v>
      </c>
      <c r="F3245" s="12">
        <v>1.4770000000000001E-4</v>
      </c>
    </row>
    <row r="3246" spans="1:6">
      <c r="A3246" s="10">
        <v>2019</v>
      </c>
      <c r="B3246" t="s">
        <v>693</v>
      </c>
      <c r="C3246" t="s">
        <v>2442</v>
      </c>
      <c r="D3246" t="s">
        <v>1756</v>
      </c>
      <c r="E3246" s="10">
        <v>124499</v>
      </c>
      <c r="F3246" s="12">
        <v>1.0560000000000001E-4</v>
      </c>
    </row>
    <row r="3247" spans="1:6">
      <c r="A3247" s="10">
        <v>2019</v>
      </c>
      <c r="B3247" t="s">
        <v>694</v>
      </c>
      <c r="C3247" t="s">
        <v>1757</v>
      </c>
      <c r="D3247" t="s">
        <v>1757</v>
      </c>
      <c r="E3247" s="10">
        <v>3022152</v>
      </c>
      <c r="F3247" s="12">
        <v>2.5631E-3</v>
      </c>
    </row>
    <row r="3248" spans="1:6">
      <c r="A3248" s="10">
        <v>2019</v>
      </c>
      <c r="B3248" t="s">
        <v>695</v>
      </c>
      <c r="C3248" t="s">
        <v>1758</v>
      </c>
      <c r="D3248" t="s">
        <v>1758</v>
      </c>
      <c r="E3248" s="10">
        <v>109635</v>
      </c>
      <c r="F3248" s="12">
        <v>9.2999999999999997E-5</v>
      </c>
    </row>
    <row r="3249" spans="1:6">
      <c r="A3249" s="10">
        <v>2019</v>
      </c>
      <c r="B3249" t="s">
        <v>1781</v>
      </c>
      <c r="C3249" t="s">
        <v>1759</v>
      </c>
      <c r="D3249" t="s">
        <v>1759</v>
      </c>
      <c r="E3249" s="10">
        <v>204286</v>
      </c>
      <c r="F3249" s="12">
        <v>1.7330000000000001E-4</v>
      </c>
    </row>
    <row r="3250" spans="1:6">
      <c r="A3250" s="10">
        <v>2019</v>
      </c>
      <c r="B3250" t="s">
        <v>916</v>
      </c>
      <c r="C3250" t="s">
        <v>2443</v>
      </c>
      <c r="D3250" t="s">
        <v>1760</v>
      </c>
      <c r="E3250" s="10">
        <v>61359</v>
      </c>
      <c r="F3250" s="12">
        <v>5.1999999999999997E-5</v>
      </c>
    </row>
    <row r="3251" spans="1:6">
      <c r="A3251" s="10">
        <v>2019</v>
      </c>
      <c r="B3251" t="s">
        <v>696</v>
      </c>
      <c r="C3251" t="s">
        <v>641</v>
      </c>
      <c r="D3251" t="s">
        <v>641</v>
      </c>
      <c r="E3251" s="10">
        <v>24820</v>
      </c>
      <c r="F3251" s="12">
        <v>2.1100000000000001E-5</v>
      </c>
    </row>
    <row r="3252" spans="1:6">
      <c r="A3252" s="10">
        <v>2019</v>
      </c>
      <c r="B3252" t="s">
        <v>697</v>
      </c>
      <c r="C3252" t="s">
        <v>1761</v>
      </c>
      <c r="D3252" t="s">
        <v>2373</v>
      </c>
      <c r="E3252" s="10">
        <v>156826</v>
      </c>
      <c r="F3252" s="12">
        <v>1.3300000000000001E-4</v>
      </c>
    </row>
    <row r="3253" spans="1:6">
      <c r="A3253" s="10">
        <v>2019</v>
      </c>
      <c r="B3253" t="s">
        <v>698</v>
      </c>
      <c r="C3253" t="s">
        <v>1762</v>
      </c>
      <c r="D3253" t="s">
        <v>1762</v>
      </c>
      <c r="E3253" s="10">
        <v>3901159</v>
      </c>
      <c r="F3253" s="12">
        <v>3.3086000000000001E-3</v>
      </c>
    </row>
    <row r="3254" spans="1:6">
      <c r="A3254" s="10">
        <v>2019</v>
      </c>
      <c r="B3254" t="s">
        <v>699</v>
      </c>
      <c r="C3254" t="s">
        <v>1763</v>
      </c>
      <c r="D3254" t="s">
        <v>1763</v>
      </c>
      <c r="E3254" s="10">
        <v>2287603</v>
      </c>
      <c r="F3254" s="12">
        <v>1.9400999999999999E-3</v>
      </c>
    </row>
    <row r="3255" spans="1:6">
      <c r="A3255" s="10">
        <v>2019</v>
      </c>
      <c r="B3255" t="s">
        <v>700</v>
      </c>
      <c r="C3255" t="s">
        <v>2374</v>
      </c>
      <c r="D3255" t="s">
        <v>2374</v>
      </c>
      <c r="E3255" s="10">
        <v>13361</v>
      </c>
      <c r="F3255" s="12">
        <v>1.13E-5</v>
      </c>
    </row>
    <row r="3256" spans="1:6">
      <c r="A3256" s="10">
        <v>2019</v>
      </c>
      <c r="B3256" t="s">
        <v>701</v>
      </c>
      <c r="C3256" t="s">
        <v>2405</v>
      </c>
      <c r="D3256" t="s">
        <v>1765</v>
      </c>
      <c r="E3256" s="10">
        <v>306720</v>
      </c>
      <c r="F3256" s="12">
        <v>2.6009999999999998E-4</v>
      </c>
    </row>
    <row r="3257" spans="1:6">
      <c r="A3257" s="10">
        <v>2019</v>
      </c>
      <c r="B3257" t="s">
        <v>702</v>
      </c>
      <c r="C3257" t="s">
        <v>1766</v>
      </c>
      <c r="D3257" t="s">
        <v>1766</v>
      </c>
      <c r="E3257" s="10">
        <v>355212</v>
      </c>
      <c r="F3257" s="12">
        <v>3.0130000000000001E-4</v>
      </c>
    </row>
    <row r="3258" spans="1:6">
      <c r="A3258" s="10">
        <v>2019</v>
      </c>
      <c r="B3258" t="s">
        <v>703</v>
      </c>
      <c r="C3258" t="s">
        <v>1767</v>
      </c>
      <c r="D3258" t="s">
        <v>1767</v>
      </c>
      <c r="E3258" s="10">
        <v>1853469</v>
      </c>
      <c r="F3258" s="12">
        <v>1.5719E-3</v>
      </c>
    </row>
    <row r="3259" spans="1:6">
      <c r="A3259" s="10">
        <v>2019</v>
      </c>
      <c r="B3259" t="s">
        <v>1233</v>
      </c>
      <c r="C3259" t="s">
        <v>1768</v>
      </c>
      <c r="D3259" t="s">
        <v>1768</v>
      </c>
      <c r="E3259" s="10">
        <v>90467</v>
      </c>
      <c r="F3259" s="12">
        <v>7.6699999999999994E-5</v>
      </c>
    </row>
    <row r="3260" spans="1:6">
      <c r="A3260" s="10">
        <v>2019</v>
      </c>
      <c r="B3260" t="s">
        <v>704</v>
      </c>
      <c r="C3260" t="s">
        <v>1769</v>
      </c>
      <c r="D3260" t="s">
        <v>1769</v>
      </c>
      <c r="E3260" s="10">
        <v>113313</v>
      </c>
      <c r="F3260" s="12">
        <v>9.6100000000000005E-5</v>
      </c>
    </row>
    <row r="3261" spans="1:6">
      <c r="A3261" s="10">
        <v>2019</v>
      </c>
      <c r="B3261" t="s">
        <v>705</v>
      </c>
      <c r="C3261" t="s">
        <v>1770</v>
      </c>
      <c r="D3261" t="s">
        <v>1770</v>
      </c>
      <c r="E3261" s="10">
        <v>571844</v>
      </c>
      <c r="F3261" s="12">
        <v>4.8500000000000003E-4</v>
      </c>
    </row>
    <row r="3262" spans="1:6">
      <c r="A3262" s="10">
        <v>2019</v>
      </c>
      <c r="B3262" t="s">
        <v>706</v>
      </c>
      <c r="C3262" t="s">
        <v>1771</v>
      </c>
      <c r="D3262" t="s">
        <v>1771</v>
      </c>
      <c r="E3262" s="10">
        <v>3375826</v>
      </c>
      <c r="F3262" s="12">
        <v>2.8630999999999999E-3</v>
      </c>
    </row>
    <row r="3263" spans="1:6">
      <c r="A3263" s="10">
        <v>2019</v>
      </c>
      <c r="B3263" t="s">
        <v>441</v>
      </c>
      <c r="C3263" t="s">
        <v>1772</v>
      </c>
      <c r="D3263" t="s">
        <v>1772</v>
      </c>
      <c r="E3263" s="10">
        <v>1321221</v>
      </c>
      <c r="F3263" s="12">
        <v>1.1205E-3</v>
      </c>
    </row>
    <row r="3264" spans="1:6">
      <c r="A3264" s="10">
        <v>2019</v>
      </c>
      <c r="B3264" t="s">
        <v>707</v>
      </c>
      <c r="C3264" t="s">
        <v>1773</v>
      </c>
      <c r="D3264" t="s">
        <v>1773</v>
      </c>
      <c r="E3264" s="10">
        <v>60465</v>
      </c>
      <c r="F3264" s="12">
        <v>5.13E-5</v>
      </c>
    </row>
    <row r="3265" spans="1:6">
      <c r="A3265" s="10">
        <v>2019</v>
      </c>
      <c r="B3265" t="s">
        <v>708</v>
      </c>
      <c r="C3265" t="s">
        <v>1774</v>
      </c>
      <c r="D3265" t="s">
        <v>1774</v>
      </c>
      <c r="E3265" s="10">
        <v>9889186</v>
      </c>
      <c r="F3265" s="12">
        <v>8.3870999999999998E-3</v>
      </c>
    </row>
    <row r="3266" spans="1:6">
      <c r="A3266" s="10">
        <v>2019</v>
      </c>
      <c r="B3266" t="s">
        <v>709</v>
      </c>
      <c r="C3266" t="s">
        <v>654</v>
      </c>
      <c r="D3266" t="s">
        <v>654</v>
      </c>
      <c r="E3266" s="10">
        <v>798442</v>
      </c>
      <c r="F3266" s="12">
        <v>6.7719999999999998E-4</v>
      </c>
    </row>
    <row r="3267" spans="1:6">
      <c r="A3267" s="10">
        <v>2019</v>
      </c>
      <c r="B3267" t="s">
        <v>710</v>
      </c>
      <c r="C3267" t="s">
        <v>1775</v>
      </c>
      <c r="D3267" t="s">
        <v>1775</v>
      </c>
      <c r="E3267" s="10">
        <v>2530853</v>
      </c>
      <c r="F3267" s="12">
        <v>2.1464000000000001E-3</v>
      </c>
    </row>
    <row r="3268" spans="1:6">
      <c r="A3268" s="10">
        <v>2019</v>
      </c>
      <c r="B3268" t="s">
        <v>442</v>
      </c>
      <c r="C3268" t="s">
        <v>1776</v>
      </c>
      <c r="D3268" t="s">
        <v>1776</v>
      </c>
      <c r="E3268" s="10">
        <v>1887995</v>
      </c>
      <c r="F3268" s="12">
        <v>1.6012000000000001E-3</v>
      </c>
    </row>
    <row r="3269" spans="1:6">
      <c r="A3269" s="10">
        <v>2019</v>
      </c>
      <c r="B3269" t="s">
        <v>711</v>
      </c>
      <c r="C3269" t="s">
        <v>1777</v>
      </c>
      <c r="D3269" t="s">
        <v>1777</v>
      </c>
      <c r="E3269" s="10"/>
    </row>
    <row r="3270" spans="1:6">
      <c r="A3270" s="10">
        <v>2019</v>
      </c>
      <c r="B3270" t="s">
        <v>712</v>
      </c>
      <c r="C3270" t="s">
        <v>1778</v>
      </c>
      <c r="D3270" t="s">
        <v>1778</v>
      </c>
      <c r="E3270" s="10">
        <v>3836585</v>
      </c>
      <c r="F3270" s="12">
        <v>3.2537999999999998E-3</v>
      </c>
    </row>
    <row r="3271" spans="1:6">
      <c r="A3271" s="10">
        <v>2019</v>
      </c>
      <c r="B3271" t="s">
        <v>713</v>
      </c>
      <c r="C3271" t="s">
        <v>1779</v>
      </c>
      <c r="D3271" t="s">
        <v>1779</v>
      </c>
      <c r="E3271" s="10">
        <v>153657</v>
      </c>
      <c r="F3271" s="12">
        <v>1.303E-4</v>
      </c>
    </row>
    <row r="3272" spans="1:6">
      <c r="A3272" s="10">
        <v>2019</v>
      </c>
      <c r="B3272" t="s">
        <v>714</v>
      </c>
      <c r="C3272" t="s">
        <v>1780</v>
      </c>
      <c r="D3272" t="s">
        <v>1780</v>
      </c>
      <c r="E3272" s="10">
        <v>1666216</v>
      </c>
      <c r="F3272" s="12">
        <v>1.4131E-3</v>
      </c>
    </row>
    <row r="3273" spans="1:6">
      <c r="A3273" s="10">
        <v>2019</v>
      </c>
      <c r="B3273" t="s">
        <v>770</v>
      </c>
      <c r="C3273" t="s">
        <v>715</v>
      </c>
      <c r="D3273" t="s">
        <v>715</v>
      </c>
      <c r="E3273" s="10">
        <v>49848</v>
      </c>
      <c r="F3273" s="12">
        <v>4.2299999999999998E-5</v>
      </c>
    </row>
    <row r="3274" spans="1:6">
      <c r="A3274" s="10">
        <v>2019</v>
      </c>
      <c r="B3274" t="s">
        <v>771</v>
      </c>
      <c r="C3274" t="s">
        <v>1782</v>
      </c>
      <c r="D3274" t="s">
        <v>1782</v>
      </c>
      <c r="E3274" s="10"/>
    </row>
    <row r="3275" spans="1:6">
      <c r="A3275" s="10">
        <v>2019</v>
      </c>
      <c r="B3275" t="s">
        <v>772</v>
      </c>
      <c r="C3275" t="s">
        <v>1783</v>
      </c>
      <c r="D3275" t="s">
        <v>1783</v>
      </c>
      <c r="E3275" s="10"/>
    </row>
    <row r="3276" spans="1:6">
      <c r="A3276" s="10">
        <v>2019</v>
      </c>
      <c r="B3276" t="s">
        <v>773</v>
      </c>
      <c r="C3276" t="s">
        <v>1784</v>
      </c>
      <c r="D3276" t="s">
        <v>1784</v>
      </c>
      <c r="E3276" s="10">
        <v>6015099</v>
      </c>
      <c r="F3276" s="12">
        <v>5.1015000000000001E-3</v>
      </c>
    </row>
    <row r="3277" spans="1:6">
      <c r="A3277" s="10">
        <v>2019</v>
      </c>
      <c r="B3277" t="s">
        <v>443</v>
      </c>
      <c r="C3277" t="s">
        <v>1785</v>
      </c>
      <c r="D3277" t="s">
        <v>1785</v>
      </c>
      <c r="E3277" s="10">
        <v>249339</v>
      </c>
      <c r="F3277" s="12">
        <v>2.1149999999999999E-4</v>
      </c>
    </row>
    <row r="3278" spans="1:6">
      <c r="A3278" s="10">
        <v>2019</v>
      </c>
      <c r="B3278" t="s">
        <v>774</v>
      </c>
      <c r="C3278" t="s">
        <v>1786</v>
      </c>
      <c r="D3278" t="s">
        <v>1786</v>
      </c>
      <c r="E3278" s="10">
        <v>233565</v>
      </c>
      <c r="F3278" s="12">
        <v>1.9809999999999999E-4</v>
      </c>
    </row>
    <row r="3279" spans="1:6">
      <c r="A3279" s="10">
        <v>2019</v>
      </c>
      <c r="B3279" t="s">
        <v>775</v>
      </c>
      <c r="C3279" t="s">
        <v>1787</v>
      </c>
      <c r="D3279" t="s">
        <v>1787</v>
      </c>
      <c r="E3279" s="10">
        <v>3031421</v>
      </c>
      <c r="F3279" s="12">
        <v>2.5709999999999999E-3</v>
      </c>
    </row>
    <row r="3280" spans="1:6">
      <c r="A3280" s="10">
        <v>2019</v>
      </c>
      <c r="B3280" t="s">
        <v>776</v>
      </c>
      <c r="C3280" t="s">
        <v>721</v>
      </c>
      <c r="D3280" t="s">
        <v>721</v>
      </c>
      <c r="E3280" s="10"/>
    </row>
    <row r="3281" spans="1:6">
      <c r="A3281" s="10">
        <v>2019</v>
      </c>
      <c r="B3281" t="s">
        <v>778</v>
      </c>
      <c r="C3281" t="s">
        <v>1788</v>
      </c>
      <c r="D3281" t="s">
        <v>1788</v>
      </c>
      <c r="E3281" s="10">
        <v>3424231</v>
      </c>
      <c r="F3281" s="12">
        <v>2.9041000000000002E-3</v>
      </c>
    </row>
    <row r="3282" spans="1:6">
      <c r="A3282" s="10">
        <v>2019</v>
      </c>
      <c r="B3282" t="s">
        <v>779</v>
      </c>
      <c r="C3282" t="s">
        <v>1789</v>
      </c>
      <c r="D3282" t="s">
        <v>1789</v>
      </c>
      <c r="E3282" s="10">
        <v>145948</v>
      </c>
      <c r="F3282" s="12">
        <v>1.238E-4</v>
      </c>
    </row>
    <row r="3283" spans="1:6">
      <c r="A3283" s="10">
        <v>2019</v>
      </c>
      <c r="B3283" t="s">
        <v>780</v>
      </c>
      <c r="C3283" t="s">
        <v>1790</v>
      </c>
      <c r="D3283" t="s">
        <v>1790</v>
      </c>
      <c r="E3283" s="10">
        <v>442128</v>
      </c>
      <c r="F3283" s="12">
        <v>3.7500000000000001E-4</v>
      </c>
    </row>
    <row r="3284" spans="1:6">
      <c r="A3284" s="10">
        <v>2019</v>
      </c>
      <c r="B3284" t="s">
        <v>781</v>
      </c>
      <c r="C3284" t="s">
        <v>1791</v>
      </c>
      <c r="D3284" t="s">
        <v>1791</v>
      </c>
      <c r="E3284" s="10">
        <v>19486</v>
      </c>
      <c r="F3284" s="12">
        <v>1.6500000000000001E-5</v>
      </c>
    </row>
    <row r="3285" spans="1:6">
      <c r="A3285" s="10">
        <v>2019</v>
      </c>
      <c r="B3285" t="s">
        <v>782</v>
      </c>
      <c r="C3285" t="s">
        <v>1792</v>
      </c>
      <c r="D3285" t="s">
        <v>1792</v>
      </c>
      <c r="E3285" s="10">
        <v>7199554</v>
      </c>
      <c r="F3285" s="12">
        <v>6.1060000000000003E-3</v>
      </c>
    </row>
    <row r="3286" spans="1:6">
      <c r="A3286" s="10">
        <v>2019</v>
      </c>
      <c r="B3286" t="s">
        <v>1234</v>
      </c>
      <c r="C3286" t="s">
        <v>1793</v>
      </c>
      <c r="D3286" t="s">
        <v>1793</v>
      </c>
      <c r="E3286" s="10">
        <v>1651224</v>
      </c>
      <c r="F3286" s="12">
        <v>1.4004E-3</v>
      </c>
    </row>
    <row r="3287" spans="1:6">
      <c r="A3287" s="10">
        <v>2019</v>
      </c>
      <c r="B3287" t="s">
        <v>783</v>
      </c>
      <c r="C3287" t="s">
        <v>1794</v>
      </c>
      <c r="D3287" t="s">
        <v>1794</v>
      </c>
      <c r="E3287" s="10">
        <v>1042647</v>
      </c>
      <c r="F3287" s="12">
        <v>8.8429999999999997E-4</v>
      </c>
    </row>
    <row r="3288" spans="1:6">
      <c r="A3288" s="10">
        <v>2019</v>
      </c>
      <c r="B3288" t="s">
        <v>787</v>
      </c>
      <c r="C3288" t="s">
        <v>732</v>
      </c>
      <c r="D3288" t="s">
        <v>732</v>
      </c>
      <c r="E3288" s="10">
        <v>59505050</v>
      </c>
      <c r="F3288" s="12">
        <v>5.0466200000000003E-2</v>
      </c>
    </row>
    <row r="3289" spans="1:6">
      <c r="A3289" s="10">
        <v>2019</v>
      </c>
      <c r="B3289" t="s">
        <v>784</v>
      </c>
      <c r="C3289" t="s">
        <v>1795</v>
      </c>
      <c r="D3289" t="s">
        <v>1795</v>
      </c>
      <c r="E3289" s="10">
        <v>39375707</v>
      </c>
      <c r="F3289" s="12">
        <v>3.3394899999999998E-2</v>
      </c>
    </row>
    <row r="3290" spans="1:6">
      <c r="A3290" s="10">
        <v>2019</v>
      </c>
      <c r="B3290" t="s">
        <v>785</v>
      </c>
      <c r="C3290" t="s">
        <v>1796</v>
      </c>
      <c r="D3290" t="s">
        <v>2375</v>
      </c>
      <c r="E3290" s="10">
        <v>421706</v>
      </c>
      <c r="F3290" s="12">
        <v>3.5770000000000002E-4</v>
      </c>
    </row>
    <row r="3291" spans="1:6">
      <c r="A3291" s="10">
        <v>2019</v>
      </c>
      <c r="B3291" t="s">
        <v>788</v>
      </c>
      <c r="C3291" t="s">
        <v>1797</v>
      </c>
      <c r="D3291" t="s">
        <v>1797</v>
      </c>
      <c r="E3291" s="10">
        <v>305809</v>
      </c>
      <c r="F3291" s="12">
        <v>2.5940000000000002E-4</v>
      </c>
    </row>
    <row r="3292" spans="1:6">
      <c r="A3292" s="10">
        <v>2019</v>
      </c>
      <c r="B3292" t="s">
        <v>786</v>
      </c>
      <c r="C3292" t="s">
        <v>2460</v>
      </c>
      <c r="D3292" t="s">
        <v>1798</v>
      </c>
      <c r="E3292" s="10">
        <v>25211355</v>
      </c>
      <c r="F3292" s="12">
        <v>2.1382000000000002E-2</v>
      </c>
    </row>
    <row r="3293" spans="1:6">
      <c r="A3293" s="10">
        <v>2019</v>
      </c>
      <c r="B3293" t="s">
        <v>789</v>
      </c>
      <c r="C3293" t="s">
        <v>1799</v>
      </c>
      <c r="D3293" t="s">
        <v>1799</v>
      </c>
      <c r="E3293" s="10">
        <v>3688661</v>
      </c>
      <c r="F3293" s="12">
        <v>3.1283999999999999E-3</v>
      </c>
    </row>
    <row r="3294" spans="1:6">
      <c r="A3294" s="10">
        <v>2019</v>
      </c>
      <c r="B3294" t="s">
        <v>444</v>
      </c>
      <c r="C3294" t="s">
        <v>1800</v>
      </c>
      <c r="D3294" t="s">
        <v>1800</v>
      </c>
      <c r="E3294" s="10">
        <v>1010100</v>
      </c>
      <c r="F3294" s="12">
        <v>8.5669999999999995E-4</v>
      </c>
    </row>
    <row r="3295" spans="1:6">
      <c r="A3295" s="10">
        <v>2019</v>
      </c>
      <c r="B3295" t="s">
        <v>790</v>
      </c>
      <c r="C3295" t="s">
        <v>1801</v>
      </c>
      <c r="D3295" t="s">
        <v>1801</v>
      </c>
      <c r="E3295" s="10"/>
    </row>
    <row r="3296" spans="1:6">
      <c r="A3296" s="10">
        <v>2019</v>
      </c>
      <c r="B3296" t="s">
        <v>777</v>
      </c>
      <c r="C3296" t="s">
        <v>1802</v>
      </c>
      <c r="D3296" t="s">
        <v>1802</v>
      </c>
      <c r="E3296" s="10">
        <v>119292</v>
      </c>
      <c r="F3296" s="12">
        <v>1.0119999999999999E-4</v>
      </c>
    </row>
    <row r="3297" spans="1:6">
      <c r="A3297" s="10">
        <v>2019</v>
      </c>
      <c r="B3297" t="s">
        <v>791</v>
      </c>
      <c r="C3297" t="s">
        <v>736</v>
      </c>
      <c r="D3297" t="s">
        <v>736</v>
      </c>
      <c r="E3297" s="10">
        <v>272443</v>
      </c>
      <c r="F3297" s="12">
        <v>2.3110000000000001E-4</v>
      </c>
    </row>
    <row r="3298" spans="1:6">
      <c r="A3298" s="10">
        <v>2019</v>
      </c>
      <c r="B3298" t="s">
        <v>792</v>
      </c>
      <c r="C3298" t="s">
        <v>1803</v>
      </c>
      <c r="D3298" t="s">
        <v>1803</v>
      </c>
      <c r="E3298" s="10">
        <v>373077</v>
      </c>
      <c r="F3298" s="12">
        <v>3.1639999999999999E-4</v>
      </c>
    </row>
    <row r="3299" spans="1:6">
      <c r="A3299" s="10">
        <v>2019</v>
      </c>
      <c r="B3299" t="s">
        <v>793</v>
      </c>
      <c r="C3299" t="s">
        <v>1804</v>
      </c>
      <c r="D3299" t="s">
        <v>1804</v>
      </c>
      <c r="E3299" s="10">
        <v>130329</v>
      </c>
      <c r="F3299" s="12">
        <v>1.105E-4</v>
      </c>
    </row>
    <row r="3300" spans="1:6">
      <c r="A3300" s="10">
        <v>2019</v>
      </c>
      <c r="B3300" t="s">
        <v>794</v>
      </c>
      <c r="C3300" t="s">
        <v>1805</v>
      </c>
      <c r="D3300" t="s">
        <v>1805</v>
      </c>
      <c r="E3300" s="10">
        <v>42317</v>
      </c>
      <c r="F3300" s="12">
        <v>3.5899999999999998E-5</v>
      </c>
    </row>
    <row r="3301" spans="1:6">
      <c r="A3301" s="10">
        <v>2019</v>
      </c>
      <c r="B3301" t="s">
        <v>795</v>
      </c>
      <c r="C3301" t="s">
        <v>1806</v>
      </c>
      <c r="D3301" t="s">
        <v>1806</v>
      </c>
      <c r="E3301" s="10">
        <v>37965531</v>
      </c>
      <c r="F3301" s="12">
        <v>3.2198900000000003E-2</v>
      </c>
    </row>
    <row r="3302" spans="1:6">
      <c r="A3302" s="10">
        <v>2019</v>
      </c>
      <c r="B3302" t="s">
        <v>445</v>
      </c>
      <c r="C3302" t="s">
        <v>1807</v>
      </c>
      <c r="D3302" t="s">
        <v>1807</v>
      </c>
      <c r="E3302" s="10">
        <v>19111307</v>
      </c>
      <c r="F3302" s="12">
        <v>1.6208500000000001E-2</v>
      </c>
    </row>
    <row r="3303" spans="1:6">
      <c r="A3303" s="10">
        <v>2019</v>
      </c>
      <c r="B3303" t="s">
        <v>796</v>
      </c>
      <c r="C3303" t="s">
        <v>741</v>
      </c>
      <c r="D3303" t="s">
        <v>741</v>
      </c>
      <c r="E3303" s="10">
        <v>121545</v>
      </c>
      <c r="F3303" s="12">
        <v>1.031E-4</v>
      </c>
    </row>
    <row r="3304" spans="1:6">
      <c r="A3304" s="10">
        <v>2019</v>
      </c>
      <c r="B3304" t="s">
        <v>797</v>
      </c>
      <c r="C3304" t="s">
        <v>1808</v>
      </c>
      <c r="D3304" t="s">
        <v>2376</v>
      </c>
      <c r="E3304" s="10">
        <v>378286</v>
      </c>
      <c r="F3304" s="12">
        <v>3.2079999999999999E-4</v>
      </c>
    </row>
    <row r="3305" spans="1:6">
      <c r="A3305" s="10">
        <v>2019</v>
      </c>
      <c r="B3305" t="s">
        <v>798</v>
      </c>
      <c r="C3305" t="s">
        <v>743</v>
      </c>
      <c r="D3305" t="s">
        <v>743</v>
      </c>
      <c r="E3305" s="10">
        <v>121164</v>
      </c>
      <c r="F3305" s="12">
        <v>1.0280000000000001E-4</v>
      </c>
    </row>
    <row r="3306" spans="1:6">
      <c r="A3306" s="10">
        <v>2019</v>
      </c>
      <c r="B3306" t="s">
        <v>799</v>
      </c>
      <c r="C3306" t="s">
        <v>1809</v>
      </c>
      <c r="D3306" t="s">
        <v>1809</v>
      </c>
      <c r="E3306" s="10">
        <v>514884</v>
      </c>
      <c r="F3306" s="12">
        <v>4.3669999999999999E-4</v>
      </c>
    </row>
    <row r="3307" spans="1:6">
      <c r="A3307" s="10">
        <v>2019</v>
      </c>
      <c r="B3307" t="s">
        <v>1235</v>
      </c>
      <c r="C3307" t="s">
        <v>1810</v>
      </c>
      <c r="D3307" t="s">
        <v>1810</v>
      </c>
      <c r="E3307" s="10">
        <v>119110</v>
      </c>
      <c r="F3307" s="12">
        <v>1.01E-4</v>
      </c>
    </row>
    <row r="3308" spans="1:6">
      <c r="A3308" s="10">
        <v>2019</v>
      </c>
      <c r="B3308" t="s">
        <v>800</v>
      </c>
      <c r="C3308" t="s">
        <v>745</v>
      </c>
      <c r="D3308" t="s">
        <v>745</v>
      </c>
      <c r="E3308" s="10">
        <v>75725</v>
      </c>
      <c r="F3308" s="12">
        <v>6.4200000000000002E-5</v>
      </c>
    </row>
    <row r="3309" spans="1:6">
      <c r="A3309" s="10">
        <v>2019</v>
      </c>
      <c r="B3309" t="s">
        <v>801</v>
      </c>
      <c r="C3309" t="s">
        <v>1811</v>
      </c>
      <c r="D3309" t="s">
        <v>1811</v>
      </c>
      <c r="E3309" s="10">
        <v>669105</v>
      </c>
      <c r="F3309" s="12">
        <v>5.6749999999999997E-4</v>
      </c>
    </row>
    <row r="3310" spans="1:6">
      <c r="A3310" s="10">
        <v>2019</v>
      </c>
      <c r="B3310" t="s">
        <v>802</v>
      </c>
      <c r="C3310" t="s">
        <v>1812</v>
      </c>
      <c r="D3310" t="s">
        <v>1812</v>
      </c>
      <c r="E3310" s="10">
        <v>38437</v>
      </c>
      <c r="F3310" s="12">
        <v>3.26E-5</v>
      </c>
    </row>
    <row r="3311" spans="1:6">
      <c r="A3311" s="10">
        <v>2019</v>
      </c>
      <c r="B3311" t="s">
        <v>803</v>
      </c>
      <c r="C3311" t="s">
        <v>748</v>
      </c>
      <c r="D3311" t="s">
        <v>748</v>
      </c>
      <c r="E3311" s="10">
        <v>221906</v>
      </c>
      <c r="F3311" s="12">
        <v>1.8819999999999999E-4</v>
      </c>
    </row>
    <row r="3312" spans="1:6">
      <c r="A3312" s="10">
        <v>2019</v>
      </c>
      <c r="B3312" t="s">
        <v>804</v>
      </c>
      <c r="C3312" t="s">
        <v>749</v>
      </c>
      <c r="D3312" t="s">
        <v>749</v>
      </c>
      <c r="E3312" s="10">
        <v>284735</v>
      </c>
      <c r="F3312" s="12">
        <v>2.4149999999999999E-4</v>
      </c>
    </row>
    <row r="3313" spans="1:6">
      <c r="A3313" s="10">
        <v>2019</v>
      </c>
      <c r="B3313" t="s">
        <v>805</v>
      </c>
      <c r="C3313" t="s">
        <v>750</v>
      </c>
      <c r="D3313" t="s">
        <v>750</v>
      </c>
      <c r="E3313" s="10">
        <v>1513721</v>
      </c>
      <c r="F3313" s="12">
        <v>1.2838000000000001E-3</v>
      </c>
    </row>
    <row r="3314" spans="1:6">
      <c r="A3314" s="10">
        <v>2019</v>
      </c>
      <c r="B3314" t="s">
        <v>806</v>
      </c>
      <c r="C3314" t="s">
        <v>751</v>
      </c>
      <c r="D3314" t="s">
        <v>751</v>
      </c>
      <c r="E3314" s="10">
        <v>4097037</v>
      </c>
      <c r="F3314" s="12">
        <v>3.4746999999999998E-3</v>
      </c>
    </row>
    <row r="3315" spans="1:6">
      <c r="A3315" s="10">
        <v>2019</v>
      </c>
      <c r="B3315" t="s">
        <v>807</v>
      </c>
      <c r="C3315" t="s">
        <v>752</v>
      </c>
      <c r="D3315" t="s">
        <v>752</v>
      </c>
      <c r="E3315" s="10">
        <v>88569</v>
      </c>
      <c r="F3315" s="12">
        <v>7.5099999999999996E-5</v>
      </c>
    </row>
    <row r="3316" spans="1:6">
      <c r="A3316" s="10">
        <v>2019</v>
      </c>
      <c r="B3316" t="s">
        <v>808</v>
      </c>
      <c r="C3316" t="s">
        <v>2430</v>
      </c>
      <c r="D3316" t="s">
        <v>1813</v>
      </c>
      <c r="E3316" s="10">
        <v>179528</v>
      </c>
      <c r="F3316" s="12">
        <v>1.5229999999999999E-4</v>
      </c>
    </row>
    <row r="3317" spans="1:6">
      <c r="A3317" s="10">
        <v>2019</v>
      </c>
      <c r="B3317" t="s">
        <v>809</v>
      </c>
      <c r="C3317" t="s">
        <v>1814</v>
      </c>
      <c r="D3317" t="s">
        <v>1814</v>
      </c>
      <c r="E3317" s="10">
        <v>652319</v>
      </c>
      <c r="F3317" s="12">
        <v>5.532E-4</v>
      </c>
    </row>
    <row r="3318" spans="1:6">
      <c r="A3318" s="10">
        <v>2019</v>
      </c>
      <c r="B3318" t="s">
        <v>1470</v>
      </c>
      <c r="C3318" t="s">
        <v>1815</v>
      </c>
      <c r="D3318" t="s">
        <v>1815</v>
      </c>
      <c r="E3318" s="10">
        <v>15695</v>
      </c>
      <c r="F3318" s="12">
        <v>1.33E-5</v>
      </c>
    </row>
    <row r="3319" spans="1:6">
      <c r="A3319" s="10">
        <v>2019</v>
      </c>
      <c r="B3319" t="s">
        <v>810</v>
      </c>
      <c r="C3319" t="s">
        <v>1816</v>
      </c>
      <c r="D3319" t="s">
        <v>1816</v>
      </c>
      <c r="E3319" s="10">
        <v>99220</v>
      </c>
      <c r="F3319" s="12">
        <v>8.4099999999999998E-5</v>
      </c>
    </row>
    <row r="3320" spans="1:6">
      <c r="A3320" s="10">
        <v>2019</v>
      </c>
      <c r="B3320" t="s">
        <v>811</v>
      </c>
      <c r="C3320" t="s">
        <v>1817</v>
      </c>
      <c r="D3320" t="s">
        <v>1817</v>
      </c>
      <c r="E3320" s="10"/>
    </row>
    <row r="3321" spans="1:6">
      <c r="A3321" s="10">
        <v>2019</v>
      </c>
      <c r="B3321" t="s">
        <v>812</v>
      </c>
      <c r="C3321" t="s">
        <v>1818</v>
      </c>
      <c r="D3321" t="s">
        <v>1818</v>
      </c>
      <c r="E3321" s="10">
        <v>923187</v>
      </c>
      <c r="F3321" s="12">
        <v>7.8299999999999995E-4</v>
      </c>
    </row>
    <row r="3322" spans="1:6">
      <c r="A3322" s="10">
        <v>2019</v>
      </c>
      <c r="B3322" t="s">
        <v>813</v>
      </c>
      <c r="C3322" t="s">
        <v>1819</v>
      </c>
      <c r="D3322" t="s">
        <v>1819</v>
      </c>
      <c r="E3322" s="10">
        <v>88427</v>
      </c>
      <c r="F3322" s="12">
        <v>7.4999999999999993E-5</v>
      </c>
    </row>
    <row r="3323" spans="1:6">
      <c r="A3323" s="10">
        <v>2019</v>
      </c>
      <c r="B3323" t="s">
        <v>814</v>
      </c>
      <c r="C3323" t="s">
        <v>1820</v>
      </c>
      <c r="D3323" t="s">
        <v>1820</v>
      </c>
      <c r="E3323" s="10">
        <v>66950</v>
      </c>
      <c r="F3323" s="12">
        <v>5.6799999999999998E-5</v>
      </c>
    </row>
    <row r="3324" spans="1:6">
      <c r="A3324" s="10">
        <v>2019</v>
      </c>
      <c r="B3324" t="s">
        <v>815</v>
      </c>
      <c r="C3324" t="s">
        <v>760</v>
      </c>
      <c r="D3324" t="s">
        <v>760</v>
      </c>
      <c r="E3324" s="10">
        <v>23671</v>
      </c>
      <c r="F3324" s="12">
        <v>2.0100000000000001E-5</v>
      </c>
    </row>
    <row r="3325" spans="1:6">
      <c r="A3325" s="10">
        <v>2019</v>
      </c>
      <c r="B3325" t="s">
        <v>816</v>
      </c>
      <c r="C3325" t="s">
        <v>761</v>
      </c>
      <c r="D3325" t="s">
        <v>761</v>
      </c>
      <c r="E3325" s="10">
        <v>45224</v>
      </c>
      <c r="F3325" s="12">
        <v>3.8399999999999998E-5</v>
      </c>
    </row>
    <row r="3326" spans="1:6">
      <c r="A3326" s="10">
        <v>2019</v>
      </c>
      <c r="B3326" t="s">
        <v>817</v>
      </c>
      <c r="C3326" t="s">
        <v>762</v>
      </c>
      <c r="D3326" t="s">
        <v>762</v>
      </c>
      <c r="E3326" s="10">
        <v>88030</v>
      </c>
      <c r="F3326" s="12">
        <v>7.47E-5</v>
      </c>
    </row>
    <row r="3327" spans="1:6">
      <c r="A3327" s="10">
        <v>2019</v>
      </c>
      <c r="B3327" t="s">
        <v>818</v>
      </c>
      <c r="C3327" t="s">
        <v>2445</v>
      </c>
      <c r="D3327" t="s">
        <v>1821</v>
      </c>
      <c r="E3327" s="10">
        <v>23912</v>
      </c>
      <c r="F3327" s="12">
        <v>2.0299999999999999E-5</v>
      </c>
    </row>
    <row r="3328" spans="1:6">
      <c r="A3328" s="10">
        <v>2019</v>
      </c>
      <c r="B3328" t="s">
        <v>820</v>
      </c>
      <c r="C3328" t="s">
        <v>1822</v>
      </c>
      <c r="D3328" t="s">
        <v>1822</v>
      </c>
      <c r="E3328" s="10">
        <v>885383</v>
      </c>
      <c r="F3328" s="12">
        <v>7.5089999999999998E-4</v>
      </c>
    </row>
    <row r="3329" spans="1:6">
      <c r="A3329" s="10">
        <v>2019</v>
      </c>
      <c r="B3329" t="s">
        <v>822</v>
      </c>
      <c r="C3329" t="s">
        <v>2406</v>
      </c>
      <c r="D3329" t="s">
        <v>1823</v>
      </c>
      <c r="E3329" s="10">
        <v>119094</v>
      </c>
      <c r="F3329" s="12">
        <v>1.01E-4</v>
      </c>
    </row>
    <row r="3330" spans="1:6">
      <c r="A3330" s="10">
        <v>2019</v>
      </c>
      <c r="B3330" t="s">
        <v>880</v>
      </c>
      <c r="C3330" t="s">
        <v>2407</v>
      </c>
      <c r="D3330" t="s">
        <v>1824</v>
      </c>
      <c r="E3330" s="10">
        <v>557479</v>
      </c>
      <c r="F3330" s="12">
        <v>4.728E-4</v>
      </c>
    </row>
    <row r="3331" spans="1:6">
      <c r="A3331" s="10">
        <v>2019</v>
      </c>
      <c r="B3331" t="s">
        <v>884</v>
      </c>
      <c r="C3331" t="s">
        <v>829</v>
      </c>
      <c r="D3331" t="s">
        <v>829</v>
      </c>
      <c r="E3331" s="10">
        <v>1914452</v>
      </c>
      <c r="F3331" s="12">
        <v>1.6237000000000001E-3</v>
      </c>
    </row>
    <row r="3332" spans="1:6">
      <c r="A3332" s="10">
        <v>2019</v>
      </c>
      <c r="B3332" t="s">
        <v>881</v>
      </c>
      <c r="C3332" t="s">
        <v>1825</v>
      </c>
      <c r="D3332" t="s">
        <v>1825</v>
      </c>
      <c r="E3332" s="10">
        <v>25608</v>
      </c>
      <c r="F3332" s="12">
        <v>2.1699999999999999E-5</v>
      </c>
    </row>
    <row r="3333" spans="1:6">
      <c r="A3333" s="10">
        <v>2019</v>
      </c>
      <c r="B3333" t="s">
        <v>883</v>
      </c>
      <c r="C3333" t="s">
        <v>2418</v>
      </c>
      <c r="D3333" t="s">
        <v>2377</v>
      </c>
      <c r="E3333" s="10"/>
    </row>
    <row r="3334" spans="1:6">
      <c r="A3334" s="10">
        <v>2019</v>
      </c>
      <c r="B3334" t="s">
        <v>882</v>
      </c>
      <c r="C3334" t="s">
        <v>1827</v>
      </c>
      <c r="D3334" t="s">
        <v>1827</v>
      </c>
      <c r="E3334" s="10"/>
    </row>
    <row r="3335" spans="1:6">
      <c r="A3335" s="10">
        <v>2019</v>
      </c>
      <c r="B3335" t="s">
        <v>885</v>
      </c>
      <c r="C3335" t="s">
        <v>1828</v>
      </c>
      <c r="D3335" t="s">
        <v>2378</v>
      </c>
      <c r="E3335" s="10">
        <v>120847</v>
      </c>
      <c r="F3335" s="12">
        <v>1.025E-4</v>
      </c>
    </row>
    <row r="3336" spans="1:6">
      <c r="A3336" s="10">
        <v>2019</v>
      </c>
      <c r="B3336" t="s">
        <v>886</v>
      </c>
      <c r="C3336" t="s">
        <v>1829</v>
      </c>
      <c r="D3336" t="s">
        <v>1829</v>
      </c>
      <c r="E3336" s="10">
        <v>44786</v>
      </c>
      <c r="F3336" s="12">
        <v>3.8000000000000002E-5</v>
      </c>
    </row>
    <row r="3337" spans="1:6">
      <c r="A3337" s="10">
        <v>2019</v>
      </c>
      <c r="B3337" t="s">
        <v>887</v>
      </c>
      <c r="C3337" t="s">
        <v>1830</v>
      </c>
      <c r="D3337" t="s">
        <v>1830</v>
      </c>
      <c r="E3337" s="10">
        <v>70430</v>
      </c>
      <c r="F3337" s="12">
        <v>5.9700000000000001E-5</v>
      </c>
    </row>
    <row r="3338" spans="1:6">
      <c r="A3338" s="10">
        <v>2019</v>
      </c>
      <c r="B3338" t="s">
        <v>888</v>
      </c>
      <c r="C3338" t="s">
        <v>1831</v>
      </c>
      <c r="D3338" t="s">
        <v>1831</v>
      </c>
      <c r="E3338" s="10">
        <v>26577</v>
      </c>
      <c r="F3338" s="12">
        <v>2.2500000000000001E-5</v>
      </c>
    </row>
    <row r="3339" spans="1:6">
      <c r="A3339" s="10">
        <v>2019</v>
      </c>
      <c r="B3339" t="s">
        <v>889</v>
      </c>
      <c r="C3339" t="s">
        <v>834</v>
      </c>
      <c r="D3339" t="s">
        <v>834</v>
      </c>
      <c r="E3339" s="10"/>
    </row>
    <row r="3340" spans="1:6">
      <c r="A3340" s="10">
        <v>2019</v>
      </c>
      <c r="B3340" t="s">
        <v>890</v>
      </c>
      <c r="C3340" t="s">
        <v>1832</v>
      </c>
      <c r="D3340" t="s">
        <v>1832</v>
      </c>
      <c r="E3340" s="10">
        <v>2801636</v>
      </c>
      <c r="F3340" s="12">
        <v>2.3760999999999999E-3</v>
      </c>
    </row>
    <row r="3341" spans="1:6">
      <c r="A3341" s="10">
        <v>2019</v>
      </c>
      <c r="B3341" t="s">
        <v>446</v>
      </c>
      <c r="C3341" t="s">
        <v>1833</v>
      </c>
      <c r="D3341" t="s">
        <v>1833</v>
      </c>
      <c r="E3341" s="10">
        <v>770660</v>
      </c>
      <c r="F3341" s="12">
        <v>6.5359999999999995E-4</v>
      </c>
    </row>
    <row r="3342" spans="1:6">
      <c r="A3342" s="10">
        <v>2019</v>
      </c>
      <c r="B3342" t="s">
        <v>821</v>
      </c>
      <c r="C3342" t="s">
        <v>1834</v>
      </c>
      <c r="D3342" t="s">
        <v>1834</v>
      </c>
      <c r="E3342" s="10">
        <v>85065</v>
      </c>
      <c r="F3342" s="12">
        <v>7.2100000000000004E-5</v>
      </c>
    </row>
    <row r="3343" spans="1:6">
      <c r="A3343" s="10">
        <v>2019</v>
      </c>
      <c r="B3343" t="s">
        <v>891</v>
      </c>
      <c r="C3343" t="s">
        <v>1835</v>
      </c>
      <c r="D3343" t="s">
        <v>2379</v>
      </c>
      <c r="E3343" s="10">
        <v>48266</v>
      </c>
      <c r="F3343" s="12">
        <v>4.0899999999999998E-5</v>
      </c>
    </row>
    <row r="3344" spans="1:6">
      <c r="A3344" s="10">
        <v>2019</v>
      </c>
      <c r="B3344" t="s">
        <v>892</v>
      </c>
      <c r="C3344" t="s">
        <v>1836</v>
      </c>
      <c r="D3344" t="s">
        <v>1836</v>
      </c>
      <c r="E3344" s="10">
        <v>105315</v>
      </c>
      <c r="F3344" s="12">
        <v>8.9300000000000002E-5</v>
      </c>
    </row>
    <row r="3345" spans="1:6">
      <c r="A3345" s="10">
        <v>2019</v>
      </c>
      <c r="B3345" t="s">
        <v>896</v>
      </c>
      <c r="C3345" t="s">
        <v>1837</v>
      </c>
      <c r="D3345" t="s">
        <v>2257</v>
      </c>
      <c r="E3345" s="10">
        <v>43471</v>
      </c>
      <c r="F3345" s="12">
        <v>3.6900000000000002E-5</v>
      </c>
    </row>
    <row r="3346" spans="1:6">
      <c r="A3346" s="10">
        <v>2019</v>
      </c>
      <c r="B3346" t="s">
        <v>893</v>
      </c>
      <c r="C3346" t="s">
        <v>2432</v>
      </c>
      <c r="D3346" t="s">
        <v>1838</v>
      </c>
      <c r="E3346" s="10">
        <v>1559</v>
      </c>
      <c r="F3346" s="12">
        <v>1.3E-6</v>
      </c>
    </row>
    <row r="3347" spans="1:6">
      <c r="A3347" s="10">
        <v>2019</v>
      </c>
      <c r="B3347" t="s">
        <v>824</v>
      </c>
      <c r="C3347" t="s">
        <v>1839</v>
      </c>
      <c r="D3347" t="s">
        <v>1839</v>
      </c>
      <c r="E3347" s="10">
        <v>375457</v>
      </c>
      <c r="F3347" s="12">
        <v>3.1839999999999999E-4</v>
      </c>
    </row>
    <row r="3348" spans="1:6">
      <c r="A3348" s="10">
        <v>2019</v>
      </c>
      <c r="B3348" t="s">
        <v>823</v>
      </c>
      <c r="C3348" t="s">
        <v>1840</v>
      </c>
      <c r="D3348" t="s">
        <v>1840</v>
      </c>
      <c r="E3348" s="10">
        <v>935463</v>
      </c>
      <c r="F3348" s="12">
        <v>7.9339999999999999E-4</v>
      </c>
    </row>
    <row r="3349" spans="1:6">
      <c r="A3349" s="10">
        <v>2019</v>
      </c>
      <c r="B3349" t="s">
        <v>897</v>
      </c>
      <c r="C3349" t="s">
        <v>1841</v>
      </c>
      <c r="D3349" t="s">
        <v>2380</v>
      </c>
      <c r="E3349" s="10">
        <v>526903</v>
      </c>
      <c r="F3349" s="12">
        <v>4.4690000000000002E-4</v>
      </c>
    </row>
    <row r="3350" spans="1:6">
      <c r="A3350" s="10">
        <v>2019</v>
      </c>
      <c r="B3350" t="s">
        <v>894</v>
      </c>
      <c r="C3350" t="s">
        <v>839</v>
      </c>
      <c r="D3350" t="s">
        <v>839</v>
      </c>
      <c r="E3350" s="10">
        <v>13781880</v>
      </c>
      <c r="F3350" s="12">
        <v>1.1688499999999999E-2</v>
      </c>
    </row>
    <row r="3351" spans="1:6">
      <c r="A3351" s="10">
        <v>2019</v>
      </c>
      <c r="B3351" t="s">
        <v>895</v>
      </c>
      <c r="C3351" t="s">
        <v>1842</v>
      </c>
      <c r="D3351" t="s">
        <v>2381</v>
      </c>
      <c r="E3351" s="10">
        <v>37351</v>
      </c>
      <c r="F3351" s="12">
        <v>3.1699999999999998E-5</v>
      </c>
    </row>
    <row r="3352" spans="1:6">
      <c r="A3352" s="10">
        <v>2019</v>
      </c>
      <c r="B3352" t="s">
        <v>898</v>
      </c>
      <c r="C3352" t="s">
        <v>843</v>
      </c>
      <c r="D3352" t="s">
        <v>843</v>
      </c>
      <c r="E3352" s="10">
        <v>1390754</v>
      </c>
      <c r="F3352" s="12">
        <v>1.1795E-3</v>
      </c>
    </row>
    <row r="3353" spans="1:6">
      <c r="A3353" s="10">
        <v>2019</v>
      </c>
      <c r="B3353" t="s">
        <v>899</v>
      </c>
      <c r="C3353" t="s">
        <v>844</v>
      </c>
      <c r="D3353" t="s">
        <v>844</v>
      </c>
      <c r="E3353" s="10">
        <v>354664</v>
      </c>
      <c r="F3353" s="12">
        <v>3.0079999999999999E-4</v>
      </c>
    </row>
    <row r="3354" spans="1:6">
      <c r="A3354" s="10">
        <v>2019</v>
      </c>
      <c r="B3354" t="s">
        <v>900</v>
      </c>
      <c r="C3354" t="s">
        <v>845</v>
      </c>
      <c r="D3354" t="s">
        <v>845</v>
      </c>
      <c r="E3354" s="10">
        <v>254111</v>
      </c>
      <c r="F3354" s="12">
        <v>2.1550000000000001E-4</v>
      </c>
    </row>
    <row r="3355" spans="1:6">
      <c r="A3355" s="10">
        <v>2019</v>
      </c>
      <c r="B3355" t="s">
        <v>901</v>
      </c>
      <c r="C3355" t="s">
        <v>846</v>
      </c>
      <c r="D3355" t="s">
        <v>846</v>
      </c>
      <c r="E3355" s="10">
        <v>116190</v>
      </c>
      <c r="F3355" s="12">
        <v>9.8499999999999995E-5</v>
      </c>
    </row>
    <row r="3356" spans="1:6">
      <c r="A3356" s="10">
        <v>2019</v>
      </c>
      <c r="B3356" t="s">
        <v>902</v>
      </c>
      <c r="C3356" t="s">
        <v>1843</v>
      </c>
      <c r="D3356" t="s">
        <v>1843</v>
      </c>
      <c r="E3356" s="10">
        <v>287991</v>
      </c>
      <c r="F3356" s="12">
        <v>2.4420000000000003E-4</v>
      </c>
    </row>
    <row r="3357" spans="1:6">
      <c r="A3357" s="10">
        <v>2019</v>
      </c>
      <c r="B3357" t="s">
        <v>1236</v>
      </c>
      <c r="C3357" t="s">
        <v>1844</v>
      </c>
      <c r="D3357" t="s">
        <v>1844</v>
      </c>
      <c r="E3357" s="10">
        <v>1524064</v>
      </c>
      <c r="F3357" s="12">
        <v>1.2926000000000001E-3</v>
      </c>
    </row>
    <row r="3358" spans="1:6">
      <c r="A3358" s="10">
        <v>2019</v>
      </c>
      <c r="B3358" t="s">
        <v>903</v>
      </c>
      <c r="C3358" t="s">
        <v>1845</v>
      </c>
      <c r="D3358" t="s">
        <v>1845</v>
      </c>
      <c r="E3358" s="10">
        <v>1697008</v>
      </c>
      <c r="F3358" s="12">
        <v>1.4392000000000001E-3</v>
      </c>
    </row>
    <row r="3359" spans="1:6">
      <c r="A3359" s="10">
        <v>2019</v>
      </c>
      <c r="B3359" t="s">
        <v>904</v>
      </c>
      <c r="C3359" t="s">
        <v>1846</v>
      </c>
      <c r="D3359" t="s">
        <v>1846</v>
      </c>
      <c r="E3359" s="10">
        <v>19445</v>
      </c>
      <c r="F3359" s="12">
        <v>1.6500000000000001E-5</v>
      </c>
    </row>
    <row r="3360" spans="1:6">
      <c r="A3360" s="10">
        <v>2019</v>
      </c>
      <c r="B3360" t="s">
        <v>905</v>
      </c>
      <c r="C3360" t="s">
        <v>1847</v>
      </c>
      <c r="D3360" t="s">
        <v>1847</v>
      </c>
      <c r="E3360" s="10">
        <v>35173</v>
      </c>
      <c r="F3360" s="12">
        <v>2.9799999999999999E-5</v>
      </c>
    </row>
    <row r="3361" spans="1:6">
      <c r="A3361" s="10">
        <v>2019</v>
      </c>
      <c r="B3361" t="s">
        <v>906</v>
      </c>
      <c r="C3361" t="s">
        <v>1848</v>
      </c>
      <c r="D3361" t="s">
        <v>1848</v>
      </c>
      <c r="E3361" s="10">
        <v>1624694</v>
      </c>
      <c r="F3361" s="12">
        <v>1.3779E-3</v>
      </c>
    </row>
    <row r="3362" spans="1:6">
      <c r="A3362" s="10">
        <v>2019</v>
      </c>
      <c r="B3362" t="s">
        <v>447</v>
      </c>
      <c r="C3362" t="s">
        <v>1849</v>
      </c>
      <c r="D3362" t="s">
        <v>1849</v>
      </c>
      <c r="E3362" s="10">
        <v>574955</v>
      </c>
      <c r="F3362" s="12">
        <v>4.8759999999999998E-4</v>
      </c>
    </row>
    <row r="3363" spans="1:6">
      <c r="A3363" s="10">
        <v>2019</v>
      </c>
      <c r="B3363" t="s">
        <v>1034</v>
      </c>
      <c r="C3363" t="s">
        <v>1850</v>
      </c>
      <c r="D3363" t="s">
        <v>1850</v>
      </c>
      <c r="E3363" s="10">
        <v>230534</v>
      </c>
      <c r="F3363" s="12">
        <v>1.9550000000000001E-4</v>
      </c>
    </row>
    <row r="3364" spans="1:6">
      <c r="A3364" s="10">
        <v>2019</v>
      </c>
      <c r="B3364" t="s">
        <v>908</v>
      </c>
      <c r="C3364" t="s">
        <v>1851</v>
      </c>
      <c r="D3364" t="s">
        <v>1851</v>
      </c>
      <c r="E3364" s="10">
        <v>288518</v>
      </c>
      <c r="F3364" s="12">
        <v>2.4469999999999998E-4</v>
      </c>
    </row>
    <row r="3365" spans="1:6">
      <c r="A3365" s="10">
        <v>2019</v>
      </c>
      <c r="B3365" t="s">
        <v>909</v>
      </c>
      <c r="C3365" t="s">
        <v>1852</v>
      </c>
      <c r="D3365" t="s">
        <v>1852</v>
      </c>
      <c r="E3365" s="10">
        <v>104099</v>
      </c>
      <c r="F3365" s="12">
        <v>8.8300000000000005E-5</v>
      </c>
    </row>
    <row r="3366" spans="1:6">
      <c r="A3366" s="10">
        <v>2019</v>
      </c>
      <c r="B3366" t="s">
        <v>910</v>
      </c>
      <c r="C3366" t="s">
        <v>1853</v>
      </c>
      <c r="D3366" t="s">
        <v>1853</v>
      </c>
      <c r="E3366" s="10">
        <v>586903</v>
      </c>
      <c r="F3366" s="12">
        <v>4.9779999999999996E-4</v>
      </c>
    </row>
    <row r="3367" spans="1:6">
      <c r="A3367" s="10">
        <v>2019</v>
      </c>
      <c r="B3367" t="s">
        <v>912</v>
      </c>
      <c r="C3367" t="s">
        <v>1854</v>
      </c>
      <c r="D3367" t="s">
        <v>2382</v>
      </c>
      <c r="E3367" s="10">
        <v>1142456</v>
      </c>
      <c r="F3367" s="12">
        <v>9.6889999999999997E-4</v>
      </c>
    </row>
    <row r="3368" spans="1:6">
      <c r="A3368" s="10">
        <v>2019</v>
      </c>
      <c r="B3368" t="s">
        <v>911</v>
      </c>
      <c r="C3368" t="s">
        <v>1855</v>
      </c>
      <c r="D3368" t="s">
        <v>1855</v>
      </c>
      <c r="E3368" s="10">
        <v>17868322</v>
      </c>
      <c r="F3368" s="12">
        <v>1.5154300000000001E-2</v>
      </c>
    </row>
    <row r="3369" spans="1:6">
      <c r="A3369" s="10">
        <v>2019</v>
      </c>
      <c r="B3369" t="s">
        <v>1237</v>
      </c>
      <c r="C3369" t="s">
        <v>1856</v>
      </c>
      <c r="D3369" t="s">
        <v>1856</v>
      </c>
      <c r="E3369" s="10">
        <v>546098</v>
      </c>
      <c r="F3369" s="12">
        <v>4.6319999999999998E-4</v>
      </c>
    </row>
    <row r="3370" spans="1:6">
      <c r="A3370" s="10">
        <v>2019</v>
      </c>
      <c r="B3370" t="s">
        <v>1474</v>
      </c>
      <c r="C3370" t="s">
        <v>1473</v>
      </c>
      <c r="D3370" t="s">
        <v>1473</v>
      </c>
      <c r="E3370" s="10"/>
    </row>
    <row r="3371" spans="1:6">
      <c r="A3371" s="10">
        <v>2019</v>
      </c>
      <c r="B3371" t="s">
        <v>913</v>
      </c>
      <c r="C3371" t="s">
        <v>1857</v>
      </c>
      <c r="D3371" t="s">
        <v>1857</v>
      </c>
      <c r="E3371" s="10">
        <v>111166</v>
      </c>
      <c r="F3371" s="12">
        <v>9.4300000000000002E-5</v>
      </c>
    </row>
    <row r="3372" spans="1:6">
      <c r="A3372" s="10">
        <v>2019</v>
      </c>
      <c r="B3372" t="s">
        <v>914</v>
      </c>
      <c r="C3372" t="s">
        <v>1858</v>
      </c>
      <c r="D3372" t="s">
        <v>1858</v>
      </c>
      <c r="E3372" s="10">
        <v>73459</v>
      </c>
      <c r="F3372" s="12">
        <v>6.2299999999999996E-5</v>
      </c>
    </row>
    <row r="3373" spans="1:6">
      <c r="A3373" s="10">
        <v>2019</v>
      </c>
      <c r="B3373" t="s">
        <v>915</v>
      </c>
      <c r="C3373" t="s">
        <v>1859</v>
      </c>
      <c r="D3373" t="s">
        <v>1859</v>
      </c>
      <c r="E3373" s="10">
        <v>1189394</v>
      </c>
      <c r="F3373" s="12">
        <v>1.0087E-3</v>
      </c>
    </row>
    <row r="3374" spans="1:6">
      <c r="A3374" s="10">
        <v>2019</v>
      </c>
      <c r="B3374" t="s">
        <v>1238</v>
      </c>
      <c r="C3374" t="s">
        <v>1860</v>
      </c>
      <c r="D3374" t="s">
        <v>1860</v>
      </c>
      <c r="E3374" s="10">
        <v>161437</v>
      </c>
      <c r="F3374" s="12">
        <v>1.3689999999999999E-4</v>
      </c>
    </row>
    <row r="3375" spans="1:6">
      <c r="A3375" s="10">
        <v>2019</v>
      </c>
      <c r="B3375" t="s">
        <v>917</v>
      </c>
      <c r="C3375" t="s">
        <v>1861</v>
      </c>
      <c r="D3375" t="s">
        <v>1861</v>
      </c>
      <c r="E3375" s="10">
        <v>62798</v>
      </c>
      <c r="F3375" s="12">
        <v>5.3300000000000001E-5</v>
      </c>
    </row>
    <row r="3376" spans="1:6">
      <c r="A3376" s="10">
        <v>2019</v>
      </c>
      <c r="B3376" t="s">
        <v>918</v>
      </c>
      <c r="C3376" t="s">
        <v>863</v>
      </c>
      <c r="D3376" t="s">
        <v>863</v>
      </c>
      <c r="E3376" s="10">
        <v>19993</v>
      </c>
      <c r="F3376" s="12">
        <v>1.7E-5</v>
      </c>
    </row>
    <row r="3377" spans="1:6">
      <c r="A3377" s="10">
        <v>2019</v>
      </c>
      <c r="B3377" t="s">
        <v>919</v>
      </c>
      <c r="C3377" t="s">
        <v>1862</v>
      </c>
      <c r="D3377" t="s">
        <v>1862</v>
      </c>
      <c r="E3377" s="10">
        <v>110048</v>
      </c>
      <c r="F3377" s="12">
        <v>9.3300000000000005E-5</v>
      </c>
    </row>
    <row r="3378" spans="1:6">
      <c r="A3378" s="10">
        <v>2019</v>
      </c>
      <c r="B3378" t="s">
        <v>1239</v>
      </c>
      <c r="C3378" t="s">
        <v>1863</v>
      </c>
      <c r="D3378" t="s">
        <v>1863</v>
      </c>
      <c r="E3378" s="10">
        <v>36753</v>
      </c>
      <c r="F3378" s="12">
        <v>3.1199999999999999E-5</v>
      </c>
    </row>
    <row r="3379" spans="1:6">
      <c r="A3379" s="10">
        <v>2019</v>
      </c>
      <c r="B3379" t="s">
        <v>1030</v>
      </c>
      <c r="C3379" t="s">
        <v>1864</v>
      </c>
      <c r="D3379" t="s">
        <v>1864</v>
      </c>
      <c r="E3379" s="10">
        <v>48435</v>
      </c>
      <c r="F3379" s="12">
        <v>4.1100000000000003E-5</v>
      </c>
    </row>
    <row r="3380" spans="1:6">
      <c r="A3380" s="10">
        <v>2019</v>
      </c>
      <c r="B3380" t="s">
        <v>921</v>
      </c>
      <c r="C3380" t="s">
        <v>1865</v>
      </c>
      <c r="D3380" t="s">
        <v>1865</v>
      </c>
      <c r="E3380" s="10">
        <v>1221358</v>
      </c>
      <c r="F3380" s="12">
        <v>1.0357999999999999E-3</v>
      </c>
    </row>
    <row r="3381" spans="1:6">
      <c r="A3381" s="10">
        <v>2019</v>
      </c>
      <c r="B3381" t="s">
        <v>1240</v>
      </c>
      <c r="C3381" t="s">
        <v>1866</v>
      </c>
      <c r="D3381" t="s">
        <v>1866</v>
      </c>
      <c r="E3381" s="10">
        <v>621672</v>
      </c>
      <c r="F3381" s="12">
        <v>5.2720000000000002E-4</v>
      </c>
    </row>
    <row r="3382" spans="1:6">
      <c r="A3382" s="10">
        <v>2019</v>
      </c>
      <c r="B3382" t="s">
        <v>922</v>
      </c>
      <c r="C3382" t="s">
        <v>1867</v>
      </c>
      <c r="D3382" t="s">
        <v>1867</v>
      </c>
      <c r="E3382" s="10">
        <v>29081</v>
      </c>
      <c r="F3382" s="12">
        <v>2.4700000000000001E-5</v>
      </c>
    </row>
    <row r="3383" spans="1:6">
      <c r="A3383" s="10">
        <v>2019</v>
      </c>
      <c r="B3383" t="s">
        <v>923</v>
      </c>
      <c r="C3383" t="s">
        <v>868</v>
      </c>
      <c r="D3383" t="s">
        <v>868</v>
      </c>
      <c r="E3383" s="10">
        <v>90840</v>
      </c>
      <c r="F3383" s="12">
        <v>7.7000000000000001E-5</v>
      </c>
    </row>
    <row r="3384" spans="1:6">
      <c r="A3384" s="10">
        <v>2019</v>
      </c>
      <c r="B3384" t="s">
        <v>924</v>
      </c>
      <c r="C3384" t="s">
        <v>1868</v>
      </c>
      <c r="D3384" t="s">
        <v>1868</v>
      </c>
      <c r="E3384" s="10">
        <v>85143</v>
      </c>
      <c r="F3384" s="12">
        <v>7.2200000000000007E-5</v>
      </c>
    </row>
    <row r="3385" spans="1:6">
      <c r="A3385" s="10">
        <v>2019</v>
      </c>
      <c r="B3385" t="s">
        <v>925</v>
      </c>
      <c r="C3385" t="s">
        <v>1869</v>
      </c>
      <c r="D3385" t="s">
        <v>1869</v>
      </c>
      <c r="E3385" s="10">
        <v>4607681</v>
      </c>
      <c r="F3385" s="12">
        <v>3.9078000000000003E-3</v>
      </c>
    </row>
    <row r="3386" spans="1:6">
      <c r="A3386" s="10">
        <v>2019</v>
      </c>
      <c r="B3386" t="s">
        <v>926</v>
      </c>
      <c r="C3386" t="s">
        <v>1870</v>
      </c>
      <c r="D3386" t="s">
        <v>1870</v>
      </c>
      <c r="E3386" s="10">
        <v>18740378</v>
      </c>
      <c r="F3386" s="12">
        <v>1.5893899999999999E-2</v>
      </c>
    </row>
    <row r="3387" spans="1:6">
      <c r="A3387" s="10">
        <v>2019</v>
      </c>
      <c r="B3387" t="s">
        <v>448</v>
      </c>
      <c r="C3387" t="s">
        <v>1871</v>
      </c>
      <c r="D3387" t="s">
        <v>1871</v>
      </c>
      <c r="E3387" s="10">
        <v>6277227</v>
      </c>
      <c r="F3387" s="12">
        <v>5.3238000000000001E-3</v>
      </c>
    </row>
    <row r="3388" spans="1:6">
      <c r="A3388" s="10">
        <v>2019</v>
      </c>
      <c r="B3388" t="s">
        <v>927</v>
      </c>
      <c r="C3388" t="s">
        <v>1872</v>
      </c>
      <c r="D3388" t="s">
        <v>1872</v>
      </c>
      <c r="E3388" s="10">
        <v>4936605</v>
      </c>
      <c r="F3388" s="12">
        <v>4.1868000000000001E-3</v>
      </c>
    </row>
    <row r="3389" spans="1:6">
      <c r="A3389" s="10">
        <v>2019</v>
      </c>
      <c r="B3389" t="s">
        <v>930</v>
      </c>
      <c r="C3389" t="s">
        <v>1873</v>
      </c>
      <c r="D3389" t="s">
        <v>1873</v>
      </c>
      <c r="E3389" s="10">
        <v>55115</v>
      </c>
      <c r="F3389" s="12">
        <v>4.6699999999999997E-5</v>
      </c>
    </row>
    <row r="3390" spans="1:6">
      <c r="A3390" s="10">
        <v>2019</v>
      </c>
      <c r="B3390" t="s">
        <v>929</v>
      </c>
      <c r="C3390" t="s">
        <v>1874</v>
      </c>
      <c r="D3390" t="s">
        <v>1874</v>
      </c>
      <c r="E3390" s="10">
        <v>20041936</v>
      </c>
      <c r="F3390" s="12">
        <v>1.69978E-2</v>
      </c>
    </row>
    <row r="3391" spans="1:6">
      <c r="A3391" s="10">
        <v>2019</v>
      </c>
      <c r="B3391" t="s">
        <v>928</v>
      </c>
      <c r="C3391" t="s">
        <v>1875</v>
      </c>
      <c r="D3391" t="s">
        <v>1875</v>
      </c>
      <c r="E3391" s="10">
        <v>733437</v>
      </c>
      <c r="F3391" s="12">
        <v>6.2200000000000005E-4</v>
      </c>
    </row>
    <row r="3392" spans="1:6">
      <c r="A3392" s="10">
        <v>2019</v>
      </c>
      <c r="B3392" t="s">
        <v>931</v>
      </c>
      <c r="C3392" t="s">
        <v>1876</v>
      </c>
      <c r="D3392" t="s">
        <v>1876</v>
      </c>
      <c r="E3392" s="10">
        <v>113517</v>
      </c>
      <c r="F3392" s="12">
        <v>9.6299999999999996E-5</v>
      </c>
    </row>
    <row r="3393" spans="1:6">
      <c r="A3393" s="10">
        <v>2019</v>
      </c>
      <c r="B3393" t="s">
        <v>932</v>
      </c>
      <c r="C3393" t="s">
        <v>1877</v>
      </c>
      <c r="D3393" t="s">
        <v>1877</v>
      </c>
      <c r="E3393" s="10">
        <v>5984</v>
      </c>
      <c r="F3393" s="12">
        <v>5.1000000000000003E-6</v>
      </c>
    </row>
    <row r="3394" spans="1:6">
      <c r="A3394" s="10">
        <v>2019</v>
      </c>
      <c r="B3394" t="s">
        <v>933</v>
      </c>
      <c r="C3394" t="s">
        <v>1878</v>
      </c>
      <c r="D3394" t="s">
        <v>1878</v>
      </c>
      <c r="E3394" s="10">
        <v>14159</v>
      </c>
      <c r="F3394" s="12">
        <v>1.2E-5</v>
      </c>
    </row>
    <row r="3395" spans="1:6">
      <c r="A3395" s="10">
        <v>2019</v>
      </c>
      <c r="B3395" t="s">
        <v>992</v>
      </c>
      <c r="C3395" t="s">
        <v>1879</v>
      </c>
      <c r="D3395" t="s">
        <v>1879</v>
      </c>
      <c r="E3395" s="10">
        <v>70749</v>
      </c>
      <c r="F3395" s="12">
        <v>6.0000000000000002E-5</v>
      </c>
    </row>
    <row r="3396" spans="1:6">
      <c r="A3396" s="10">
        <v>2019</v>
      </c>
      <c r="B3396" t="s">
        <v>934</v>
      </c>
      <c r="C3396" t="s">
        <v>1880</v>
      </c>
      <c r="D3396" t="s">
        <v>1880</v>
      </c>
      <c r="E3396" s="10">
        <v>471244</v>
      </c>
      <c r="F3396" s="12">
        <v>3.9970000000000001E-4</v>
      </c>
    </row>
    <row r="3397" spans="1:6">
      <c r="A3397" s="10">
        <v>2019</v>
      </c>
      <c r="B3397" t="s">
        <v>990</v>
      </c>
      <c r="C3397" t="s">
        <v>935</v>
      </c>
      <c r="D3397" t="s">
        <v>935</v>
      </c>
      <c r="E3397" s="10">
        <v>7642722</v>
      </c>
      <c r="F3397" s="12">
        <v>6.4818999999999996E-3</v>
      </c>
    </row>
    <row r="3398" spans="1:6">
      <c r="A3398" s="10">
        <v>2019</v>
      </c>
      <c r="B3398" t="s">
        <v>991</v>
      </c>
      <c r="C3398" t="s">
        <v>936</v>
      </c>
      <c r="D3398" t="s">
        <v>936</v>
      </c>
      <c r="E3398" s="10">
        <v>26817519</v>
      </c>
      <c r="F3398" s="12">
        <v>2.2744199999999999E-2</v>
      </c>
    </row>
    <row r="3399" spans="1:6">
      <c r="A3399" s="10">
        <v>2019</v>
      </c>
      <c r="B3399" t="s">
        <v>993</v>
      </c>
      <c r="C3399" t="s">
        <v>1881</v>
      </c>
      <c r="D3399" t="s">
        <v>1881</v>
      </c>
      <c r="E3399" s="10">
        <v>567902</v>
      </c>
      <c r="F3399" s="12">
        <v>4.816E-4</v>
      </c>
    </row>
    <row r="3400" spans="1:6">
      <c r="A3400" s="10">
        <v>2019</v>
      </c>
      <c r="B3400" t="s">
        <v>1885</v>
      </c>
      <c r="C3400" t="s">
        <v>1882</v>
      </c>
      <c r="D3400" t="s">
        <v>1882</v>
      </c>
      <c r="E3400" s="10"/>
    </row>
    <row r="3401" spans="1:6">
      <c r="A3401" s="10">
        <v>2019</v>
      </c>
      <c r="B3401" t="s">
        <v>994</v>
      </c>
      <c r="C3401" t="s">
        <v>939</v>
      </c>
      <c r="D3401" t="s">
        <v>939</v>
      </c>
      <c r="E3401" s="10">
        <v>30446</v>
      </c>
      <c r="F3401" s="12">
        <v>2.58E-5</v>
      </c>
    </row>
    <row r="3402" spans="1:6">
      <c r="A3402" s="10">
        <v>2019</v>
      </c>
      <c r="B3402" t="s">
        <v>995</v>
      </c>
      <c r="C3402" t="s">
        <v>2434</v>
      </c>
      <c r="D3402" t="s">
        <v>940</v>
      </c>
      <c r="E3402" s="10">
        <v>54841</v>
      </c>
      <c r="F3402" s="12">
        <v>4.6499999999999999E-5</v>
      </c>
    </row>
    <row r="3403" spans="1:6">
      <c r="A3403" s="10">
        <v>2019</v>
      </c>
      <c r="B3403" t="s">
        <v>996</v>
      </c>
      <c r="C3403" t="s">
        <v>2435</v>
      </c>
      <c r="D3403" t="s">
        <v>941</v>
      </c>
      <c r="E3403" s="10">
        <v>63714</v>
      </c>
      <c r="F3403" s="12">
        <v>5.3999999999999998E-5</v>
      </c>
    </row>
    <row r="3404" spans="1:6">
      <c r="A3404" s="10">
        <v>2019</v>
      </c>
      <c r="B3404" t="s">
        <v>997</v>
      </c>
      <c r="C3404" t="s">
        <v>2436</v>
      </c>
      <c r="D3404" t="s">
        <v>1883</v>
      </c>
      <c r="E3404" s="10">
        <v>124242</v>
      </c>
      <c r="F3404" s="12">
        <v>1.054E-4</v>
      </c>
    </row>
    <row r="3405" spans="1:6">
      <c r="A3405" s="10">
        <v>2019</v>
      </c>
      <c r="B3405" t="s">
        <v>999</v>
      </c>
      <c r="C3405" t="s">
        <v>1884</v>
      </c>
      <c r="D3405" t="s">
        <v>1884</v>
      </c>
      <c r="E3405" s="10">
        <v>423736</v>
      </c>
      <c r="F3405" s="12">
        <v>3.5940000000000001E-4</v>
      </c>
    </row>
    <row r="3406" spans="1:6">
      <c r="A3406" s="10">
        <v>2019</v>
      </c>
      <c r="B3406" t="s">
        <v>1241</v>
      </c>
      <c r="C3406" t="s">
        <v>1886</v>
      </c>
      <c r="D3406" t="s">
        <v>1886</v>
      </c>
      <c r="E3406" s="10">
        <v>32262</v>
      </c>
      <c r="F3406" s="12">
        <v>2.7399999999999999E-5</v>
      </c>
    </row>
    <row r="3407" spans="1:6">
      <c r="A3407" s="10">
        <v>2019</v>
      </c>
      <c r="B3407" t="s">
        <v>1001</v>
      </c>
      <c r="C3407" t="s">
        <v>2433</v>
      </c>
      <c r="D3407" t="s">
        <v>2383</v>
      </c>
      <c r="E3407" s="10">
        <v>33879</v>
      </c>
      <c r="F3407" s="12">
        <v>2.87E-5</v>
      </c>
    </row>
    <row r="3408" spans="1:6">
      <c r="A3408" s="10">
        <v>2019</v>
      </c>
      <c r="B3408" t="s">
        <v>1000</v>
      </c>
      <c r="C3408" t="s">
        <v>2384</v>
      </c>
      <c r="D3408" t="s">
        <v>2384</v>
      </c>
      <c r="E3408" s="10">
        <v>21116</v>
      </c>
      <c r="F3408" s="12">
        <v>1.7900000000000001E-5</v>
      </c>
    </row>
    <row r="3409" spans="1:6">
      <c r="A3409" s="10">
        <v>2019</v>
      </c>
      <c r="B3409" t="s">
        <v>1002</v>
      </c>
      <c r="C3409" t="s">
        <v>947</v>
      </c>
      <c r="D3409" t="s">
        <v>947</v>
      </c>
      <c r="E3409" s="10">
        <v>7679394</v>
      </c>
      <c r="F3409" s="12">
        <v>6.5129999999999997E-3</v>
      </c>
    </row>
    <row r="3410" spans="1:6">
      <c r="A3410" s="10">
        <v>2019</v>
      </c>
      <c r="B3410" t="s">
        <v>1003</v>
      </c>
      <c r="C3410" t="s">
        <v>1478</v>
      </c>
      <c r="D3410" t="s">
        <v>1478</v>
      </c>
      <c r="E3410" s="10">
        <v>31662</v>
      </c>
      <c r="F3410" s="12">
        <v>2.69E-5</v>
      </c>
    </row>
    <row r="3411" spans="1:6">
      <c r="A3411" s="10">
        <v>2019</v>
      </c>
      <c r="B3411" t="s">
        <v>1004</v>
      </c>
      <c r="C3411" t="s">
        <v>949</v>
      </c>
      <c r="D3411" t="s">
        <v>949</v>
      </c>
      <c r="E3411" s="10">
        <v>338688</v>
      </c>
      <c r="F3411" s="12">
        <v>2.8719999999999999E-4</v>
      </c>
    </row>
    <row r="3412" spans="1:6">
      <c r="A3412" s="10">
        <v>2019</v>
      </c>
      <c r="B3412" t="s">
        <v>1005</v>
      </c>
      <c r="C3412" t="s">
        <v>1888</v>
      </c>
      <c r="D3412" t="s">
        <v>1888</v>
      </c>
      <c r="E3412" s="10">
        <v>144678</v>
      </c>
      <c r="F3412" s="12">
        <v>1.227E-4</v>
      </c>
    </row>
    <row r="3413" spans="1:6">
      <c r="A3413" s="10">
        <v>2019</v>
      </c>
      <c r="B3413" t="s">
        <v>1006</v>
      </c>
      <c r="C3413" t="s">
        <v>1889</v>
      </c>
      <c r="D3413" t="s">
        <v>1889</v>
      </c>
      <c r="E3413" s="10">
        <v>191121</v>
      </c>
      <c r="F3413" s="12">
        <v>1.6210000000000001E-4</v>
      </c>
    </row>
    <row r="3414" spans="1:6">
      <c r="A3414" s="10">
        <v>2019</v>
      </c>
      <c r="B3414" t="s">
        <v>1007</v>
      </c>
      <c r="C3414" t="s">
        <v>1890</v>
      </c>
      <c r="D3414" t="s">
        <v>1890</v>
      </c>
      <c r="E3414" s="10">
        <v>14035</v>
      </c>
      <c r="F3414" s="12">
        <v>1.19E-5</v>
      </c>
    </row>
    <row r="3415" spans="1:6">
      <c r="A3415" s="10">
        <v>2019</v>
      </c>
      <c r="B3415" t="s">
        <v>1008</v>
      </c>
      <c r="C3415" t="s">
        <v>2286</v>
      </c>
      <c r="D3415" t="s">
        <v>2286</v>
      </c>
      <c r="E3415" s="10">
        <v>66054</v>
      </c>
      <c r="F3415" s="12">
        <v>5.5999999999999999E-5</v>
      </c>
    </row>
    <row r="3416" spans="1:6">
      <c r="A3416" s="10">
        <v>2019</v>
      </c>
      <c r="B3416" t="s">
        <v>1009</v>
      </c>
      <c r="C3416" t="s">
        <v>1892</v>
      </c>
      <c r="D3416" t="s">
        <v>1892</v>
      </c>
      <c r="E3416" s="10">
        <v>33369</v>
      </c>
      <c r="F3416" s="12">
        <v>2.83E-5</v>
      </c>
    </row>
    <row r="3417" spans="1:6">
      <c r="A3417" s="10">
        <v>2019</v>
      </c>
      <c r="B3417" t="s">
        <v>1010</v>
      </c>
      <c r="C3417" t="s">
        <v>1893</v>
      </c>
      <c r="D3417" t="s">
        <v>1893</v>
      </c>
      <c r="E3417" s="10">
        <v>118425</v>
      </c>
      <c r="F3417" s="12">
        <v>1.004E-4</v>
      </c>
    </row>
    <row r="3418" spans="1:6">
      <c r="A3418" s="10">
        <v>2019</v>
      </c>
      <c r="B3418" t="s">
        <v>1242</v>
      </c>
      <c r="C3418" t="s">
        <v>1894</v>
      </c>
      <c r="D3418" t="s">
        <v>1894</v>
      </c>
      <c r="E3418" s="10">
        <v>200356</v>
      </c>
      <c r="F3418" s="12">
        <v>1.6990000000000001E-4</v>
      </c>
    </row>
    <row r="3419" spans="1:6">
      <c r="A3419" s="10">
        <v>2019</v>
      </c>
      <c r="B3419" t="s">
        <v>1011</v>
      </c>
      <c r="C3419" t="s">
        <v>2288</v>
      </c>
      <c r="D3419" t="s">
        <v>2288</v>
      </c>
      <c r="E3419" s="10">
        <v>7895</v>
      </c>
      <c r="F3419" s="12">
        <v>6.7000000000000002E-6</v>
      </c>
    </row>
    <row r="3420" spans="1:6">
      <c r="A3420" s="10">
        <v>2019</v>
      </c>
      <c r="B3420" t="s">
        <v>1012</v>
      </c>
      <c r="C3420" t="s">
        <v>957</v>
      </c>
      <c r="D3420" t="s">
        <v>957</v>
      </c>
      <c r="E3420" s="10">
        <v>80348</v>
      </c>
      <c r="F3420" s="12">
        <v>6.8100000000000002E-5</v>
      </c>
    </row>
    <row r="3421" spans="1:6">
      <c r="A3421" s="10">
        <v>2019</v>
      </c>
      <c r="B3421" t="s">
        <v>1013</v>
      </c>
      <c r="C3421" t="s">
        <v>2408</v>
      </c>
      <c r="D3421" t="s">
        <v>2385</v>
      </c>
      <c r="E3421" s="10">
        <v>963507</v>
      </c>
      <c r="F3421" s="12">
        <v>8.1720000000000002E-4</v>
      </c>
    </row>
    <row r="3422" spans="1:6">
      <c r="A3422" s="10">
        <v>2019</v>
      </c>
      <c r="B3422" t="s">
        <v>1016</v>
      </c>
      <c r="C3422" t="s">
        <v>1897</v>
      </c>
      <c r="D3422" t="s">
        <v>1897</v>
      </c>
      <c r="E3422" s="10">
        <v>348231</v>
      </c>
      <c r="F3422" s="12">
        <v>2.9530000000000002E-4</v>
      </c>
    </row>
    <row r="3423" spans="1:6">
      <c r="A3423" s="10">
        <v>2019</v>
      </c>
      <c r="B3423" t="s">
        <v>1017</v>
      </c>
      <c r="C3423" t="s">
        <v>1898</v>
      </c>
      <c r="D3423" t="s">
        <v>1898</v>
      </c>
      <c r="E3423" s="10">
        <v>59255</v>
      </c>
      <c r="F3423" s="12">
        <v>5.0300000000000003E-5</v>
      </c>
    </row>
    <row r="3424" spans="1:6">
      <c r="A3424" s="10">
        <v>2019</v>
      </c>
      <c r="B3424" t="s">
        <v>1018</v>
      </c>
      <c r="C3424" t="s">
        <v>1899</v>
      </c>
      <c r="D3424" t="s">
        <v>1899</v>
      </c>
      <c r="E3424" s="10">
        <v>32727</v>
      </c>
      <c r="F3424" s="12">
        <v>2.7800000000000001E-5</v>
      </c>
    </row>
    <row r="3425" spans="1:6">
      <c r="A3425" s="10">
        <v>2019</v>
      </c>
      <c r="B3425" t="s">
        <v>1020</v>
      </c>
      <c r="C3425" t="s">
        <v>1900</v>
      </c>
      <c r="D3425" t="s">
        <v>1900</v>
      </c>
      <c r="E3425" s="10">
        <v>1943869</v>
      </c>
      <c r="F3425" s="12">
        <v>1.6486000000000001E-3</v>
      </c>
    </row>
    <row r="3426" spans="1:6">
      <c r="A3426" s="10">
        <v>2019</v>
      </c>
      <c r="B3426" t="s">
        <v>1019</v>
      </c>
      <c r="C3426" t="s">
        <v>1901</v>
      </c>
      <c r="D3426" t="s">
        <v>1901</v>
      </c>
      <c r="E3426" s="10">
        <v>58651</v>
      </c>
      <c r="F3426" s="12">
        <v>4.9700000000000002E-5</v>
      </c>
    </row>
    <row r="3427" spans="1:6">
      <c r="A3427" s="10">
        <v>2019</v>
      </c>
      <c r="B3427" t="s">
        <v>1021</v>
      </c>
      <c r="C3427" t="s">
        <v>1902</v>
      </c>
      <c r="D3427" t="s">
        <v>1902</v>
      </c>
      <c r="E3427" s="10">
        <v>36147</v>
      </c>
      <c r="F3427" s="12">
        <v>3.0700000000000001E-5</v>
      </c>
    </row>
    <row r="3428" spans="1:6">
      <c r="A3428" s="10">
        <v>2019</v>
      </c>
      <c r="B3428" t="s">
        <v>449</v>
      </c>
      <c r="C3428" t="s">
        <v>1903</v>
      </c>
      <c r="D3428" t="s">
        <v>1903</v>
      </c>
      <c r="E3428" s="10">
        <v>2286863</v>
      </c>
      <c r="F3428" s="12">
        <v>1.9395E-3</v>
      </c>
    </row>
    <row r="3429" spans="1:6">
      <c r="A3429" s="10">
        <v>2019</v>
      </c>
      <c r="B3429" t="s">
        <v>1022</v>
      </c>
      <c r="C3429" t="s">
        <v>1904</v>
      </c>
      <c r="D3429" t="s">
        <v>1904</v>
      </c>
      <c r="E3429" s="10">
        <v>166899</v>
      </c>
      <c r="F3429" s="12">
        <v>1.415E-4</v>
      </c>
    </row>
    <row r="3430" spans="1:6">
      <c r="A3430" s="10">
        <v>2019</v>
      </c>
      <c r="B3430" t="s">
        <v>1023</v>
      </c>
      <c r="C3430" t="s">
        <v>1905</v>
      </c>
      <c r="D3430" t="s">
        <v>1905</v>
      </c>
      <c r="E3430" s="10">
        <v>626988</v>
      </c>
      <c r="F3430" s="12">
        <v>5.3180000000000002E-4</v>
      </c>
    </row>
    <row r="3431" spans="1:6">
      <c r="A3431" s="10">
        <v>2019</v>
      </c>
      <c r="B3431" t="s">
        <v>1024</v>
      </c>
      <c r="C3431" t="s">
        <v>969</v>
      </c>
      <c r="D3431" t="s">
        <v>969</v>
      </c>
      <c r="E3431" s="10">
        <v>64183</v>
      </c>
      <c r="F3431" s="12">
        <v>5.4400000000000001E-5</v>
      </c>
    </row>
    <row r="3432" spans="1:6">
      <c r="A3432" s="10">
        <v>2019</v>
      </c>
      <c r="B3432" t="s">
        <v>1025</v>
      </c>
      <c r="C3432" t="s">
        <v>1906</v>
      </c>
      <c r="D3432" t="s">
        <v>1906</v>
      </c>
      <c r="E3432" s="10">
        <v>116035</v>
      </c>
      <c r="F3432" s="12">
        <v>9.8400000000000007E-5</v>
      </c>
    </row>
    <row r="3433" spans="1:6">
      <c r="A3433" s="10">
        <v>2019</v>
      </c>
      <c r="B3433" t="s">
        <v>1026</v>
      </c>
      <c r="C3433" t="s">
        <v>1907</v>
      </c>
      <c r="D3433" t="s">
        <v>1907</v>
      </c>
      <c r="E3433" s="10">
        <v>4196644</v>
      </c>
      <c r="F3433" s="12">
        <v>3.5592000000000002E-3</v>
      </c>
    </row>
    <row r="3434" spans="1:6">
      <c r="A3434" s="10">
        <v>2019</v>
      </c>
      <c r="B3434" t="s">
        <v>1243</v>
      </c>
      <c r="C3434" t="s">
        <v>1908</v>
      </c>
      <c r="D3434" t="s">
        <v>1908</v>
      </c>
      <c r="E3434" s="10">
        <v>1765871</v>
      </c>
      <c r="F3434" s="12">
        <v>1.4977E-3</v>
      </c>
    </row>
    <row r="3435" spans="1:6">
      <c r="A3435" s="10">
        <v>2019</v>
      </c>
      <c r="B3435" t="s">
        <v>1027</v>
      </c>
      <c r="C3435" t="s">
        <v>1909</v>
      </c>
      <c r="D3435" t="s">
        <v>1909</v>
      </c>
      <c r="E3435" s="10">
        <v>19896</v>
      </c>
      <c r="F3435" s="12">
        <v>1.6900000000000001E-5</v>
      </c>
    </row>
    <row r="3436" spans="1:6">
      <c r="A3436" s="10">
        <v>2019</v>
      </c>
      <c r="B3436" t="s">
        <v>1028</v>
      </c>
      <c r="C3436" t="s">
        <v>973</v>
      </c>
      <c r="D3436" t="s">
        <v>973</v>
      </c>
      <c r="E3436" s="10">
        <v>12179</v>
      </c>
      <c r="F3436" s="12">
        <v>1.03E-5</v>
      </c>
    </row>
    <row r="3437" spans="1:6">
      <c r="A3437" s="10">
        <v>2019</v>
      </c>
      <c r="B3437" t="s">
        <v>1029</v>
      </c>
      <c r="C3437" t="s">
        <v>2409</v>
      </c>
      <c r="D3437" t="s">
        <v>1910</v>
      </c>
      <c r="E3437" s="10">
        <v>286513</v>
      </c>
      <c r="F3437" s="12">
        <v>2.43E-4</v>
      </c>
    </row>
    <row r="3438" spans="1:6">
      <c r="A3438" s="10">
        <v>2019</v>
      </c>
      <c r="B3438" t="s">
        <v>1031</v>
      </c>
      <c r="C3438" t="s">
        <v>1911</v>
      </c>
      <c r="D3438" t="s">
        <v>1911</v>
      </c>
      <c r="E3438" s="10">
        <v>490464</v>
      </c>
      <c r="F3438" s="12">
        <v>4.1599999999999997E-4</v>
      </c>
    </row>
    <row r="3439" spans="1:6">
      <c r="A3439" s="10">
        <v>2019</v>
      </c>
      <c r="B3439" t="s">
        <v>1032</v>
      </c>
      <c r="C3439" t="s">
        <v>1912</v>
      </c>
      <c r="D3439" t="s">
        <v>1912</v>
      </c>
      <c r="E3439" s="10">
        <v>196469</v>
      </c>
      <c r="F3439" s="12">
        <v>1.6660000000000001E-4</v>
      </c>
    </row>
    <row r="3440" spans="1:6">
      <c r="A3440" s="10">
        <v>2019</v>
      </c>
      <c r="B3440" t="s">
        <v>920</v>
      </c>
      <c r="C3440" t="s">
        <v>1914</v>
      </c>
      <c r="D3440" t="s">
        <v>1914</v>
      </c>
      <c r="E3440" s="10"/>
    </row>
    <row r="3441" spans="1:6">
      <c r="A3441" s="10">
        <v>2019</v>
      </c>
      <c r="B3441" t="s">
        <v>1037</v>
      </c>
      <c r="C3441" t="s">
        <v>1915</v>
      </c>
      <c r="D3441" t="s">
        <v>1915</v>
      </c>
      <c r="E3441" s="10">
        <v>43301</v>
      </c>
      <c r="F3441" s="12">
        <v>3.6699999999999998E-5</v>
      </c>
    </row>
    <row r="3442" spans="1:6">
      <c r="A3442" s="10">
        <v>2019</v>
      </c>
      <c r="B3442" t="s">
        <v>1038</v>
      </c>
      <c r="C3442" t="s">
        <v>1916</v>
      </c>
      <c r="D3442" t="s">
        <v>1916</v>
      </c>
      <c r="E3442" s="10">
        <v>498608</v>
      </c>
      <c r="F3442" s="12">
        <v>4.2289999999999998E-4</v>
      </c>
    </row>
    <row r="3443" spans="1:6">
      <c r="A3443" s="10">
        <v>2019</v>
      </c>
      <c r="B3443" t="s">
        <v>1039</v>
      </c>
      <c r="C3443" t="s">
        <v>1917</v>
      </c>
      <c r="D3443" t="s">
        <v>1917</v>
      </c>
      <c r="E3443" s="10">
        <v>5636643</v>
      </c>
      <c r="F3443" s="12">
        <v>4.7805E-3</v>
      </c>
    </row>
    <row r="3444" spans="1:6">
      <c r="A3444" s="10">
        <v>2019</v>
      </c>
      <c r="B3444" t="s">
        <v>1040</v>
      </c>
      <c r="C3444" t="s">
        <v>985</v>
      </c>
      <c r="D3444" t="s">
        <v>985</v>
      </c>
      <c r="E3444" s="10">
        <v>177939</v>
      </c>
      <c r="F3444" s="12">
        <v>1.5090000000000001E-4</v>
      </c>
    </row>
    <row r="3445" spans="1:6">
      <c r="A3445" s="10">
        <v>2019</v>
      </c>
      <c r="B3445" t="s">
        <v>998</v>
      </c>
      <c r="C3445" t="s">
        <v>1918</v>
      </c>
      <c r="D3445" t="s">
        <v>1918</v>
      </c>
      <c r="E3445" s="10">
        <v>61304</v>
      </c>
      <c r="F3445" s="12">
        <v>5.1999999999999997E-5</v>
      </c>
    </row>
    <row r="3446" spans="1:6">
      <c r="A3446" s="10">
        <v>2019</v>
      </c>
      <c r="B3446" t="s">
        <v>1041</v>
      </c>
      <c r="C3446" t="s">
        <v>1919</v>
      </c>
      <c r="D3446" t="s">
        <v>1919</v>
      </c>
      <c r="E3446" s="10">
        <v>663105</v>
      </c>
      <c r="F3446" s="12">
        <v>5.6240000000000001E-4</v>
      </c>
    </row>
    <row r="3447" spans="1:6">
      <c r="A3447" s="10">
        <v>2019</v>
      </c>
      <c r="B3447" t="s">
        <v>1042</v>
      </c>
      <c r="C3447" t="s">
        <v>2296</v>
      </c>
      <c r="D3447" t="s">
        <v>2296</v>
      </c>
      <c r="E3447" s="10">
        <v>11245</v>
      </c>
      <c r="F3447" s="12">
        <v>9.5000000000000005E-6</v>
      </c>
    </row>
    <row r="3448" spans="1:6">
      <c r="A3448" s="10">
        <v>2019</v>
      </c>
      <c r="B3448" t="s">
        <v>1043</v>
      </c>
      <c r="C3448" t="s">
        <v>1921</v>
      </c>
      <c r="D3448" t="s">
        <v>1921</v>
      </c>
      <c r="E3448" s="10">
        <v>644867</v>
      </c>
      <c r="F3448" s="12">
        <v>5.4690000000000001E-4</v>
      </c>
    </row>
    <row r="3449" spans="1:6">
      <c r="A3449" s="10">
        <v>2019</v>
      </c>
      <c r="B3449" t="s">
        <v>1044</v>
      </c>
      <c r="C3449" t="s">
        <v>1922</v>
      </c>
      <c r="D3449" t="s">
        <v>1922</v>
      </c>
      <c r="E3449" s="10">
        <v>1002513</v>
      </c>
      <c r="F3449" s="12">
        <v>8.5019999999999996E-4</v>
      </c>
    </row>
    <row r="3450" spans="1:6">
      <c r="A3450" s="10">
        <v>2019</v>
      </c>
      <c r="B3450" t="s">
        <v>1100</v>
      </c>
      <c r="C3450" t="s">
        <v>1923</v>
      </c>
      <c r="D3450" t="s">
        <v>1923</v>
      </c>
      <c r="E3450" s="10">
        <v>1592775</v>
      </c>
      <c r="F3450" s="12">
        <v>1.3508000000000001E-3</v>
      </c>
    </row>
    <row r="3451" spans="1:6">
      <c r="A3451" s="10">
        <v>2019</v>
      </c>
      <c r="B3451" t="s">
        <v>450</v>
      </c>
      <c r="C3451" t="s">
        <v>1924</v>
      </c>
      <c r="D3451" t="s">
        <v>1924</v>
      </c>
      <c r="E3451" s="10">
        <v>686683</v>
      </c>
      <c r="F3451" s="12">
        <v>5.8239999999999995E-4</v>
      </c>
    </row>
    <row r="3452" spans="1:6">
      <c r="A3452" s="10">
        <v>2019</v>
      </c>
      <c r="B3452" t="s">
        <v>1101</v>
      </c>
      <c r="C3452" t="s">
        <v>1925</v>
      </c>
      <c r="D3452" t="s">
        <v>1925</v>
      </c>
      <c r="E3452" s="10">
        <v>3609683</v>
      </c>
      <c r="F3452" s="12">
        <v>3.0614000000000001E-3</v>
      </c>
    </row>
    <row r="3453" spans="1:6">
      <c r="A3453" s="10">
        <v>2019</v>
      </c>
      <c r="B3453" t="s">
        <v>1244</v>
      </c>
      <c r="C3453" t="s">
        <v>1926</v>
      </c>
      <c r="D3453" t="s">
        <v>1926</v>
      </c>
      <c r="E3453" s="10">
        <v>677506</v>
      </c>
      <c r="F3453" s="12">
        <v>5.7459999999999998E-4</v>
      </c>
    </row>
    <row r="3454" spans="1:6">
      <c r="A3454" s="10">
        <v>2019</v>
      </c>
      <c r="B3454" t="s">
        <v>1102</v>
      </c>
      <c r="C3454" t="s">
        <v>1927</v>
      </c>
      <c r="D3454" t="s">
        <v>2386</v>
      </c>
      <c r="E3454" s="10">
        <v>68536</v>
      </c>
      <c r="F3454" s="12">
        <v>5.8100000000000003E-5</v>
      </c>
    </row>
    <row r="3455" spans="1:6">
      <c r="A3455" s="10">
        <v>2019</v>
      </c>
      <c r="B3455" t="s">
        <v>1134</v>
      </c>
      <c r="C3455" t="s">
        <v>1928</v>
      </c>
      <c r="D3455" t="s">
        <v>1928</v>
      </c>
      <c r="E3455" s="10">
        <v>339886</v>
      </c>
      <c r="F3455" s="12">
        <v>2.8830000000000001E-4</v>
      </c>
    </row>
    <row r="3456" spans="1:6">
      <c r="A3456" s="10">
        <v>2019</v>
      </c>
      <c r="B3456" t="s">
        <v>1103</v>
      </c>
      <c r="C3456" t="s">
        <v>1929</v>
      </c>
      <c r="D3456" t="s">
        <v>1929</v>
      </c>
      <c r="E3456" s="10">
        <v>132073</v>
      </c>
      <c r="F3456" s="12">
        <v>1.12E-4</v>
      </c>
    </row>
    <row r="3457" spans="1:6">
      <c r="A3457" s="10">
        <v>2019</v>
      </c>
      <c r="B3457" t="s">
        <v>1104</v>
      </c>
      <c r="C3457" t="s">
        <v>1930</v>
      </c>
      <c r="D3457" t="s">
        <v>1930</v>
      </c>
      <c r="E3457" s="10">
        <v>1234669</v>
      </c>
      <c r="F3457" s="12">
        <v>1.0471E-3</v>
      </c>
    </row>
    <row r="3458" spans="1:6">
      <c r="A3458" s="10">
        <v>2019</v>
      </c>
      <c r="B3458" t="s">
        <v>1105</v>
      </c>
      <c r="C3458" t="s">
        <v>1931</v>
      </c>
      <c r="D3458" t="s">
        <v>1931</v>
      </c>
      <c r="E3458" s="10">
        <v>14258</v>
      </c>
      <c r="F3458" s="12">
        <v>1.2099999999999999E-5</v>
      </c>
    </row>
    <row r="3459" spans="1:6">
      <c r="A3459" s="10">
        <v>2019</v>
      </c>
      <c r="B3459" t="s">
        <v>451</v>
      </c>
      <c r="C3459" t="s">
        <v>1932</v>
      </c>
      <c r="D3459" t="s">
        <v>1932</v>
      </c>
      <c r="E3459" s="10">
        <v>752652</v>
      </c>
      <c r="F3459" s="12">
        <v>6.3829999999999996E-4</v>
      </c>
    </row>
    <row r="3460" spans="1:6">
      <c r="A3460" s="10">
        <v>2019</v>
      </c>
      <c r="B3460" t="s">
        <v>1106</v>
      </c>
      <c r="C3460" t="s">
        <v>1933</v>
      </c>
      <c r="D3460" t="s">
        <v>1933</v>
      </c>
      <c r="E3460" s="10">
        <v>109455</v>
      </c>
      <c r="F3460" s="12">
        <v>9.2800000000000006E-5</v>
      </c>
    </row>
    <row r="3461" spans="1:6">
      <c r="A3461" s="10">
        <v>2019</v>
      </c>
      <c r="B3461" t="s">
        <v>1107</v>
      </c>
      <c r="C3461" t="s">
        <v>1934</v>
      </c>
      <c r="D3461" t="s">
        <v>1934</v>
      </c>
      <c r="E3461" s="10">
        <v>664169</v>
      </c>
      <c r="F3461" s="12">
        <v>5.6329999999999998E-4</v>
      </c>
    </row>
    <row r="3462" spans="1:6">
      <c r="A3462" s="10">
        <v>2019</v>
      </c>
      <c r="B3462" t="s">
        <v>1108</v>
      </c>
      <c r="C3462" t="s">
        <v>1053</v>
      </c>
      <c r="D3462" t="s">
        <v>1053</v>
      </c>
      <c r="E3462" s="10">
        <v>1098187</v>
      </c>
      <c r="F3462" s="12">
        <v>9.3139999999999998E-4</v>
      </c>
    </row>
    <row r="3463" spans="1:6">
      <c r="A3463" s="10">
        <v>2019</v>
      </c>
      <c r="B3463" t="s">
        <v>2390</v>
      </c>
      <c r="C3463" t="s">
        <v>2387</v>
      </c>
      <c r="D3463" t="s">
        <v>2391</v>
      </c>
      <c r="E3463" s="10">
        <v>27903</v>
      </c>
      <c r="F3463" s="12">
        <v>2.37E-5</v>
      </c>
    </row>
    <row r="3464" spans="1:6">
      <c r="A3464" s="10">
        <v>2019</v>
      </c>
      <c r="B3464" t="s">
        <v>1110</v>
      </c>
      <c r="C3464" t="s">
        <v>2410</v>
      </c>
      <c r="D3464" t="s">
        <v>1935</v>
      </c>
      <c r="E3464" s="10">
        <v>1687147</v>
      </c>
      <c r="F3464" s="12">
        <v>1.4308999999999999E-3</v>
      </c>
    </row>
    <row r="3465" spans="1:6">
      <c r="A3465" s="10">
        <v>2019</v>
      </c>
      <c r="B3465" t="s">
        <v>1109</v>
      </c>
      <c r="C3465" t="s">
        <v>1936</v>
      </c>
      <c r="D3465" t="s">
        <v>1936</v>
      </c>
      <c r="E3465" s="10">
        <v>261579</v>
      </c>
      <c r="F3465" s="12">
        <v>2.218E-4</v>
      </c>
    </row>
    <row r="3466" spans="1:6">
      <c r="A3466" s="10">
        <v>2019</v>
      </c>
      <c r="B3466" t="s">
        <v>1111</v>
      </c>
      <c r="C3466" t="s">
        <v>1937</v>
      </c>
      <c r="D3466" t="s">
        <v>1937</v>
      </c>
      <c r="E3466" s="10">
        <v>26316</v>
      </c>
      <c r="F3466" s="12">
        <v>2.23E-5</v>
      </c>
    </row>
    <row r="3467" spans="1:6">
      <c r="A3467" s="10">
        <v>2019</v>
      </c>
      <c r="B3467" t="s">
        <v>1112</v>
      </c>
      <c r="C3467" t="s">
        <v>1938</v>
      </c>
      <c r="D3467" t="s">
        <v>1938</v>
      </c>
      <c r="E3467" s="10">
        <v>13422981</v>
      </c>
      <c r="F3467" s="12">
        <v>1.1384200000000001E-2</v>
      </c>
    </row>
    <row r="3468" spans="1:6">
      <c r="A3468" s="10">
        <v>2019</v>
      </c>
      <c r="B3468" t="s">
        <v>452</v>
      </c>
      <c r="C3468" t="s">
        <v>1939</v>
      </c>
      <c r="D3468" t="s">
        <v>1939</v>
      </c>
      <c r="E3468" s="10">
        <v>12370605</v>
      </c>
      <c r="F3468" s="12">
        <v>1.04916E-2</v>
      </c>
    </row>
    <row r="3469" spans="1:6">
      <c r="A3469" s="10">
        <v>2019</v>
      </c>
      <c r="B3469" t="s">
        <v>1113</v>
      </c>
      <c r="C3469" t="s">
        <v>1058</v>
      </c>
      <c r="D3469" t="s">
        <v>1058</v>
      </c>
      <c r="E3469" s="10">
        <v>69090</v>
      </c>
      <c r="F3469" s="12">
        <v>5.8600000000000001E-5</v>
      </c>
    </row>
    <row r="3470" spans="1:6">
      <c r="A3470" s="10">
        <v>2019</v>
      </c>
      <c r="B3470" t="s">
        <v>1481</v>
      </c>
      <c r="C3470" t="s">
        <v>1479</v>
      </c>
      <c r="D3470" t="s">
        <v>1479</v>
      </c>
      <c r="E3470" s="10">
        <v>107940</v>
      </c>
      <c r="F3470" s="12">
        <v>9.1500000000000001E-5</v>
      </c>
    </row>
    <row r="3471" spans="1:6">
      <c r="A3471" s="10">
        <v>2019</v>
      </c>
      <c r="B3471" t="s">
        <v>453</v>
      </c>
      <c r="C3471" t="s">
        <v>1940</v>
      </c>
      <c r="D3471" t="s">
        <v>1940</v>
      </c>
      <c r="E3471" s="10">
        <v>715377</v>
      </c>
      <c r="F3471" s="12">
        <v>6.0669999999999995E-4</v>
      </c>
    </row>
    <row r="3472" spans="1:6">
      <c r="A3472" s="10">
        <v>2019</v>
      </c>
      <c r="B3472" t="s">
        <v>1115</v>
      </c>
      <c r="C3472" t="s">
        <v>1941</v>
      </c>
      <c r="D3472" t="s">
        <v>1941</v>
      </c>
      <c r="E3472" s="10">
        <v>47906</v>
      </c>
      <c r="F3472" s="12">
        <v>4.0599999999999998E-5</v>
      </c>
    </row>
    <row r="3473" spans="1:6">
      <c r="A3473" s="10">
        <v>2019</v>
      </c>
      <c r="B3473" t="s">
        <v>1114</v>
      </c>
      <c r="C3473" t="s">
        <v>1942</v>
      </c>
      <c r="D3473" t="s">
        <v>1942</v>
      </c>
      <c r="E3473" s="10">
        <v>487200</v>
      </c>
      <c r="F3473" s="12">
        <v>4.1320000000000001E-4</v>
      </c>
    </row>
    <row r="3474" spans="1:6">
      <c r="A3474" s="10">
        <v>2019</v>
      </c>
      <c r="B3474" t="s">
        <v>1116</v>
      </c>
      <c r="C3474" t="s">
        <v>2388</v>
      </c>
      <c r="D3474" t="s">
        <v>2388</v>
      </c>
      <c r="E3474" s="10">
        <v>129480</v>
      </c>
      <c r="F3474" s="12">
        <v>1.098E-4</v>
      </c>
    </row>
    <row r="3475" spans="1:6">
      <c r="A3475" s="10">
        <v>2019</v>
      </c>
      <c r="B3475" t="s">
        <v>1117</v>
      </c>
      <c r="C3475" t="s">
        <v>1944</v>
      </c>
      <c r="D3475" t="s">
        <v>1944</v>
      </c>
      <c r="E3475" s="10">
        <v>153812</v>
      </c>
      <c r="F3475" s="12">
        <v>1.304E-4</v>
      </c>
    </row>
    <row r="3476" spans="1:6">
      <c r="A3476" s="10">
        <v>2019</v>
      </c>
      <c r="B3476" t="s">
        <v>1118</v>
      </c>
      <c r="C3476" t="s">
        <v>2411</v>
      </c>
      <c r="D3476" t="s">
        <v>1945</v>
      </c>
      <c r="E3476" s="10">
        <v>47999</v>
      </c>
      <c r="F3476" s="12">
        <v>4.07E-5</v>
      </c>
    </row>
    <row r="3477" spans="1:6">
      <c r="A3477" s="10">
        <v>2019</v>
      </c>
      <c r="B3477" t="s">
        <v>1119</v>
      </c>
      <c r="C3477" t="s">
        <v>2412</v>
      </c>
      <c r="D3477" t="s">
        <v>1946</v>
      </c>
      <c r="E3477" s="10">
        <v>1276783</v>
      </c>
      <c r="F3477" s="12">
        <v>1.0828999999999999E-3</v>
      </c>
    </row>
    <row r="3478" spans="1:6">
      <c r="A3478" s="10">
        <v>2019</v>
      </c>
      <c r="B3478" t="s">
        <v>454</v>
      </c>
      <c r="C3478" t="s">
        <v>1947</v>
      </c>
      <c r="D3478" t="s">
        <v>1947</v>
      </c>
      <c r="E3478" s="10">
        <v>632766</v>
      </c>
      <c r="F3478" s="12">
        <v>5.3669999999999998E-4</v>
      </c>
    </row>
    <row r="3479" spans="1:6">
      <c r="A3479" s="10">
        <v>2019</v>
      </c>
      <c r="B3479" t="s">
        <v>1121</v>
      </c>
      <c r="C3479" t="s">
        <v>1949</v>
      </c>
      <c r="D3479" t="s">
        <v>1949</v>
      </c>
      <c r="E3479" s="10">
        <v>3029654</v>
      </c>
      <c r="F3479" s="12">
        <v>2.5695000000000002E-3</v>
      </c>
    </row>
    <row r="3480" spans="1:6">
      <c r="A3480" s="10">
        <v>2019</v>
      </c>
      <c r="B3480" t="s">
        <v>455</v>
      </c>
      <c r="C3480" t="s">
        <v>1950</v>
      </c>
      <c r="D3480" t="s">
        <v>1950</v>
      </c>
      <c r="E3480" s="10">
        <v>1339629</v>
      </c>
      <c r="F3480" s="12">
        <v>1.1362E-3</v>
      </c>
    </row>
    <row r="3481" spans="1:6">
      <c r="A3481" s="10">
        <v>2019</v>
      </c>
      <c r="B3481" t="s">
        <v>1122</v>
      </c>
      <c r="C3481" t="s">
        <v>1951</v>
      </c>
      <c r="D3481" t="s">
        <v>1951</v>
      </c>
      <c r="E3481" s="10">
        <v>23095</v>
      </c>
      <c r="F3481" s="12">
        <v>1.9599999999999999E-5</v>
      </c>
    </row>
    <row r="3482" spans="1:6">
      <c r="A3482" s="10">
        <v>2019</v>
      </c>
      <c r="B3482" t="s">
        <v>1123</v>
      </c>
      <c r="C3482" t="s">
        <v>1952</v>
      </c>
      <c r="D3482" t="s">
        <v>1952</v>
      </c>
      <c r="E3482" s="10">
        <v>57944</v>
      </c>
      <c r="F3482" s="12">
        <v>4.9100000000000001E-5</v>
      </c>
    </row>
    <row r="3483" spans="1:6">
      <c r="A3483" s="10">
        <v>2019</v>
      </c>
      <c r="B3483" t="s">
        <v>1124</v>
      </c>
      <c r="C3483" t="s">
        <v>1953</v>
      </c>
      <c r="D3483" t="s">
        <v>1953</v>
      </c>
      <c r="E3483" s="10">
        <v>121779</v>
      </c>
      <c r="F3483" s="12">
        <v>1.033E-4</v>
      </c>
    </row>
    <row r="3484" spans="1:6">
      <c r="A3484" s="10">
        <v>2019</v>
      </c>
      <c r="B3484" t="s">
        <v>1125</v>
      </c>
      <c r="C3484" t="s">
        <v>1954</v>
      </c>
      <c r="D3484" t="s">
        <v>1954</v>
      </c>
      <c r="E3484" s="10">
        <v>1126365</v>
      </c>
      <c r="F3484" s="12">
        <v>9.5529999999999996E-4</v>
      </c>
    </row>
    <row r="3485" spans="1:6">
      <c r="A3485" s="10">
        <v>2019</v>
      </c>
      <c r="B3485" t="s">
        <v>1245</v>
      </c>
      <c r="C3485" t="s">
        <v>1955</v>
      </c>
      <c r="D3485" t="s">
        <v>1955</v>
      </c>
      <c r="E3485" s="10">
        <v>165647</v>
      </c>
      <c r="F3485" s="12">
        <v>1.405E-4</v>
      </c>
    </row>
    <row r="3486" spans="1:6">
      <c r="A3486" s="10">
        <v>2019</v>
      </c>
      <c r="B3486" t="s">
        <v>1126</v>
      </c>
      <c r="C3486" t="s">
        <v>1956</v>
      </c>
      <c r="D3486" t="s">
        <v>1956</v>
      </c>
      <c r="E3486" s="10">
        <v>100136</v>
      </c>
      <c r="F3486" s="12">
        <v>8.4900000000000004E-5</v>
      </c>
    </row>
    <row r="3487" spans="1:6">
      <c r="A3487" s="10">
        <v>2019</v>
      </c>
      <c r="B3487" t="s">
        <v>1127</v>
      </c>
      <c r="C3487" t="s">
        <v>2413</v>
      </c>
      <c r="D3487" t="s">
        <v>1957</v>
      </c>
      <c r="E3487" s="10">
        <v>1503503</v>
      </c>
      <c r="F3487" s="12">
        <v>1.2750999999999999E-3</v>
      </c>
    </row>
    <row r="3488" spans="1:6">
      <c r="A3488" s="10">
        <v>2019</v>
      </c>
      <c r="B3488" t="s">
        <v>456</v>
      </c>
      <c r="C3488" t="s">
        <v>1958</v>
      </c>
      <c r="D3488" t="s">
        <v>1958</v>
      </c>
      <c r="E3488" s="10">
        <v>330840</v>
      </c>
      <c r="F3488" s="12">
        <v>2.8059999999999999E-4</v>
      </c>
    </row>
    <row r="3489" spans="1:6">
      <c r="A3489" s="10">
        <v>2019</v>
      </c>
      <c r="B3489" t="s">
        <v>1128</v>
      </c>
      <c r="C3489" t="s">
        <v>1959</v>
      </c>
      <c r="D3489" t="s">
        <v>1959</v>
      </c>
      <c r="E3489" s="10">
        <v>122474</v>
      </c>
      <c r="F3489" s="12">
        <v>1.039E-4</v>
      </c>
    </row>
    <row r="3490" spans="1:6">
      <c r="A3490" s="10">
        <v>2019</v>
      </c>
      <c r="B3490" t="s">
        <v>1129</v>
      </c>
      <c r="C3490" t="s">
        <v>1074</v>
      </c>
      <c r="D3490" t="s">
        <v>1074</v>
      </c>
      <c r="E3490" s="10">
        <v>12925</v>
      </c>
      <c r="F3490" s="12">
        <v>1.1E-5</v>
      </c>
    </row>
    <row r="3491" spans="1:6">
      <c r="A3491" s="10">
        <v>2019</v>
      </c>
      <c r="B3491" t="s">
        <v>1130</v>
      </c>
      <c r="C3491" t="s">
        <v>1075</v>
      </c>
      <c r="D3491" t="s">
        <v>1075</v>
      </c>
      <c r="E3491" s="10"/>
    </row>
    <row r="3492" spans="1:6">
      <c r="A3492" s="10">
        <v>2019</v>
      </c>
      <c r="B3492" t="s">
        <v>1131</v>
      </c>
      <c r="C3492" t="s">
        <v>1960</v>
      </c>
      <c r="D3492" t="s">
        <v>1960</v>
      </c>
      <c r="E3492" s="10">
        <v>23580</v>
      </c>
      <c r="F3492" s="12">
        <v>2.0000000000000002E-5</v>
      </c>
    </row>
    <row r="3493" spans="1:6">
      <c r="A3493" s="10">
        <v>2019</v>
      </c>
      <c r="B3493" t="s">
        <v>457</v>
      </c>
      <c r="C3493" t="s">
        <v>1961</v>
      </c>
      <c r="D3493" t="s">
        <v>1961</v>
      </c>
      <c r="E3493" s="10">
        <v>120150</v>
      </c>
      <c r="F3493" s="12">
        <v>1.019E-4</v>
      </c>
    </row>
    <row r="3494" spans="1:6">
      <c r="A3494" s="10">
        <v>2019</v>
      </c>
      <c r="B3494" t="s">
        <v>1132</v>
      </c>
      <c r="C3494" t="s">
        <v>2389</v>
      </c>
      <c r="D3494" t="s">
        <v>2389</v>
      </c>
      <c r="E3494" s="10">
        <v>72703</v>
      </c>
      <c r="F3494" s="12">
        <v>6.1699999999999995E-5</v>
      </c>
    </row>
    <row r="3495" spans="1:6">
      <c r="A3495" s="10">
        <v>2019</v>
      </c>
      <c r="B3495" t="s">
        <v>1133</v>
      </c>
      <c r="C3495" t="s">
        <v>1962</v>
      </c>
      <c r="D3495" t="s">
        <v>1962</v>
      </c>
      <c r="E3495" s="10">
        <v>76574</v>
      </c>
      <c r="F3495" s="12">
        <v>6.4900000000000005E-5</v>
      </c>
    </row>
    <row r="3496" spans="1:6">
      <c r="A3496" s="10">
        <v>2019</v>
      </c>
      <c r="B3496" t="s">
        <v>1994</v>
      </c>
      <c r="C3496" t="s">
        <v>1963</v>
      </c>
      <c r="D3496" t="s">
        <v>1963</v>
      </c>
      <c r="E3496" s="10">
        <v>50954</v>
      </c>
      <c r="F3496" s="12">
        <v>4.32E-5</v>
      </c>
    </row>
    <row r="3497" spans="1:6">
      <c r="A3497" s="10">
        <v>2019</v>
      </c>
      <c r="B3497" t="s">
        <v>1246</v>
      </c>
      <c r="C3497" t="s">
        <v>1964</v>
      </c>
      <c r="D3497" t="s">
        <v>1964</v>
      </c>
      <c r="E3497" s="10">
        <v>114240</v>
      </c>
      <c r="F3497" s="12">
        <v>9.6899999999999997E-5</v>
      </c>
    </row>
    <row r="3498" spans="1:6">
      <c r="A3498" s="10">
        <v>2019</v>
      </c>
      <c r="B3498" t="s">
        <v>1135</v>
      </c>
      <c r="C3498" t="s">
        <v>1965</v>
      </c>
      <c r="D3498" t="s">
        <v>1965</v>
      </c>
      <c r="E3498" s="10">
        <v>241228</v>
      </c>
      <c r="F3498" s="12">
        <v>2.0460000000000001E-4</v>
      </c>
    </row>
    <row r="3499" spans="1:6">
      <c r="A3499" s="10">
        <v>2019</v>
      </c>
      <c r="B3499" t="s">
        <v>1136</v>
      </c>
      <c r="C3499" t="s">
        <v>1966</v>
      </c>
      <c r="D3499" t="s">
        <v>1966</v>
      </c>
      <c r="E3499" s="10">
        <v>504888</v>
      </c>
      <c r="F3499" s="12">
        <v>4.282E-4</v>
      </c>
    </row>
    <row r="3500" spans="1:6">
      <c r="A3500" s="10">
        <v>2019</v>
      </c>
      <c r="B3500" t="s">
        <v>458</v>
      </c>
      <c r="C3500" t="s">
        <v>1967</v>
      </c>
      <c r="D3500" t="s">
        <v>1967</v>
      </c>
      <c r="E3500" s="10">
        <v>129536</v>
      </c>
      <c r="F3500" s="12">
        <v>1.099E-4</v>
      </c>
    </row>
    <row r="3501" spans="1:6">
      <c r="A3501" s="10">
        <v>2019</v>
      </c>
      <c r="B3501" t="s">
        <v>1137</v>
      </c>
      <c r="C3501" t="s">
        <v>1968</v>
      </c>
      <c r="D3501" t="s">
        <v>1968</v>
      </c>
      <c r="E3501" s="10">
        <v>256248</v>
      </c>
      <c r="F3501" s="12">
        <v>2.173E-4</v>
      </c>
    </row>
    <row r="3502" spans="1:6">
      <c r="A3502" s="10">
        <v>2019</v>
      </c>
      <c r="B3502" t="s">
        <v>1247</v>
      </c>
      <c r="C3502" t="s">
        <v>1969</v>
      </c>
      <c r="D3502" t="s">
        <v>1969</v>
      </c>
      <c r="E3502" s="10">
        <v>28741</v>
      </c>
      <c r="F3502" s="12">
        <v>2.44E-5</v>
      </c>
    </row>
    <row r="3503" spans="1:6">
      <c r="A3503" s="10">
        <v>2019</v>
      </c>
      <c r="B3503" t="s">
        <v>1138</v>
      </c>
      <c r="C3503" t="s">
        <v>1083</v>
      </c>
      <c r="D3503" t="s">
        <v>1083</v>
      </c>
      <c r="E3503" s="10"/>
    </row>
    <row r="3504" spans="1:6">
      <c r="A3504" s="10">
        <v>2019</v>
      </c>
      <c r="B3504" t="s">
        <v>96</v>
      </c>
      <c r="C3504" t="s">
        <v>1970</v>
      </c>
      <c r="D3504" t="s">
        <v>1970</v>
      </c>
      <c r="E3504" s="10">
        <v>16028</v>
      </c>
      <c r="F3504" s="12">
        <v>1.36E-5</v>
      </c>
    </row>
    <row r="3505" spans="1:6">
      <c r="A3505" s="10">
        <v>2019</v>
      </c>
      <c r="B3505" t="s">
        <v>1139</v>
      </c>
      <c r="C3505" t="s">
        <v>1084</v>
      </c>
      <c r="D3505" t="s">
        <v>1084</v>
      </c>
      <c r="E3505" s="10">
        <v>52488</v>
      </c>
      <c r="F3505" s="12">
        <v>4.4499999999999997E-5</v>
      </c>
    </row>
    <row r="3506" spans="1:6">
      <c r="A3506" s="10">
        <v>2019</v>
      </c>
      <c r="B3506" t="s">
        <v>1141</v>
      </c>
      <c r="C3506" t="s">
        <v>1971</v>
      </c>
      <c r="D3506" t="s">
        <v>1971</v>
      </c>
      <c r="E3506" s="10">
        <v>21762</v>
      </c>
      <c r="F3506" s="12">
        <v>1.8499999999999999E-5</v>
      </c>
    </row>
    <row r="3507" spans="1:6">
      <c r="A3507" s="10">
        <v>2019</v>
      </c>
      <c r="B3507" t="s">
        <v>1142</v>
      </c>
      <c r="C3507" t="s">
        <v>1087</v>
      </c>
      <c r="D3507" t="s">
        <v>1087</v>
      </c>
      <c r="E3507" s="10">
        <v>152951</v>
      </c>
      <c r="F3507" s="12">
        <v>1.2970000000000001E-4</v>
      </c>
    </row>
    <row r="3508" spans="1:6">
      <c r="A3508" s="10">
        <v>2019</v>
      </c>
      <c r="B3508" t="s">
        <v>1143</v>
      </c>
      <c r="C3508" t="s">
        <v>1088</v>
      </c>
      <c r="D3508" t="s">
        <v>1088</v>
      </c>
      <c r="E3508" s="10"/>
    </row>
    <row r="3509" spans="1:6">
      <c r="A3509" s="10">
        <v>2019</v>
      </c>
      <c r="B3509" t="s">
        <v>1144</v>
      </c>
      <c r="C3509" t="s">
        <v>1089</v>
      </c>
      <c r="D3509" t="s">
        <v>1089</v>
      </c>
      <c r="E3509" s="10"/>
    </row>
    <row r="3510" spans="1:6">
      <c r="A3510" s="10">
        <v>2019</v>
      </c>
      <c r="B3510" t="s">
        <v>1146</v>
      </c>
      <c r="C3510" t="s">
        <v>1973</v>
      </c>
      <c r="D3510" t="s">
        <v>1973</v>
      </c>
      <c r="E3510" s="10">
        <v>8648382</v>
      </c>
      <c r="F3510" s="12">
        <v>7.3347999999999998E-3</v>
      </c>
    </row>
    <row r="3511" spans="1:6">
      <c r="A3511" s="10">
        <v>2019</v>
      </c>
      <c r="B3511" t="s">
        <v>1147</v>
      </c>
      <c r="C3511" t="s">
        <v>1092</v>
      </c>
      <c r="D3511" t="s">
        <v>1092</v>
      </c>
      <c r="E3511" s="10">
        <v>8234</v>
      </c>
      <c r="F3511" s="12">
        <v>6.9999999999999999E-6</v>
      </c>
    </row>
    <row r="3512" spans="1:6">
      <c r="A3512" s="10">
        <v>2019</v>
      </c>
      <c r="B3512" t="s">
        <v>1148</v>
      </c>
      <c r="C3512" t="s">
        <v>1974</v>
      </c>
      <c r="D3512" t="s">
        <v>1974</v>
      </c>
      <c r="E3512" s="10">
        <v>233760</v>
      </c>
      <c r="F3512" s="12">
        <v>1.983E-4</v>
      </c>
    </row>
    <row r="3513" spans="1:6">
      <c r="A3513" s="10">
        <v>2019</v>
      </c>
      <c r="B3513" t="s">
        <v>1248</v>
      </c>
      <c r="C3513" t="s">
        <v>1975</v>
      </c>
      <c r="D3513" t="s">
        <v>1975</v>
      </c>
      <c r="E3513" s="10">
        <v>62465</v>
      </c>
      <c r="F3513" s="12">
        <v>5.3000000000000001E-5</v>
      </c>
    </row>
    <row r="3514" spans="1:6">
      <c r="A3514" s="10">
        <v>2019</v>
      </c>
      <c r="B3514" t="s">
        <v>1149</v>
      </c>
      <c r="C3514" t="s">
        <v>1094</v>
      </c>
      <c r="D3514" t="s">
        <v>1094</v>
      </c>
      <c r="E3514" s="10">
        <v>236376</v>
      </c>
      <c r="F3514" s="12">
        <v>2.0049999999999999E-4</v>
      </c>
    </row>
    <row r="3515" spans="1:6">
      <c r="A3515" s="10">
        <v>2019</v>
      </c>
      <c r="B3515" t="s">
        <v>1150</v>
      </c>
      <c r="C3515" t="s">
        <v>1976</v>
      </c>
      <c r="D3515" t="s">
        <v>2392</v>
      </c>
      <c r="E3515" s="10">
        <v>183086</v>
      </c>
      <c r="F3515" s="12">
        <v>1.5530000000000001E-4</v>
      </c>
    </row>
    <row r="3516" spans="1:6">
      <c r="A3516" s="10">
        <v>2019</v>
      </c>
      <c r="B3516" t="s">
        <v>459</v>
      </c>
      <c r="C3516" t="s">
        <v>1977</v>
      </c>
      <c r="D3516" t="s">
        <v>1977</v>
      </c>
      <c r="E3516" s="10">
        <v>4523518</v>
      </c>
      <c r="F3516" s="12">
        <v>3.8363999999999998E-3</v>
      </c>
    </row>
    <row r="3517" spans="1:6">
      <c r="A3517" s="10">
        <v>2019</v>
      </c>
      <c r="B3517" t="s">
        <v>1152</v>
      </c>
      <c r="C3517" t="s">
        <v>1979</v>
      </c>
      <c r="D3517" t="s">
        <v>1979</v>
      </c>
      <c r="E3517" s="10">
        <v>1073244</v>
      </c>
      <c r="F3517" s="12">
        <v>9.1020000000000001E-4</v>
      </c>
    </row>
    <row r="3518" spans="1:6">
      <c r="A3518" s="10">
        <v>2019</v>
      </c>
      <c r="B3518" t="s">
        <v>1249</v>
      </c>
      <c r="C3518" t="s">
        <v>1980</v>
      </c>
      <c r="D3518" t="s">
        <v>1980</v>
      </c>
      <c r="E3518" s="10">
        <v>136577</v>
      </c>
      <c r="F3518" s="12">
        <v>1.158E-4</v>
      </c>
    </row>
    <row r="3519" spans="1:6">
      <c r="A3519" s="10">
        <v>2019</v>
      </c>
      <c r="B3519" t="s">
        <v>1153</v>
      </c>
      <c r="C3519" t="s">
        <v>1981</v>
      </c>
      <c r="D3519" t="s">
        <v>1981</v>
      </c>
      <c r="E3519" s="10">
        <v>191948</v>
      </c>
      <c r="F3519" s="12">
        <v>1.628E-4</v>
      </c>
    </row>
    <row r="3520" spans="1:6">
      <c r="A3520" s="10">
        <v>2019</v>
      </c>
      <c r="B3520" t="s">
        <v>1154</v>
      </c>
      <c r="C3520" t="s">
        <v>1982</v>
      </c>
      <c r="D3520" t="s">
        <v>1982</v>
      </c>
      <c r="E3520" s="10">
        <v>7994616</v>
      </c>
      <c r="F3520" s="12">
        <v>6.7803000000000004E-3</v>
      </c>
    </row>
    <row r="3521" spans="1:6">
      <c r="A3521" s="10">
        <v>2019</v>
      </c>
      <c r="B3521" t="s">
        <v>1209</v>
      </c>
      <c r="C3521" t="s">
        <v>1983</v>
      </c>
      <c r="D3521" t="s">
        <v>1983</v>
      </c>
      <c r="E3521" s="10">
        <v>8243047</v>
      </c>
      <c r="F3521" s="12">
        <v>6.9909999999999998E-3</v>
      </c>
    </row>
    <row r="3522" spans="1:6">
      <c r="A3522" s="10">
        <v>2019</v>
      </c>
      <c r="B3522" t="s">
        <v>460</v>
      </c>
      <c r="C3522" t="s">
        <v>1984</v>
      </c>
      <c r="D3522" t="s">
        <v>1984</v>
      </c>
      <c r="E3522" s="10">
        <v>8996952</v>
      </c>
      <c r="F3522" s="12">
        <v>7.6303999999999999E-3</v>
      </c>
    </row>
    <row r="3523" spans="1:6">
      <c r="A3523" s="10">
        <v>2019</v>
      </c>
      <c r="B3523" t="s">
        <v>1210</v>
      </c>
      <c r="C3523" t="s">
        <v>1985</v>
      </c>
      <c r="D3523" t="s">
        <v>1985</v>
      </c>
      <c r="E3523" s="10">
        <v>743048</v>
      </c>
      <c r="F3523" s="12">
        <v>6.3020000000000003E-4</v>
      </c>
    </row>
    <row r="3524" spans="1:6">
      <c r="A3524" s="10">
        <v>2019</v>
      </c>
      <c r="B3524" t="s">
        <v>1250</v>
      </c>
      <c r="C3524" t="s">
        <v>1986</v>
      </c>
      <c r="D3524" t="s">
        <v>1986</v>
      </c>
      <c r="E3524" s="10">
        <v>184357</v>
      </c>
      <c r="F3524" s="12">
        <v>1.5640000000000001E-4</v>
      </c>
    </row>
    <row r="3525" spans="1:6">
      <c r="A3525" s="10">
        <v>2019</v>
      </c>
      <c r="B3525" t="s">
        <v>1211</v>
      </c>
      <c r="C3525" t="s">
        <v>1157</v>
      </c>
      <c r="D3525" t="s">
        <v>1157</v>
      </c>
      <c r="E3525" s="10">
        <v>3690</v>
      </c>
      <c r="F3525" s="12">
        <v>3.1E-6</v>
      </c>
    </row>
    <row r="3526" spans="1:6">
      <c r="A3526" s="10">
        <v>2019</v>
      </c>
      <c r="B3526" t="s">
        <v>1483</v>
      </c>
      <c r="C3526" t="s">
        <v>1482</v>
      </c>
      <c r="D3526" t="s">
        <v>1482</v>
      </c>
      <c r="E3526" s="10">
        <v>73016</v>
      </c>
      <c r="F3526" s="12">
        <v>6.19E-5</v>
      </c>
    </row>
    <row r="3527" spans="1:6">
      <c r="A3527" s="10">
        <v>2019</v>
      </c>
      <c r="B3527" t="s">
        <v>1212</v>
      </c>
      <c r="C3527" t="s">
        <v>1987</v>
      </c>
      <c r="D3527" t="s">
        <v>1987</v>
      </c>
      <c r="E3527" s="10">
        <v>1804222</v>
      </c>
      <c r="F3527" s="12">
        <v>1.5302E-3</v>
      </c>
    </row>
    <row r="3528" spans="1:6">
      <c r="A3528" s="10">
        <v>2019</v>
      </c>
      <c r="B3528" t="s">
        <v>1213</v>
      </c>
      <c r="C3528" t="s">
        <v>1988</v>
      </c>
      <c r="D3528" t="s">
        <v>1988</v>
      </c>
      <c r="E3528" s="10">
        <v>5948793</v>
      </c>
      <c r="F3528" s="12">
        <v>5.0451999999999997E-3</v>
      </c>
    </row>
    <row r="3529" spans="1:6">
      <c r="A3529" s="10">
        <v>2019</v>
      </c>
      <c r="B3529" t="s">
        <v>461</v>
      </c>
      <c r="C3529" t="s">
        <v>1989</v>
      </c>
      <c r="D3529" t="s">
        <v>1989</v>
      </c>
      <c r="E3529" s="10">
        <v>1044694</v>
      </c>
      <c r="F3529" s="12">
        <v>8.8599999999999996E-4</v>
      </c>
    </row>
    <row r="3530" spans="1:6">
      <c r="A3530" s="10">
        <v>2019</v>
      </c>
      <c r="B3530" t="s">
        <v>1214</v>
      </c>
      <c r="C3530" t="s">
        <v>1990</v>
      </c>
      <c r="D3530" t="s">
        <v>1990</v>
      </c>
      <c r="E3530" s="10">
        <v>435024</v>
      </c>
      <c r="F3530" s="12">
        <v>3.6890000000000002E-4</v>
      </c>
    </row>
    <row r="3531" spans="1:6">
      <c r="A3531" s="10">
        <v>2019</v>
      </c>
      <c r="B3531" t="s">
        <v>1215</v>
      </c>
      <c r="C3531" t="s">
        <v>1991</v>
      </c>
      <c r="D3531" t="s">
        <v>1991</v>
      </c>
      <c r="E3531" s="10">
        <v>461547</v>
      </c>
      <c r="F3531" s="12">
        <v>3.9140000000000003E-4</v>
      </c>
    </row>
    <row r="3532" spans="1:6">
      <c r="A3532" s="10">
        <v>2019</v>
      </c>
      <c r="B3532" t="s">
        <v>462</v>
      </c>
      <c r="C3532" t="s">
        <v>1992</v>
      </c>
      <c r="D3532" t="s">
        <v>1992</v>
      </c>
      <c r="E3532" s="10">
        <v>71218</v>
      </c>
      <c r="F3532" s="12">
        <v>6.0399999999999998E-5</v>
      </c>
    </row>
    <row r="3533" spans="1:6">
      <c r="A3533" s="10">
        <v>2019</v>
      </c>
      <c r="B3533" t="s">
        <v>1217</v>
      </c>
      <c r="C3533" t="s">
        <v>1993</v>
      </c>
      <c r="D3533" t="s">
        <v>1993</v>
      </c>
      <c r="E3533" s="10">
        <v>97970</v>
      </c>
      <c r="F3533" s="12">
        <v>8.3100000000000001E-5</v>
      </c>
    </row>
    <row r="3534" spans="1:6">
      <c r="A3534" s="10">
        <v>2019</v>
      </c>
      <c r="B3534" t="s">
        <v>1218</v>
      </c>
      <c r="C3534" t="s">
        <v>1995</v>
      </c>
      <c r="D3534" t="s">
        <v>1995</v>
      </c>
      <c r="E3534" s="10">
        <v>84792</v>
      </c>
      <c r="F3534" s="12">
        <v>7.1899999999999999E-5</v>
      </c>
    </row>
    <row r="3535" spans="1:6">
      <c r="A3535" s="10">
        <v>2019</v>
      </c>
      <c r="B3535" t="s">
        <v>1255</v>
      </c>
      <c r="C3535" t="s">
        <v>1201</v>
      </c>
      <c r="D3535" t="s">
        <v>1201</v>
      </c>
      <c r="E3535" s="10">
        <v>4870</v>
      </c>
      <c r="F3535" s="12">
        <v>4.0999999999999997E-6</v>
      </c>
    </row>
    <row r="3536" spans="1:6">
      <c r="A3536" s="10">
        <v>2019</v>
      </c>
      <c r="B3536" t="s">
        <v>1256</v>
      </c>
      <c r="C3536" t="s">
        <v>1202</v>
      </c>
      <c r="D3536" t="s">
        <v>1202</v>
      </c>
      <c r="E3536" s="10">
        <v>48762</v>
      </c>
      <c r="F3536" s="12">
        <v>4.1399999999999997E-5</v>
      </c>
    </row>
    <row r="3537" spans="1:6">
      <c r="A3537" s="10">
        <v>2019</v>
      </c>
      <c r="B3537" t="s">
        <v>1257</v>
      </c>
      <c r="C3537" t="s">
        <v>1996</v>
      </c>
      <c r="D3537" t="s">
        <v>1996</v>
      </c>
      <c r="E3537" s="10">
        <v>1290654</v>
      </c>
      <c r="F3537" s="12">
        <v>1.0946E-3</v>
      </c>
    </row>
    <row r="3538" spans="1:6">
      <c r="A3538" s="10">
        <v>2019</v>
      </c>
      <c r="B3538" t="s">
        <v>1258</v>
      </c>
      <c r="C3538" t="s">
        <v>1204</v>
      </c>
      <c r="D3538" t="s">
        <v>1204</v>
      </c>
      <c r="E3538" s="10">
        <v>1258511</v>
      </c>
      <c r="F3538" s="12">
        <v>1.0674E-3</v>
      </c>
    </row>
    <row r="3539" spans="1:6">
      <c r="A3539" s="10">
        <v>2019</v>
      </c>
      <c r="B3539" t="s">
        <v>1259</v>
      </c>
      <c r="C3539" t="s">
        <v>1205</v>
      </c>
      <c r="D3539" t="s">
        <v>1205</v>
      </c>
      <c r="E3539" s="10">
        <v>300135</v>
      </c>
      <c r="F3539" s="12">
        <v>2.5450000000000001E-4</v>
      </c>
    </row>
    <row r="3540" spans="1:6">
      <c r="A3540" s="10">
        <v>2019</v>
      </c>
      <c r="B3540" t="s">
        <v>1260</v>
      </c>
      <c r="C3540" t="s">
        <v>1206</v>
      </c>
      <c r="D3540" t="s">
        <v>1206</v>
      </c>
      <c r="E3540" s="10">
        <v>66471</v>
      </c>
      <c r="F3540" s="12">
        <v>5.6400000000000002E-5</v>
      </c>
    </row>
    <row r="3541" spans="1:6">
      <c r="A3541" s="10">
        <v>2019</v>
      </c>
      <c r="B3541" t="s">
        <v>1261</v>
      </c>
      <c r="C3541" t="s">
        <v>1997</v>
      </c>
      <c r="D3541" t="s">
        <v>1997</v>
      </c>
      <c r="E3541" s="10">
        <v>30147603</v>
      </c>
      <c r="F3541" s="12">
        <v>2.5568500000000001E-2</v>
      </c>
    </row>
    <row r="3542" spans="1:6">
      <c r="A3542" s="10">
        <v>2019</v>
      </c>
      <c r="B3542" t="s">
        <v>1262</v>
      </c>
      <c r="C3542" t="s">
        <v>1208</v>
      </c>
      <c r="D3542" t="s">
        <v>1208</v>
      </c>
      <c r="E3542" s="10">
        <v>39055</v>
      </c>
      <c r="F3542" s="12">
        <v>3.3099999999999998E-5</v>
      </c>
    </row>
    <row r="3543" spans="1:6">
      <c r="A3543" s="10">
        <v>2019</v>
      </c>
      <c r="B3543" t="s">
        <v>1251</v>
      </c>
      <c r="C3543" t="s">
        <v>1998</v>
      </c>
      <c r="D3543" t="s">
        <v>1998</v>
      </c>
      <c r="E3543" s="10">
        <v>35006</v>
      </c>
      <c r="F3543" s="12">
        <v>2.97E-5</v>
      </c>
    </row>
    <row r="3544" spans="1:6">
      <c r="A3544" s="10">
        <v>2019</v>
      </c>
      <c r="B3544" t="s">
        <v>1311</v>
      </c>
      <c r="C3544" t="s">
        <v>2414</v>
      </c>
      <c r="D3544" t="s">
        <v>1999</v>
      </c>
      <c r="E3544" s="10">
        <v>845666</v>
      </c>
      <c r="F3544" s="12">
        <v>7.1719999999999998E-4</v>
      </c>
    </row>
    <row r="3545" spans="1:6">
      <c r="A3545" s="10">
        <v>2019</v>
      </c>
      <c r="B3545" t="s">
        <v>1312</v>
      </c>
      <c r="C3545" t="s">
        <v>2000</v>
      </c>
      <c r="D3545" t="s">
        <v>2000</v>
      </c>
      <c r="E3545" s="10">
        <v>50462026</v>
      </c>
      <c r="F3545" s="12">
        <v>4.2797300000000003E-2</v>
      </c>
    </row>
    <row r="3546" spans="1:6">
      <c r="A3546" s="10">
        <v>2019</v>
      </c>
      <c r="B3546" t="s">
        <v>1313</v>
      </c>
      <c r="C3546" t="s">
        <v>2001</v>
      </c>
      <c r="D3546" t="s">
        <v>2001</v>
      </c>
      <c r="E3546" s="10">
        <v>8049218</v>
      </c>
      <c r="F3546" s="12">
        <v>6.8266000000000004E-3</v>
      </c>
    </row>
    <row r="3547" spans="1:6">
      <c r="A3547" s="10">
        <v>2019</v>
      </c>
      <c r="B3547" t="s">
        <v>1314</v>
      </c>
      <c r="C3547" t="s">
        <v>2002</v>
      </c>
      <c r="D3547" t="s">
        <v>2002</v>
      </c>
      <c r="E3547" s="10">
        <v>77906</v>
      </c>
      <c r="F3547" s="12">
        <v>6.6099999999999994E-5</v>
      </c>
    </row>
    <row r="3548" spans="1:6">
      <c r="A3548" s="10">
        <v>2019</v>
      </c>
      <c r="B3548" t="s">
        <v>1035</v>
      </c>
      <c r="C3548" t="s">
        <v>2003</v>
      </c>
      <c r="D3548" t="s">
        <v>2003</v>
      </c>
      <c r="E3548" s="10">
        <v>291629</v>
      </c>
      <c r="F3548" s="12">
        <v>2.4729999999999999E-4</v>
      </c>
    </row>
    <row r="3549" spans="1:6">
      <c r="A3549" s="10">
        <v>2019</v>
      </c>
      <c r="B3549" t="s">
        <v>1315</v>
      </c>
      <c r="C3549" t="s">
        <v>2394</v>
      </c>
      <c r="D3549" t="s">
        <v>2394</v>
      </c>
      <c r="E3549" s="10">
        <v>41221</v>
      </c>
      <c r="F3549" s="12">
        <v>3.4999999999999997E-5</v>
      </c>
    </row>
    <row r="3550" spans="1:6">
      <c r="A3550" s="10">
        <v>2019</v>
      </c>
      <c r="B3550" t="s">
        <v>1033</v>
      </c>
      <c r="C3550" t="s">
        <v>2005</v>
      </c>
      <c r="D3550" t="s">
        <v>2005</v>
      </c>
      <c r="E3550" s="10">
        <v>2611447</v>
      </c>
      <c r="F3550" s="12">
        <v>2.2147999999999998E-3</v>
      </c>
    </row>
    <row r="3551" spans="1:6">
      <c r="A3551" s="10">
        <v>2019</v>
      </c>
      <c r="B3551" t="s">
        <v>1316</v>
      </c>
      <c r="C3551" t="s">
        <v>2459</v>
      </c>
      <c r="D3551" t="s">
        <v>2006</v>
      </c>
      <c r="E3551" s="10">
        <v>327120</v>
      </c>
      <c r="F3551" s="12">
        <v>2.7740000000000002E-4</v>
      </c>
    </row>
    <row r="3552" spans="1:6">
      <c r="A3552" s="10">
        <v>2019</v>
      </c>
      <c r="B3552" t="s">
        <v>1317</v>
      </c>
      <c r="C3552" t="s">
        <v>2007</v>
      </c>
      <c r="D3552" t="s">
        <v>2007</v>
      </c>
      <c r="E3552" s="10">
        <v>102918</v>
      </c>
      <c r="F3552" s="12">
        <v>8.7299999999999994E-5</v>
      </c>
    </row>
    <row r="3553" spans="1:6">
      <c r="A3553" s="10">
        <v>2019</v>
      </c>
      <c r="B3553" t="s">
        <v>1318</v>
      </c>
      <c r="C3553" t="s">
        <v>2008</v>
      </c>
      <c r="D3553" t="s">
        <v>2008</v>
      </c>
      <c r="E3553" s="10"/>
    </row>
    <row r="3554" spans="1:6">
      <c r="A3554" s="10">
        <v>2019</v>
      </c>
      <c r="B3554" t="s">
        <v>1319</v>
      </c>
      <c r="C3554" t="s">
        <v>1271</v>
      </c>
      <c r="D3554" t="s">
        <v>1271</v>
      </c>
      <c r="E3554" s="10">
        <v>32132</v>
      </c>
      <c r="F3554" s="12">
        <v>2.73E-5</v>
      </c>
    </row>
    <row r="3555" spans="1:6">
      <c r="A3555" s="10">
        <v>2019</v>
      </c>
      <c r="B3555" t="s">
        <v>1320</v>
      </c>
      <c r="C3555" t="s">
        <v>2009</v>
      </c>
      <c r="D3555" t="s">
        <v>2009</v>
      </c>
      <c r="E3555" s="10">
        <v>96546</v>
      </c>
      <c r="F3555" s="12">
        <v>8.1899999999999999E-5</v>
      </c>
    </row>
    <row r="3556" spans="1:6">
      <c r="A3556" s="10">
        <v>2019</v>
      </c>
      <c r="B3556" t="s">
        <v>1321</v>
      </c>
      <c r="C3556" t="s">
        <v>1273</v>
      </c>
      <c r="D3556" t="s">
        <v>1273</v>
      </c>
      <c r="E3556" s="10"/>
    </row>
    <row r="3557" spans="1:6">
      <c r="A3557" s="10">
        <v>2019</v>
      </c>
      <c r="B3557" t="s">
        <v>1323</v>
      </c>
      <c r="C3557" t="s">
        <v>2011</v>
      </c>
      <c r="D3557" t="s">
        <v>2011</v>
      </c>
      <c r="E3557" s="10">
        <v>13939804</v>
      </c>
      <c r="F3557" s="12">
        <v>1.18225E-2</v>
      </c>
    </row>
    <row r="3558" spans="1:6">
      <c r="A3558" s="10">
        <v>2019</v>
      </c>
      <c r="B3558" t="s">
        <v>1325</v>
      </c>
      <c r="C3558" t="s">
        <v>2395</v>
      </c>
      <c r="D3558" t="s">
        <v>2395</v>
      </c>
      <c r="E3558" s="10">
        <v>118411</v>
      </c>
      <c r="F3558" s="12">
        <v>1.004E-4</v>
      </c>
    </row>
    <row r="3559" spans="1:6">
      <c r="A3559" s="10">
        <v>2019</v>
      </c>
      <c r="B3559" t="s">
        <v>1252</v>
      </c>
      <c r="C3559" t="s">
        <v>2013</v>
      </c>
      <c r="D3559" t="s">
        <v>2013</v>
      </c>
      <c r="E3559" s="10">
        <v>113522</v>
      </c>
      <c r="F3559" s="12">
        <v>9.6299999999999996E-5</v>
      </c>
    </row>
    <row r="3560" spans="1:6">
      <c r="A3560" s="10">
        <v>2019</v>
      </c>
      <c r="B3560" t="s">
        <v>1326</v>
      </c>
      <c r="C3560" t="s">
        <v>2014</v>
      </c>
      <c r="D3560" t="s">
        <v>2014</v>
      </c>
      <c r="E3560" s="10">
        <v>94832</v>
      </c>
      <c r="F3560" s="12">
        <v>8.0400000000000003E-5</v>
      </c>
    </row>
    <row r="3561" spans="1:6">
      <c r="A3561" s="10">
        <v>2019</v>
      </c>
      <c r="B3561" t="s">
        <v>1327</v>
      </c>
      <c r="C3561" t="s">
        <v>1279</v>
      </c>
      <c r="D3561" t="s">
        <v>1279</v>
      </c>
      <c r="E3561" s="10">
        <v>937221</v>
      </c>
      <c r="F3561" s="12">
        <v>7.9489999999999997E-4</v>
      </c>
    </row>
    <row r="3562" spans="1:6">
      <c r="A3562" s="10">
        <v>2019</v>
      </c>
      <c r="B3562" t="s">
        <v>1328</v>
      </c>
      <c r="C3562" t="s">
        <v>1484</v>
      </c>
      <c r="D3562" t="s">
        <v>1484</v>
      </c>
      <c r="E3562" s="10">
        <v>36362</v>
      </c>
      <c r="F3562" s="12">
        <v>3.0800000000000003E-5</v>
      </c>
    </row>
    <row r="3563" spans="1:6">
      <c r="A3563" s="10">
        <v>2019</v>
      </c>
      <c r="B3563" t="s">
        <v>1329</v>
      </c>
      <c r="C3563" t="s">
        <v>1485</v>
      </c>
      <c r="D3563" t="s">
        <v>1485</v>
      </c>
      <c r="E3563" s="10">
        <v>1023644</v>
      </c>
      <c r="F3563" s="12">
        <v>8.6819999999999996E-4</v>
      </c>
    </row>
    <row r="3564" spans="1:6">
      <c r="A3564" s="10">
        <v>2019</v>
      </c>
      <c r="B3564" t="s">
        <v>1332</v>
      </c>
      <c r="C3564" t="s">
        <v>1284</v>
      </c>
      <c r="D3564" t="s">
        <v>1284</v>
      </c>
      <c r="E3564" s="10">
        <v>28402</v>
      </c>
      <c r="F3564" s="12">
        <v>2.41E-5</v>
      </c>
    </row>
    <row r="3565" spans="1:6">
      <c r="A3565" s="10">
        <v>2019</v>
      </c>
      <c r="B3565" t="s">
        <v>1333</v>
      </c>
      <c r="C3565" t="s">
        <v>2015</v>
      </c>
      <c r="D3565" t="s">
        <v>2396</v>
      </c>
      <c r="E3565" s="10">
        <v>5411</v>
      </c>
      <c r="F3565" s="12">
        <v>4.6E-6</v>
      </c>
    </row>
    <row r="3566" spans="1:6">
      <c r="A3566" s="10">
        <v>2019</v>
      </c>
      <c r="B3566" t="s">
        <v>1334</v>
      </c>
      <c r="C3566" t="s">
        <v>2016</v>
      </c>
      <c r="D3566" t="s">
        <v>2016</v>
      </c>
      <c r="E3566" s="10">
        <v>1460764</v>
      </c>
      <c r="F3566" s="12">
        <v>1.2389E-3</v>
      </c>
    </row>
    <row r="3567" spans="1:6">
      <c r="A3567" s="10">
        <v>2019</v>
      </c>
      <c r="B3567" t="s">
        <v>1335</v>
      </c>
      <c r="C3567" t="s">
        <v>2017</v>
      </c>
      <c r="D3567" t="s">
        <v>2017</v>
      </c>
      <c r="E3567" s="10">
        <v>781865</v>
      </c>
      <c r="F3567" s="12">
        <v>6.6310000000000002E-4</v>
      </c>
    </row>
    <row r="3568" spans="1:6">
      <c r="A3568" s="10">
        <v>2019</v>
      </c>
      <c r="B3568" t="s">
        <v>1253</v>
      </c>
      <c r="C3568" t="s">
        <v>2018</v>
      </c>
      <c r="D3568" t="s">
        <v>2018</v>
      </c>
      <c r="E3568" s="10">
        <v>295950</v>
      </c>
      <c r="F3568" s="12">
        <v>2.5099999999999998E-4</v>
      </c>
    </row>
    <row r="3569" spans="1:6">
      <c r="A3569" s="10">
        <v>2019</v>
      </c>
      <c r="B3569" t="s">
        <v>1336</v>
      </c>
      <c r="C3569" t="s">
        <v>2019</v>
      </c>
      <c r="D3569" t="s">
        <v>2019</v>
      </c>
      <c r="E3569" s="10">
        <v>604081</v>
      </c>
      <c r="F3569" s="12">
        <v>5.1230000000000004E-4</v>
      </c>
    </row>
    <row r="3570" spans="1:6">
      <c r="A3570" s="10">
        <v>2019</v>
      </c>
      <c r="B3570" t="s">
        <v>463</v>
      </c>
      <c r="C3570" t="s">
        <v>2020</v>
      </c>
      <c r="D3570" t="s">
        <v>2020</v>
      </c>
      <c r="E3570" s="10">
        <v>191954</v>
      </c>
      <c r="F3570" s="12">
        <v>1.628E-4</v>
      </c>
    </row>
    <row r="3571" spans="1:6">
      <c r="A3571" s="10">
        <v>2019</v>
      </c>
      <c r="B3571" t="s">
        <v>1337</v>
      </c>
      <c r="C3571" t="s">
        <v>2021</v>
      </c>
      <c r="D3571" t="s">
        <v>2021</v>
      </c>
      <c r="E3571" s="10">
        <v>407339</v>
      </c>
      <c r="F3571" s="12">
        <v>3.455E-4</v>
      </c>
    </row>
    <row r="3572" spans="1:6">
      <c r="A3572" s="10">
        <v>2019</v>
      </c>
      <c r="B3572" t="s">
        <v>464</v>
      </c>
      <c r="C3572" t="s">
        <v>2022</v>
      </c>
      <c r="D3572" t="s">
        <v>2022</v>
      </c>
      <c r="E3572" s="10">
        <v>325935</v>
      </c>
      <c r="F3572" s="12">
        <v>2.764E-4</v>
      </c>
    </row>
    <row r="3573" spans="1:6">
      <c r="A3573" s="10">
        <v>2019</v>
      </c>
      <c r="B3573" t="s">
        <v>1338</v>
      </c>
      <c r="C3573" t="s">
        <v>2023</v>
      </c>
      <c r="D3573" t="s">
        <v>2023</v>
      </c>
      <c r="E3573" s="10">
        <v>694</v>
      </c>
      <c r="F3573" s="12">
        <v>5.9999999999999997E-7</v>
      </c>
    </row>
    <row r="3574" spans="1:6">
      <c r="A3574" s="10">
        <v>2019</v>
      </c>
      <c r="B3574" t="s">
        <v>907</v>
      </c>
      <c r="C3574" t="s">
        <v>2024</v>
      </c>
      <c r="D3574" t="s">
        <v>2024</v>
      </c>
      <c r="E3574" s="10">
        <v>39867</v>
      </c>
      <c r="F3574" s="12">
        <v>3.3800000000000002E-5</v>
      </c>
    </row>
    <row r="3575" spans="1:6">
      <c r="A3575" s="10">
        <v>2019</v>
      </c>
      <c r="B3575" t="s">
        <v>1339</v>
      </c>
      <c r="C3575" t="s">
        <v>2025</v>
      </c>
      <c r="D3575" t="s">
        <v>2025</v>
      </c>
      <c r="E3575" s="10">
        <v>862691</v>
      </c>
      <c r="F3575" s="12">
        <v>7.3169999999999995E-4</v>
      </c>
    </row>
    <row r="3576" spans="1:6">
      <c r="A3576" s="10">
        <v>2019</v>
      </c>
      <c r="B3576" t="s">
        <v>1340</v>
      </c>
      <c r="C3576" t="s">
        <v>2026</v>
      </c>
      <c r="D3576" t="s">
        <v>2026</v>
      </c>
      <c r="E3576" s="10">
        <v>1817957</v>
      </c>
      <c r="F3576" s="12">
        <v>1.5418000000000001E-3</v>
      </c>
    </row>
    <row r="3577" spans="1:6">
      <c r="A3577" s="10">
        <v>2019</v>
      </c>
      <c r="B3577" t="s">
        <v>1341</v>
      </c>
      <c r="C3577" t="s">
        <v>2027</v>
      </c>
      <c r="D3577" t="s">
        <v>2027</v>
      </c>
      <c r="E3577" s="10">
        <v>1130168</v>
      </c>
      <c r="F3577" s="12">
        <v>9.5850000000000004E-4</v>
      </c>
    </row>
    <row r="3578" spans="1:6">
      <c r="A3578" s="10">
        <v>2019</v>
      </c>
      <c r="B3578" t="s">
        <v>465</v>
      </c>
      <c r="C3578" t="s">
        <v>2028</v>
      </c>
      <c r="D3578" t="s">
        <v>2028</v>
      </c>
      <c r="E3578" s="10">
        <v>311567</v>
      </c>
      <c r="F3578" s="12">
        <v>2.6420000000000003E-4</v>
      </c>
    </row>
    <row r="3579" spans="1:6">
      <c r="A3579" s="10">
        <v>2019</v>
      </c>
      <c r="B3579" t="s">
        <v>1342</v>
      </c>
      <c r="C3579" t="s">
        <v>1294</v>
      </c>
      <c r="D3579" t="s">
        <v>1294</v>
      </c>
      <c r="E3579" s="10"/>
    </row>
    <row r="3580" spans="1:6">
      <c r="A3580" s="10">
        <v>2019</v>
      </c>
      <c r="B3580" t="s">
        <v>1343</v>
      </c>
      <c r="C3580" t="s">
        <v>2029</v>
      </c>
      <c r="D3580" t="s">
        <v>2029</v>
      </c>
      <c r="E3580" s="10">
        <v>44739</v>
      </c>
      <c r="F3580" s="12">
        <v>3.79E-5</v>
      </c>
    </row>
    <row r="3581" spans="1:6">
      <c r="A3581" s="10">
        <v>2019</v>
      </c>
      <c r="B3581" t="s">
        <v>1344</v>
      </c>
      <c r="C3581" t="s">
        <v>2030</v>
      </c>
      <c r="D3581" t="s">
        <v>2030</v>
      </c>
      <c r="E3581" s="10">
        <v>67923</v>
      </c>
      <c r="F3581" s="12">
        <v>5.7599999999999997E-5</v>
      </c>
    </row>
    <row r="3582" spans="1:6">
      <c r="A3582" s="10">
        <v>2019</v>
      </c>
      <c r="B3582" t="s">
        <v>1346</v>
      </c>
      <c r="C3582" t="s">
        <v>1298</v>
      </c>
      <c r="D3582" t="s">
        <v>1298</v>
      </c>
      <c r="E3582" s="10">
        <v>2397305</v>
      </c>
      <c r="F3582" s="12">
        <v>2.0332000000000002E-3</v>
      </c>
    </row>
    <row r="3583" spans="1:6">
      <c r="A3583" s="10">
        <v>2019</v>
      </c>
      <c r="B3583" t="s">
        <v>1347</v>
      </c>
      <c r="C3583" t="s">
        <v>1299</v>
      </c>
      <c r="D3583" t="s">
        <v>1299</v>
      </c>
      <c r="E3583" s="10">
        <v>6052324</v>
      </c>
      <c r="F3583" s="12">
        <v>5.1330000000000004E-3</v>
      </c>
    </row>
    <row r="3584" spans="1:6">
      <c r="A3584" s="10">
        <v>2019</v>
      </c>
      <c r="B3584" t="s">
        <v>1345</v>
      </c>
      <c r="C3584" t="s">
        <v>2031</v>
      </c>
      <c r="D3584" t="s">
        <v>2031</v>
      </c>
      <c r="E3584" s="10"/>
    </row>
    <row r="3585" spans="1:6">
      <c r="A3585" s="10">
        <v>2019</v>
      </c>
      <c r="B3585" t="s">
        <v>1348</v>
      </c>
      <c r="C3585" t="s">
        <v>2032</v>
      </c>
      <c r="D3585" t="s">
        <v>2032</v>
      </c>
      <c r="E3585" s="10">
        <v>90001</v>
      </c>
      <c r="F3585" s="12">
        <v>7.6299999999999998E-5</v>
      </c>
    </row>
    <row r="3586" spans="1:6">
      <c r="A3586" s="10">
        <v>2019</v>
      </c>
      <c r="B3586" t="s">
        <v>1349</v>
      </c>
      <c r="C3586" t="s">
        <v>2033</v>
      </c>
      <c r="D3586" t="s">
        <v>2033</v>
      </c>
      <c r="E3586" s="10">
        <v>220413</v>
      </c>
      <c r="F3586" s="12">
        <v>1.8689999999999999E-4</v>
      </c>
    </row>
    <row r="3587" spans="1:6">
      <c r="A3587" s="10">
        <v>2019</v>
      </c>
      <c r="B3587" t="s">
        <v>1254</v>
      </c>
      <c r="C3587" t="s">
        <v>2034</v>
      </c>
      <c r="D3587" t="s">
        <v>2034</v>
      </c>
      <c r="E3587" s="10">
        <v>95019</v>
      </c>
      <c r="F3587" s="12">
        <v>8.0599999999999994E-5</v>
      </c>
    </row>
    <row r="3588" spans="1:6">
      <c r="A3588" s="10">
        <v>2019</v>
      </c>
      <c r="B3588" t="s">
        <v>1350</v>
      </c>
      <c r="C3588" t="s">
        <v>2035</v>
      </c>
      <c r="D3588" t="s">
        <v>2035</v>
      </c>
      <c r="E3588" s="10">
        <v>30148</v>
      </c>
      <c r="F3588" s="12">
        <v>2.5599999999999999E-5</v>
      </c>
    </row>
    <row r="3589" spans="1:6">
      <c r="A3589" s="10">
        <v>2019</v>
      </c>
      <c r="B3589" t="s">
        <v>1352</v>
      </c>
      <c r="C3589" t="s">
        <v>1304</v>
      </c>
      <c r="D3589" t="s">
        <v>1304</v>
      </c>
      <c r="E3589" s="10">
        <v>4750388</v>
      </c>
      <c r="F3589" s="12">
        <v>4.0287999999999999E-3</v>
      </c>
    </row>
    <row r="3590" spans="1:6">
      <c r="A3590" s="10">
        <v>2019</v>
      </c>
      <c r="B3590" t="s">
        <v>1353</v>
      </c>
      <c r="C3590" t="s">
        <v>1305</v>
      </c>
      <c r="D3590" t="s">
        <v>1305</v>
      </c>
      <c r="E3590" s="10">
        <v>142236</v>
      </c>
      <c r="F3590" s="12">
        <v>1.206E-4</v>
      </c>
    </row>
    <row r="3591" spans="1:6">
      <c r="A3591" s="10">
        <v>2019</v>
      </c>
      <c r="B3591" t="s">
        <v>1351</v>
      </c>
      <c r="C3591" t="s">
        <v>2415</v>
      </c>
      <c r="D3591" t="s">
        <v>2397</v>
      </c>
      <c r="E3591" s="10">
        <v>33003</v>
      </c>
      <c r="F3591" s="12">
        <v>2.8E-5</v>
      </c>
    </row>
    <row r="3592" spans="1:6">
      <c r="A3592" s="10">
        <v>2019</v>
      </c>
      <c r="B3592" t="s">
        <v>1354</v>
      </c>
      <c r="C3592" t="s">
        <v>2037</v>
      </c>
      <c r="D3592" t="s">
        <v>2037</v>
      </c>
      <c r="E3592" s="10"/>
    </row>
    <row r="3593" spans="1:6">
      <c r="A3593" s="10">
        <v>2019</v>
      </c>
      <c r="B3593" t="s">
        <v>1355</v>
      </c>
      <c r="C3593" t="s">
        <v>2038</v>
      </c>
      <c r="D3593" t="s">
        <v>2038</v>
      </c>
      <c r="E3593" s="10">
        <v>4375070</v>
      </c>
      <c r="F3593" s="12">
        <v>3.7104999999999998E-3</v>
      </c>
    </row>
    <row r="3594" spans="1:6">
      <c r="A3594" s="10">
        <v>2019</v>
      </c>
      <c r="B3594" t="s">
        <v>1357</v>
      </c>
      <c r="C3594" t="s">
        <v>2039</v>
      </c>
      <c r="D3594" t="s">
        <v>2039</v>
      </c>
      <c r="E3594" s="10">
        <v>143799</v>
      </c>
      <c r="F3594" s="12">
        <v>1.22E-4</v>
      </c>
    </row>
    <row r="3595" spans="1:6">
      <c r="A3595" s="10">
        <v>2019</v>
      </c>
      <c r="B3595" t="s">
        <v>2043</v>
      </c>
      <c r="C3595" t="s">
        <v>2040</v>
      </c>
      <c r="D3595" t="s">
        <v>2040</v>
      </c>
      <c r="E3595" s="10">
        <v>32644</v>
      </c>
      <c r="F3595" s="12">
        <v>2.7699999999999999E-5</v>
      </c>
    </row>
    <row r="3596" spans="1:6">
      <c r="A3596" s="10">
        <v>2019</v>
      </c>
      <c r="B3596" t="s">
        <v>1358</v>
      </c>
      <c r="C3596" t="s">
        <v>2041</v>
      </c>
      <c r="D3596" t="s">
        <v>2041</v>
      </c>
      <c r="E3596" s="10">
        <v>5118628</v>
      </c>
      <c r="F3596" s="12">
        <v>4.3411999999999999E-3</v>
      </c>
    </row>
    <row r="3597" spans="1:6">
      <c r="A3597" s="10">
        <v>2019</v>
      </c>
      <c r="B3597" t="s">
        <v>466</v>
      </c>
      <c r="C3597" t="s">
        <v>2042</v>
      </c>
      <c r="D3597" t="s">
        <v>2042</v>
      </c>
      <c r="E3597" s="10">
        <v>3759608</v>
      </c>
      <c r="F3597" s="12">
        <v>3.1886000000000002E-3</v>
      </c>
    </row>
    <row r="3598" spans="1:6">
      <c r="A3598" s="10">
        <v>2020</v>
      </c>
      <c r="B3598" t="s">
        <v>59</v>
      </c>
      <c r="C3598" t="s">
        <v>6</v>
      </c>
      <c r="D3598" t="s">
        <v>6</v>
      </c>
      <c r="E3598" s="10"/>
    </row>
    <row r="3599" spans="1:6">
      <c r="A3599" s="10">
        <v>2020</v>
      </c>
      <c r="B3599" t="s">
        <v>60</v>
      </c>
      <c r="C3599" t="s">
        <v>7</v>
      </c>
      <c r="D3599" t="s">
        <v>7</v>
      </c>
      <c r="E3599" s="10">
        <v>328523</v>
      </c>
      <c r="F3599" s="12">
        <v>2.6249999999999998E-4</v>
      </c>
    </row>
    <row r="3600" spans="1:6">
      <c r="A3600" s="10">
        <v>2020</v>
      </c>
      <c r="B3600" t="s">
        <v>61</v>
      </c>
      <c r="C3600" t="s">
        <v>1487</v>
      </c>
      <c r="D3600" t="s">
        <v>1487</v>
      </c>
      <c r="E3600" s="10">
        <v>86767</v>
      </c>
      <c r="F3600" s="12">
        <v>6.9300000000000004E-5</v>
      </c>
    </row>
    <row r="3601" spans="1:6">
      <c r="A3601" s="10">
        <v>2020</v>
      </c>
      <c r="B3601" t="s">
        <v>62</v>
      </c>
      <c r="C3601" t="s">
        <v>9</v>
      </c>
      <c r="D3601" t="s">
        <v>9</v>
      </c>
      <c r="E3601" s="10">
        <v>97038</v>
      </c>
      <c r="F3601" s="12">
        <v>7.75E-5</v>
      </c>
    </row>
    <row r="3602" spans="1:6">
      <c r="A3602" s="10">
        <v>2020</v>
      </c>
      <c r="B3602" t="s">
        <v>63</v>
      </c>
      <c r="C3602" t="s">
        <v>1488</v>
      </c>
      <c r="D3602" t="s">
        <v>1488</v>
      </c>
      <c r="E3602" s="10">
        <v>123417</v>
      </c>
      <c r="F3602" s="12">
        <v>9.8599999999999998E-5</v>
      </c>
    </row>
    <row r="3603" spans="1:6">
      <c r="A3603" s="10">
        <v>2020</v>
      </c>
      <c r="B3603" t="s">
        <v>64</v>
      </c>
      <c r="C3603" t="s">
        <v>1489</v>
      </c>
      <c r="D3603" t="s">
        <v>1489</v>
      </c>
      <c r="E3603" s="10">
        <v>5052667</v>
      </c>
      <c r="F3603" s="12">
        <v>4.0372999999999997E-3</v>
      </c>
    </row>
    <row r="3604" spans="1:6">
      <c r="A3604" s="10">
        <v>2020</v>
      </c>
      <c r="B3604" t="s">
        <v>65</v>
      </c>
      <c r="C3604" t="s">
        <v>1490</v>
      </c>
      <c r="D3604" t="s">
        <v>1490</v>
      </c>
      <c r="E3604" s="10">
        <v>78821</v>
      </c>
      <c r="F3604" s="12">
        <v>6.3E-5</v>
      </c>
    </row>
    <row r="3605" spans="1:6">
      <c r="A3605" s="10">
        <v>2020</v>
      </c>
      <c r="B3605" t="s">
        <v>66</v>
      </c>
      <c r="C3605" t="s">
        <v>1491</v>
      </c>
      <c r="D3605" t="s">
        <v>1491</v>
      </c>
      <c r="E3605" s="10">
        <v>28331</v>
      </c>
      <c r="F3605" s="12">
        <v>2.26E-5</v>
      </c>
    </row>
    <row r="3606" spans="1:6">
      <c r="A3606" s="10">
        <v>2020</v>
      </c>
      <c r="B3606" t="s">
        <v>67</v>
      </c>
      <c r="C3606" t="s">
        <v>1492</v>
      </c>
      <c r="D3606" t="s">
        <v>1492</v>
      </c>
      <c r="E3606" s="10">
        <v>213606</v>
      </c>
      <c r="F3606" s="12">
        <v>1.707E-4</v>
      </c>
    </row>
    <row r="3607" spans="1:6">
      <c r="A3607" s="10">
        <v>2020</v>
      </c>
      <c r="B3607" t="s">
        <v>68</v>
      </c>
      <c r="C3607" t="s">
        <v>1493</v>
      </c>
      <c r="D3607" t="s">
        <v>1493</v>
      </c>
      <c r="E3607" s="10">
        <v>8216</v>
      </c>
      <c r="F3607" s="12">
        <v>6.6000000000000003E-6</v>
      </c>
    </row>
    <row r="3608" spans="1:6">
      <c r="A3608" s="10">
        <v>2020</v>
      </c>
      <c r="B3608" t="s">
        <v>69</v>
      </c>
      <c r="C3608" t="s">
        <v>1494</v>
      </c>
      <c r="D3608" t="s">
        <v>1494</v>
      </c>
      <c r="E3608" s="10">
        <v>400421</v>
      </c>
      <c r="F3608" s="12">
        <v>3.2000000000000003E-4</v>
      </c>
    </row>
    <row r="3609" spans="1:6">
      <c r="A3609" s="10">
        <v>2020</v>
      </c>
      <c r="B3609" t="s">
        <v>70</v>
      </c>
      <c r="C3609" t="s">
        <v>1495</v>
      </c>
      <c r="D3609" t="s">
        <v>1495</v>
      </c>
      <c r="E3609" s="10">
        <v>7582478</v>
      </c>
      <c r="F3609" s="12">
        <v>6.0587000000000002E-3</v>
      </c>
    </row>
    <row r="3610" spans="1:6">
      <c r="A3610" s="10">
        <v>2020</v>
      </c>
      <c r="B3610" t="s">
        <v>71</v>
      </c>
      <c r="C3610" t="s">
        <v>1496</v>
      </c>
      <c r="D3610" t="s">
        <v>1496</v>
      </c>
      <c r="E3610" s="10">
        <v>71519</v>
      </c>
      <c r="F3610" s="12">
        <v>5.7099999999999999E-5</v>
      </c>
    </row>
    <row r="3611" spans="1:6">
      <c r="A3611" s="10">
        <v>2020</v>
      </c>
      <c r="B3611" t="s">
        <v>72</v>
      </c>
      <c r="C3611" t="s">
        <v>1497</v>
      </c>
      <c r="D3611" t="s">
        <v>1497</v>
      </c>
      <c r="E3611" s="10">
        <v>384074</v>
      </c>
      <c r="F3611" s="12">
        <v>3.0689999999999998E-4</v>
      </c>
    </row>
    <row r="3612" spans="1:6">
      <c r="A3612" s="10">
        <v>2020</v>
      </c>
      <c r="B3612" t="s">
        <v>74</v>
      </c>
      <c r="C3612" t="s">
        <v>1498</v>
      </c>
      <c r="D3612" t="s">
        <v>1498</v>
      </c>
      <c r="E3612" s="10">
        <v>38468</v>
      </c>
      <c r="F3612" s="12">
        <v>3.0700000000000001E-5</v>
      </c>
    </row>
    <row r="3613" spans="1:6">
      <c r="A3613" s="10">
        <v>2020</v>
      </c>
      <c r="B3613" t="s">
        <v>75</v>
      </c>
      <c r="C3613" t="s">
        <v>1365</v>
      </c>
      <c r="D3613" t="s">
        <v>1365</v>
      </c>
      <c r="E3613" s="10">
        <v>6989</v>
      </c>
      <c r="F3613" s="12">
        <v>5.5999999999999997E-6</v>
      </c>
    </row>
    <row r="3614" spans="1:6">
      <c r="A3614" s="10">
        <v>2020</v>
      </c>
      <c r="B3614" t="s">
        <v>76</v>
      </c>
      <c r="C3614" t="s">
        <v>1499</v>
      </c>
      <c r="D3614" t="s">
        <v>1499</v>
      </c>
      <c r="E3614" s="10">
        <v>8332914</v>
      </c>
      <c r="F3614" s="12">
        <v>6.6584000000000001E-3</v>
      </c>
    </row>
    <row r="3615" spans="1:6">
      <c r="A3615" s="10">
        <v>2020</v>
      </c>
      <c r="B3615" t="s">
        <v>77</v>
      </c>
      <c r="C3615" t="s">
        <v>1500</v>
      </c>
      <c r="D3615" t="s">
        <v>1500</v>
      </c>
      <c r="E3615" s="10">
        <v>198184</v>
      </c>
      <c r="F3615" s="12">
        <v>1.584E-4</v>
      </c>
    </row>
    <row r="3616" spans="1:6">
      <c r="A3616" s="10">
        <v>2020</v>
      </c>
      <c r="B3616" t="s">
        <v>78</v>
      </c>
      <c r="C3616" t="s">
        <v>25</v>
      </c>
      <c r="D3616" t="s">
        <v>25</v>
      </c>
      <c r="E3616" s="10">
        <v>1368105</v>
      </c>
      <c r="F3616" s="12">
        <v>1.0931999999999999E-3</v>
      </c>
    </row>
    <row r="3617" spans="1:6">
      <c r="A3617" s="10">
        <v>2020</v>
      </c>
      <c r="B3617" t="s">
        <v>79</v>
      </c>
      <c r="C3617" t="s">
        <v>1502</v>
      </c>
      <c r="D3617" t="s">
        <v>1502</v>
      </c>
      <c r="E3617" s="10">
        <v>12766</v>
      </c>
      <c r="F3617" s="12">
        <v>1.0200000000000001E-5</v>
      </c>
    </row>
    <row r="3618" spans="1:6">
      <c r="A3618" s="10">
        <v>2020</v>
      </c>
      <c r="B3618" t="s">
        <v>80</v>
      </c>
      <c r="C3618" t="s">
        <v>1503</v>
      </c>
      <c r="D3618" t="s">
        <v>1503</v>
      </c>
      <c r="E3618" s="10">
        <v>1957054</v>
      </c>
      <c r="F3618" s="12">
        <v>1.5638E-3</v>
      </c>
    </row>
    <row r="3619" spans="1:6">
      <c r="A3619" s="10">
        <v>2020</v>
      </c>
      <c r="B3619" t="s">
        <v>1324</v>
      </c>
      <c r="C3619" t="s">
        <v>1504</v>
      </c>
      <c r="D3619" t="s">
        <v>1504</v>
      </c>
      <c r="E3619" s="10">
        <v>83304</v>
      </c>
      <c r="F3619" s="12">
        <v>6.6600000000000006E-5</v>
      </c>
    </row>
    <row r="3620" spans="1:6">
      <c r="A3620" s="10">
        <v>2020</v>
      </c>
      <c r="B3620" t="s">
        <v>369</v>
      </c>
      <c r="C3620" t="s">
        <v>1505</v>
      </c>
      <c r="D3620" t="s">
        <v>1505</v>
      </c>
      <c r="E3620" s="10">
        <v>1172846</v>
      </c>
      <c r="F3620" s="12">
        <v>9.3720000000000001E-4</v>
      </c>
    </row>
    <row r="3621" spans="1:6">
      <c r="A3621" s="10">
        <v>2020</v>
      </c>
      <c r="B3621" t="s">
        <v>81</v>
      </c>
      <c r="C3621" t="s">
        <v>1506</v>
      </c>
      <c r="D3621" t="s">
        <v>1506</v>
      </c>
      <c r="E3621" s="10">
        <v>157801</v>
      </c>
      <c r="F3621" s="12">
        <v>1.261E-4</v>
      </c>
    </row>
    <row r="3622" spans="1:6">
      <c r="A3622" s="10">
        <v>2020</v>
      </c>
      <c r="B3622" t="s">
        <v>1371</v>
      </c>
      <c r="C3622" t="s">
        <v>1507</v>
      </c>
      <c r="D3622" t="s">
        <v>1507</v>
      </c>
      <c r="E3622" s="10">
        <v>13053</v>
      </c>
      <c r="F3622" s="12">
        <v>1.04E-5</v>
      </c>
    </row>
    <row r="3623" spans="1:6">
      <c r="A3623" s="10">
        <v>2020</v>
      </c>
      <c r="B3623" t="s">
        <v>58</v>
      </c>
      <c r="C3623" t="s">
        <v>1508</v>
      </c>
      <c r="D3623" t="s">
        <v>1508</v>
      </c>
      <c r="E3623" s="10">
        <v>739123</v>
      </c>
      <c r="F3623" s="12">
        <v>5.9060000000000004E-4</v>
      </c>
    </row>
    <row r="3624" spans="1:6">
      <c r="A3624" s="10">
        <v>2020</v>
      </c>
      <c r="B3624" t="s">
        <v>82</v>
      </c>
      <c r="C3624" t="s">
        <v>1509</v>
      </c>
      <c r="D3624" t="s">
        <v>1509</v>
      </c>
      <c r="E3624" s="10">
        <v>45471</v>
      </c>
      <c r="F3624" s="12">
        <v>3.6300000000000001E-5</v>
      </c>
    </row>
    <row r="3625" spans="1:6">
      <c r="A3625" s="10">
        <v>2020</v>
      </c>
      <c r="B3625" t="s">
        <v>83</v>
      </c>
      <c r="C3625" t="s">
        <v>30</v>
      </c>
      <c r="D3625" t="s">
        <v>30</v>
      </c>
      <c r="E3625" s="10">
        <v>7684003</v>
      </c>
      <c r="F3625" s="12">
        <v>6.1399000000000002E-3</v>
      </c>
    </row>
    <row r="3626" spans="1:6">
      <c r="A3626" s="10">
        <v>2020</v>
      </c>
      <c r="B3626" t="s">
        <v>84</v>
      </c>
      <c r="C3626" t="s">
        <v>31</v>
      </c>
      <c r="D3626" t="s">
        <v>31</v>
      </c>
      <c r="E3626" s="10"/>
    </row>
    <row r="3627" spans="1:6">
      <c r="A3627" s="10">
        <v>2020</v>
      </c>
      <c r="B3627" t="s">
        <v>1426</v>
      </c>
      <c r="C3627" t="s">
        <v>1510</v>
      </c>
      <c r="D3627" t="s">
        <v>1510</v>
      </c>
      <c r="E3627" s="10">
        <v>4011</v>
      </c>
      <c r="F3627" s="12">
        <v>3.1999999999999999E-6</v>
      </c>
    </row>
    <row r="3628" spans="1:6">
      <c r="A3628" s="10">
        <v>2020</v>
      </c>
      <c r="B3628" t="s">
        <v>91</v>
      </c>
      <c r="C3628" t="s">
        <v>1511</v>
      </c>
      <c r="D3628" t="s">
        <v>1511</v>
      </c>
      <c r="E3628" s="10">
        <v>19592</v>
      </c>
      <c r="F3628" s="12">
        <v>1.5699999999999999E-5</v>
      </c>
    </row>
    <row r="3629" spans="1:6">
      <c r="A3629" s="10">
        <v>2020</v>
      </c>
      <c r="B3629" t="s">
        <v>97</v>
      </c>
      <c r="C3629" t="s">
        <v>1512</v>
      </c>
      <c r="D3629" t="s">
        <v>1512</v>
      </c>
      <c r="E3629" s="10">
        <v>65031</v>
      </c>
      <c r="F3629" s="12">
        <v>5.1999999999999997E-5</v>
      </c>
    </row>
    <row r="3630" spans="1:6">
      <c r="A3630" s="10">
        <v>2020</v>
      </c>
      <c r="B3630" t="s">
        <v>98</v>
      </c>
      <c r="C3630" t="s">
        <v>1513</v>
      </c>
      <c r="D3630" t="s">
        <v>1513</v>
      </c>
      <c r="E3630" s="10">
        <v>36953</v>
      </c>
      <c r="F3630" s="12">
        <v>2.9499999999999999E-5</v>
      </c>
    </row>
    <row r="3631" spans="1:6">
      <c r="A3631" s="10">
        <v>2020</v>
      </c>
      <c r="B3631" t="s">
        <v>99</v>
      </c>
      <c r="C3631" t="s">
        <v>1514</v>
      </c>
      <c r="D3631" t="s">
        <v>1514</v>
      </c>
      <c r="E3631" s="10">
        <v>18852</v>
      </c>
      <c r="F3631" s="12">
        <v>1.5099999999999999E-5</v>
      </c>
    </row>
    <row r="3632" spans="1:6">
      <c r="A3632" s="10">
        <v>2020</v>
      </c>
      <c r="B3632" t="s">
        <v>210</v>
      </c>
      <c r="C3632" t="s">
        <v>1515</v>
      </c>
      <c r="D3632" t="s">
        <v>1515</v>
      </c>
      <c r="E3632" s="10"/>
    </row>
    <row r="3633" spans="1:6">
      <c r="A3633" s="10">
        <v>2020</v>
      </c>
      <c r="B3633" t="s">
        <v>85</v>
      </c>
      <c r="C3633" t="s">
        <v>1516</v>
      </c>
      <c r="D3633" t="s">
        <v>1516</v>
      </c>
      <c r="E3633" s="10">
        <v>27487</v>
      </c>
      <c r="F3633" s="12">
        <v>2.1999999999999999E-5</v>
      </c>
    </row>
    <row r="3634" spans="1:6">
      <c r="A3634" s="10">
        <v>2020</v>
      </c>
      <c r="B3634" t="s">
        <v>102</v>
      </c>
      <c r="C3634" t="s">
        <v>1517</v>
      </c>
      <c r="D3634" t="s">
        <v>1517</v>
      </c>
      <c r="E3634" s="10">
        <v>13286</v>
      </c>
      <c r="F3634" s="12">
        <v>1.06E-5</v>
      </c>
    </row>
    <row r="3635" spans="1:6">
      <c r="A3635" s="10">
        <v>2020</v>
      </c>
      <c r="B3635" t="s">
        <v>104</v>
      </c>
      <c r="C3635" t="s">
        <v>1518</v>
      </c>
      <c r="D3635" t="s">
        <v>1518</v>
      </c>
      <c r="E3635" s="10">
        <v>47781</v>
      </c>
      <c r="F3635" s="12">
        <v>3.82E-5</v>
      </c>
    </row>
    <row r="3636" spans="1:6">
      <c r="A3636" s="10">
        <v>2020</v>
      </c>
      <c r="B3636" t="s">
        <v>106</v>
      </c>
      <c r="C3636" t="s">
        <v>1519</v>
      </c>
      <c r="D3636" t="s">
        <v>1519</v>
      </c>
      <c r="E3636" s="10">
        <v>7443</v>
      </c>
      <c r="F3636" s="12">
        <v>5.9000000000000003E-6</v>
      </c>
    </row>
    <row r="3637" spans="1:6">
      <c r="A3637" s="10">
        <v>2020</v>
      </c>
      <c r="B3637" t="s">
        <v>107</v>
      </c>
      <c r="C3637" t="s">
        <v>1520</v>
      </c>
      <c r="D3637" t="s">
        <v>1520</v>
      </c>
      <c r="E3637" s="10">
        <v>25688</v>
      </c>
      <c r="F3637" s="12">
        <v>2.05E-5</v>
      </c>
    </row>
    <row r="3638" spans="1:6">
      <c r="A3638" s="10">
        <v>2020</v>
      </c>
      <c r="B3638" t="s">
        <v>108</v>
      </c>
      <c r="C3638" t="s">
        <v>1521</v>
      </c>
      <c r="D3638" t="s">
        <v>1521</v>
      </c>
      <c r="E3638" s="10">
        <v>327405</v>
      </c>
      <c r="F3638" s="12">
        <v>2.6160000000000002E-4</v>
      </c>
    </row>
    <row r="3639" spans="1:6">
      <c r="A3639" s="10">
        <v>2020</v>
      </c>
      <c r="B3639" t="s">
        <v>109</v>
      </c>
      <c r="C3639" t="s">
        <v>1522</v>
      </c>
      <c r="D3639" t="s">
        <v>1522</v>
      </c>
      <c r="E3639" s="10">
        <v>19593</v>
      </c>
      <c r="F3639" s="12">
        <v>1.5699999999999999E-5</v>
      </c>
    </row>
    <row r="3640" spans="1:6">
      <c r="A3640" s="10">
        <v>2020</v>
      </c>
      <c r="B3640" t="s">
        <v>1140</v>
      </c>
      <c r="C3640" t="s">
        <v>1525</v>
      </c>
      <c r="D3640" t="s">
        <v>1525</v>
      </c>
      <c r="E3640" s="10">
        <v>439295</v>
      </c>
      <c r="F3640" s="12">
        <v>3.5100000000000002E-4</v>
      </c>
    </row>
    <row r="3641" spans="1:6">
      <c r="A3641" s="10">
        <v>2020</v>
      </c>
      <c r="B3641" t="s">
        <v>168</v>
      </c>
      <c r="C3641" t="s">
        <v>113</v>
      </c>
      <c r="D3641" t="s">
        <v>113</v>
      </c>
      <c r="E3641" s="10">
        <v>52087</v>
      </c>
      <c r="F3641" s="12">
        <v>4.1600000000000002E-5</v>
      </c>
    </row>
    <row r="3642" spans="1:6">
      <c r="A3642" s="10">
        <v>2020</v>
      </c>
      <c r="B3642" t="s">
        <v>170</v>
      </c>
      <c r="C3642" t="s">
        <v>1526</v>
      </c>
      <c r="D3642" t="s">
        <v>1526</v>
      </c>
      <c r="E3642" s="10">
        <v>46490</v>
      </c>
      <c r="F3642" s="12">
        <v>3.7100000000000001E-5</v>
      </c>
    </row>
    <row r="3643" spans="1:6">
      <c r="A3643" s="10">
        <v>2020</v>
      </c>
      <c r="B3643" t="s">
        <v>169</v>
      </c>
      <c r="C3643" t="s">
        <v>1527</v>
      </c>
      <c r="D3643" t="s">
        <v>1527</v>
      </c>
      <c r="E3643" s="10">
        <v>122653</v>
      </c>
      <c r="F3643" s="12">
        <v>9.7999999999999997E-5</v>
      </c>
    </row>
    <row r="3644" spans="1:6">
      <c r="A3644" s="10">
        <v>2020</v>
      </c>
      <c r="B3644" t="s">
        <v>1381</v>
      </c>
      <c r="C3644" t="s">
        <v>1528</v>
      </c>
      <c r="D3644" t="s">
        <v>1528</v>
      </c>
      <c r="E3644" s="10">
        <v>7815</v>
      </c>
      <c r="F3644" s="12">
        <v>6.1999999999999999E-6</v>
      </c>
    </row>
    <row r="3645" spans="1:6">
      <c r="A3645" s="10">
        <v>2020</v>
      </c>
      <c r="B3645" t="s">
        <v>171</v>
      </c>
      <c r="C3645" t="s">
        <v>1529</v>
      </c>
      <c r="D3645" t="s">
        <v>1529</v>
      </c>
      <c r="E3645" s="10">
        <v>60709</v>
      </c>
      <c r="F3645" s="12">
        <v>4.85E-5</v>
      </c>
    </row>
    <row r="3646" spans="1:6">
      <c r="A3646" s="10">
        <v>2020</v>
      </c>
      <c r="B3646" t="s">
        <v>1427</v>
      </c>
      <c r="C3646" t="s">
        <v>1530</v>
      </c>
      <c r="D3646" t="s">
        <v>1530</v>
      </c>
      <c r="E3646" s="10">
        <v>680072</v>
      </c>
      <c r="F3646" s="12">
        <v>5.4339999999999998E-4</v>
      </c>
    </row>
    <row r="3647" spans="1:6">
      <c r="A3647" s="10">
        <v>2020</v>
      </c>
      <c r="B3647" t="s">
        <v>172</v>
      </c>
      <c r="C3647" t="s">
        <v>117</v>
      </c>
      <c r="D3647" t="s">
        <v>117</v>
      </c>
      <c r="E3647" s="10">
        <v>1712509</v>
      </c>
      <c r="F3647" s="12">
        <v>1.3684000000000001E-3</v>
      </c>
    </row>
    <row r="3648" spans="1:6">
      <c r="A3648" s="10">
        <v>2020</v>
      </c>
      <c r="B3648" t="s">
        <v>173</v>
      </c>
      <c r="C3648" t="s">
        <v>1531</v>
      </c>
      <c r="D3648" t="s">
        <v>1531</v>
      </c>
      <c r="E3648" s="10">
        <v>172869</v>
      </c>
      <c r="F3648" s="12">
        <v>1.381E-4</v>
      </c>
    </row>
    <row r="3649" spans="1:6">
      <c r="A3649" s="10">
        <v>2020</v>
      </c>
      <c r="B3649" t="s">
        <v>174</v>
      </c>
      <c r="C3649" t="s">
        <v>119</v>
      </c>
      <c r="D3649" t="s">
        <v>119</v>
      </c>
      <c r="E3649" s="10">
        <v>96784</v>
      </c>
      <c r="F3649" s="12">
        <v>7.7299999999999995E-5</v>
      </c>
    </row>
    <row r="3650" spans="1:6">
      <c r="A3650" s="10">
        <v>2020</v>
      </c>
      <c r="B3650" t="s">
        <v>175</v>
      </c>
      <c r="C3650" t="s">
        <v>1532</v>
      </c>
      <c r="D3650" t="s">
        <v>1532</v>
      </c>
      <c r="E3650" s="10">
        <v>443265</v>
      </c>
      <c r="F3650" s="12">
        <v>3.5419999999999999E-4</v>
      </c>
    </row>
    <row r="3651" spans="1:6">
      <c r="A3651" s="10">
        <v>2020</v>
      </c>
      <c r="B3651" t="s">
        <v>176</v>
      </c>
      <c r="C3651" t="s">
        <v>1533</v>
      </c>
      <c r="D3651" t="s">
        <v>1533</v>
      </c>
      <c r="E3651" s="10">
        <v>181704</v>
      </c>
      <c r="F3651" s="12">
        <v>1.4520000000000001E-4</v>
      </c>
    </row>
    <row r="3652" spans="1:6">
      <c r="A3652" s="10">
        <v>2020</v>
      </c>
      <c r="B3652" t="s">
        <v>177</v>
      </c>
      <c r="C3652" t="s">
        <v>122</v>
      </c>
      <c r="D3652" t="s">
        <v>122</v>
      </c>
      <c r="E3652" s="10">
        <v>148711</v>
      </c>
      <c r="F3652" s="12">
        <v>1.188E-4</v>
      </c>
    </row>
    <row r="3653" spans="1:6">
      <c r="A3653" s="10">
        <v>2020</v>
      </c>
      <c r="B3653" t="s">
        <v>178</v>
      </c>
      <c r="C3653" t="s">
        <v>1534</v>
      </c>
      <c r="D3653" t="s">
        <v>1534</v>
      </c>
      <c r="E3653" s="10">
        <v>3841165</v>
      </c>
      <c r="F3653" s="12">
        <v>3.0693000000000001E-3</v>
      </c>
    </row>
    <row r="3654" spans="1:6">
      <c r="A3654" s="10">
        <v>2020</v>
      </c>
      <c r="B3654" t="s">
        <v>181</v>
      </c>
      <c r="C3654" t="s">
        <v>1535</v>
      </c>
      <c r="D3654" t="s">
        <v>1535</v>
      </c>
      <c r="E3654" s="10">
        <v>1332905</v>
      </c>
      <c r="F3654" s="12">
        <v>1.0651E-3</v>
      </c>
    </row>
    <row r="3655" spans="1:6">
      <c r="A3655" s="10">
        <v>2020</v>
      </c>
      <c r="B3655" t="s">
        <v>1382</v>
      </c>
      <c r="C3655" t="s">
        <v>1536</v>
      </c>
      <c r="D3655" t="s">
        <v>1536</v>
      </c>
      <c r="E3655" s="10">
        <v>13247961</v>
      </c>
      <c r="F3655" s="12">
        <v>1.05857E-2</v>
      </c>
    </row>
    <row r="3656" spans="1:6">
      <c r="A3656" s="10">
        <v>2020</v>
      </c>
      <c r="B3656" t="s">
        <v>182</v>
      </c>
      <c r="C3656" t="s">
        <v>1537</v>
      </c>
      <c r="D3656" t="s">
        <v>1537</v>
      </c>
      <c r="E3656" s="10">
        <v>6112701</v>
      </c>
      <c r="F3656" s="12">
        <v>4.8843000000000003E-3</v>
      </c>
    </row>
    <row r="3657" spans="1:6">
      <c r="A3657" s="10">
        <v>2020</v>
      </c>
      <c r="B3657" t="s">
        <v>183</v>
      </c>
      <c r="C3657" t="s">
        <v>1538</v>
      </c>
      <c r="D3657" t="s">
        <v>1538</v>
      </c>
      <c r="E3657" s="10">
        <v>35711031</v>
      </c>
      <c r="F3657" s="12">
        <v>2.85347E-2</v>
      </c>
    </row>
    <row r="3658" spans="1:6">
      <c r="A3658" s="10">
        <v>2020</v>
      </c>
      <c r="B3658" t="s">
        <v>184</v>
      </c>
      <c r="C3658" t="s">
        <v>1539</v>
      </c>
      <c r="D3658" t="s">
        <v>1539</v>
      </c>
      <c r="E3658" s="10">
        <v>3620525</v>
      </c>
      <c r="F3658" s="12">
        <v>2.8930000000000002E-3</v>
      </c>
    </row>
    <row r="3659" spans="1:6">
      <c r="A3659" s="10">
        <v>2020</v>
      </c>
      <c r="B3659" t="s">
        <v>185</v>
      </c>
      <c r="C3659" t="s">
        <v>1540</v>
      </c>
      <c r="D3659" t="s">
        <v>1540</v>
      </c>
      <c r="E3659" s="10">
        <v>1865734</v>
      </c>
      <c r="F3659" s="12">
        <v>1.4908E-3</v>
      </c>
    </row>
    <row r="3660" spans="1:6">
      <c r="A3660" s="10">
        <v>2020</v>
      </c>
      <c r="B3660" t="s">
        <v>186</v>
      </c>
      <c r="C3660" t="s">
        <v>1541</v>
      </c>
      <c r="D3660" t="s">
        <v>1541</v>
      </c>
      <c r="E3660" s="10">
        <v>3332542</v>
      </c>
      <c r="F3660" s="12">
        <v>2.6629000000000002E-3</v>
      </c>
    </row>
    <row r="3661" spans="1:6">
      <c r="A3661" s="10">
        <v>2020</v>
      </c>
      <c r="B3661" t="s">
        <v>187</v>
      </c>
      <c r="C3661" t="s">
        <v>1542</v>
      </c>
      <c r="D3661" t="s">
        <v>1542</v>
      </c>
      <c r="E3661" s="10"/>
    </row>
    <row r="3662" spans="1:6">
      <c r="A3662" s="10">
        <v>2020</v>
      </c>
      <c r="B3662" t="s">
        <v>180</v>
      </c>
      <c r="C3662" t="s">
        <v>1543</v>
      </c>
      <c r="D3662" t="s">
        <v>1543</v>
      </c>
      <c r="E3662" s="10"/>
    </row>
    <row r="3663" spans="1:6">
      <c r="A3663" s="10">
        <v>2020</v>
      </c>
      <c r="B3663" t="s">
        <v>189</v>
      </c>
      <c r="C3663" t="s">
        <v>1544</v>
      </c>
      <c r="D3663" t="s">
        <v>1544</v>
      </c>
      <c r="E3663" s="10">
        <v>716907</v>
      </c>
      <c r="F3663" s="12">
        <v>5.7280000000000005E-4</v>
      </c>
    </row>
    <row r="3664" spans="1:6">
      <c r="A3664" s="10">
        <v>2020</v>
      </c>
      <c r="B3664" t="s">
        <v>190</v>
      </c>
      <c r="C3664" t="s">
        <v>1546</v>
      </c>
      <c r="D3664" t="s">
        <v>1546</v>
      </c>
      <c r="E3664" s="10">
        <v>8673238</v>
      </c>
      <c r="F3664" s="12">
        <v>6.9303000000000003E-3</v>
      </c>
    </row>
    <row r="3665" spans="1:6">
      <c r="A3665" s="10">
        <v>2020</v>
      </c>
      <c r="B3665" t="s">
        <v>191</v>
      </c>
      <c r="C3665" t="s">
        <v>1547</v>
      </c>
      <c r="D3665" t="s">
        <v>1547</v>
      </c>
      <c r="E3665" s="10">
        <v>89147</v>
      </c>
      <c r="F3665" s="12">
        <v>7.1199999999999996E-5</v>
      </c>
    </row>
    <row r="3666" spans="1:6">
      <c r="A3666" s="10">
        <v>2020</v>
      </c>
      <c r="B3666" t="s">
        <v>192</v>
      </c>
      <c r="C3666" t="s">
        <v>1548</v>
      </c>
      <c r="D3666" t="s">
        <v>1548</v>
      </c>
      <c r="E3666" s="10">
        <v>500743</v>
      </c>
      <c r="F3666" s="12">
        <v>4.0010000000000002E-4</v>
      </c>
    </row>
    <row r="3667" spans="1:6">
      <c r="A3667" s="10">
        <v>2020</v>
      </c>
      <c r="B3667" t="s">
        <v>193</v>
      </c>
      <c r="C3667" t="s">
        <v>1549</v>
      </c>
      <c r="D3667" t="s">
        <v>1549</v>
      </c>
      <c r="E3667" s="10">
        <v>518069</v>
      </c>
      <c r="F3667" s="12">
        <v>4.1399999999999998E-4</v>
      </c>
    </row>
    <row r="3668" spans="1:6">
      <c r="A3668" s="10">
        <v>2020</v>
      </c>
      <c r="B3668" t="s">
        <v>194</v>
      </c>
      <c r="C3668" t="s">
        <v>1550</v>
      </c>
      <c r="D3668" t="s">
        <v>1550</v>
      </c>
      <c r="E3668" s="10">
        <v>514028</v>
      </c>
      <c r="F3668" s="12">
        <v>4.1070000000000001E-4</v>
      </c>
    </row>
    <row r="3669" spans="1:6">
      <c r="A3669" s="10">
        <v>2020</v>
      </c>
      <c r="B3669" t="s">
        <v>196</v>
      </c>
      <c r="C3669" t="s">
        <v>1551</v>
      </c>
      <c r="D3669" t="s">
        <v>1551</v>
      </c>
      <c r="E3669" s="10">
        <v>135952</v>
      </c>
      <c r="F3669" s="12">
        <v>1.086E-4</v>
      </c>
    </row>
    <row r="3670" spans="1:6">
      <c r="A3670" s="10">
        <v>2020</v>
      </c>
      <c r="B3670" t="s">
        <v>197</v>
      </c>
      <c r="C3670" t="s">
        <v>1552</v>
      </c>
      <c r="D3670" t="s">
        <v>1552</v>
      </c>
      <c r="E3670" s="10">
        <v>5208458</v>
      </c>
      <c r="F3670" s="12">
        <v>4.1618000000000002E-3</v>
      </c>
    </row>
    <row r="3671" spans="1:6">
      <c r="A3671" s="10">
        <v>2020</v>
      </c>
      <c r="B3671" t="s">
        <v>198</v>
      </c>
      <c r="C3671" t="s">
        <v>1553</v>
      </c>
      <c r="D3671" t="s">
        <v>1553</v>
      </c>
      <c r="E3671" s="10">
        <v>140167</v>
      </c>
      <c r="F3671" s="12">
        <v>1.12E-4</v>
      </c>
    </row>
    <row r="3672" spans="1:6">
      <c r="A3672" s="10">
        <v>2020</v>
      </c>
      <c r="B3672" t="s">
        <v>199</v>
      </c>
      <c r="C3672" t="s">
        <v>1554</v>
      </c>
      <c r="D3672" t="s">
        <v>1554</v>
      </c>
      <c r="E3672" s="10">
        <v>3314391</v>
      </c>
      <c r="F3672" s="12">
        <v>2.6483000000000001E-3</v>
      </c>
    </row>
    <row r="3673" spans="1:6">
      <c r="A3673" s="10">
        <v>2020</v>
      </c>
      <c r="B3673" t="s">
        <v>200</v>
      </c>
      <c r="C3673" t="s">
        <v>1555</v>
      </c>
      <c r="D3673" t="s">
        <v>1555</v>
      </c>
      <c r="E3673" s="10">
        <v>20585161</v>
      </c>
      <c r="F3673" s="12">
        <v>1.6448500000000001E-2</v>
      </c>
    </row>
    <row r="3674" spans="1:6">
      <c r="A3674" s="10">
        <v>2020</v>
      </c>
      <c r="B3674" t="s">
        <v>201</v>
      </c>
      <c r="C3674" t="s">
        <v>1556</v>
      </c>
      <c r="D3674" t="s">
        <v>1556</v>
      </c>
      <c r="E3674" s="10">
        <v>1922184</v>
      </c>
      <c r="F3674" s="12">
        <v>1.5359E-3</v>
      </c>
    </row>
    <row r="3675" spans="1:6">
      <c r="A3675" s="10">
        <v>2020</v>
      </c>
      <c r="B3675" t="s">
        <v>202</v>
      </c>
      <c r="C3675" t="s">
        <v>1557</v>
      </c>
      <c r="D3675" t="s">
        <v>1557</v>
      </c>
      <c r="E3675" s="10">
        <v>1063572</v>
      </c>
      <c r="F3675" s="12">
        <v>8.4979999999999995E-4</v>
      </c>
    </row>
    <row r="3676" spans="1:6">
      <c r="A3676" s="10">
        <v>2020</v>
      </c>
      <c r="B3676" t="s">
        <v>203</v>
      </c>
      <c r="C3676" t="s">
        <v>1558</v>
      </c>
      <c r="D3676" t="s">
        <v>1558</v>
      </c>
      <c r="E3676" s="10"/>
    </row>
    <row r="3677" spans="1:6">
      <c r="A3677" s="10">
        <v>2020</v>
      </c>
      <c r="B3677" t="s">
        <v>204</v>
      </c>
      <c r="C3677" t="s">
        <v>1559</v>
      </c>
      <c r="D3677" t="s">
        <v>1559</v>
      </c>
      <c r="E3677" s="10">
        <v>1060761</v>
      </c>
      <c r="F3677" s="12">
        <v>8.476E-4</v>
      </c>
    </row>
    <row r="3678" spans="1:6">
      <c r="A3678" s="10">
        <v>2020</v>
      </c>
      <c r="B3678" t="s">
        <v>205</v>
      </c>
      <c r="C3678" t="s">
        <v>150</v>
      </c>
      <c r="D3678" t="s">
        <v>150</v>
      </c>
      <c r="E3678" s="10">
        <v>238791</v>
      </c>
      <c r="F3678" s="12">
        <v>1.908E-4</v>
      </c>
    </row>
    <row r="3679" spans="1:6">
      <c r="A3679" s="10">
        <v>2020</v>
      </c>
      <c r="B3679" t="s">
        <v>1563</v>
      </c>
      <c r="C3679" t="s">
        <v>1560</v>
      </c>
      <c r="D3679" t="s">
        <v>1560</v>
      </c>
      <c r="E3679" s="10">
        <v>94287</v>
      </c>
      <c r="F3679" s="12">
        <v>7.5300000000000001E-5</v>
      </c>
    </row>
    <row r="3680" spans="1:6">
      <c r="A3680" s="10">
        <v>2020</v>
      </c>
      <c r="B3680" t="s">
        <v>2088</v>
      </c>
      <c r="C3680" t="s">
        <v>2086</v>
      </c>
      <c r="D3680" t="s">
        <v>2086</v>
      </c>
      <c r="E3680" s="10">
        <v>426144</v>
      </c>
      <c r="F3680" s="12">
        <v>3.4049999999999998E-4</v>
      </c>
    </row>
    <row r="3681" spans="1:6">
      <c r="A3681" s="10">
        <v>2020</v>
      </c>
      <c r="B3681" t="s">
        <v>188</v>
      </c>
      <c r="C3681" t="s">
        <v>1561</v>
      </c>
      <c r="D3681" t="s">
        <v>1561</v>
      </c>
      <c r="E3681" s="10">
        <v>2797884</v>
      </c>
      <c r="F3681" s="12">
        <v>2.2355999999999999E-3</v>
      </c>
    </row>
    <row r="3682" spans="1:6">
      <c r="A3682" s="10">
        <v>2020</v>
      </c>
      <c r="B3682" t="s">
        <v>206</v>
      </c>
      <c r="C3682" t="s">
        <v>1562</v>
      </c>
      <c r="D3682" t="s">
        <v>1562</v>
      </c>
      <c r="E3682" s="10"/>
    </row>
    <row r="3683" spans="1:6">
      <c r="A3683" s="10">
        <v>2020</v>
      </c>
      <c r="B3683" t="s">
        <v>207</v>
      </c>
      <c r="C3683" t="s">
        <v>152</v>
      </c>
      <c r="D3683" t="s">
        <v>152</v>
      </c>
      <c r="E3683" s="10">
        <v>828910</v>
      </c>
      <c r="F3683" s="12">
        <v>6.623E-4</v>
      </c>
    </row>
    <row r="3684" spans="1:6">
      <c r="A3684" s="10">
        <v>2020</v>
      </c>
      <c r="B3684" t="s">
        <v>57</v>
      </c>
      <c r="C3684" t="s">
        <v>1564</v>
      </c>
      <c r="D3684" t="s">
        <v>1564</v>
      </c>
      <c r="E3684" s="10">
        <v>6311229</v>
      </c>
      <c r="F3684" s="12">
        <v>5.0429999999999997E-3</v>
      </c>
    </row>
    <row r="3685" spans="1:6">
      <c r="A3685" s="10">
        <v>2020</v>
      </c>
      <c r="B3685" t="s">
        <v>208</v>
      </c>
      <c r="C3685" t="s">
        <v>153</v>
      </c>
      <c r="D3685" t="s">
        <v>153</v>
      </c>
      <c r="E3685" s="10"/>
    </row>
    <row r="3686" spans="1:6">
      <c r="A3686" s="10">
        <v>2020</v>
      </c>
      <c r="B3686" t="s">
        <v>209</v>
      </c>
      <c r="C3686" t="s">
        <v>154</v>
      </c>
      <c r="D3686" t="s">
        <v>154</v>
      </c>
      <c r="E3686" s="10">
        <v>176854</v>
      </c>
      <c r="F3686" s="12">
        <v>1.4129999999999999E-4</v>
      </c>
    </row>
    <row r="3687" spans="1:6">
      <c r="A3687" s="10">
        <v>2020</v>
      </c>
      <c r="B3687" t="s">
        <v>211</v>
      </c>
      <c r="C3687" t="s">
        <v>1565</v>
      </c>
      <c r="D3687" t="s">
        <v>1565</v>
      </c>
      <c r="E3687" s="10">
        <v>871901</v>
      </c>
      <c r="F3687" s="12">
        <v>6.9669999999999997E-4</v>
      </c>
    </row>
    <row r="3688" spans="1:6">
      <c r="A3688" s="10">
        <v>2020</v>
      </c>
      <c r="B3688" t="s">
        <v>212</v>
      </c>
      <c r="C3688" t="s">
        <v>1566</v>
      </c>
      <c r="D3688" t="s">
        <v>1566</v>
      </c>
      <c r="E3688" s="10"/>
    </row>
    <row r="3689" spans="1:6">
      <c r="A3689" s="10">
        <v>2020</v>
      </c>
      <c r="B3689" t="s">
        <v>213</v>
      </c>
      <c r="C3689" t="s">
        <v>158</v>
      </c>
      <c r="D3689" t="s">
        <v>158</v>
      </c>
      <c r="E3689" s="10">
        <v>1125368</v>
      </c>
      <c r="F3689" s="12">
        <v>8.9919999999999996E-4</v>
      </c>
    </row>
    <row r="3690" spans="1:6">
      <c r="A3690" s="10">
        <v>2020</v>
      </c>
      <c r="B3690" t="s">
        <v>1597</v>
      </c>
      <c r="C3690" t="s">
        <v>1567</v>
      </c>
      <c r="D3690" t="s">
        <v>1567</v>
      </c>
      <c r="E3690" s="10">
        <v>11450</v>
      </c>
      <c r="F3690" s="12">
        <v>9.0999999999999993E-6</v>
      </c>
    </row>
    <row r="3691" spans="1:6">
      <c r="A3691" s="10">
        <v>2020</v>
      </c>
      <c r="B3691" t="s">
        <v>214</v>
      </c>
      <c r="C3691" t="s">
        <v>159</v>
      </c>
      <c r="D3691" t="s">
        <v>159</v>
      </c>
      <c r="E3691" s="10">
        <v>194097</v>
      </c>
      <c r="F3691" s="12">
        <v>1.551E-4</v>
      </c>
    </row>
    <row r="3692" spans="1:6">
      <c r="A3692" s="10">
        <v>2020</v>
      </c>
      <c r="B3692" t="s">
        <v>215</v>
      </c>
      <c r="C3692" t="s">
        <v>1568</v>
      </c>
      <c r="D3692" t="s">
        <v>1568</v>
      </c>
      <c r="E3692" s="10">
        <v>171876</v>
      </c>
      <c r="F3692" s="12">
        <v>1.373E-4</v>
      </c>
    </row>
    <row r="3693" spans="1:6">
      <c r="A3693" s="10">
        <v>2020</v>
      </c>
      <c r="B3693" t="s">
        <v>217</v>
      </c>
      <c r="C3693" t="s">
        <v>162</v>
      </c>
      <c r="D3693" t="s">
        <v>162</v>
      </c>
      <c r="E3693" s="10">
        <v>405037</v>
      </c>
      <c r="F3693" s="12">
        <v>3.2360000000000001E-4</v>
      </c>
    </row>
    <row r="3694" spans="1:6">
      <c r="A3694" s="10">
        <v>2020</v>
      </c>
      <c r="B3694" t="s">
        <v>219</v>
      </c>
      <c r="C3694" t="s">
        <v>164</v>
      </c>
      <c r="D3694" t="s">
        <v>164</v>
      </c>
      <c r="E3694" s="10">
        <v>336786</v>
      </c>
      <c r="F3694" s="12">
        <v>2.6909999999999998E-4</v>
      </c>
    </row>
    <row r="3695" spans="1:6">
      <c r="A3695" s="10">
        <v>2020</v>
      </c>
      <c r="B3695" t="s">
        <v>73</v>
      </c>
      <c r="C3695" t="s">
        <v>2354</v>
      </c>
      <c r="D3695" t="s">
        <v>2354</v>
      </c>
      <c r="E3695" s="10">
        <v>270369</v>
      </c>
      <c r="F3695" s="12">
        <v>2.1599999999999999E-4</v>
      </c>
    </row>
    <row r="3696" spans="1:6">
      <c r="A3696" s="10">
        <v>2020</v>
      </c>
      <c r="B3696" t="s">
        <v>220</v>
      </c>
      <c r="C3696" t="s">
        <v>1571</v>
      </c>
      <c r="D3696" t="s">
        <v>1571</v>
      </c>
      <c r="E3696" s="10">
        <v>68064</v>
      </c>
      <c r="F3696" s="12">
        <v>5.4400000000000001E-5</v>
      </c>
    </row>
    <row r="3697" spans="1:6">
      <c r="A3697" s="10">
        <v>2020</v>
      </c>
      <c r="B3697" t="s">
        <v>1387</v>
      </c>
      <c r="C3697" t="s">
        <v>1572</v>
      </c>
      <c r="D3697" t="s">
        <v>1572</v>
      </c>
      <c r="E3697" s="10">
        <v>7340</v>
      </c>
      <c r="F3697" s="12">
        <v>5.9000000000000003E-6</v>
      </c>
    </row>
    <row r="3698" spans="1:6">
      <c r="A3698" s="10">
        <v>2020</v>
      </c>
      <c r="B3698" t="s">
        <v>1388</v>
      </c>
      <c r="C3698" t="s">
        <v>1573</v>
      </c>
      <c r="D3698" t="s">
        <v>1573</v>
      </c>
      <c r="E3698" s="10">
        <v>8104</v>
      </c>
      <c r="F3698" s="12">
        <v>6.4999999999999996E-6</v>
      </c>
    </row>
    <row r="3699" spans="1:6">
      <c r="A3699" s="10">
        <v>2020</v>
      </c>
      <c r="B3699" t="s">
        <v>1389</v>
      </c>
      <c r="C3699" t="s">
        <v>1574</v>
      </c>
      <c r="D3699" t="s">
        <v>1574</v>
      </c>
      <c r="E3699" s="10">
        <v>106198</v>
      </c>
      <c r="F3699" s="12">
        <v>8.4900000000000004E-5</v>
      </c>
    </row>
    <row r="3700" spans="1:6">
      <c r="A3700" s="10">
        <v>2020</v>
      </c>
      <c r="B3700" t="s">
        <v>1598</v>
      </c>
      <c r="C3700" t="s">
        <v>1575</v>
      </c>
      <c r="D3700" t="s">
        <v>1575</v>
      </c>
      <c r="E3700" s="10">
        <v>187646</v>
      </c>
      <c r="F3700" s="12">
        <v>1.4990000000000001E-4</v>
      </c>
    </row>
    <row r="3701" spans="1:6">
      <c r="A3701" s="10">
        <v>2020</v>
      </c>
      <c r="B3701" t="s">
        <v>1392</v>
      </c>
      <c r="C3701" t="s">
        <v>1577</v>
      </c>
      <c r="D3701" t="s">
        <v>1577</v>
      </c>
      <c r="E3701" s="10"/>
    </row>
    <row r="3702" spans="1:6">
      <c r="A3702" s="10">
        <v>2020</v>
      </c>
      <c r="B3702" t="s">
        <v>1390</v>
      </c>
      <c r="C3702" t="s">
        <v>1578</v>
      </c>
      <c r="D3702" t="s">
        <v>1578</v>
      </c>
      <c r="E3702" s="10">
        <v>1593859</v>
      </c>
      <c r="F3702" s="12">
        <v>1.2735999999999999E-3</v>
      </c>
    </row>
    <row r="3703" spans="1:6">
      <c r="A3703" s="10">
        <v>2020</v>
      </c>
      <c r="B3703" t="s">
        <v>1393</v>
      </c>
      <c r="C3703" t="s">
        <v>1579</v>
      </c>
      <c r="D3703" t="s">
        <v>1579</v>
      </c>
      <c r="E3703" s="10">
        <v>192092</v>
      </c>
      <c r="F3703" s="12">
        <v>1.5349999999999999E-4</v>
      </c>
    </row>
    <row r="3704" spans="1:6">
      <c r="A3704" s="10">
        <v>2020</v>
      </c>
      <c r="B3704" t="s">
        <v>1395</v>
      </c>
      <c r="C3704" t="s">
        <v>230</v>
      </c>
      <c r="D3704" t="s">
        <v>230</v>
      </c>
      <c r="E3704" s="10">
        <v>406911</v>
      </c>
      <c r="F3704" s="12">
        <v>3.2509999999999999E-4</v>
      </c>
    </row>
    <row r="3705" spans="1:6">
      <c r="A3705" s="10">
        <v>2020</v>
      </c>
      <c r="B3705" t="s">
        <v>1396</v>
      </c>
      <c r="C3705" t="s">
        <v>231</v>
      </c>
      <c r="D3705" t="s">
        <v>231</v>
      </c>
      <c r="E3705" s="10">
        <v>73629</v>
      </c>
      <c r="F3705" s="12">
        <v>5.8799999999999999E-5</v>
      </c>
    </row>
    <row r="3706" spans="1:6">
      <c r="A3706" s="10">
        <v>2020</v>
      </c>
      <c r="B3706" t="s">
        <v>1398</v>
      </c>
      <c r="C3706" t="s">
        <v>1580</v>
      </c>
      <c r="D3706" t="s">
        <v>1580</v>
      </c>
      <c r="E3706" s="10">
        <v>39383</v>
      </c>
      <c r="F3706" s="12">
        <v>3.15E-5</v>
      </c>
    </row>
    <row r="3707" spans="1:6">
      <c r="A3707" s="10">
        <v>2020</v>
      </c>
      <c r="B3707" t="s">
        <v>1399</v>
      </c>
      <c r="C3707" t="s">
        <v>234</v>
      </c>
      <c r="D3707" t="s">
        <v>234</v>
      </c>
      <c r="E3707" s="10"/>
    </row>
    <row r="3708" spans="1:6">
      <c r="A3708" s="10">
        <v>2020</v>
      </c>
      <c r="B3708" t="s">
        <v>1400</v>
      </c>
      <c r="C3708" t="s">
        <v>1581</v>
      </c>
      <c r="D3708" t="s">
        <v>1581</v>
      </c>
      <c r="E3708" s="10">
        <v>631035</v>
      </c>
      <c r="F3708" s="12">
        <v>5.042E-4</v>
      </c>
    </row>
    <row r="3709" spans="1:6">
      <c r="A3709" s="10">
        <v>2020</v>
      </c>
      <c r="B3709" t="s">
        <v>1401</v>
      </c>
      <c r="C3709" t="s">
        <v>1582</v>
      </c>
      <c r="D3709" t="s">
        <v>1582</v>
      </c>
      <c r="E3709" s="10">
        <v>57333</v>
      </c>
      <c r="F3709" s="12">
        <v>4.5800000000000002E-5</v>
      </c>
    </row>
    <row r="3710" spans="1:6">
      <c r="A3710" s="10">
        <v>2020</v>
      </c>
      <c r="B3710" t="s">
        <v>1402</v>
      </c>
      <c r="C3710" t="s">
        <v>237</v>
      </c>
      <c r="D3710" t="s">
        <v>237</v>
      </c>
      <c r="E3710" s="10">
        <v>106534</v>
      </c>
      <c r="F3710" s="12">
        <v>8.5099999999999995E-5</v>
      </c>
    </row>
    <row r="3711" spans="1:6">
      <c r="A3711" s="10">
        <v>2020</v>
      </c>
      <c r="B3711" t="s">
        <v>1403</v>
      </c>
      <c r="C3711" t="s">
        <v>1584</v>
      </c>
      <c r="D3711" t="s">
        <v>1584</v>
      </c>
      <c r="E3711" s="10">
        <v>486986</v>
      </c>
      <c r="F3711" s="12">
        <v>3.8910000000000003E-4</v>
      </c>
    </row>
    <row r="3712" spans="1:6">
      <c r="A3712" s="10">
        <v>2020</v>
      </c>
      <c r="B3712" t="s">
        <v>1404</v>
      </c>
      <c r="C3712" t="s">
        <v>1585</v>
      </c>
      <c r="D3712" t="s">
        <v>1585</v>
      </c>
      <c r="E3712" s="10">
        <v>675526</v>
      </c>
      <c r="F3712" s="12">
        <v>5.398E-4</v>
      </c>
    </row>
    <row r="3713" spans="1:6">
      <c r="A3713" s="10">
        <v>2020</v>
      </c>
      <c r="B3713" t="s">
        <v>1405</v>
      </c>
      <c r="C3713" t="s">
        <v>1586</v>
      </c>
      <c r="D3713" t="s">
        <v>1586</v>
      </c>
      <c r="E3713" s="10">
        <v>66824</v>
      </c>
      <c r="F3713" s="12">
        <v>5.3399999999999997E-5</v>
      </c>
    </row>
    <row r="3714" spans="1:6">
      <c r="A3714" s="10">
        <v>2020</v>
      </c>
      <c r="B3714" t="s">
        <v>1406</v>
      </c>
      <c r="C3714" t="s">
        <v>1587</v>
      </c>
      <c r="D3714" t="s">
        <v>1587</v>
      </c>
      <c r="E3714" s="10">
        <v>75799</v>
      </c>
      <c r="F3714" s="12">
        <v>6.0600000000000003E-5</v>
      </c>
    </row>
    <row r="3715" spans="1:6">
      <c r="A3715" s="10">
        <v>2020</v>
      </c>
      <c r="B3715" t="s">
        <v>1397</v>
      </c>
      <c r="C3715" t="s">
        <v>2356</v>
      </c>
      <c r="D3715" t="s">
        <v>2356</v>
      </c>
      <c r="E3715" s="10">
        <v>39406</v>
      </c>
      <c r="F3715" s="12">
        <v>3.15E-5</v>
      </c>
    </row>
    <row r="3716" spans="1:6">
      <c r="A3716" s="10">
        <v>2020</v>
      </c>
      <c r="B3716" t="s">
        <v>88</v>
      </c>
      <c r="C3716" t="s">
        <v>1589</v>
      </c>
      <c r="D3716" t="s">
        <v>1589</v>
      </c>
      <c r="E3716" s="10">
        <v>77163</v>
      </c>
      <c r="F3716" s="12">
        <v>6.1699999999999995E-5</v>
      </c>
    </row>
    <row r="3717" spans="1:6">
      <c r="A3717" s="10">
        <v>2020</v>
      </c>
      <c r="B3717" t="s">
        <v>90</v>
      </c>
      <c r="C3717" t="s">
        <v>1590</v>
      </c>
      <c r="D3717" t="s">
        <v>1590</v>
      </c>
      <c r="E3717" s="10">
        <v>19266</v>
      </c>
      <c r="F3717" s="12">
        <v>1.5400000000000002E-5</v>
      </c>
    </row>
    <row r="3718" spans="1:6">
      <c r="A3718" s="10">
        <v>2020</v>
      </c>
      <c r="B3718" t="s">
        <v>87</v>
      </c>
      <c r="C3718" t="s">
        <v>2357</v>
      </c>
      <c r="D3718" t="s">
        <v>1591</v>
      </c>
      <c r="E3718" s="10">
        <v>89702</v>
      </c>
      <c r="F3718" s="12">
        <v>7.1699999999999995E-5</v>
      </c>
    </row>
    <row r="3719" spans="1:6">
      <c r="A3719" s="10">
        <v>2020</v>
      </c>
      <c r="B3719" t="s">
        <v>92</v>
      </c>
      <c r="C3719" t="s">
        <v>2419</v>
      </c>
      <c r="D3719" t="s">
        <v>1592</v>
      </c>
      <c r="E3719" s="10">
        <v>82545</v>
      </c>
      <c r="F3719" s="12">
        <v>6.6000000000000005E-5</v>
      </c>
    </row>
    <row r="3720" spans="1:6">
      <c r="A3720" s="10">
        <v>2020</v>
      </c>
      <c r="B3720" t="s">
        <v>93</v>
      </c>
      <c r="C3720" t="s">
        <v>1593</v>
      </c>
      <c r="D3720" t="s">
        <v>1593</v>
      </c>
      <c r="E3720" s="10">
        <v>58370</v>
      </c>
      <c r="F3720" s="12">
        <v>4.6600000000000001E-5</v>
      </c>
    </row>
    <row r="3721" spans="1:6">
      <c r="A3721" s="10">
        <v>2020</v>
      </c>
      <c r="B3721" t="s">
        <v>94</v>
      </c>
      <c r="C3721" t="s">
        <v>2420</v>
      </c>
      <c r="D3721" t="s">
        <v>1594</v>
      </c>
      <c r="E3721" s="10">
        <v>8818</v>
      </c>
      <c r="F3721" s="12">
        <v>6.9999999999999999E-6</v>
      </c>
    </row>
    <row r="3722" spans="1:6">
      <c r="A3722" s="10">
        <v>2020</v>
      </c>
      <c r="B3722" t="s">
        <v>95</v>
      </c>
      <c r="C3722" t="s">
        <v>1595</v>
      </c>
      <c r="D3722" t="s">
        <v>1595</v>
      </c>
      <c r="E3722" s="10">
        <v>50708</v>
      </c>
      <c r="F3722" s="12">
        <v>4.0500000000000002E-5</v>
      </c>
    </row>
    <row r="3723" spans="1:6">
      <c r="A3723" s="10">
        <v>2020</v>
      </c>
      <c r="B3723" t="s">
        <v>100</v>
      </c>
      <c r="C3723" t="s">
        <v>1596</v>
      </c>
      <c r="D3723" t="s">
        <v>1596</v>
      </c>
      <c r="E3723" s="10">
        <v>24769</v>
      </c>
      <c r="F3723" s="12">
        <v>1.98E-5</v>
      </c>
    </row>
    <row r="3724" spans="1:6">
      <c r="A3724" s="10">
        <v>2020</v>
      </c>
      <c r="B3724" t="s">
        <v>101</v>
      </c>
      <c r="C3724" t="s">
        <v>1599</v>
      </c>
      <c r="D3724" t="s">
        <v>1599</v>
      </c>
      <c r="E3724" s="10">
        <v>328079</v>
      </c>
      <c r="F3724" s="12">
        <v>2.6219999999999998E-4</v>
      </c>
    </row>
    <row r="3725" spans="1:6">
      <c r="A3725" s="10">
        <v>2020</v>
      </c>
      <c r="B3725" t="s">
        <v>103</v>
      </c>
      <c r="C3725" t="s">
        <v>2421</v>
      </c>
      <c r="D3725" t="s">
        <v>1600</v>
      </c>
      <c r="E3725" s="10">
        <v>14349</v>
      </c>
      <c r="F3725" s="12">
        <v>1.15E-5</v>
      </c>
    </row>
    <row r="3726" spans="1:6">
      <c r="A3726" s="10">
        <v>2020</v>
      </c>
      <c r="B3726" t="s">
        <v>105</v>
      </c>
      <c r="C3726" t="s">
        <v>1601</v>
      </c>
      <c r="D3726" t="s">
        <v>1601</v>
      </c>
      <c r="E3726" s="10">
        <v>176041</v>
      </c>
      <c r="F3726" s="12">
        <v>1.407E-4</v>
      </c>
    </row>
    <row r="3727" spans="1:6">
      <c r="A3727" s="10">
        <v>2020</v>
      </c>
      <c r="B3727" t="s">
        <v>166</v>
      </c>
      <c r="C3727" t="s">
        <v>1602</v>
      </c>
      <c r="D3727" t="s">
        <v>1602</v>
      </c>
      <c r="E3727" s="10">
        <v>20183</v>
      </c>
      <c r="F3727" s="12">
        <v>1.6099999999999998E-5</v>
      </c>
    </row>
    <row r="3728" spans="1:6">
      <c r="A3728" s="10">
        <v>2020</v>
      </c>
      <c r="B3728" t="s">
        <v>86</v>
      </c>
      <c r="C3728" t="s">
        <v>1603</v>
      </c>
      <c r="D3728" t="s">
        <v>1603</v>
      </c>
      <c r="E3728" s="10">
        <v>16905</v>
      </c>
      <c r="F3728" s="12">
        <v>1.3499999999999999E-5</v>
      </c>
    </row>
    <row r="3729" spans="1:6">
      <c r="A3729" s="10">
        <v>2020</v>
      </c>
      <c r="B3729" t="s">
        <v>110</v>
      </c>
      <c r="C3729" t="s">
        <v>1604</v>
      </c>
      <c r="D3729" t="s">
        <v>1604</v>
      </c>
      <c r="E3729" s="10">
        <v>110636</v>
      </c>
      <c r="F3729" s="12">
        <v>8.8399999999999994E-5</v>
      </c>
    </row>
    <row r="3730" spans="1:6">
      <c r="A3730" s="10">
        <v>2020</v>
      </c>
      <c r="B3730" t="s">
        <v>1409</v>
      </c>
      <c r="C3730" t="s">
        <v>1605</v>
      </c>
      <c r="D3730" t="s">
        <v>1605</v>
      </c>
      <c r="E3730" s="10">
        <v>757495</v>
      </c>
      <c r="F3730" s="12">
        <v>6.0530000000000002E-4</v>
      </c>
    </row>
    <row r="3731" spans="1:6">
      <c r="A3731" s="10">
        <v>2020</v>
      </c>
      <c r="B3731" t="s">
        <v>195</v>
      </c>
      <c r="C3731" t="s">
        <v>1606</v>
      </c>
      <c r="D3731" t="s">
        <v>1606</v>
      </c>
      <c r="E3731" s="10">
        <v>656327</v>
      </c>
      <c r="F3731" s="12">
        <v>5.2439999999999995E-4</v>
      </c>
    </row>
    <row r="3732" spans="1:6">
      <c r="A3732" s="10">
        <v>2020</v>
      </c>
      <c r="B3732" t="s">
        <v>218</v>
      </c>
      <c r="C3732" t="s">
        <v>1607</v>
      </c>
      <c r="D3732" t="s">
        <v>1607</v>
      </c>
      <c r="E3732" s="10">
        <v>475790</v>
      </c>
      <c r="F3732" s="12">
        <v>3.8020000000000003E-4</v>
      </c>
    </row>
    <row r="3733" spans="1:6">
      <c r="A3733" s="10">
        <v>2020</v>
      </c>
      <c r="B3733" t="s">
        <v>1410</v>
      </c>
      <c r="C3733" t="s">
        <v>243</v>
      </c>
      <c r="D3733" t="s">
        <v>243</v>
      </c>
      <c r="E3733" s="10">
        <v>84901</v>
      </c>
      <c r="F3733" s="12">
        <v>6.7799999999999995E-5</v>
      </c>
    </row>
    <row r="3734" spans="1:6">
      <c r="A3734" s="10">
        <v>2020</v>
      </c>
      <c r="B3734" t="s">
        <v>1411</v>
      </c>
      <c r="C3734" t="s">
        <v>244</v>
      </c>
      <c r="D3734" t="s">
        <v>244</v>
      </c>
      <c r="E3734" s="10">
        <v>1038129</v>
      </c>
      <c r="F3734" s="12">
        <v>8.2950000000000005E-4</v>
      </c>
    </row>
    <row r="3735" spans="1:6">
      <c r="A3735" s="10">
        <v>2020</v>
      </c>
      <c r="B3735" t="s">
        <v>1394</v>
      </c>
      <c r="C3735" t="s">
        <v>1608</v>
      </c>
      <c r="D3735" t="s">
        <v>1608</v>
      </c>
      <c r="E3735" s="10">
        <v>6526</v>
      </c>
      <c r="F3735" s="12">
        <v>5.2000000000000002E-6</v>
      </c>
    </row>
    <row r="3736" spans="1:6">
      <c r="A3736" s="10">
        <v>2020</v>
      </c>
      <c r="B3736" t="s">
        <v>1412</v>
      </c>
      <c r="C3736" t="s">
        <v>1609</v>
      </c>
      <c r="D3736" t="s">
        <v>1609</v>
      </c>
      <c r="E3736" s="10">
        <v>3332878</v>
      </c>
      <c r="F3736" s="12">
        <v>2.6630999999999998E-3</v>
      </c>
    </row>
    <row r="3737" spans="1:6">
      <c r="A3737" s="10">
        <v>2020</v>
      </c>
      <c r="B3737" t="s">
        <v>1413</v>
      </c>
      <c r="C3737" t="s">
        <v>246</v>
      </c>
      <c r="D3737" t="s">
        <v>246</v>
      </c>
      <c r="E3737" s="10">
        <v>631885</v>
      </c>
      <c r="F3737" s="12">
        <v>5.0489999999999997E-4</v>
      </c>
    </row>
    <row r="3738" spans="1:6">
      <c r="A3738" s="10">
        <v>2020</v>
      </c>
      <c r="B3738" t="s">
        <v>1414</v>
      </c>
      <c r="C3738" t="s">
        <v>247</v>
      </c>
      <c r="D3738" t="s">
        <v>247</v>
      </c>
      <c r="E3738" s="10">
        <v>215821</v>
      </c>
      <c r="F3738" s="12">
        <v>1.7249999999999999E-4</v>
      </c>
    </row>
    <row r="3739" spans="1:6">
      <c r="A3739" s="10">
        <v>2020</v>
      </c>
      <c r="B3739" t="s">
        <v>1415</v>
      </c>
      <c r="C3739" t="s">
        <v>248</v>
      </c>
      <c r="D3739" t="s">
        <v>248</v>
      </c>
      <c r="E3739" s="10">
        <v>47843673</v>
      </c>
      <c r="F3739" s="12">
        <v>3.8229300000000001E-2</v>
      </c>
    </row>
    <row r="3740" spans="1:6">
      <c r="A3740" s="10">
        <v>2020</v>
      </c>
      <c r="B3740" t="s">
        <v>1417</v>
      </c>
      <c r="C3740" t="s">
        <v>1610</v>
      </c>
      <c r="D3740" t="s">
        <v>1610</v>
      </c>
      <c r="E3740" s="10">
        <v>24591</v>
      </c>
      <c r="F3740" s="12">
        <v>1.9599999999999999E-5</v>
      </c>
    </row>
    <row r="3741" spans="1:6">
      <c r="A3741" s="10">
        <v>2020</v>
      </c>
      <c r="B3741" t="s">
        <v>1416</v>
      </c>
      <c r="C3741" t="s">
        <v>249</v>
      </c>
      <c r="D3741" t="s">
        <v>249</v>
      </c>
      <c r="E3741" s="10">
        <v>3364390</v>
      </c>
      <c r="F3741" s="12">
        <v>2.6882999999999998E-3</v>
      </c>
    </row>
    <row r="3742" spans="1:6">
      <c r="A3742" s="10">
        <v>2020</v>
      </c>
      <c r="B3742" t="s">
        <v>1418</v>
      </c>
      <c r="C3742" t="s">
        <v>1611</v>
      </c>
      <c r="D3742" t="s">
        <v>1611</v>
      </c>
      <c r="E3742" s="10"/>
    </row>
    <row r="3743" spans="1:6">
      <c r="A3743" s="10">
        <v>2020</v>
      </c>
      <c r="B3743" t="s">
        <v>1419</v>
      </c>
      <c r="C3743" t="s">
        <v>252</v>
      </c>
      <c r="D3743" t="s">
        <v>252</v>
      </c>
      <c r="E3743" s="10">
        <v>2906728</v>
      </c>
      <c r="F3743" s="12">
        <v>2.3226000000000002E-3</v>
      </c>
    </row>
    <row r="3744" spans="1:6">
      <c r="A3744" s="10">
        <v>2020</v>
      </c>
      <c r="B3744" t="s">
        <v>1420</v>
      </c>
      <c r="C3744" t="s">
        <v>1612</v>
      </c>
      <c r="D3744" t="s">
        <v>1612</v>
      </c>
      <c r="E3744" s="10">
        <v>177143</v>
      </c>
      <c r="F3744" s="12">
        <v>1.415E-4</v>
      </c>
    </row>
    <row r="3745" spans="1:6">
      <c r="A3745" s="10">
        <v>2020</v>
      </c>
      <c r="B3745" t="s">
        <v>1015</v>
      </c>
      <c r="C3745" t="s">
        <v>1613</v>
      </c>
      <c r="D3745" t="s">
        <v>1613</v>
      </c>
      <c r="E3745" s="10">
        <v>558050</v>
      </c>
      <c r="F3745" s="12">
        <v>4.459E-4</v>
      </c>
    </row>
    <row r="3746" spans="1:6">
      <c r="A3746" s="10">
        <v>2020</v>
      </c>
      <c r="B3746" t="s">
        <v>1014</v>
      </c>
      <c r="C3746" t="s">
        <v>1614</v>
      </c>
      <c r="D3746" t="s">
        <v>1614</v>
      </c>
      <c r="E3746" s="10"/>
    </row>
    <row r="3747" spans="1:6">
      <c r="A3747" s="10">
        <v>2020</v>
      </c>
      <c r="B3747" t="s">
        <v>1421</v>
      </c>
      <c r="C3747" t="s">
        <v>1615</v>
      </c>
      <c r="D3747" t="s">
        <v>1615</v>
      </c>
      <c r="E3747" s="10">
        <v>34496</v>
      </c>
      <c r="F3747" s="12">
        <v>2.76E-5</v>
      </c>
    </row>
    <row r="3748" spans="1:6">
      <c r="A3748" s="10">
        <v>2020</v>
      </c>
      <c r="B3748" t="s">
        <v>1422</v>
      </c>
      <c r="C3748" t="s">
        <v>1616</v>
      </c>
      <c r="D3748" t="s">
        <v>1616</v>
      </c>
      <c r="E3748" s="10">
        <v>190818</v>
      </c>
      <c r="F3748" s="12">
        <v>1.5249999999999999E-4</v>
      </c>
    </row>
    <row r="3749" spans="1:6">
      <c r="A3749" s="10">
        <v>2020</v>
      </c>
      <c r="B3749" t="s">
        <v>1423</v>
      </c>
      <c r="C3749" t="s">
        <v>256</v>
      </c>
      <c r="D3749" t="s">
        <v>256</v>
      </c>
      <c r="E3749" s="10">
        <v>2227352</v>
      </c>
      <c r="F3749" s="12">
        <v>1.7798E-3</v>
      </c>
    </row>
    <row r="3750" spans="1:6">
      <c r="A3750" s="10">
        <v>2020</v>
      </c>
      <c r="B3750" t="s">
        <v>1424</v>
      </c>
      <c r="C3750" t="s">
        <v>257</v>
      </c>
      <c r="D3750" t="s">
        <v>257</v>
      </c>
      <c r="E3750" s="10">
        <v>3371629</v>
      </c>
      <c r="F3750" s="12">
        <v>2.6941000000000001E-3</v>
      </c>
    </row>
    <row r="3751" spans="1:6">
      <c r="A3751" s="10">
        <v>2020</v>
      </c>
      <c r="B3751" t="s">
        <v>370</v>
      </c>
      <c r="C3751" t="s">
        <v>1617</v>
      </c>
      <c r="D3751" t="s">
        <v>1617</v>
      </c>
      <c r="E3751" s="10">
        <v>2920763</v>
      </c>
      <c r="F3751" s="12">
        <v>2.3338E-3</v>
      </c>
    </row>
    <row r="3752" spans="1:6">
      <c r="A3752" s="10">
        <v>2020</v>
      </c>
      <c r="B3752" t="s">
        <v>1425</v>
      </c>
      <c r="C3752" t="s">
        <v>258</v>
      </c>
      <c r="D3752" t="s">
        <v>258</v>
      </c>
      <c r="E3752" s="10">
        <v>35828</v>
      </c>
      <c r="F3752" s="12">
        <v>2.8600000000000001E-5</v>
      </c>
    </row>
    <row r="3753" spans="1:6">
      <c r="A3753" s="10">
        <v>2020</v>
      </c>
      <c r="B3753" t="s">
        <v>1429</v>
      </c>
      <c r="C3753" t="s">
        <v>2422</v>
      </c>
      <c r="D3753" t="s">
        <v>2358</v>
      </c>
      <c r="E3753" s="10">
        <v>1210447</v>
      </c>
      <c r="F3753" s="12">
        <v>9.6719999999999998E-4</v>
      </c>
    </row>
    <row r="3754" spans="1:6">
      <c r="A3754" s="10">
        <v>2020</v>
      </c>
      <c r="B3754" t="s">
        <v>1430</v>
      </c>
      <c r="C3754" t="s">
        <v>1619</v>
      </c>
      <c r="D3754" t="s">
        <v>1619</v>
      </c>
      <c r="E3754" s="10">
        <v>408724</v>
      </c>
      <c r="F3754" s="12">
        <v>3.2660000000000002E-4</v>
      </c>
    </row>
    <row r="3755" spans="1:6">
      <c r="A3755" s="10">
        <v>2020</v>
      </c>
      <c r="B3755" t="s">
        <v>1431</v>
      </c>
      <c r="C3755" t="s">
        <v>264</v>
      </c>
      <c r="D3755" t="s">
        <v>264</v>
      </c>
      <c r="E3755" s="10">
        <v>305193</v>
      </c>
      <c r="F3755" s="12">
        <v>2.4389999999999999E-4</v>
      </c>
    </row>
    <row r="3756" spans="1:6">
      <c r="A3756" s="10">
        <v>2020</v>
      </c>
      <c r="B3756" t="s">
        <v>1432</v>
      </c>
      <c r="C3756" t="s">
        <v>265</v>
      </c>
      <c r="D3756" t="s">
        <v>265</v>
      </c>
      <c r="E3756" s="10">
        <v>342649</v>
      </c>
      <c r="F3756" s="12">
        <v>2.7379999999999999E-4</v>
      </c>
    </row>
    <row r="3757" spans="1:6">
      <c r="A3757" s="10">
        <v>2020</v>
      </c>
      <c r="B3757" t="s">
        <v>1433</v>
      </c>
      <c r="C3757" t="s">
        <v>266</v>
      </c>
      <c r="D3757" t="s">
        <v>266</v>
      </c>
      <c r="E3757" s="10">
        <v>165293</v>
      </c>
      <c r="F3757" s="12">
        <v>1.3210000000000001E-4</v>
      </c>
    </row>
    <row r="3758" spans="1:6">
      <c r="A3758" s="10">
        <v>2020</v>
      </c>
      <c r="B3758" t="s">
        <v>1434</v>
      </c>
      <c r="C3758" t="s">
        <v>1620</v>
      </c>
      <c r="D3758" t="s">
        <v>1620</v>
      </c>
      <c r="E3758" s="10">
        <v>1444143</v>
      </c>
      <c r="F3758" s="12">
        <v>1.1539E-3</v>
      </c>
    </row>
    <row r="3759" spans="1:6">
      <c r="A3759" s="10">
        <v>2020</v>
      </c>
      <c r="B3759" t="s">
        <v>1435</v>
      </c>
      <c r="C3759" t="s">
        <v>2359</v>
      </c>
      <c r="D3759" t="s">
        <v>2359</v>
      </c>
      <c r="E3759" s="10">
        <v>200036</v>
      </c>
      <c r="F3759" s="12">
        <v>1.5980000000000001E-4</v>
      </c>
    </row>
    <row r="3760" spans="1:6">
      <c r="A3760" s="10">
        <v>2020</v>
      </c>
      <c r="B3760" t="s">
        <v>1436</v>
      </c>
      <c r="C3760" t="s">
        <v>269</v>
      </c>
      <c r="D3760" t="s">
        <v>269</v>
      </c>
      <c r="E3760" s="10">
        <v>217231</v>
      </c>
      <c r="F3760" s="12">
        <v>1.7359999999999999E-4</v>
      </c>
    </row>
    <row r="3761" spans="1:6">
      <c r="A3761" s="10">
        <v>2020</v>
      </c>
      <c r="B3761" t="s">
        <v>1437</v>
      </c>
      <c r="C3761" t="s">
        <v>270</v>
      </c>
      <c r="D3761" t="s">
        <v>270</v>
      </c>
      <c r="E3761" s="10">
        <v>1215327</v>
      </c>
      <c r="F3761" s="12">
        <v>9.7110000000000002E-4</v>
      </c>
    </row>
    <row r="3762" spans="1:6">
      <c r="A3762" s="10">
        <v>2020</v>
      </c>
      <c r="B3762" t="s">
        <v>1438</v>
      </c>
      <c r="C3762" t="s">
        <v>1622</v>
      </c>
      <c r="D3762" t="s">
        <v>1622</v>
      </c>
      <c r="E3762" s="10">
        <v>812557</v>
      </c>
      <c r="F3762" s="12">
        <v>6.4930000000000001E-4</v>
      </c>
    </row>
    <row r="3763" spans="1:6">
      <c r="A3763" s="10">
        <v>2020</v>
      </c>
      <c r="B3763" t="s">
        <v>371</v>
      </c>
      <c r="C3763" t="s">
        <v>1623</v>
      </c>
      <c r="D3763" t="s">
        <v>1623</v>
      </c>
      <c r="E3763" s="10">
        <v>311127</v>
      </c>
      <c r="F3763" s="12">
        <v>2.4860000000000003E-4</v>
      </c>
    </row>
    <row r="3764" spans="1:6">
      <c r="A3764" s="10">
        <v>2020</v>
      </c>
      <c r="B3764" t="s">
        <v>1439</v>
      </c>
      <c r="C3764" t="s">
        <v>1624</v>
      </c>
      <c r="D3764" t="s">
        <v>1624</v>
      </c>
      <c r="E3764" s="10">
        <v>114335</v>
      </c>
      <c r="F3764" s="12">
        <v>9.1399999999999999E-5</v>
      </c>
    </row>
    <row r="3765" spans="1:6">
      <c r="A3765" s="10">
        <v>2020</v>
      </c>
      <c r="B3765" t="s">
        <v>1440</v>
      </c>
      <c r="C3765" t="s">
        <v>1625</v>
      </c>
      <c r="D3765" t="s">
        <v>1625</v>
      </c>
      <c r="E3765" s="10">
        <v>403632</v>
      </c>
      <c r="F3765" s="12">
        <v>3.2249999999999998E-4</v>
      </c>
    </row>
    <row r="3766" spans="1:6">
      <c r="A3766" s="10">
        <v>2020</v>
      </c>
      <c r="B3766" t="s">
        <v>372</v>
      </c>
      <c r="C3766" t="s">
        <v>1626</v>
      </c>
      <c r="D3766" t="s">
        <v>1626</v>
      </c>
      <c r="E3766" s="10">
        <v>200068</v>
      </c>
      <c r="F3766" s="12">
        <v>1.5990000000000001E-4</v>
      </c>
    </row>
    <row r="3767" spans="1:6">
      <c r="A3767" s="10">
        <v>2020</v>
      </c>
      <c r="B3767" t="s">
        <v>1441</v>
      </c>
      <c r="C3767" t="s">
        <v>274</v>
      </c>
      <c r="D3767" t="s">
        <v>274</v>
      </c>
      <c r="E3767" s="10"/>
    </row>
    <row r="3768" spans="1:6">
      <c r="A3768" s="10">
        <v>2020</v>
      </c>
      <c r="B3768" t="s">
        <v>1442</v>
      </c>
      <c r="C3768" t="s">
        <v>1627</v>
      </c>
      <c r="D3768" t="s">
        <v>1627</v>
      </c>
      <c r="E3768" s="10">
        <v>8260</v>
      </c>
      <c r="F3768" s="12">
        <v>6.6000000000000003E-6</v>
      </c>
    </row>
    <row r="3769" spans="1:6">
      <c r="A3769" s="10">
        <v>2020</v>
      </c>
      <c r="B3769" t="s">
        <v>1443</v>
      </c>
      <c r="C3769" t="s">
        <v>1628</v>
      </c>
      <c r="D3769" t="s">
        <v>1628</v>
      </c>
      <c r="E3769" s="10">
        <v>1136467</v>
      </c>
      <c r="F3769" s="12">
        <v>9.0810000000000001E-4</v>
      </c>
    </row>
    <row r="3770" spans="1:6">
      <c r="A3770" s="10">
        <v>2020</v>
      </c>
      <c r="B3770" t="s">
        <v>332</v>
      </c>
      <c r="C3770" t="s">
        <v>1630</v>
      </c>
      <c r="D3770" t="s">
        <v>1630</v>
      </c>
      <c r="E3770" s="10">
        <v>96948</v>
      </c>
      <c r="F3770" s="12">
        <v>7.75E-5</v>
      </c>
    </row>
    <row r="3771" spans="1:6">
      <c r="A3771" s="10">
        <v>2020</v>
      </c>
      <c r="B3771" t="s">
        <v>333</v>
      </c>
      <c r="C3771" t="s">
        <v>1631</v>
      </c>
      <c r="D3771" t="s">
        <v>1631</v>
      </c>
      <c r="E3771" s="10">
        <v>42177</v>
      </c>
      <c r="F3771" s="12">
        <v>3.3699999999999999E-5</v>
      </c>
    </row>
    <row r="3772" spans="1:6">
      <c r="A3772" s="10">
        <v>2020</v>
      </c>
      <c r="B3772" t="s">
        <v>334</v>
      </c>
      <c r="C3772" t="s">
        <v>1632</v>
      </c>
      <c r="D3772" t="s">
        <v>1632</v>
      </c>
      <c r="E3772" s="10">
        <v>58181</v>
      </c>
      <c r="F3772" s="12">
        <v>4.6499999999999999E-5</v>
      </c>
    </row>
    <row r="3773" spans="1:6">
      <c r="A3773" s="10">
        <v>2020</v>
      </c>
      <c r="B3773" t="s">
        <v>335</v>
      </c>
      <c r="C3773" t="s">
        <v>1633</v>
      </c>
      <c r="D3773" t="s">
        <v>1633</v>
      </c>
      <c r="E3773" s="10">
        <v>3140633</v>
      </c>
      <c r="F3773" s="12">
        <v>2.5095E-3</v>
      </c>
    </row>
    <row r="3774" spans="1:6">
      <c r="A3774" s="10">
        <v>2020</v>
      </c>
      <c r="B3774" t="s">
        <v>336</v>
      </c>
      <c r="C3774" t="s">
        <v>1634</v>
      </c>
      <c r="D3774" t="s">
        <v>1634</v>
      </c>
      <c r="E3774" s="10">
        <v>2583761</v>
      </c>
      <c r="F3774" s="12">
        <v>2.0644999999999999E-3</v>
      </c>
    </row>
    <row r="3775" spans="1:6">
      <c r="A3775" s="10">
        <v>2020</v>
      </c>
      <c r="B3775" t="s">
        <v>337</v>
      </c>
      <c r="C3775" t="s">
        <v>283</v>
      </c>
      <c r="D3775" t="s">
        <v>283</v>
      </c>
      <c r="E3775" s="10">
        <v>171336</v>
      </c>
      <c r="F3775" s="12">
        <v>1.3689999999999999E-4</v>
      </c>
    </row>
    <row r="3776" spans="1:6">
      <c r="A3776" s="10">
        <v>2020</v>
      </c>
      <c r="B3776" t="s">
        <v>338</v>
      </c>
      <c r="C3776" t="s">
        <v>1635</v>
      </c>
      <c r="D3776" t="s">
        <v>1635</v>
      </c>
      <c r="E3776" s="10">
        <v>63120</v>
      </c>
      <c r="F3776" s="12">
        <v>5.0399999999999999E-5</v>
      </c>
    </row>
    <row r="3777" spans="1:6">
      <c r="A3777" s="10">
        <v>2020</v>
      </c>
      <c r="B3777" t="s">
        <v>373</v>
      </c>
      <c r="C3777" t="s">
        <v>1636</v>
      </c>
      <c r="D3777" t="s">
        <v>1636</v>
      </c>
      <c r="E3777" s="10">
        <v>2716829</v>
      </c>
      <c r="F3777" s="12">
        <v>2.1708999999999999E-3</v>
      </c>
    </row>
    <row r="3778" spans="1:6">
      <c r="A3778" s="10">
        <v>2020</v>
      </c>
      <c r="B3778" t="s">
        <v>339</v>
      </c>
      <c r="C3778" t="s">
        <v>1637</v>
      </c>
      <c r="D3778" t="s">
        <v>1637</v>
      </c>
      <c r="E3778" s="10">
        <v>1219896</v>
      </c>
      <c r="F3778" s="12">
        <v>9.7479999999999995E-4</v>
      </c>
    </row>
    <row r="3779" spans="1:6">
      <c r="A3779" s="10">
        <v>2020</v>
      </c>
      <c r="B3779" t="s">
        <v>340</v>
      </c>
      <c r="C3779" t="s">
        <v>286</v>
      </c>
      <c r="D3779" t="s">
        <v>286</v>
      </c>
      <c r="E3779" s="10">
        <v>111509</v>
      </c>
      <c r="F3779" s="12">
        <v>8.9099999999999997E-5</v>
      </c>
    </row>
    <row r="3780" spans="1:6">
      <c r="A3780" s="10">
        <v>2020</v>
      </c>
      <c r="B3780" t="s">
        <v>341</v>
      </c>
      <c r="C3780" t="s">
        <v>287</v>
      </c>
      <c r="D3780" t="s">
        <v>287</v>
      </c>
      <c r="E3780" s="10"/>
    </row>
    <row r="3781" spans="1:6">
      <c r="A3781" s="10">
        <v>2020</v>
      </c>
      <c r="B3781" t="s">
        <v>342</v>
      </c>
      <c r="C3781" t="s">
        <v>1638</v>
      </c>
      <c r="D3781" t="s">
        <v>1638</v>
      </c>
      <c r="E3781" s="10">
        <v>927727</v>
      </c>
      <c r="F3781" s="12">
        <v>7.4129999999999997E-4</v>
      </c>
    </row>
    <row r="3782" spans="1:6">
      <c r="A3782" s="10">
        <v>2020</v>
      </c>
      <c r="B3782" t="s">
        <v>1219</v>
      </c>
      <c r="C3782" t="s">
        <v>1639</v>
      </c>
      <c r="D3782" t="s">
        <v>1639</v>
      </c>
      <c r="E3782" s="10">
        <v>385113</v>
      </c>
      <c r="F3782" s="12">
        <v>3.077E-4</v>
      </c>
    </row>
    <row r="3783" spans="1:6">
      <c r="A3783" s="10">
        <v>2020</v>
      </c>
      <c r="B3783" t="s">
        <v>343</v>
      </c>
      <c r="C3783" t="s">
        <v>1640</v>
      </c>
      <c r="D3783" t="s">
        <v>1640</v>
      </c>
      <c r="E3783" s="10">
        <v>107963</v>
      </c>
      <c r="F3783" s="12">
        <v>8.6299999999999997E-5</v>
      </c>
    </row>
    <row r="3784" spans="1:6">
      <c r="A3784" s="10">
        <v>2020</v>
      </c>
      <c r="B3784" t="s">
        <v>344</v>
      </c>
      <c r="C3784" t="s">
        <v>290</v>
      </c>
      <c r="D3784" t="s">
        <v>290</v>
      </c>
      <c r="E3784" s="10">
        <v>75168</v>
      </c>
      <c r="F3784" s="12">
        <v>6.0099999999999997E-5</v>
      </c>
    </row>
    <row r="3785" spans="1:6">
      <c r="A3785" s="10">
        <v>2020</v>
      </c>
      <c r="B3785" t="s">
        <v>1220</v>
      </c>
      <c r="C3785" t="s">
        <v>1641</v>
      </c>
      <c r="D3785" t="s">
        <v>1641</v>
      </c>
      <c r="E3785" s="10">
        <v>131601</v>
      </c>
      <c r="F3785" s="12">
        <v>1.052E-4</v>
      </c>
    </row>
    <row r="3786" spans="1:6">
      <c r="A3786" s="10">
        <v>2020</v>
      </c>
      <c r="B3786" t="s">
        <v>345</v>
      </c>
      <c r="C3786" t="s">
        <v>1642</v>
      </c>
      <c r="D3786" t="s">
        <v>1642</v>
      </c>
      <c r="E3786" s="10">
        <v>81819</v>
      </c>
      <c r="F3786" s="12">
        <v>6.5400000000000004E-5</v>
      </c>
    </row>
    <row r="3787" spans="1:6">
      <c r="A3787" s="10">
        <v>2020</v>
      </c>
      <c r="B3787" t="s">
        <v>346</v>
      </c>
      <c r="C3787" t="s">
        <v>1643</v>
      </c>
      <c r="D3787" t="s">
        <v>1643</v>
      </c>
      <c r="E3787" s="10">
        <v>9889079</v>
      </c>
      <c r="F3787" s="12">
        <v>7.9018000000000005E-3</v>
      </c>
    </row>
    <row r="3788" spans="1:6">
      <c r="A3788" s="10">
        <v>2020</v>
      </c>
      <c r="B3788" t="s">
        <v>347</v>
      </c>
      <c r="C3788" t="s">
        <v>1644</v>
      </c>
      <c r="D3788" t="s">
        <v>1644</v>
      </c>
      <c r="E3788" s="10">
        <v>3655918</v>
      </c>
      <c r="F3788" s="12">
        <v>2.9212000000000001E-3</v>
      </c>
    </row>
    <row r="3789" spans="1:6">
      <c r="A3789" s="10">
        <v>2020</v>
      </c>
      <c r="B3789" t="s">
        <v>348</v>
      </c>
      <c r="C3789" t="s">
        <v>1645</v>
      </c>
      <c r="D3789" t="s">
        <v>1645</v>
      </c>
      <c r="E3789" s="10">
        <v>1955000</v>
      </c>
      <c r="F3789" s="12">
        <v>1.5621000000000001E-3</v>
      </c>
    </row>
    <row r="3790" spans="1:6">
      <c r="A3790" s="10">
        <v>2020</v>
      </c>
      <c r="B3790" t="s">
        <v>374</v>
      </c>
      <c r="C3790" t="s">
        <v>1646</v>
      </c>
      <c r="D3790" t="s">
        <v>1646</v>
      </c>
      <c r="E3790" s="10">
        <v>1607330</v>
      </c>
      <c r="F3790" s="12">
        <v>1.2842999999999999E-3</v>
      </c>
    </row>
    <row r="3791" spans="1:6">
      <c r="A3791" s="10">
        <v>2020</v>
      </c>
      <c r="B3791" t="s">
        <v>349</v>
      </c>
      <c r="C3791" t="s">
        <v>1647</v>
      </c>
      <c r="D3791" t="s">
        <v>1647</v>
      </c>
      <c r="E3791" s="10">
        <v>2999074</v>
      </c>
      <c r="F3791" s="12">
        <v>2.3963999999999999E-3</v>
      </c>
    </row>
    <row r="3792" spans="1:6">
      <c r="A3792" s="10">
        <v>2020</v>
      </c>
      <c r="B3792" t="s">
        <v>350</v>
      </c>
      <c r="C3792" t="s">
        <v>1648</v>
      </c>
      <c r="D3792" t="s">
        <v>1648</v>
      </c>
      <c r="E3792" s="10">
        <v>3023949</v>
      </c>
      <c r="F3792" s="12">
        <v>2.4163000000000001E-3</v>
      </c>
    </row>
    <row r="3793" spans="1:6">
      <c r="A3793" s="10">
        <v>2020</v>
      </c>
      <c r="B3793" t="s">
        <v>1221</v>
      </c>
      <c r="C3793" t="s">
        <v>1649</v>
      </c>
      <c r="D3793" t="s">
        <v>1649</v>
      </c>
      <c r="E3793" s="10">
        <v>316802</v>
      </c>
      <c r="F3793" s="12">
        <v>2.5310000000000003E-4</v>
      </c>
    </row>
    <row r="3794" spans="1:6">
      <c r="A3794" s="10">
        <v>2020</v>
      </c>
      <c r="B3794" t="s">
        <v>351</v>
      </c>
      <c r="C3794" t="s">
        <v>297</v>
      </c>
      <c r="D3794" t="s">
        <v>297</v>
      </c>
      <c r="E3794" s="10">
        <v>24370</v>
      </c>
      <c r="F3794" s="12">
        <v>1.95E-5</v>
      </c>
    </row>
    <row r="3795" spans="1:6">
      <c r="A3795" s="10">
        <v>2020</v>
      </c>
      <c r="B3795" t="s">
        <v>352</v>
      </c>
      <c r="C3795" t="s">
        <v>2398</v>
      </c>
      <c r="D3795" t="s">
        <v>2398</v>
      </c>
      <c r="E3795" s="10">
        <v>175519</v>
      </c>
      <c r="F3795" s="12">
        <v>1.4019999999999999E-4</v>
      </c>
    </row>
    <row r="3796" spans="1:6">
      <c r="A3796" s="10">
        <v>2020</v>
      </c>
      <c r="B3796" t="s">
        <v>353</v>
      </c>
      <c r="C3796" t="s">
        <v>1650</v>
      </c>
      <c r="D3796" t="s">
        <v>1650</v>
      </c>
      <c r="E3796" s="10">
        <v>56912</v>
      </c>
      <c r="F3796" s="12">
        <v>4.5500000000000001E-5</v>
      </c>
    </row>
    <row r="3797" spans="1:6">
      <c r="A3797" s="10">
        <v>2020</v>
      </c>
      <c r="B3797" t="s">
        <v>354</v>
      </c>
      <c r="C3797" t="s">
        <v>300</v>
      </c>
      <c r="D3797" t="s">
        <v>300</v>
      </c>
      <c r="E3797" s="10">
        <v>2681389</v>
      </c>
      <c r="F3797" s="12">
        <v>2.1426000000000001E-3</v>
      </c>
    </row>
    <row r="3798" spans="1:6">
      <c r="A3798" s="10">
        <v>2020</v>
      </c>
      <c r="B3798" t="s">
        <v>1659</v>
      </c>
      <c r="C3798" t="s">
        <v>1651</v>
      </c>
      <c r="D3798" t="s">
        <v>1651</v>
      </c>
      <c r="E3798" s="10">
        <v>223329</v>
      </c>
      <c r="F3798" s="12">
        <v>1.785E-4</v>
      </c>
    </row>
    <row r="3799" spans="1:6">
      <c r="A3799" s="10">
        <v>2020</v>
      </c>
      <c r="B3799" t="s">
        <v>355</v>
      </c>
      <c r="C3799" t="s">
        <v>2423</v>
      </c>
      <c r="D3799" t="s">
        <v>301</v>
      </c>
      <c r="E3799" s="10">
        <v>389048</v>
      </c>
      <c r="F3799" s="12">
        <v>3.1090000000000002E-4</v>
      </c>
    </row>
    <row r="3800" spans="1:6">
      <c r="A3800" s="10">
        <v>2020</v>
      </c>
      <c r="B3800" t="s">
        <v>356</v>
      </c>
      <c r="C3800" t="s">
        <v>1444</v>
      </c>
      <c r="D3800" t="s">
        <v>1444</v>
      </c>
      <c r="E3800" s="10">
        <v>5954012</v>
      </c>
      <c r="F3800" s="12">
        <v>4.7574999999999996E-3</v>
      </c>
    </row>
    <row r="3801" spans="1:6">
      <c r="A3801" s="10">
        <v>2020</v>
      </c>
      <c r="B3801" t="s">
        <v>357</v>
      </c>
      <c r="C3801" t="s">
        <v>2424</v>
      </c>
      <c r="D3801" t="s">
        <v>1652</v>
      </c>
      <c r="E3801" s="10">
        <v>186721</v>
      </c>
      <c r="F3801" s="12">
        <v>1.4919999999999999E-4</v>
      </c>
    </row>
    <row r="3802" spans="1:6">
      <c r="A3802" s="10">
        <v>2020</v>
      </c>
      <c r="B3802" t="s">
        <v>358</v>
      </c>
      <c r="C3802" t="s">
        <v>304</v>
      </c>
      <c r="D3802" t="s">
        <v>304</v>
      </c>
      <c r="E3802" s="10"/>
    </row>
    <row r="3803" spans="1:6">
      <c r="A3803" s="10">
        <v>2020</v>
      </c>
      <c r="B3803" t="s">
        <v>359</v>
      </c>
      <c r="C3803" t="s">
        <v>305</v>
      </c>
      <c r="D3803" t="s">
        <v>305</v>
      </c>
      <c r="E3803" s="10">
        <v>233999</v>
      </c>
      <c r="F3803" s="12">
        <v>1.8699999999999999E-4</v>
      </c>
    </row>
    <row r="3804" spans="1:6">
      <c r="A3804" s="10">
        <v>2020</v>
      </c>
      <c r="B3804" t="s">
        <v>360</v>
      </c>
      <c r="C3804" t="s">
        <v>1653</v>
      </c>
      <c r="D3804" t="s">
        <v>1653</v>
      </c>
      <c r="E3804" s="10">
        <v>28306252</v>
      </c>
      <c r="F3804" s="12">
        <v>2.2617999999999999E-2</v>
      </c>
    </row>
    <row r="3805" spans="1:6">
      <c r="A3805" s="10">
        <v>2020</v>
      </c>
      <c r="B3805" t="s">
        <v>375</v>
      </c>
      <c r="C3805" t="s">
        <v>1654</v>
      </c>
      <c r="D3805" t="s">
        <v>1654</v>
      </c>
      <c r="E3805" s="10">
        <v>8851613</v>
      </c>
      <c r="F3805" s="12">
        <v>7.0727999999999997E-3</v>
      </c>
    </row>
    <row r="3806" spans="1:6">
      <c r="A3806" s="10">
        <v>2020</v>
      </c>
      <c r="B3806" t="s">
        <v>361</v>
      </c>
      <c r="C3806" t="s">
        <v>1655</v>
      </c>
      <c r="D3806" t="s">
        <v>1655</v>
      </c>
      <c r="E3806" s="10">
        <v>199481</v>
      </c>
      <c r="F3806" s="12">
        <v>1.594E-4</v>
      </c>
    </row>
    <row r="3807" spans="1:6">
      <c r="A3807" s="10">
        <v>2020</v>
      </c>
      <c r="B3807" t="s">
        <v>362</v>
      </c>
      <c r="C3807" t="s">
        <v>1656</v>
      </c>
      <c r="D3807" t="s">
        <v>1656</v>
      </c>
      <c r="E3807" s="10">
        <v>7653</v>
      </c>
      <c r="F3807" s="12">
        <v>6.1E-6</v>
      </c>
    </row>
    <row r="3808" spans="1:6">
      <c r="A3808" s="10">
        <v>2020</v>
      </c>
      <c r="B3808" t="s">
        <v>363</v>
      </c>
      <c r="C3808" t="s">
        <v>1657</v>
      </c>
      <c r="D3808" t="s">
        <v>1657</v>
      </c>
      <c r="E3808" s="10">
        <v>3179095</v>
      </c>
      <c r="F3808" s="12">
        <v>2.5401999999999998E-3</v>
      </c>
    </row>
    <row r="3809" spans="1:6">
      <c r="A3809" s="10">
        <v>2020</v>
      </c>
      <c r="B3809" t="s">
        <v>364</v>
      </c>
      <c r="C3809" t="s">
        <v>310</v>
      </c>
      <c r="D3809" t="s">
        <v>310</v>
      </c>
      <c r="E3809" s="10"/>
    </row>
    <row r="3810" spans="1:6">
      <c r="A3810" s="10">
        <v>2020</v>
      </c>
      <c r="B3810" t="s">
        <v>365</v>
      </c>
      <c r="C3810" t="s">
        <v>1658</v>
      </c>
      <c r="D3810" t="s">
        <v>1658</v>
      </c>
      <c r="E3810" s="10">
        <v>1187562</v>
      </c>
      <c r="F3810" s="12">
        <v>9.4890000000000003E-4</v>
      </c>
    </row>
    <row r="3811" spans="1:6">
      <c r="A3811" s="10">
        <v>2020</v>
      </c>
      <c r="B3811" t="s">
        <v>1222</v>
      </c>
      <c r="C3811" t="s">
        <v>1660</v>
      </c>
      <c r="D3811" t="s">
        <v>1660</v>
      </c>
      <c r="E3811" s="10">
        <v>415582</v>
      </c>
      <c r="F3811" s="12">
        <v>3.321E-4</v>
      </c>
    </row>
    <row r="3812" spans="1:6">
      <c r="A3812" s="10">
        <v>2020</v>
      </c>
      <c r="B3812" t="s">
        <v>366</v>
      </c>
      <c r="C3812" t="s">
        <v>312</v>
      </c>
      <c r="D3812" t="s">
        <v>312</v>
      </c>
      <c r="E3812" s="10">
        <v>4813</v>
      </c>
      <c r="F3812" s="12">
        <v>3.8E-6</v>
      </c>
    </row>
    <row r="3813" spans="1:6">
      <c r="A3813" s="10">
        <v>2020</v>
      </c>
      <c r="B3813" t="s">
        <v>367</v>
      </c>
      <c r="C3813" t="s">
        <v>313</v>
      </c>
      <c r="D3813" t="s">
        <v>313</v>
      </c>
      <c r="E3813" s="10">
        <v>60319</v>
      </c>
      <c r="F3813" s="12">
        <v>4.8199999999999999E-5</v>
      </c>
    </row>
    <row r="3814" spans="1:6">
      <c r="A3814" s="10">
        <v>2020</v>
      </c>
      <c r="B3814" t="s">
        <v>368</v>
      </c>
      <c r="C3814" t="s">
        <v>1661</v>
      </c>
      <c r="D3814" t="s">
        <v>1661</v>
      </c>
      <c r="E3814" s="10">
        <v>246230</v>
      </c>
      <c r="F3814" s="12">
        <v>1.9670000000000001E-4</v>
      </c>
    </row>
    <row r="3815" spans="1:6">
      <c r="A3815" s="10">
        <v>2020</v>
      </c>
      <c r="B3815" t="s">
        <v>467</v>
      </c>
      <c r="C3815" t="s">
        <v>412</v>
      </c>
      <c r="D3815" t="s">
        <v>412</v>
      </c>
      <c r="E3815" s="10"/>
    </row>
    <row r="3816" spans="1:6">
      <c r="A3816" s="10">
        <v>2020</v>
      </c>
      <c r="B3816" t="s">
        <v>1223</v>
      </c>
      <c r="C3816" t="s">
        <v>1662</v>
      </c>
      <c r="D3816" t="s">
        <v>1662</v>
      </c>
      <c r="E3816" s="10">
        <v>176079</v>
      </c>
      <c r="F3816" s="12">
        <v>1.407E-4</v>
      </c>
    </row>
    <row r="3817" spans="1:6">
      <c r="A3817" s="10">
        <v>2020</v>
      </c>
      <c r="B3817" t="s">
        <v>468</v>
      </c>
      <c r="C3817" t="s">
        <v>1663</v>
      </c>
      <c r="D3817" t="s">
        <v>1663</v>
      </c>
      <c r="E3817" s="10">
        <v>266356</v>
      </c>
      <c r="F3817" s="12">
        <v>2.128E-4</v>
      </c>
    </row>
    <row r="3818" spans="1:6">
      <c r="A3818" s="10">
        <v>2020</v>
      </c>
      <c r="B3818" t="s">
        <v>1224</v>
      </c>
      <c r="C3818" t="s">
        <v>1665</v>
      </c>
      <c r="D3818" t="s">
        <v>1665</v>
      </c>
      <c r="E3818" s="10">
        <v>91453</v>
      </c>
      <c r="F3818" s="12">
        <v>7.3100000000000001E-5</v>
      </c>
    </row>
    <row r="3819" spans="1:6">
      <c r="A3819" s="10">
        <v>2020</v>
      </c>
      <c r="B3819" t="s">
        <v>470</v>
      </c>
      <c r="C3819" t="s">
        <v>2361</v>
      </c>
      <c r="D3819" t="s">
        <v>2361</v>
      </c>
      <c r="E3819" s="10">
        <v>31033</v>
      </c>
      <c r="F3819" s="12">
        <v>2.48E-5</v>
      </c>
    </row>
    <row r="3820" spans="1:6">
      <c r="A3820" s="10">
        <v>2020</v>
      </c>
      <c r="B3820" t="s">
        <v>471</v>
      </c>
      <c r="C3820" t="s">
        <v>416</v>
      </c>
      <c r="D3820" t="s">
        <v>416</v>
      </c>
      <c r="E3820" s="10">
        <v>2357069</v>
      </c>
      <c r="F3820" s="12">
        <v>1.8833999999999999E-3</v>
      </c>
    </row>
    <row r="3821" spans="1:6">
      <c r="A3821" s="10">
        <v>2020</v>
      </c>
      <c r="B3821" t="s">
        <v>472</v>
      </c>
      <c r="C3821" t="s">
        <v>417</v>
      </c>
      <c r="D3821" t="s">
        <v>417</v>
      </c>
      <c r="E3821" s="10">
        <v>3234126</v>
      </c>
      <c r="F3821" s="12">
        <v>2.5842E-3</v>
      </c>
    </row>
    <row r="3822" spans="1:6">
      <c r="A3822" s="10">
        <v>2020</v>
      </c>
      <c r="B3822" t="s">
        <v>474</v>
      </c>
      <c r="C3822" t="s">
        <v>1666</v>
      </c>
      <c r="D3822" t="s">
        <v>1666</v>
      </c>
      <c r="E3822" s="10">
        <v>100868</v>
      </c>
      <c r="F3822" s="12">
        <v>8.0599999999999994E-5</v>
      </c>
    </row>
    <row r="3823" spans="1:6">
      <c r="A3823" s="10">
        <v>2020</v>
      </c>
      <c r="B3823" t="s">
        <v>475</v>
      </c>
      <c r="C3823" t="s">
        <v>1667</v>
      </c>
      <c r="D3823" t="s">
        <v>1667</v>
      </c>
      <c r="E3823" s="10">
        <v>33631</v>
      </c>
      <c r="F3823" s="12">
        <v>2.69E-5</v>
      </c>
    </row>
    <row r="3824" spans="1:6">
      <c r="A3824" s="10">
        <v>2020</v>
      </c>
      <c r="B3824" t="s">
        <v>476</v>
      </c>
      <c r="C3824" t="s">
        <v>421</v>
      </c>
      <c r="D3824" t="s">
        <v>421</v>
      </c>
      <c r="E3824" s="10">
        <v>5038039</v>
      </c>
      <c r="F3824" s="12">
        <v>4.0255999999999998E-3</v>
      </c>
    </row>
    <row r="3825" spans="1:6">
      <c r="A3825" s="10">
        <v>2020</v>
      </c>
      <c r="B3825" t="s">
        <v>477</v>
      </c>
      <c r="C3825" t="s">
        <v>422</v>
      </c>
      <c r="D3825" t="s">
        <v>422</v>
      </c>
      <c r="E3825" s="10">
        <v>1112558</v>
      </c>
      <c r="F3825" s="12">
        <v>8.8900000000000003E-4</v>
      </c>
    </row>
    <row r="3826" spans="1:6">
      <c r="A3826" s="10">
        <v>2020</v>
      </c>
      <c r="B3826" t="s">
        <v>478</v>
      </c>
      <c r="C3826" t="s">
        <v>1668</v>
      </c>
      <c r="D3826" t="s">
        <v>1668</v>
      </c>
      <c r="E3826" s="10">
        <v>145863</v>
      </c>
      <c r="F3826" s="12">
        <v>1.166E-4</v>
      </c>
    </row>
    <row r="3827" spans="1:6">
      <c r="A3827" s="10">
        <v>2020</v>
      </c>
      <c r="B3827" t="s">
        <v>479</v>
      </c>
      <c r="C3827" t="s">
        <v>1669</v>
      </c>
      <c r="D3827" t="s">
        <v>1669</v>
      </c>
      <c r="E3827" s="10">
        <v>357243</v>
      </c>
      <c r="F3827" s="12">
        <v>2.855E-4</v>
      </c>
    </row>
    <row r="3828" spans="1:6">
      <c r="A3828" s="10">
        <v>2020</v>
      </c>
      <c r="B3828" t="s">
        <v>480</v>
      </c>
      <c r="C3828" t="s">
        <v>1670</v>
      </c>
      <c r="D3828" t="s">
        <v>1670</v>
      </c>
      <c r="E3828" s="10">
        <v>61560</v>
      </c>
      <c r="F3828" s="12">
        <v>4.9200000000000003E-5</v>
      </c>
    </row>
    <row r="3829" spans="1:6">
      <c r="A3829" s="10">
        <v>2020</v>
      </c>
      <c r="B3829" t="s">
        <v>481</v>
      </c>
      <c r="C3829" t="s">
        <v>1671</v>
      </c>
      <c r="D3829" t="s">
        <v>1671</v>
      </c>
      <c r="E3829" s="10">
        <v>880929</v>
      </c>
      <c r="F3829" s="12">
        <v>7.0390000000000003E-4</v>
      </c>
    </row>
    <row r="3830" spans="1:6">
      <c r="A3830" s="10">
        <v>2020</v>
      </c>
      <c r="B3830" t="s">
        <v>482</v>
      </c>
      <c r="C3830" t="s">
        <v>1672</v>
      </c>
      <c r="D3830" t="s">
        <v>1672</v>
      </c>
      <c r="E3830" s="10">
        <v>162373</v>
      </c>
      <c r="F3830" s="12">
        <v>1.2970000000000001E-4</v>
      </c>
    </row>
    <row r="3831" spans="1:6">
      <c r="A3831" s="10">
        <v>2020</v>
      </c>
      <c r="B3831" t="s">
        <v>483</v>
      </c>
      <c r="C3831" t="s">
        <v>1673</v>
      </c>
      <c r="D3831" t="s">
        <v>1673</v>
      </c>
      <c r="E3831" s="10">
        <v>120686</v>
      </c>
      <c r="F3831" s="12">
        <v>9.6399999999999999E-5</v>
      </c>
    </row>
    <row r="3832" spans="1:6">
      <c r="A3832" s="10">
        <v>2020</v>
      </c>
      <c r="B3832" t="s">
        <v>484</v>
      </c>
      <c r="C3832" t="s">
        <v>1674</v>
      </c>
      <c r="D3832" t="s">
        <v>1674</v>
      </c>
      <c r="E3832" s="10">
        <v>355127</v>
      </c>
      <c r="F3832" s="12">
        <v>2.8380000000000001E-4</v>
      </c>
    </row>
    <row r="3833" spans="1:6">
      <c r="A3833" s="10">
        <v>2020</v>
      </c>
      <c r="B3833" t="s">
        <v>485</v>
      </c>
      <c r="C3833" t="s">
        <v>1675</v>
      </c>
      <c r="D3833" t="s">
        <v>1675</v>
      </c>
      <c r="E3833" s="10">
        <v>1390291</v>
      </c>
      <c r="F3833" s="12">
        <v>1.1109E-3</v>
      </c>
    </row>
    <row r="3834" spans="1:6">
      <c r="A3834" s="10">
        <v>2020</v>
      </c>
      <c r="B3834" t="s">
        <v>376</v>
      </c>
      <c r="C3834" t="s">
        <v>1676</v>
      </c>
      <c r="D3834" t="s">
        <v>1676</v>
      </c>
      <c r="E3834" s="10">
        <v>501907</v>
      </c>
      <c r="F3834" s="12">
        <v>4.0099999999999999E-4</v>
      </c>
    </row>
    <row r="3835" spans="1:6">
      <c r="A3835" s="10">
        <v>2020</v>
      </c>
      <c r="B3835" t="s">
        <v>1690</v>
      </c>
      <c r="C3835" t="s">
        <v>1677</v>
      </c>
      <c r="D3835" t="s">
        <v>1677</v>
      </c>
      <c r="E3835" s="10"/>
    </row>
    <row r="3836" spans="1:6">
      <c r="A3836" s="10">
        <v>2020</v>
      </c>
      <c r="B3836" t="s">
        <v>2365</v>
      </c>
      <c r="C3836" t="s">
        <v>2363</v>
      </c>
      <c r="D3836" t="s">
        <v>2363</v>
      </c>
      <c r="E3836" s="10">
        <v>45340</v>
      </c>
      <c r="F3836" s="12">
        <v>3.6199999999999999E-5</v>
      </c>
    </row>
    <row r="3837" spans="1:6">
      <c r="A3837" s="10">
        <v>2020</v>
      </c>
      <c r="B3837" t="s">
        <v>377</v>
      </c>
      <c r="C3837" t="s">
        <v>1678</v>
      </c>
      <c r="D3837" t="s">
        <v>1678</v>
      </c>
      <c r="E3837" s="10">
        <v>958329</v>
      </c>
      <c r="F3837" s="12">
        <v>7.6570000000000002E-4</v>
      </c>
    </row>
    <row r="3838" spans="1:6">
      <c r="A3838" s="10">
        <v>2020</v>
      </c>
      <c r="B3838" t="s">
        <v>486</v>
      </c>
      <c r="C3838" t="s">
        <v>1679</v>
      </c>
      <c r="D3838" t="s">
        <v>1679</v>
      </c>
      <c r="E3838" s="10">
        <v>1173173</v>
      </c>
      <c r="F3838" s="12">
        <v>9.3740000000000002E-4</v>
      </c>
    </row>
    <row r="3839" spans="1:6">
      <c r="A3839" s="10">
        <v>2020</v>
      </c>
      <c r="B3839" t="s">
        <v>487</v>
      </c>
      <c r="C3839" t="s">
        <v>432</v>
      </c>
      <c r="D3839" t="s">
        <v>432</v>
      </c>
      <c r="E3839" s="10">
        <v>7567</v>
      </c>
      <c r="F3839" s="12">
        <v>6.0000000000000002E-6</v>
      </c>
    </row>
    <row r="3840" spans="1:6">
      <c r="A3840" s="10">
        <v>2020</v>
      </c>
      <c r="B3840" t="s">
        <v>488</v>
      </c>
      <c r="C3840" t="s">
        <v>1680</v>
      </c>
      <c r="D3840" t="s">
        <v>1680</v>
      </c>
      <c r="E3840" s="10">
        <v>154646</v>
      </c>
      <c r="F3840" s="12">
        <v>1.236E-4</v>
      </c>
    </row>
    <row r="3841" spans="1:6">
      <c r="A3841" s="10">
        <v>2020</v>
      </c>
      <c r="B3841" t="s">
        <v>489</v>
      </c>
      <c r="C3841" t="s">
        <v>434</v>
      </c>
      <c r="D3841" t="s">
        <v>434</v>
      </c>
      <c r="E3841" s="10">
        <v>60392</v>
      </c>
      <c r="F3841" s="12">
        <v>4.8300000000000002E-5</v>
      </c>
    </row>
    <row r="3842" spans="1:6">
      <c r="A3842" s="10">
        <v>2020</v>
      </c>
      <c r="B3842" t="s">
        <v>490</v>
      </c>
      <c r="C3842" t="s">
        <v>1681</v>
      </c>
      <c r="D3842" t="s">
        <v>1681</v>
      </c>
      <c r="E3842" s="10">
        <v>3053373</v>
      </c>
      <c r="F3842" s="12">
        <v>2.4398000000000002E-3</v>
      </c>
    </row>
    <row r="3843" spans="1:6">
      <c r="A3843" s="10">
        <v>2020</v>
      </c>
      <c r="B3843" t="s">
        <v>491</v>
      </c>
      <c r="C3843" t="s">
        <v>1682</v>
      </c>
      <c r="D3843" t="s">
        <v>1682</v>
      </c>
      <c r="E3843" s="10">
        <v>3748103</v>
      </c>
      <c r="F3843" s="12">
        <v>2.9949E-3</v>
      </c>
    </row>
    <row r="3844" spans="1:6">
      <c r="A3844" s="10">
        <v>2020</v>
      </c>
      <c r="B3844" t="s">
        <v>492</v>
      </c>
      <c r="C3844" t="s">
        <v>1683</v>
      </c>
      <c r="D3844" t="s">
        <v>1683</v>
      </c>
      <c r="E3844" s="10">
        <v>6514</v>
      </c>
      <c r="F3844" s="12">
        <v>5.2000000000000002E-6</v>
      </c>
    </row>
    <row r="3845" spans="1:6">
      <c r="A3845" s="10">
        <v>2020</v>
      </c>
      <c r="B3845" t="s">
        <v>493</v>
      </c>
      <c r="C3845" t="s">
        <v>1684</v>
      </c>
      <c r="D3845" t="s">
        <v>1684</v>
      </c>
      <c r="E3845" s="10">
        <v>18423</v>
      </c>
      <c r="F3845" s="12">
        <v>1.47E-5</v>
      </c>
    </row>
    <row r="3846" spans="1:6">
      <c r="A3846" s="10">
        <v>2020</v>
      </c>
      <c r="B3846" t="s">
        <v>494</v>
      </c>
      <c r="C3846" t="s">
        <v>1685</v>
      </c>
      <c r="D3846" t="s">
        <v>1685</v>
      </c>
      <c r="E3846" s="10">
        <v>8303</v>
      </c>
      <c r="F3846" s="12">
        <v>6.6000000000000003E-6</v>
      </c>
    </row>
    <row r="3847" spans="1:6">
      <c r="A3847" s="10">
        <v>2020</v>
      </c>
      <c r="B3847" t="s">
        <v>550</v>
      </c>
      <c r="C3847" t="s">
        <v>1686</v>
      </c>
      <c r="D3847" t="s">
        <v>1686</v>
      </c>
      <c r="E3847" s="10">
        <v>63729</v>
      </c>
      <c r="F3847" s="12">
        <v>5.0899999999999997E-5</v>
      </c>
    </row>
    <row r="3848" spans="1:6">
      <c r="A3848" s="10">
        <v>2020</v>
      </c>
      <c r="B3848" t="s">
        <v>551</v>
      </c>
      <c r="C3848" t="s">
        <v>1687</v>
      </c>
      <c r="D3848" t="s">
        <v>1687</v>
      </c>
      <c r="E3848" s="10">
        <v>91185</v>
      </c>
      <c r="F3848" s="12">
        <v>7.2899999999999997E-5</v>
      </c>
    </row>
    <row r="3849" spans="1:6">
      <c r="A3849" s="10">
        <v>2020</v>
      </c>
      <c r="B3849" t="s">
        <v>552</v>
      </c>
      <c r="C3849" t="s">
        <v>1688</v>
      </c>
      <c r="D3849" t="s">
        <v>1688</v>
      </c>
      <c r="E3849" s="10">
        <v>19885059</v>
      </c>
      <c r="F3849" s="12">
        <v>1.58891E-2</v>
      </c>
    </row>
    <row r="3850" spans="1:6">
      <c r="A3850" s="10">
        <v>2020</v>
      </c>
      <c r="B3850" t="s">
        <v>553</v>
      </c>
      <c r="C3850" t="s">
        <v>498</v>
      </c>
      <c r="D3850" t="s">
        <v>498</v>
      </c>
      <c r="E3850" s="10">
        <v>33098</v>
      </c>
      <c r="F3850" s="12">
        <v>2.6400000000000001E-5</v>
      </c>
    </row>
    <row r="3851" spans="1:6">
      <c r="A3851" s="10">
        <v>2020</v>
      </c>
      <c r="B3851" t="s">
        <v>554</v>
      </c>
      <c r="C3851" t="s">
        <v>499</v>
      </c>
      <c r="D3851" t="s">
        <v>499</v>
      </c>
      <c r="E3851" s="10"/>
    </row>
    <row r="3852" spans="1:6">
      <c r="A3852" s="10">
        <v>2020</v>
      </c>
      <c r="B3852" t="s">
        <v>555</v>
      </c>
      <c r="C3852" t="s">
        <v>500</v>
      </c>
      <c r="D3852" t="s">
        <v>500</v>
      </c>
      <c r="E3852" s="10">
        <v>199411</v>
      </c>
      <c r="F3852" s="12">
        <v>1.593E-4</v>
      </c>
    </row>
    <row r="3853" spans="1:6">
      <c r="A3853" s="10">
        <v>2020</v>
      </c>
      <c r="B3853" t="s">
        <v>556</v>
      </c>
      <c r="C3853" t="s">
        <v>501</v>
      </c>
      <c r="D3853" t="s">
        <v>501</v>
      </c>
      <c r="E3853" s="10"/>
    </row>
    <row r="3854" spans="1:6">
      <c r="A3854" s="10">
        <v>2020</v>
      </c>
      <c r="B3854" t="s">
        <v>557</v>
      </c>
      <c r="C3854" t="s">
        <v>502</v>
      </c>
      <c r="D3854" t="s">
        <v>502</v>
      </c>
      <c r="E3854" s="10">
        <v>56202</v>
      </c>
      <c r="F3854" s="12">
        <v>4.49E-5</v>
      </c>
    </row>
    <row r="3855" spans="1:6">
      <c r="A3855" s="10">
        <v>2020</v>
      </c>
      <c r="B3855" t="s">
        <v>558</v>
      </c>
      <c r="C3855" t="s">
        <v>1691</v>
      </c>
      <c r="D3855" t="s">
        <v>1691</v>
      </c>
      <c r="E3855" s="10">
        <v>34209</v>
      </c>
      <c r="F3855" s="12">
        <v>2.73E-5</v>
      </c>
    </row>
    <row r="3856" spans="1:6">
      <c r="A3856" s="10">
        <v>2020</v>
      </c>
      <c r="B3856" t="s">
        <v>559</v>
      </c>
      <c r="C3856" t="s">
        <v>1692</v>
      </c>
      <c r="D3856" t="s">
        <v>1692</v>
      </c>
      <c r="E3856" s="10">
        <v>2020532</v>
      </c>
      <c r="F3856" s="12">
        <v>1.6145E-3</v>
      </c>
    </row>
    <row r="3857" spans="1:6">
      <c r="A3857" s="10">
        <v>2020</v>
      </c>
      <c r="B3857" t="s">
        <v>378</v>
      </c>
      <c r="C3857" t="s">
        <v>1693</v>
      </c>
      <c r="D3857" t="s">
        <v>1693</v>
      </c>
      <c r="E3857" s="10">
        <v>546125</v>
      </c>
      <c r="F3857" s="12">
        <v>4.3639999999999998E-4</v>
      </c>
    </row>
    <row r="3858" spans="1:6">
      <c r="A3858" s="10">
        <v>2020</v>
      </c>
      <c r="B3858" t="s">
        <v>560</v>
      </c>
      <c r="C3858" t="s">
        <v>505</v>
      </c>
      <c r="D3858" t="s">
        <v>505</v>
      </c>
      <c r="E3858" s="10">
        <v>115978</v>
      </c>
      <c r="F3858" s="12">
        <v>9.2700000000000004E-5</v>
      </c>
    </row>
    <row r="3859" spans="1:6">
      <c r="A3859" s="10">
        <v>2020</v>
      </c>
      <c r="B3859" t="s">
        <v>561</v>
      </c>
      <c r="C3859" t="s">
        <v>1694</v>
      </c>
      <c r="D3859" t="s">
        <v>1694</v>
      </c>
      <c r="E3859" s="10">
        <v>226520</v>
      </c>
      <c r="F3859" s="12">
        <v>1.8100000000000001E-4</v>
      </c>
    </row>
    <row r="3860" spans="1:6">
      <c r="A3860" s="10">
        <v>2020</v>
      </c>
      <c r="B3860" t="s">
        <v>1225</v>
      </c>
      <c r="C3860" t="s">
        <v>1695</v>
      </c>
      <c r="D3860" t="s">
        <v>1695</v>
      </c>
      <c r="E3860" s="10">
        <v>34531</v>
      </c>
      <c r="F3860" s="12">
        <v>2.76E-5</v>
      </c>
    </row>
    <row r="3861" spans="1:6">
      <c r="A3861" s="10">
        <v>2020</v>
      </c>
      <c r="B3861" t="s">
        <v>562</v>
      </c>
      <c r="C3861" t="s">
        <v>2367</v>
      </c>
      <c r="D3861" t="s">
        <v>2367</v>
      </c>
      <c r="E3861" s="10">
        <v>13775859</v>
      </c>
      <c r="F3861" s="12">
        <v>1.10075E-2</v>
      </c>
    </row>
    <row r="3862" spans="1:6">
      <c r="A3862" s="10">
        <v>2020</v>
      </c>
      <c r="B3862" t="s">
        <v>1226</v>
      </c>
      <c r="C3862" t="s">
        <v>1697</v>
      </c>
      <c r="D3862" t="s">
        <v>1697</v>
      </c>
      <c r="E3862" s="10">
        <v>127610</v>
      </c>
      <c r="F3862" s="12">
        <v>1.02E-4</v>
      </c>
    </row>
    <row r="3863" spans="1:6">
      <c r="A3863" s="10">
        <v>2020</v>
      </c>
      <c r="B3863" t="s">
        <v>563</v>
      </c>
      <c r="C3863" t="s">
        <v>1698</v>
      </c>
      <c r="D3863" t="s">
        <v>1698</v>
      </c>
      <c r="E3863" s="10"/>
    </row>
    <row r="3864" spans="1:6">
      <c r="A3864" s="10">
        <v>2020</v>
      </c>
      <c r="B3864" t="s">
        <v>564</v>
      </c>
      <c r="C3864" t="s">
        <v>509</v>
      </c>
      <c r="D3864" t="s">
        <v>509</v>
      </c>
      <c r="E3864" s="10">
        <v>1251664</v>
      </c>
      <c r="F3864" s="12">
        <v>1.0001000000000001E-3</v>
      </c>
    </row>
    <row r="3865" spans="1:6">
      <c r="A3865" s="10">
        <v>2020</v>
      </c>
      <c r="B3865" t="s">
        <v>565</v>
      </c>
      <c r="C3865" t="s">
        <v>510</v>
      </c>
      <c r="D3865" t="s">
        <v>510</v>
      </c>
      <c r="E3865" s="10">
        <v>2127876</v>
      </c>
      <c r="F3865" s="12">
        <v>1.7003000000000001E-3</v>
      </c>
    </row>
    <row r="3866" spans="1:6">
      <c r="A3866" s="10">
        <v>2020</v>
      </c>
      <c r="B3866" t="s">
        <v>566</v>
      </c>
      <c r="C3866" t="s">
        <v>1699</v>
      </c>
      <c r="D3866" t="s">
        <v>1699</v>
      </c>
      <c r="E3866" s="10">
        <v>117482</v>
      </c>
      <c r="F3866" s="12">
        <v>9.3900000000000006E-5</v>
      </c>
    </row>
    <row r="3867" spans="1:6">
      <c r="A3867" s="10">
        <v>2020</v>
      </c>
      <c r="B3867" t="s">
        <v>2400</v>
      </c>
      <c r="C3867" t="s">
        <v>2399</v>
      </c>
      <c r="D3867" t="s">
        <v>2399</v>
      </c>
      <c r="E3867" s="10">
        <v>143108</v>
      </c>
      <c r="F3867" s="12">
        <v>1.143E-4</v>
      </c>
    </row>
    <row r="3868" spans="1:6">
      <c r="A3868" s="10">
        <v>2020</v>
      </c>
      <c r="B3868" t="s">
        <v>569</v>
      </c>
      <c r="C3868" t="s">
        <v>1446</v>
      </c>
      <c r="D3868" t="s">
        <v>1446</v>
      </c>
      <c r="E3868" s="10">
        <v>184794</v>
      </c>
      <c r="F3868" s="12">
        <v>1.4770000000000001E-4</v>
      </c>
    </row>
    <row r="3869" spans="1:6">
      <c r="A3869" s="10">
        <v>2020</v>
      </c>
      <c r="B3869" t="s">
        <v>567</v>
      </c>
      <c r="C3869" t="s">
        <v>1700</v>
      </c>
      <c r="D3869" t="s">
        <v>1700</v>
      </c>
      <c r="E3869" s="10">
        <v>101723</v>
      </c>
      <c r="F3869" s="12">
        <v>8.1299999999999997E-5</v>
      </c>
    </row>
    <row r="3870" spans="1:6">
      <c r="A3870" s="10">
        <v>2020</v>
      </c>
      <c r="B3870" t="s">
        <v>568</v>
      </c>
      <c r="C3870" t="s">
        <v>2446</v>
      </c>
      <c r="D3870" t="s">
        <v>1701</v>
      </c>
      <c r="E3870" s="10">
        <v>167129</v>
      </c>
      <c r="F3870" s="12">
        <v>1.3349999999999999E-4</v>
      </c>
    </row>
    <row r="3871" spans="1:6">
      <c r="A3871" s="10">
        <v>2020</v>
      </c>
      <c r="B3871" t="s">
        <v>570</v>
      </c>
      <c r="C3871" t="s">
        <v>515</v>
      </c>
      <c r="D3871" t="s">
        <v>515</v>
      </c>
      <c r="E3871" s="10">
        <v>277969</v>
      </c>
      <c r="F3871" s="12">
        <v>2.221E-4</v>
      </c>
    </row>
    <row r="3872" spans="1:6">
      <c r="A3872" s="10">
        <v>2020</v>
      </c>
      <c r="B3872" t="s">
        <v>571</v>
      </c>
      <c r="C3872" t="s">
        <v>516</v>
      </c>
      <c r="D3872" t="s">
        <v>516</v>
      </c>
      <c r="E3872" s="10">
        <v>830268</v>
      </c>
      <c r="F3872" s="12">
        <v>6.6339999999999997E-4</v>
      </c>
    </row>
    <row r="3873" spans="1:6">
      <c r="A3873" s="10">
        <v>2020</v>
      </c>
      <c r="B3873" t="s">
        <v>572</v>
      </c>
      <c r="C3873" t="s">
        <v>517</v>
      </c>
      <c r="D3873" t="s">
        <v>517</v>
      </c>
      <c r="E3873" s="10">
        <v>303450</v>
      </c>
      <c r="F3873" s="12">
        <v>2.4250000000000001E-4</v>
      </c>
    </row>
    <row r="3874" spans="1:6">
      <c r="A3874" s="10">
        <v>2020</v>
      </c>
      <c r="B3874" t="s">
        <v>573</v>
      </c>
      <c r="C3874" t="s">
        <v>518</v>
      </c>
      <c r="D3874" t="s">
        <v>518</v>
      </c>
      <c r="E3874" s="10">
        <v>395834</v>
      </c>
      <c r="F3874" s="12">
        <v>3.1629999999999999E-4</v>
      </c>
    </row>
    <row r="3875" spans="1:6">
      <c r="A3875" s="10">
        <v>2020</v>
      </c>
      <c r="B3875" t="s">
        <v>574</v>
      </c>
      <c r="C3875" t="s">
        <v>1702</v>
      </c>
      <c r="D3875" t="s">
        <v>1702</v>
      </c>
      <c r="E3875" s="10">
        <v>117048</v>
      </c>
      <c r="F3875" s="12">
        <v>9.3499999999999996E-5</v>
      </c>
    </row>
    <row r="3876" spans="1:6">
      <c r="A3876" s="10">
        <v>2020</v>
      </c>
      <c r="B3876" t="s">
        <v>575</v>
      </c>
      <c r="C3876" t="s">
        <v>2437</v>
      </c>
      <c r="D3876" t="s">
        <v>1703</v>
      </c>
      <c r="E3876" s="10">
        <v>159943</v>
      </c>
      <c r="F3876" s="12">
        <v>1.2779999999999999E-4</v>
      </c>
    </row>
    <row r="3877" spans="1:6">
      <c r="A3877" s="10">
        <v>2020</v>
      </c>
      <c r="B3877" t="s">
        <v>576</v>
      </c>
      <c r="C3877" t="s">
        <v>521</v>
      </c>
      <c r="D3877" t="s">
        <v>521</v>
      </c>
      <c r="E3877" s="10">
        <v>217261</v>
      </c>
      <c r="F3877" s="12">
        <v>1.7359999999999999E-4</v>
      </c>
    </row>
    <row r="3878" spans="1:6">
      <c r="A3878" s="10">
        <v>2020</v>
      </c>
      <c r="B3878" t="s">
        <v>577</v>
      </c>
      <c r="C3878" t="s">
        <v>1704</v>
      </c>
      <c r="D3878" t="s">
        <v>1704</v>
      </c>
      <c r="E3878" s="10">
        <v>33344</v>
      </c>
      <c r="F3878" s="12">
        <v>2.6599999999999999E-5</v>
      </c>
    </row>
    <row r="3879" spans="1:6">
      <c r="A3879" s="10">
        <v>2020</v>
      </c>
      <c r="B3879" t="s">
        <v>578</v>
      </c>
      <c r="C3879" t="s">
        <v>1705</v>
      </c>
      <c r="D3879" t="s">
        <v>1705</v>
      </c>
      <c r="E3879" s="10">
        <v>1626447</v>
      </c>
      <c r="F3879" s="12">
        <v>1.2995999999999999E-3</v>
      </c>
    </row>
    <row r="3880" spans="1:6">
      <c r="A3880" s="10">
        <v>2020</v>
      </c>
      <c r="B3880" t="s">
        <v>2371</v>
      </c>
      <c r="C3880" t="s">
        <v>2369</v>
      </c>
      <c r="D3880" t="s">
        <v>2369</v>
      </c>
      <c r="E3880" s="10">
        <v>10936</v>
      </c>
      <c r="F3880" s="12">
        <v>8.6999999999999997E-6</v>
      </c>
    </row>
    <row r="3881" spans="1:6">
      <c r="A3881" s="10">
        <v>2020</v>
      </c>
      <c r="B3881" t="s">
        <v>579</v>
      </c>
      <c r="C3881" t="s">
        <v>1447</v>
      </c>
      <c r="D3881" t="s">
        <v>1447</v>
      </c>
      <c r="E3881" s="10"/>
    </row>
    <row r="3882" spans="1:6">
      <c r="A3882" s="10">
        <v>2020</v>
      </c>
      <c r="B3882" t="s">
        <v>379</v>
      </c>
      <c r="C3882" t="s">
        <v>1706</v>
      </c>
      <c r="D3882" t="s">
        <v>1706</v>
      </c>
      <c r="E3882" s="10">
        <v>744652</v>
      </c>
      <c r="F3882" s="12">
        <v>5.9500000000000004E-4</v>
      </c>
    </row>
    <row r="3883" spans="1:6">
      <c r="A3883" s="10">
        <v>2020</v>
      </c>
      <c r="B3883" t="s">
        <v>1451</v>
      </c>
      <c r="C3883" t="s">
        <v>1707</v>
      </c>
      <c r="D3883" t="s">
        <v>1707</v>
      </c>
      <c r="E3883" s="10"/>
    </row>
    <row r="3884" spans="1:6">
      <c r="A3884" s="10">
        <v>2020</v>
      </c>
      <c r="B3884" t="s">
        <v>1450</v>
      </c>
      <c r="C3884" t="s">
        <v>1708</v>
      </c>
      <c r="D3884" t="s">
        <v>1708</v>
      </c>
      <c r="E3884" s="10"/>
    </row>
    <row r="3885" spans="1:6">
      <c r="A3885" s="10">
        <v>2020</v>
      </c>
      <c r="B3885" t="s">
        <v>580</v>
      </c>
      <c r="C3885" t="s">
        <v>1709</v>
      </c>
      <c r="D3885" t="s">
        <v>1709</v>
      </c>
      <c r="E3885" s="10">
        <v>79784</v>
      </c>
      <c r="F3885" s="12">
        <v>6.3800000000000006E-5</v>
      </c>
    </row>
    <row r="3886" spans="1:6">
      <c r="A3886" s="10">
        <v>2020</v>
      </c>
      <c r="B3886" t="s">
        <v>581</v>
      </c>
      <c r="C3886" t="s">
        <v>526</v>
      </c>
      <c r="D3886" t="s">
        <v>526</v>
      </c>
      <c r="E3886" s="10">
        <v>19846</v>
      </c>
      <c r="F3886" s="12">
        <v>1.59E-5</v>
      </c>
    </row>
    <row r="3887" spans="1:6">
      <c r="A3887" s="10">
        <v>2020</v>
      </c>
      <c r="B3887" t="s">
        <v>582</v>
      </c>
      <c r="C3887" t="s">
        <v>1710</v>
      </c>
      <c r="D3887" t="s">
        <v>1710</v>
      </c>
      <c r="E3887" s="10">
        <v>440364</v>
      </c>
      <c r="F3887" s="12">
        <v>3.5189999999999999E-4</v>
      </c>
    </row>
    <row r="3888" spans="1:6">
      <c r="A3888" s="10">
        <v>2020</v>
      </c>
      <c r="B3888" t="s">
        <v>583</v>
      </c>
      <c r="C3888" t="s">
        <v>1711</v>
      </c>
      <c r="D3888" t="s">
        <v>1711</v>
      </c>
      <c r="E3888" s="10">
        <v>17925</v>
      </c>
      <c r="F3888" s="12">
        <v>1.43E-5</v>
      </c>
    </row>
    <row r="3889" spans="1:6">
      <c r="A3889" s="10">
        <v>2020</v>
      </c>
      <c r="B3889" t="s">
        <v>380</v>
      </c>
      <c r="C3889" t="s">
        <v>1712</v>
      </c>
      <c r="D3889" t="s">
        <v>1712</v>
      </c>
      <c r="E3889" s="10">
        <v>511751</v>
      </c>
      <c r="F3889" s="12">
        <v>4.0890000000000002E-4</v>
      </c>
    </row>
    <row r="3890" spans="1:6">
      <c r="A3890" s="10">
        <v>2020</v>
      </c>
      <c r="B3890" t="s">
        <v>584</v>
      </c>
      <c r="C3890" t="s">
        <v>529</v>
      </c>
      <c r="D3890" t="s">
        <v>529</v>
      </c>
      <c r="E3890" s="10"/>
    </row>
    <row r="3891" spans="1:6">
      <c r="A3891" s="10">
        <v>2020</v>
      </c>
      <c r="B3891" t="s">
        <v>585</v>
      </c>
      <c r="C3891" t="s">
        <v>1713</v>
      </c>
      <c r="D3891" t="s">
        <v>1713</v>
      </c>
      <c r="E3891" s="10">
        <v>99964</v>
      </c>
      <c r="F3891" s="12">
        <v>7.9900000000000004E-5</v>
      </c>
    </row>
    <row r="3892" spans="1:6">
      <c r="A3892" s="10">
        <v>2020</v>
      </c>
      <c r="B3892" t="s">
        <v>586</v>
      </c>
      <c r="C3892" t="s">
        <v>1714</v>
      </c>
      <c r="D3892" t="s">
        <v>1714</v>
      </c>
      <c r="E3892" s="10">
        <v>160706</v>
      </c>
      <c r="F3892" s="12">
        <v>1.284E-4</v>
      </c>
    </row>
    <row r="3893" spans="1:6">
      <c r="A3893" s="10">
        <v>2020</v>
      </c>
      <c r="B3893" t="s">
        <v>587</v>
      </c>
      <c r="C3893" t="s">
        <v>532</v>
      </c>
      <c r="D3893" t="s">
        <v>532</v>
      </c>
      <c r="E3893" s="10">
        <v>180423</v>
      </c>
      <c r="F3893" s="12">
        <v>1.4420000000000001E-4</v>
      </c>
    </row>
    <row r="3894" spans="1:6">
      <c r="A3894" s="10">
        <v>2020</v>
      </c>
      <c r="B3894" t="s">
        <v>588</v>
      </c>
      <c r="C3894" t="s">
        <v>533</v>
      </c>
      <c r="D3894" t="s">
        <v>533</v>
      </c>
      <c r="E3894" s="10">
        <v>165638</v>
      </c>
      <c r="F3894" s="12">
        <v>1.3239999999999999E-4</v>
      </c>
    </row>
    <row r="3895" spans="1:6">
      <c r="A3895" s="10">
        <v>2020</v>
      </c>
      <c r="B3895" t="s">
        <v>589</v>
      </c>
      <c r="C3895" t="s">
        <v>1715</v>
      </c>
      <c r="D3895" t="s">
        <v>1715</v>
      </c>
      <c r="E3895" s="10">
        <v>6348734</v>
      </c>
      <c r="F3895" s="12">
        <v>5.0729E-3</v>
      </c>
    </row>
    <row r="3896" spans="1:6">
      <c r="A3896" s="10">
        <v>2020</v>
      </c>
      <c r="B3896" t="s">
        <v>381</v>
      </c>
      <c r="C3896" t="s">
        <v>1716</v>
      </c>
      <c r="D3896" t="s">
        <v>1716</v>
      </c>
      <c r="E3896" s="10">
        <v>3772038</v>
      </c>
      <c r="F3896" s="12">
        <v>3.0140000000000002E-3</v>
      </c>
    </row>
    <row r="3897" spans="1:6">
      <c r="A3897" s="10">
        <v>2020</v>
      </c>
      <c r="B3897" t="s">
        <v>590</v>
      </c>
      <c r="C3897" t="s">
        <v>1717</v>
      </c>
      <c r="D3897" t="s">
        <v>1717</v>
      </c>
      <c r="E3897" s="10">
        <v>5357617</v>
      </c>
      <c r="F3897" s="12">
        <v>4.2810000000000001E-3</v>
      </c>
    </row>
    <row r="3898" spans="1:6">
      <c r="A3898" s="10">
        <v>2020</v>
      </c>
      <c r="B3898" t="s">
        <v>1227</v>
      </c>
      <c r="C3898" t="s">
        <v>1718</v>
      </c>
      <c r="D3898" t="s">
        <v>1718</v>
      </c>
      <c r="E3898" s="10">
        <v>605934</v>
      </c>
      <c r="F3898" s="12">
        <v>4.8420000000000001E-4</v>
      </c>
    </row>
    <row r="3899" spans="1:6">
      <c r="A3899" s="10">
        <v>2020</v>
      </c>
      <c r="B3899" t="s">
        <v>591</v>
      </c>
      <c r="C3899" t="s">
        <v>536</v>
      </c>
      <c r="D3899" t="s">
        <v>536</v>
      </c>
      <c r="E3899" s="10">
        <v>58470</v>
      </c>
      <c r="F3899" s="12">
        <v>4.6699999999999997E-5</v>
      </c>
    </row>
    <row r="3900" spans="1:6">
      <c r="A3900" s="10">
        <v>2020</v>
      </c>
      <c r="B3900" t="s">
        <v>592</v>
      </c>
      <c r="C3900" t="s">
        <v>1719</v>
      </c>
      <c r="D3900" t="s">
        <v>1719</v>
      </c>
      <c r="E3900" s="10">
        <v>3184847</v>
      </c>
      <c r="F3900" s="12">
        <v>2.5447999999999998E-3</v>
      </c>
    </row>
    <row r="3901" spans="1:6">
      <c r="A3901" s="10">
        <v>2020</v>
      </c>
      <c r="B3901" t="s">
        <v>1456</v>
      </c>
      <c r="C3901" t="s">
        <v>1720</v>
      </c>
      <c r="D3901" t="s">
        <v>1720</v>
      </c>
      <c r="E3901" s="10">
        <v>19599</v>
      </c>
      <c r="F3901" s="12">
        <v>1.5699999999999999E-5</v>
      </c>
    </row>
    <row r="3902" spans="1:6">
      <c r="A3902" s="10">
        <v>2020</v>
      </c>
      <c r="B3902" t="s">
        <v>593</v>
      </c>
      <c r="C3902" t="s">
        <v>1721</v>
      </c>
      <c r="D3902" t="s">
        <v>1721</v>
      </c>
      <c r="E3902" s="10">
        <v>747794</v>
      </c>
      <c r="F3902" s="12">
        <v>5.9750000000000005E-4</v>
      </c>
    </row>
    <row r="3903" spans="1:6">
      <c r="A3903" s="10">
        <v>2020</v>
      </c>
      <c r="B3903" t="s">
        <v>594</v>
      </c>
      <c r="C3903" t="s">
        <v>2190</v>
      </c>
      <c r="D3903" t="s">
        <v>2190</v>
      </c>
      <c r="E3903" s="10">
        <v>18827</v>
      </c>
      <c r="F3903" s="12">
        <v>1.5E-5</v>
      </c>
    </row>
    <row r="3904" spans="1:6">
      <c r="A3904" s="10">
        <v>2020</v>
      </c>
      <c r="B3904" t="s">
        <v>595</v>
      </c>
      <c r="C3904" t="s">
        <v>1722</v>
      </c>
      <c r="D3904" t="s">
        <v>1722</v>
      </c>
      <c r="E3904" s="10">
        <v>619333</v>
      </c>
      <c r="F3904" s="12">
        <v>4.9490000000000005E-4</v>
      </c>
    </row>
    <row r="3905" spans="1:6">
      <c r="A3905" s="10">
        <v>2020</v>
      </c>
      <c r="B3905" t="s">
        <v>596</v>
      </c>
      <c r="C3905" t="s">
        <v>1723</v>
      </c>
      <c r="D3905" t="s">
        <v>1723</v>
      </c>
      <c r="E3905" s="10">
        <v>840902</v>
      </c>
      <c r="F3905" s="12">
        <v>6.7190000000000001E-4</v>
      </c>
    </row>
    <row r="3906" spans="1:6">
      <c r="A3906" s="10">
        <v>2020</v>
      </c>
      <c r="B3906" t="s">
        <v>597</v>
      </c>
      <c r="C3906" t="s">
        <v>1724</v>
      </c>
      <c r="D3906" t="s">
        <v>1724</v>
      </c>
      <c r="E3906" s="10">
        <v>2415483</v>
      </c>
      <c r="F3906" s="12">
        <v>1.9300999999999999E-3</v>
      </c>
    </row>
    <row r="3907" spans="1:6">
      <c r="A3907" s="10">
        <v>2020</v>
      </c>
      <c r="B3907" t="s">
        <v>598</v>
      </c>
      <c r="C3907" t="s">
        <v>543</v>
      </c>
      <c r="D3907" t="s">
        <v>543</v>
      </c>
      <c r="E3907" s="10">
        <v>248190</v>
      </c>
      <c r="F3907" s="12">
        <v>1.983E-4</v>
      </c>
    </row>
    <row r="3908" spans="1:6">
      <c r="A3908" s="10">
        <v>2020</v>
      </c>
      <c r="B3908" t="s">
        <v>1228</v>
      </c>
      <c r="C3908" t="s">
        <v>1725</v>
      </c>
      <c r="D3908" t="s">
        <v>1725</v>
      </c>
      <c r="E3908" s="10">
        <v>40220</v>
      </c>
      <c r="F3908" s="12">
        <v>3.2100000000000001E-5</v>
      </c>
    </row>
    <row r="3909" spans="1:6">
      <c r="A3909" s="10">
        <v>2020</v>
      </c>
      <c r="B3909" t="s">
        <v>599</v>
      </c>
      <c r="C3909" t="s">
        <v>1726</v>
      </c>
      <c r="D3909" t="s">
        <v>1726</v>
      </c>
      <c r="E3909" s="10">
        <v>156207</v>
      </c>
      <c r="F3909" s="12">
        <v>1.248E-4</v>
      </c>
    </row>
    <row r="3910" spans="1:6">
      <c r="A3910" s="10">
        <v>2020</v>
      </c>
      <c r="B3910" t="s">
        <v>2403</v>
      </c>
      <c r="C3910" t="s">
        <v>2401</v>
      </c>
      <c r="D3910" t="s">
        <v>2401</v>
      </c>
      <c r="E3910" s="10">
        <v>21376</v>
      </c>
      <c r="F3910" s="12">
        <v>1.7099999999999999E-5</v>
      </c>
    </row>
    <row r="3911" spans="1:6">
      <c r="A3911" s="10">
        <v>2020</v>
      </c>
      <c r="B3911" t="s">
        <v>600</v>
      </c>
      <c r="C3911" t="s">
        <v>1727</v>
      </c>
      <c r="D3911" t="s">
        <v>1727</v>
      </c>
      <c r="E3911" s="10">
        <v>2518598</v>
      </c>
      <c r="F3911" s="12">
        <v>2.0125E-3</v>
      </c>
    </row>
    <row r="3912" spans="1:6">
      <c r="A3912" s="10">
        <v>2020</v>
      </c>
      <c r="B3912" t="s">
        <v>601</v>
      </c>
      <c r="C3912" t="s">
        <v>1728</v>
      </c>
      <c r="D3912" t="s">
        <v>1728</v>
      </c>
      <c r="E3912" s="10">
        <v>1214467</v>
      </c>
      <c r="F3912" s="12">
        <v>9.7039999999999995E-4</v>
      </c>
    </row>
    <row r="3913" spans="1:6">
      <c r="A3913" s="10">
        <v>2020</v>
      </c>
      <c r="B3913" t="s">
        <v>2404</v>
      </c>
      <c r="C3913" t="s">
        <v>2441</v>
      </c>
      <c r="D3913" t="s">
        <v>2402</v>
      </c>
      <c r="E3913" s="10">
        <v>344873</v>
      </c>
      <c r="F3913" s="12">
        <v>2.7559999999999998E-4</v>
      </c>
    </row>
    <row r="3914" spans="1:6">
      <c r="A3914" s="10">
        <v>2020</v>
      </c>
      <c r="B3914" t="s">
        <v>602</v>
      </c>
      <c r="C3914" t="s">
        <v>547</v>
      </c>
      <c r="D3914" t="s">
        <v>547</v>
      </c>
      <c r="E3914" s="10">
        <v>73745</v>
      </c>
      <c r="F3914" s="12">
        <v>5.8900000000000002E-5</v>
      </c>
    </row>
    <row r="3915" spans="1:6">
      <c r="A3915" s="10">
        <v>2020</v>
      </c>
      <c r="B3915" t="s">
        <v>603</v>
      </c>
      <c r="C3915" t="s">
        <v>548</v>
      </c>
      <c r="D3915" t="s">
        <v>548</v>
      </c>
      <c r="E3915" s="10">
        <v>89142</v>
      </c>
      <c r="F3915" s="12">
        <v>7.1199999999999996E-5</v>
      </c>
    </row>
    <row r="3916" spans="1:6">
      <c r="A3916" s="10">
        <v>2020</v>
      </c>
      <c r="B3916" t="s">
        <v>604</v>
      </c>
      <c r="C3916" t="s">
        <v>1729</v>
      </c>
      <c r="D3916" t="s">
        <v>1729</v>
      </c>
      <c r="E3916" s="10">
        <v>178939</v>
      </c>
      <c r="F3916" s="12">
        <v>1.4300000000000001E-4</v>
      </c>
    </row>
    <row r="3917" spans="1:6">
      <c r="A3917" s="10">
        <v>2020</v>
      </c>
      <c r="B3917" t="s">
        <v>1229</v>
      </c>
      <c r="C3917" t="s">
        <v>1730</v>
      </c>
      <c r="D3917" t="s">
        <v>1730</v>
      </c>
      <c r="E3917" s="10">
        <v>160140</v>
      </c>
      <c r="F3917" s="12">
        <v>1.2799999999999999E-4</v>
      </c>
    </row>
    <row r="3918" spans="1:6">
      <c r="A3918" s="10">
        <v>2020</v>
      </c>
      <c r="B3918" t="s">
        <v>660</v>
      </c>
      <c r="C3918" t="s">
        <v>605</v>
      </c>
      <c r="D3918" t="s">
        <v>605</v>
      </c>
      <c r="E3918" s="10">
        <v>2120686</v>
      </c>
      <c r="F3918" s="12">
        <v>1.6945E-3</v>
      </c>
    </row>
    <row r="3919" spans="1:6">
      <c r="A3919" s="10">
        <v>2020</v>
      </c>
      <c r="B3919" t="s">
        <v>661</v>
      </c>
      <c r="C3919" t="s">
        <v>1455</v>
      </c>
      <c r="D3919" t="s">
        <v>1455</v>
      </c>
      <c r="E3919" s="10">
        <v>22613</v>
      </c>
      <c r="F3919" s="12">
        <v>1.8099999999999999E-5</v>
      </c>
    </row>
    <row r="3920" spans="1:6">
      <c r="A3920" s="10">
        <v>2020</v>
      </c>
      <c r="B3920" t="s">
        <v>662</v>
      </c>
      <c r="C3920" t="s">
        <v>607</v>
      </c>
      <c r="D3920" t="s">
        <v>607</v>
      </c>
      <c r="E3920" s="10">
        <v>18956</v>
      </c>
      <c r="F3920" s="12">
        <v>1.5099999999999999E-5</v>
      </c>
    </row>
    <row r="3921" spans="1:6">
      <c r="A3921" s="10">
        <v>2020</v>
      </c>
      <c r="B3921" t="s">
        <v>663</v>
      </c>
      <c r="C3921" t="s">
        <v>608</v>
      </c>
      <c r="D3921" t="s">
        <v>608</v>
      </c>
      <c r="E3921" s="10">
        <v>32491</v>
      </c>
      <c r="F3921" s="12">
        <v>2.5999999999999998E-5</v>
      </c>
    </row>
    <row r="3922" spans="1:6">
      <c r="A3922" s="10">
        <v>2020</v>
      </c>
      <c r="B3922" t="s">
        <v>664</v>
      </c>
      <c r="C3922" t="s">
        <v>609</v>
      </c>
      <c r="D3922" t="s">
        <v>609</v>
      </c>
      <c r="E3922" s="10">
        <v>20882766</v>
      </c>
      <c r="F3922" s="12">
        <v>1.6686300000000001E-2</v>
      </c>
    </row>
    <row r="3923" spans="1:6">
      <c r="A3923" s="10">
        <v>2020</v>
      </c>
      <c r="B3923" t="s">
        <v>1230</v>
      </c>
      <c r="C3923" t="s">
        <v>1731</v>
      </c>
      <c r="D3923" t="s">
        <v>1731</v>
      </c>
      <c r="E3923" s="10">
        <v>6544802</v>
      </c>
      <c r="F3923" s="12">
        <v>5.2296E-3</v>
      </c>
    </row>
    <row r="3924" spans="1:6">
      <c r="A3924" s="10">
        <v>2020</v>
      </c>
      <c r="B3924" t="s">
        <v>665</v>
      </c>
      <c r="C3924" t="s">
        <v>1732</v>
      </c>
      <c r="D3924" t="s">
        <v>1732</v>
      </c>
      <c r="E3924" s="10">
        <v>6509935</v>
      </c>
      <c r="F3924" s="12">
        <v>5.2017000000000001E-3</v>
      </c>
    </row>
    <row r="3925" spans="1:6">
      <c r="A3925" s="10">
        <v>2020</v>
      </c>
      <c r="B3925" t="s">
        <v>666</v>
      </c>
      <c r="C3925" t="s">
        <v>1733</v>
      </c>
      <c r="D3925" t="s">
        <v>1733</v>
      </c>
      <c r="E3925" s="10">
        <v>10785445</v>
      </c>
      <c r="F3925" s="12">
        <v>8.6181000000000001E-3</v>
      </c>
    </row>
    <row r="3926" spans="1:6">
      <c r="A3926" s="10">
        <v>2020</v>
      </c>
      <c r="B3926" t="s">
        <v>382</v>
      </c>
      <c r="C3926" t="s">
        <v>1734</v>
      </c>
      <c r="D3926" t="s">
        <v>1734</v>
      </c>
      <c r="E3926" s="10">
        <v>8324861</v>
      </c>
      <c r="F3926" s="12">
        <v>6.6518999999999997E-3</v>
      </c>
    </row>
    <row r="3927" spans="1:6">
      <c r="A3927" s="10">
        <v>2020</v>
      </c>
      <c r="B3927" t="s">
        <v>667</v>
      </c>
      <c r="C3927" t="s">
        <v>1735</v>
      </c>
      <c r="D3927" t="s">
        <v>1735</v>
      </c>
      <c r="E3927" s="10">
        <v>857785</v>
      </c>
      <c r="F3927" s="12">
        <v>6.8539999999999996E-4</v>
      </c>
    </row>
    <row r="3928" spans="1:6">
      <c r="A3928" s="10">
        <v>2020</v>
      </c>
      <c r="B3928" t="s">
        <v>383</v>
      </c>
      <c r="C3928" t="s">
        <v>1736</v>
      </c>
      <c r="D3928" t="s">
        <v>1736</v>
      </c>
      <c r="E3928" s="10">
        <v>323323</v>
      </c>
      <c r="F3928" s="12">
        <v>2.5829999999999999E-4</v>
      </c>
    </row>
    <row r="3929" spans="1:6">
      <c r="A3929" s="10">
        <v>2020</v>
      </c>
      <c r="B3929" t="s">
        <v>668</v>
      </c>
      <c r="C3929" t="s">
        <v>613</v>
      </c>
      <c r="D3929" t="s">
        <v>613</v>
      </c>
      <c r="E3929" s="10">
        <v>276628</v>
      </c>
      <c r="F3929" s="12">
        <v>2.2100000000000001E-4</v>
      </c>
    </row>
    <row r="3930" spans="1:6">
      <c r="A3930" s="10">
        <v>2020</v>
      </c>
      <c r="B3930" t="s">
        <v>384</v>
      </c>
      <c r="C3930" t="s">
        <v>1737</v>
      </c>
      <c r="D3930" t="s">
        <v>1737</v>
      </c>
      <c r="E3930" s="10">
        <v>3294032</v>
      </c>
      <c r="F3930" s="12">
        <v>2.6321000000000001E-3</v>
      </c>
    </row>
    <row r="3931" spans="1:6">
      <c r="A3931" s="10">
        <v>2020</v>
      </c>
      <c r="B3931" t="s">
        <v>669</v>
      </c>
      <c r="C3931" t="s">
        <v>614</v>
      </c>
      <c r="D3931" t="s">
        <v>614</v>
      </c>
      <c r="E3931" s="10">
        <v>84142</v>
      </c>
      <c r="F3931" s="12">
        <v>6.7199999999999994E-5</v>
      </c>
    </row>
    <row r="3932" spans="1:6">
      <c r="A3932" s="10">
        <v>2020</v>
      </c>
      <c r="B3932" t="s">
        <v>670</v>
      </c>
      <c r="C3932" t="s">
        <v>615</v>
      </c>
      <c r="D3932" t="s">
        <v>615</v>
      </c>
      <c r="E3932" s="10">
        <v>708195</v>
      </c>
      <c r="F3932" s="12">
        <v>5.6590000000000004E-4</v>
      </c>
    </row>
    <row r="3933" spans="1:6">
      <c r="A3933" s="10">
        <v>2020</v>
      </c>
      <c r="B3933" t="s">
        <v>672</v>
      </c>
      <c r="C3933" t="s">
        <v>1739</v>
      </c>
      <c r="D3933" t="s">
        <v>1739</v>
      </c>
      <c r="E3933" s="10">
        <v>343351</v>
      </c>
      <c r="F3933" s="12">
        <v>2.744E-4</v>
      </c>
    </row>
    <row r="3934" spans="1:6">
      <c r="A3934" s="10">
        <v>2020</v>
      </c>
      <c r="B3934" t="s">
        <v>673</v>
      </c>
      <c r="C3934" t="s">
        <v>618</v>
      </c>
      <c r="D3934" t="s">
        <v>618</v>
      </c>
      <c r="E3934" s="10">
        <v>113143</v>
      </c>
      <c r="F3934" s="12">
        <v>9.0400000000000002E-5</v>
      </c>
    </row>
    <row r="3935" spans="1:6">
      <c r="A3935" s="10">
        <v>2020</v>
      </c>
      <c r="B3935" t="s">
        <v>674</v>
      </c>
      <c r="C3935" t="s">
        <v>2429</v>
      </c>
      <c r="D3935" t="s">
        <v>619</v>
      </c>
      <c r="E3935" s="10">
        <v>49399</v>
      </c>
      <c r="F3935" s="12">
        <v>3.9499999999999998E-5</v>
      </c>
    </row>
    <row r="3936" spans="1:6">
      <c r="A3936" s="10">
        <v>2020</v>
      </c>
      <c r="B3936" t="s">
        <v>675</v>
      </c>
      <c r="C3936" t="s">
        <v>620</v>
      </c>
      <c r="D3936" t="s">
        <v>620</v>
      </c>
      <c r="E3936" s="10">
        <v>690126</v>
      </c>
      <c r="F3936" s="12">
        <v>5.5139999999999996E-4</v>
      </c>
    </row>
    <row r="3937" spans="1:6">
      <c r="A3937" s="10">
        <v>2020</v>
      </c>
      <c r="B3937" t="s">
        <v>676</v>
      </c>
      <c r="C3937" t="s">
        <v>1740</v>
      </c>
      <c r="D3937" t="s">
        <v>1740</v>
      </c>
      <c r="E3937" s="10"/>
    </row>
    <row r="3938" spans="1:6">
      <c r="A3938" s="10">
        <v>2020</v>
      </c>
      <c r="B3938" t="s">
        <v>677</v>
      </c>
      <c r="C3938" t="s">
        <v>622</v>
      </c>
      <c r="D3938" t="s">
        <v>622</v>
      </c>
      <c r="E3938" s="10"/>
    </row>
    <row r="3939" spans="1:6">
      <c r="A3939" s="10">
        <v>2020</v>
      </c>
      <c r="B3939" t="s">
        <v>1463</v>
      </c>
      <c r="C3939" t="s">
        <v>1741</v>
      </c>
      <c r="D3939" t="s">
        <v>1741</v>
      </c>
      <c r="E3939" s="10">
        <v>72450</v>
      </c>
      <c r="F3939" s="12">
        <v>5.7899999999999998E-5</v>
      </c>
    </row>
    <row r="3940" spans="1:6">
      <c r="A3940" s="10">
        <v>2020</v>
      </c>
      <c r="B3940" t="s">
        <v>678</v>
      </c>
      <c r="C3940" t="s">
        <v>1458</v>
      </c>
      <c r="D3940" t="s">
        <v>1458</v>
      </c>
      <c r="E3940" s="10"/>
    </row>
    <row r="3941" spans="1:6">
      <c r="A3941" s="10">
        <v>2020</v>
      </c>
      <c r="B3941" t="s">
        <v>1231</v>
      </c>
      <c r="C3941" t="s">
        <v>1742</v>
      </c>
      <c r="D3941" t="s">
        <v>1742</v>
      </c>
      <c r="E3941" s="10">
        <v>83603</v>
      </c>
      <c r="F3941" s="12">
        <v>6.6799999999999997E-5</v>
      </c>
    </row>
    <row r="3942" spans="1:6">
      <c r="A3942" s="10">
        <v>2020</v>
      </c>
      <c r="B3942" t="s">
        <v>680</v>
      </c>
      <c r="C3942" t="s">
        <v>1743</v>
      </c>
      <c r="D3942" t="s">
        <v>1743</v>
      </c>
      <c r="E3942" s="10">
        <v>52338</v>
      </c>
      <c r="F3942" s="12">
        <v>4.18E-5</v>
      </c>
    </row>
    <row r="3943" spans="1:6">
      <c r="A3943" s="10">
        <v>2020</v>
      </c>
      <c r="B3943" t="s">
        <v>681</v>
      </c>
      <c r="C3943" t="s">
        <v>626</v>
      </c>
      <c r="D3943" t="s">
        <v>626</v>
      </c>
      <c r="E3943" s="10">
        <v>244505</v>
      </c>
      <c r="F3943" s="12">
        <v>1.9540000000000001E-4</v>
      </c>
    </row>
    <row r="3944" spans="1:6">
      <c r="A3944" s="10">
        <v>2020</v>
      </c>
      <c r="B3944" t="s">
        <v>682</v>
      </c>
      <c r="C3944" t="s">
        <v>1744</v>
      </c>
      <c r="D3944" t="s">
        <v>1744</v>
      </c>
      <c r="E3944" s="10">
        <v>31775</v>
      </c>
      <c r="F3944" s="12">
        <v>2.5400000000000001E-5</v>
      </c>
    </row>
    <row r="3945" spans="1:6">
      <c r="A3945" s="10">
        <v>2020</v>
      </c>
      <c r="B3945" t="s">
        <v>1232</v>
      </c>
      <c r="C3945" t="s">
        <v>1745</v>
      </c>
      <c r="D3945" t="s">
        <v>1745</v>
      </c>
      <c r="E3945" s="10">
        <v>75903</v>
      </c>
      <c r="F3945" s="12">
        <v>6.0600000000000003E-5</v>
      </c>
    </row>
    <row r="3946" spans="1:6">
      <c r="A3946" s="10">
        <v>2020</v>
      </c>
      <c r="B3946" t="s">
        <v>683</v>
      </c>
      <c r="C3946" t="s">
        <v>1746</v>
      </c>
      <c r="D3946" t="s">
        <v>1746</v>
      </c>
      <c r="E3946" s="10">
        <v>246820</v>
      </c>
      <c r="F3946" s="12">
        <v>1.972E-4</v>
      </c>
    </row>
    <row r="3947" spans="1:6">
      <c r="A3947" s="10">
        <v>2020</v>
      </c>
      <c r="B3947" t="s">
        <v>685</v>
      </c>
      <c r="C3947" t="s">
        <v>1461</v>
      </c>
      <c r="D3947" t="s">
        <v>1461</v>
      </c>
      <c r="E3947" s="10">
        <v>15780</v>
      </c>
      <c r="F3947" s="12">
        <v>1.26E-5</v>
      </c>
    </row>
    <row r="3948" spans="1:6">
      <c r="A3948" s="10">
        <v>2020</v>
      </c>
      <c r="B3948" t="s">
        <v>686</v>
      </c>
      <c r="C3948" t="s">
        <v>1747</v>
      </c>
      <c r="D3948" t="s">
        <v>1747</v>
      </c>
      <c r="E3948" s="10">
        <v>310763</v>
      </c>
      <c r="F3948" s="12">
        <v>2.4830000000000002E-4</v>
      </c>
    </row>
    <row r="3949" spans="1:6">
      <c r="A3949" s="10">
        <v>2020</v>
      </c>
      <c r="B3949" t="s">
        <v>2089</v>
      </c>
      <c r="C3949" t="s">
        <v>2087</v>
      </c>
      <c r="D3949" t="s">
        <v>2087</v>
      </c>
      <c r="E3949" s="10">
        <v>8153</v>
      </c>
      <c r="F3949" s="12">
        <v>6.4999999999999996E-6</v>
      </c>
    </row>
    <row r="3950" spans="1:6">
      <c r="A3950" s="10">
        <v>2020</v>
      </c>
      <c r="B3950" t="s">
        <v>687</v>
      </c>
      <c r="C3950" t="s">
        <v>632</v>
      </c>
      <c r="D3950" t="s">
        <v>632</v>
      </c>
      <c r="E3950" s="10">
        <v>1163010</v>
      </c>
      <c r="F3950" s="12">
        <v>9.2929999999999998E-4</v>
      </c>
    </row>
    <row r="3951" spans="1:6">
      <c r="A3951" s="10">
        <v>2020</v>
      </c>
      <c r="B3951" t="s">
        <v>688</v>
      </c>
      <c r="C3951" t="s">
        <v>1748</v>
      </c>
      <c r="D3951" t="s">
        <v>1748</v>
      </c>
      <c r="E3951" s="10">
        <v>31599</v>
      </c>
      <c r="F3951" s="12">
        <v>2.5199999999999999E-5</v>
      </c>
    </row>
    <row r="3952" spans="1:6">
      <c r="A3952" s="10">
        <v>2020</v>
      </c>
      <c r="B3952" t="s">
        <v>689</v>
      </c>
      <c r="C3952" t="s">
        <v>1749</v>
      </c>
      <c r="D3952" t="s">
        <v>1749</v>
      </c>
      <c r="E3952" s="10">
        <v>7136643</v>
      </c>
      <c r="F3952" s="12">
        <v>5.7025000000000001E-3</v>
      </c>
    </row>
    <row r="3953" spans="1:6">
      <c r="A3953" s="10">
        <v>2020</v>
      </c>
      <c r="B3953" t="s">
        <v>690</v>
      </c>
      <c r="C3953" t="s">
        <v>1750</v>
      </c>
      <c r="D3953" t="s">
        <v>1750</v>
      </c>
      <c r="E3953" s="10">
        <v>10574</v>
      </c>
      <c r="F3953" s="12">
        <v>8.3999999999999992E-6</v>
      </c>
    </row>
    <row r="3954" spans="1:6">
      <c r="A3954" s="10">
        <v>2020</v>
      </c>
      <c r="B3954" t="s">
        <v>691</v>
      </c>
      <c r="C3954" t="s">
        <v>1751</v>
      </c>
      <c r="D3954" t="s">
        <v>1751</v>
      </c>
      <c r="E3954" s="10">
        <v>1467936</v>
      </c>
      <c r="F3954" s="12">
        <v>1.1728999999999999E-3</v>
      </c>
    </row>
    <row r="3955" spans="1:6">
      <c r="A3955" s="10">
        <v>2020</v>
      </c>
      <c r="B3955" t="s">
        <v>440</v>
      </c>
      <c r="C3955" t="s">
        <v>1752</v>
      </c>
      <c r="D3955" t="s">
        <v>1752</v>
      </c>
      <c r="E3955" s="10">
        <v>196675</v>
      </c>
      <c r="F3955" s="12">
        <v>1.572E-4</v>
      </c>
    </row>
    <row r="3956" spans="1:6">
      <c r="A3956" s="10">
        <v>2020</v>
      </c>
      <c r="B3956" t="s">
        <v>1464</v>
      </c>
      <c r="C3956" t="s">
        <v>1753</v>
      </c>
      <c r="D3956" t="s">
        <v>1753</v>
      </c>
      <c r="E3956" s="10">
        <v>382556</v>
      </c>
      <c r="F3956" s="12">
        <v>3.057E-4</v>
      </c>
    </row>
    <row r="3957" spans="1:6">
      <c r="A3957" s="10">
        <v>2020</v>
      </c>
      <c r="B3957" t="s">
        <v>684</v>
      </c>
      <c r="C3957" t="s">
        <v>1754</v>
      </c>
      <c r="D3957" t="s">
        <v>1754</v>
      </c>
      <c r="E3957" s="10">
        <v>427499</v>
      </c>
      <c r="F3957" s="12">
        <v>3.4160000000000001E-4</v>
      </c>
    </row>
    <row r="3958" spans="1:6">
      <c r="A3958" s="10">
        <v>2020</v>
      </c>
      <c r="B3958" t="s">
        <v>692</v>
      </c>
      <c r="C3958" t="s">
        <v>637</v>
      </c>
      <c r="D3958" t="s">
        <v>637</v>
      </c>
      <c r="E3958" s="10">
        <v>251999</v>
      </c>
      <c r="F3958" s="12">
        <v>2.0139999999999999E-4</v>
      </c>
    </row>
    <row r="3959" spans="1:6">
      <c r="A3959" s="10">
        <v>2020</v>
      </c>
      <c r="B3959" t="s">
        <v>1356</v>
      </c>
      <c r="C3959" t="s">
        <v>1755</v>
      </c>
      <c r="D3959" t="s">
        <v>1755</v>
      </c>
      <c r="E3959" s="10">
        <v>181737</v>
      </c>
      <c r="F3959" s="12">
        <v>1.4520000000000001E-4</v>
      </c>
    </row>
    <row r="3960" spans="1:6">
      <c r="A3960" s="10">
        <v>2020</v>
      </c>
      <c r="B3960" t="s">
        <v>693</v>
      </c>
      <c r="C3960" t="s">
        <v>2442</v>
      </c>
      <c r="D3960" t="s">
        <v>1756</v>
      </c>
      <c r="E3960" s="10">
        <v>119681</v>
      </c>
      <c r="F3960" s="12">
        <v>9.5600000000000006E-5</v>
      </c>
    </row>
    <row r="3961" spans="1:6">
      <c r="A3961" s="10">
        <v>2020</v>
      </c>
      <c r="B3961" t="s">
        <v>694</v>
      </c>
      <c r="C3961" t="s">
        <v>1757</v>
      </c>
      <c r="D3961" t="s">
        <v>1757</v>
      </c>
      <c r="E3961" s="10">
        <v>3191464</v>
      </c>
      <c r="F3961" s="12">
        <v>2.5501E-3</v>
      </c>
    </row>
    <row r="3962" spans="1:6">
      <c r="A3962" s="10">
        <v>2020</v>
      </c>
      <c r="B3962" t="s">
        <v>695</v>
      </c>
      <c r="C3962" t="s">
        <v>1758</v>
      </c>
      <c r="D3962" t="s">
        <v>1758</v>
      </c>
      <c r="E3962" s="10">
        <v>106686</v>
      </c>
      <c r="F3962" s="12">
        <v>8.5199999999999997E-5</v>
      </c>
    </row>
    <row r="3963" spans="1:6">
      <c r="A3963" s="10">
        <v>2020</v>
      </c>
      <c r="B3963" t="s">
        <v>1781</v>
      </c>
      <c r="C3963" t="s">
        <v>1759</v>
      </c>
      <c r="D3963" t="s">
        <v>1759</v>
      </c>
      <c r="E3963" s="10">
        <v>177421</v>
      </c>
      <c r="F3963" s="12">
        <v>1.418E-4</v>
      </c>
    </row>
    <row r="3964" spans="1:6">
      <c r="A3964" s="10">
        <v>2020</v>
      </c>
      <c r="B3964" t="s">
        <v>916</v>
      </c>
      <c r="C3964" t="s">
        <v>2443</v>
      </c>
      <c r="D3964" t="s">
        <v>1760</v>
      </c>
      <c r="E3964" s="10">
        <v>64005</v>
      </c>
      <c r="F3964" s="12">
        <v>5.1100000000000002E-5</v>
      </c>
    </row>
    <row r="3965" spans="1:6">
      <c r="A3965" s="10">
        <v>2020</v>
      </c>
      <c r="B3965" t="s">
        <v>696</v>
      </c>
      <c r="C3965" t="s">
        <v>641</v>
      </c>
      <c r="D3965" t="s">
        <v>641</v>
      </c>
      <c r="E3965" s="10">
        <v>30700</v>
      </c>
      <c r="F3965" s="12">
        <v>2.4499999999999999E-5</v>
      </c>
    </row>
    <row r="3966" spans="1:6">
      <c r="A3966" s="10">
        <v>2020</v>
      </c>
      <c r="B3966" t="s">
        <v>697</v>
      </c>
      <c r="C3966" t="s">
        <v>1761</v>
      </c>
      <c r="D3966" t="s">
        <v>1761</v>
      </c>
      <c r="E3966" s="10">
        <v>178345</v>
      </c>
      <c r="F3966" s="12">
        <v>1.4249999999999999E-4</v>
      </c>
    </row>
    <row r="3967" spans="1:6">
      <c r="A3967" s="10">
        <v>2020</v>
      </c>
      <c r="B3967" t="s">
        <v>698</v>
      </c>
      <c r="C3967" t="s">
        <v>1762</v>
      </c>
      <c r="D3967" t="s">
        <v>1762</v>
      </c>
      <c r="E3967" s="10">
        <v>3971695</v>
      </c>
      <c r="F3967" s="12">
        <v>3.1735999999999999E-3</v>
      </c>
    </row>
    <row r="3968" spans="1:6">
      <c r="A3968" s="10">
        <v>2020</v>
      </c>
      <c r="B3968" t="s">
        <v>699</v>
      </c>
      <c r="C3968" t="s">
        <v>1763</v>
      </c>
      <c r="D3968" t="s">
        <v>1763</v>
      </c>
      <c r="E3968" s="10">
        <v>2357897</v>
      </c>
      <c r="F3968" s="12">
        <v>1.8841000000000001E-3</v>
      </c>
    </row>
    <row r="3969" spans="1:6">
      <c r="A3969" s="10">
        <v>2020</v>
      </c>
      <c r="B3969" t="s">
        <v>700</v>
      </c>
      <c r="C3969" t="s">
        <v>2374</v>
      </c>
      <c r="D3969" t="s">
        <v>2374</v>
      </c>
      <c r="E3969" s="10">
        <v>12526</v>
      </c>
      <c r="F3969" s="12">
        <v>1.0000000000000001E-5</v>
      </c>
    </row>
    <row r="3970" spans="1:6">
      <c r="A3970" s="10">
        <v>2020</v>
      </c>
      <c r="B3970" t="s">
        <v>701</v>
      </c>
      <c r="C3970" t="s">
        <v>2405</v>
      </c>
      <c r="D3970" t="s">
        <v>2405</v>
      </c>
      <c r="E3970" s="10">
        <v>305833</v>
      </c>
      <c r="F3970" s="12">
        <v>2.4439999999999998E-4</v>
      </c>
    </row>
    <row r="3971" spans="1:6">
      <c r="A3971" s="10">
        <v>2020</v>
      </c>
      <c r="B3971" t="s">
        <v>702</v>
      </c>
      <c r="C3971" t="s">
        <v>1766</v>
      </c>
      <c r="D3971" t="s">
        <v>1766</v>
      </c>
      <c r="E3971" s="10">
        <v>378092</v>
      </c>
      <c r="F3971" s="12">
        <v>3.0210000000000002E-4</v>
      </c>
    </row>
    <row r="3972" spans="1:6">
      <c r="A3972" s="10">
        <v>2020</v>
      </c>
      <c r="B3972" t="s">
        <v>703</v>
      </c>
      <c r="C3972" t="s">
        <v>1767</v>
      </c>
      <c r="D3972" t="s">
        <v>1767</v>
      </c>
      <c r="E3972" s="10">
        <v>1882810</v>
      </c>
      <c r="F3972" s="12">
        <v>1.5045E-3</v>
      </c>
    </row>
    <row r="3973" spans="1:6">
      <c r="A3973" s="10">
        <v>2020</v>
      </c>
      <c r="B3973" t="s">
        <v>1233</v>
      </c>
      <c r="C3973" t="s">
        <v>1768</v>
      </c>
      <c r="D3973" t="s">
        <v>1768</v>
      </c>
      <c r="E3973" s="10">
        <v>89489</v>
      </c>
      <c r="F3973" s="12">
        <v>7.1500000000000003E-5</v>
      </c>
    </row>
    <row r="3974" spans="1:6">
      <c r="A3974" s="10">
        <v>2020</v>
      </c>
      <c r="B3974" t="s">
        <v>704</v>
      </c>
      <c r="C3974" t="s">
        <v>1769</v>
      </c>
      <c r="D3974" t="s">
        <v>1769</v>
      </c>
      <c r="E3974" s="10">
        <v>129280</v>
      </c>
      <c r="F3974" s="12">
        <v>1.033E-4</v>
      </c>
    </row>
    <row r="3975" spans="1:6">
      <c r="A3975" s="10">
        <v>2020</v>
      </c>
      <c r="B3975" t="s">
        <v>705</v>
      </c>
      <c r="C3975" t="s">
        <v>1770</v>
      </c>
      <c r="D3975" t="s">
        <v>1770</v>
      </c>
      <c r="E3975" s="10">
        <v>656306</v>
      </c>
      <c r="F3975" s="12">
        <v>5.2439999999999995E-4</v>
      </c>
    </row>
    <row r="3976" spans="1:6">
      <c r="A3976" s="10">
        <v>2020</v>
      </c>
      <c r="B3976" t="s">
        <v>706</v>
      </c>
      <c r="C3976" t="s">
        <v>1771</v>
      </c>
      <c r="D3976" t="s">
        <v>1771</v>
      </c>
      <c r="E3976" s="10">
        <v>3778710</v>
      </c>
      <c r="F3976" s="12">
        <v>3.0194000000000002E-3</v>
      </c>
    </row>
    <row r="3977" spans="1:6">
      <c r="A3977" s="10">
        <v>2020</v>
      </c>
      <c r="B3977" t="s">
        <v>441</v>
      </c>
      <c r="C3977" t="s">
        <v>1772</v>
      </c>
      <c r="D3977" t="s">
        <v>1772</v>
      </c>
      <c r="E3977" s="10">
        <v>1417579</v>
      </c>
      <c r="F3977" s="12">
        <v>1.1326999999999999E-3</v>
      </c>
    </row>
    <row r="3978" spans="1:6">
      <c r="A3978" s="10">
        <v>2020</v>
      </c>
      <c r="B3978" t="s">
        <v>707</v>
      </c>
      <c r="C3978" t="s">
        <v>1773</v>
      </c>
      <c r="D3978" t="s">
        <v>1773</v>
      </c>
      <c r="E3978" s="10">
        <v>73356</v>
      </c>
      <c r="F3978" s="12">
        <v>5.8600000000000001E-5</v>
      </c>
    </row>
    <row r="3979" spans="1:6">
      <c r="A3979" s="10">
        <v>2020</v>
      </c>
      <c r="B3979" t="s">
        <v>708</v>
      </c>
      <c r="C3979" t="s">
        <v>1774</v>
      </c>
      <c r="D3979" t="s">
        <v>1774</v>
      </c>
      <c r="E3979" s="10">
        <v>10578757</v>
      </c>
      <c r="F3979" s="12">
        <v>8.4528999999999993E-3</v>
      </c>
    </row>
    <row r="3980" spans="1:6">
      <c r="A3980" s="10">
        <v>2020</v>
      </c>
      <c r="B3980" t="s">
        <v>709</v>
      </c>
      <c r="C3980" t="s">
        <v>654</v>
      </c>
      <c r="D3980" t="s">
        <v>654</v>
      </c>
      <c r="E3980" s="10">
        <v>873145</v>
      </c>
      <c r="F3980" s="12">
        <v>6.9769999999999999E-4</v>
      </c>
    </row>
    <row r="3981" spans="1:6">
      <c r="A3981" s="10">
        <v>2020</v>
      </c>
      <c r="B3981" t="s">
        <v>710</v>
      </c>
      <c r="C3981" t="s">
        <v>1775</v>
      </c>
      <c r="D3981" t="s">
        <v>1775</v>
      </c>
      <c r="E3981" s="10">
        <v>2744831</v>
      </c>
      <c r="F3981" s="12">
        <v>2.1932000000000002E-3</v>
      </c>
    </row>
    <row r="3982" spans="1:6">
      <c r="A3982" s="10">
        <v>2020</v>
      </c>
      <c r="B3982" t="s">
        <v>442</v>
      </c>
      <c r="C3982" t="s">
        <v>1776</v>
      </c>
      <c r="D3982" t="s">
        <v>1776</v>
      </c>
      <c r="E3982" s="10">
        <v>1909181</v>
      </c>
      <c r="F3982" s="12">
        <v>1.5254999999999999E-3</v>
      </c>
    </row>
    <row r="3983" spans="1:6">
      <c r="A3983" s="10">
        <v>2020</v>
      </c>
      <c r="B3983" t="s">
        <v>712</v>
      </c>
      <c r="C3983" t="s">
        <v>1778</v>
      </c>
      <c r="D3983" t="s">
        <v>1778</v>
      </c>
      <c r="E3983" s="10">
        <v>4221703</v>
      </c>
      <c r="F3983" s="12">
        <v>3.3733000000000001E-3</v>
      </c>
    </row>
    <row r="3984" spans="1:6">
      <c r="A3984" s="10">
        <v>2020</v>
      </c>
      <c r="B3984" t="s">
        <v>713</v>
      </c>
      <c r="C3984" t="s">
        <v>1779</v>
      </c>
      <c r="D3984" t="s">
        <v>1779</v>
      </c>
      <c r="E3984" s="10">
        <v>156523</v>
      </c>
      <c r="F3984" s="12">
        <v>1.2510000000000001E-4</v>
      </c>
    </row>
    <row r="3985" spans="1:6">
      <c r="A3985" s="10">
        <v>2020</v>
      </c>
      <c r="B3985" t="s">
        <v>714</v>
      </c>
      <c r="C3985" t="s">
        <v>1780</v>
      </c>
      <c r="D3985" t="s">
        <v>1780</v>
      </c>
      <c r="E3985" s="10">
        <v>1926899</v>
      </c>
      <c r="F3985" s="12">
        <v>1.5397E-3</v>
      </c>
    </row>
    <row r="3986" spans="1:6">
      <c r="A3986" s="10">
        <v>2020</v>
      </c>
      <c r="B3986" t="s">
        <v>770</v>
      </c>
      <c r="C3986" t="s">
        <v>715</v>
      </c>
      <c r="D3986" t="s">
        <v>715</v>
      </c>
      <c r="E3986" s="10">
        <v>47970</v>
      </c>
      <c r="F3986" s="12">
        <v>3.8300000000000003E-5</v>
      </c>
    </row>
    <row r="3987" spans="1:6">
      <c r="A3987" s="10">
        <v>2020</v>
      </c>
      <c r="B3987" t="s">
        <v>771</v>
      </c>
      <c r="C3987" t="s">
        <v>1782</v>
      </c>
      <c r="D3987" t="s">
        <v>1782</v>
      </c>
      <c r="E3987" s="10"/>
    </row>
    <row r="3988" spans="1:6">
      <c r="A3988" s="10">
        <v>2020</v>
      </c>
      <c r="B3988" t="s">
        <v>773</v>
      </c>
      <c r="C3988" t="s">
        <v>1784</v>
      </c>
      <c r="D3988" t="s">
        <v>1784</v>
      </c>
      <c r="E3988" s="10">
        <v>6689082</v>
      </c>
      <c r="F3988" s="12">
        <v>5.3448999999999997E-3</v>
      </c>
    </row>
    <row r="3989" spans="1:6">
      <c r="A3989" s="10">
        <v>2020</v>
      </c>
      <c r="B3989" t="s">
        <v>443</v>
      </c>
      <c r="C3989" t="s">
        <v>1785</v>
      </c>
      <c r="D3989" t="s">
        <v>1785</v>
      </c>
      <c r="E3989" s="10">
        <v>276993</v>
      </c>
      <c r="F3989" s="12">
        <v>2.2130000000000001E-4</v>
      </c>
    </row>
    <row r="3990" spans="1:6">
      <c r="A3990" s="10">
        <v>2020</v>
      </c>
      <c r="B3990" t="s">
        <v>774</v>
      </c>
      <c r="C3990" t="s">
        <v>1786</v>
      </c>
      <c r="D3990" t="s">
        <v>1786</v>
      </c>
      <c r="E3990" s="10">
        <v>238216</v>
      </c>
      <c r="F3990" s="12">
        <v>1.9029999999999999E-4</v>
      </c>
    </row>
    <row r="3991" spans="1:6">
      <c r="A3991" s="10">
        <v>2020</v>
      </c>
      <c r="B3991" t="s">
        <v>775</v>
      </c>
      <c r="C3991" t="s">
        <v>1787</v>
      </c>
      <c r="D3991" t="s">
        <v>1787</v>
      </c>
      <c r="E3991" s="10">
        <v>3348642</v>
      </c>
      <c r="F3991" s="12">
        <v>2.6757E-3</v>
      </c>
    </row>
    <row r="3992" spans="1:6">
      <c r="A3992" s="10">
        <v>2020</v>
      </c>
      <c r="B3992" t="s">
        <v>776</v>
      </c>
      <c r="C3992" t="s">
        <v>721</v>
      </c>
      <c r="D3992" t="s">
        <v>721</v>
      </c>
      <c r="E3992" s="10"/>
    </row>
    <row r="3993" spans="1:6">
      <c r="A3993" s="10">
        <v>2020</v>
      </c>
      <c r="B3993" t="s">
        <v>778</v>
      </c>
      <c r="C3993" t="s">
        <v>1788</v>
      </c>
      <c r="D3993" t="s">
        <v>1788</v>
      </c>
      <c r="E3993" s="10">
        <v>3720138</v>
      </c>
      <c r="F3993" s="12">
        <v>2.9726000000000002E-3</v>
      </c>
    </row>
    <row r="3994" spans="1:6">
      <c r="A3994" s="10">
        <v>2020</v>
      </c>
      <c r="B3994" t="s">
        <v>779</v>
      </c>
      <c r="C3994" t="s">
        <v>1789</v>
      </c>
      <c r="D3994" t="s">
        <v>1789</v>
      </c>
      <c r="E3994" s="10">
        <v>146300</v>
      </c>
      <c r="F3994" s="12">
        <v>1.169E-4</v>
      </c>
    </row>
    <row r="3995" spans="1:6">
      <c r="A3995" s="10">
        <v>2020</v>
      </c>
      <c r="B3995" t="s">
        <v>780</v>
      </c>
      <c r="C3995" t="s">
        <v>1790</v>
      </c>
      <c r="D3995" t="s">
        <v>1790</v>
      </c>
      <c r="E3995" s="10">
        <v>426587</v>
      </c>
      <c r="F3995" s="12">
        <v>3.4089999999999999E-4</v>
      </c>
    </row>
    <row r="3996" spans="1:6">
      <c r="A3996" s="10">
        <v>2020</v>
      </c>
      <c r="B3996" t="s">
        <v>781</v>
      </c>
      <c r="C3996" t="s">
        <v>1791</v>
      </c>
      <c r="D3996" t="s">
        <v>1791</v>
      </c>
      <c r="E3996" s="10">
        <v>18745</v>
      </c>
      <c r="F3996" s="12">
        <v>1.5E-5</v>
      </c>
    </row>
    <row r="3997" spans="1:6">
      <c r="A3997" s="10">
        <v>2020</v>
      </c>
      <c r="B3997" t="s">
        <v>782</v>
      </c>
      <c r="C3997" t="s">
        <v>1792</v>
      </c>
      <c r="D3997" t="s">
        <v>1792</v>
      </c>
      <c r="E3997" s="10">
        <v>7914667</v>
      </c>
      <c r="F3997" s="12">
        <v>6.3242000000000003E-3</v>
      </c>
    </row>
    <row r="3998" spans="1:6">
      <c r="A3998" s="10">
        <v>2020</v>
      </c>
      <c r="B3998" t="s">
        <v>1234</v>
      </c>
      <c r="C3998" t="s">
        <v>1793</v>
      </c>
      <c r="D3998" t="s">
        <v>1793</v>
      </c>
      <c r="E3998" s="10">
        <v>1786254</v>
      </c>
      <c r="F3998" s="12">
        <v>1.4273000000000001E-3</v>
      </c>
    </row>
    <row r="3999" spans="1:6">
      <c r="A3999" s="10">
        <v>2020</v>
      </c>
      <c r="B3999" t="s">
        <v>783</v>
      </c>
      <c r="C3999" t="s">
        <v>1794</v>
      </c>
      <c r="D3999" t="s">
        <v>1794</v>
      </c>
      <c r="E3999" s="10">
        <v>1130800</v>
      </c>
      <c r="F3999" s="12">
        <v>9.0359999999999995E-4</v>
      </c>
    </row>
    <row r="4000" spans="1:6">
      <c r="A4000" s="10">
        <v>2020</v>
      </c>
      <c r="B4000" t="s">
        <v>787</v>
      </c>
      <c r="C4000" t="s">
        <v>732</v>
      </c>
      <c r="D4000" t="s">
        <v>732</v>
      </c>
      <c r="E4000" s="10">
        <v>61737122</v>
      </c>
      <c r="F4000" s="12">
        <v>4.9330899999999997E-2</v>
      </c>
    </row>
    <row r="4001" spans="1:6">
      <c r="A4001" s="10">
        <v>2020</v>
      </c>
      <c r="B4001" t="s">
        <v>784</v>
      </c>
      <c r="C4001" t="s">
        <v>1795</v>
      </c>
      <c r="D4001" t="s">
        <v>1795</v>
      </c>
      <c r="E4001" s="10">
        <v>43114786</v>
      </c>
      <c r="F4001" s="12">
        <v>3.4450700000000001E-2</v>
      </c>
    </row>
    <row r="4002" spans="1:6">
      <c r="A4002" s="10">
        <v>2020</v>
      </c>
      <c r="B4002" t="s">
        <v>785</v>
      </c>
      <c r="C4002" t="s">
        <v>1796</v>
      </c>
      <c r="D4002" t="s">
        <v>1796</v>
      </c>
      <c r="E4002" s="10">
        <v>459899</v>
      </c>
      <c r="F4002" s="12">
        <v>3.6749999999999999E-4</v>
      </c>
    </row>
    <row r="4003" spans="1:6">
      <c r="A4003" s="10">
        <v>2020</v>
      </c>
      <c r="B4003" t="s">
        <v>788</v>
      </c>
      <c r="C4003" t="s">
        <v>1797</v>
      </c>
      <c r="D4003" t="s">
        <v>1797</v>
      </c>
      <c r="E4003" s="10">
        <v>374259</v>
      </c>
      <c r="F4003" s="12">
        <v>2.99E-4</v>
      </c>
    </row>
    <row r="4004" spans="1:6">
      <c r="A4004" s="10">
        <v>2020</v>
      </c>
      <c r="B4004" t="s">
        <v>786</v>
      </c>
      <c r="C4004" t="s">
        <v>2460</v>
      </c>
      <c r="D4004" t="s">
        <v>1798</v>
      </c>
      <c r="E4004" s="10">
        <v>28462823</v>
      </c>
      <c r="F4004" s="12">
        <v>2.2743099999999999E-2</v>
      </c>
    </row>
    <row r="4005" spans="1:6">
      <c r="A4005" s="10">
        <v>2020</v>
      </c>
      <c r="B4005" t="s">
        <v>789</v>
      </c>
      <c r="C4005" t="s">
        <v>1799</v>
      </c>
      <c r="D4005" t="s">
        <v>1799</v>
      </c>
      <c r="E4005" s="10">
        <v>3987881</v>
      </c>
      <c r="F4005" s="12">
        <v>3.1865000000000001E-3</v>
      </c>
    </row>
    <row r="4006" spans="1:6">
      <c r="A4006" s="10">
        <v>2020</v>
      </c>
      <c r="B4006" t="s">
        <v>444</v>
      </c>
      <c r="C4006" t="s">
        <v>1800</v>
      </c>
      <c r="D4006" t="s">
        <v>1800</v>
      </c>
      <c r="E4006" s="10">
        <v>1144365</v>
      </c>
      <c r="F4006" s="12">
        <v>9.144E-4</v>
      </c>
    </row>
    <row r="4007" spans="1:6">
      <c r="A4007" s="10">
        <v>2020</v>
      </c>
      <c r="B4007" t="s">
        <v>790</v>
      </c>
      <c r="C4007" t="s">
        <v>1801</v>
      </c>
      <c r="D4007" t="s">
        <v>1801</v>
      </c>
      <c r="E4007" s="10"/>
    </row>
    <row r="4008" spans="1:6">
      <c r="A4008" s="10">
        <v>2020</v>
      </c>
      <c r="B4008" t="s">
        <v>777</v>
      </c>
      <c r="C4008" t="s">
        <v>1802</v>
      </c>
      <c r="D4008" t="s">
        <v>1802</v>
      </c>
      <c r="E4008" s="10">
        <v>144584</v>
      </c>
      <c r="F4008" s="12">
        <v>1.155E-4</v>
      </c>
    </row>
    <row r="4009" spans="1:6">
      <c r="A4009" s="10">
        <v>2020</v>
      </c>
      <c r="B4009" t="s">
        <v>791</v>
      </c>
      <c r="C4009" t="s">
        <v>736</v>
      </c>
      <c r="D4009" t="s">
        <v>736</v>
      </c>
      <c r="E4009" s="10">
        <v>291805</v>
      </c>
      <c r="F4009" s="12">
        <v>2.332E-4</v>
      </c>
    </row>
    <row r="4010" spans="1:6">
      <c r="A4010" s="10">
        <v>2020</v>
      </c>
      <c r="B4010" t="s">
        <v>792</v>
      </c>
      <c r="C4010" t="s">
        <v>1803</v>
      </c>
      <c r="D4010" t="s">
        <v>1803</v>
      </c>
      <c r="E4010" s="10">
        <v>376681</v>
      </c>
      <c r="F4010" s="12">
        <v>3.01E-4</v>
      </c>
    </row>
    <row r="4011" spans="1:6">
      <c r="A4011" s="10">
        <v>2020</v>
      </c>
      <c r="B4011" t="s">
        <v>793</v>
      </c>
      <c r="C4011" t="s">
        <v>1804</v>
      </c>
      <c r="D4011" t="s">
        <v>1804</v>
      </c>
      <c r="E4011" s="10">
        <v>168037</v>
      </c>
      <c r="F4011" s="12">
        <v>1.3430000000000001E-4</v>
      </c>
    </row>
    <row r="4012" spans="1:6">
      <c r="A4012" s="10">
        <v>2020</v>
      </c>
      <c r="B4012" t="s">
        <v>794</v>
      </c>
      <c r="C4012" t="s">
        <v>1805</v>
      </c>
      <c r="D4012" t="s">
        <v>1805</v>
      </c>
      <c r="E4012" s="10">
        <v>40494</v>
      </c>
      <c r="F4012" s="12">
        <v>3.2400000000000001E-5</v>
      </c>
    </row>
    <row r="4013" spans="1:6">
      <c r="A4013" s="10">
        <v>2020</v>
      </c>
      <c r="B4013" t="s">
        <v>795</v>
      </c>
      <c r="C4013" t="s">
        <v>1806</v>
      </c>
      <c r="D4013" t="s">
        <v>1806</v>
      </c>
      <c r="E4013" s="10">
        <v>40964127</v>
      </c>
      <c r="F4013" s="12">
        <v>3.2732200000000003E-2</v>
      </c>
    </row>
    <row r="4014" spans="1:6">
      <c r="A4014" s="10">
        <v>2020</v>
      </c>
      <c r="B4014" t="s">
        <v>445</v>
      </c>
      <c r="C4014" t="s">
        <v>1807</v>
      </c>
      <c r="D4014" t="s">
        <v>1807</v>
      </c>
      <c r="E4014" s="10">
        <v>20258486</v>
      </c>
      <c r="F4014" s="12">
        <v>1.61875E-2</v>
      </c>
    </row>
    <row r="4015" spans="1:6">
      <c r="A4015" s="10">
        <v>2020</v>
      </c>
      <c r="B4015" t="s">
        <v>796</v>
      </c>
      <c r="C4015" t="s">
        <v>741</v>
      </c>
      <c r="D4015" t="s">
        <v>741</v>
      </c>
      <c r="E4015" s="10">
        <v>128616</v>
      </c>
      <c r="F4015" s="12">
        <v>1.0280000000000001E-4</v>
      </c>
    </row>
    <row r="4016" spans="1:6">
      <c r="A4016" s="10">
        <v>2020</v>
      </c>
      <c r="B4016" t="s">
        <v>797</v>
      </c>
      <c r="C4016" t="s">
        <v>1808</v>
      </c>
      <c r="D4016" t="s">
        <v>1808</v>
      </c>
      <c r="E4016" s="10">
        <v>403380</v>
      </c>
      <c r="F4016" s="12">
        <v>3.2229999999999997E-4</v>
      </c>
    </row>
    <row r="4017" spans="1:6">
      <c r="A4017" s="10">
        <v>2020</v>
      </c>
      <c r="B4017" t="s">
        <v>798</v>
      </c>
      <c r="C4017" t="s">
        <v>743</v>
      </c>
      <c r="D4017" t="s">
        <v>743</v>
      </c>
      <c r="E4017" s="10">
        <v>130130</v>
      </c>
      <c r="F4017" s="12">
        <v>1.0399999999999999E-4</v>
      </c>
    </row>
    <row r="4018" spans="1:6">
      <c r="A4018" s="10">
        <v>2020</v>
      </c>
      <c r="B4018" t="s">
        <v>799</v>
      </c>
      <c r="C4018" t="s">
        <v>1809</v>
      </c>
      <c r="D4018" t="s">
        <v>1809</v>
      </c>
      <c r="E4018" s="10">
        <v>530554</v>
      </c>
      <c r="F4018" s="12">
        <v>4.239E-4</v>
      </c>
    </row>
    <row r="4019" spans="1:6">
      <c r="A4019" s="10">
        <v>2020</v>
      </c>
      <c r="B4019" t="s">
        <v>1235</v>
      </c>
      <c r="C4019" t="s">
        <v>1810</v>
      </c>
      <c r="D4019" t="s">
        <v>1810</v>
      </c>
      <c r="E4019" s="10">
        <v>131332</v>
      </c>
      <c r="F4019" s="12">
        <v>1.049E-4</v>
      </c>
    </row>
    <row r="4020" spans="1:6">
      <c r="A4020" s="10">
        <v>2020</v>
      </c>
      <c r="B4020" t="s">
        <v>800</v>
      </c>
      <c r="C4020" t="s">
        <v>745</v>
      </c>
      <c r="D4020" t="s">
        <v>745</v>
      </c>
      <c r="E4020" s="10">
        <v>80817</v>
      </c>
      <c r="F4020" s="12">
        <v>6.4599999999999998E-5</v>
      </c>
    </row>
    <row r="4021" spans="1:6">
      <c r="A4021" s="10">
        <v>2020</v>
      </c>
      <c r="B4021" t="s">
        <v>801</v>
      </c>
      <c r="C4021" t="s">
        <v>1811</v>
      </c>
      <c r="D4021" t="s">
        <v>1811</v>
      </c>
      <c r="E4021" s="10">
        <v>697604</v>
      </c>
      <c r="F4021" s="12">
        <v>5.574E-4</v>
      </c>
    </row>
    <row r="4022" spans="1:6">
      <c r="A4022" s="10">
        <v>2020</v>
      </c>
      <c r="B4022" t="s">
        <v>802</v>
      </c>
      <c r="C4022" t="s">
        <v>1812</v>
      </c>
      <c r="D4022" t="s">
        <v>1812</v>
      </c>
      <c r="E4022" s="10">
        <v>48201</v>
      </c>
      <c r="F4022" s="12">
        <v>3.8500000000000001E-5</v>
      </c>
    </row>
    <row r="4023" spans="1:6">
      <c r="A4023" s="10">
        <v>2020</v>
      </c>
      <c r="B4023" t="s">
        <v>803</v>
      </c>
      <c r="C4023" t="s">
        <v>748</v>
      </c>
      <c r="D4023" t="s">
        <v>748</v>
      </c>
      <c r="E4023" s="10">
        <v>252071</v>
      </c>
      <c r="F4023" s="12">
        <v>2.0139999999999999E-4</v>
      </c>
    </row>
    <row r="4024" spans="1:6">
      <c r="A4024" s="10">
        <v>2020</v>
      </c>
      <c r="B4024" t="s">
        <v>804</v>
      </c>
      <c r="C4024" t="s">
        <v>749</v>
      </c>
      <c r="D4024" t="s">
        <v>749</v>
      </c>
      <c r="E4024" s="10">
        <v>311882</v>
      </c>
      <c r="F4024" s="12">
        <v>2.4919999999999999E-4</v>
      </c>
    </row>
    <row r="4025" spans="1:6">
      <c r="A4025" s="10">
        <v>2020</v>
      </c>
      <c r="B4025" t="s">
        <v>805</v>
      </c>
      <c r="C4025" t="s">
        <v>750</v>
      </c>
      <c r="D4025" t="s">
        <v>750</v>
      </c>
      <c r="E4025" s="10">
        <v>1625868</v>
      </c>
      <c r="F4025" s="12">
        <v>1.2991000000000001E-3</v>
      </c>
    </row>
    <row r="4026" spans="1:6">
      <c r="A4026" s="10">
        <v>2020</v>
      </c>
      <c r="B4026" t="s">
        <v>806</v>
      </c>
      <c r="C4026" t="s">
        <v>751</v>
      </c>
      <c r="D4026" t="s">
        <v>751</v>
      </c>
      <c r="E4026" s="10">
        <v>4498333</v>
      </c>
      <c r="F4026" s="12">
        <v>3.5944000000000002E-3</v>
      </c>
    </row>
    <row r="4027" spans="1:6">
      <c r="A4027" s="10">
        <v>2020</v>
      </c>
      <c r="B4027" t="s">
        <v>807</v>
      </c>
      <c r="C4027" t="s">
        <v>752</v>
      </c>
      <c r="D4027" t="s">
        <v>752</v>
      </c>
      <c r="E4027" s="10">
        <v>89447</v>
      </c>
      <c r="F4027" s="12">
        <v>7.1500000000000003E-5</v>
      </c>
    </row>
    <row r="4028" spans="1:6">
      <c r="A4028" s="10">
        <v>2020</v>
      </c>
      <c r="B4028" t="s">
        <v>808</v>
      </c>
      <c r="C4028" t="s">
        <v>2430</v>
      </c>
      <c r="D4028" t="s">
        <v>1813</v>
      </c>
      <c r="E4028" s="10"/>
    </row>
    <row r="4029" spans="1:6">
      <c r="A4029" s="10">
        <v>2020</v>
      </c>
      <c r="B4029" t="s">
        <v>809</v>
      </c>
      <c r="C4029" t="s">
        <v>1814</v>
      </c>
      <c r="D4029" t="s">
        <v>1814</v>
      </c>
      <c r="E4029" s="10">
        <v>669933</v>
      </c>
      <c r="F4029" s="12">
        <v>5.3529999999999995E-4</v>
      </c>
    </row>
    <row r="4030" spans="1:6">
      <c r="A4030" s="10">
        <v>2020</v>
      </c>
      <c r="B4030" t="s">
        <v>1470</v>
      </c>
      <c r="C4030" t="s">
        <v>1815</v>
      </c>
      <c r="D4030" t="s">
        <v>1815</v>
      </c>
      <c r="E4030" s="10">
        <v>15950</v>
      </c>
      <c r="F4030" s="12">
        <v>1.27E-5</v>
      </c>
    </row>
    <row r="4031" spans="1:6">
      <c r="A4031" s="10">
        <v>2020</v>
      </c>
      <c r="B4031" t="s">
        <v>810</v>
      </c>
      <c r="C4031" t="s">
        <v>1816</v>
      </c>
      <c r="D4031" t="s">
        <v>1816</v>
      </c>
      <c r="E4031" s="10">
        <v>96820</v>
      </c>
      <c r="F4031" s="12">
        <v>7.7399999999999998E-5</v>
      </c>
    </row>
    <row r="4032" spans="1:6">
      <c r="A4032" s="10">
        <v>2020</v>
      </c>
      <c r="B4032" t="s">
        <v>811</v>
      </c>
      <c r="C4032" t="s">
        <v>1817</v>
      </c>
      <c r="D4032" t="s">
        <v>1817</v>
      </c>
      <c r="E4032" s="10"/>
    </row>
    <row r="4033" spans="1:6">
      <c r="A4033" s="10">
        <v>2020</v>
      </c>
      <c r="B4033" t="s">
        <v>812</v>
      </c>
      <c r="C4033" t="s">
        <v>1818</v>
      </c>
      <c r="D4033" t="s">
        <v>1818</v>
      </c>
      <c r="E4033" s="10">
        <v>971457</v>
      </c>
      <c r="F4033" s="12">
        <v>7.762E-4</v>
      </c>
    </row>
    <row r="4034" spans="1:6">
      <c r="A4034" s="10">
        <v>2020</v>
      </c>
      <c r="B4034" t="s">
        <v>813</v>
      </c>
      <c r="C4034" t="s">
        <v>1819</v>
      </c>
      <c r="D4034" t="s">
        <v>1819</v>
      </c>
      <c r="E4034" s="10">
        <v>90848</v>
      </c>
      <c r="F4034" s="12">
        <v>7.2600000000000003E-5</v>
      </c>
    </row>
    <row r="4035" spans="1:6">
      <c r="A4035" s="10">
        <v>2020</v>
      </c>
      <c r="B4035" t="s">
        <v>814</v>
      </c>
      <c r="C4035" t="s">
        <v>1820</v>
      </c>
      <c r="D4035" t="s">
        <v>1820</v>
      </c>
      <c r="E4035" s="10">
        <v>44619</v>
      </c>
      <c r="F4035" s="12">
        <v>3.57E-5</v>
      </c>
    </row>
    <row r="4036" spans="1:6">
      <c r="A4036" s="10">
        <v>2020</v>
      </c>
      <c r="B4036" t="s">
        <v>815</v>
      </c>
      <c r="C4036" t="s">
        <v>760</v>
      </c>
      <c r="D4036" t="s">
        <v>760</v>
      </c>
      <c r="E4036" s="10">
        <v>18212</v>
      </c>
      <c r="F4036" s="12">
        <v>1.4600000000000001E-5</v>
      </c>
    </row>
    <row r="4037" spans="1:6">
      <c r="A4037" s="10">
        <v>2020</v>
      </c>
      <c r="B4037" t="s">
        <v>816</v>
      </c>
      <c r="C4037" t="s">
        <v>761</v>
      </c>
      <c r="D4037" t="s">
        <v>761</v>
      </c>
      <c r="E4037" s="10">
        <v>52478</v>
      </c>
      <c r="F4037" s="12">
        <v>4.1900000000000002E-5</v>
      </c>
    </row>
    <row r="4038" spans="1:6">
      <c r="A4038" s="10">
        <v>2020</v>
      </c>
      <c r="B4038" t="s">
        <v>817</v>
      </c>
      <c r="C4038" t="s">
        <v>762</v>
      </c>
      <c r="D4038" t="s">
        <v>762</v>
      </c>
      <c r="E4038" s="10">
        <v>97240</v>
      </c>
      <c r="F4038" s="12">
        <v>7.7700000000000005E-5</v>
      </c>
    </row>
    <row r="4039" spans="1:6">
      <c r="A4039" s="10">
        <v>2020</v>
      </c>
      <c r="B4039" t="s">
        <v>818</v>
      </c>
      <c r="C4039" t="s">
        <v>2445</v>
      </c>
      <c r="D4039" t="s">
        <v>1821</v>
      </c>
      <c r="E4039" s="10">
        <v>16248</v>
      </c>
      <c r="F4039" s="12">
        <v>1.2999999999999999E-5</v>
      </c>
    </row>
    <row r="4040" spans="1:6">
      <c r="A4040" s="10">
        <v>2020</v>
      </c>
      <c r="B4040" t="s">
        <v>820</v>
      </c>
      <c r="C4040" t="s">
        <v>1822</v>
      </c>
      <c r="D4040" t="s">
        <v>1822</v>
      </c>
      <c r="E4040" s="10">
        <v>833293</v>
      </c>
      <c r="F4040" s="12">
        <v>6.6580000000000003E-4</v>
      </c>
    </row>
    <row r="4041" spans="1:6">
      <c r="A4041" s="10">
        <v>2020</v>
      </c>
      <c r="B4041" t="s">
        <v>822</v>
      </c>
      <c r="C4041" t="s">
        <v>2406</v>
      </c>
      <c r="D4041" t="s">
        <v>2406</v>
      </c>
      <c r="E4041" s="10">
        <v>133581</v>
      </c>
      <c r="F4041" s="12">
        <v>1.0670000000000001E-4</v>
      </c>
    </row>
    <row r="4042" spans="1:6">
      <c r="A4042" s="10">
        <v>2020</v>
      </c>
      <c r="B4042" t="s">
        <v>880</v>
      </c>
      <c r="C4042" t="s">
        <v>2407</v>
      </c>
      <c r="D4042" t="s">
        <v>2407</v>
      </c>
      <c r="E4042" s="10">
        <v>594209</v>
      </c>
      <c r="F4042" s="12">
        <v>4.7479999999999999E-4</v>
      </c>
    </row>
    <row r="4043" spans="1:6">
      <c r="A4043" s="10">
        <v>2020</v>
      </c>
      <c r="B4043" t="s">
        <v>884</v>
      </c>
      <c r="C4043" t="s">
        <v>829</v>
      </c>
      <c r="D4043" t="s">
        <v>829</v>
      </c>
      <c r="E4043" s="10">
        <v>1999928</v>
      </c>
      <c r="F4043" s="12">
        <v>1.598E-3</v>
      </c>
    </row>
    <row r="4044" spans="1:6">
      <c r="A4044" s="10">
        <v>2020</v>
      </c>
      <c r="B4044" t="s">
        <v>881</v>
      </c>
      <c r="C4044" t="s">
        <v>1825</v>
      </c>
      <c r="D4044" t="s">
        <v>1825</v>
      </c>
      <c r="E4044" s="10">
        <v>26779</v>
      </c>
      <c r="F4044" s="12">
        <v>2.1399999999999998E-5</v>
      </c>
    </row>
    <row r="4045" spans="1:6">
      <c r="A4045" s="10">
        <v>2020</v>
      </c>
      <c r="B4045" t="s">
        <v>883</v>
      </c>
      <c r="C4045" t="s">
        <v>2418</v>
      </c>
      <c r="D4045" t="s">
        <v>2418</v>
      </c>
      <c r="E4045" s="10"/>
    </row>
    <row r="4046" spans="1:6">
      <c r="A4046" s="10">
        <v>2020</v>
      </c>
      <c r="B4046" t="s">
        <v>885</v>
      </c>
      <c r="C4046" t="s">
        <v>1828</v>
      </c>
      <c r="D4046" t="s">
        <v>1828</v>
      </c>
      <c r="E4046" s="10">
        <v>118818</v>
      </c>
      <c r="F4046" s="12">
        <v>9.4900000000000003E-5</v>
      </c>
    </row>
    <row r="4047" spans="1:6">
      <c r="A4047" s="10">
        <v>2020</v>
      </c>
      <c r="B4047" t="s">
        <v>886</v>
      </c>
      <c r="C4047" t="s">
        <v>1829</v>
      </c>
      <c r="D4047" t="s">
        <v>1829</v>
      </c>
      <c r="E4047" s="10">
        <v>48112</v>
      </c>
      <c r="F4047" s="12">
        <v>3.8399999999999998E-5</v>
      </c>
    </row>
    <row r="4048" spans="1:6">
      <c r="A4048" s="10">
        <v>2020</v>
      </c>
      <c r="B4048" t="s">
        <v>887</v>
      </c>
      <c r="C4048" t="s">
        <v>1830</v>
      </c>
      <c r="D4048" t="s">
        <v>1830</v>
      </c>
      <c r="E4048" s="10">
        <v>74236</v>
      </c>
      <c r="F4048" s="12">
        <v>5.9299999999999998E-5</v>
      </c>
    </row>
    <row r="4049" spans="1:6">
      <c r="A4049" s="10">
        <v>2020</v>
      </c>
      <c r="B4049" t="s">
        <v>888</v>
      </c>
      <c r="C4049" t="s">
        <v>1831</v>
      </c>
      <c r="D4049" t="s">
        <v>1831</v>
      </c>
      <c r="E4049" s="10">
        <v>25881</v>
      </c>
      <c r="F4049" s="12">
        <v>2.0699999999999998E-5</v>
      </c>
    </row>
    <row r="4050" spans="1:6">
      <c r="A4050" s="10">
        <v>2020</v>
      </c>
      <c r="B4050" t="s">
        <v>890</v>
      </c>
      <c r="C4050" t="s">
        <v>1832</v>
      </c>
      <c r="D4050" t="s">
        <v>1832</v>
      </c>
      <c r="E4050" s="10">
        <v>2904270</v>
      </c>
      <c r="F4050" s="12">
        <v>2.3205999999999999E-3</v>
      </c>
    </row>
    <row r="4051" spans="1:6">
      <c r="A4051" s="10">
        <v>2020</v>
      </c>
      <c r="B4051" t="s">
        <v>446</v>
      </c>
      <c r="C4051" t="s">
        <v>1833</v>
      </c>
      <c r="D4051" t="s">
        <v>1833</v>
      </c>
      <c r="E4051" s="10">
        <v>746365</v>
      </c>
      <c r="F4051" s="12">
        <v>5.9639999999999997E-4</v>
      </c>
    </row>
    <row r="4052" spans="1:6">
      <c r="A4052" s="10">
        <v>2020</v>
      </c>
      <c r="B4052" t="s">
        <v>821</v>
      </c>
      <c r="C4052" t="s">
        <v>1834</v>
      </c>
      <c r="D4052" t="s">
        <v>1834</v>
      </c>
      <c r="E4052" s="10">
        <v>112953</v>
      </c>
      <c r="F4052" s="12">
        <v>9.0299999999999999E-5</v>
      </c>
    </row>
    <row r="4053" spans="1:6">
      <c r="A4053" s="10">
        <v>2020</v>
      </c>
      <c r="B4053" t="s">
        <v>891</v>
      </c>
      <c r="C4053" t="s">
        <v>1835</v>
      </c>
      <c r="D4053" t="s">
        <v>1835</v>
      </c>
      <c r="E4053" s="10">
        <v>54254</v>
      </c>
      <c r="F4053" s="12">
        <v>4.3399999999999998E-5</v>
      </c>
    </row>
    <row r="4054" spans="1:6">
      <c r="A4054" s="10">
        <v>2020</v>
      </c>
      <c r="B4054" t="s">
        <v>892</v>
      </c>
      <c r="C4054" t="s">
        <v>1836</v>
      </c>
      <c r="D4054" t="s">
        <v>1836</v>
      </c>
      <c r="E4054" s="10">
        <v>106516</v>
      </c>
      <c r="F4054" s="12">
        <v>8.5099999999999995E-5</v>
      </c>
    </row>
    <row r="4055" spans="1:6">
      <c r="A4055" s="10">
        <v>2020</v>
      </c>
      <c r="B4055" t="s">
        <v>896</v>
      </c>
      <c r="C4055" t="s">
        <v>1837</v>
      </c>
      <c r="D4055" t="s">
        <v>1837</v>
      </c>
      <c r="E4055" s="10">
        <v>37263</v>
      </c>
      <c r="F4055" s="12">
        <v>2.9799999999999999E-5</v>
      </c>
    </row>
    <row r="4056" spans="1:6">
      <c r="A4056" s="10">
        <v>2020</v>
      </c>
      <c r="B4056" t="s">
        <v>893</v>
      </c>
      <c r="C4056" t="s">
        <v>2432</v>
      </c>
      <c r="D4056" t="s">
        <v>1838</v>
      </c>
      <c r="E4056" s="10">
        <v>4708</v>
      </c>
      <c r="F4056" s="12">
        <v>3.8E-6</v>
      </c>
    </row>
    <row r="4057" spans="1:6">
      <c r="A4057" s="10">
        <v>2020</v>
      </c>
      <c r="B4057" t="s">
        <v>824</v>
      </c>
      <c r="C4057" t="s">
        <v>1839</v>
      </c>
      <c r="D4057" t="s">
        <v>1839</v>
      </c>
      <c r="E4057" s="10">
        <v>408354</v>
      </c>
      <c r="F4057" s="12">
        <v>3.2630000000000002E-4</v>
      </c>
    </row>
    <row r="4058" spans="1:6">
      <c r="A4058" s="10">
        <v>2020</v>
      </c>
      <c r="B4058" t="s">
        <v>823</v>
      </c>
      <c r="C4058" t="s">
        <v>1840</v>
      </c>
      <c r="D4058" t="s">
        <v>1840</v>
      </c>
      <c r="E4058" s="10">
        <v>983926</v>
      </c>
      <c r="F4058" s="12">
        <v>7.8620000000000003E-4</v>
      </c>
    </row>
    <row r="4059" spans="1:6">
      <c r="A4059" s="10">
        <v>2020</v>
      </c>
      <c r="B4059" t="s">
        <v>897</v>
      </c>
      <c r="C4059" t="s">
        <v>1841</v>
      </c>
      <c r="D4059" t="s">
        <v>1841</v>
      </c>
      <c r="E4059" s="10">
        <v>568261</v>
      </c>
      <c r="F4059" s="12">
        <v>4.5409999999999998E-4</v>
      </c>
    </row>
    <row r="4060" spans="1:6">
      <c r="A4060" s="10">
        <v>2020</v>
      </c>
      <c r="B4060" t="s">
        <v>894</v>
      </c>
      <c r="C4060" t="s">
        <v>839</v>
      </c>
      <c r="D4060" t="s">
        <v>839</v>
      </c>
      <c r="E4060" s="10">
        <v>14048831</v>
      </c>
      <c r="F4060" s="12">
        <v>1.12257E-2</v>
      </c>
    </row>
    <row r="4061" spans="1:6">
      <c r="A4061" s="10">
        <v>2020</v>
      </c>
      <c r="B4061" t="s">
        <v>895</v>
      </c>
      <c r="C4061" t="s">
        <v>1842</v>
      </c>
      <c r="D4061" t="s">
        <v>1842</v>
      </c>
      <c r="E4061" s="10">
        <v>38270</v>
      </c>
      <c r="F4061" s="12">
        <v>3.0599999999999998E-5</v>
      </c>
    </row>
    <row r="4062" spans="1:6">
      <c r="A4062" s="10">
        <v>2020</v>
      </c>
      <c r="B4062" t="s">
        <v>898</v>
      </c>
      <c r="C4062" t="s">
        <v>843</v>
      </c>
      <c r="D4062" t="s">
        <v>843</v>
      </c>
      <c r="E4062" s="10">
        <v>1440273</v>
      </c>
      <c r="F4062" s="12">
        <v>1.1508E-3</v>
      </c>
    </row>
    <row r="4063" spans="1:6">
      <c r="A4063" s="10">
        <v>2020</v>
      </c>
      <c r="B4063" t="s">
        <v>899</v>
      </c>
      <c r="C4063" t="s">
        <v>844</v>
      </c>
      <c r="D4063" t="s">
        <v>844</v>
      </c>
      <c r="E4063" s="10">
        <v>384089</v>
      </c>
      <c r="F4063" s="12">
        <v>3.0689999999999998E-4</v>
      </c>
    </row>
    <row r="4064" spans="1:6">
      <c r="A4064" s="10">
        <v>2020</v>
      </c>
      <c r="B4064" t="s">
        <v>900</v>
      </c>
      <c r="C4064" t="s">
        <v>845</v>
      </c>
      <c r="D4064" t="s">
        <v>845</v>
      </c>
      <c r="E4064" s="10">
        <v>306234</v>
      </c>
      <c r="F4064" s="12">
        <v>2.4469999999999998E-4</v>
      </c>
    </row>
    <row r="4065" spans="1:6">
      <c r="A4065" s="10">
        <v>2020</v>
      </c>
      <c r="B4065" t="s">
        <v>901</v>
      </c>
      <c r="C4065" t="s">
        <v>846</v>
      </c>
      <c r="D4065" t="s">
        <v>846</v>
      </c>
      <c r="E4065" s="10">
        <v>124768</v>
      </c>
      <c r="F4065" s="12">
        <v>9.9699999999999998E-5</v>
      </c>
    </row>
    <row r="4066" spans="1:6">
      <c r="A4066" s="10">
        <v>2020</v>
      </c>
      <c r="B4066" t="s">
        <v>902</v>
      </c>
      <c r="C4066" t="s">
        <v>1843</v>
      </c>
      <c r="D4066" t="s">
        <v>1843</v>
      </c>
      <c r="E4066" s="10">
        <v>310689</v>
      </c>
      <c r="F4066" s="12">
        <v>2.4830000000000002E-4</v>
      </c>
    </row>
    <row r="4067" spans="1:6">
      <c r="A4067" s="10">
        <v>2020</v>
      </c>
      <c r="B4067" t="s">
        <v>1236</v>
      </c>
      <c r="C4067" t="s">
        <v>1844</v>
      </c>
      <c r="D4067" t="s">
        <v>1844</v>
      </c>
      <c r="E4067" s="10">
        <v>1550391</v>
      </c>
      <c r="F4067" s="12">
        <v>1.2388E-3</v>
      </c>
    </row>
    <row r="4068" spans="1:6">
      <c r="A4068" s="10">
        <v>2020</v>
      </c>
      <c r="B4068" t="s">
        <v>903</v>
      </c>
      <c r="C4068" t="s">
        <v>1845</v>
      </c>
      <c r="D4068" t="s">
        <v>1845</v>
      </c>
      <c r="E4068" s="10">
        <v>1915179</v>
      </c>
      <c r="F4068" s="12">
        <v>1.5303000000000001E-3</v>
      </c>
    </row>
    <row r="4069" spans="1:6">
      <c r="A4069" s="10">
        <v>2020</v>
      </c>
      <c r="B4069" t="s">
        <v>904</v>
      </c>
      <c r="C4069" t="s">
        <v>1846</v>
      </c>
      <c r="D4069" t="s">
        <v>1846</v>
      </c>
      <c r="E4069" s="10">
        <v>22559</v>
      </c>
      <c r="F4069" s="12">
        <v>1.8E-5</v>
      </c>
    </row>
    <row r="4070" spans="1:6">
      <c r="A4070" s="10">
        <v>2020</v>
      </c>
      <c r="B4070" t="s">
        <v>905</v>
      </c>
      <c r="C4070" t="s">
        <v>1847</v>
      </c>
      <c r="D4070" t="s">
        <v>1847</v>
      </c>
      <c r="E4070" s="10">
        <v>40367</v>
      </c>
      <c r="F4070" s="12">
        <v>3.2299999999999999E-5</v>
      </c>
    </row>
    <row r="4071" spans="1:6">
      <c r="A4071" s="10">
        <v>2020</v>
      </c>
      <c r="B4071" t="s">
        <v>906</v>
      </c>
      <c r="C4071" t="s">
        <v>1848</v>
      </c>
      <c r="D4071" t="s">
        <v>1848</v>
      </c>
      <c r="E4071" s="10">
        <v>1698977</v>
      </c>
      <c r="F4071" s="12">
        <v>1.3576E-3</v>
      </c>
    </row>
    <row r="4072" spans="1:6">
      <c r="A4072" s="10">
        <v>2020</v>
      </c>
      <c r="B4072" t="s">
        <v>447</v>
      </c>
      <c r="C4072" t="s">
        <v>1849</v>
      </c>
      <c r="D4072" t="s">
        <v>1849</v>
      </c>
      <c r="E4072" s="10">
        <v>702401</v>
      </c>
      <c r="F4072" s="12">
        <v>5.6130000000000004E-4</v>
      </c>
    </row>
    <row r="4073" spans="1:6">
      <c r="A4073" s="10">
        <v>2020</v>
      </c>
      <c r="B4073" t="s">
        <v>1034</v>
      </c>
      <c r="C4073" t="s">
        <v>1850</v>
      </c>
      <c r="D4073" t="s">
        <v>1850</v>
      </c>
      <c r="E4073" s="10">
        <v>267470</v>
      </c>
      <c r="F4073" s="12">
        <v>2.1369999999999999E-4</v>
      </c>
    </row>
    <row r="4074" spans="1:6">
      <c r="A4074" s="10">
        <v>2020</v>
      </c>
      <c r="B4074" t="s">
        <v>908</v>
      </c>
      <c r="C4074" t="s">
        <v>1851</v>
      </c>
      <c r="D4074" t="s">
        <v>1851</v>
      </c>
      <c r="E4074" s="10">
        <v>306846</v>
      </c>
      <c r="F4074" s="12">
        <v>2.452E-4</v>
      </c>
    </row>
    <row r="4075" spans="1:6">
      <c r="A4075" s="10">
        <v>2020</v>
      </c>
      <c r="B4075" t="s">
        <v>909</v>
      </c>
      <c r="C4075" t="s">
        <v>1852</v>
      </c>
      <c r="D4075" t="s">
        <v>1852</v>
      </c>
      <c r="E4075" s="10">
        <v>115318</v>
      </c>
      <c r="F4075" s="12">
        <v>9.2100000000000003E-5</v>
      </c>
    </row>
    <row r="4076" spans="1:6">
      <c r="A4076" s="10">
        <v>2020</v>
      </c>
      <c r="B4076" t="s">
        <v>910</v>
      </c>
      <c r="C4076" t="s">
        <v>1853</v>
      </c>
      <c r="D4076" t="s">
        <v>1853</v>
      </c>
      <c r="E4076" s="10">
        <v>633300</v>
      </c>
      <c r="F4076" s="12">
        <v>5.0600000000000005E-4</v>
      </c>
    </row>
    <row r="4077" spans="1:6">
      <c r="A4077" s="10">
        <v>2020</v>
      </c>
      <c r="B4077" t="s">
        <v>912</v>
      </c>
      <c r="C4077" t="s">
        <v>1854</v>
      </c>
      <c r="D4077" t="s">
        <v>1854</v>
      </c>
      <c r="E4077" s="10">
        <v>1245474</v>
      </c>
      <c r="F4077" s="12">
        <v>9.951999999999999E-4</v>
      </c>
    </row>
    <row r="4078" spans="1:6">
      <c r="A4078" s="10">
        <v>2020</v>
      </c>
      <c r="B4078" t="s">
        <v>911</v>
      </c>
      <c r="C4078" t="s">
        <v>1855</v>
      </c>
      <c r="D4078" t="s">
        <v>1855</v>
      </c>
      <c r="E4078" s="10">
        <v>19107676</v>
      </c>
      <c r="F4078" s="12">
        <v>1.5267899999999999E-2</v>
      </c>
    </row>
    <row r="4079" spans="1:6">
      <c r="A4079" s="10">
        <v>2020</v>
      </c>
      <c r="B4079" t="s">
        <v>1237</v>
      </c>
      <c r="C4079" t="s">
        <v>1856</v>
      </c>
      <c r="D4079" t="s">
        <v>1856</v>
      </c>
      <c r="E4079" s="10">
        <v>656295</v>
      </c>
      <c r="F4079" s="12">
        <v>5.2439999999999995E-4</v>
      </c>
    </row>
    <row r="4080" spans="1:6">
      <c r="A4080" s="10">
        <v>2020</v>
      </c>
      <c r="B4080" t="s">
        <v>1474</v>
      </c>
      <c r="C4080" t="s">
        <v>1473</v>
      </c>
      <c r="D4080" t="s">
        <v>1473</v>
      </c>
      <c r="E4080" s="10"/>
    </row>
    <row r="4081" spans="1:6">
      <c r="A4081" s="10">
        <v>2020</v>
      </c>
      <c r="B4081" t="s">
        <v>913</v>
      </c>
      <c r="C4081" t="s">
        <v>1857</v>
      </c>
      <c r="D4081" t="s">
        <v>1857</v>
      </c>
      <c r="E4081" s="10">
        <v>100534</v>
      </c>
      <c r="F4081" s="12">
        <v>8.03E-5</v>
      </c>
    </row>
    <row r="4082" spans="1:6">
      <c r="A4082" s="10">
        <v>2020</v>
      </c>
      <c r="B4082" t="s">
        <v>914</v>
      </c>
      <c r="C4082" t="s">
        <v>1858</v>
      </c>
      <c r="D4082" t="s">
        <v>1858</v>
      </c>
      <c r="E4082" s="10">
        <v>61752</v>
      </c>
      <c r="F4082" s="12">
        <v>4.9299999999999999E-5</v>
      </c>
    </row>
    <row r="4083" spans="1:6">
      <c r="A4083" s="10">
        <v>2020</v>
      </c>
      <c r="B4083" t="s">
        <v>915</v>
      </c>
      <c r="C4083" t="s">
        <v>1859</v>
      </c>
      <c r="D4083" t="s">
        <v>1859</v>
      </c>
      <c r="E4083" s="10">
        <v>1253329</v>
      </c>
      <c r="F4083" s="12">
        <v>1.0015E-3</v>
      </c>
    </row>
    <row r="4084" spans="1:6">
      <c r="A4084" s="10">
        <v>2020</v>
      </c>
      <c r="B4084" t="s">
        <v>1238</v>
      </c>
      <c r="C4084" t="s">
        <v>1860</v>
      </c>
      <c r="D4084" t="s">
        <v>1860</v>
      </c>
      <c r="E4084" s="10">
        <v>184160</v>
      </c>
      <c r="F4084" s="12">
        <v>1.472E-4</v>
      </c>
    </row>
    <row r="4085" spans="1:6">
      <c r="A4085" s="10">
        <v>2020</v>
      </c>
      <c r="B4085" t="s">
        <v>917</v>
      </c>
      <c r="C4085" t="s">
        <v>1861</v>
      </c>
      <c r="D4085" t="s">
        <v>1861</v>
      </c>
      <c r="E4085" s="10">
        <v>69042</v>
      </c>
      <c r="F4085" s="12">
        <v>5.52E-5</v>
      </c>
    </row>
    <row r="4086" spans="1:6">
      <c r="A4086" s="10">
        <v>2020</v>
      </c>
      <c r="B4086" t="s">
        <v>918</v>
      </c>
      <c r="C4086" t="s">
        <v>863</v>
      </c>
      <c r="D4086" t="s">
        <v>863</v>
      </c>
      <c r="E4086" s="10">
        <v>18492</v>
      </c>
      <c r="F4086" s="12">
        <v>1.4800000000000001E-5</v>
      </c>
    </row>
    <row r="4087" spans="1:6">
      <c r="A4087" s="10">
        <v>2020</v>
      </c>
      <c r="B4087" t="s">
        <v>919</v>
      </c>
      <c r="C4087" t="s">
        <v>1862</v>
      </c>
      <c r="D4087" t="s">
        <v>1862</v>
      </c>
      <c r="E4087" s="10">
        <v>108212</v>
      </c>
      <c r="F4087" s="12">
        <v>8.6500000000000002E-5</v>
      </c>
    </row>
    <row r="4088" spans="1:6">
      <c r="A4088" s="10">
        <v>2020</v>
      </c>
      <c r="B4088" t="s">
        <v>1239</v>
      </c>
      <c r="C4088" t="s">
        <v>1863</v>
      </c>
      <c r="D4088" t="s">
        <v>1863</v>
      </c>
      <c r="E4088" s="10">
        <v>40016</v>
      </c>
      <c r="F4088" s="12">
        <v>3.1999999999999999E-5</v>
      </c>
    </row>
    <row r="4089" spans="1:6">
      <c r="A4089" s="10">
        <v>2020</v>
      </c>
      <c r="B4089" t="s">
        <v>1030</v>
      </c>
      <c r="C4089" t="s">
        <v>1864</v>
      </c>
      <c r="D4089" t="s">
        <v>1864</v>
      </c>
      <c r="E4089" s="10">
        <v>47391</v>
      </c>
      <c r="F4089" s="12">
        <v>3.79E-5</v>
      </c>
    </row>
    <row r="4090" spans="1:6">
      <c r="A4090" s="10">
        <v>2020</v>
      </c>
      <c r="B4090" t="s">
        <v>921</v>
      </c>
      <c r="C4090" t="s">
        <v>1865</v>
      </c>
      <c r="D4090" t="s">
        <v>1865</v>
      </c>
      <c r="E4090" s="10">
        <v>1317258</v>
      </c>
      <c r="F4090" s="12">
        <v>1.0525000000000001E-3</v>
      </c>
    </row>
    <row r="4091" spans="1:6">
      <c r="A4091" s="10">
        <v>2020</v>
      </c>
      <c r="B4091" t="s">
        <v>1240</v>
      </c>
      <c r="C4091" t="s">
        <v>1866</v>
      </c>
      <c r="D4091" t="s">
        <v>1866</v>
      </c>
      <c r="E4091" s="10">
        <v>650709</v>
      </c>
      <c r="F4091" s="12">
        <v>5.1990000000000001E-4</v>
      </c>
    </row>
    <row r="4092" spans="1:6">
      <c r="A4092" s="10">
        <v>2020</v>
      </c>
      <c r="B4092" t="s">
        <v>922</v>
      </c>
      <c r="C4092" t="s">
        <v>1867</v>
      </c>
      <c r="D4092" t="s">
        <v>1867</v>
      </c>
      <c r="E4092" s="10">
        <v>105460</v>
      </c>
      <c r="F4092" s="12">
        <v>8.4300000000000003E-5</v>
      </c>
    </row>
    <row r="4093" spans="1:6">
      <c r="A4093" s="10">
        <v>2020</v>
      </c>
      <c r="B4093" t="s">
        <v>923</v>
      </c>
      <c r="C4093" t="s">
        <v>868</v>
      </c>
      <c r="D4093" t="s">
        <v>868</v>
      </c>
      <c r="E4093" s="10">
        <v>91242</v>
      </c>
      <c r="F4093" s="12">
        <v>7.2899999999999997E-5</v>
      </c>
    </row>
    <row r="4094" spans="1:6">
      <c r="A4094" s="10">
        <v>2020</v>
      </c>
      <c r="B4094" t="s">
        <v>924</v>
      </c>
      <c r="C4094" t="s">
        <v>1868</v>
      </c>
      <c r="D4094" t="s">
        <v>1868</v>
      </c>
      <c r="E4094" s="10">
        <v>84790</v>
      </c>
      <c r="F4094" s="12">
        <v>6.7799999999999995E-5</v>
      </c>
    </row>
    <row r="4095" spans="1:6">
      <c r="A4095" s="10">
        <v>2020</v>
      </c>
      <c r="B4095" t="s">
        <v>925</v>
      </c>
      <c r="C4095" t="s">
        <v>1869</v>
      </c>
      <c r="D4095" t="s">
        <v>1869</v>
      </c>
      <c r="E4095" s="10">
        <v>4711939</v>
      </c>
      <c r="F4095" s="12">
        <v>3.7651E-3</v>
      </c>
    </row>
    <row r="4096" spans="1:6">
      <c r="A4096" s="10">
        <v>2020</v>
      </c>
      <c r="B4096" t="s">
        <v>926</v>
      </c>
      <c r="C4096" t="s">
        <v>1870</v>
      </c>
      <c r="D4096" t="s">
        <v>1870</v>
      </c>
      <c r="E4096" s="10">
        <v>19926279</v>
      </c>
      <c r="F4096" s="12">
        <v>1.5921999999999999E-2</v>
      </c>
    </row>
    <row r="4097" spans="1:6">
      <c r="A4097" s="10">
        <v>2020</v>
      </c>
      <c r="B4097" t="s">
        <v>448</v>
      </c>
      <c r="C4097" t="s">
        <v>1871</v>
      </c>
      <c r="D4097" t="s">
        <v>1871</v>
      </c>
      <c r="E4097" s="10">
        <v>6548200</v>
      </c>
      <c r="F4097" s="12">
        <v>5.2322999999999996E-3</v>
      </c>
    </row>
    <row r="4098" spans="1:6">
      <c r="A4098" s="10">
        <v>2020</v>
      </c>
      <c r="B4098" t="s">
        <v>927</v>
      </c>
      <c r="C4098" t="s">
        <v>1872</v>
      </c>
      <c r="D4098" t="s">
        <v>1872</v>
      </c>
      <c r="E4098" s="10">
        <v>5260511</v>
      </c>
      <c r="F4098" s="12">
        <v>4.2034000000000004E-3</v>
      </c>
    </row>
    <row r="4099" spans="1:6">
      <c r="A4099" s="10">
        <v>2020</v>
      </c>
      <c r="B4099" t="s">
        <v>930</v>
      </c>
      <c r="C4099" t="s">
        <v>1873</v>
      </c>
      <c r="D4099" t="s">
        <v>1873</v>
      </c>
      <c r="E4099" s="10">
        <v>48935</v>
      </c>
      <c r="F4099" s="12">
        <v>3.9100000000000002E-5</v>
      </c>
    </row>
    <row r="4100" spans="1:6">
      <c r="A4100" s="10">
        <v>2020</v>
      </c>
      <c r="B4100" t="s">
        <v>929</v>
      </c>
      <c r="C4100" t="s">
        <v>1874</v>
      </c>
      <c r="D4100" t="s">
        <v>1874</v>
      </c>
      <c r="E4100" s="10">
        <v>21049944</v>
      </c>
      <c r="F4100" s="12">
        <v>1.6819899999999999E-2</v>
      </c>
    </row>
    <row r="4101" spans="1:6">
      <c r="A4101" s="10">
        <v>2020</v>
      </c>
      <c r="B4101" t="s">
        <v>928</v>
      </c>
      <c r="C4101" t="s">
        <v>1875</v>
      </c>
      <c r="D4101" t="s">
        <v>1875</v>
      </c>
      <c r="E4101" s="10">
        <v>781806</v>
      </c>
      <c r="F4101" s="12">
        <v>6.2469999999999995E-4</v>
      </c>
    </row>
    <row r="4102" spans="1:6">
      <c r="A4102" s="10">
        <v>2020</v>
      </c>
      <c r="B4102" t="s">
        <v>931</v>
      </c>
      <c r="C4102" t="s">
        <v>1876</v>
      </c>
      <c r="D4102" t="s">
        <v>1876</v>
      </c>
      <c r="E4102" s="10">
        <v>108896</v>
      </c>
      <c r="F4102" s="12">
        <v>8.7000000000000001E-5</v>
      </c>
    </row>
    <row r="4103" spans="1:6">
      <c r="A4103" s="10">
        <v>2020</v>
      </c>
      <c r="B4103" t="s">
        <v>932</v>
      </c>
      <c r="C4103" t="s">
        <v>1877</v>
      </c>
      <c r="D4103" t="s">
        <v>1877</v>
      </c>
      <c r="E4103" s="10">
        <v>9773</v>
      </c>
      <c r="F4103" s="12">
        <v>7.7999999999999999E-6</v>
      </c>
    </row>
    <row r="4104" spans="1:6">
      <c r="A4104" s="10">
        <v>2020</v>
      </c>
      <c r="B4104" t="s">
        <v>933</v>
      </c>
      <c r="C4104" t="s">
        <v>1878</v>
      </c>
      <c r="D4104" t="s">
        <v>1878</v>
      </c>
      <c r="E4104" s="10">
        <v>15420</v>
      </c>
      <c r="F4104" s="12">
        <v>1.2300000000000001E-5</v>
      </c>
    </row>
    <row r="4105" spans="1:6">
      <c r="A4105" s="10">
        <v>2020</v>
      </c>
      <c r="B4105" t="s">
        <v>992</v>
      </c>
      <c r="C4105" t="s">
        <v>1879</v>
      </c>
      <c r="D4105" t="s">
        <v>1879</v>
      </c>
      <c r="E4105" s="10">
        <v>79508</v>
      </c>
      <c r="F4105" s="12">
        <v>6.3499999999999999E-5</v>
      </c>
    </row>
    <row r="4106" spans="1:6">
      <c r="A4106" s="10">
        <v>2020</v>
      </c>
      <c r="B4106" t="s">
        <v>934</v>
      </c>
      <c r="C4106" t="s">
        <v>1880</v>
      </c>
      <c r="D4106" t="s">
        <v>1880</v>
      </c>
      <c r="E4106" s="10">
        <v>506517</v>
      </c>
      <c r="F4106" s="12">
        <v>4.0470000000000002E-4</v>
      </c>
    </row>
    <row r="4107" spans="1:6">
      <c r="A4107" s="10">
        <v>2020</v>
      </c>
      <c r="B4107" t="s">
        <v>990</v>
      </c>
      <c r="C4107" t="s">
        <v>935</v>
      </c>
      <c r="D4107" t="s">
        <v>935</v>
      </c>
      <c r="E4107" s="10">
        <v>7954767</v>
      </c>
      <c r="F4107" s="12">
        <v>6.3562000000000002E-3</v>
      </c>
    </row>
    <row r="4108" spans="1:6">
      <c r="A4108" s="10">
        <v>2020</v>
      </c>
      <c r="B4108" t="s">
        <v>991</v>
      </c>
      <c r="C4108" t="s">
        <v>936</v>
      </c>
      <c r="D4108" t="s">
        <v>936</v>
      </c>
      <c r="E4108" s="10">
        <v>28146675</v>
      </c>
      <c r="F4108" s="12">
        <v>2.24905E-2</v>
      </c>
    </row>
    <row r="4109" spans="1:6">
      <c r="A4109" s="10">
        <v>2020</v>
      </c>
      <c r="B4109" t="s">
        <v>993</v>
      </c>
      <c r="C4109" t="s">
        <v>1881</v>
      </c>
      <c r="D4109" t="s">
        <v>1881</v>
      </c>
      <c r="E4109" s="10">
        <v>578896</v>
      </c>
      <c r="F4109" s="12">
        <v>4.6260000000000002E-4</v>
      </c>
    </row>
    <row r="4110" spans="1:6">
      <c r="A4110" s="10">
        <v>2020</v>
      </c>
      <c r="B4110" t="s">
        <v>1885</v>
      </c>
      <c r="C4110" t="s">
        <v>1882</v>
      </c>
      <c r="D4110" t="s">
        <v>1882</v>
      </c>
      <c r="E4110" s="10"/>
    </row>
    <row r="4111" spans="1:6">
      <c r="A4111" s="10">
        <v>2020</v>
      </c>
      <c r="B4111" t="s">
        <v>994</v>
      </c>
      <c r="C4111" t="s">
        <v>939</v>
      </c>
      <c r="D4111" t="s">
        <v>939</v>
      </c>
      <c r="E4111" s="10">
        <v>9103</v>
      </c>
      <c r="F4111" s="12">
        <v>7.3000000000000004E-6</v>
      </c>
    </row>
    <row r="4112" spans="1:6">
      <c r="A4112" s="10">
        <v>2020</v>
      </c>
      <c r="B4112" t="s">
        <v>995</v>
      </c>
      <c r="C4112" t="s">
        <v>2434</v>
      </c>
      <c r="D4112" t="s">
        <v>940</v>
      </c>
      <c r="E4112" s="10">
        <v>56338</v>
      </c>
      <c r="F4112" s="12">
        <v>4.5000000000000003E-5</v>
      </c>
    </row>
    <row r="4113" spans="1:6">
      <c r="A4113" s="10">
        <v>2020</v>
      </c>
      <c r="B4113" t="s">
        <v>996</v>
      </c>
      <c r="C4113" t="s">
        <v>2435</v>
      </c>
      <c r="D4113" t="s">
        <v>941</v>
      </c>
      <c r="E4113" s="10">
        <v>66041</v>
      </c>
      <c r="F4113" s="12">
        <v>5.2800000000000003E-5</v>
      </c>
    </row>
    <row r="4114" spans="1:6">
      <c r="A4114" s="10">
        <v>2020</v>
      </c>
      <c r="B4114" t="s">
        <v>997</v>
      </c>
      <c r="C4114" t="s">
        <v>2436</v>
      </c>
      <c r="D4114" t="s">
        <v>1883</v>
      </c>
      <c r="E4114" s="10">
        <v>88875</v>
      </c>
      <c r="F4114" s="12">
        <v>7.1000000000000005E-5</v>
      </c>
    </row>
    <row r="4115" spans="1:6">
      <c r="A4115" s="10">
        <v>2020</v>
      </c>
      <c r="B4115" t="s">
        <v>999</v>
      </c>
      <c r="C4115" t="s">
        <v>1884</v>
      </c>
      <c r="D4115" t="s">
        <v>1884</v>
      </c>
      <c r="E4115" s="10">
        <v>474375</v>
      </c>
      <c r="F4115" s="12">
        <v>3.79E-4</v>
      </c>
    </row>
    <row r="4116" spans="1:6">
      <c r="A4116" s="10">
        <v>2020</v>
      </c>
      <c r="B4116" t="s">
        <v>1241</v>
      </c>
      <c r="C4116" t="s">
        <v>1886</v>
      </c>
      <c r="D4116" t="s">
        <v>1886</v>
      </c>
      <c r="E4116" s="10">
        <v>33616</v>
      </c>
      <c r="F4116" s="12">
        <v>2.69E-5</v>
      </c>
    </row>
    <row r="4117" spans="1:6">
      <c r="A4117" s="10">
        <v>2020</v>
      </c>
      <c r="B4117" t="s">
        <v>1001</v>
      </c>
      <c r="C4117" t="s">
        <v>2433</v>
      </c>
      <c r="D4117" t="s">
        <v>2383</v>
      </c>
      <c r="E4117" s="10">
        <v>39587</v>
      </c>
      <c r="F4117" s="12">
        <v>3.1600000000000002E-5</v>
      </c>
    </row>
    <row r="4118" spans="1:6">
      <c r="A4118" s="10">
        <v>2020</v>
      </c>
      <c r="B4118" t="s">
        <v>1000</v>
      </c>
      <c r="C4118" t="s">
        <v>2384</v>
      </c>
      <c r="D4118" t="s">
        <v>2417</v>
      </c>
      <c r="E4118" s="10">
        <v>23948</v>
      </c>
      <c r="F4118" s="12">
        <v>1.91E-5</v>
      </c>
    </row>
    <row r="4119" spans="1:6">
      <c r="A4119" s="10">
        <v>2020</v>
      </c>
      <c r="B4119" t="s">
        <v>1002</v>
      </c>
      <c r="C4119" t="s">
        <v>947</v>
      </c>
      <c r="D4119" t="s">
        <v>947</v>
      </c>
      <c r="E4119" s="10">
        <v>8114767</v>
      </c>
      <c r="F4119" s="12">
        <v>6.4840999999999996E-3</v>
      </c>
    </row>
    <row r="4120" spans="1:6">
      <c r="A4120" s="10">
        <v>2020</v>
      </c>
      <c r="B4120" t="s">
        <v>1003</v>
      </c>
      <c r="C4120" t="s">
        <v>1478</v>
      </c>
      <c r="D4120" t="s">
        <v>1478</v>
      </c>
      <c r="E4120" s="10">
        <v>30305</v>
      </c>
      <c r="F4120" s="12">
        <v>2.4199999999999999E-5</v>
      </c>
    </row>
    <row r="4121" spans="1:6">
      <c r="A4121" s="10">
        <v>2020</v>
      </c>
      <c r="B4121" t="s">
        <v>1004</v>
      </c>
      <c r="C4121" t="s">
        <v>949</v>
      </c>
      <c r="D4121" t="s">
        <v>949</v>
      </c>
      <c r="E4121" s="10">
        <v>365166</v>
      </c>
      <c r="F4121" s="12">
        <v>2.9179999999999999E-4</v>
      </c>
    </row>
    <row r="4122" spans="1:6">
      <c r="A4122" s="10">
        <v>2020</v>
      </c>
      <c r="B4122" t="s">
        <v>1005</v>
      </c>
      <c r="C4122" t="s">
        <v>1888</v>
      </c>
      <c r="D4122" t="s">
        <v>1888</v>
      </c>
      <c r="E4122" s="10">
        <v>134325</v>
      </c>
      <c r="F4122" s="12">
        <v>1.0730000000000001E-4</v>
      </c>
    </row>
    <row r="4123" spans="1:6">
      <c r="A4123" s="10">
        <v>2020</v>
      </c>
      <c r="B4123" t="s">
        <v>1006</v>
      </c>
      <c r="C4123" t="s">
        <v>1889</v>
      </c>
      <c r="D4123" t="s">
        <v>1889</v>
      </c>
      <c r="E4123" s="10">
        <v>206100</v>
      </c>
      <c r="F4123" s="12">
        <v>1.6469999999999999E-4</v>
      </c>
    </row>
    <row r="4124" spans="1:6">
      <c r="A4124" s="10">
        <v>2020</v>
      </c>
      <c r="B4124" t="s">
        <v>1007</v>
      </c>
      <c r="C4124" t="s">
        <v>1890</v>
      </c>
      <c r="D4124" t="s">
        <v>1890</v>
      </c>
      <c r="E4124" s="10">
        <v>16666</v>
      </c>
      <c r="F4124" s="12">
        <v>1.33E-5</v>
      </c>
    </row>
    <row r="4125" spans="1:6">
      <c r="A4125" s="10">
        <v>2020</v>
      </c>
      <c r="B4125" t="s">
        <v>1008</v>
      </c>
      <c r="C4125" t="s">
        <v>2286</v>
      </c>
      <c r="D4125" t="s">
        <v>2286</v>
      </c>
      <c r="E4125" s="10">
        <v>78364</v>
      </c>
      <c r="F4125" s="12">
        <v>6.2600000000000004E-5</v>
      </c>
    </row>
    <row r="4126" spans="1:6">
      <c r="A4126" s="10">
        <v>2020</v>
      </c>
      <c r="B4126" t="s">
        <v>1009</v>
      </c>
      <c r="C4126" t="s">
        <v>1892</v>
      </c>
      <c r="D4126" t="s">
        <v>1892</v>
      </c>
      <c r="E4126" s="10">
        <v>36680</v>
      </c>
      <c r="F4126" s="12">
        <v>2.9300000000000001E-5</v>
      </c>
    </row>
    <row r="4127" spans="1:6">
      <c r="A4127" s="10">
        <v>2020</v>
      </c>
      <c r="B4127" t="s">
        <v>1010</v>
      </c>
      <c r="C4127" t="s">
        <v>1893</v>
      </c>
      <c r="D4127" t="s">
        <v>1893</v>
      </c>
      <c r="E4127" s="10">
        <v>122279</v>
      </c>
      <c r="F4127" s="12">
        <v>9.7700000000000003E-5</v>
      </c>
    </row>
    <row r="4128" spans="1:6">
      <c r="A4128" s="10">
        <v>2020</v>
      </c>
      <c r="B4128" t="s">
        <v>1242</v>
      </c>
      <c r="C4128" t="s">
        <v>1894</v>
      </c>
      <c r="D4128" t="s">
        <v>1894</v>
      </c>
      <c r="E4128" s="10">
        <v>212457</v>
      </c>
      <c r="F4128" s="12">
        <v>1.6980000000000001E-4</v>
      </c>
    </row>
    <row r="4129" spans="1:6">
      <c r="A4129" s="10">
        <v>2020</v>
      </c>
      <c r="B4129" t="s">
        <v>1011</v>
      </c>
      <c r="C4129" t="s">
        <v>2288</v>
      </c>
      <c r="D4129" t="s">
        <v>2288</v>
      </c>
      <c r="E4129" s="10">
        <v>13735</v>
      </c>
      <c r="F4129" s="12">
        <v>1.1E-5</v>
      </c>
    </row>
    <row r="4130" spans="1:6">
      <c r="A4130" s="10">
        <v>2020</v>
      </c>
      <c r="B4130" t="s">
        <v>1012</v>
      </c>
      <c r="C4130" t="s">
        <v>957</v>
      </c>
      <c r="D4130" t="s">
        <v>957</v>
      </c>
      <c r="E4130" s="10">
        <v>85032</v>
      </c>
      <c r="F4130" s="12">
        <v>6.7899999999999997E-5</v>
      </c>
    </row>
    <row r="4131" spans="1:6">
      <c r="A4131" s="10">
        <v>2020</v>
      </c>
      <c r="B4131" t="s">
        <v>1013</v>
      </c>
      <c r="C4131" t="s">
        <v>2408</v>
      </c>
      <c r="D4131" t="s">
        <v>2408</v>
      </c>
      <c r="E4131" s="10">
        <v>1130290</v>
      </c>
      <c r="F4131" s="12">
        <v>9.0320000000000005E-4</v>
      </c>
    </row>
    <row r="4132" spans="1:6">
      <c r="A4132" s="10">
        <v>2020</v>
      </c>
      <c r="B4132" t="s">
        <v>1016</v>
      </c>
      <c r="C4132" t="s">
        <v>1897</v>
      </c>
      <c r="D4132" t="s">
        <v>1897</v>
      </c>
      <c r="E4132" s="10">
        <v>372400</v>
      </c>
      <c r="F4132" s="12">
        <v>2.9760000000000002E-4</v>
      </c>
    </row>
    <row r="4133" spans="1:6">
      <c r="A4133" s="10">
        <v>2020</v>
      </c>
      <c r="B4133" t="s">
        <v>1017</v>
      </c>
      <c r="C4133" t="s">
        <v>1898</v>
      </c>
      <c r="D4133" t="s">
        <v>1898</v>
      </c>
      <c r="E4133" s="10">
        <v>74686</v>
      </c>
      <c r="F4133" s="12">
        <v>5.9700000000000001E-5</v>
      </c>
    </row>
    <row r="4134" spans="1:6">
      <c r="A4134" s="10">
        <v>2020</v>
      </c>
      <c r="B4134" t="s">
        <v>1018</v>
      </c>
      <c r="C4134" t="s">
        <v>1899</v>
      </c>
      <c r="D4134" t="s">
        <v>1899</v>
      </c>
      <c r="E4134" s="10">
        <v>36946</v>
      </c>
      <c r="F4134" s="12">
        <v>2.9499999999999999E-5</v>
      </c>
    </row>
    <row r="4135" spans="1:6">
      <c r="A4135" s="10">
        <v>2020</v>
      </c>
      <c r="B4135" t="s">
        <v>1020</v>
      </c>
      <c r="C4135" t="s">
        <v>1900</v>
      </c>
      <c r="D4135" t="s">
        <v>1900</v>
      </c>
      <c r="E4135" s="10">
        <v>2014328</v>
      </c>
      <c r="F4135" s="12">
        <v>1.6095E-3</v>
      </c>
    </row>
    <row r="4136" spans="1:6">
      <c r="A4136" s="10">
        <v>2020</v>
      </c>
      <c r="B4136" t="s">
        <v>1019</v>
      </c>
      <c r="C4136" t="s">
        <v>1901</v>
      </c>
      <c r="D4136" t="s">
        <v>1901</v>
      </c>
      <c r="E4136" s="10">
        <v>61428</v>
      </c>
      <c r="F4136" s="12">
        <v>4.9100000000000001E-5</v>
      </c>
    </row>
    <row r="4137" spans="1:6">
      <c r="A4137" s="10">
        <v>2020</v>
      </c>
      <c r="B4137" t="s">
        <v>1021</v>
      </c>
      <c r="C4137" t="s">
        <v>1902</v>
      </c>
      <c r="D4137" t="s">
        <v>1902</v>
      </c>
      <c r="E4137" s="10">
        <v>41119</v>
      </c>
      <c r="F4137" s="12">
        <v>3.29E-5</v>
      </c>
    </row>
    <row r="4138" spans="1:6">
      <c r="A4138" s="10">
        <v>2020</v>
      </c>
      <c r="B4138" t="s">
        <v>449</v>
      </c>
      <c r="C4138" t="s">
        <v>1903</v>
      </c>
      <c r="D4138" t="s">
        <v>1903</v>
      </c>
      <c r="E4138" s="10">
        <v>2416968</v>
      </c>
      <c r="F4138" s="12">
        <v>1.9312999999999999E-3</v>
      </c>
    </row>
    <row r="4139" spans="1:6">
      <c r="A4139" s="10">
        <v>2020</v>
      </c>
      <c r="B4139" t="s">
        <v>1022</v>
      </c>
      <c r="C4139" t="s">
        <v>1904</v>
      </c>
      <c r="D4139" t="s">
        <v>1904</v>
      </c>
      <c r="E4139" s="10">
        <v>171777</v>
      </c>
      <c r="F4139" s="12">
        <v>1.373E-4</v>
      </c>
    </row>
    <row r="4140" spans="1:6">
      <c r="A4140" s="10">
        <v>2020</v>
      </c>
      <c r="B4140" t="s">
        <v>1023</v>
      </c>
      <c r="C4140" t="s">
        <v>1905</v>
      </c>
      <c r="D4140" t="s">
        <v>1905</v>
      </c>
      <c r="E4140" s="10">
        <v>618410</v>
      </c>
      <c r="F4140" s="12">
        <v>4.9410000000000003E-4</v>
      </c>
    </row>
    <row r="4141" spans="1:6">
      <c r="A4141" s="10">
        <v>2020</v>
      </c>
      <c r="B4141" t="s">
        <v>1024</v>
      </c>
      <c r="C4141" t="s">
        <v>969</v>
      </c>
      <c r="D4141" t="s">
        <v>969</v>
      </c>
      <c r="E4141" s="10">
        <v>76507</v>
      </c>
      <c r="F4141" s="12">
        <v>6.1099999999999994E-5</v>
      </c>
    </row>
    <row r="4142" spans="1:6">
      <c r="A4142" s="10">
        <v>2020</v>
      </c>
      <c r="B4142" t="s">
        <v>1025</v>
      </c>
      <c r="C4142" t="s">
        <v>1906</v>
      </c>
      <c r="D4142" t="s">
        <v>1906</v>
      </c>
      <c r="E4142" s="10">
        <v>118303</v>
      </c>
      <c r="F4142" s="12">
        <v>9.4500000000000007E-5</v>
      </c>
    </row>
    <row r="4143" spans="1:6">
      <c r="A4143" s="10">
        <v>2020</v>
      </c>
      <c r="B4143" t="s">
        <v>1026</v>
      </c>
      <c r="C4143" t="s">
        <v>1907</v>
      </c>
      <c r="D4143" t="s">
        <v>1907</v>
      </c>
      <c r="E4143" s="10">
        <v>5319551</v>
      </c>
      <c r="F4143" s="12">
        <v>4.2506000000000002E-3</v>
      </c>
    </row>
    <row r="4144" spans="1:6">
      <c r="A4144" s="10">
        <v>2020</v>
      </c>
      <c r="B4144" t="s">
        <v>1243</v>
      </c>
      <c r="C4144" t="s">
        <v>1908</v>
      </c>
      <c r="D4144" t="s">
        <v>1908</v>
      </c>
      <c r="E4144" s="10">
        <v>2027203</v>
      </c>
      <c r="F4144" s="12">
        <v>1.6198E-3</v>
      </c>
    </row>
    <row r="4145" spans="1:6">
      <c r="A4145" s="10">
        <v>2020</v>
      </c>
      <c r="B4145" t="s">
        <v>1027</v>
      </c>
      <c r="C4145" t="s">
        <v>1909</v>
      </c>
      <c r="D4145" t="s">
        <v>1909</v>
      </c>
      <c r="E4145" s="10">
        <v>19314</v>
      </c>
      <c r="F4145" s="12">
        <v>1.5400000000000002E-5</v>
      </c>
    </row>
    <row r="4146" spans="1:6">
      <c r="A4146" s="10">
        <v>2020</v>
      </c>
      <c r="B4146" t="s">
        <v>1028</v>
      </c>
      <c r="C4146" t="s">
        <v>973</v>
      </c>
      <c r="D4146" t="s">
        <v>973</v>
      </c>
      <c r="E4146" s="10">
        <v>11963</v>
      </c>
      <c r="F4146" s="12">
        <v>9.5999999999999996E-6</v>
      </c>
    </row>
    <row r="4147" spans="1:6">
      <c r="A4147" s="10">
        <v>2020</v>
      </c>
      <c r="B4147" t="s">
        <v>1029</v>
      </c>
      <c r="C4147" t="s">
        <v>2409</v>
      </c>
      <c r="D4147" t="s">
        <v>2409</v>
      </c>
      <c r="E4147" s="10">
        <v>271106</v>
      </c>
      <c r="F4147" s="12">
        <v>2.1660000000000001E-4</v>
      </c>
    </row>
    <row r="4148" spans="1:6">
      <c r="A4148" s="10">
        <v>2020</v>
      </c>
      <c r="B4148" t="s">
        <v>1031</v>
      </c>
      <c r="C4148" t="s">
        <v>1911</v>
      </c>
      <c r="D4148" t="s">
        <v>1911</v>
      </c>
      <c r="E4148" s="10">
        <v>479885</v>
      </c>
      <c r="F4148" s="12">
        <v>3.834E-4</v>
      </c>
    </row>
    <row r="4149" spans="1:6">
      <c r="A4149" s="10">
        <v>2020</v>
      </c>
      <c r="B4149" t="s">
        <v>1032</v>
      </c>
      <c r="C4149" t="s">
        <v>1912</v>
      </c>
      <c r="D4149" t="s">
        <v>1912</v>
      </c>
      <c r="E4149" s="10">
        <v>220582</v>
      </c>
      <c r="F4149" s="12">
        <v>1.763E-4</v>
      </c>
    </row>
    <row r="4150" spans="1:6">
      <c r="A4150" s="10">
        <v>2020</v>
      </c>
      <c r="B4150" t="s">
        <v>920</v>
      </c>
      <c r="C4150" t="s">
        <v>1914</v>
      </c>
      <c r="D4150" t="s">
        <v>1914</v>
      </c>
      <c r="E4150" s="10"/>
    </row>
    <row r="4151" spans="1:6">
      <c r="A4151" s="10">
        <v>2020</v>
      </c>
      <c r="B4151" t="s">
        <v>1037</v>
      </c>
      <c r="C4151" t="s">
        <v>1915</v>
      </c>
      <c r="D4151" t="s">
        <v>1915</v>
      </c>
      <c r="E4151" s="10">
        <v>41264</v>
      </c>
      <c r="F4151" s="12">
        <v>3.3000000000000003E-5</v>
      </c>
    </row>
    <row r="4152" spans="1:6">
      <c r="A4152" s="10">
        <v>2020</v>
      </c>
      <c r="B4152" t="s">
        <v>1038</v>
      </c>
      <c r="C4152" t="s">
        <v>1916</v>
      </c>
      <c r="D4152" t="s">
        <v>1916</v>
      </c>
      <c r="E4152" s="10">
        <v>596974</v>
      </c>
      <c r="F4152" s="12">
        <v>4.7699999999999999E-4</v>
      </c>
    </row>
    <row r="4153" spans="1:6">
      <c r="A4153" s="10">
        <v>2020</v>
      </c>
      <c r="B4153" t="s">
        <v>1039</v>
      </c>
      <c r="C4153" t="s">
        <v>1917</v>
      </c>
      <c r="D4153" t="s">
        <v>1917</v>
      </c>
      <c r="E4153" s="10">
        <v>6267401</v>
      </c>
      <c r="F4153" s="12">
        <v>5.0079E-3</v>
      </c>
    </row>
    <row r="4154" spans="1:6">
      <c r="A4154" s="10">
        <v>2020</v>
      </c>
      <c r="B4154" t="s">
        <v>1040</v>
      </c>
      <c r="C4154" t="s">
        <v>985</v>
      </c>
      <c r="D4154" t="s">
        <v>985</v>
      </c>
      <c r="E4154" s="10">
        <v>188400</v>
      </c>
      <c r="F4154" s="12">
        <v>1.505E-4</v>
      </c>
    </row>
    <row r="4155" spans="1:6">
      <c r="A4155" s="10">
        <v>2020</v>
      </c>
      <c r="B4155" t="s">
        <v>998</v>
      </c>
      <c r="C4155" t="s">
        <v>1918</v>
      </c>
      <c r="D4155" t="s">
        <v>1918</v>
      </c>
      <c r="E4155" s="10">
        <v>58951</v>
      </c>
      <c r="F4155" s="12">
        <v>4.71E-5</v>
      </c>
    </row>
    <row r="4156" spans="1:6">
      <c r="A4156" s="10">
        <v>2020</v>
      </c>
      <c r="B4156" t="s">
        <v>1041</v>
      </c>
      <c r="C4156" t="s">
        <v>1919</v>
      </c>
      <c r="D4156" t="s">
        <v>1919</v>
      </c>
      <c r="E4156" s="10">
        <v>664614</v>
      </c>
      <c r="F4156" s="12">
        <v>5.3109999999999995E-4</v>
      </c>
    </row>
    <row r="4157" spans="1:6">
      <c r="A4157" s="10">
        <v>2020</v>
      </c>
      <c r="B4157" t="s">
        <v>1042</v>
      </c>
      <c r="C4157" t="s">
        <v>2296</v>
      </c>
      <c r="D4157" t="s">
        <v>2296</v>
      </c>
      <c r="E4157" s="10">
        <v>11450</v>
      </c>
      <c r="F4157" s="12">
        <v>9.0999999999999993E-6</v>
      </c>
    </row>
    <row r="4158" spans="1:6">
      <c r="A4158" s="10">
        <v>2020</v>
      </c>
      <c r="B4158" t="s">
        <v>1043</v>
      </c>
      <c r="C4158" t="s">
        <v>1921</v>
      </c>
      <c r="D4158" t="s">
        <v>1921</v>
      </c>
      <c r="E4158" s="10">
        <v>668747</v>
      </c>
      <c r="F4158" s="12">
        <v>5.3439999999999998E-4</v>
      </c>
    </row>
    <row r="4159" spans="1:6">
      <c r="A4159" s="10">
        <v>2020</v>
      </c>
      <c r="B4159" t="s">
        <v>1044</v>
      </c>
      <c r="C4159" t="s">
        <v>1922</v>
      </c>
      <c r="D4159" t="s">
        <v>1922</v>
      </c>
      <c r="E4159" s="10">
        <v>1200436</v>
      </c>
      <c r="F4159" s="12">
        <v>9.592E-4</v>
      </c>
    </row>
    <row r="4160" spans="1:6">
      <c r="A4160" s="10">
        <v>2020</v>
      </c>
      <c r="B4160" t="s">
        <v>1100</v>
      </c>
      <c r="C4160" t="s">
        <v>1923</v>
      </c>
      <c r="D4160" t="s">
        <v>1923</v>
      </c>
      <c r="E4160" s="10">
        <v>1645368</v>
      </c>
      <c r="F4160" s="12">
        <v>1.3147E-3</v>
      </c>
    </row>
    <row r="4161" spans="1:6">
      <c r="A4161" s="10">
        <v>2020</v>
      </c>
      <c r="B4161" t="s">
        <v>450</v>
      </c>
      <c r="C4161" t="s">
        <v>1924</v>
      </c>
      <c r="D4161" t="s">
        <v>1924</v>
      </c>
      <c r="E4161" s="10">
        <v>744503</v>
      </c>
      <c r="F4161" s="12">
        <v>5.9489999999999999E-4</v>
      </c>
    </row>
    <row r="4162" spans="1:6">
      <c r="A4162" s="10">
        <v>2020</v>
      </c>
      <c r="B4162" t="s">
        <v>1101</v>
      </c>
      <c r="C4162" t="s">
        <v>1925</v>
      </c>
      <c r="D4162" t="s">
        <v>1925</v>
      </c>
      <c r="E4162" s="10">
        <v>3905480</v>
      </c>
      <c r="F4162" s="12">
        <v>3.1207000000000001E-3</v>
      </c>
    </row>
    <row r="4163" spans="1:6">
      <c r="A4163" s="10">
        <v>2020</v>
      </c>
      <c r="B4163" t="s">
        <v>1244</v>
      </c>
      <c r="C4163" t="s">
        <v>1926</v>
      </c>
      <c r="D4163" t="s">
        <v>1926</v>
      </c>
      <c r="E4163" s="10">
        <v>745850</v>
      </c>
      <c r="F4163" s="12">
        <v>5.9599999999999996E-4</v>
      </c>
    </row>
    <row r="4164" spans="1:6">
      <c r="A4164" s="10">
        <v>2020</v>
      </c>
      <c r="B4164" t="s">
        <v>1102</v>
      </c>
      <c r="C4164" t="s">
        <v>1927</v>
      </c>
      <c r="D4164" t="s">
        <v>1927</v>
      </c>
      <c r="E4164" s="10">
        <v>77509</v>
      </c>
      <c r="F4164" s="12">
        <v>6.19E-5</v>
      </c>
    </row>
    <row r="4165" spans="1:6">
      <c r="A4165" s="10">
        <v>2020</v>
      </c>
      <c r="B4165" t="s">
        <v>1134</v>
      </c>
      <c r="C4165" t="s">
        <v>1928</v>
      </c>
      <c r="D4165" t="s">
        <v>1928</v>
      </c>
      <c r="E4165" s="10">
        <v>296034</v>
      </c>
      <c r="F4165" s="12">
        <v>2.365E-4</v>
      </c>
    </row>
    <row r="4166" spans="1:6">
      <c r="A4166" s="10">
        <v>2020</v>
      </c>
      <c r="B4166" t="s">
        <v>1103</v>
      </c>
      <c r="C4166" t="s">
        <v>1929</v>
      </c>
      <c r="D4166" t="s">
        <v>1929</v>
      </c>
      <c r="E4166" s="10">
        <v>145481</v>
      </c>
      <c r="F4166" s="12">
        <v>1.1620000000000001E-4</v>
      </c>
    </row>
    <row r="4167" spans="1:6">
      <c r="A4167" s="10">
        <v>2020</v>
      </c>
      <c r="B4167" t="s">
        <v>1104</v>
      </c>
      <c r="C4167" t="s">
        <v>1930</v>
      </c>
      <c r="D4167" t="s">
        <v>1930</v>
      </c>
      <c r="E4167" s="10">
        <v>1329044</v>
      </c>
      <c r="F4167" s="12">
        <v>1.062E-3</v>
      </c>
    </row>
    <row r="4168" spans="1:6">
      <c r="A4168" s="10">
        <v>2020</v>
      </c>
      <c r="B4168" t="s">
        <v>1105</v>
      </c>
      <c r="C4168" t="s">
        <v>1931</v>
      </c>
      <c r="D4168" t="s">
        <v>1931</v>
      </c>
      <c r="E4168" s="10">
        <v>18538</v>
      </c>
      <c r="F4168" s="12">
        <v>1.4800000000000001E-5</v>
      </c>
    </row>
    <row r="4169" spans="1:6">
      <c r="A4169" s="10">
        <v>2020</v>
      </c>
      <c r="B4169" t="s">
        <v>451</v>
      </c>
      <c r="C4169" t="s">
        <v>1932</v>
      </c>
      <c r="D4169" t="s">
        <v>1932</v>
      </c>
      <c r="E4169" s="10">
        <v>841460</v>
      </c>
      <c r="F4169" s="12">
        <v>6.7239999999999997E-4</v>
      </c>
    </row>
    <row r="4170" spans="1:6">
      <c r="A4170" s="10">
        <v>2020</v>
      </c>
      <c r="B4170" t="s">
        <v>1106</v>
      </c>
      <c r="C4170" t="s">
        <v>1933</v>
      </c>
      <c r="D4170" t="s">
        <v>1933</v>
      </c>
      <c r="E4170" s="10">
        <v>130063</v>
      </c>
      <c r="F4170" s="12">
        <v>1.039E-4</v>
      </c>
    </row>
    <row r="4171" spans="1:6">
      <c r="A4171" s="10">
        <v>2020</v>
      </c>
      <c r="B4171" t="s">
        <v>1107</v>
      </c>
      <c r="C4171" t="s">
        <v>1934</v>
      </c>
      <c r="D4171" t="s">
        <v>1934</v>
      </c>
      <c r="E4171" s="10">
        <v>585722</v>
      </c>
      <c r="F4171" s="12">
        <v>4.6799999999999999E-4</v>
      </c>
    </row>
    <row r="4172" spans="1:6">
      <c r="A4172" s="10">
        <v>2020</v>
      </c>
      <c r="B4172" t="s">
        <v>1108</v>
      </c>
      <c r="C4172" t="s">
        <v>1053</v>
      </c>
      <c r="D4172" t="s">
        <v>1053</v>
      </c>
      <c r="E4172" s="10">
        <v>1138836</v>
      </c>
      <c r="F4172" s="12">
        <v>9.1E-4</v>
      </c>
    </row>
    <row r="4173" spans="1:6">
      <c r="A4173" s="10">
        <v>2020</v>
      </c>
      <c r="B4173" t="s">
        <v>2390</v>
      </c>
      <c r="C4173" t="s">
        <v>2387</v>
      </c>
      <c r="D4173" t="s">
        <v>2416</v>
      </c>
      <c r="E4173" s="10">
        <v>33493</v>
      </c>
      <c r="F4173" s="12">
        <v>2.6800000000000001E-5</v>
      </c>
    </row>
    <row r="4174" spans="1:6">
      <c r="A4174" s="10">
        <v>2020</v>
      </c>
      <c r="B4174" t="s">
        <v>1110</v>
      </c>
      <c r="C4174" t="s">
        <v>2410</v>
      </c>
      <c r="D4174" t="s">
        <v>2410</v>
      </c>
      <c r="E4174" s="10">
        <v>1769373</v>
      </c>
      <c r="F4174" s="12">
        <v>1.4138E-3</v>
      </c>
    </row>
    <row r="4175" spans="1:6">
      <c r="A4175" s="10">
        <v>2020</v>
      </c>
      <c r="B4175" t="s">
        <v>1109</v>
      </c>
      <c r="C4175" t="s">
        <v>1936</v>
      </c>
      <c r="D4175" t="s">
        <v>1936</v>
      </c>
      <c r="E4175" s="10">
        <v>270786</v>
      </c>
      <c r="F4175" s="12">
        <v>2.164E-4</v>
      </c>
    </row>
    <row r="4176" spans="1:6">
      <c r="A4176" s="10">
        <v>2020</v>
      </c>
      <c r="B4176" t="s">
        <v>1111</v>
      </c>
      <c r="C4176" t="s">
        <v>1937</v>
      </c>
      <c r="D4176" t="s">
        <v>1937</v>
      </c>
      <c r="E4176" s="10">
        <v>27316</v>
      </c>
      <c r="F4176" s="12">
        <v>2.1800000000000001E-5</v>
      </c>
    </row>
    <row r="4177" spans="1:6">
      <c r="A4177" s="10">
        <v>2020</v>
      </c>
      <c r="B4177" t="s">
        <v>1112</v>
      </c>
      <c r="C4177" t="s">
        <v>1938</v>
      </c>
      <c r="D4177" t="s">
        <v>1938</v>
      </c>
      <c r="E4177" s="10">
        <v>14746080</v>
      </c>
      <c r="F4177" s="12">
        <v>1.17828E-2</v>
      </c>
    </row>
    <row r="4178" spans="1:6">
      <c r="A4178" s="10">
        <v>2020</v>
      </c>
      <c r="B4178" t="s">
        <v>452</v>
      </c>
      <c r="C4178" t="s">
        <v>1939</v>
      </c>
      <c r="D4178" t="s">
        <v>1939</v>
      </c>
      <c r="E4178" s="10">
        <v>13142591</v>
      </c>
      <c r="F4178" s="12">
        <v>1.05015E-2</v>
      </c>
    </row>
    <row r="4179" spans="1:6">
      <c r="A4179" s="10">
        <v>2020</v>
      </c>
      <c r="B4179" t="s">
        <v>1113</v>
      </c>
      <c r="C4179" t="s">
        <v>1058</v>
      </c>
      <c r="D4179" t="s">
        <v>1058</v>
      </c>
      <c r="E4179" s="10">
        <v>74416</v>
      </c>
      <c r="F4179" s="12">
        <v>5.9500000000000003E-5</v>
      </c>
    </row>
    <row r="4180" spans="1:6">
      <c r="A4180" s="10">
        <v>2020</v>
      </c>
      <c r="B4180" t="s">
        <v>1481</v>
      </c>
      <c r="C4180" t="s">
        <v>1479</v>
      </c>
      <c r="D4180" t="s">
        <v>1479</v>
      </c>
      <c r="E4180" s="10">
        <v>111304</v>
      </c>
      <c r="F4180" s="12">
        <v>8.8900000000000006E-5</v>
      </c>
    </row>
    <row r="4181" spans="1:6">
      <c r="A4181" s="10">
        <v>2020</v>
      </c>
      <c r="B4181" t="s">
        <v>453</v>
      </c>
      <c r="C4181" t="s">
        <v>1940</v>
      </c>
      <c r="D4181" t="s">
        <v>1940</v>
      </c>
      <c r="E4181" s="10">
        <v>772330</v>
      </c>
      <c r="F4181" s="12">
        <v>6.1709999999999998E-4</v>
      </c>
    </row>
    <row r="4182" spans="1:6">
      <c r="A4182" s="10">
        <v>2020</v>
      </c>
      <c r="B4182" t="s">
        <v>1115</v>
      </c>
      <c r="C4182" t="s">
        <v>1941</v>
      </c>
      <c r="D4182" t="s">
        <v>1941</v>
      </c>
      <c r="E4182" s="10">
        <v>47811</v>
      </c>
      <c r="F4182" s="12">
        <v>3.82E-5</v>
      </c>
    </row>
    <row r="4183" spans="1:6">
      <c r="A4183" s="10">
        <v>2020</v>
      </c>
      <c r="B4183" t="s">
        <v>1114</v>
      </c>
      <c r="C4183" t="s">
        <v>1942</v>
      </c>
      <c r="D4183" t="s">
        <v>1942</v>
      </c>
      <c r="E4183" s="10">
        <v>503610</v>
      </c>
      <c r="F4183" s="12">
        <v>4.0240000000000002E-4</v>
      </c>
    </row>
    <row r="4184" spans="1:6">
      <c r="A4184" s="10">
        <v>2020</v>
      </c>
      <c r="B4184" t="s">
        <v>1116</v>
      </c>
      <c r="C4184" t="s">
        <v>2388</v>
      </c>
      <c r="D4184" t="s">
        <v>2388</v>
      </c>
      <c r="E4184" s="10">
        <v>115427</v>
      </c>
      <c r="F4184" s="12">
        <v>9.2200000000000005E-5</v>
      </c>
    </row>
    <row r="4185" spans="1:6">
      <c r="A4185" s="10">
        <v>2020</v>
      </c>
      <c r="B4185" t="s">
        <v>1117</v>
      </c>
      <c r="C4185" t="s">
        <v>1944</v>
      </c>
      <c r="D4185" t="s">
        <v>1944</v>
      </c>
      <c r="E4185" s="10">
        <v>146233</v>
      </c>
      <c r="F4185" s="12">
        <v>1.1680000000000001E-4</v>
      </c>
    </row>
    <row r="4186" spans="1:6">
      <c r="A4186" s="10">
        <v>2020</v>
      </c>
      <c r="B4186" t="s">
        <v>1118</v>
      </c>
      <c r="C4186" t="s">
        <v>2411</v>
      </c>
      <c r="D4186" t="s">
        <v>2411</v>
      </c>
      <c r="E4186" s="10">
        <v>56662</v>
      </c>
      <c r="F4186" s="12">
        <v>4.5300000000000003E-5</v>
      </c>
    </row>
    <row r="4187" spans="1:6">
      <c r="A4187" s="10">
        <v>2020</v>
      </c>
      <c r="B4187" t="s">
        <v>1119</v>
      </c>
      <c r="C4187" t="s">
        <v>2412</v>
      </c>
      <c r="D4187" t="s">
        <v>2412</v>
      </c>
      <c r="E4187" s="10">
        <v>1364648</v>
      </c>
      <c r="F4187" s="12">
        <v>1.0904E-3</v>
      </c>
    </row>
    <row r="4188" spans="1:6">
      <c r="A4188" s="10">
        <v>2020</v>
      </c>
      <c r="B4188" t="s">
        <v>454</v>
      </c>
      <c r="C4188" t="s">
        <v>1947</v>
      </c>
      <c r="D4188" t="s">
        <v>1947</v>
      </c>
      <c r="E4188" s="10">
        <v>650851</v>
      </c>
      <c r="F4188" s="12">
        <v>5.2010000000000001E-4</v>
      </c>
    </row>
    <row r="4189" spans="1:6">
      <c r="A4189" s="10">
        <v>2020</v>
      </c>
      <c r="B4189" t="s">
        <v>1121</v>
      </c>
      <c r="C4189" t="s">
        <v>1949</v>
      </c>
      <c r="D4189" t="s">
        <v>1949</v>
      </c>
      <c r="E4189" s="10">
        <v>2881562</v>
      </c>
      <c r="F4189" s="12">
        <v>2.3024999999999999E-3</v>
      </c>
    </row>
    <row r="4190" spans="1:6">
      <c r="A4190" s="10">
        <v>2020</v>
      </c>
      <c r="B4190" t="s">
        <v>455</v>
      </c>
      <c r="C4190" t="s">
        <v>1950</v>
      </c>
      <c r="D4190" t="s">
        <v>1950</v>
      </c>
      <c r="E4190" s="10">
        <v>1429980</v>
      </c>
      <c r="F4190" s="12">
        <v>1.1425999999999999E-3</v>
      </c>
    </row>
    <row r="4191" spans="1:6">
      <c r="A4191" s="10">
        <v>2020</v>
      </c>
      <c r="B4191" t="s">
        <v>1122</v>
      </c>
      <c r="C4191" t="s">
        <v>1951</v>
      </c>
      <c r="D4191" t="s">
        <v>1951</v>
      </c>
      <c r="E4191" s="10">
        <v>29647</v>
      </c>
      <c r="F4191" s="12">
        <v>2.37E-5</v>
      </c>
    </row>
    <row r="4192" spans="1:6">
      <c r="A4192" s="10">
        <v>2020</v>
      </c>
      <c r="B4192" t="s">
        <v>1123</v>
      </c>
      <c r="C4192" t="s">
        <v>1952</v>
      </c>
      <c r="D4192" t="s">
        <v>1952</v>
      </c>
      <c r="E4192" s="10">
        <v>78727</v>
      </c>
      <c r="F4192" s="12">
        <v>6.2899999999999997E-5</v>
      </c>
    </row>
    <row r="4193" spans="1:6">
      <c r="A4193" s="10">
        <v>2020</v>
      </c>
      <c r="B4193" t="s">
        <v>1124</v>
      </c>
      <c r="C4193" t="s">
        <v>1953</v>
      </c>
      <c r="D4193" t="s">
        <v>1953</v>
      </c>
      <c r="E4193" s="10">
        <v>127490</v>
      </c>
      <c r="F4193" s="12">
        <v>1.019E-4</v>
      </c>
    </row>
    <row r="4194" spans="1:6">
      <c r="A4194" s="10">
        <v>2020</v>
      </c>
      <c r="B4194" t="s">
        <v>1125</v>
      </c>
      <c r="C4194" t="s">
        <v>1954</v>
      </c>
      <c r="D4194" t="s">
        <v>1954</v>
      </c>
      <c r="E4194" s="10">
        <v>1171436</v>
      </c>
      <c r="F4194" s="12">
        <v>9.3599999999999998E-4</v>
      </c>
    </row>
    <row r="4195" spans="1:6">
      <c r="A4195" s="10">
        <v>2020</v>
      </c>
      <c r="B4195" t="s">
        <v>1245</v>
      </c>
      <c r="C4195" t="s">
        <v>1955</v>
      </c>
      <c r="D4195" t="s">
        <v>1955</v>
      </c>
      <c r="E4195" s="10">
        <v>169408</v>
      </c>
      <c r="F4195" s="12">
        <v>1.3540000000000001E-4</v>
      </c>
    </row>
    <row r="4196" spans="1:6">
      <c r="A4196" s="10">
        <v>2020</v>
      </c>
      <c r="B4196" t="s">
        <v>1126</v>
      </c>
      <c r="C4196" t="s">
        <v>1956</v>
      </c>
      <c r="D4196" t="s">
        <v>1956</v>
      </c>
      <c r="E4196" s="10">
        <v>107206</v>
      </c>
      <c r="F4196" s="12">
        <v>8.5699999999999996E-5</v>
      </c>
    </row>
    <row r="4197" spans="1:6">
      <c r="A4197" s="10">
        <v>2020</v>
      </c>
      <c r="B4197" t="s">
        <v>1127</v>
      </c>
      <c r="C4197" t="s">
        <v>2413</v>
      </c>
      <c r="D4197" t="s">
        <v>2413</v>
      </c>
      <c r="E4197" s="10">
        <v>1615432</v>
      </c>
      <c r="F4197" s="12">
        <v>1.2907999999999999E-3</v>
      </c>
    </row>
    <row r="4198" spans="1:6">
      <c r="A4198" s="10">
        <v>2020</v>
      </c>
      <c r="B4198" t="s">
        <v>456</v>
      </c>
      <c r="C4198" t="s">
        <v>1958</v>
      </c>
      <c r="D4198" t="s">
        <v>1958</v>
      </c>
      <c r="E4198" s="10">
        <v>355968</v>
      </c>
      <c r="F4198" s="12">
        <v>2.8439999999999997E-4</v>
      </c>
    </row>
    <row r="4199" spans="1:6">
      <c r="A4199" s="10">
        <v>2020</v>
      </c>
      <c r="B4199" t="s">
        <v>1128</v>
      </c>
      <c r="C4199" t="s">
        <v>1959</v>
      </c>
      <c r="D4199" t="s">
        <v>1959</v>
      </c>
      <c r="E4199" s="10">
        <v>123481</v>
      </c>
      <c r="F4199" s="12">
        <v>9.87E-5</v>
      </c>
    </row>
    <row r="4200" spans="1:6">
      <c r="A4200" s="10">
        <v>2020</v>
      </c>
      <c r="B4200" t="s">
        <v>1129</v>
      </c>
      <c r="C4200" t="s">
        <v>1074</v>
      </c>
      <c r="D4200" t="s">
        <v>1074</v>
      </c>
      <c r="E4200" s="10">
        <v>14971</v>
      </c>
      <c r="F4200" s="12">
        <v>1.2E-5</v>
      </c>
    </row>
    <row r="4201" spans="1:6">
      <c r="A4201" s="10">
        <v>2020</v>
      </c>
      <c r="B4201" t="s">
        <v>1130</v>
      </c>
      <c r="C4201" t="s">
        <v>1075</v>
      </c>
      <c r="D4201" t="s">
        <v>1075</v>
      </c>
      <c r="E4201" s="10"/>
    </row>
    <row r="4202" spans="1:6">
      <c r="A4202" s="10">
        <v>2020</v>
      </c>
      <c r="B4202" t="s">
        <v>1131</v>
      </c>
      <c r="C4202" t="s">
        <v>1960</v>
      </c>
      <c r="D4202" t="s">
        <v>1960</v>
      </c>
      <c r="E4202" s="10">
        <v>25560</v>
      </c>
      <c r="F4202" s="12">
        <v>2.0400000000000001E-5</v>
      </c>
    </row>
    <row r="4203" spans="1:6">
      <c r="A4203" s="10">
        <v>2020</v>
      </c>
      <c r="B4203" t="s">
        <v>457</v>
      </c>
      <c r="C4203" t="s">
        <v>1961</v>
      </c>
      <c r="D4203" t="s">
        <v>1961</v>
      </c>
      <c r="E4203" s="10">
        <v>124337</v>
      </c>
      <c r="F4203" s="12">
        <v>9.9400000000000004E-5</v>
      </c>
    </row>
    <row r="4204" spans="1:6">
      <c r="A4204" s="10">
        <v>2020</v>
      </c>
      <c r="B4204" t="s">
        <v>1132</v>
      </c>
      <c r="C4204" t="s">
        <v>2389</v>
      </c>
      <c r="D4204" t="s">
        <v>2389</v>
      </c>
      <c r="E4204" s="10">
        <v>75285</v>
      </c>
      <c r="F4204" s="12">
        <v>6.02E-5</v>
      </c>
    </row>
    <row r="4205" spans="1:6">
      <c r="A4205" s="10">
        <v>2020</v>
      </c>
      <c r="B4205" t="s">
        <v>1133</v>
      </c>
      <c r="C4205" t="s">
        <v>1962</v>
      </c>
      <c r="D4205" t="s">
        <v>1962</v>
      </c>
      <c r="E4205" s="10">
        <v>82649</v>
      </c>
      <c r="F4205" s="12">
        <v>6.6000000000000005E-5</v>
      </c>
    </row>
    <row r="4206" spans="1:6">
      <c r="A4206" s="10">
        <v>2020</v>
      </c>
      <c r="B4206" t="s">
        <v>1994</v>
      </c>
      <c r="C4206" t="s">
        <v>1963</v>
      </c>
      <c r="D4206" t="s">
        <v>1963</v>
      </c>
      <c r="E4206" s="10">
        <v>64609</v>
      </c>
      <c r="F4206" s="12">
        <v>5.1600000000000001E-5</v>
      </c>
    </row>
    <row r="4207" spans="1:6">
      <c r="A4207" s="10">
        <v>2020</v>
      </c>
      <c r="B4207" t="s">
        <v>1246</v>
      </c>
      <c r="C4207" t="s">
        <v>1964</v>
      </c>
      <c r="D4207" t="s">
        <v>1964</v>
      </c>
      <c r="E4207" s="10">
        <v>120423</v>
      </c>
      <c r="F4207" s="12">
        <v>9.6199999999999994E-5</v>
      </c>
    </row>
    <row r="4208" spans="1:6">
      <c r="A4208" s="10">
        <v>2020</v>
      </c>
      <c r="B4208" t="s">
        <v>1135</v>
      </c>
      <c r="C4208" t="s">
        <v>1965</v>
      </c>
      <c r="D4208" t="s">
        <v>1965</v>
      </c>
      <c r="E4208" s="10">
        <v>276244</v>
      </c>
      <c r="F4208" s="12">
        <v>2.207E-4</v>
      </c>
    </row>
    <row r="4209" spans="1:6">
      <c r="A4209" s="10">
        <v>2020</v>
      </c>
      <c r="B4209" t="s">
        <v>1136</v>
      </c>
      <c r="C4209" t="s">
        <v>1966</v>
      </c>
      <c r="D4209" t="s">
        <v>1966</v>
      </c>
      <c r="E4209" s="10">
        <v>551682</v>
      </c>
      <c r="F4209" s="12">
        <v>4.4079999999999998E-4</v>
      </c>
    </row>
    <row r="4210" spans="1:6">
      <c r="A4210" s="10">
        <v>2020</v>
      </c>
      <c r="B4210" t="s">
        <v>458</v>
      </c>
      <c r="C4210" t="s">
        <v>1967</v>
      </c>
      <c r="D4210" t="s">
        <v>1967</v>
      </c>
      <c r="E4210" s="10">
        <v>135535</v>
      </c>
      <c r="F4210" s="12">
        <v>1.083E-4</v>
      </c>
    </row>
    <row r="4211" spans="1:6">
      <c r="A4211" s="10">
        <v>2020</v>
      </c>
      <c r="B4211" t="s">
        <v>1137</v>
      </c>
      <c r="C4211" t="s">
        <v>1968</v>
      </c>
      <c r="D4211" t="s">
        <v>1968</v>
      </c>
      <c r="E4211" s="10">
        <v>258972</v>
      </c>
      <c r="F4211" s="12">
        <v>2.0689999999999999E-4</v>
      </c>
    </row>
    <row r="4212" spans="1:6">
      <c r="A4212" s="10">
        <v>2020</v>
      </c>
      <c r="B4212" t="s">
        <v>1247</v>
      </c>
      <c r="C4212" t="s">
        <v>1969</v>
      </c>
      <c r="D4212" t="s">
        <v>1969</v>
      </c>
      <c r="E4212" s="10">
        <v>26729</v>
      </c>
      <c r="F4212" s="12">
        <v>2.1399999999999998E-5</v>
      </c>
    </row>
    <row r="4213" spans="1:6">
      <c r="A4213" s="10">
        <v>2020</v>
      </c>
      <c r="B4213" t="s">
        <v>1138</v>
      </c>
      <c r="C4213" t="s">
        <v>1083</v>
      </c>
      <c r="D4213" t="s">
        <v>1083</v>
      </c>
      <c r="E4213" s="10"/>
    </row>
    <row r="4214" spans="1:6">
      <c r="A4214" s="10">
        <v>2020</v>
      </c>
      <c r="B4214" t="s">
        <v>96</v>
      </c>
      <c r="C4214" t="s">
        <v>1970</v>
      </c>
      <c r="D4214" t="s">
        <v>1970</v>
      </c>
      <c r="E4214" s="10">
        <v>21672</v>
      </c>
      <c r="F4214" s="12">
        <v>1.73E-5</v>
      </c>
    </row>
    <row r="4215" spans="1:6">
      <c r="A4215" s="10">
        <v>2020</v>
      </c>
      <c r="B4215" t="s">
        <v>1139</v>
      </c>
      <c r="C4215" t="s">
        <v>1084</v>
      </c>
      <c r="D4215" t="s">
        <v>1084</v>
      </c>
      <c r="E4215" s="10">
        <v>46236</v>
      </c>
      <c r="F4215" s="12">
        <v>3.6900000000000002E-5</v>
      </c>
    </row>
    <row r="4216" spans="1:6">
      <c r="A4216" s="10">
        <v>2020</v>
      </c>
      <c r="B4216" t="s">
        <v>1141</v>
      </c>
      <c r="C4216" t="s">
        <v>1971</v>
      </c>
      <c r="D4216" t="s">
        <v>1971</v>
      </c>
      <c r="E4216" s="10">
        <v>22971</v>
      </c>
      <c r="F4216" s="12">
        <v>1.84E-5</v>
      </c>
    </row>
    <row r="4217" spans="1:6">
      <c r="A4217" s="10">
        <v>2020</v>
      </c>
      <c r="B4217" t="s">
        <v>1142</v>
      </c>
      <c r="C4217" t="s">
        <v>1087</v>
      </c>
      <c r="D4217" t="s">
        <v>1087</v>
      </c>
      <c r="E4217" s="10">
        <v>191844</v>
      </c>
      <c r="F4217" s="12">
        <v>1.5330000000000001E-4</v>
      </c>
    </row>
    <row r="4218" spans="1:6">
      <c r="A4218" s="10">
        <v>2020</v>
      </c>
      <c r="B4218" t="s">
        <v>1143</v>
      </c>
      <c r="C4218" t="s">
        <v>1088</v>
      </c>
      <c r="D4218" t="s">
        <v>1088</v>
      </c>
      <c r="E4218" s="10"/>
    </row>
    <row r="4219" spans="1:6">
      <c r="A4219" s="10">
        <v>2020</v>
      </c>
      <c r="B4219" t="s">
        <v>1144</v>
      </c>
      <c r="C4219" t="s">
        <v>1089</v>
      </c>
      <c r="D4219" t="s">
        <v>1089</v>
      </c>
      <c r="E4219" s="10"/>
    </row>
    <row r="4220" spans="1:6">
      <c r="A4220" s="10">
        <v>2020</v>
      </c>
      <c r="B4220" t="s">
        <v>1146</v>
      </c>
      <c r="C4220" t="s">
        <v>1973</v>
      </c>
      <c r="D4220" t="s">
        <v>1973</v>
      </c>
      <c r="E4220" s="10">
        <v>8954653</v>
      </c>
      <c r="F4220" s="12">
        <v>7.1551999999999996E-3</v>
      </c>
    </row>
    <row r="4221" spans="1:6">
      <c r="A4221" s="10">
        <v>2020</v>
      </c>
      <c r="B4221" t="s">
        <v>1147</v>
      </c>
      <c r="C4221" t="s">
        <v>1092</v>
      </c>
      <c r="D4221" t="s">
        <v>1092</v>
      </c>
      <c r="E4221" s="10">
        <v>3596</v>
      </c>
      <c r="F4221" s="12">
        <v>2.9000000000000002E-6</v>
      </c>
    </row>
    <row r="4222" spans="1:6">
      <c r="A4222" s="10">
        <v>2020</v>
      </c>
      <c r="B4222" t="s">
        <v>1148</v>
      </c>
      <c r="C4222" t="s">
        <v>1974</v>
      </c>
      <c r="D4222" t="s">
        <v>1974</v>
      </c>
      <c r="E4222" s="10">
        <v>238543</v>
      </c>
      <c r="F4222" s="12">
        <v>1.906E-4</v>
      </c>
    </row>
    <row r="4223" spans="1:6">
      <c r="A4223" s="10">
        <v>2020</v>
      </c>
      <c r="B4223" t="s">
        <v>1248</v>
      </c>
      <c r="C4223" t="s">
        <v>1975</v>
      </c>
      <c r="D4223" t="s">
        <v>1975</v>
      </c>
      <c r="E4223" s="10">
        <v>74573</v>
      </c>
      <c r="F4223" s="12">
        <v>5.9599999999999999E-5</v>
      </c>
    </row>
    <row r="4224" spans="1:6">
      <c r="A4224" s="10">
        <v>2020</v>
      </c>
      <c r="B4224" t="s">
        <v>1149</v>
      </c>
      <c r="C4224" t="s">
        <v>1094</v>
      </c>
      <c r="D4224" t="s">
        <v>1094</v>
      </c>
      <c r="E4224" s="10">
        <v>256989</v>
      </c>
      <c r="F4224" s="12">
        <v>2.053E-4</v>
      </c>
    </row>
    <row r="4225" spans="1:6">
      <c r="A4225" s="10">
        <v>2020</v>
      </c>
      <c r="B4225" t="s">
        <v>1150</v>
      </c>
      <c r="C4225" t="s">
        <v>1976</v>
      </c>
      <c r="D4225" t="s">
        <v>1976</v>
      </c>
      <c r="E4225" s="10">
        <v>183914</v>
      </c>
      <c r="F4225" s="12">
        <v>1.47E-4</v>
      </c>
    </row>
    <row r="4226" spans="1:6">
      <c r="A4226" s="10">
        <v>2020</v>
      </c>
      <c r="B4226" t="s">
        <v>459</v>
      </c>
      <c r="C4226" t="s">
        <v>1977</v>
      </c>
      <c r="D4226" t="s">
        <v>1977</v>
      </c>
      <c r="E4226" s="10">
        <v>4707427</v>
      </c>
      <c r="F4226" s="12">
        <v>3.7613999999999998E-3</v>
      </c>
    </row>
    <row r="4227" spans="1:6">
      <c r="A4227" s="10">
        <v>2020</v>
      </c>
      <c r="B4227" t="s">
        <v>1152</v>
      </c>
      <c r="C4227" t="s">
        <v>1979</v>
      </c>
      <c r="D4227" t="s">
        <v>1979</v>
      </c>
      <c r="E4227" s="10">
        <v>1136137</v>
      </c>
      <c r="F4227" s="12">
        <v>9.0779999999999995E-4</v>
      </c>
    </row>
    <row r="4228" spans="1:6">
      <c r="A4228" s="10">
        <v>2020</v>
      </c>
      <c r="B4228" t="s">
        <v>1249</v>
      </c>
      <c r="C4228" t="s">
        <v>1980</v>
      </c>
      <c r="D4228" t="s">
        <v>1980</v>
      </c>
      <c r="E4228" s="10">
        <v>101659</v>
      </c>
      <c r="F4228" s="12">
        <v>8.1199999999999995E-5</v>
      </c>
    </row>
    <row r="4229" spans="1:6">
      <c r="A4229" s="10">
        <v>2020</v>
      </c>
      <c r="B4229" t="s">
        <v>1153</v>
      </c>
      <c r="C4229" t="s">
        <v>1981</v>
      </c>
      <c r="D4229" t="s">
        <v>1981</v>
      </c>
      <c r="E4229" s="10">
        <v>157475</v>
      </c>
      <c r="F4229" s="12">
        <v>1.2579999999999999E-4</v>
      </c>
    </row>
    <row r="4230" spans="1:6">
      <c r="A4230" s="10">
        <v>2020</v>
      </c>
      <c r="B4230" t="s">
        <v>1154</v>
      </c>
      <c r="C4230" t="s">
        <v>1982</v>
      </c>
      <c r="D4230" t="s">
        <v>1982</v>
      </c>
      <c r="E4230" s="10">
        <v>8563027</v>
      </c>
      <c r="F4230" s="12">
        <v>6.8421999999999997E-3</v>
      </c>
    </row>
    <row r="4231" spans="1:6">
      <c r="A4231" s="10">
        <v>2020</v>
      </c>
      <c r="B4231" t="s">
        <v>1209</v>
      </c>
      <c r="C4231" t="s">
        <v>1983</v>
      </c>
      <c r="D4231" t="s">
        <v>1983</v>
      </c>
      <c r="E4231" s="10">
        <v>8602554</v>
      </c>
      <c r="F4231" s="12">
        <v>6.8738000000000002E-3</v>
      </c>
    </row>
    <row r="4232" spans="1:6">
      <c r="A4232" s="10">
        <v>2020</v>
      </c>
      <c r="B4232" t="s">
        <v>460</v>
      </c>
      <c r="C4232" t="s">
        <v>1984</v>
      </c>
      <c r="D4232" t="s">
        <v>1984</v>
      </c>
      <c r="E4232" s="10">
        <v>9576743</v>
      </c>
      <c r="F4232" s="12">
        <v>7.6522999999999999E-3</v>
      </c>
    </row>
    <row r="4233" spans="1:6">
      <c r="A4233" s="10">
        <v>2020</v>
      </c>
      <c r="B4233" t="s">
        <v>1210</v>
      </c>
      <c r="C4233" t="s">
        <v>1985</v>
      </c>
      <c r="D4233" t="s">
        <v>1985</v>
      </c>
      <c r="E4233" s="10">
        <v>827464</v>
      </c>
      <c r="F4233" s="12">
        <v>6.6120000000000003E-4</v>
      </c>
    </row>
    <row r="4234" spans="1:6">
      <c r="A4234" s="10">
        <v>2020</v>
      </c>
      <c r="B4234" t="s">
        <v>1250</v>
      </c>
      <c r="C4234" t="s">
        <v>1986</v>
      </c>
      <c r="D4234" t="s">
        <v>1986</v>
      </c>
      <c r="E4234" s="10">
        <v>184070</v>
      </c>
      <c r="F4234" s="12">
        <v>1.471E-4</v>
      </c>
    </row>
    <row r="4235" spans="1:6">
      <c r="A4235" s="10">
        <v>2020</v>
      </c>
      <c r="B4235" t="s">
        <v>1211</v>
      </c>
      <c r="C4235" t="s">
        <v>1157</v>
      </c>
      <c r="D4235" t="s">
        <v>1157</v>
      </c>
      <c r="E4235" s="10">
        <v>3859</v>
      </c>
      <c r="F4235" s="12">
        <v>3.1E-6</v>
      </c>
    </row>
    <row r="4236" spans="1:6">
      <c r="A4236" s="10">
        <v>2020</v>
      </c>
      <c r="B4236" t="s">
        <v>1483</v>
      </c>
      <c r="C4236" t="s">
        <v>1482</v>
      </c>
      <c r="D4236" t="s">
        <v>1482</v>
      </c>
      <c r="E4236" s="10">
        <v>72896</v>
      </c>
      <c r="F4236" s="12">
        <v>5.8199999999999998E-5</v>
      </c>
    </row>
    <row r="4237" spans="1:6">
      <c r="A4237" s="10">
        <v>2020</v>
      </c>
      <c r="B4237" t="s">
        <v>1212</v>
      </c>
      <c r="C4237" t="s">
        <v>1987</v>
      </c>
      <c r="D4237" t="s">
        <v>1987</v>
      </c>
      <c r="E4237" s="10">
        <v>1914474</v>
      </c>
      <c r="F4237" s="12">
        <v>1.5298E-3</v>
      </c>
    </row>
    <row r="4238" spans="1:6">
      <c r="A4238" s="10">
        <v>2020</v>
      </c>
      <c r="B4238" t="s">
        <v>1213</v>
      </c>
      <c r="C4238" t="s">
        <v>1988</v>
      </c>
      <c r="D4238" t="s">
        <v>1988</v>
      </c>
      <c r="E4238" s="10">
        <v>6997557</v>
      </c>
      <c r="F4238" s="12">
        <v>5.5913999999999998E-3</v>
      </c>
    </row>
    <row r="4239" spans="1:6">
      <c r="A4239" s="10">
        <v>2020</v>
      </c>
      <c r="B4239" t="s">
        <v>461</v>
      </c>
      <c r="C4239" t="s">
        <v>1989</v>
      </c>
      <c r="D4239" t="s">
        <v>1989</v>
      </c>
      <c r="E4239" s="10">
        <v>1096253</v>
      </c>
      <c r="F4239" s="12">
        <v>8.7600000000000004E-4</v>
      </c>
    </row>
    <row r="4240" spans="1:6">
      <c r="A4240" s="10">
        <v>2020</v>
      </c>
      <c r="B4240" t="s">
        <v>1214</v>
      </c>
      <c r="C4240" t="s">
        <v>1990</v>
      </c>
      <c r="D4240" t="s">
        <v>1990</v>
      </c>
      <c r="E4240" s="10">
        <v>544346</v>
      </c>
      <c r="F4240" s="12">
        <v>4.35E-4</v>
      </c>
    </row>
    <row r="4241" spans="1:6">
      <c r="A4241" s="10">
        <v>2020</v>
      </c>
      <c r="B4241" t="s">
        <v>1215</v>
      </c>
      <c r="C4241" t="s">
        <v>1991</v>
      </c>
      <c r="D4241" t="s">
        <v>1991</v>
      </c>
      <c r="E4241" s="10">
        <v>530142</v>
      </c>
      <c r="F4241" s="12">
        <v>4.236E-4</v>
      </c>
    </row>
    <row r="4242" spans="1:6">
      <c r="A4242" s="10">
        <v>2020</v>
      </c>
      <c r="B4242" t="s">
        <v>462</v>
      </c>
      <c r="C4242" t="s">
        <v>1992</v>
      </c>
      <c r="D4242" t="s">
        <v>1992</v>
      </c>
      <c r="E4242" s="10">
        <v>81627</v>
      </c>
      <c r="F4242" s="12">
        <v>6.5199999999999999E-5</v>
      </c>
    </row>
    <row r="4243" spans="1:6">
      <c r="A4243" s="10">
        <v>2020</v>
      </c>
      <c r="B4243" t="s">
        <v>1217</v>
      </c>
      <c r="C4243" t="s">
        <v>1993</v>
      </c>
      <c r="D4243" t="s">
        <v>1993</v>
      </c>
      <c r="E4243" s="10">
        <v>102095</v>
      </c>
      <c r="F4243" s="12">
        <v>8.1600000000000005E-5</v>
      </c>
    </row>
    <row r="4244" spans="1:6">
      <c r="A4244" s="10">
        <v>2020</v>
      </c>
      <c r="B4244" t="s">
        <v>1218</v>
      </c>
      <c r="C4244" t="s">
        <v>1995</v>
      </c>
      <c r="D4244" t="s">
        <v>1995</v>
      </c>
      <c r="E4244" s="10">
        <v>91433</v>
      </c>
      <c r="F4244" s="12">
        <v>7.3100000000000001E-5</v>
      </c>
    </row>
    <row r="4245" spans="1:6">
      <c r="A4245" s="10">
        <v>2020</v>
      </c>
      <c r="B4245" t="s">
        <v>1255</v>
      </c>
      <c r="C4245" t="s">
        <v>1201</v>
      </c>
      <c r="D4245" t="s">
        <v>1201</v>
      </c>
      <c r="E4245" s="10">
        <v>4334</v>
      </c>
      <c r="F4245" s="12">
        <v>3.4999999999999999E-6</v>
      </c>
    </row>
    <row r="4246" spans="1:6">
      <c r="A4246" s="10">
        <v>2020</v>
      </c>
      <c r="B4246" t="s">
        <v>1256</v>
      </c>
      <c r="C4246" t="s">
        <v>1202</v>
      </c>
      <c r="D4246" t="s">
        <v>1202</v>
      </c>
      <c r="E4246" s="10">
        <v>48265</v>
      </c>
      <c r="F4246" s="12">
        <v>3.8600000000000003E-5</v>
      </c>
    </row>
    <row r="4247" spans="1:6">
      <c r="A4247" s="10">
        <v>2020</v>
      </c>
      <c r="B4247" t="s">
        <v>1257</v>
      </c>
      <c r="C4247" t="s">
        <v>1996</v>
      </c>
      <c r="D4247" t="s">
        <v>1996</v>
      </c>
      <c r="E4247" s="10">
        <v>1339807</v>
      </c>
      <c r="F4247" s="12">
        <v>1.0705999999999999E-3</v>
      </c>
    </row>
    <row r="4248" spans="1:6">
      <c r="A4248" s="10">
        <v>2020</v>
      </c>
      <c r="B4248" t="s">
        <v>1258</v>
      </c>
      <c r="C4248" t="s">
        <v>1204</v>
      </c>
      <c r="D4248" t="s">
        <v>1204</v>
      </c>
      <c r="E4248" s="10">
        <v>1264165</v>
      </c>
      <c r="F4248" s="12">
        <v>1.0101000000000001E-3</v>
      </c>
    </row>
    <row r="4249" spans="1:6">
      <c r="A4249" s="10">
        <v>2020</v>
      </c>
      <c r="B4249" t="s">
        <v>1259</v>
      </c>
      <c r="C4249" t="s">
        <v>1205</v>
      </c>
      <c r="D4249" t="s">
        <v>1205</v>
      </c>
      <c r="E4249" s="10">
        <v>300269</v>
      </c>
      <c r="F4249" s="12">
        <v>2.399E-4</v>
      </c>
    </row>
    <row r="4250" spans="1:6">
      <c r="A4250" s="10">
        <v>2020</v>
      </c>
      <c r="B4250" t="s">
        <v>1260</v>
      </c>
      <c r="C4250" t="s">
        <v>1206</v>
      </c>
      <c r="D4250" t="s">
        <v>1206</v>
      </c>
      <c r="E4250" s="10">
        <v>77193</v>
      </c>
      <c r="F4250" s="12">
        <v>6.1699999999999995E-5</v>
      </c>
    </row>
    <row r="4251" spans="1:6">
      <c r="A4251" s="10">
        <v>2020</v>
      </c>
      <c r="B4251" t="s">
        <v>1261</v>
      </c>
      <c r="C4251" t="s">
        <v>1997</v>
      </c>
      <c r="D4251" t="s">
        <v>1997</v>
      </c>
      <c r="E4251" s="10">
        <v>30614303</v>
      </c>
      <c r="F4251" s="12">
        <v>2.44622E-2</v>
      </c>
    </row>
    <row r="4252" spans="1:6">
      <c r="A4252" s="10">
        <v>2020</v>
      </c>
      <c r="B4252" t="s">
        <v>1262</v>
      </c>
      <c r="C4252" t="s">
        <v>1208</v>
      </c>
      <c r="D4252" t="s">
        <v>1208</v>
      </c>
      <c r="E4252" s="10">
        <v>45241</v>
      </c>
      <c r="F4252" s="12">
        <v>3.6100000000000003E-5</v>
      </c>
    </row>
    <row r="4253" spans="1:6">
      <c r="A4253" s="10">
        <v>2020</v>
      </c>
      <c r="B4253" t="s">
        <v>1251</v>
      </c>
      <c r="C4253" t="s">
        <v>1998</v>
      </c>
      <c r="D4253" t="s">
        <v>1998</v>
      </c>
      <c r="E4253" s="10">
        <v>36013</v>
      </c>
      <c r="F4253" s="12">
        <v>2.8799999999999999E-5</v>
      </c>
    </row>
    <row r="4254" spans="1:6">
      <c r="A4254" s="10">
        <v>2020</v>
      </c>
      <c r="B4254" t="s">
        <v>1311</v>
      </c>
      <c r="C4254" t="s">
        <v>2414</v>
      </c>
      <c r="D4254" t="s">
        <v>2414</v>
      </c>
      <c r="E4254" s="10">
        <v>934260</v>
      </c>
      <c r="F4254" s="12">
        <v>7.4649999999999998E-4</v>
      </c>
    </row>
    <row r="4255" spans="1:6">
      <c r="A4255" s="10">
        <v>2020</v>
      </c>
      <c r="B4255" t="s">
        <v>1312</v>
      </c>
      <c r="C4255" t="s">
        <v>2000</v>
      </c>
      <c r="D4255" t="s">
        <v>2000</v>
      </c>
      <c r="E4255" s="10">
        <v>50769667</v>
      </c>
      <c r="F4255" s="12">
        <v>4.0567300000000001E-2</v>
      </c>
    </row>
    <row r="4256" spans="1:6">
      <c r="A4256" s="10">
        <v>2020</v>
      </c>
      <c r="B4256" t="s">
        <v>1313</v>
      </c>
      <c r="C4256" t="s">
        <v>2001</v>
      </c>
      <c r="D4256" t="s">
        <v>2001</v>
      </c>
      <c r="E4256" s="10">
        <v>8496568</v>
      </c>
      <c r="F4256" s="12">
        <v>6.7891000000000002E-3</v>
      </c>
    </row>
    <row r="4257" spans="1:6">
      <c r="A4257" s="10">
        <v>2020</v>
      </c>
      <c r="B4257" t="s">
        <v>1314</v>
      </c>
      <c r="C4257" t="s">
        <v>2002</v>
      </c>
      <c r="D4257" t="s">
        <v>2002</v>
      </c>
      <c r="E4257" s="10">
        <v>68255</v>
      </c>
      <c r="F4257" s="12">
        <v>5.4500000000000003E-5</v>
      </c>
    </row>
    <row r="4258" spans="1:6">
      <c r="A4258" s="10">
        <v>2020</v>
      </c>
      <c r="B4258" t="s">
        <v>1035</v>
      </c>
      <c r="C4258" t="s">
        <v>2003</v>
      </c>
      <c r="D4258" t="s">
        <v>2003</v>
      </c>
      <c r="E4258" s="10">
        <v>300937</v>
      </c>
      <c r="F4258" s="12">
        <v>2.4049999999999999E-4</v>
      </c>
    </row>
    <row r="4259" spans="1:6">
      <c r="A4259" s="10">
        <v>2020</v>
      </c>
      <c r="B4259" t="s">
        <v>1315</v>
      </c>
      <c r="C4259" t="s">
        <v>2394</v>
      </c>
      <c r="D4259" t="s">
        <v>2004</v>
      </c>
      <c r="E4259" s="10">
        <v>46600</v>
      </c>
      <c r="F4259" s="12">
        <v>3.7200000000000003E-5</v>
      </c>
    </row>
    <row r="4260" spans="1:6">
      <c r="A4260" s="10">
        <v>2020</v>
      </c>
      <c r="B4260" t="s">
        <v>1033</v>
      </c>
      <c r="C4260" t="s">
        <v>2005</v>
      </c>
      <c r="D4260" t="s">
        <v>2005</v>
      </c>
      <c r="E4260" s="10">
        <v>2756995</v>
      </c>
      <c r="F4260" s="12">
        <v>2.2030000000000001E-3</v>
      </c>
    </row>
    <row r="4261" spans="1:6">
      <c r="A4261" s="10">
        <v>2020</v>
      </c>
      <c r="B4261" t="s">
        <v>1316</v>
      </c>
      <c r="C4261" t="s">
        <v>2459</v>
      </c>
      <c r="D4261" t="s">
        <v>2006</v>
      </c>
      <c r="E4261" s="10">
        <v>344438</v>
      </c>
      <c r="F4261" s="12">
        <v>2.7520000000000002E-4</v>
      </c>
    </row>
    <row r="4262" spans="1:6">
      <c r="A4262" s="10">
        <v>2020</v>
      </c>
      <c r="B4262" t="s">
        <v>1317</v>
      </c>
      <c r="C4262" t="s">
        <v>2007</v>
      </c>
      <c r="D4262" t="s">
        <v>2007</v>
      </c>
      <c r="E4262" s="10">
        <v>106031</v>
      </c>
      <c r="F4262" s="12">
        <v>8.4699999999999999E-5</v>
      </c>
    </row>
    <row r="4263" spans="1:6">
      <c r="A4263" s="10">
        <v>2020</v>
      </c>
      <c r="B4263" t="s">
        <v>1319</v>
      </c>
      <c r="C4263" t="s">
        <v>1271</v>
      </c>
      <c r="D4263" t="s">
        <v>1271</v>
      </c>
      <c r="E4263" s="10">
        <v>35087</v>
      </c>
      <c r="F4263" s="12">
        <v>2.8E-5</v>
      </c>
    </row>
    <row r="4264" spans="1:6">
      <c r="A4264" s="10">
        <v>2020</v>
      </c>
      <c r="B4264" t="s">
        <v>1320</v>
      </c>
      <c r="C4264" t="s">
        <v>2009</v>
      </c>
      <c r="D4264" t="s">
        <v>2009</v>
      </c>
      <c r="E4264" s="10">
        <v>106217</v>
      </c>
      <c r="F4264" s="12">
        <v>8.4900000000000004E-5</v>
      </c>
    </row>
    <row r="4265" spans="1:6">
      <c r="A4265" s="10">
        <v>2020</v>
      </c>
      <c r="B4265" t="s">
        <v>1321</v>
      </c>
      <c r="C4265" t="s">
        <v>1273</v>
      </c>
      <c r="D4265" t="s">
        <v>1273</v>
      </c>
      <c r="E4265" s="10"/>
    </row>
    <row r="4266" spans="1:6">
      <c r="A4266" s="10">
        <v>2020</v>
      </c>
      <c r="B4266" t="s">
        <v>1323</v>
      </c>
      <c r="C4266" t="s">
        <v>2011</v>
      </c>
      <c r="D4266" t="s">
        <v>2011</v>
      </c>
      <c r="E4266" s="10">
        <v>14482206</v>
      </c>
      <c r="F4266" s="12">
        <v>1.15719E-2</v>
      </c>
    </row>
    <row r="4267" spans="1:6">
      <c r="A4267" s="10">
        <v>2020</v>
      </c>
      <c r="B4267" t="s">
        <v>1325</v>
      </c>
      <c r="C4267" t="s">
        <v>2395</v>
      </c>
      <c r="D4267" t="s">
        <v>2395</v>
      </c>
      <c r="E4267" s="10">
        <v>131067</v>
      </c>
      <c r="F4267" s="12">
        <v>1.047E-4</v>
      </c>
    </row>
    <row r="4268" spans="1:6">
      <c r="A4268" s="10">
        <v>2020</v>
      </c>
      <c r="B4268" t="s">
        <v>1252</v>
      </c>
      <c r="C4268" t="s">
        <v>2013</v>
      </c>
      <c r="D4268" t="s">
        <v>2013</v>
      </c>
      <c r="E4268" s="10">
        <v>128944</v>
      </c>
      <c r="F4268" s="12">
        <v>1.03E-4</v>
      </c>
    </row>
    <row r="4269" spans="1:6">
      <c r="A4269" s="10">
        <v>2020</v>
      </c>
      <c r="B4269" t="s">
        <v>1326</v>
      </c>
      <c r="C4269" t="s">
        <v>2014</v>
      </c>
      <c r="D4269" t="s">
        <v>2014</v>
      </c>
      <c r="E4269" s="10">
        <v>102961</v>
      </c>
      <c r="F4269" s="12">
        <v>8.2299999999999995E-5</v>
      </c>
    </row>
    <row r="4270" spans="1:6">
      <c r="A4270" s="10">
        <v>2020</v>
      </c>
      <c r="B4270" t="s">
        <v>1327</v>
      </c>
      <c r="C4270" t="s">
        <v>1279</v>
      </c>
      <c r="D4270" t="s">
        <v>1279</v>
      </c>
      <c r="E4270" s="10">
        <v>1043419</v>
      </c>
      <c r="F4270" s="12">
        <v>8.3370000000000004E-4</v>
      </c>
    </row>
    <row r="4271" spans="1:6">
      <c r="A4271" s="10">
        <v>2020</v>
      </c>
      <c r="B4271" t="s">
        <v>1328</v>
      </c>
      <c r="C4271" t="s">
        <v>1484</v>
      </c>
      <c r="D4271" t="s">
        <v>1484</v>
      </c>
      <c r="E4271" s="10">
        <v>37853</v>
      </c>
      <c r="F4271" s="12">
        <v>3.0199999999999999E-5</v>
      </c>
    </row>
    <row r="4272" spans="1:6">
      <c r="A4272" s="10">
        <v>2020</v>
      </c>
      <c r="B4272" t="s">
        <v>1329</v>
      </c>
      <c r="C4272" t="s">
        <v>1485</v>
      </c>
      <c r="D4272" t="s">
        <v>1485</v>
      </c>
      <c r="E4272" s="10">
        <v>1148945</v>
      </c>
      <c r="F4272" s="12">
        <v>9.1810000000000004E-4</v>
      </c>
    </row>
    <row r="4273" spans="1:6">
      <c r="A4273" s="10">
        <v>2020</v>
      </c>
      <c r="B4273" t="s">
        <v>1332</v>
      </c>
      <c r="C4273" t="s">
        <v>1284</v>
      </c>
      <c r="D4273" t="s">
        <v>1284</v>
      </c>
      <c r="E4273" s="10">
        <v>31808</v>
      </c>
      <c r="F4273" s="12">
        <v>2.5400000000000001E-5</v>
      </c>
    </row>
    <row r="4274" spans="1:6">
      <c r="A4274" s="10">
        <v>2020</v>
      </c>
      <c r="B4274" t="s">
        <v>1333</v>
      </c>
      <c r="C4274" t="s">
        <v>2015</v>
      </c>
      <c r="D4274" t="s">
        <v>2015</v>
      </c>
      <c r="E4274" s="10">
        <v>6078</v>
      </c>
      <c r="F4274" s="12">
        <v>4.8999999999999997E-6</v>
      </c>
    </row>
    <row r="4275" spans="1:6">
      <c r="A4275" s="10">
        <v>2020</v>
      </c>
      <c r="B4275" t="s">
        <v>1334</v>
      </c>
      <c r="C4275" t="s">
        <v>2016</v>
      </c>
      <c r="D4275" t="s">
        <v>2016</v>
      </c>
      <c r="E4275" s="10">
        <v>1503049</v>
      </c>
      <c r="F4275" s="12">
        <v>1.201E-3</v>
      </c>
    </row>
    <row r="4276" spans="1:6">
      <c r="A4276" s="10">
        <v>2020</v>
      </c>
      <c r="B4276" t="s">
        <v>1335</v>
      </c>
      <c r="C4276" t="s">
        <v>2017</v>
      </c>
      <c r="D4276" t="s">
        <v>2017</v>
      </c>
      <c r="E4276" s="10">
        <v>793862</v>
      </c>
      <c r="F4276" s="12">
        <v>6.3429999999999997E-4</v>
      </c>
    </row>
    <row r="4277" spans="1:6">
      <c r="A4277" s="10">
        <v>2020</v>
      </c>
      <c r="B4277" t="s">
        <v>1253</v>
      </c>
      <c r="C4277" t="s">
        <v>2018</v>
      </c>
      <c r="D4277" t="s">
        <v>2018</v>
      </c>
      <c r="E4277" s="10">
        <v>355347</v>
      </c>
      <c r="F4277" s="12">
        <v>2.8390000000000002E-4</v>
      </c>
    </row>
    <row r="4278" spans="1:6">
      <c r="A4278" s="10">
        <v>2020</v>
      </c>
      <c r="B4278" t="s">
        <v>1336</v>
      </c>
      <c r="C4278" t="s">
        <v>2019</v>
      </c>
      <c r="D4278" t="s">
        <v>2019</v>
      </c>
      <c r="E4278" s="10">
        <v>633614</v>
      </c>
      <c r="F4278" s="12">
        <v>5.063E-4</v>
      </c>
    </row>
    <row r="4279" spans="1:6">
      <c r="A4279" s="10">
        <v>2020</v>
      </c>
      <c r="B4279" t="s">
        <v>463</v>
      </c>
      <c r="C4279" t="s">
        <v>2020</v>
      </c>
      <c r="D4279" t="s">
        <v>2020</v>
      </c>
      <c r="E4279" s="10">
        <v>178276</v>
      </c>
      <c r="F4279" s="12">
        <v>1.4249999999999999E-4</v>
      </c>
    </row>
    <row r="4280" spans="1:6">
      <c r="A4280" s="10">
        <v>2020</v>
      </c>
      <c r="B4280" t="s">
        <v>1337</v>
      </c>
      <c r="C4280" t="s">
        <v>2021</v>
      </c>
      <c r="D4280" t="s">
        <v>2021</v>
      </c>
      <c r="E4280" s="10">
        <v>434593</v>
      </c>
      <c r="F4280" s="12">
        <v>3.4729999999999999E-4</v>
      </c>
    </row>
    <row r="4281" spans="1:6">
      <c r="A4281" s="10">
        <v>2020</v>
      </c>
      <c r="B4281" t="s">
        <v>464</v>
      </c>
      <c r="C4281" t="s">
        <v>2022</v>
      </c>
      <c r="D4281" t="s">
        <v>2022</v>
      </c>
      <c r="E4281" s="10">
        <v>334634</v>
      </c>
      <c r="F4281" s="12">
        <v>2.6739999999999999E-4</v>
      </c>
    </row>
    <row r="4282" spans="1:6">
      <c r="A4282" s="10">
        <v>2020</v>
      </c>
      <c r="B4282" t="s">
        <v>1338</v>
      </c>
      <c r="C4282" t="s">
        <v>2023</v>
      </c>
      <c r="D4282" t="s">
        <v>2023</v>
      </c>
      <c r="E4282" s="10">
        <v>1724</v>
      </c>
      <c r="F4282" s="12">
        <v>1.3999999999999999E-6</v>
      </c>
    </row>
    <row r="4283" spans="1:6">
      <c r="A4283" s="10">
        <v>2020</v>
      </c>
      <c r="B4283" t="s">
        <v>907</v>
      </c>
      <c r="C4283" t="s">
        <v>2024</v>
      </c>
      <c r="D4283" t="s">
        <v>2024</v>
      </c>
      <c r="E4283" s="10">
        <v>43950</v>
      </c>
      <c r="F4283" s="12">
        <v>3.5099999999999999E-5</v>
      </c>
    </row>
    <row r="4284" spans="1:6">
      <c r="A4284" s="10">
        <v>2020</v>
      </c>
      <c r="B4284" t="s">
        <v>1339</v>
      </c>
      <c r="C4284" t="s">
        <v>2025</v>
      </c>
      <c r="D4284" t="s">
        <v>2025</v>
      </c>
      <c r="E4284" s="10">
        <v>869479</v>
      </c>
      <c r="F4284" s="12">
        <v>6.9479999999999997E-4</v>
      </c>
    </row>
    <row r="4285" spans="1:6">
      <c r="A4285" s="10">
        <v>2020</v>
      </c>
      <c r="B4285" t="s">
        <v>1340</v>
      </c>
      <c r="C4285" t="s">
        <v>2026</v>
      </c>
      <c r="D4285" t="s">
        <v>2026</v>
      </c>
      <c r="E4285" s="10">
        <v>1816808</v>
      </c>
      <c r="F4285" s="12">
        <v>1.4517E-3</v>
      </c>
    </row>
    <row r="4286" spans="1:6">
      <c r="A4286" s="10">
        <v>2020</v>
      </c>
      <c r="B4286" t="s">
        <v>1341</v>
      </c>
      <c r="C4286" t="s">
        <v>2027</v>
      </c>
      <c r="D4286" t="s">
        <v>2027</v>
      </c>
      <c r="E4286" s="10">
        <v>1223730</v>
      </c>
      <c r="F4286" s="12">
        <v>9.7780000000000002E-4</v>
      </c>
    </row>
    <row r="4287" spans="1:6">
      <c r="A4287" s="10">
        <v>2020</v>
      </c>
      <c r="B4287" t="s">
        <v>465</v>
      </c>
      <c r="C4287" t="s">
        <v>2028</v>
      </c>
      <c r="D4287" t="s">
        <v>2028</v>
      </c>
      <c r="E4287" s="10">
        <v>338933</v>
      </c>
      <c r="F4287" s="12">
        <v>2.7080000000000002E-4</v>
      </c>
    </row>
    <row r="4288" spans="1:6">
      <c r="A4288" s="10">
        <v>2020</v>
      </c>
      <c r="B4288" t="s">
        <v>1342</v>
      </c>
      <c r="C4288" t="s">
        <v>1294</v>
      </c>
      <c r="D4288" t="s">
        <v>1294</v>
      </c>
      <c r="E4288" s="10"/>
    </row>
    <row r="4289" spans="1:6">
      <c r="A4289" s="10">
        <v>2020</v>
      </c>
      <c r="B4289" t="s">
        <v>1343</v>
      </c>
      <c r="C4289" t="s">
        <v>2029</v>
      </c>
      <c r="D4289" t="s">
        <v>2029</v>
      </c>
      <c r="E4289" s="10">
        <v>43268</v>
      </c>
      <c r="F4289" s="12">
        <v>3.4600000000000001E-5</v>
      </c>
    </row>
    <row r="4290" spans="1:6">
      <c r="A4290" s="10">
        <v>2020</v>
      </c>
      <c r="B4290" t="s">
        <v>1344</v>
      </c>
      <c r="C4290" t="s">
        <v>2030</v>
      </c>
      <c r="D4290" t="s">
        <v>2030</v>
      </c>
      <c r="E4290" s="10">
        <v>80439</v>
      </c>
      <c r="F4290" s="12">
        <v>6.4300000000000004E-5</v>
      </c>
    </row>
    <row r="4291" spans="1:6">
      <c r="A4291" s="10">
        <v>2020</v>
      </c>
      <c r="B4291" t="s">
        <v>1346</v>
      </c>
      <c r="C4291" t="s">
        <v>1298</v>
      </c>
      <c r="D4291" t="s">
        <v>1298</v>
      </c>
      <c r="E4291" s="10">
        <v>2608920</v>
      </c>
      <c r="F4291" s="12">
        <v>2.0845999999999998E-3</v>
      </c>
    </row>
    <row r="4292" spans="1:6">
      <c r="A4292" s="10">
        <v>2020</v>
      </c>
      <c r="B4292" t="s">
        <v>1347</v>
      </c>
      <c r="C4292" t="s">
        <v>1299</v>
      </c>
      <c r="D4292" t="s">
        <v>1299</v>
      </c>
      <c r="E4292" s="10">
        <v>6496449</v>
      </c>
      <c r="F4292" s="12">
        <v>5.1910000000000003E-3</v>
      </c>
    </row>
    <row r="4293" spans="1:6">
      <c r="A4293" s="10">
        <v>2020</v>
      </c>
      <c r="B4293" t="s">
        <v>1348</v>
      </c>
      <c r="C4293" t="s">
        <v>2032</v>
      </c>
      <c r="D4293" t="s">
        <v>2032</v>
      </c>
      <c r="E4293" s="10">
        <v>86105</v>
      </c>
      <c r="F4293" s="12">
        <v>6.8800000000000005E-5</v>
      </c>
    </row>
    <row r="4294" spans="1:6">
      <c r="A4294" s="10">
        <v>2020</v>
      </c>
      <c r="B4294" t="s">
        <v>1349</v>
      </c>
      <c r="C4294" t="s">
        <v>2033</v>
      </c>
      <c r="D4294" t="s">
        <v>2033</v>
      </c>
      <c r="E4294" s="10">
        <v>236334</v>
      </c>
      <c r="F4294" s="12">
        <v>1.8880000000000001E-4</v>
      </c>
    </row>
    <row r="4295" spans="1:6">
      <c r="A4295" s="10">
        <v>2020</v>
      </c>
      <c r="B4295" t="s">
        <v>1254</v>
      </c>
      <c r="C4295" t="s">
        <v>2034</v>
      </c>
      <c r="D4295" t="s">
        <v>2034</v>
      </c>
      <c r="E4295" s="10">
        <v>91535</v>
      </c>
      <c r="F4295" s="12">
        <v>7.3100000000000001E-5</v>
      </c>
    </row>
    <row r="4296" spans="1:6">
      <c r="A4296" s="10">
        <v>2020</v>
      </c>
      <c r="B4296" t="s">
        <v>1350</v>
      </c>
      <c r="C4296" t="s">
        <v>2035</v>
      </c>
      <c r="D4296" t="s">
        <v>2035</v>
      </c>
      <c r="E4296" s="10">
        <v>33658</v>
      </c>
      <c r="F4296" s="12">
        <v>2.69E-5</v>
      </c>
    </row>
    <row r="4297" spans="1:6">
      <c r="A4297" s="10">
        <v>2020</v>
      </c>
      <c r="B4297" t="s">
        <v>1352</v>
      </c>
      <c r="C4297" t="s">
        <v>1304</v>
      </c>
      <c r="D4297" t="s">
        <v>1304</v>
      </c>
      <c r="E4297" s="10">
        <v>5029971</v>
      </c>
      <c r="F4297" s="12">
        <v>4.0191999999999997E-3</v>
      </c>
    </row>
    <row r="4298" spans="1:6">
      <c r="A4298" s="10">
        <v>2020</v>
      </c>
      <c r="B4298" t="s">
        <v>1353</v>
      </c>
      <c r="C4298" t="s">
        <v>1305</v>
      </c>
      <c r="D4298" t="s">
        <v>1305</v>
      </c>
      <c r="E4298" s="10">
        <v>160033</v>
      </c>
      <c r="F4298" s="12">
        <v>1.2789999999999999E-4</v>
      </c>
    </row>
    <row r="4299" spans="1:6">
      <c r="A4299" s="10">
        <v>2020</v>
      </c>
      <c r="B4299" t="s">
        <v>1351</v>
      </c>
      <c r="C4299" t="s">
        <v>2415</v>
      </c>
      <c r="D4299" t="s">
        <v>2415</v>
      </c>
      <c r="E4299" s="10">
        <v>38053</v>
      </c>
      <c r="F4299" s="12">
        <v>3.04E-5</v>
      </c>
    </row>
    <row r="4300" spans="1:6">
      <c r="A4300" s="10">
        <v>2020</v>
      </c>
      <c r="B4300" t="s">
        <v>1354</v>
      </c>
      <c r="C4300" t="s">
        <v>2037</v>
      </c>
      <c r="D4300" t="s">
        <v>2037</v>
      </c>
      <c r="E4300" s="10"/>
    </row>
    <row r="4301" spans="1:6">
      <c r="A4301" s="10">
        <v>2020</v>
      </c>
      <c r="B4301" t="s">
        <v>1355</v>
      </c>
      <c r="C4301" t="s">
        <v>2038</v>
      </c>
      <c r="D4301" t="s">
        <v>2038</v>
      </c>
      <c r="E4301" s="10">
        <v>4868383</v>
      </c>
      <c r="F4301" s="12">
        <v>3.8901000000000001E-3</v>
      </c>
    </row>
    <row r="4302" spans="1:6">
      <c r="A4302" s="10">
        <v>2020</v>
      </c>
      <c r="B4302" t="s">
        <v>1357</v>
      </c>
      <c r="C4302" t="s">
        <v>2039</v>
      </c>
      <c r="D4302" t="s">
        <v>2039</v>
      </c>
      <c r="E4302" s="10">
        <v>155001</v>
      </c>
      <c r="F4302" s="12">
        <v>1.239E-4</v>
      </c>
    </row>
    <row r="4303" spans="1:6">
      <c r="A4303" s="10">
        <v>2020</v>
      </c>
      <c r="B4303" t="s">
        <v>2043</v>
      </c>
      <c r="C4303" t="s">
        <v>2040</v>
      </c>
      <c r="D4303" t="s">
        <v>2040</v>
      </c>
      <c r="E4303" s="10">
        <v>34743</v>
      </c>
      <c r="F4303" s="12">
        <v>2.7800000000000001E-5</v>
      </c>
    </row>
    <row r="4304" spans="1:6">
      <c r="A4304" s="10">
        <v>2020</v>
      </c>
      <c r="B4304" t="s">
        <v>1358</v>
      </c>
      <c r="C4304" t="s">
        <v>2041</v>
      </c>
      <c r="D4304" t="s">
        <v>2041</v>
      </c>
      <c r="E4304" s="10">
        <v>5726277</v>
      </c>
      <c r="F4304" s="12">
        <v>4.5756E-3</v>
      </c>
    </row>
    <row r="4305" spans="1:6">
      <c r="A4305" s="10">
        <v>2020</v>
      </c>
      <c r="B4305" t="s">
        <v>466</v>
      </c>
      <c r="C4305" t="s">
        <v>2042</v>
      </c>
      <c r="D4305" t="s">
        <v>2042</v>
      </c>
      <c r="E4305" s="10">
        <v>3779498</v>
      </c>
      <c r="F4305" s="12">
        <v>3.0200000000000001E-3</v>
      </c>
    </row>
    <row r="4306" spans="1:6">
      <c r="A4306" s="10">
        <v>2021</v>
      </c>
      <c r="B4306" t="s">
        <v>59</v>
      </c>
      <c r="C4306" t="s">
        <v>6</v>
      </c>
      <c r="D4306" t="s">
        <v>6</v>
      </c>
      <c r="E4306" s="10"/>
    </row>
    <row r="4307" spans="1:6">
      <c r="A4307" s="10">
        <v>2021</v>
      </c>
      <c r="B4307" t="s">
        <v>60</v>
      </c>
      <c r="C4307" t="s">
        <v>7</v>
      </c>
      <c r="D4307" t="s">
        <v>7</v>
      </c>
      <c r="E4307" s="10">
        <v>328126</v>
      </c>
      <c r="F4307" s="12">
        <v>2.5050000000000002E-4</v>
      </c>
    </row>
    <row r="4308" spans="1:6">
      <c r="A4308" s="10">
        <v>2021</v>
      </c>
      <c r="B4308" t="s">
        <v>61</v>
      </c>
      <c r="C4308" t="s">
        <v>1487</v>
      </c>
      <c r="D4308" t="s">
        <v>1487</v>
      </c>
      <c r="E4308" s="10">
        <v>90338</v>
      </c>
      <c r="F4308" s="12">
        <v>6.8999999999999997E-5</v>
      </c>
    </row>
    <row r="4309" spans="1:6">
      <c r="A4309" s="10">
        <v>2021</v>
      </c>
      <c r="B4309" t="s">
        <v>62</v>
      </c>
      <c r="C4309" t="s">
        <v>9</v>
      </c>
      <c r="D4309" t="s">
        <v>9</v>
      </c>
      <c r="E4309" s="10">
        <v>82646</v>
      </c>
      <c r="F4309" s="12">
        <v>6.3100000000000002E-5</v>
      </c>
    </row>
    <row r="4310" spans="1:6">
      <c r="A4310" s="10">
        <v>2021</v>
      </c>
      <c r="B4310" t="s">
        <v>63</v>
      </c>
      <c r="C4310" t="s">
        <v>1488</v>
      </c>
      <c r="D4310" t="s">
        <v>1488</v>
      </c>
      <c r="E4310" s="10">
        <v>142289</v>
      </c>
      <c r="F4310" s="12">
        <v>1.086E-4</v>
      </c>
    </row>
    <row r="4311" spans="1:6">
      <c r="A4311" s="10">
        <v>2021</v>
      </c>
      <c r="B4311" t="s">
        <v>64</v>
      </c>
      <c r="C4311" t="s">
        <v>1489</v>
      </c>
      <c r="D4311" t="s">
        <v>1489</v>
      </c>
      <c r="E4311" s="10">
        <v>5715889</v>
      </c>
      <c r="F4311" s="12">
        <v>4.3644000000000001E-3</v>
      </c>
    </row>
    <row r="4312" spans="1:6">
      <c r="A4312" s="10">
        <v>2021</v>
      </c>
      <c r="B4312" t="s">
        <v>65</v>
      </c>
      <c r="C4312" t="s">
        <v>1490</v>
      </c>
      <c r="D4312" t="s">
        <v>1490</v>
      </c>
      <c r="E4312" s="10">
        <v>94877</v>
      </c>
      <c r="F4312" s="12">
        <v>7.2399999999999998E-5</v>
      </c>
    </row>
    <row r="4313" spans="1:6">
      <c r="A4313" s="10">
        <v>2021</v>
      </c>
      <c r="B4313" t="s">
        <v>66</v>
      </c>
      <c r="C4313" t="s">
        <v>1491</v>
      </c>
      <c r="D4313" t="s">
        <v>1491</v>
      </c>
      <c r="E4313" s="10">
        <v>28090</v>
      </c>
      <c r="F4313" s="12">
        <v>2.1399999999999998E-5</v>
      </c>
    </row>
    <row r="4314" spans="1:6">
      <c r="A4314" s="10">
        <v>2021</v>
      </c>
      <c r="B4314" t="s">
        <v>67</v>
      </c>
      <c r="C4314" t="s">
        <v>1492</v>
      </c>
      <c r="D4314" t="s">
        <v>1492</v>
      </c>
      <c r="E4314" s="10">
        <v>210014</v>
      </c>
      <c r="F4314" s="12">
        <v>1.604E-4</v>
      </c>
    </row>
    <row r="4315" spans="1:6">
      <c r="A4315" s="10">
        <v>2021</v>
      </c>
      <c r="B4315" t="s">
        <v>68</v>
      </c>
      <c r="C4315" t="s">
        <v>1493</v>
      </c>
      <c r="D4315" t="s">
        <v>1493</v>
      </c>
      <c r="E4315" s="10">
        <v>4327</v>
      </c>
      <c r="F4315" s="12">
        <v>3.3000000000000002E-6</v>
      </c>
    </row>
    <row r="4316" spans="1:6">
      <c r="A4316" s="10">
        <v>2021</v>
      </c>
      <c r="B4316" t="s">
        <v>69</v>
      </c>
      <c r="C4316" t="s">
        <v>1494</v>
      </c>
      <c r="D4316" t="s">
        <v>1494</v>
      </c>
      <c r="E4316" s="10">
        <v>417721</v>
      </c>
      <c r="F4316" s="12">
        <v>3.19E-4</v>
      </c>
    </row>
    <row r="4317" spans="1:6">
      <c r="A4317" s="10">
        <v>2021</v>
      </c>
      <c r="B4317" t="s">
        <v>70</v>
      </c>
      <c r="C4317" t="s">
        <v>1495</v>
      </c>
      <c r="D4317" t="s">
        <v>1495</v>
      </c>
      <c r="E4317" s="10">
        <v>7902760</v>
      </c>
      <c r="F4317" s="12">
        <v>6.0342E-3</v>
      </c>
    </row>
    <row r="4318" spans="1:6">
      <c r="A4318" s="10">
        <v>2021</v>
      </c>
      <c r="B4318" t="s">
        <v>71</v>
      </c>
      <c r="C4318" t="s">
        <v>1496</v>
      </c>
      <c r="D4318" t="s">
        <v>1496</v>
      </c>
      <c r="E4318" s="10">
        <v>72091</v>
      </c>
      <c r="F4318" s="12">
        <v>5.5000000000000002E-5</v>
      </c>
    </row>
    <row r="4319" spans="1:6">
      <c r="A4319" s="10">
        <v>2021</v>
      </c>
      <c r="B4319" t="s">
        <v>72</v>
      </c>
      <c r="C4319" t="s">
        <v>1497</v>
      </c>
      <c r="D4319" t="s">
        <v>1497</v>
      </c>
      <c r="E4319" s="10">
        <v>339829</v>
      </c>
      <c r="F4319" s="12">
        <v>2.5950000000000002E-4</v>
      </c>
    </row>
    <row r="4320" spans="1:6">
      <c r="A4320" s="10">
        <v>2021</v>
      </c>
      <c r="B4320" t="s">
        <v>74</v>
      </c>
      <c r="C4320" t="s">
        <v>1498</v>
      </c>
      <c r="D4320" t="s">
        <v>1498</v>
      </c>
      <c r="E4320" s="10">
        <v>31442</v>
      </c>
      <c r="F4320" s="12">
        <v>2.4000000000000001E-5</v>
      </c>
    </row>
    <row r="4321" spans="1:6">
      <c r="A4321" s="10">
        <v>2021</v>
      </c>
      <c r="B4321" t="s">
        <v>75</v>
      </c>
      <c r="C4321" t="s">
        <v>1365</v>
      </c>
      <c r="D4321" t="s">
        <v>1365</v>
      </c>
      <c r="E4321" s="10">
        <v>7331</v>
      </c>
      <c r="F4321" s="12">
        <v>5.5999999999999997E-6</v>
      </c>
    </row>
    <row r="4322" spans="1:6">
      <c r="A4322" s="10">
        <v>2021</v>
      </c>
      <c r="B4322" t="s">
        <v>76</v>
      </c>
      <c r="C4322" t="s">
        <v>1499</v>
      </c>
      <c r="D4322" t="s">
        <v>1499</v>
      </c>
      <c r="E4322" s="10">
        <v>8569540</v>
      </c>
      <c r="F4322" s="12">
        <v>6.5433000000000002E-3</v>
      </c>
    </row>
    <row r="4323" spans="1:6">
      <c r="A4323" s="10">
        <v>2021</v>
      </c>
      <c r="B4323" t="s">
        <v>77</v>
      </c>
      <c r="C4323" t="s">
        <v>1500</v>
      </c>
      <c r="D4323" t="s">
        <v>1500</v>
      </c>
      <c r="E4323" s="10">
        <v>187870</v>
      </c>
      <c r="F4323" s="12">
        <v>1.4339999999999999E-4</v>
      </c>
    </row>
    <row r="4324" spans="1:6">
      <c r="A4324" s="10">
        <v>2021</v>
      </c>
      <c r="B4324" t="s">
        <v>78</v>
      </c>
      <c r="C4324" t="s">
        <v>25</v>
      </c>
      <c r="D4324" t="s">
        <v>25</v>
      </c>
      <c r="E4324" s="10">
        <v>1353996</v>
      </c>
      <c r="F4324" s="12">
        <v>1.0338000000000001E-3</v>
      </c>
    </row>
    <row r="4325" spans="1:6">
      <c r="A4325" s="10">
        <v>2021</v>
      </c>
      <c r="B4325" t="s">
        <v>79</v>
      </c>
      <c r="C4325" t="s">
        <v>1502</v>
      </c>
      <c r="D4325" t="s">
        <v>1502</v>
      </c>
      <c r="E4325" s="10">
        <v>13776</v>
      </c>
      <c r="F4325" s="12">
        <v>1.0499999999999999E-5</v>
      </c>
    </row>
    <row r="4326" spans="1:6">
      <c r="A4326" s="10">
        <v>2021</v>
      </c>
      <c r="B4326" t="s">
        <v>80</v>
      </c>
      <c r="C4326" t="s">
        <v>1503</v>
      </c>
      <c r="D4326" t="s">
        <v>1503</v>
      </c>
      <c r="E4326" s="10">
        <v>1935510</v>
      </c>
      <c r="F4326" s="12">
        <v>1.4779000000000001E-3</v>
      </c>
    </row>
    <row r="4327" spans="1:6">
      <c r="A4327" s="10">
        <v>2021</v>
      </c>
      <c r="B4327" t="s">
        <v>1324</v>
      </c>
      <c r="C4327" t="s">
        <v>1504</v>
      </c>
      <c r="D4327" t="s">
        <v>1504</v>
      </c>
      <c r="E4327" s="10">
        <v>94868</v>
      </c>
      <c r="F4327" s="12">
        <v>7.2399999999999998E-5</v>
      </c>
    </row>
    <row r="4328" spans="1:6">
      <c r="A4328" s="10">
        <v>2021</v>
      </c>
      <c r="B4328" t="s">
        <v>369</v>
      </c>
      <c r="C4328" t="s">
        <v>1505</v>
      </c>
      <c r="D4328" t="s">
        <v>1505</v>
      </c>
      <c r="E4328" s="10">
        <v>1214963</v>
      </c>
      <c r="F4328" s="12">
        <v>9.2770000000000005E-4</v>
      </c>
    </row>
    <row r="4329" spans="1:6">
      <c r="A4329" s="10">
        <v>2021</v>
      </c>
      <c r="B4329" t="s">
        <v>81</v>
      </c>
      <c r="C4329" t="s">
        <v>1506</v>
      </c>
      <c r="D4329" t="s">
        <v>1506</v>
      </c>
      <c r="E4329" s="10">
        <v>171007</v>
      </c>
      <c r="F4329" s="12">
        <v>1.306E-4</v>
      </c>
    </row>
    <row r="4330" spans="1:6">
      <c r="A4330" s="10">
        <v>2021</v>
      </c>
      <c r="B4330" t="s">
        <v>1371</v>
      </c>
      <c r="C4330" t="s">
        <v>1507</v>
      </c>
      <c r="D4330" t="s">
        <v>1507</v>
      </c>
      <c r="E4330" s="10">
        <v>10967</v>
      </c>
      <c r="F4330" s="12">
        <v>8.3999999999999992E-6</v>
      </c>
    </row>
    <row r="4331" spans="1:6">
      <c r="A4331" s="10">
        <v>2021</v>
      </c>
      <c r="B4331" t="s">
        <v>58</v>
      </c>
      <c r="C4331" t="s">
        <v>1508</v>
      </c>
      <c r="D4331" t="s">
        <v>1508</v>
      </c>
      <c r="E4331" s="10">
        <v>812407</v>
      </c>
      <c r="F4331" s="12">
        <v>6.2029999999999995E-4</v>
      </c>
    </row>
    <row r="4332" spans="1:6">
      <c r="A4332" s="10">
        <v>2021</v>
      </c>
      <c r="B4332" t="s">
        <v>82</v>
      </c>
      <c r="C4332" t="s">
        <v>1509</v>
      </c>
      <c r="D4332" t="s">
        <v>1509</v>
      </c>
      <c r="E4332" s="10">
        <v>46498</v>
      </c>
      <c r="F4332" s="12">
        <v>3.5500000000000002E-5</v>
      </c>
    </row>
    <row r="4333" spans="1:6">
      <c r="A4333" s="10">
        <v>2021</v>
      </c>
      <c r="B4333" t="s">
        <v>83</v>
      </c>
      <c r="C4333" t="s">
        <v>30</v>
      </c>
      <c r="D4333" t="s">
        <v>30</v>
      </c>
      <c r="E4333" s="10">
        <v>7789978</v>
      </c>
      <c r="F4333" s="12">
        <v>5.9480999999999996E-3</v>
      </c>
    </row>
    <row r="4334" spans="1:6">
      <c r="A4334" s="10">
        <v>2021</v>
      </c>
      <c r="B4334" t="s">
        <v>84</v>
      </c>
      <c r="C4334" t="s">
        <v>31</v>
      </c>
      <c r="D4334" t="s">
        <v>31</v>
      </c>
      <c r="E4334" s="10"/>
    </row>
    <row r="4335" spans="1:6">
      <c r="A4335" s="10">
        <v>2021</v>
      </c>
      <c r="B4335" t="s">
        <v>1426</v>
      </c>
      <c r="C4335" t="s">
        <v>1510</v>
      </c>
      <c r="D4335" t="s">
        <v>1510</v>
      </c>
      <c r="E4335" s="10">
        <v>4376</v>
      </c>
      <c r="F4335" s="12">
        <v>3.3000000000000002E-6</v>
      </c>
    </row>
    <row r="4336" spans="1:6">
      <c r="A4336" s="10">
        <v>2021</v>
      </c>
      <c r="B4336" t="s">
        <v>91</v>
      </c>
      <c r="C4336" t="s">
        <v>1511</v>
      </c>
      <c r="D4336" t="s">
        <v>1511</v>
      </c>
      <c r="E4336" s="10">
        <v>23945</v>
      </c>
      <c r="F4336" s="12">
        <v>1.8300000000000001E-5</v>
      </c>
    </row>
    <row r="4337" spans="1:6">
      <c r="A4337" s="10">
        <v>2021</v>
      </c>
      <c r="B4337" t="s">
        <v>97</v>
      </c>
      <c r="C4337" t="s">
        <v>1512</v>
      </c>
      <c r="D4337" t="s">
        <v>1512</v>
      </c>
      <c r="E4337" s="10">
        <v>60265</v>
      </c>
      <c r="F4337" s="12">
        <v>4.6E-5</v>
      </c>
    </row>
    <row r="4338" spans="1:6">
      <c r="A4338" s="10">
        <v>2021</v>
      </c>
      <c r="B4338" t="s">
        <v>98</v>
      </c>
      <c r="C4338" t="s">
        <v>1513</v>
      </c>
      <c r="D4338" t="s">
        <v>1513</v>
      </c>
      <c r="E4338" s="10">
        <v>38977</v>
      </c>
      <c r="F4338" s="12">
        <v>2.9799999999999999E-5</v>
      </c>
    </row>
    <row r="4339" spans="1:6">
      <c r="A4339" s="10">
        <v>2021</v>
      </c>
      <c r="B4339" t="s">
        <v>99</v>
      </c>
      <c r="C4339" t="s">
        <v>1514</v>
      </c>
      <c r="D4339" t="s">
        <v>1514</v>
      </c>
      <c r="E4339" s="10">
        <v>18766</v>
      </c>
      <c r="F4339" s="12">
        <v>1.43E-5</v>
      </c>
    </row>
    <row r="4340" spans="1:6">
      <c r="A4340" s="10">
        <v>2021</v>
      </c>
      <c r="B4340" t="s">
        <v>210</v>
      </c>
      <c r="C4340" t="s">
        <v>1515</v>
      </c>
      <c r="D4340" t="s">
        <v>1515</v>
      </c>
      <c r="E4340" s="10"/>
    </row>
    <row r="4341" spans="1:6">
      <c r="A4341" s="10">
        <v>2021</v>
      </c>
      <c r="B4341" t="s">
        <v>85</v>
      </c>
      <c r="C4341" t="s">
        <v>1516</v>
      </c>
      <c r="D4341" t="s">
        <v>1516</v>
      </c>
      <c r="E4341" s="10">
        <v>29534</v>
      </c>
      <c r="F4341" s="12">
        <v>2.26E-5</v>
      </c>
    </row>
    <row r="4342" spans="1:6">
      <c r="A4342" s="10">
        <v>2021</v>
      </c>
      <c r="B4342" t="s">
        <v>102</v>
      </c>
      <c r="C4342" t="s">
        <v>1517</v>
      </c>
      <c r="D4342" t="s">
        <v>1517</v>
      </c>
      <c r="E4342" s="10">
        <v>13822</v>
      </c>
      <c r="F4342" s="12">
        <v>1.06E-5</v>
      </c>
    </row>
    <row r="4343" spans="1:6">
      <c r="A4343" s="10">
        <v>2021</v>
      </c>
      <c r="B4343" t="s">
        <v>104</v>
      </c>
      <c r="C4343" t="s">
        <v>1518</v>
      </c>
      <c r="D4343" t="s">
        <v>1518</v>
      </c>
      <c r="E4343" s="10">
        <v>54019</v>
      </c>
      <c r="F4343" s="12">
        <v>4.1199999999999999E-5</v>
      </c>
    </row>
    <row r="4344" spans="1:6">
      <c r="A4344" s="10">
        <v>2021</v>
      </c>
      <c r="B4344" t="s">
        <v>106</v>
      </c>
      <c r="C4344" t="s">
        <v>1519</v>
      </c>
      <c r="D4344" t="s">
        <v>1519</v>
      </c>
      <c r="E4344" s="10">
        <v>7817</v>
      </c>
      <c r="F4344" s="12">
        <v>6.0000000000000002E-6</v>
      </c>
    </row>
    <row r="4345" spans="1:6">
      <c r="A4345" s="10">
        <v>2021</v>
      </c>
      <c r="B4345" t="s">
        <v>107</v>
      </c>
      <c r="C4345" t="s">
        <v>1520</v>
      </c>
      <c r="D4345" t="s">
        <v>1520</v>
      </c>
      <c r="E4345" s="10">
        <v>29149</v>
      </c>
      <c r="F4345" s="12">
        <v>2.23E-5</v>
      </c>
    </row>
    <row r="4346" spans="1:6">
      <c r="A4346" s="10">
        <v>2021</v>
      </c>
      <c r="B4346" t="s">
        <v>108</v>
      </c>
      <c r="C4346" t="s">
        <v>1521</v>
      </c>
      <c r="D4346" t="s">
        <v>1521</v>
      </c>
      <c r="E4346" s="10">
        <v>329618</v>
      </c>
      <c r="F4346" s="12">
        <v>2.5169999999999999E-4</v>
      </c>
    </row>
    <row r="4347" spans="1:6">
      <c r="A4347" s="10">
        <v>2021</v>
      </c>
      <c r="B4347" t="s">
        <v>109</v>
      </c>
      <c r="C4347" t="s">
        <v>1522</v>
      </c>
      <c r="D4347" t="s">
        <v>1522</v>
      </c>
      <c r="E4347" s="10">
        <v>20166</v>
      </c>
      <c r="F4347" s="12">
        <v>1.5400000000000002E-5</v>
      </c>
    </row>
    <row r="4348" spans="1:6">
      <c r="A4348" s="10">
        <v>2021</v>
      </c>
      <c r="B4348" t="s">
        <v>1140</v>
      </c>
      <c r="C4348" t="s">
        <v>1525</v>
      </c>
      <c r="D4348" t="s">
        <v>1525</v>
      </c>
      <c r="E4348" s="10">
        <v>471781</v>
      </c>
      <c r="F4348" s="12">
        <v>3.6019999999999997E-4</v>
      </c>
    </row>
    <row r="4349" spans="1:6">
      <c r="A4349" s="10">
        <v>2021</v>
      </c>
      <c r="B4349" t="s">
        <v>168</v>
      </c>
      <c r="C4349" t="s">
        <v>113</v>
      </c>
      <c r="D4349" t="s">
        <v>113</v>
      </c>
      <c r="E4349" s="10">
        <v>62613</v>
      </c>
      <c r="F4349" s="12">
        <v>4.7800000000000003E-5</v>
      </c>
    </row>
    <row r="4350" spans="1:6">
      <c r="A4350" s="10">
        <v>2021</v>
      </c>
      <c r="B4350" t="s">
        <v>170</v>
      </c>
      <c r="C4350" t="s">
        <v>1526</v>
      </c>
      <c r="D4350" t="s">
        <v>1526</v>
      </c>
      <c r="E4350" s="10">
        <v>23794</v>
      </c>
      <c r="F4350" s="12">
        <v>1.8199999999999999E-5</v>
      </c>
    </row>
    <row r="4351" spans="1:6">
      <c r="A4351" s="10">
        <v>2021</v>
      </c>
      <c r="B4351" t="s">
        <v>169</v>
      </c>
      <c r="C4351" t="s">
        <v>1527</v>
      </c>
      <c r="D4351" t="s">
        <v>1527</v>
      </c>
      <c r="E4351" s="10">
        <v>129875</v>
      </c>
      <c r="F4351" s="12">
        <v>9.9199999999999999E-5</v>
      </c>
    </row>
    <row r="4352" spans="1:6">
      <c r="A4352" s="10">
        <v>2021</v>
      </c>
      <c r="B4352" t="s">
        <v>1381</v>
      </c>
      <c r="C4352" t="s">
        <v>1528</v>
      </c>
      <c r="D4352" t="s">
        <v>1528</v>
      </c>
      <c r="E4352" s="10">
        <v>7951</v>
      </c>
      <c r="F4352" s="12">
        <v>6.1E-6</v>
      </c>
    </row>
    <row r="4353" spans="1:6">
      <c r="A4353" s="10">
        <v>2021</v>
      </c>
      <c r="B4353" t="s">
        <v>171</v>
      </c>
      <c r="C4353" t="s">
        <v>1529</v>
      </c>
      <c r="D4353" t="s">
        <v>1529</v>
      </c>
      <c r="E4353" s="10">
        <v>71190</v>
      </c>
      <c r="F4353" s="12">
        <v>5.4400000000000001E-5</v>
      </c>
    </row>
    <row r="4354" spans="1:6">
      <c r="A4354" s="10">
        <v>2021</v>
      </c>
      <c r="B4354" t="s">
        <v>1427</v>
      </c>
      <c r="C4354" t="s">
        <v>1530</v>
      </c>
      <c r="D4354" t="s">
        <v>1530</v>
      </c>
      <c r="E4354" s="10">
        <v>679878</v>
      </c>
      <c r="F4354" s="12">
        <v>5.1909999999999999E-4</v>
      </c>
    </row>
    <row r="4355" spans="1:6">
      <c r="A4355" s="10">
        <v>2021</v>
      </c>
      <c r="B4355" t="s">
        <v>172</v>
      </c>
      <c r="C4355" t="s">
        <v>117</v>
      </c>
      <c r="D4355" t="s">
        <v>117</v>
      </c>
      <c r="E4355" s="10">
        <v>1778260</v>
      </c>
      <c r="F4355" s="12">
        <v>1.3577999999999999E-3</v>
      </c>
    </row>
    <row r="4356" spans="1:6">
      <c r="A4356" s="10">
        <v>2021</v>
      </c>
      <c r="B4356" t="s">
        <v>173</v>
      </c>
      <c r="C4356" t="s">
        <v>1531</v>
      </c>
      <c r="D4356" t="s">
        <v>1531</v>
      </c>
      <c r="E4356" s="10">
        <v>169822</v>
      </c>
      <c r="F4356" s="12">
        <v>1.2970000000000001E-4</v>
      </c>
    </row>
    <row r="4357" spans="1:6">
      <c r="A4357" s="10">
        <v>2021</v>
      </c>
      <c r="B4357" t="s">
        <v>174</v>
      </c>
      <c r="C4357" t="s">
        <v>119</v>
      </c>
      <c r="D4357" t="s">
        <v>119</v>
      </c>
      <c r="E4357" s="10">
        <v>95545</v>
      </c>
      <c r="F4357" s="12">
        <v>7.2999999999999999E-5</v>
      </c>
    </row>
    <row r="4358" spans="1:6">
      <c r="A4358" s="10">
        <v>2021</v>
      </c>
      <c r="B4358" t="s">
        <v>175</v>
      </c>
      <c r="C4358" t="s">
        <v>1532</v>
      </c>
      <c r="D4358" t="s">
        <v>1532</v>
      </c>
      <c r="E4358" s="10">
        <v>482434</v>
      </c>
      <c r="F4358" s="12">
        <v>3.6840000000000001E-4</v>
      </c>
    </row>
    <row r="4359" spans="1:6">
      <c r="A4359" s="10">
        <v>2021</v>
      </c>
      <c r="B4359" t="s">
        <v>176</v>
      </c>
      <c r="C4359" t="s">
        <v>1533</v>
      </c>
      <c r="D4359" t="s">
        <v>1533</v>
      </c>
      <c r="E4359" s="10">
        <v>218906</v>
      </c>
      <c r="F4359" s="12">
        <v>1.671E-4</v>
      </c>
    </row>
    <row r="4360" spans="1:6">
      <c r="A4360" s="10">
        <v>2021</v>
      </c>
      <c r="B4360" t="s">
        <v>177</v>
      </c>
      <c r="C4360" t="s">
        <v>122</v>
      </c>
      <c r="D4360" t="s">
        <v>122</v>
      </c>
      <c r="E4360" s="10">
        <v>167453</v>
      </c>
      <c r="F4360" s="12">
        <v>1.2789999999999999E-4</v>
      </c>
    </row>
    <row r="4361" spans="1:6">
      <c r="A4361" s="10">
        <v>2021</v>
      </c>
      <c r="B4361" t="s">
        <v>178</v>
      </c>
      <c r="C4361" t="s">
        <v>1534</v>
      </c>
      <c r="D4361" t="s">
        <v>1534</v>
      </c>
      <c r="E4361" s="10">
        <v>4064362</v>
      </c>
      <c r="F4361" s="12">
        <v>3.1034000000000001E-3</v>
      </c>
    </row>
    <row r="4362" spans="1:6">
      <c r="A4362" s="10">
        <v>2021</v>
      </c>
      <c r="B4362" t="s">
        <v>181</v>
      </c>
      <c r="C4362" t="s">
        <v>1535</v>
      </c>
      <c r="D4362" t="s">
        <v>1535</v>
      </c>
      <c r="E4362" s="10">
        <v>1360209</v>
      </c>
      <c r="F4362" s="12">
        <v>1.0386E-3</v>
      </c>
    </row>
    <row r="4363" spans="1:6">
      <c r="A4363" s="10">
        <v>2021</v>
      </c>
      <c r="B4363" t="s">
        <v>1382</v>
      </c>
      <c r="C4363" t="s">
        <v>1536</v>
      </c>
      <c r="D4363" t="s">
        <v>1536</v>
      </c>
      <c r="E4363" s="10">
        <v>13513697</v>
      </c>
      <c r="F4363" s="12">
        <v>1.03184E-2</v>
      </c>
    </row>
    <row r="4364" spans="1:6">
      <c r="A4364" s="10">
        <v>2021</v>
      </c>
      <c r="B4364" t="s">
        <v>182</v>
      </c>
      <c r="C4364" t="s">
        <v>1537</v>
      </c>
      <c r="D4364" t="s">
        <v>1537</v>
      </c>
      <c r="E4364" s="10">
        <v>6543083</v>
      </c>
      <c r="F4364" s="12">
        <v>4.9959999999999996E-3</v>
      </c>
    </row>
    <row r="4365" spans="1:6">
      <c r="A4365" s="10">
        <v>2021</v>
      </c>
      <c r="B4365" t="s">
        <v>183</v>
      </c>
      <c r="C4365" t="s">
        <v>1538</v>
      </c>
      <c r="D4365" t="s">
        <v>1538</v>
      </c>
      <c r="E4365" s="10">
        <v>39514681</v>
      </c>
      <c r="F4365" s="12">
        <v>3.01716E-2</v>
      </c>
    </row>
    <row r="4366" spans="1:6">
      <c r="A4366" s="10">
        <v>2021</v>
      </c>
      <c r="B4366" t="s">
        <v>184</v>
      </c>
      <c r="C4366" t="s">
        <v>1539</v>
      </c>
      <c r="D4366" t="s">
        <v>1539</v>
      </c>
      <c r="E4366" s="10">
        <v>4033253</v>
      </c>
      <c r="F4366" s="12">
        <v>3.0796E-3</v>
      </c>
    </row>
    <row r="4367" spans="1:6">
      <c r="A4367" s="10">
        <v>2021</v>
      </c>
      <c r="B4367" t="s">
        <v>185</v>
      </c>
      <c r="C4367" t="s">
        <v>1540</v>
      </c>
      <c r="D4367" t="s">
        <v>1540</v>
      </c>
      <c r="E4367" s="10">
        <v>1972298</v>
      </c>
      <c r="F4367" s="12">
        <v>1.506E-3</v>
      </c>
    </row>
    <row r="4368" spans="1:6">
      <c r="A4368" s="10">
        <v>2021</v>
      </c>
      <c r="B4368" t="s">
        <v>186</v>
      </c>
      <c r="C4368" t="s">
        <v>1541</v>
      </c>
      <c r="D4368" t="s">
        <v>1541</v>
      </c>
      <c r="E4368" s="10">
        <v>3430376</v>
      </c>
      <c r="F4368" s="12">
        <v>2.6193000000000002E-3</v>
      </c>
    </row>
    <row r="4369" spans="1:6">
      <c r="A4369" s="10">
        <v>2021</v>
      </c>
      <c r="B4369" t="s">
        <v>187</v>
      </c>
      <c r="C4369" t="s">
        <v>1542</v>
      </c>
      <c r="D4369" t="s">
        <v>1542</v>
      </c>
      <c r="E4369" s="10"/>
    </row>
    <row r="4370" spans="1:6">
      <c r="A4370" s="10">
        <v>2021</v>
      </c>
      <c r="B4370" t="s">
        <v>189</v>
      </c>
      <c r="C4370" t="s">
        <v>1544</v>
      </c>
      <c r="D4370" t="s">
        <v>1544</v>
      </c>
      <c r="E4370" s="10">
        <v>725827</v>
      </c>
      <c r="F4370" s="12">
        <v>5.5420000000000003E-4</v>
      </c>
    </row>
    <row r="4371" spans="1:6">
      <c r="A4371" s="10">
        <v>2021</v>
      </c>
      <c r="B4371" t="s">
        <v>190</v>
      </c>
      <c r="C4371" t="s">
        <v>1546</v>
      </c>
      <c r="D4371" t="s">
        <v>1546</v>
      </c>
      <c r="E4371" s="10">
        <v>9716104</v>
      </c>
      <c r="F4371" s="12">
        <v>7.4187999999999997E-3</v>
      </c>
    </row>
    <row r="4372" spans="1:6">
      <c r="A4372" s="10">
        <v>2021</v>
      </c>
      <c r="B4372" t="s">
        <v>191</v>
      </c>
      <c r="C4372" t="s">
        <v>1547</v>
      </c>
      <c r="D4372" t="s">
        <v>1547</v>
      </c>
      <c r="E4372" s="10">
        <v>77835</v>
      </c>
      <c r="F4372" s="12">
        <v>5.94E-5</v>
      </c>
    </row>
    <row r="4373" spans="1:6">
      <c r="A4373" s="10">
        <v>2021</v>
      </c>
      <c r="B4373" t="s">
        <v>192</v>
      </c>
      <c r="C4373" t="s">
        <v>1548</v>
      </c>
      <c r="D4373" t="s">
        <v>1548</v>
      </c>
      <c r="E4373" s="10">
        <v>521476</v>
      </c>
      <c r="F4373" s="12">
        <v>3.9819999999999998E-4</v>
      </c>
    </row>
    <row r="4374" spans="1:6">
      <c r="A4374" s="10">
        <v>2021</v>
      </c>
      <c r="B4374" t="s">
        <v>193</v>
      </c>
      <c r="C4374" t="s">
        <v>1549</v>
      </c>
      <c r="D4374" t="s">
        <v>1549</v>
      </c>
      <c r="E4374" s="10">
        <v>957941</v>
      </c>
      <c r="F4374" s="12">
        <v>7.314E-4</v>
      </c>
    </row>
    <row r="4375" spans="1:6">
      <c r="A4375" s="10">
        <v>2021</v>
      </c>
      <c r="B4375" t="s">
        <v>194</v>
      </c>
      <c r="C4375" t="s">
        <v>1550</v>
      </c>
      <c r="D4375" t="s">
        <v>1550</v>
      </c>
      <c r="E4375" s="10">
        <v>588465</v>
      </c>
      <c r="F4375" s="12">
        <v>4.4930000000000002E-4</v>
      </c>
    </row>
    <row r="4376" spans="1:6">
      <c r="A4376" s="10">
        <v>2021</v>
      </c>
      <c r="B4376" t="s">
        <v>196</v>
      </c>
      <c r="C4376" t="s">
        <v>1551</v>
      </c>
      <c r="D4376" t="s">
        <v>1551</v>
      </c>
      <c r="E4376" s="10">
        <v>139346</v>
      </c>
      <c r="F4376" s="12">
        <v>1.064E-4</v>
      </c>
    </row>
    <row r="4377" spans="1:6">
      <c r="A4377" s="10">
        <v>2021</v>
      </c>
      <c r="B4377" t="s">
        <v>197</v>
      </c>
      <c r="C4377" t="s">
        <v>1552</v>
      </c>
      <c r="D4377" t="s">
        <v>1552</v>
      </c>
      <c r="E4377" s="10">
        <v>5261213</v>
      </c>
      <c r="F4377" s="12">
        <v>4.0172000000000003E-3</v>
      </c>
    </row>
    <row r="4378" spans="1:6">
      <c r="A4378" s="10">
        <v>2021</v>
      </c>
      <c r="B4378" t="s">
        <v>198</v>
      </c>
      <c r="C4378" t="s">
        <v>1553</v>
      </c>
      <c r="D4378" t="s">
        <v>1553</v>
      </c>
      <c r="E4378" s="10">
        <v>147818</v>
      </c>
      <c r="F4378" s="12">
        <v>1.1290000000000001E-4</v>
      </c>
    </row>
    <row r="4379" spans="1:6">
      <c r="A4379" s="10">
        <v>2021</v>
      </c>
      <c r="B4379" t="s">
        <v>199</v>
      </c>
      <c r="C4379" t="s">
        <v>1554</v>
      </c>
      <c r="D4379" t="s">
        <v>1554</v>
      </c>
      <c r="E4379" s="10">
        <v>3688400</v>
      </c>
      <c r="F4379" s="12">
        <v>2.8162999999999999E-3</v>
      </c>
    </row>
    <row r="4380" spans="1:6">
      <c r="A4380" s="10">
        <v>2021</v>
      </c>
      <c r="B4380" t="s">
        <v>200</v>
      </c>
      <c r="C4380" t="s">
        <v>1555</v>
      </c>
      <c r="D4380" t="s">
        <v>1555</v>
      </c>
      <c r="E4380" s="10">
        <v>22019981</v>
      </c>
      <c r="F4380" s="12">
        <v>1.6813399999999999E-2</v>
      </c>
    </row>
    <row r="4381" spans="1:6">
      <c r="A4381" s="10">
        <v>2021</v>
      </c>
      <c r="B4381" t="s">
        <v>201</v>
      </c>
      <c r="C4381" t="s">
        <v>1556</v>
      </c>
      <c r="D4381" t="s">
        <v>1556</v>
      </c>
      <c r="E4381" s="10">
        <v>1878569</v>
      </c>
      <c r="F4381" s="12">
        <v>1.4344E-3</v>
      </c>
    </row>
    <row r="4382" spans="1:6">
      <c r="A4382" s="10">
        <v>2021</v>
      </c>
      <c r="B4382" t="s">
        <v>202</v>
      </c>
      <c r="C4382" t="s">
        <v>1557</v>
      </c>
      <c r="D4382" t="s">
        <v>1557</v>
      </c>
      <c r="E4382" s="10">
        <v>1205239</v>
      </c>
      <c r="F4382" s="12">
        <v>9.2029999999999998E-4</v>
      </c>
    </row>
    <row r="4383" spans="1:6">
      <c r="A4383" s="10">
        <v>2021</v>
      </c>
      <c r="B4383" t="s">
        <v>204</v>
      </c>
      <c r="C4383" t="s">
        <v>1559</v>
      </c>
      <c r="D4383" t="s">
        <v>1559</v>
      </c>
      <c r="E4383" s="10">
        <v>1101810</v>
      </c>
      <c r="F4383" s="12">
        <v>8.4130000000000001E-4</v>
      </c>
    </row>
    <row r="4384" spans="1:6">
      <c r="A4384" s="10">
        <v>2021</v>
      </c>
      <c r="B4384" t="s">
        <v>205</v>
      </c>
      <c r="C4384" t="s">
        <v>150</v>
      </c>
      <c r="D4384" t="s">
        <v>150</v>
      </c>
      <c r="E4384" s="10">
        <v>160712</v>
      </c>
      <c r="F4384" s="12">
        <v>1.227E-4</v>
      </c>
    </row>
    <row r="4385" spans="1:6">
      <c r="A4385" s="10">
        <v>2021</v>
      </c>
      <c r="B4385" t="s">
        <v>1563</v>
      </c>
      <c r="C4385" t="s">
        <v>1560</v>
      </c>
      <c r="D4385" t="s">
        <v>1560</v>
      </c>
      <c r="E4385" s="10">
        <v>119995</v>
      </c>
      <c r="F4385" s="12">
        <v>9.1600000000000004E-5</v>
      </c>
    </row>
    <row r="4386" spans="1:6">
      <c r="A4386" s="10">
        <v>2021</v>
      </c>
      <c r="B4386" t="s">
        <v>2088</v>
      </c>
      <c r="C4386" t="s">
        <v>2086</v>
      </c>
      <c r="D4386" t="s">
        <v>2086</v>
      </c>
      <c r="E4386" s="10">
        <v>448871</v>
      </c>
      <c r="F4386" s="12">
        <v>3.4269999999999998E-4</v>
      </c>
    </row>
    <row r="4387" spans="1:6">
      <c r="A4387" s="10">
        <v>2021</v>
      </c>
      <c r="B4387" t="s">
        <v>188</v>
      </c>
      <c r="C4387" t="s">
        <v>1561</v>
      </c>
      <c r="D4387" t="s">
        <v>1561</v>
      </c>
      <c r="E4387" s="10">
        <v>2848026</v>
      </c>
      <c r="F4387" s="12">
        <v>2.1746000000000001E-3</v>
      </c>
    </row>
    <row r="4388" spans="1:6">
      <c r="A4388" s="10">
        <v>2021</v>
      </c>
      <c r="B4388" t="s">
        <v>206</v>
      </c>
      <c r="C4388" t="s">
        <v>1562</v>
      </c>
      <c r="D4388" t="s">
        <v>1562</v>
      </c>
      <c r="E4388" s="10"/>
    </row>
    <row r="4389" spans="1:6">
      <c r="A4389" s="10">
        <v>2021</v>
      </c>
      <c r="B4389" t="s">
        <v>207</v>
      </c>
      <c r="C4389" t="s">
        <v>152</v>
      </c>
      <c r="D4389" t="s">
        <v>152</v>
      </c>
      <c r="E4389" s="10">
        <v>971498</v>
      </c>
      <c r="F4389" s="12">
        <v>7.4180000000000003E-4</v>
      </c>
    </row>
    <row r="4390" spans="1:6">
      <c r="A4390" s="10">
        <v>2021</v>
      </c>
      <c r="B4390" t="s">
        <v>57</v>
      </c>
      <c r="C4390" t="s">
        <v>1564</v>
      </c>
      <c r="D4390" t="s">
        <v>1564</v>
      </c>
      <c r="E4390" s="10">
        <v>6715957</v>
      </c>
      <c r="F4390" s="12">
        <v>5.1279999999999997E-3</v>
      </c>
    </row>
    <row r="4391" spans="1:6">
      <c r="A4391" s="10">
        <v>2021</v>
      </c>
      <c r="B4391" t="s">
        <v>208</v>
      </c>
      <c r="C4391" t="s">
        <v>153</v>
      </c>
      <c r="D4391" t="s">
        <v>153</v>
      </c>
      <c r="E4391" s="10"/>
    </row>
    <row r="4392" spans="1:6">
      <c r="A4392" s="10">
        <v>2021</v>
      </c>
      <c r="B4392" t="s">
        <v>209</v>
      </c>
      <c r="C4392" t="s">
        <v>154</v>
      </c>
      <c r="D4392" t="s">
        <v>154</v>
      </c>
      <c r="E4392" s="10">
        <v>190500</v>
      </c>
      <c r="F4392" s="12">
        <v>1.4550000000000001E-4</v>
      </c>
    </row>
    <row r="4393" spans="1:6">
      <c r="A4393" s="10">
        <v>2021</v>
      </c>
      <c r="B4393" t="s">
        <v>211</v>
      </c>
      <c r="C4393" t="s">
        <v>1565</v>
      </c>
      <c r="D4393" t="s">
        <v>1565</v>
      </c>
      <c r="E4393" s="10">
        <v>881436</v>
      </c>
      <c r="F4393" s="12">
        <v>6.7299999999999999E-4</v>
      </c>
    </row>
    <row r="4394" spans="1:6">
      <c r="A4394" s="10">
        <v>2021</v>
      </c>
      <c r="B4394" t="s">
        <v>212</v>
      </c>
      <c r="C4394" t="s">
        <v>1566</v>
      </c>
      <c r="D4394" t="s">
        <v>1566</v>
      </c>
      <c r="E4394" s="10">
        <v>1832</v>
      </c>
      <c r="F4394" s="12">
        <v>1.3999999999999999E-6</v>
      </c>
    </row>
    <row r="4395" spans="1:6">
      <c r="A4395" s="10">
        <v>2021</v>
      </c>
      <c r="B4395" t="s">
        <v>213</v>
      </c>
      <c r="C4395" t="s">
        <v>158</v>
      </c>
      <c r="D4395" t="s">
        <v>158</v>
      </c>
      <c r="E4395" s="10">
        <v>1174444</v>
      </c>
      <c r="F4395" s="12">
        <v>8.9680000000000001E-4</v>
      </c>
    </row>
    <row r="4396" spans="1:6">
      <c r="A4396" s="10">
        <v>2021</v>
      </c>
      <c r="B4396" t="s">
        <v>1597</v>
      </c>
      <c r="C4396" t="s">
        <v>1567</v>
      </c>
      <c r="D4396" t="s">
        <v>1567</v>
      </c>
      <c r="E4396" s="10">
        <v>17206</v>
      </c>
      <c r="F4396" s="12">
        <v>1.31E-5</v>
      </c>
    </row>
    <row r="4397" spans="1:6">
      <c r="A4397" s="10">
        <v>2021</v>
      </c>
      <c r="B4397" t="s">
        <v>214</v>
      </c>
      <c r="C4397" t="s">
        <v>159</v>
      </c>
      <c r="D4397" t="s">
        <v>159</v>
      </c>
      <c r="E4397" s="10">
        <v>204304</v>
      </c>
      <c r="F4397" s="12">
        <v>1.56E-4</v>
      </c>
    </row>
    <row r="4398" spans="1:6">
      <c r="A4398" s="10">
        <v>2021</v>
      </c>
      <c r="B4398" t="s">
        <v>215</v>
      </c>
      <c r="C4398" t="s">
        <v>1568</v>
      </c>
      <c r="D4398" t="s">
        <v>1568</v>
      </c>
      <c r="E4398" s="10">
        <v>212486</v>
      </c>
      <c r="F4398" s="12">
        <v>1.6220000000000001E-4</v>
      </c>
    </row>
    <row r="4399" spans="1:6">
      <c r="A4399" s="10">
        <v>2021</v>
      </c>
      <c r="B4399" t="s">
        <v>217</v>
      </c>
      <c r="C4399" t="s">
        <v>162</v>
      </c>
      <c r="D4399" t="s">
        <v>162</v>
      </c>
      <c r="E4399" s="10">
        <v>397956</v>
      </c>
      <c r="F4399" s="12">
        <v>3.0390000000000001E-4</v>
      </c>
    </row>
    <row r="4400" spans="1:6">
      <c r="A4400" s="10">
        <v>2021</v>
      </c>
      <c r="B4400" t="s">
        <v>219</v>
      </c>
      <c r="C4400" t="s">
        <v>164</v>
      </c>
      <c r="D4400" t="s">
        <v>164</v>
      </c>
      <c r="E4400" s="10">
        <v>335090</v>
      </c>
      <c r="F4400" s="12">
        <v>2.5589999999999999E-4</v>
      </c>
    </row>
    <row r="4401" spans="1:6">
      <c r="A4401" s="10">
        <v>2021</v>
      </c>
      <c r="B4401" t="s">
        <v>73</v>
      </c>
      <c r="C4401" t="s">
        <v>2354</v>
      </c>
      <c r="D4401" t="s">
        <v>2354</v>
      </c>
      <c r="E4401" s="10">
        <v>258061</v>
      </c>
      <c r="F4401" s="12">
        <v>1.9699999999999999E-4</v>
      </c>
    </row>
    <row r="4402" spans="1:6">
      <c r="A4402" s="10">
        <v>2021</v>
      </c>
      <c r="B4402" t="s">
        <v>220</v>
      </c>
      <c r="C4402" t="s">
        <v>1571</v>
      </c>
      <c r="D4402" t="s">
        <v>1571</v>
      </c>
      <c r="E4402" s="10">
        <v>77596</v>
      </c>
      <c r="F4402" s="12">
        <v>5.9200000000000002E-5</v>
      </c>
    </row>
    <row r="4403" spans="1:6">
      <c r="A4403" s="10">
        <v>2021</v>
      </c>
      <c r="B4403" t="s">
        <v>1387</v>
      </c>
      <c r="C4403" t="s">
        <v>1572</v>
      </c>
      <c r="D4403" t="s">
        <v>1572</v>
      </c>
      <c r="E4403" s="10">
        <v>7496</v>
      </c>
      <c r="F4403" s="12">
        <v>5.6999999999999996E-6</v>
      </c>
    </row>
    <row r="4404" spans="1:6">
      <c r="A4404" s="10">
        <v>2021</v>
      </c>
      <c r="B4404" t="s">
        <v>1388</v>
      </c>
      <c r="C4404" t="s">
        <v>1573</v>
      </c>
      <c r="D4404" t="s">
        <v>1573</v>
      </c>
      <c r="E4404" s="10">
        <v>8246</v>
      </c>
      <c r="F4404" s="12">
        <v>6.2999999999999998E-6</v>
      </c>
    </row>
    <row r="4405" spans="1:6">
      <c r="A4405" s="10">
        <v>2021</v>
      </c>
      <c r="B4405" t="s">
        <v>1389</v>
      </c>
      <c r="C4405" t="s">
        <v>1574</v>
      </c>
      <c r="D4405" t="s">
        <v>1574</v>
      </c>
      <c r="E4405" s="10">
        <v>108677</v>
      </c>
      <c r="F4405" s="12">
        <v>8.2999999999999998E-5</v>
      </c>
    </row>
    <row r="4406" spans="1:6">
      <c r="A4406" s="10">
        <v>2021</v>
      </c>
      <c r="B4406" t="s">
        <v>1598</v>
      </c>
      <c r="C4406" t="s">
        <v>1575</v>
      </c>
      <c r="D4406" t="s">
        <v>1575</v>
      </c>
      <c r="E4406" s="10">
        <v>212020</v>
      </c>
      <c r="F4406" s="12">
        <v>1.6190000000000001E-4</v>
      </c>
    </row>
    <row r="4407" spans="1:6">
      <c r="A4407" s="10">
        <v>2021</v>
      </c>
      <c r="B4407" t="s">
        <v>1390</v>
      </c>
      <c r="C4407" t="s">
        <v>1578</v>
      </c>
      <c r="D4407" t="s">
        <v>1578</v>
      </c>
      <c r="E4407" s="10">
        <v>1575356</v>
      </c>
      <c r="F4407" s="12">
        <v>1.2029E-3</v>
      </c>
    </row>
    <row r="4408" spans="1:6">
      <c r="A4408" s="10">
        <v>2021</v>
      </c>
      <c r="B4408" t="s">
        <v>1393</v>
      </c>
      <c r="C4408" t="s">
        <v>1579</v>
      </c>
      <c r="D4408" t="s">
        <v>1579</v>
      </c>
      <c r="E4408" s="10">
        <v>207227</v>
      </c>
      <c r="F4408" s="12">
        <v>1.582E-4</v>
      </c>
    </row>
    <row r="4409" spans="1:6">
      <c r="A4409" s="10">
        <v>2021</v>
      </c>
      <c r="B4409" t="s">
        <v>1395</v>
      </c>
      <c r="C4409" t="s">
        <v>230</v>
      </c>
      <c r="D4409" t="s">
        <v>230</v>
      </c>
      <c r="E4409" s="10">
        <v>461445</v>
      </c>
      <c r="F4409" s="12">
        <v>3.523E-4</v>
      </c>
    </row>
    <row r="4410" spans="1:6">
      <c r="A4410" s="10">
        <v>2021</v>
      </c>
      <c r="B4410" t="s">
        <v>1396</v>
      </c>
      <c r="C4410" t="s">
        <v>231</v>
      </c>
      <c r="D4410" t="s">
        <v>231</v>
      </c>
      <c r="E4410" s="10">
        <v>61308</v>
      </c>
      <c r="F4410" s="12">
        <v>4.6799999999999999E-5</v>
      </c>
    </row>
    <row r="4411" spans="1:6">
      <c r="A4411" s="10">
        <v>2021</v>
      </c>
      <c r="B4411" t="s">
        <v>1398</v>
      </c>
      <c r="C4411" t="s">
        <v>1580</v>
      </c>
      <c r="D4411" t="s">
        <v>1580</v>
      </c>
      <c r="E4411" s="10">
        <v>41349</v>
      </c>
      <c r="F4411" s="12">
        <v>3.1600000000000002E-5</v>
      </c>
    </row>
    <row r="4412" spans="1:6">
      <c r="A4412" s="10">
        <v>2021</v>
      </c>
      <c r="B4412" t="s">
        <v>1399</v>
      </c>
      <c r="C4412" t="s">
        <v>234</v>
      </c>
      <c r="D4412" t="s">
        <v>234</v>
      </c>
      <c r="E4412" s="10"/>
    </row>
    <row r="4413" spans="1:6">
      <c r="A4413" s="10">
        <v>2021</v>
      </c>
      <c r="B4413" t="s">
        <v>1400</v>
      </c>
      <c r="C4413" t="s">
        <v>1581</v>
      </c>
      <c r="D4413" t="s">
        <v>1581</v>
      </c>
      <c r="E4413" s="10">
        <v>699300</v>
      </c>
      <c r="F4413" s="12">
        <v>5.3399999999999997E-4</v>
      </c>
    </row>
    <row r="4414" spans="1:6">
      <c r="A4414" s="10">
        <v>2021</v>
      </c>
      <c r="B4414" t="s">
        <v>1401</v>
      </c>
      <c r="C4414" t="s">
        <v>1582</v>
      </c>
      <c r="D4414" t="s">
        <v>1582</v>
      </c>
      <c r="E4414" s="10">
        <v>62460</v>
      </c>
      <c r="F4414" s="12">
        <v>4.7700000000000001E-5</v>
      </c>
    </row>
    <row r="4415" spans="1:6">
      <c r="A4415" s="10">
        <v>2021</v>
      </c>
      <c r="B4415" t="s">
        <v>1402</v>
      </c>
      <c r="C4415" t="s">
        <v>237</v>
      </c>
      <c r="D4415" t="s">
        <v>237</v>
      </c>
      <c r="E4415" s="10">
        <v>87205</v>
      </c>
      <c r="F4415" s="12">
        <v>6.6600000000000006E-5</v>
      </c>
    </row>
    <row r="4416" spans="1:6">
      <c r="A4416" s="10">
        <v>2021</v>
      </c>
      <c r="B4416" t="s">
        <v>1403</v>
      </c>
      <c r="C4416" t="s">
        <v>1584</v>
      </c>
      <c r="D4416" t="s">
        <v>1584</v>
      </c>
      <c r="E4416" s="10">
        <v>499548</v>
      </c>
      <c r="F4416" s="12">
        <v>3.814E-4</v>
      </c>
    </row>
    <row r="4417" spans="1:6">
      <c r="A4417" s="10">
        <v>2021</v>
      </c>
      <c r="B4417" t="s">
        <v>1404</v>
      </c>
      <c r="C4417" t="s">
        <v>1585</v>
      </c>
      <c r="D4417" t="s">
        <v>1585</v>
      </c>
      <c r="E4417" s="10">
        <v>779931</v>
      </c>
      <c r="F4417" s="12">
        <v>5.955E-4</v>
      </c>
    </row>
    <row r="4418" spans="1:6">
      <c r="A4418" s="10">
        <v>2021</v>
      </c>
      <c r="B4418" t="s">
        <v>1405</v>
      </c>
      <c r="C4418" t="s">
        <v>1586</v>
      </c>
      <c r="D4418" t="s">
        <v>1586</v>
      </c>
      <c r="E4418" s="10">
        <v>56310</v>
      </c>
      <c r="F4418" s="12">
        <v>4.3000000000000002E-5</v>
      </c>
    </row>
    <row r="4419" spans="1:6">
      <c r="A4419" s="10">
        <v>2021</v>
      </c>
      <c r="B4419" t="s">
        <v>1406</v>
      </c>
      <c r="C4419" t="s">
        <v>1587</v>
      </c>
      <c r="D4419" t="s">
        <v>1587</v>
      </c>
      <c r="E4419" s="10">
        <v>102461</v>
      </c>
      <c r="F4419" s="12">
        <v>7.8200000000000003E-5</v>
      </c>
    </row>
    <row r="4420" spans="1:6">
      <c r="A4420" s="10">
        <v>2021</v>
      </c>
      <c r="B4420" t="s">
        <v>1397</v>
      </c>
      <c r="C4420" t="s">
        <v>2356</v>
      </c>
      <c r="D4420" t="s">
        <v>1588</v>
      </c>
      <c r="E4420" s="10">
        <v>35072</v>
      </c>
      <c r="F4420" s="12">
        <v>2.6800000000000001E-5</v>
      </c>
    </row>
    <row r="4421" spans="1:6">
      <c r="A4421" s="10">
        <v>2021</v>
      </c>
      <c r="B4421" t="s">
        <v>88</v>
      </c>
      <c r="C4421" t="s">
        <v>1589</v>
      </c>
      <c r="D4421" t="s">
        <v>1589</v>
      </c>
      <c r="E4421" s="10">
        <v>80643</v>
      </c>
      <c r="F4421" s="12">
        <v>6.1600000000000007E-5</v>
      </c>
    </row>
    <row r="4422" spans="1:6">
      <c r="A4422" s="10">
        <v>2021</v>
      </c>
      <c r="B4422" t="s">
        <v>90</v>
      </c>
      <c r="C4422" t="s">
        <v>1590</v>
      </c>
      <c r="D4422" t="s">
        <v>1590</v>
      </c>
      <c r="E4422" s="10">
        <v>21435</v>
      </c>
      <c r="F4422" s="12">
        <v>1.6399999999999999E-5</v>
      </c>
    </row>
    <row r="4423" spans="1:6">
      <c r="A4423" s="10">
        <v>2021</v>
      </c>
      <c r="B4423" t="s">
        <v>87</v>
      </c>
      <c r="C4423" t="s">
        <v>2357</v>
      </c>
      <c r="D4423" t="s">
        <v>1591</v>
      </c>
      <c r="E4423" s="10">
        <v>109522</v>
      </c>
      <c r="F4423" s="12">
        <v>8.3599999999999999E-5</v>
      </c>
    </row>
    <row r="4424" spans="1:6">
      <c r="A4424" s="10">
        <v>2021</v>
      </c>
      <c r="B4424" t="s">
        <v>92</v>
      </c>
      <c r="C4424" t="s">
        <v>2419</v>
      </c>
      <c r="D4424" t="s">
        <v>2419</v>
      </c>
      <c r="E4424" s="10">
        <v>82073</v>
      </c>
      <c r="F4424" s="12">
        <v>6.2700000000000006E-5</v>
      </c>
    </row>
    <row r="4425" spans="1:6">
      <c r="A4425" s="10">
        <v>2021</v>
      </c>
      <c r="B4425" t="s">
        <v>93</v>
      </c>
      <c r="C4425" t="s">
        <v>1593</v>
      </c>
      <c r="D4425" t="s">
        <v>1593</v>
      </c>
      <c r="E4425" s="10">
        <v>59908</v>
      </c>
      <c r="F4425" s="12">
        <v>4.57E-5</v>
      </c>
    </row>
    <row r="4426" spans="1:6">
      <c r="A4426" s="10">
        <v>2021</v>
      </c>
      <c r="B4426" t="s">
        <v>94</v>
      </c>
      <c r="C4426" t="s">
        <v>2420</v>
      </c>
      <c r="D4426" t="s">
        <v>2420</v>
      </c>
      <c r="E4426" s="10">
        <v>9349</v>
      </c>
      <c r="F4426" s="12">
        <v>7.0999999999999998E-6</v>
      </c>
    </row>
    <row r="4427" spans="1:6">
      <c r="A4427" s="10">
        <v>2021</v>
      </c>
      <c r="B4427" t="s">
        <v>95</v>
      </c>
      <c r="C4427" t="s">
        <v>1595</v>
      </c>
      <c r="D4427" t="s">
        <v>1595</v>
      </c>
      <c r="E4427" s="10">
        <v>57901</v>
      </c>
      <c r="F4427" s="12">
        <v>4.4199999999999997E-5</v>
      </c>
    </row>
    <row r="4428" spans="1:6">
      <c r="A4428" s="10">
        <v>2021</v>
      </c>
      <c r="B4428" t="s">
        <v>100</v>
      </c>
      <c r="C4428" t="s">
        <v>1596</v>
      </c>
      <c r="D4428" t="s">
        <v>1596</v>
      </c>
      <c r="E4428" s="10">
        <v>24147</v>
      </c>
      <c r="F4428" s="12">
        <v>1.84E-5</v>
      </c>
    </row>
    <row r="4429" spans="1:6">
      <c r="A4429" s="10">
        <v>2021</v>
      </c>
      <c r="B4429" t="s">
        <v>101</v>
      </c>
      <c r="C4429" t="s">
        <v>1599</v>
      </c>
      <c r="D4429" t="s">
        <v>1599</v>
      </c>
      <c r="E4429" s="10">
        <v>347216</v>
      </c>
      <c r="F4429" s="12">
        <v>2.6509999999999999E-4</v>
      </c>
    </row>
    <row r="4430" spans="1:6">
      <c r="A4430" s="10">
        <v>2021</v>
      </c>
      <c r="B4430" t="s">
        <v>103</v>
      </c>
      <c r="C4430" t="s">
        <v>2421</v>
      </c>
      <c r="D4430" t="s">
        <v>2421</v>
      </c>
      <c r="E4430" s="10">
        <v>12008</v>
      </c>
      <c r="F4430" s="12">
        <v>9.2E-6</v>
      </c>
    </row>
    <row r="4431" spans="1:6">
      <c r="A4431" s="10">
        <v>2021</v>
      </c>
      <c r="B4431" t="s">
        <v>105</v>
      </c>
      <c r="C4431" t="s">
        <v>1601</v>
      </c>
      <c r="D4431" t="s">
        <v>1601</v>
      </c>
      <c r="E4431" s="10">
        <v>191293</v>
      </c>
      <c r="F4431" s="12">
        <v>1.461E-4</v>
      </c>
    </row>
    <row r="4432" spans="1:6">
      <c r="A4432" s="10">
        <v>2021</v>
      </c>
      <c r="B4432" t="s">
        <v>166</v>
      </c>
      <c r="C4432" t="s">
        <v>1602</v>
      </c>
      <c r="D4432" t="s">
        <v>1602</v>
      </c>
      <c r="E4432" s="10">
        <v>24118</v>
      </c>
      <c r="F4432" s="12">
        <v>1.84E-5</v>
      </c>
    </row>
    <row r="4433" spans="1:6">
      <c r="A4433" s="10">
        <v>2021</v>
      </c>
      <c r="B4433" t="s">
        <v>86</v>
      </c>
      <c r="C4433" t="s">
        <v>1603</v>
      </c>
      <c r="D4433" t="s">
        <v>1603</v>
      </c>
      <c r="E4433" s="10">
        <v>19852</v>
      </c>
      <c r="F4433" s="12">
        <v>1.52E-5</v>
      </c>
    </row>
    <row r="4434" spans="1:6">
      <c r="A4434" s="10">
        <v>2021</v>
      </c>
      <c r="B4434" t="s">
        <v>110</v>
      </c>
      <c r="C4434" t="s">
        <v>1604</v>
      </c>
      <c r="D4434" t="s">
        <v>1604</v>
      </c>
      <c r="E4434" s="10">
        <v>104255</v>
      </c>
      <c r="F4434" s="12">
        <v>7.9599999999999997E-5</v>
      </c>
    </row>
    <row r="4435" spans="1:6">
      <c r="A4435" s="10">
        <v>2021</v>
      </c>
      <c r="B4435" t="s">
        <v>1409</v>
      </c>
      <c r="C4435" t="s">
        <v>1605</v>
      </c>
      <c r="D4435" t="s">
        <v>1605</v>
      </c>
      <c r="E4435" s="10">
        <v>870401</v>
      </c>
      <c r="F4435" s="12">
        <v>6.646E-4</v>
      </c>
    </row>
    <row r="4436" spans="1:6">
      <c r="A4436" s="10">
        <v>2021</v>
      </c>
      <c r="B4436" t="s">
        <v>195</v>
      </c>
      <c r="C4436" t="s">
        <v>1606</v>
      </c>
      <c r="D4436" t="s">
        <v>1606</v>
      </c>
      <c r="E4436" s="10">
        <v>740833</v>
      </c>
      <c r="F4436" s="12">
        <v>5.6570000000000004E-4</v>
      </c>
    </row>
    <row r="4437" spans="1:6">
      <c r="A4437" s="10">
        <v>2021</v>
      </c>
      <c r="B4437" t="s">
        <v>218</v>
      </c>
      <c r="C4437" t="s">
        <v>1607</v>
      </c>
      <c r="D4437" t="s">
        <v>1607</v>
      </c>
      <c r="E4437" s="10">
        <v>521662</v>
      </c>
      <c r="F4437" s="12">
        <v>3.9829999999999998E-4</v>
      </c>
    </row>
    <row r="4438" spans="1:6">
      <c r="A4438" s="10">
        <v>2021</v>
      </c>
      <c r="B4438" t="s">
        <v>1410</v>
      </c>
      <c r="C4438" t="s">
        <v>243</v>
      </c>
      <c r="D4438" t="s">
        <v>243</v>
      </c>
      <c r="E4438" s="10">
        <v>88518</v>
      </c>
      <c r="F4438" s="12">
        <v>6.7600000000000003E-5</v>
      </c>
    </row>
    <row r="4439" spans="1:6">
      <c r="A4439" s="10">
        <v>2021</v>
      </c>
      <c r="B4439" t="s">
        <v>1411</v>
      </c>
      <c r="C4439" t="s">
        <v>244</v>
      </c>
      <c r="D4439" t="s">
        <v>244</v>
      </c>
      <c r="E4439" s="10">
        <v>1083043</v>
      </c>
      <c r="F4439" s="12">
        <v>8.2700000000000004E-4</v>
      </c>
    </row>
    <row r="4440" spans="1:6">
      <c r="A4440" s="10">
        <v>2021</v>
      </c>
      <c r="B4440" t="s">
        <v>1394</v>
      </c>
      <c r="C4440" t="s">
        <v>1608</v>
      </c>
      <c r="D4440" t="s">
        <v>1608</v>
      </c>
      <c r="E4440" s="10">
        <v>6640</v>
      </c>
      <c r="F4440" s="12">
        <v>5.1000000000000003E-6</v>
      </c>
    </row>
    <row r="4441" spans="1:6">
      <c r="A4441" s="10">
        <v>2021</v>
      </c>
      <c r="B4441" t="s">
        <v>1412</v>
      </c>
      <c r="C4441" t="s">
        <v>1609</v>
      </c>
      <c r="D4441" t="s">
        <v>1609</v>
      </c>
      <c r="E4441" s="10">
        <v>3432372</v>
      </c>
      <c r="F4441" s="12">
        <v>2.6208E-3</v>
      </c>
    </row>
    <row r="4442" spans="1:6">
      <c r="A4442" s="10">
        <v>2021</v>
      </c>
      <c r="B4442" t="s">
        <v>1413</v>
      </c>
      <c r="C4442" t="s">
        <v>246</v>
      </c>
      <c r="D4442" t="s">
        <v>246</v>
      </c>
      <c r="E4442" s="10">
        <v>657528</v>
      </c>
      <c r="F4442" s="12">
        <v>5.0210000000000001E-4</v>
      </c>
    </row>
    <row r="4443" spans="1:6">
      <c r="A4443" s="10">
        <v>2021</v>
      </c>
      <c r="B4443" t="s">
        <v>1414</v>
      </c>
      <c r="C4443" t="s">
        <v>247</v>
      </c>
      <c r="D4443" t="s">
        <v>247</v>
      </c>
      <c r="E4443" s="10">
        <v>232797</v>
      </c>
      <c r="F4443" s="12">
        <v>1.7780000000000001E-4</v>
      </c>
    </row>
    <row r="4444" spans="1:6">
      <c r="A4444" s="10">
        <v>2021</v>
      </c>
      <c r="B4444" t="s">
        <v>1415</v>
      </c>
      <c r="C4444" t="s">
        <v>248</v>
      </c>
      <c r="D4444" t="s">
        <v>248</v>
      </c>
      <c r="E4444" s="10">
        <v>51049987</v>
      </c>
      <c r="F4444" s="12">
        <v>3.8979399999999997E-2</v>
      </c>
    </row>
    <row r="4445" spans="1:6">
      <c r="A4445" s="10">
        <v>2021</v>
      </c>
      <c r="B4445" t="s">
        <v>1417</v>
      </c>
      <c r="C4445" t="s">
        <v>1610</v>
      </c>
      <c r="D4445" t="s">
        <v>1610</v>
      </c>
      <c r="E4445" s="10">
        <v>26658</v>
      </c>
      <c r="F4445" s="12">
        <v>2.0400000000000001E-5</v>
      </c>
    </row>
    <row r="4446" spans="1:6">
      <c r="A4446" s="10">
        <v>2021</v>
      </c>
      <c r="B4446" t="s">
        <v>1416</v>
      </c>
      <c r="C4446" t="s">
        <v>249</v>
      </c>
      <c r="D4446" t="s">
        <v>249</v>
      </c>
      <c r="E4446" s="10">
        <v>3550057</v>
      </c>
      <c r="F4446" s="12">
        <v>2.7106999999999999E-3</v>
      </c>
    </row>
    <row r="4447" spans="1:6">
      <c r="A4447" s="10">
        <v>2021</v>
      </c>
      <c r="B4447" t="s">
        <v>1418</v>
      </c>
      <c r="C4447" t="s">
        <v>1611</v>
      </c>
      <c r="D4447" t="s">
        <v>1611</v>
      </c>
      <c r="E4447" s="10"/>
    </row>
    <row r="4448" spans="1:6">
      <c r="A4448" s="10">
        <v>2021</v>
      </c>
      <c r="B4448" t="s">
        <v>1419</v>
      </c>
      <c r="C4448" t="s">
        <v>252</v>
      </c>
      <c r="D4448" t="s">
        <v>252</v>
      </c>
      <c r="E4448" s="10">
        <v>3119833</v>
      </c>
      <c r="F4448" s="12">
        <v>2.3822000000000001E-3</v>
      </c>
    </row>
    <row r="4449" spans="1:6">
      <c r="A4449" s="10">
        <v>2021</v>
      </c>
      <c r="B4449" t="s">
        <v>1420</v>
      </c>
      <c r="C4449" t="s">
        <v>1612</v>
      </c>
      <c r="D4449" t="s">
        <v>1612</v>
      </c>
      <c r="E4449" s="10">
        <v>204886</v>
      </c>
      <c r="F4449" s="12">
        <v>1.5640000000000001E-4</v>
      </c>
    </row>
    <row r="4450" spans="1:6">
      <c r="A4450" s="10">
        <v>2021</v>
      </c>
      <c r="B4450" t="s">
        <v>1015</v>
      </c>
      <c r="C4450" t="s">
        <v>1613</v>
      </c>
      <c r="D4450" t="s">
        <v>1613</v>
      </c>
      <c r="E4450" s="10">
        <v>535417</v>
      </c>
      <c r="F4450" s="12">
        <v>4.0880000000000002E-4</v>
      </c>
    </row>
    <row r="4451" spans="1:6">
      <c r="A4451" s="10">
        <v>2021</v>
      </c>
      <c r="B4451" t="s">
        <v>1014</v>
      </c>
      <c r="C4451" t="s">
        <v>1614</v>
      </c>
      <c r="D4451" t="s">
        <v>1614</v>
      </c>
      <c r="E4451" s="10"/>
    </row>
    <row r="4452" spans="1:6">
      <c r="A4452" s="10">
        <v>2021</v>
      </c>
      <c r="B4452" t="s">
        <v>1421</v>
      </c>
      <c r="C4452" t="s">
        <v>1615</v>
      </c>
      <c r="D4452" t="s">
        <v>1615</v>
      </c>
      <c r="E4452" s="10">
        <v>33988</v>
      </c>
      <c r="F4452" s="12">
        <v>2.5999999999999998E-5</v>
      </c>
    </row>
    <row r="4453" spans="1:6">
      <c r="A4453" s="10">
        <v>2021</v>
      </c>
      <c r="B4453" t="s">
        <v>1422</v>
      </c>
      <c r="C4453" t="s">
        <v>1616</v>
      </c>
      <c r="D4453" t="s">
        <v>1616</v>
      </c>
      <c r="E4453" s="10">
        <v>217074</v>
      </c>
      <c r="F4453" s="12">
        <v>1.6569999999999999E-4</v>
      </c>
    </row>
    <row r="4454" spans="1:6">
      <c r="A4454" s="10">
        <v>2021</v>
      </c>
      <c r="B4454" t="s">
        <v>1423</v>
      </c>
      <c r="C4454" t="s">
        <v>256</v>
      </c>
      <c r="D4454" t="s">
        <v>256</v>
      </c>
      <c r="E4454" s="10">
        <v>3436427</v>
      </c>
      <c r="F4454" s="12">
        <v>2.6239000000000002E-3</v>
      </c>
    </row>
    <row r="4455" spans="1:6">
      <c r="A4455" s="10">
        <v>2021</v>
      </c>
      <c r="B4455" t="s">
        <v>1424</v>
      </c>
      <c r="C4455" t="s">
        <v>257</v>
      </c>
      <c r="D4455" t="s">
        <v>257</v>
      </c>
      <c r="E4455" s="10">
        <v>3579215</v>
      </c>
      <c r="F4455" s="12">
        <v>2.7328999999999999E-3</v>
      </c>
    </row>
    <row r="4456" spans="1:6">
      <c r="A4456" s="10">
        <v>2021</v>
      </c>
      <c r="B4456" t="s">
        <v>370</v>
      </c>
      <c r="C4456" t="s">
        <v>1617</v>
      </c>
      <c r="D4456" t="s">
        <v>1617</v>
      </c>
      <c r="E4456" s="10">
        <v>3290375</v>
      </c>
      <c r="F4456" s="12">
        <v>2.5124000000000001E-3</v>
      </c>
    </row>
    <row r="4457" spans="1:6">
      <c r="A4457" s="10">
        <v>2021</v>
      </c>
      <c r="B4457" t="s">
        <v>1425</v>
      </c>
      <c r="C4457" t="s">
        <v>258</v>
      </c>
      <c r="D4457" t="s">
        <v>258</v>
      </c>
      <c r="E4457" s="10">
        <v>38080</v>
      </c>
      <c r="F4457" s="12">
        <v>2.9099999999999999E-5</v>
      </c>
    </row>
    <row r="4458" spans="1:6">
      <c r="A4458" s="10">
        <v>2021</v>
      </c>
      <c r="B4458" t="s">
        <v>1429</v>
      </c>
      <c r="C4458" t="s">
        <v>2422</v>
      </c>
      <c r="D4458" t="s">
        <v>2422</v>
      </c>
      <c r="E4458" s="10">
        <v>1178478</v>
      </c>
      <c r="F4458" s="12">
        <v>8.9979999999999997E-4</v>
      </c>
    </row>
    <row r="4459" spans="1:6">
      <c r="A4459" s="10">
        <v>2021</v>
      </c>
      <c r="B4459" t="s">
        <v>1430</v>
      </c>
      <c r="C4459" t="s">
        <v>1619</v>
      </c>
      <c r="D4459" t="s">
        <v>1619</v>
      </c>
      <c r="E4459" s="10">
        <v>421952</v>
      </c>
      <c r="F4459" s="12">
        <v>3.2220000000000003E-4</v>
      </c>
    </row>
    <row r="4460" spans="1:6">
      <c r="A4460" s="10">
        <v>2021</v>
      </c>
      <c r="B4460" t="s">
        <v>1431</v>
      </c>
      <c r="C4460" t="s">
        <v>264</v>
      </c>
      <c r="D4460" t="s">
        <v>264</v>
      </c>
      <c r="E4460" s="10">
        <v>319183</v>
      </c>
      <c r="F4460" s="12">
        <v>2.4369999999999999E-4</v>
      </c>
    </row>
    <row r="4461" spans="1:6">
      <c r="A4461" s="10">
        <v>2021</v>
      </c>
      <c r="B4461" t="s">
        <v>1432</v>
      </c>
      <c r="C4461" t="s">
        <v>265</v>
      </c>
      <c r="D4461" t="s">
        <v>265</v>
      </c>
      <c r="E4461" s="10">
        <v>355979</v>
      </c>
      <c r="F4461" s="12">
        <v>2.7179999999999999E-4</v>
      </c>
    </row>
    <row r="4462" spans="1:6">
      <c r="A4462" s="10">
        <v>2021</v>
      </c>
      <c r="B4462" t="s">
        <v>1433</v>
      </c>
      <c r="C4462" t="s">
        <v>266</v>
      </c>
      <c r="D4462" t="s">
        <v>266</v>
      </c>
      <c r="E4462" s="10">
        <v>202016</v>
      </c>
      <c r="F4462" s="12">
        <v>1.5430000000000001E-4</v>
      </c>
    </row>
    <row r="4463" spans="1:6">
      <c r="A4463" s="10">
        <v>2021</v>
      </c>
      <c r="B4463" t="s">
        <v>1434</v>
      </c>
      <c r="C4463" t="s">
        <v>1620</v>
      </c>
      <c r="D4463" t="s">
        <v>1620</v>
      </c>
      <c r="E4463" s="10">
        <v>1531460</v>
      </c>
      <c r="F4463" s="12">
        <v>1.1693999999999999E-3</v>
      </c>
    </row>
    <row r="4464" spans="1:6">
      <c r="A4464" s="10">
        <v>2021</v>
      </c>
      <c r="B4464" t="s">
        <v>1435</v>
      </c>
      <c r="C4464" t="s">
        <v>2359</v>
      </c>
      <c r="D4464" t="s">
        <v>2359</v>
      </c>
      <c r="E4464" s="10">
        <v>202296</v>
      </c>
      <c r="F4464" s="12">
        <v>1.5449999999999999E-4</v>
      </c>
    </row>
    <row r="4465" spans="1:6">
      <c r="A4465" s="10">
        <v>2021</v>
      </c>
      <c r="B4465" t="s">
        <v>1436</v>
      </c>
      <c r="C4465" t="s">
        <v>269</v>
      </c>
      <c r="D4465" t="s">
        <v>269</v>
      </c>
      <c r="E4465" s="10">
        <v>212492</v>
      </c>
      <c r="F4465" s="12">
        <v>1.6220000000000001E-4</v>
      </c>
    </row>
    <row r="4466" spans="1:6">
      <c r="A4466" s="10">
        <v>2021</v>
      </c>
      <c r="B4466" t="s">
        <v>1437</v>
      </c>
      <c r="C4466" t="s">
        <v>270</v>
      </c>
      <c r="D4466" t="s">
        <v>270</v>
      </c>
      <c r="E4466" s="10">
        <v>1347345</v>
      </c>
      <c r="F4466" s="12">
        <v>1.0288000000000001E-3</v>
      </c>
    </row>
    <row r="4467" spans="1:6">
      <c r="A4467" s="10">
        <v>2021</v>
      </c>
      <c r="B4467" t="s">
        <v>1438</v>
      </c>
      <c r="C4467" t="s">
        <v>1622</v>
      </c>
      <c r="D4467" t="s">
        <v>1622</v>
      </c>
      <c r="E4467" s="10">
        <v>889523</v>
      </c>
      <c r="F4467" s="12">
        <v>6.7920000000000003E-4</v>
      </c>
    </row>
    <row r="4468" spans="1:6">
      <c r="A4468" s="10">
        <v>2021</v>
      </c>
      <c r="B4468" t="s">
        <v>371</v>
      </c>
      <c r="C4468" t="s">
        <v>1623</v>
      </c>
      <c r="D4468" t="s">
        <v>1623</v>
      </c>
      <c r="E4468" s="10">
        <v>326000</v>
      </c>
      <c r="F4468" s="12">
        <v>2.4889999999999998E-4</v>
      </c>
    </row>
    <row r="4469" spans="1:6">
      <c r="A4469" s="10">
        <v>2021</v>
      </c>
      <c r="B4469" t="s">
        <v>1439</v>
      </c>
      <c r="C4469" t="s">
        <v>1624</v>
      </c>
      <c r="D4469" t="s">
        <v>1624</v>
      </c>
      <c r="E4469" s="10">
        <v>124166</v>
      </c>
      <c r="F4469" s="12">
        <v>9.48E-5</v>
      </c>
    </row>
    <row r="4470" spans="1:6">
      <c r="A4470" s="10">
        <v>2021</v>
      </c>
      <c r="B4470" t="s">
        <v>1440</v>
      </c>
      <c r="C4470" t="s">
        <v>1625</v>
      </c>
      <c r="D4470" t="s">
        <v>1625</v>
      </c>
      <c r="E4470" s="10">
        <v>442297</v>
      </c>
      <c r="F4470" s="12">
        <v>3.3770000000000002E-4</v>
      </c>
    </row>
    <row r="4471" spans="1:6">
      <c r="A4471" s="10">
        <v>2021</v>
      </c>
      <c r="B4471" t="s">
        <v>372</v>
      </c>
      <c r="C4471" t="s">
        <v>1626</v>
      </c>
      <c r="D4471" t="s">
        <v>1626</v>
      </c>
      <c r="E4471" s="10">
        <v>204925</v>
      </c>
      <c r="F4471" s="12">
        <v>1.5650000000000001E-4</v>
      </c>
    </row>
    <row r="4472" spans="1:6">
      <c r="A4472" s="10">
        <v>2021</v>
      </c>
      <c r="B4472" t="s">
        <v>1441</v>
      </c>
      <c r="C4472" t="s">
        <v>274</v>
      </c>
      <c r="D4472" t="s">
        <v>274</v>
      </c>
      <c r="E4472" s="10"/>
    </row>
    <row r="4473" spans="1:6">
      <c r="A4473" s="10">
        <v>2021</v>
      </c>
      <c r="B4473" t="s">
        <v>1442</v>
      </c>
      <c r="C4473" t="s">
        <v>1627</v>
      </c>
      <c r="D4473" t="s">
        <v>1627</v>
      </c>
      <c r="E4473" s="10">
        <v>7862</v>
      </c>
      <c r="F4473" s="12">
        <v>6.0000000000000002E-6</v>
      </c>
    </row>
    <row r="4474" spans="1:6">
      <c r="A4474" s="10">
        <v>2021</v>
      </c>
      <c r="B4474" t="s">
        <v>1443</v>
      </c>
      <c r="C4474" t="s">
        <v>1628</v>
      </c>
      <c r="D4474" t="s">
        <v>1628</v>
      </c>
      <c r="E4474" s="10">
        <v>1192478</v>
      </c>
      <c r="F4474" s="12">
        <v>9.1049999999999996E-4</v>
      </c>
    </row>
    <row r="4475" spans="1:6">
      <c r="A4475" s="10">
        <v>2021</v>
      </c>
      <c r="B4475" t="s">
        <v>332</v>
      </c>
      <c r="C4475" t="s">
        <v>1630</v>
      </c>
      <c r="D4475" t="s">
        <v>1630</v>
      </c>
      <c r="E4475" s="10">
        <v>121064</v>
      </c>
      <c r="F4475" s="12">
        <v>9.2399999999999996E-5</v>
      </c>
    </row>
    <row r="4476" spans="1:6">
      <c r="A4476" s="10">
        <v>2021</v>
      </c>
      <c r="B4476" t="s">
        <v>333</v>
      </c>
      <c r="C4476" t="s">
        <v>1631</v>
      </c>
      <c r="D4476" t="s">
        <v>1631</v>
      </c>
      <c r="E4476" s="10">
        <v>40703</v>
      </c>
      <c r="F4476" s="12">
        <v>3.1099999999999997E-5</v>
      </c>
    </row>
    <row r="4477" spans="1:6">
      <c r="A4477" s="10">
        <v>2021</v>
      </c>
      <c r="B4477" t="s">
        <v>334</v>
      </c>
      <c r="C4477" t="s">
        <v>1632</v>
      </c>
      <c r="D4477" t="s">
        <v>1632</v>
      </c>
      <c r="E4477" s="10">
        <v>79634</v>
      </c>
      <c r="F4477" s="12">
        <v>6.0800000000000001E-5</v>
      </c>
    </row>
    <row r="4478" spans="1:6">
      <c r="A4478" s="10">
        <v>2021</v>
      </c>
      <c r="B4478" t="s">
        <v>335</v>
      </c>
      <c r="C4478" t="s">
        <v>1633</v>
      </c>
      <c r="D4478" t="s">
        <v>1633</v>
      </c>
      <c r="E4478" s="10">
        <v>3225914</v>
      </c>
      <c r="F4478" s="12">
        <v>2.4632E-3</v>
      </c>
    </row>
    <row r="4479" spans="1:6">
      <c r="A4479" s="10">
        <v>2021</v>
      </c>
      <c r="B4479" t="s">
        <v>336</v>
      </c>
      <c r="C4479" t="s">
        <v>1634</v>
      </c>
      <c r="D4479" t="s">
        <v>1634</v>
      </c>
      <c r="E4479" s="10">
        <v>2879174</v>
      </c>
      <c r="F4479" s="12">
        <v>2.1984000000000001E-3</v>
      </c>
    </row>
    <row r="4480" spans="1:6">
      <c r="A4480" s="10">
        <v>2021</v>
      </c>
      <c r="B4480" t="s">
        <v>337</v>
      </c>
      <c r="C4480" t="s">
        <v>283</v>
      </c>
      <c r="D4480" t="s">
        <v>283</v>
      </c>
      <c r="E4480" s="10">
        <v>214474</v>
      </c>
      <c r="F4480" s="12">
        <v>1.638E-4</v>
      </c>
    </row>
    <row r="4481" spans="1:6">
      <c r="A4481" s="10">
        <v>2021</v>
      </c>
      <c r="B4481" t="s">
        <v>338</v>
      </c>
      <c r="C4481" t="s">
        <v>1635</v>
      </c>
      <c r="D4481" t="s">
        <v>1635</v>
      </c>
      <c r="E4481" s="10">
        <v>74339</v>
      </c>
      <c r="F4481" s="12">
        <v>5.6799999999999998E-5</v>
      </c>
    </row>
    <row r="4482" spans="1:6">
      <c r="A4482" s="10">
        <v>2021</v>
      </c>
      <c r="B4482" t="s">
        <v>373</v>
      </c>
      <c r="C4482" t="s">
        <v>1636</v>
      </c>
      <c r="D4482" t="s">
        <v>1636</v>
      </c>
      <c r="E4482" s="10">
        <v>2853148</v>
      </c>
      <c r="F4482" s="12">
        <v>2.1784999999999999E-3</v>
      </c>
    </row>
    <row r="4483" spans="1:6">
      <c r="A4483" s="10">
        <v>2021</v>
      </c>
      <c r="B4483" t="s">
        <v>339</v>
      </c>
      <c r="C4483" t="s">
        <v>1637</v>
      </c>
      <c r="D4483" t="s">
        <v>1637</v>
      </c>
      <c r="E4483" s="10">
        <v>1341988</v>
      </c>
      <c r="F4483" s="12">
        <v>1.0246999999999999E-3</v>
      </c>
    </row>
    <row r="4484" spans="1:6">
      <c r="A4484" s="10">
        <v>2021</v>
      </c>
      <c r="B4484" t="s">
        <v>340</v>
      </c>
      <c r="C4484" t="s">
        <v>286</v>
      </c>
      <c r="D4484" t="s">
        <v>286</v>
      </c>
      <c r="E4484" s="10">
        <v>122339</v>
      </c>
      <c r="F4484" s="12">
        <v>9.3399999999999993E-5</v>
      </c>
    </row>
    <row r="4485" spans="1:6">
      <c r="A4485" s="10">
        <v>2021</v>
      </c>
      <c r="B4485" t="s">
        <v>342</v>
      </c>
      <c r="C4485" t="s">
        <v>1638</v>
      </c>
      <c r="D4485" t="s">
        <v>1638</v>
      </c>
      <c r="E4485" s="10">
        <v>1014518</v>
      </c>
      <c r="F4485" s="12">
        <v>7.7459999999999996E-4</v>
      </c>
    </row>
    <row r="4486" spans="1:6">
      <c r="A4486" s="10">
        <v>2021</v>
      </c>
      <c r="B4486" t="s">
        <v>1219</v>
      </c>
      <c r="C4486" t="s">
        <v>1639</v>
      </c>
      <c r="D4486" t="s">
        <v>1639</v>
      </c>
      <c r="E4486" s="10">
        <v>409690</v>
      </c>
      <c r="F4486" s="12">
        <v>3.1280000000000001E-4</v>
      </c>
    </row>
    <row r="4487" spans="1:6">
      <c r="A4487" s="10">
        <v>2021</v>
      </c>
      <c r="B4487" t="s">
        <v>343</v>
      </c>
      <c r="C4487" t="s">
        <v>1640</v>
      </c>
      <c r="D4487" t="s">
        <v>1640</v>
      </c>
      <c r="E4487" s="10">
        <v>120183</v>
      </c>
      <c r="F4487" s="12">
        <v>9.1799999999999995E-5</v>
      </c>
    </row>
    <row r="4488" spans="1:6">
      <c r="A4488" s="10">
        <v>2021</v>
      </c>
      <c r="B4488" t="s">
        <v>344</v>
      </c>
      <c r="C4488" t="s">
        <v>290</v>
      </c>
      <c r="D4488" t="s">
        <v>290</v>
      </c>
      <c r="E4488" s="10">
        <v>64948</v>
      </c>
      <c r="F4488" s="12">
        <v>4.9599999999999999E-5</v>
      </c>
    </row>
    <row r="4489" spans="1:6">
      <c r="A4489" s="10">
        <v>2021</v>
      </c>
      <c r="B4489" t="s">
        <v>1220</v>
      </c>
      <c r="C4489" t="s">
        <v>1641</v>
      </c>
      <c r="D4489" t="s">
        <v>1641</v>
      </c>
      <c r="E4489" s="10">
        <v>142645</v>
      </c>
      <c r="F4489" s="12">
        <v>1.089E-4</v>
      </c>
    </row>
    <row r="4490" spans="1:6">
      <c r="A4490" s="10">
        <v>2021</v>
      </c>
      <c r="B4490" t="s">
        <v>345</v>
      </c>
      <c r="C4490" t="s">
        <v>1642</v>
      </c>
      <c r="D4490" t="s">
        <v>1642</v>
      </c>
      <c r="E4490" s="10">
        <v>64055</v>
      </c>
      <c r="F4490" s="12">
        <v>4.8900000000000003E-5</v>
      </c>
    </row>
    <row r="4491" spans="1:6">
      <c r="A4491" s="10">
        <v>2021</v>
      </c>
      <c r="B4491" t="s">
        <v>346</v>
      </c>
      <c r="C4491" t="s">
        <v>1643</v>
      </c>
      <c r="D4491" t="s">
        <v>1643</v>
      </c>
      <c r="E4491" s="10">
        <v>11071282</v>
      </c>
      <c r="F4491" s="12">
        <v>8.4534999999999992E-3</v>
      </c>
    </row>
    <row r="4492" spans="1:6">
      <c r="A4492" s="10">
        <v>2021</v>
      </c>
      <c r="B4492" t="s">
        <v>347</v>
      </c>
      <c r="C4492" t="s">
        <v>1644</v>
      </c>
      <c r="D4492" t="s">
        <v>1644</v>
      </c>
      <c r="E4492" s="10">
        <v>3888031</v>
      </c>
      <c r="F4492" s="12">
        <v>2.9686999999999999E-3</v>
      </c>
    </row>
    <row r="4493" spans="1:6">
      <c r="A4493" s="10">
        <v>2021</v>
      </c>
      <c r="B4493" t="s">
        <v>348</v>
      </c>
      <c r="C4493" t="s">
        <v>1645</v>
      </c>
      <c r="D4493" t="s">
        <v>1645</v>
      </c>
      <c r="E4493" s="10">
        <v>1998352</v>
      </c>
      <c r="F4493" s="12">
        <v>1.5257999999999999E-3</v>
      </c>
    </row>
    <row r="4494" spans="1:6">
      <c r="A4494" s="10">
        <v>2021</v>
      </c>
      <c r="B4494" t="s">
        <v>374</v>
      </c>
      <c r="C4494" t="s">
        <v>1646</v>
      </c>
      <c r="D4494" t="s">
        <v>1646</v>
      </c>
      <c r="E4494" s="10">
        <v>1659941</v>
      </c>
      <c r="F4494" s="12">
        <v>1.2675E-3</v>
      </c>
    </row>
    <row r="4495" spans="1:6">
      <c r="A4495" s="10">
        <v>2021</v>
      </c>
      <c r="B4495" t="s">
        <v>349</v>
      </c>
      <c r="C4495" t="s">
        <v>1647</v>
      </c>
      <c r="D4495" t="s">
        <v>1647</v>
      </c>
      <c r="E4495" s="10">
        <v>3069394</v>
      </c>
      <c r="F4495" s="12">
        <v>2.3435999999999999E-3</v>
      </c>
    </row>
    <row r="4496" spans="1:6">
      <c r="A4496" s="10">
        <v>2021</v>
      </c>
      <c r="B4496" t="s">
        <v>350</v>
      </c>
      <c r="C4496" t="s">
        <v>1648</v>
      </c>
      <c r="D4496" t="s">
        <v>1648</v>
      </c>
      <c r="E4496" s="10">
        <v>3071779</v>
      </c>
      <c r="F4496" s="12">
        <v>2.3454999999999999E-3</v>
      </c>
    </row>
    <row r="4497" spans="1:6">
      <c r="A4497" s="10">
        <v>2021</v>
      </c>
      <c r="B4497" t="s">
        <v>1221</v>
      </c>
      <c r="C4497" t="s">
        <v>1649</v>
      </c>
      <c r="D4497" t="s">
        <v>1649</v>
      </c>
      <c r="E4497" s="10">
        <v>332433</v>
      </c>
      <c r="F4497" s="12">
        <v>2.5379999999999999E-4</v>
      </c>
    </row>
    <row r="4498" spans="1:6">
      <c r="A4498" s="10">
        <v>2021</v>
      </c>
      <c r="B4498" t="s">
        <v>351</v>
      </c>
      <c r="C4498" t="s">
        <v>297</v>
      </c>
      <c r="D4498" t="s">
        <v>297</v>
      </c>
      <c r="E4498" s="10">
        <v>26292</v>
      </c>
      <c r="F4498" s="12">
        <v>2.0100000000000001E-5</v>
      </c>
    </row>
    <row r="4499" spans="1:6">
      <c r="A4499" s="10">
        <v>2021</v>
      </c>
      <c r="B4499" t="s">
        <v>352</v>
      </c>
      <c r="C4499" t="s">
        <v>2398</v>
      </c>
      <c r="D4499" t="s">
        <v>2398</v>
      </c>
      <c r="E4499" s="10">
        <v>171690</v>
      </c>
      <c r="F4499" s="12">
        <v>1.3109999999999999E-4</v>
      </c>
    </row>
    <row r="4500" spans="1:6">
      <c r="A4500" s="10">
        <v>2021</v>
      </c>
      <c r="B4500" t="s">
        <v>353</v>
      </c>
      <c r="C4500" t="s">
        <v>1650</v>
      </c>
      <c r="D4500" t="s">
        <v>1650</v>
      </c>
      <c r="E4500" s="10">
        <v>56051</v>
      </c>
      <c r="F4500" s="12">
        <v>4.2799999999999997E-5</v>
      </c>
    </row>
    <row r="4501" spans="1:6">
      <c r="A4501" s="10">
        <v>2021</v>
      </c>
      <c r="B4501" t="s">
        <v>354</v>
      </c>
      <c r="C4501" t="s">
        <v>300</v>
      </c>
      <c r="D4501" t="s">
        <v>300</v>
      </c>
      <c r="E4501" s="10">
        <v>2654268</v>
      </c>
      <c r="F4501" s="12">
        <v>2.0267000000000002E-3</v>
      </c>
    </row>
    <row r="4502" spans="1:6">
      <c r="A4502" s="10">
        <v>2021</v>
      </c>
      <c r="B4502" t="s">
        <v>1659</v>
      </c>
      <c r="C4502" t="s">
        <v>1651</v>
      </c>
      <c r="D4502" t="s">
        <v>1651</v>
      </c>
      <c r="E4502" s="10">
        <v>237349</v>
      </c>
      <c r="F4502" s="12">
        <v>1.8120000000000001E-4</v>
      </c>
    </row>
    <row r="4503" spans="1:6">
      <c r="A4503" s="10">
        <v>2021</v>
      </c>
      <c r="B4503" t="s">
        <v>355</v>
      </c>
      <c r="C4503" t="s">
        <v>2423</v>
      </c>
      <c r="D4503" t="s">
        <v>2423</v>
      </c>
      <c r="E4503" s="10">
        <v>429253</v>
      </c>
      <c r="F4503" s="12">
        <v>3.278E-4</v>
      </c>
    </row>
    <row r="4504" spans="1:6">
      <c r="A4504" s="10">
        <v>2021</v>
      </c>
      <c r="B4504" t="s">
        <v>356</v>
      </c>
      <c r="C4504" t="s">
        <v>1444</v>
      </c>
      <c r="D4504" t="s">
        <v>1444</v>
      </c>
      <c r="E4504" s="10">
        <v>6210377</v>
      </c>
      <c r="F4504" s="12">
        <v>4.7419999999999997E-3</v>
      </c>
    </row>
    <row r="4505" spans="1:6">
      <c r="A4505" s="10">
        <v>2021</v>
      </c>
      <c r="B4505" t="s">
        <v>357</v>
      </c>
      <c r="C4505" t="s">
        <v>2424</v>
      </c>
      <c r="D4505" t="s">
        <v>2424</v>
      </c>
      <c r="E4505" s="10">
        <v>186440</v>
      </c>
      <c r="F4505" s="12">
        <v>1.4239999999999999E-4</v>
      </c>
    </row>
    <row r="4506" spans="1:6">
      <c r="A4506" s="10">
        <v>2021</v>
      </c>
      <c r="B4506" t="s">
        <v>358</v>
      </c>
      <c r="C4506" t="s">
        <v>304</v>
      </c>
      <c r="D4506" t="s">
        <v>304</v>
      </c>
      <c r="E4506" s="10"/>
    </row>
    <row r="4507" spans="1:6">
      <c r="A4507" s="10">
        <v>2021</v>
      </c>
      <c r="B4507" t="s">
        <v>359</v>
      </c>
      <c r="C4507" t="s">
        <v>305</v>
      </c>
      <c r="D4507" t="s">
        <v>305</v>
      </c>
      <c r="E4507" s="10">
        <v>241349</v>
      </c>
      <c r="F4507" s="12">
        <v>1.8430000000000001E-4</v>
      </c>
    </row>
    <row r="4508" spans="1:6">
      <c r="A4508" s="10">
        <v>2021</v>
      </c>
      <c r="B4508" t="s">
        <v>360</v>
      </c>
      <c r="C4508" t="s">
        <v>1653</v>
      </c>
      <c r="D4508" t="s">
        <v>1653</v>
      </c>
      <c r="E4508" s="10">
        <v>29239887</v>
      </c>
      <c r="F4508" s="12">
        <v>2.2326200000000001E-2</v>
      </c>
    </row>
    <row r="4509" spans="1:6">
      <c r="A4509" s="10">
        <v>2021</v>
      </c>
      <c r="B4509" t="s">
        <v>375</v>
      </c>
      <c r="C4509" t="s">
        <v>1654</v>
      </c>
      <c r="D4509" t="s">
        <v>1654</v>
      </c>
      <c r="E4509" s="10">
        <v>9309291</v>
      </c>
      <c r="F4509" s="12">
        <v>7.1081E-3</v>
      </c>
    </row>
    <row r="4510" spans="1:6">
      <c r="A4510" s="10">
        <v>2021</v>
      </c>
      <c r="B4510" t="s">
        <v>361</v>
      </c>
      <c r="C4510" t="s">
        <v>1655</v>
      </c>
      <c r="D4510" t="s">
        <v>1655</v>
      </c>
      <c r="E4510" s="10">
        <v>185294</v>
      </c>
      <c r="F4510" s="12">
        <v>1.415E-4</v>
      </c>
    </row>
    <row r="4511" spans="1:6">
      <c r="A4511" s="10">
        <v>2021</v>
      </c>
      <c r="B4511" t="s">
        <v>362</v>
      </c>
      <c r="C4511" t="s">
        <v>1656</v>
      </c>
      <c r="D4511" t="s">
        <v>1656</v>
      </c>
      <c r="E4511" s="10">
        <v>9171</v>
      </c>
      <c r="F4511" s="12">
        <v>6.9999999999999999E-6</v>
      </c>
    </row>
    <row r="4512" spans="1:6">
      <c r="A4512" s="10">
        <v>2021</v>
      </c>
      <c r="B4512" t="s">
        <v>363</v>
      </c>
      <c r="C4512" t="s">
        <v>1657</v>
      </c>
      <c r="D4512" t="s">
        <v>1657</v>
      </c>
      <c r="E4512" s="10">
        <v>3185791</v>
      </c>
      <c r="F4512" s="12">
        <v>2.4325000000000002E-3</v>
      </c>
    </row>
    <row r="4513" spans="1:6">
      <c r="A4513" s="10">
        <v>2021</v>
      </c>
      <c r="B4513" t="s">
        <v>364</v>
      </c>
      <c r="C4513" t="s">
        <v>310</v>
      </c>
      <c r="D4513" t="s">
        <v>310</v>
      </c>
      <c r="E4513" s="10"/>
    </row>
    <row r="4514" spans="1:6">
      <c r="A4514" s="10">
        <v>2021</v>
      </c>
      <c r="B4514" t="s">
        <v>365</v>
      </c>
      <c r="C4514" t="s">
        <v>1658</v>
      </c>
      <c r="D4514" t="s">
        <v>1658</v>
      </c>
      <c r="E4514" s="10">
        <v>1301137</v>
      </c>
      <c r="F4514" s="12">
        <v>9.9350000000000003E-4</v>
      </c>
    </row>
    <row r="4515" spans="1:6">
      <c r="A4515" s="10">
        <v>2021</v>
      </c>
      <c r="B4515" t="s">
        <v>1222</v>
      </c>
      <c r="C4515" t="s">
        <v>1660</v>
      </c>
      <c r="D4515" t="s">
        <v>1660</v>
      </c>
      <c r="E4515" s="10">
        <v>415866</v>
      </c>
      <c r="F4515" s="12">
        <v>3.1750000000000002E-4</v>
      </c>
    </row>
    <row r="4516" spans="1:6">
      <c r="A4516" s="10">
        <v>2021</v>
      </c>
      <c r="B4516" t="s">
        <v>366</v>
      </c>
      <c r="C4516" t="s">
        <v>312</v>
      </c>
      <c r="D4516" t="s">
        <v>312</v>
      </c>
      <c r="E4516" s="10">
        <v>5149</v>
      </c>
      <c r="F4516" s="12">
        <v>3.8999999999999999E-6</v>
      </c>
    </row>
    <row r="4517" spans="1:6">
      <c r="A4517" s="10">
        <v>2021</v>
      </c>
      <c r="B4517" t="s">
        <v>367</v>
      </c>
      <c r="C4517" t="s">
        <v>313</v>
      </c>
      <c r="D4517" t="s">
        <v>313</v>
      </c>
      <c r="E4517" s="10">
        <v>66150</v>
      </c>
      <c r="F4517" s="12">
        <v>5.0500000000000001E-5</v>
      </c>
    </row>
    <row r="4518" spans="1:6">
      <c r="A4518" s="10">
        <v>2021</v>
      </c>
      <c r="B4518" t="s">
        <v>368</v>
      </c>
      <c r="C4518" t="s">
        <v>1661</v>
      </c>
      <c r="D4518" t="s">
        <v>1661</v>
      </c>
      <c r="E4518" s="10">
        <v>238459</v>
      </c>
      <c r="F4518" s="12">
        <v>1.8210000000000001E-4</v>
      </c>
    </row>
    <row r="4519" spans="1:6">
      <c r="A4519" s="10">
        <v>2021</v>
      </c>
      <c r="B4519" t="s">
        <v>1223</v>
      </c>
      <c r="C4519" t="s">
        <v>1662</v>
      </c>
      <c r="D4519" t="s">
        <v>1662</v>
      </c>
      <c r="E4519" s="10">
        <v>168075</v>
      </c>
      <c r="F4519" s="12">
        <v>1.283E-4</v>
      </c>
    </row>
    <row r="4520" spans="1:6">
      <c r="A4520" s="10">
        <v>2021</v>
      </c>
      <c r="B4520" t="s">
        <v>468</v>
      </c>
      <c r="C4520" t="s">
        <v>1663</v>
      </c>
      <c r="D4520" t="s">
        <v>1663</v>
      </c>
      <c r="E4520" s="10">
        <v>274489</v>
      </c>
      <c r="F4520" s="12">
        <v>2.096E-4</v>
      </c>
    </row>
    <row r="4521" spans="1:6">
      <c r="A4521" s="10">
        <v>2021</v>
      </c>
      <c r="B4521" t="s">
        <v>1224</v>
      </c>
      <c r="C4521" t="s">
        <v>1665</v>
      </c>
      <c r="D4521" t="s">
        <v>1665</v>
      </c>
      <c r="E4521" s="10">
        <v>89013</v>
      </c>
      <c r="F4521" s="12">
        <v>6.7999999999999999E-5</v>
      </c>
    </row>
    <row r="4522" spans="1:6">
      <c r="A4522" s="10">
        <v>2021</v>
      </c>
      <c r="B4522" t="s">
        <v>470</v>
      </c>
      <c r="C4522" t="s">
        <v>2361</v>
      </c>
      <c r="D4522" t="s">
        <v>2361</v>
      </c>
      <c r="E4522" s="10">
        <v>27990</v>
      </c>
      <c r="F4522" s="12">
        <v>2.1399999999999998E-5</v>
      </c>
    </row>
    <row r="4523" spans="1:6">
      <c r="A4523" s="10">
        <v>2021</v>
      </c>
      <c r="B4523" t="s">
        <v>471</v>
      </c>
      <c r="C4523" t="s">
        <v>416</v>
      </c>
      <c r="D4523" t="s">
        <v>416</v>
      </c>
      <c r="E4523" s="10">
        <v>2319990</v>
      </c>
      <c r="F4523" s="12">
        <v>1.7714E-3</v>
      </c>
    </row>
    <row r="4524" spans="1:6">
      <c r="A4524" s="10">
        <v>2021</v>
      </c>
      <c r="B4524" t="s">
        <v>472</v>
      </c>
      <c r="C4524" t="s">
        <v>417</v>
      </c>
      <c r="D4524" t="s">
        <v>417</v>
      </c>
      <c r="E4524" s="10">
        <v>3266320</v>
      </c>
      <c r="F4524" s="12">
        <v>2.4940000000000001E-3</v>
      </c>
    </row>
    <row r="4525" spans="1:6">
      <c r="A4525" s="10">
        <v>2021</v>
      </c>
      <c r="B4525" t="s">
        <v>474</v>
      </c>
      <c r="C4525" t="s">
        <v>1666</v>
      </c>
      <c r="D4525" t="s">
        <v>1666</v>
      </c>
      <c r="E4525" s="10">
        <v>107136</v>
      </c>
      <c r="F4525" s="12">
        <v>8.1799999999999996E-5</v>
      </c>
    </row>
    <row r="4526" spans="1:6">
      <c r="A4526" s="10">
        <v>2021</v>
      </c>
      <c r="B4526" t="s">
        <v>475</v>
      </c>
      <c r="C4526" t="s">
        <v>1667</v>
      </c>
      <c r="D4526" t="s">
        <v>1667</v>
      </c>
      <c r="E4526" s="10">
        <v>27913</v>
      </c>
      <c r="F4526" s="12">
        <v>2.1299999999999999E-5</v>
      </c>
    </row>
    <row r="4527" spans="1:6">
      <c r="A4527" s="10">
        <v>2021</v>
      </c>
      <c r="B4527" t="s">
        <v>476</v>
      </c>
      <c r="C4527" t="s">
        <v>421</v>
      </c>
      <c r="D4527" t="s">
        <v>421</v>
      </c>
      <c r="E4527" s="10">
        <v>5072223</v>
      </c>
      <c r="F4527" s="12">
        <v>3.8728999999999999E-3</v>
      </c>
    </row>
    <row r="4528" spans="1:6">
      <c r="A4528" s="10">
        <v>2021</v>
      </c>
      <c r="B4528" t="s">
        <v>477</v>
      </c>
      <c r="C4528" t="s">
        <v>422</v>
      </c>
      <c r="D4528" t="s">
        <v>422</v>
      </c>
      <c r="E4528" s="10">
        <v>1142012</v>
      </c>
      <c r="F4528" s="12">
        <v>8.7200000000000005E-4</v>
      </c>
    </row>
    <row r="4529" spans="1:6">
      <c r="A4529" s="10">
        <v>2021</v>
      </c>
      <c r="B4529" t="s">
        <v>478</v>
      </c>
      <c r="C4529" t="s">
        <v>1668</v>
      </c>
      <c r="D4529" t="s">
        <v>2362</v>
      </c>
      <c r="E4529" s="10">
        <v>150020</v>
      </c>
      <c r="F4529" s="12">
        <v>1.145E-4</v>
      </c>
    </row>
    <row r="4530" spans="1:6">
      <c r="A4530" s="10">
        <v>2021</v>
      </c>
      <c r="B4530" t="s">
        <v>479</v>
      </c>
      <c r="C4530" t="s">
        <v>1669</v>
      </c>
      <c r="D4530" t="s">
        <v>1669</v>
      </c>
      <c r="E4530" s="10">
        <v>396861</v>
      </c>
      <c r="F4530" s="12">
        <v>3.0299999999999999E-4</v>
      </c>
    </row>
    <row r="4531" spans="1:6">
      <c r="A4531" s="10">
        <v>2021</v>
      </c>
      <c r="B4531" t="s">
        <v>480</v>
      </c>
      <c r="C4531" t="s">
        <v>1670</v>
      </c>
      <c r="D4531" t="s">
        <v>1670</v>
      </c>
      <c r="E4531" s="10">
        <v>55623</v>
      </c>
      <c r="F4531" s="12">
        <v>4.2500000000000003E-5</v>
      </c>
    </row>
    <row r="4532" spans="1:6">
      <c r="A4532" s="10">
        <v>2021</v>
      </c>
      <c r="B4532" t="s">
        <v>481</v>
      </c>
      <c r="C4532" t="s">
        <v>1671</v>
      </c>
      <c r="D4532" t="s">
        <v>1671</v>
      </c>
      <c r="E4532" s="10">
        <v>906315</v>
      </c>
      <c r="F4532" s="12">
        <v>6.9200000000000002E-4</v>
      </c>
    </row>
    <row r="4533" spans="1:6">
      <c r="A4533" s="10">
        <v>2021</v>
      </c>
      <c r="B4533" t="s">
        <v>482</v>
      </c>
      <c r="C4533" t="s">
        <v>1672</v>
      </c>
      <c r="D4533" t="s">
        <v>1672</v>
      </c>
      <c r="E4533" s="10">
        <v>177303</v>
      </c>
      <c r="F4533" s="12">
        <v>1.3540000000000001E-4</v>
      </c>
    </row>
    <row r="4534" spans="1:6">
      <c r="A4534" s="10">
        <v>2021</v>
      </c>
      <c r="B4534" t="s">
        <v>483</v>
      </c>
      <c r="C4534" t="s">
        <v>1673</v>
      </c>
      <c r="D4534" t="s">
        <v>1673</v>
      </c>
      <c r="E4534" s="10">
        <v>137850</v>
      </c>
      <c r="F4534" s="12">
        <v>1.053E-4</v>
      </c>
    </row>
    <row r="4535" spans="1:6">
      <c r="A4535" s="10">
        <v>2021</v>
      </c>
      <c r="B4535" t="s">
        <v>484</v>
      </c>
      <c r="C4535" t="s">
        <v>1674</v>
      </c>
      <c r="D4535" t="s">
        <v>1674</v>
      </c>
      <c r="E4535" s="10">
        <v>358735</v>
      </c>
      <c r="F4535" s="12">
        <v>2.7389999999999999E-4</v>
      </c>
    </row>
    <row r="4536" spans="1:6">
      <c r="A4536" s="10">
        <v>2021</v>
      </c>
      <c r="B4536" t="s">
        <v>485</v>
      </c>
      <c r="C4536" t="s">
        <v>1675</v>
      </c>
      <c r="D4536" t="s">
        <v>1675</v>
      </c>
      <c r="E4536" s="10">
        <v>1444001</v>
      </c>
      <c r="F4536" s="12">
        <v>1.1026E-3</v>
      </c>
    </row>
    <row r="4537" spans="1:6">
      <c r="A4537" s="10">
        <v>2021</v>
      </c>
      <c r="B4537" t="s">
        <v>376</v>
      </c>
      <c r="C4537" t="s">
        <v>1676</v>
      </c>
      <c r="D4537" t="s">
        <v>1676</v>
      </c>
      <c r="E4537" s="10">
        <v>504157</v>
      </c>
      <c r="F4537" s="12">
        <v>3.8499999999999998E-4</v>
      </c>
    </row>
    <row r="4538" spans="1:6">
      <c r="A4538" s="10">
        <v>2021</v>
      </c>
      <c r="B4538" t="s">
        <v>1690</v>
      </c>
      <c r="C4538" t="s">
        <v>1677</v>
      </c>
      <c r="D4538" t="s">
        <v>1677</v>
      </c>
      <c r="E4538" s="10"/>
    </row>
    <row r="4539" spans="1:6">
      <c r="A4539" s="10">
        <v>2021</v>
      </c>
      <c r="B4539" t="s">
        <v>2365</v>
      </c>
      <c r="C4539" t="s">
        <v>2363</v>
      </c>
      <c r="D4539" t="s">
        <v>2363</v>
      </c>
      <c r="E4539" s="10">
        <v>44958</v>
      </c>
      <c r="F4539" s="12">
        <v>3.43E-5</v>
      </c>
    </row>
    <row r="4540" spans="1:6">
      <c r="A4540" s="10">
        <v>2021</v>
      </c>
      <c r="B4540" t="s">
        <v>377</v>
      </c>
      <c r="C4540" t="s">
        <v>1678</v>
      </c>
      <c r="D4540" t="s">
        <v>1678</v>
      </c>
      <c r="E4540" s="10">
        <v>974702</v>
      </c>
      <c r="F4540" s="12">
        <v>7.4419999999999998E-4</v>
      </c>
    </row>
    <row r="4541" spans="1:6">
      <c r="A4541" s="10">
        <v>2021</v>
      </c>
      <c r="B4541" t="s">
        <v>486</v>
      </c>
      <c r="C4541" t="s">
        <v>1679</v>
      </c>
      <c r="D4541" t="s">
        <v>1679</v>
      </c>
      <c r="E4541" s="10">
        <v>1188389</v>
      </c>
      <c r="F4541" s="12">
        <v>9.0740000000000005E-4</v>
      </c>
    </row>
    <row r="4542" spans="1:6">
      <c r="A4542" s="10">
        <v>2021</v>
      </c>
      <c r="B4542" t="s">
        <v>487</v>
      </c>
      <c r="C4542" t="s">
        <v>432</v>
      </c>
      <c r="D4542" t="s">
        <v>432</v>
      </c>
      <c r="E4542" s="10">
        <v>438</v>
      </c>
      <c r="F4542" s="12">
        <v>2.9999999999999999E-7</v>
      </c>
    </row>
    <row r="4543" spans="1:6">
      <c r="A4543" s="10">
        <v>2021</v>
      </c>
      <c r="B4543" t="s">
        <v>488</v>
      </c>
      <c r="C4543" t="s">
        <v>1680</v>
      </c>
      <c r="D4543" t="s">
        <v>1680</v>
      </c>
      <c r="E4543" s="10">
        <v>161523</v>
      </c>
      <c r="F4543" s="12">
        <v>1.2329999999999999E-4</v>
      </c>
    </row>
    <row r="4544" spans="1:6">
      <c r="A4544" s="10">
        <v>2021</v>
      </c>
      <c r="B4544" t="s">
        <v>489</v>
      </c>
      <c r="C4544" t="s">
        <v>434</v>
      </c>
      <c r="D4544" t="s">
        <v>434</v>
      </c>
      <c r="E4544" s="10">
        <v>60049</v>
      </c>
      <c r="F4544" s="12">
        <v>4.5899999999999998E-5</v>
      </c>
    </row>
    <row r="4545" spans="1:6">
      <c r="A4545" s="10">
        <v>2021</v>
      </c>
      <c r="B4545" t="s">
        <v>490</v>
      </c>
      <c r="C4545" t="s">
        <v>1681</v>
      </c>
      <c r="D4545" t="s">
        <v>1681</v>
      </c>
      <c r="E4545" s="10">
        <v>3066786</v>
      </c>
      <c r="F4545" s="12">
        <v>2.3416999999999999E-3</v>
      </c>
    </row>
    <row r="4546" spans="1:6">
      <c r="A4546" s="10">
        <v>2021</v>
      </c>
      <c r="B4546" t="s">
        <v>491</v>
      </c>
      <c r="C4546" t="s">
        <v>1682</v>
      </c>
      <c r="D4546" t="s">
        <v>1682</v>
      </c>
      <c r="E4546" s="10">
        <v>3649321</v>
      </c>
      <c r="F4546" s="12">
        <v>2.7864999999999999E-3</v>
      </c>
    </row>
    <row r="4547" spans="1:6">
      <c r="A4547" s="10">
        <v>2021</v>
      </c>
      <c r="B4547" t="s">
        <v>492</v>
      </c>
      <c r="C4547" t="s">
        <v>1683</v>
      </c>
      <c r="D4547" t="s">
        <v>1683</v>
      </c>
      <c r="E4547" s="10">
        <v>7108</v>
      </c>
      <c r="F4547" s="12">
        <v>5.4E-6</v>
      </c>
    </row>
    <row r="4548" spans="1:6">
      <c r="A4548" s="10">
        <v>2021</v>
      </c>
      <c r="B4548" t="s">
        <v>493</v>
      </c>
      <c r="C4548" t="s">
        <v>1684</v>
      </c>
      <c r="D4548" t="s">
        <v>1684</v>
      </c>
      <c r="E4548" s="10">
        <v>16136</v>
      </c>
      <c r="F4548" s="12">
        <v>1.2300000000000001E-5</v>
      </c>
    </row>
    <row r="4549" spans="1:6">
      <c r="A4549" s="10">
        <v>2021</v>
      </c>
      <c r="B4549" t="s">
        <v>494</v>
      </c>
      <c r="C4549" t="s">
        <v>1685</v>
      </c>
      <c r="D4549" t="s">
        <v>1685</v>
      </c>
      <c r="E4549" s="10">
        <v>815</v>
      </c>
      <c r="F4549" s="12">
        <v>5.9999999999999997E-7</v>
      </c>
    </row>
    <row r="4550" spans="1:6">
      <c r="A4550" s="10">
        <v>2021</v>
      </c>
      <c r="B4550" t="s">
        <v>550</v>
      </c>
      <c r="C4550" t="s">
        <v>1686</v>
      </c>
      <c r="D4550" t="s">
        <v>1686</v>
      </c>
      <c r="E4550" s="10">
        <v>53083</v>
      </c>
      <c r="F4550" s="12">
        <v>4.0500000000000002E-5</v>
      </c>
    </row>
    <row r="4551" spans="1:6">
      <c r="A4551" s="10">
        <v>2021</v>
      </c>
      <c r="B4551" t="s">
        <v>551</v>
      </c>
      <c r="C4551" t="s">
        <v>1687</v>
      </c>
      <c r="D4551" t="s">
        <v>1687</v>
      </c>
      <c r="E4551" s="10">
        <v>104654</v>
      </c>
      <c r="F4551" s="12">
        <v>7.9900000000000004E-5</v>
      </c>
    </row>
    <row r="4552" spans="1:6">
      <c r="A4552" s="10">
        <v>2021</v>
      </c>
      <c r="B4552" t="s">
        <v>552</v>
      </c>
      <c r="C4552" t="s">
        <v>1688</v>
      </c>
      <c r="D4552" t="s">
        <v>1688</v>
      </c>
      <c r="E4552" s="10">
        <v>20940874</v>
      </c>
      <c r="F4552" s="12">
        <v>1.59895E-2</v>
      </c>
    </row>
    <row r="4553" spans="1:6">
      <c r="A4553" s="10">
        <v>2021</v>
      </c>
      <c r="B4553" t="s">
        <v>553</v>
      </c>
      <c r="C4553" t="s">
        <v>498</v>
      </c>
      <c r="D4553" t="s">
        <v>498</v>
      </c>
      <c r="E4553" s="10">
        <v>47314</v>
      </c>
      <c r="F4553" s="12">
        <v>3.6100000000000003E-5</v>
      </c>
    </row>
    <row r="4554" spans="1:6">
      <c r="A4554" s="10">
        <v>2021</v>
      </c>
      <c r="B4554" t="s">
        <v>554</v>
      </c>
      <c r="C4554" t="s">
        <v>499</v>
      </c>
      <c r="D4554" t="s">
        <v>499</v>
      </c>
      <c r="E4554" s="10"/>
    </row>
    <row r="4555" spans="1:6">
      <c r="A4555" s="10">
        <v>2021</v>
      </c>
      <c r="B4555" t="s">
        <v>555</v>
      </c>
      <c r="C4555" t="s">
        <v>500</v>
      </c>
      <c r="D4555" t="s">
        <v>500</v>
      </c>
      <c r="E4555" s="10">
        <v>196869</v>
      </c>
      <c r="F4555" s="12">
        <v>1.5029999999999999E-4</v>
      </c>
    </row>
    <row r="4556" spans="1:6">
      <c r="A4556" s="10">
        <v>2021</v>
      </c>
      <c r="B4556" t="s">
        <v>556</v>
      </c>
      <c r="C4556" t="s">
        <v>501</v>
      </c>
      <c r="D4556" t="s">
        <v>501</v>
      </c>
      <c r="E4556" s="10"/>
    </row>
    <row r="4557" spans="1:6">
      <c r="A4557" s="10">
        <v>2021</v>
      </c>
      <c r="B4557" t="s">
        <v>557</v>
      </c>
      <c r="C4557" t="s">
        <v>502</v>
      </c>
      <c r="D4557" t="s">
        <v>502</v>
      </c>
      <c r="E4557" s="10">
        <v>61785</v>
      </c>
      <c r="F4557" s="12">
        <v>4.7200000000000002E-5</v>
      </c>
    </row>
    <row r="4558" spans="1:6">
      <c r="A4558" s="10">
        <v>2021</v>
      </c>
      <c r="B4558" t="s">
        <v>558</v>
      </c>
      <c r="C4558" t="s">
        <v>1691</v>
      </c>
      <c r="D4558" t="s">
        <v>1691</v>
      </c>
      <c r="E4558" s="10">
        <v>24559</v>
      </c>
      <c r="F4558" s="12">
        <v>1.88E-5</v>
      </c>
    </row>
    <row r="4559" spans="1:6">
      <c r="A4559" s="10">
        <v>2021</v>
      </c>
      <c r="B4559" t="s">
        <v>559</v>
      </c>
      <c r="C4559" t="s">
        <v>1692</v>
      </c>
      <c r="D4559" t="s">
        <v>1692</v>
      </c>
      <c r="E4559" s="10">
        <v>2032977</v>
      </c>
      <c r="F4559" s="12">
        <v>1.5522999999999999E-3</v>
      </c>
    </row>
    <row r="4560" spans="1:6">
      <c r="A4560" s="10">
        <v>2021</v>
      </c>
      <c r="B4560" t="s">
        <v>378</v>
      </c>
      <c r="C4560" t="s">
        <v>1693</v>
      </c>
      <c r="D4560" t="s">
        <v>1693</v>
      </c>
      <c r="E4560" s="10">
        <v>615172</v>
      </c>
      <c r="F4560" s="12">
        <v>4.6969999999999998E-4</v>
      </c>
    </row>
    <row r="4561" spans="1:6">
      <c r="A4561" s="10">
        <v>2021</v>
      </c>
      <c r="B4561" t="s">
        <v>560</v>
      </c>
      <c r="C4561" t="s">
        <v>505</v>
      </c>
      <c r="D4561" t="s">
        <v>505</v>
      </c>
      <c r="E4561" s="10">
        <v>123859</v>
      </c>
      <c r="F4561" s="12">
        <v>9.4599999999999996E-5</v>
      </c>
    </row>
    <row r="4562" spans="1:6">
      <c r="A4562" s="10">
        <v>2021</v>
      </c>
      <c r="B4562" t="s">
        <v>561</v>
      </c>
      <c r="C4562" t="s">
        <v>1694</v>
      </c>
      <c r="D4562" t="s">
        <v>1694</v>
      </c>
      <c r="E4562" s="10">
        <v>238215</v>
      </c>
      <c r="F4562" s="12">
        <v>1.819E-4</v>
      </c>
    </row>
    <row r="4563" spans="1:6">
      <c r="A4563" s="10">
        <v>2021</v>
      </c>
      <c r="B4563" t="s">
        <v>1225</v>
      </c>
      <c r="C4563" t="s">
        <v>1695</v>
      </c>
      <c r="D4563" t="s">
        <v>1695</v>
      </c>
      <c r="E4563" s="10">
        <v>32377</v>
      </c>
      <c r="F4563" s="12">
        <v>2.4700000000000001E-5</v>
      </c>
    </row>
    <row r="4564" spans="1:6">
      <c r="A4564" s="10">
        <v>2021</v>
      </c>
      <c r="B4564" t="s">
        <v>562</v>
      </c>
      <c r="C4564" t="s">
        <v>2367</v>
      </c>
      <c r="D4564" t="s">
        <v>2367</v>
      </c>
      <c r="E4564" s="10">
        <v>14577319</v>
      </c>
      <c r="F4564" s="12">
        <v>1.1130599999999999E-2</v>
      </c>
    </row>
    <row r="4565" spans="1:6">
      <c r="A4565" s="10">
        <v>2021</v>
      </c>
      <c r="B4565" t="s">
        <v>1226</v>
      </c>
      <c r="C4565" t="s">
        <v>1697</v>
      </c>
      <c r="D4565" t="s">
        <v>1697</v>
      </c>
      <c r="E4565" s="10">
        <v>124694</v>
      </c>
      <c r="F4565" s="12">
        <v>9.5199999999999997E-5</v>
      </c>
    </row>
    <row r="4566" spans="1:6">
      <c r="A4566" s="10">
        <v>2021</v>
      </c>
      <c r="B4566" t="s">
        <v>563</v>
      </c>
      <c r="C4566" t="s">
        <v>1698</v>
      </c>
      <c r="D4566" t="s">
        <v>1698</v>
      </c>
      <c r="E4566" s="10"/>
    </row>
    <row r="4567" spans="1:6">
      <c r="A4567" s="10">
        <v>2021</v>
      </c>
      <c r="B4567" t="s">
        <v>564</v>
      </c>
      <c r="C4567" t="s">
        <v>509</v>
      </c>
      <c r="D4567" t="s">
        <v>509</v>
      </c>
      <c r="E4567" s="10">
        <v>1514976</v>
      </c>
      <c r="F4567" s="12">
        <v>1.1567999999999999E-3</v>
      </c>
    </row>
    <row r="4568" spans="1:6">
      <c r="A4568" s="10">
        <v>2021</v>
      </c>
      <c r="B4568" t="s">
        <v>565</v>
      </c>
      <c r="C4568" t="s">
        <v>510</v>
      </c>
      <c r="D4568" t="s">
        <v>510</v>
      </c>
      <c r="E4568" s="10">
        <v>2086023</v>
      </c>
      <c r="F4568" s="12">
        <v>1.5927999999999999E-3</v>
      </c>
    </row>
    <row r="4569" spans="1:6">
      <c r="A4569" s="10">
        <v>2021</v>
      </c>
      <c r="B4569" t="s">
        <v>566</v>
      </c>
      <c r="C4569" t="s">
        <v>1699</v>
      </c>
      <c r="D4569" t="s">
        <v>1699</v>
      </c>
      <c r="E4569" s="10">
        <v>140225</v>
      </c>
      <c r="F4569" s="12">
        <v>1.071E-4</v>
      </c>
    </row>
    <row r="4570" spans="1:6">
      <c r="A4570" s="10">
        <v>2021</v>
      </c>
      <c r="B4570" t="s">
        <v>2400</v>
      </c>
      <c r="C4570" t="s">
        <v>2399</v>
      </c>
      <c r="D4570" t="s">
        <v>2399</v>
      </c>
      <c r="E4570" s="10">
        <v>132206</v>
      </c>
      <c r="F4570" s="12">
        <v>1.009E-4</v>
      </c>
    </row>
    <row r="4571" spans="1:6">
      <c r="A4571" s="10">
        <v>2021</v>
      </c>
      <c r="B4571" t="s">
        <v>569</v>
      </c>
      <c r="C4571" t="s">
        <v>1446</v>
      </c>
      <c r="D4571" t="s">
        <v>1446</v>
      </c>
      <c r="E4571" s="10">
        <v>196996</v>
      </c>
      <c r="F4571" s="12">
        <v>1.504E-4</v>
      </c>
    </row>
    <row r="4572" spans="1:6">
      <c r="A4572" s="10">
        <v>2021</v>
      </c>
      <c r="B4572" t="s">
        <v>567</v>
      </c>
      <c r="C4572" t="s">
        <v>1700</v>
      </c>
      <c r="D4572" t="s">
        <v>1700</v>
      </c>
      <c r="E4572" s="10">
        <v>103184</v>
      </c>
      <c r="F4572" s="12">
        <v>7.8800000000000004E-5</v>
      </c>
    </row>
    <row r="4573" spans="1:6">
      <c r="A4573" s="10">
        <v>2021</v>
      </c>
      <c r="B4573" t="s">
        <v>568</v>
      </c>
      <c r="C4573" t="s">
        <v>2446</v>
      </c>
      <c r="D4573" t="s">
        <v>2427</v>
      </c>
      <c r="E4573" s="10">
        <v>186128</v>
      </c>
      <c r="F4573" s="12">
        <v>1.4210000000000001E-4</v>
      </c>
    </row>
    <row r="4574" spans="1:6">
      <c r="A4574" s="10">
        <v>2021</v>
      </c>
      <c r="B4574" t="s">
        <v>570</v>
      </c>
      <c r="C4574" t="s">
        <v>515</v>
      </c>
      <c r="D4574" t="s">
        <v>515</v>
      </c>
      <c r="E4574" s="10">
        <v>313911</v>
      </c>
      <c r="F4574" s="12">
        <v>2.397E-4</v>
      </c>
    </row>
    <row r="4575" spans="1:6">
      <c r="A4575" s="10">
        <v>2021</v>
      </c>
      <c r="B4575" t="s">
        <v>571</v>
      </c>
      <c r="C4575" t="s">
        <v>516</v>
      </c>
      <c r="D4575" t="s">
        <v>516</v>
      </c>
      <c r="E4575" s="10">
        <v>994866</v>
      </c>
      <c r="F4575" s="12">
        <v>7.5960000000000003E-4</v>
      </c>
    </row>
    <row r="4576" spans="1:6">
      <c r="A4576" s="10">
        <v>2021</v>
      </c>
      <c r="B4576" t="s">
        <v>572</v>
      </c>
      <c r="C4576" t="s">
        <v>517</v>
      </c>
      <c r="D4576" t="s">
        <v>517</v>
      </c>
      <c r="E4576" s="10">
        <v>640069</v>
      </c>
      <c r="F4576" s="12">
        <v>4.8870000000000001E-4</v>
      </c>
    </row>
    <row r="4577" spans="1:6">
      <c r="A4577" s="10">
        <v>2021</v>
      </c>
      <c r="B4577" t="s">
        <v>573</v>
      </c>
      <c r="C4577" t="s">
        <v>518</v>
      </c>
      <c r="D4577" t="s">
        <v>518</v>
      </c>
      <c r="E4577" s="10">
        <v>350357</v>
      </c>
      <c r="F4577" s="12">
        <v>2.675E-4</v>
      </c>
    </row>
    <row r="4578" spans="1:6">
      <c r="A4578" s="10">
        <v>2021</v>
      </c>
      <c r="B4578" t="s">
        <v>574</v>
      </c>
      <c r="C4578" t="s">
        <v>1702</v>
      </c>
      <c r="D4578" t="s">
        <v>1702</v>
      </c>
      <c r="E4578" s="10">
        <v>144879</v>
      </c>
      <c r="F4578" s="12">
        <v>1.106E-4</v>
      </c>
    </row>
    <row r="4579" spans="1:6">
      <c r="A4579" s="10">
        <v>2021</v>
      </c>
      <c r="B4579" t="s">
        <v>575</v>
      </c>
      <c r="C4579" t="s">
        <v>2437</v>
      </c>
      <c r="D4579" t="s">
        <v>2425</v>
      </c>
      <c r="E4579" s="10">
        <v>180351</v>
      </c>
      <c r="F4579" s="12">
        <v>1.3770000000000001E-4</v>
      </c>
    </row>
    <row r="4580" spans="1:6">
      <c r="A4580" s="10">
        <v>2021</v>
      </c>
      <c r="B4580" t="s">
        <v>576</v>
      </c>
      <c r="C4580" t="s">
        <v>521</v>
      </c>
      <c r="D4580" t="s">
        <v>521</v>
      </c>
      <c r="E4580" s="10">
        <v>238000</v>
      </c>
      <c r="F4580" s="12">
        <v>1.817E-4</v>
      </c>
    </row>
    <row r="4581" spans="1:6">
      <c r="A4581" s="10">
        <v>2021</v>
      </c>
      <c r="B4581" t="s">
        <v>577</v>
      </c>
      <c r="C4581" t="s">
        <v>1704</v>
      </c>
      <c r="D4581" t="s">
        <v>1704</v>
      </c>
      <c r="E4581" s="10">
        <v>34542</v>
      </c>
      <c r="F4581" s="12">
        <v>2.6400000000000001E-5</v>
      </c>
    </row>
    <row r="4582" spans="1:6">
      <c r="A4582" s="10">
        <v>2021</v>
      </c>
      <c r="B4582" t="s">
        <v>578</v>
      </c>
      <c r="C4582" t="s">
        <v>1705</v>
      </c>
      <c r="D4582" t="s">
        <v>1705</v>
      </c>
      <c r="E4582" s="10">
        <v>1637099</v>
      </c>
      <c r="F4582" s="12">
        <v>1.25E-3</v>
      </c>
    </row>
    <row r="4583" spans="1:6">
      <c r="A4583" s="10">
        <v>2021</v>
      </c>
      <c r="B4583" t="s">
        <v>2371</v>
      </c>
      <c r="C4583" t="s">
        <v>2369</v>
      </c>
      <c r="D4583" t="s">
        <v>2369</v>
      </c>
      <c r="E4583" s="10">
        <v>8503</v>
      </c>
      <c r="F4583" s="12">
        <v>6.4999999999999996E-6</v>
      </c>
    </row>
    <row r="4584" spans="1:6">
      <c r="A4584" s="10">
        <v>2021</v>
      </c>
      <c r="B4584" t="s">
        <v>379</v>
      </c>
      <c r="C4584" t="s">
        <v>1706</v>
      </c>
      <c r="D4584" t="s">
        <v>1706</v>
      </c>
      <c r="E4584" s="10">
        <v>769135</v>
      </c>
      <c r="F4584" s="12">
        <v>5.8730000000000002E-4</v>
      </c>
    </row>
    <row r="4585" spans="1:6">
      <c r="A4585" s="10">
        <v>2021</v>
      </c>
      <c r="B4585" t="s">
        <v>580</v>
      </c>
      <c r="C4585" t="s">
        <v>1709</v>
      </c>
      <c r="D4585" t="s">
        <v>1709</v>
      </c>
      <c r="E4585" s="10">
        <v>73098</v>
      </c>
      <c r="F4585" s="12">
        <v>5.5800000000000001E-5</v>
      </c>
    </row>
    <row r="4586" spans="1:6">
      <c r="A4586" s="10">
        <v>2021</v>
      </c>
      <c r="B4586" t="s">
        <v>581</v>
      </c>
      <c r="C4586" t="s">
        <v>526</v>
      </c>
      <c r="D4586" t="s">
        <v>526</v>
      </c>
      <c r="E4586" s="10">
        <v>19424</v>
      </c>
      <c r="F4586" s="12">
        <v>1.4800000000000001E-5</v>
      </c>
    </row>
    <row r="4587" spans="1:6">
      <c r="A4587" s="10">
        <v>2021</v>
      </c>
      <c r="B4587" t="s">
        <v>582</v>
      </c>
      <c r="C4587" t="s">
        <v>1710</v>
      </c>
      <c r="D4587" t="s">
        <v>1710</v>
      </c>
      <c r="E4587" s="10">
        <v>510893</v>
      </c>
      <c r="F4587" s="12">
        <v>3.901E-4</v>
      </c>
    </row>
    <row r="4588" spans="1:6">
      <c r="A4588" s="10">
        <v>2021</v>
      </c>
      <c r="B4588" t="s">
        <v>583</v>
      </c>
      <c r="C4588" t="s">
        <v>1711</v>
      </c>
      <c r="D4588" t="s">
        <v>1711</v>
      </c>
      <c r="E4588" s="10">
        <v>15962</v>
      </c>
      <c r="F4588" s="12">
        <v>1.22E-5</v>
      </c>
    </row>
    <row r="4589" spans="1:6">
      <c r="A4589" s="10">
        <v>2021</v>
      </c>
      <c r="B4589" t="s">
        <v>380</v>
      </c>
      <c r="C4589" t="s">
        <v>1712</v>
      </c>
      <c r="D4589" t="s">
        <v>1712</v>
      </c>
      <c r="E4589" s="10">
        <v>541804</v>
      </c>
      <c r="F4589" s="12">
        <v>4.1370000000000003E-4</v>
      </c>
    </row>
    <row r="4590" spans="1:6">
      <c r="A4590" s="10">
        <v>2021</v>
      </c>
      <c r="B4590" t="s">
        <v>585</v>
      </c>
      <c r="C4590" t="s">
        <v>1713</v>
      </c>
      <c r="D4590" t="s">
        <v>1713</v>
      </c>
      <c r="E4590" s="10">
        <v>627799</v>
      </c>
      <c r="F4590" s="12">
        <v>4.794E-4</v>
      </c>
    </row>
    <row r="4591" spans="1:6">
      <c r="A4591" s="10">
        <v>2021</v>
      </c>
      <c r="B4591" t="s">
        <v>2426</v>
      </c>
      <c r="C4591" t="s">
        <v>2428</v>
      </c>
      <c r="D4591" t="s">
        <v>2428</v>
      </c>
      <c r="E4591" s="10">
        <v>163688</v>
      </c>
      <c r="F4591" s="12">
        <v>1.25E-4</v>
      </c>
    </row>
    <row r="4592" spans="1:6">
      <c r="A4592" s="10">
        <v>2021</v>
      </c>
      <c r="B4592" t="s">
        <v>586</v>
      </c>
      <c r="C4592" t="s">
        <v>1714</v>
      </c>
      <c r="D4592" t="s">
        <v>1714</v>
      </c>
      <c r="E4592" s="10">
        <v>176270</v>
      </c>
      <c r="F4592" s="12">
        <v>1.3459999999999999E-4</v>
      </c>
    </row>
    <row r="4593" spans="1:6">
      <c r="A4593" s="10">
        <v>2021</v>
      </c>
      <c r="B4593" t="s">
        <v>587</v>
      </c>
      <c r="C4593" t="s">
        <v>532</v>
      </c>
      <c r="D4593" t="s">
        <v>532</v>
      </c>
      <c r="E4593" s="10">
        <v>194430</v>
      </c>
      <c r="F4593" s="12">
        <v>1.485E-4</v>
      </c>
    </row>
    <row r="4594" spans="1:6">
      <c r="A4594" s="10">
        <v>2021</v>
      </c>
      <c r="B4594" t="s">
        <v>588</v>
      </c>
      <c r="C4594" t="s">
        <v>533</v>
      </c>
      <c r="D4594" t="s">
        <v>533</v>
      </c>
      <c r="E4594" s="10">
        <v>181615</v>
      </c>
      <c r="F4594" s="12">
        <v>1.3870000000000001E-4</v>
      </c>
    </row>
    <row r="4595" spans="1:6">
      <c r="A4595" s="10">
        <v>2021</v>
      </c>
      <c r="B4595" t="s">
        <v>589</v>
      </c>
      <c r="C4595" t="s">
        <v>1715</v>
      </c>
      <c r="D4595" t="s">
        <v>1715</v>
      </c>
      <c r="E4595" s="10">
        <v>6544245</v>
      </c>
      <c r="F4595" s="12">
        <v>4.9969000000000003E-3</v>
      </c>
    </row>
    <row r="4596" spans="1:6">
      <c r="A4596" s="10">
        <v>2021</v>
      </c>
      <c r="B4596" t="s">
        <v>381</v>
      </c>
      <c r="C4596" t="s">
        <v>1716</v>
      </c>
      <c r="D4596" t="s">
        <v>1716</v>
      </c>
      <c r="E4596" s="10">
        <v>3831995</v>
      </c>
      <c r="F4596" s="12">
        <v>2.9258999999999999E-3</v>
      </c>
    </row>
    <row r="4597" spans="1:6">
      <c r="A4597" s="10">
        <v>2021</v>
      </c>
      <c r="B4597" t="s">
        <v>590</v>
      </c>
      <c r="C4597" t="s">
        <v>1717</v>
      </c>
      <c r="D4597" t="s">
        <v>1717</v>
      </c>
      <c r="E4597" s="10">
        <v>5727734</v>
      </c>
      <c r="F4597" s="12">
        <v>4.3734000000000004E-3</v>
      </c>
    </row>
    <row r="4598" spans="1:6">
      <c r="A4598" s="10">
        <v>2021</v>
      </c>
      <c r="B4598" t="s">
        <v>1227</v>
      </c>
      <c r="C4598" t="s">
        <v>1718</v>
      </c>
      <c r="D4598" t="s">
        <v>1718</v>
      </c>
      <c r="E4598" s="10">
        <v>668004</v>
      </c>
      <c r="F4598" s="12">
        <v>5.1009999999999998E-4</v>
      </c>
    </row>
    <row r="4599" spans="1:6">
      <c r="A4599" s="10">
        <v>2021</v>
      </c>
      <c r="B4599" t="s">
        <v>591</v>
      </c>
      <c r="C4599" t="s">
        <v>536</v>
      </c>
      <c r="D4599" t="s">
        <v>536</v>
      </c>
      <c r="E4599" s="10">
        <v>72353</v>
      </c>
      <c r="F4599" s="12">
        <v>5.52E-5</v>
      </c>
    </row>
    <row r="4600" spans="1:6">
      <c r="A4600" s="10">
        <v>2021</v>
      </c>
      <c r="B4600" t="s">
        <v>592</v>
      </c>
      <c r="C4600" t="s">
        <v>1719</v>
      </c>
      <c r="D4600" t="s">
        <v>1719</v>
      </c>
      <c r="E4600" s="10">
        <v>3325295</v>
      </c>
      <c r="F4600" s="12">
        <v>2.539E-3</v>
      </c>
    </row>
    <row r="4601" spans="1:6">
      <c r="A4601" s="10">
        <v>2021</v>
      </c>
      <c r="B4601" t="s">
        <v>1456</v>
      </c>
      <c r="C4601" t="s">
        <v>1720</v>
      </c>
      <c r="D4601" t="s">
        <v>1720</v>
      </c>
      <c r="E4601" s="10">
        <v>20843</v>
      </c>
      <c r="F4601" s="12">
        <v>1.59E-5</v>
      </c>
    </row>
    <row r="4602" spans="1:6">
      <c r="A4602" s="10">
        <v>2021</v>
      </c>
      <c r="B4602" t="s">
        <v>593</v>
      </c>
      <c r="C4602" t="s">
        <v>1721</v>
      </c>
      <c r="D4602" t="s">
        <v>1721</v>
      </c>
      <c r="E4602" s="10">
        <v>769347</v>
      </c>
      <c r="F4602" s="12">
        <v>5.8739999999999997E-4</v>
      </c>
    </row>
    <row r="4603" spans="1:6">
      <c r="A4603" s="10">
        <v>2021</v>
      </c>
      <c r="B4603" t="s">
        <v>594</v>
      </c>
      <c r="C4603" t="s">
        <v>2190</v>
      </c>
      <c r="D4603" t="s">
        <v>2190</v>
      </c>
      <c r="E4603" s="10">
        <v>20028</v>
      </c>
      <c r="F4603" s="12">
        <v>1.5299999999999999E-5</v>
      </c>
    </row>
    <row r="4604" spans="1:6">
      <c r="A4604" s="10">
        <v>2021</v>
      </c>
      <c r="B4604" t="s">
        <v>595</v>
      </c>
      <c r="C4604" t="s">
        <v>1722</v>
      </c>
      <c r="D4604" t="s">
        <v>1722</v>
      </c>
      <c r="E4604" s="10">
        <v>670183</v>
      </c>
      <c r="F4604" s="12">
        <v>5.1170000000000002E-4</v>
      </c>
    </row>
    <row r="4605" spans="1:6">
      <c r="A4605" s="10">
        <v>2021</v>
      </c>
      <c r="B4605" t="s">
        <v>596</v>
      </c>
      <c r="C4605" t="s">
        <v>1723</v>
      </c>
      <c r="D4605" t="s">
        <v>1723</v>
      </c>
      <c r="E4605" s="10">
        <v>817971</v>
      </c>
      <c r="F4605" s="12">
        <v>6.246E-4</v>
      </c>
    </row>
    <row r="4606" spans="1:6">
      <c r="A4606" s="10">
        <v>2021</v>
      </c>
      <c r="B4606" t="s">
        <v>597</v>
      </c>
      <c r="C4606" t="s">
        <v>1724</v>
      </c>
      <c r="D4606" t="s">
        <v>1724</v>
      </c>
      <c r="E4606" s="10">
        <v>2375208</v>
      </c>
      <c r="F4606" s="12">
        <v>1.8136000000000001E-3</v>
      </c>
    </row>
    <row r="4607" spans="1:6">
      <c r="A4607" s="10">
        <v>2021</v>
      </c>
      <c r="B4607" t="s">
        <v>598</v>
      </c>
      <c r="C4607" t="s">
        <v>543</v>
      </c>
      <c r="D4607" t="s">
        <v>543</v>
      </c>
      <c r="E4607" s="10">
        <v>257764</v>
      </c>
      <c r="F4607" s="12">
        <v>1.9680000000000001E-4</v>
      </c>
    </row>
    <row r="4608" spans="1:6">
      <c r="A4608" s="10">
        <v>2021</v>
      </c>
      <c r="B4608" t="s">
        <v>1228</v>
      </c>
      <c r="C4608" t="s">
        <v>1725</v>
      </c>
      <c r="D4608" t="s">
        <v>1725</v>
      </c>
      <c r="E4608" s="10">
        <v>37484</v>
      </c>
      <c r="F4608" s="12">
        <v>2.8600000000000001E-5</v>
      </c>
    </row>
    <row r="4609" spans="1:6">
      <c r="A4609" s="10">
        <v>2021</v>
      </c>
      <c r="B4609" t="s">
        <v>599</v>
      </c>
      <c r="C4609" t="s">
        <v>1726</v>
      </c>
      <c r="D4609" t="s">
        <v>1726</v>
      </c>
      <c r="E4609" s="10">
        <v>161678</v>
      </c>
      <c r="F4609" s="12">
        <v>1.2339999999999999E-4</v>
      </c>
    </row>
    <row r="4610" spans="1:6">
      <c r="A4610" s="10">
        <v>2021</v>
      </c>
      <c r="B4610" t="s">
        <v>2403</v>
      </c>
      <c r="C4610" t="s">
        <v>2401</v>
      </c>
      <c r="D4610" t="s">
        <v>2401</v>
      </c>
      <c r="E4610" s="10">
        <v>23290</v>
      </c>
      <c r="F4610" s="12">
        <v>1.7799999999999999E-5</v>
      </c>
    </row>
    <row r="4611" spans="1:6">
      <c r="A4611" s="10">
        <v>2021</v>
      </c>
      <c r="B4611" t="s">
        <v>600</v>
      </c>
      <c r="C4611" t="s">
        <v>1727</v>
      </c>
      <c r="D4611" t="s">
        <v>1727</v>
      </c>
      <c r="E4611" s="10">
        <v>2689053</v>
      </c>
      <c r="F4611" s="12">
        <v>2.0531999999999998E-3</v>
      </c>
    </row>
    <row r="4612" spans="1:6">
      <c r="A4612" s="10">
        <v>2021</v>
      </c>
      <c r="B4612" t="s">
        <v>601</v>
      </c>
      <c r="C4612" t="s">
        <v>1728</v>
      </c>
      <c r="D4612" t="s">
        <v>1728</v>
      </c>
      <c r="E4612" s="10">
        <v>1217457</v>
      </c>
      <c r="F4612" s="12">
        <v>9.2960000000000004E-4</v>
      </c>
    </row>
    <row r="4613" spans="1:6">
      <c r="A4613" s="10">
        <v>2021</v>
      </c>
      <c r="B4613" t="s">
        <v>2404</v>
      </c>
      <c r="C4613" t="s">
        <v>2441</v>
      </c>
      <c r="D4613" t="s">
        <v>2402</v>
      </c>
      <c r="E4613" s="10">
        <v>335283</v>
      </c>
      <c r="F4613" s="12">
        <v>2.5599999999999999E-4</v>
      </c>
    </row>
    <row r="4614" spans="1:6">
      <c r="A4614" s="10">
        <v>2021</v>
      </c>
      <c r="B4614" t="s">
        <v>602</v>
      </c>
      <c r="C4614" t="s">
        <v>547</v>
      </c>
      <c r="D4614" t="s">
        <v>547</v>
      </c>
      <c r="E4614" s="10">
        <v>73198</v>
      </c>
      <c r="F4614" s="12">
        <v>5.5899999999999997E-5</v>
      </c>
    </row>
    <row r="4615" spans="1:6">
      <c r="A4615" s="10">
        <v>2021</v>
      </c>
      <c r="B4615" t="s">
        <v>603</v>
      </c>
      <c r="C4615" t="s">
        <v>548</v>
      </c>
      <c r="D4615" t="s">
        <v>548</v>
      </c>
      <c r="E4615" s="10">
        <v>72259</v>
      </c>
      <c r="F4615" s="12">
        <v>5.52E-5</v>
      </c>
    </row>
    <row r="4616" spans="1:6">
      <c r="A4616" s="10">
        <v>2021</v>
      </c>
      <c r="B4616" t="s">
        <v>604</v>
      </c>
      <c r="C4616" t="s">
        <v>1729</v>
      </c>
      <c r="D4616" t="s">
        <v>1729</v>
      </c>
      <c r="E4616" s="10">
        <v>221121</v>
      </c>
      <c r="F4616" s="12">
        <v>1.6880000000000001E-4</v>
      </c>
    </row>
    <row r="4617" spans="1:6">
      <c r="A4617" s="10">
        <v>2021</v>
      </c>
      <c r="B4617" t="s">
        <v>1229</v>
      </c>
      <c r="C4617" t="s">
        <v>1730</v>
      </c>
      <c r="D4617" t="s">
        <v>1730</v>
      </c>
      <c r="E4617" s="10">
        <v>152579</v>
      </c>
      <c r="F4617" s="12">
        <v>1.165E-4</v>
      </c>
    </row>
    <row r="4618" spans="1:6">
      <c r="A4618" s="10">
        <v>2021</v>
      </c>
      <c r="B4618" t="s">
        <v>660</v>
      </c>
      <c r="C4618" t="s">
        <v>605</v>
      </c>
      <c r="D4618" t="s">
        <v>605</v>
      </c>
      <c r="E4618" s="10">
        <v>2162871</v>
      </c>
      <c r="F4618" s="12">
        <v>1.6515E-3</v>
      </c>
    </row>
    <row r="4619" spans="1:6">
      <c r="A4619" s="10">
        <v>2021</v>
      </c>
      <c r="B4619" t="s">
        <v>661</v>
      </c>
      <c r="C4619" t="s">
        <v>1455</v>
      </c>
      <c r="D4619" t="s">
        <v>1455</v>
      </c>
      <c r="E4619" s="10">
        <v>28694</v>
      </c>
      <c r="F4619" s="12">
        <v>2.19E-5</v>
      </c>
    </row>
    <row r="4620" spans="1:6">
      <c r="A4620" s="10">
        <v>2021</v>
      </c>
      <c r="B4620" t="s">
        <v>662</v>
      </c>
      <c r="C4620" t="s">
        <v>607</v>
      </c>
      <c r="D4620" t="s">
        <v>607</v>
      </c>
      <c r="E4620" s="10">
        <v>21389</v>
      </c>
      <c r="F4620" s="12">
        <v>1.63E-5</v>
      </c>
    </row>
    <row r="4621" spans="1:6">
      <c r="A4621" s="10">
        <v>2021</v>
      </c>
      <c r="B4621" t="s">
        <v>663</v>
      </c>
      <c r="C4621" t="s">
        <v>608</v>
      </c>
      <c r="D4621" t="s">
        <v>608</v>
      </c>
      <c r="E4621" s="10">
        <v>32279</v>
      </c>
      <c r="F4621" s="12">
        <v>2.4600000000000002E-5</v>
      </c>
    </row>
    <row r="4622" spans="1:6">
      <c r="A4622" s="10">
        <v>2021</v>
      </c>
      <c r="B4622" t="s">
        <v>664</v>
      </c>
      <c r="C4622" t="s">
        <v>609</v>
      </c>
      <c r="D4622" t="s">
        <v>609</v>
      </c>
      <c r="E4622" s="10">
        <v>22461956</v>
      </c>
      <c r="F4622" s="12">
        <v>1.71509E-2</v>
      </c>
    </row>
    <row r="4623" spans="1:6">
      <c r="A4623" s="10">
        <v>2021</v>
      </c>
      <c r="B4623" t="s">
        <v>1230</v>
      </c>
      <c r="C4623" t="s">
        <v>1731</v>
      </c>
      <c r="D4623" t="s">
        <v>1731</v>
      </c>
      <c r="E4623" s="10">
        <v>7288616</v>
      </c>
      <c r="F4623" s="12">
        <v>5.5652000000000002E-3</v>
      </c>
    </row>
    <row r="4624" spans="1:6">
      <c r="A4624" s="10">
        <v>2021</v>
      </c>
      <c r="B4624" t="s">
        <v>665</v>
      </c>
      <c r="C4624" t="s">
        <v>1732</v>
      </c>
      <c r="D4624" t="s">
        <v>1732</v>
      </c>
      <c r="E4624" s="10">
        <v>6752464</v>
      </c>
      <c r="F4624" s="12">
        <v>5.1558999999999997E-3</v>
      </c>
    </row>
    <row r="4625" spans="1:6">
      <c r="A4625" s="10">
        <v>2021</v>
      </c>
      <c r="B4625" t="s">
        <v>666</v>
      </c>
      <c r="C4625" t="s">
        <v>1733</v>
      </c>
      <c r="D4625" t="s">
        <v>1733</v>
      </c>
      <c r="E4625" s="10">
        <v>10715831</v>
      </c>
      <c r="F4625" s="12">
        <v>8.1820999999999994E-3</v>
      </c>
    </row>
    <row r="4626" spans="1:6">
      <c r="A4626" s="10">
        <v>2021</v>
      </c>
      <c r="B4626" t="s">
        <v>382</v>
      </c>
      <c r="C4626" t="s">
        <v>1734</v>
      </c>
      <c r="D4626" t="s">
        <v>1734</v>
      </c>
      <c r="E4626" s="10">
        <v>8946418</v>
      </c>
      <c r="F4626" s="12">
        <v>6.8310999999999997E-3</v>
      </c>
    </row>
    <row r="4627" spans="1:6">
      <c r="A4627" s="10">
        <v>2021</v>
      </c>
      <c r="B4627" t="s">
        <v>667</v>
      </c>
      <c r="C4627" t="s">
        <v>1735</v>
      </c>
      <c r="D4627" t="s">
        <v>1735</v>
      </c>
      <c r="E4627" s="10">
        <v>900976</v>
      </c>
      <c r="F4627" s="12">
        <v>6.8789999999999997E-4</v>
      </c>
    </row>
    <row r="4628" spans="1:6">
      <c r="A4628" s="10">
        <v>2021</v>
      </c>
      <c r="B4628" t="s">
        <v>383</v>
      </c>
      <c r="C4628" t="s">
        <v>1736</v>
      </c>
      <c r="D4628" t="s">
        <v>1736</v>
      </c>
      <c r="E4628" s="10">
        <v>340880</v>
      </c>
      <c r="F4628" s="12">
        <v>2.6029999999999998E-4</v>
      </c>
    </row>
    <row r="4629" spans="1:6">
      <c r="A4629" s="10">
        <v>2021</v>
      </c>
      <c r="B4629" t="s">
        <v>668</v>
      </c>
      <c r="C4629" t="s">
        <v>613</v>
      </c>
      <c r="D4629" t="s">
        <v>613</v>
      </c>
      <c r="E4629" s="10">
        <v>292469</v>
      </c>
      <c r="F4629" s="12">
        <v>2.2330000000000001E-4</v>
      </c>
    </row>
    <row r="4630" spans="1:6">
      <c r="A4630" s="10">
        <v>2021</v>
      </c>
      <c r="B4630" t="s">
        <v>384</v>
      </c>
      <c r="C4630" t="s">
        <v>1737</v>
      </c>
      <c r="D4630" t="s">
        <v>1737</v>
      </c>
      <c r="E4630" s="10">
        <v>3690370</v>
      </c>
      <c r="F4630" s="12">
        <v>2.8178000000000001E-3</v>
      </c>
    </row>
    <row r="4631" spans="1:6">
      <c r="A4631" s="10">
        <v>2021</v>
      </c>
      <c r="B4631" t="s">
        <v>669</v>
      </c>
      <c r="C4631" t="s">
        <v>614</v>
      </c>
      <c r="D4631" t="s">
        <v>614</v>
      </c>
      <c r="E4631" s="10">
        <v>86090</v>
      </c>
      <c r="F4631" s="12">
        <v>6.5699999999999998E-5</v>
      </c>
    </row>
    <row r="4632" spans="1:6">
      <c r="A4632" s="10">
        <v>2021</v>
      </c>
      <c r="B4632" t="s">
        <v>670</v>
      </c>
      <c r="C4632" t="s">
        <v>615</v>
      </c>
      <c r="D4632" t="s">
        <v>615</v>
      </c>
      <c r="E4632" s="10">
        <v>771361</v>
      </c>
      <c r="F4632" s="12">
        <v>5.8900000000000001E-4</v>
      </c>
    </row>
    <row r="4633" spans="1:6">
      <c r="A4633" s="10">
        <v>2021</v>
      </c>
      <c r="B4633" t="s">
        <v>672</v>
      </c>
      <c r="C4633" t="s">
        <v>1739</v>
      </c>
      <c r="D4633" t="s">
        <v>1739</v>
      </c>
      <c r="E4633" s="10">
        <v>324704</v>
      </c>
      <c r="F4633" s="12">
        <v>2.4790000000000001E-4</v>
      </c>
    </row>
    <row r="4634" spans="1:6">
      <c r="A4634" s="10">
        <v>2021</v>
      </c>
      <c r="B4634" t="s">
        <v>673</v>
      </c>
      <c r="C4634" t="s">
        <v>618</v>
      </c>
      <c r="D4634" t="s">
        <v>618</v>
      </c>
      <c r="E4634" s="10">
        <v>147246</v>
      </c>
      <c r="F4634" s="12">
        <v>1.1239999999999999E-4</v>
      </c>
    </row>
    <row r="4635" spans="1:6">
      <c r="A4635" s="10">
        <v>2021</v>
      </c>
      <c r="B4635" t="s">
        <v>674</v>
      </c>
      <c r="C4635" t="s">
        <v>2429</v>
      </c>
      <c r="D4635" t="s">
        <v>2429</v>
      </c>
      <c r="E4635" s="10">
        <v>52967</v>
      </c>
      <c r="F4635" s="12">
        <v>4.0399999999999999E-5</v>
      </c>
    </row>
    <row r="4636" spans="1:6">
      <c r="A4636" s="10">
        <v>2021</v>
      </c>
      <c r="B4636" t="s">
        <v>675</v>
      </c>
      <c r="C4636" t="s">
        <v>620</v>
      </c>
      <c r="D4636" t="s">
        <v>620</v>
      </c>
      <c r="E4636" s="10">
        <v>678525</v>
      </c>
      <c r="F4636" s="12">
        <v>5.1809999999999996E-4</v>
      </c>
    </row>
    <row r="4637" spans="1:6">
      <c r="A4637" s="10">
        <v>2021</v>
      </c>
      <c r="B4637" t="s">
        <v>676</v>
      </c>
      <c r="C4637" t="s">
        <v>1740</v>
      </c>
      <c r="D4637" t="s">
        <v>1740</v>
      </c>
      <c r="E4637" s="10"/>
    </row>
    <row r="4638" spans="1:6">
      <c r="A4638" s="10">
        <v>2021</v>
      </c>
      <c r="B4638" t="s">
        <v>677</v>
      </c>
      <c r="C4638" t="s">
        <v>622</v>
      </c>
      <c r="D4638" t="s">
        <v>622</v>
      </c>
      <c r="E4638" s="10">
        <v>466</v>
      </c>
      <c r="F4638" s="12">
        <v>3.9999999999999998E-7</v>
      </c>
    </row>
    <row r="4639" spans="1:6">
      <c r="A4639" s="10">
        <v>2021</v>
      </c>
      <c r="B4639" t="s">
        <v>1463</v>
      </c>
      <c r="C4639" t="s">
        <v>1741</v>
      </c>
      <c r="D4639" t="s">
        <v>1741</v>
      </c>
      <c r="E4639" s="10">
        <v>76101</v>
      </c>
      <c r="F4639" s="12">
        <v>5.8100000000000003E-5</v>
      </c>
    </row>
    <row r="4640" spans="1:6">
      <c r="A4640" s="10">
        <v>2021</v>
      </c>
      <c r="B4640" t="s">
        <v>678</v>
      </c>
      <c r="C4640" t="s">
        <v>1458</v>
      </c>
      <c r="D4640" t="s">
        <v>1458</v>
      </c>
      <c r="E4640" s="10"/>
    </row>
    <row r="4641" spans="1:6">
      <c r="A4641" s="10">
        <v>2021</v>
      </c>
      <c r="B4641" t="s">
        <v>1231</v>
      </c>
      <c r="C4641" t="s">
        <v>1742</v>
      </c>
      <c r="D4641" t="s">
        <v>1742</v>
      </c>
      <c r="E4641" s="10">
        <v>80568</v>
      </c>
      <c r="F4641" s="12">
        <v>6.1500000000000004E-5</v>
      </c>
    </row>
    <row r="4642" spans="1:6">
      <c r="A4642" s="10">
        <v>2021</v>
      </c>
      <c r="B4642" t="s">
        <v>680</v>
      </c>
      <c r="C4642" t="s">
        <v>1743</v>
      </c>
      <c r="D4642" t="s">
        <v>1743</v>
      </c>
      <c r="E4642" s="10">
        <v>72870</v>
      </c>
      <c r="F4642" s="12">
        <v>5.5600000000000003E-5</v>
      </c>
    </row>
    <row r="4643" spans="1:6">
      <c r="A4643" s="10">
        <v>2021</v>
      </c>
      <c r="B4643" t="s">
        <v>681</v>
      </c>
      <c r="C4643" t="s">
        <v>626</v>
      </c>
      <c r="D4643" t="s">
        <v>626</v>
      </c>
      <c r="E4643" s="10">
        <v>253032</v>
      </c>
      <c r="F4643" s="12">
        <v>1.9320000000000001E-4</v>
      </c>
    </row>
    <row r="4644" spans="1:6">
      <c r="A4644" s="10">
        <v>2021</v>
      </c>
      <c r="B4644" t="s">
        <v>682</v>
      </c>
      <c r="C4644" t="s">
        <v>1744</v>
      </c>
      <c r="D4644" t="s">
        <v>1744</v>
      </c>
      <c r="E4644" s="10">
        <v>26721</v>
      </c>
      <c r="F4644" s="12">
        <v>2.0400000000000001E-5</v>
      </c>
    </row>
    <row r="4645" spans="1:6">
      <c r="A4645" s="10">
        <v>2021</v>
      </c>
      <c r="B4645" t="s">
        <v>1232</v>
      </c>
      <c r="C4645" t="s">
        <v>1745</v>
      </c>
      <c r="D4645" t="s">
        <v>1745</v>
      </c>
      <c r="E4645" s="10">
        <v>61544</v>
      </c>
      <c r="F4645" s="12">
        <v>4.6999999999999997E-5</v>
      </c>
    </row>
    <row r="4646" spans="1:6">
      <c r="A4646" s="10">
        <v>2021</v>
      </c>
      <c r="B4646" t="s">
        <v>683</v>
      </c>
      <c r="C4646" t="s">
        <v>1746</v>
      </c>
      <c r="D4646" t="s">
        <v>1746</v>
      </c>
      <c r="E4646" s="10">
        <v>267814</v>
      </c>
      <c r="F4646" s="12">
        <v>2.0450000000000001E-4</v>
      </c>
    </row>
    <row r="4647" spans="1:6">
      <c r="A4647" s="10">
        <v>2021</v>
      </c>
      <c r="B4647" t="s">
        <v>685</v>
      </c>
      <c r="C4647" t="s">
        <v>1461</v>
      </c>
      <c r="D4647" t="s">
        <v>1461</v>
      </c>
      <c r="E4647" s="10">
        <v>26928</v>
      </c>
      <c r="F4647" s="12">
        <v>2.0599999999999999E-5</v>
      </c>
    </row>
    <row r="4648" spans="1:6">
      <c r="A4648" s="10">
        <v>2021</v>
      </c>
      <c r="B4648" t="s">
        <v>686</v>
      </c>
      <c r="C4648" t="s">
        <v>1747</v>
      </c>
      <c r="D4648" t="s">
        <v>1747</v>
      </c>
      <c r="E4648" s="10">
        <v>335085</v>
      </c>
      <c r="F4648" s="12">
        <v>2.5589999999999999E-4</v>
      </c>
    </row>
    <row r="4649" spans="1:6">
      <c r="A4649" s="10">
        <v>2021</v>
      </c>
      <c r="B4649" t="s">
        <v>2089</v>
      </c>
      <c r="C4649" t="s">
        <v>2087</v>
      </c>
      <c r="D4649" t="s">
        <v>2087</v>
      </c>
      <c r="E4649" s="10">
        <v>8117</v>
      </c>
      <c r="F4649" s="12">
        <v>6.1999999999999999E-6</v>
      </c>
    </row>
    <row r="4650" spans="1:6">
      <c r="A4650" s="10">
        <v>2021</v>
      </c>
      <c r="B4650" t="s">
        <v>687</v>
      </c>
      <c r="C4650" t="s">
        <v>632</v>
      </c>
      <c r="D4650" t="s">
        <v>632</v>
      </c>
      <c r="E4650" s="10">
        <v>1424807</v>
      </c>
      <c r="F4650" s="12">
        <v>1.0878999999999999E-3</v>
      </c>
    </row>
    <row r="4651" spans="1:6">
      <c r="A4651" s="10">
        <v>2021</v>
      </c>
      <c r="B4651" t="s">
        <v>688</v>
      </c>
      <c r="C4651" t="s">
        <v>1748</v>
      </c>
      <c r="D4651" t="s">
        <v>1748</v>
      </c>
      <c r="E4651" s="10">
        <v>37532</v>
      </c>
      <c r="F4651" s="12">
        <v>2.87E-5</v>
      </c>
    </row>
    <row r="4652" spans="1:6">
      <c r="A4652" s="10">
        <v>2021</v>
      </c>
      <c r="B4652" t="s">
        <v>689</v>
      </c>
      <c r="C4652" t="s">
        <v>1749</v>
      </c>
      <c r="D4652" t="s">
        <v>1749</v>
      </c>
      <c r="E4652" s="10">
        <v>7976018</v>
      </c>
      <c r="F4652" s="12">
        <v>6.0901000000000002E-3</v>
      </c>
    </row>
    <row r="4653" spans="1:6">
      <c r="A4653" s="10">
        <v>2021</v>
      </c>
      <c r="B4653" t="s">
        <v>690</v>
      </c>
      <c r="C4653" t="s">
        <v>1750</v>
      </c>
      <c r="D4653" t="s">
        <v>1750</v>
      </c>
      <c r="E4653" s="10">
        <v>11037</v>
      </c>
      <c r="F4653" s="12">
        <v>8.3999999999999992E-6</v>
      </c>
    </row>
    <row r="4654" spans="1:6">
      <c r="A4654" s="10">
        <v>2021</v>
      </c>
      <c r="B4654" t="s">
        <v>691</v>
      </c>
      <c r="C4654" t="s">
        <v>1751</v>
      </c>
      <c r="D4654" t="s">
        <v>1751</v>
      </c>
      <c r="E4654" s="10">
        <v>1480332</v>
      </c>
      <c r="F4654" s="12">
        <v>1.1303000000000001E-3</v>
      </c>
    </row>
    <row r="4655" spans="1:6">
      <c r="A4655" s="10">
        <v>2021</v>
      </c>
      <c r="B4655" t="s">
        <v>440</v>
      </c>
      <c r="C4655" t="s">
        <v>1752</v>
      </c>
      <c r="D4655" t="s">
        <v>1752</v>
      </c>
      <c r="E4655" s="10">
        <v>193389</v>
      </c>
      <c r="F4655" s="12">
        <v>1.4770000000000001E-4</v>
      </c>
    </row>
    <row r="4656" spans="1:6">
      <c r="A4656" s="10">
        <v>2021</v>
      </c>
      <c r="B4656" t="s">
        <v>1464</v>
      </c>
      <c r="C4656" t="s">
        <v>1753</v>
      </c>
      <c r="D4656" t="s">
        <v>1753</v>
      </c>
      <c r="E4656" s="10">
        <v>385276</v>
      </c>
      <c r="F4656" s="12">
        <v>2.942E-4</v>
      </c>
    </row>
    <row r="4657" spans="1:6">
      <c r="A4657" s="10">
        <v>2021</v>
      </c>
      <c r="B4657" t="s">
        <v>684</v>
      </c>
      <c r="C4657" t="s">
        <v>1754</v>
      </c>
      <c r="D4657" t="s">
        <v>1754</v>
      </c>
      <c r="E4657" s="10">
        <v>432655</v>
      </c>
      <c r="F4657" s="12">
        <v>3.3040000000000001E-4</v>
      </c>
    </row>
    <row r="4658" spans="1:6">
      <c r="A4658" s="10">
        <v>2021</v>
      </c>
      <c r="B4658" t="s">
        <v>692</v>
      </c>
      <c r="C4658" t="s">
        <v>637</v>
      </c>
      <c r="D4658" t="s">
        <v>637</v>
      </c>
      <c r="E4658" s="10">
        <v>278518</v>
      </c>
      <c r="F4658" s="12">
        <v>2.1269999999999999E-4</v>
      </c>
    </row>
    <row r="4659" spans="1:6">
      <c r="A4659" s="10">
        <v>2021</v>
      </c>
      <c r="B4659" t="s">
        <v>1356</v>
      </c>
      <c r="C4659" t="s">
        <v>1755</v>
      </c>
      <c r="D4659" t="s">
        <v>1755</v>
      </c>
      <c r="E4659" s="10">
        <v>191654</v>
      </c>
      <c r="F4659" s="12">
        <v>1.4630000000000001E-4</v>
      </c>
    </row>
    <row r="4660" spans="1:6">
      <c r="A4660" s="10">
        <v>2021</v>
      </c>
      <c r="B4660" t="s">
        <v>693</v>
      </c>
      <c r="C4660" t="s">
        <v>2442</v>
      </c>
      <c r="D4660" t="s">
        <v>1756</v>
      </c>
      <c r="E4660" s="10">
        <v>124061</v>
      </c>
      <c r="F4660" s="12">
        <v>9.4699999999999998E-5</v>
      </c>
    </row>
    <row r="4661" spans="1:6">
      <c r="A4661" s="10">
        <v>2021</v>
      </c>
      <c r="B4661" t="s">
        <v>694</v>
      </c>
      <c r="C4661" t="s">
        <v>1757</v>
      </c>
      <c r="D4661" t="s">
        <v>1757</v>
      </c>
      <c r="E4661" s="10">
        <v>3237252</v>
      </c>
      <c r="F4661" s="12">
        <v>2.4718000000000001E-3</v>
      </c>
    </row>
    <row r="4662" spans="1:6">
      <c r="A4662" s="10">
        <v>2021</v>
      </c>
      <c r="B4662" t="s">
        <v>695</v>
      </c>
      <c r="C4662" t="s">
        <v>1758</v>
      </c>
      <c r="D4662" t="s">
        <v>1758</v>
      </c>
      <c r="E4662" s="10">
        <v>113799</v>
      </c>
      <c r="F4662" s="12">
        <v>8.6899999999999998E-5</v>
      </c>
    </row>
    <row r="4663" spans="1:6">
      <c r="A4663" s="10">
        <v>2021</v>
      </c>
      <c r="B4663" t="s">
        <v>1781</v>
      </c>
      <c r="C4663" t="s">
        <v>1759</v>
      </c>
      <c r="D4663" t="s">
        <v>1759</v>
      </c>
      <c r="E4663" s="10">
        <v>183459</v>
      </c>
      <c r="F4663" s="12">
        <v>1.4009999999999999E-4</v>
      </c>
    </row>
    <row r="4664" spans="1:6">
      <c r="A4664" s="10">
        <v>2021</v>
      </c>
      <c r="B4664" t="s">
        <v>916</v>
      </c>
      <c r="C4664" t="s">
        <v>2443</v>
      </c>
      <c r="D4664" t="s">
        <v>1760</v>
      </c>
      <c r="E4664" s="10">
        <v>65093</v>
      </c>
      <c r="F4664" s="12">
        <v>4.9700000000000002E-5</v>
      </c>
    </row>
    <row r="4665" spans="1:6">
      <c r="A4665" s="10">
        <v>2021</v>
      </c>
      <c r="B4665" t="s">
        <v>696</v>
      </c>
      <c r="C4665" t="s">
        <v>641</v>
      </c>
      <c r="D4665" t="s">
        <v>641</v>
      </c>
      <c r="E4665" s="10">
        <v>32873</v>
      </c>
      <c r="F4665" s="12">
        <v>2.51E-5</v>
      </c>
    </row>
    <row r="4666" spans="1:6">
      <c r="A4666" s="10">
        <v>2021</v>
      </c>
      <c r="B4666" t="s">
        <v>697</v>
      </c>
      <c r="C4666" t="s">
        <v>1761</v>
      </c>
      <c r="D4666" t="s">
        <v>2373</v>
      </c>
      <c r="E4666" s="10">
        <v>186748</v>
      </c>
      <c r="F4666" s="12">
        <v>1.426E-4</v>
      </c>
    </row>
    <row r="4667" spans="1:6">
      <c r="A4667" s="10">
        <v>2021</v>
      </c>
      <c r="B4667" t="s">
        <v>698</v>
      </c>
      <c r="C4667" t="s">
        <v>1762</v>
      </c>
      <c r="D4667" t="s">
        <v>1762</v>
      </c>
      <c r="E4667" s="10">
        <v>4053845</v>
      </c>
      <c r="F4667" s="12">
        <v>3.0953E-3</v>
      </c>
    </row>
    <row r="4668" spans="1:6">
      <c r="A4668" s="10">
        <v>2021</v>
      </c>
      <c r="B4668" t="s">
        <v>699</v>
      </c>
      <c r="C4668" t="s">
        <v>1763</v>
      </c>
      <c r="D4668" t="s">
        <v>1763</v>
      </c>
      <c r="E4668" s="10">
        <v>2589162</v>
      </c>
      <c r="F4668" s="12">
        <v>1.977E-3</v>
      </c>
    </row>
    <row r="4669" spans="1:6">
      <c r="A4669" s="10">
        <v>2021</v>
      </c>
      <c r="B4669" t="s">
        <v>700</v>
      </c>
      <c r="C4669" t="s">
        <v>2374</v>
      </c>
      <c r="D4669" t="s">
        <v>2374</v>
      </c>
      <c r="E4669" s="10">
        <v>22245</v>
      </c>
      <c r="F4669" s="12">
        <v>1.7E-5</v>
      </c>
    </row>
    <row r="4670" spans="1:6">
      <c r="A4670" s="10">
        <v>2021</v>
      </c>
      <c r="B4670" t="s">
        <v>701</v>
      </c>
      <c r="C4670" t="s">
        <v>2405</v>
      </c>
      <c r="D4670" t="s">
        <v>2405</v>
      </c>
      <c r="E4670" s="10">
        <v>304247</v>
      </c>
      <c r="F4670" s="12">
        <v>2.3230000000000001E-4</v>
      </c>
    </row>
    <row r="4671" spans="1:6">
      <c r="A4671" s="10">
        <v>2021</v>
      </c>
      <c r="B4671" t="s">
        <v>702</v>
      </c>
      <c r="C4671" t="s">
        <v>1766</v>
      </c>
      <c r="D4671" t="s">
        <v>1766</v>
      </c>
      <c r="E4671" s="10">
        <v>391554</v>
      </c>
      <c r="F4671" s="12">
        <v>2.99E-4</v>
      </c>
    </row>
    <row r="4672" spans="1:6">
      <c r="A4672" s="10">
        <v>2021</v>
      </c>
      <c r="B4672" t="s">
        <v>703</v>
      </c>
      <c r="C4672" t="s">
        <v>1767</v>
      </c>
      <c r="D4672" t="s">
        <v>1767</v>
      </c>
      <c r="E4672" s="10">
        <v>2052835</v>
      </c>
      <c r="F4672" s="12">
        <v>1.5674E-3</v>
      </c>
    </row>
    <row r="4673" spans="1:6">
      <c r="A4673" s="10">
        <v>2021</v>
      </c>
      <c r="B4673" t="s">
        <v>1233</v>
      </c>
      <c r="C4673" t="s">
        <v>1768</v>
      </c>
      <c r="D4673" t="s">
        <v>1768</v>
      </c>
      <c r="E4673" s="10">
        <v>78660</v>
      </c>
      <c r="F4673" s="12">
        <v>6.0099999999999997E-5</v>
      </c>
    </row>
    <row r="4674" spans="1:6">
      <c r="A4674" s="10">
        <v>2021</v>
      </c>
      <c r="B4674" t="s">
        <v>704</v>
      </c>
      <c r="C4674" t="s">
        <v>1769</v>
      </c>
      <c r="D4674" t="s">
        <v>1769</v>
      </c>
      <c r="E4674" s="10">
        <v>140815</v>
      </c>
      <c r="F4674" s="12">
        <v>1.075E-4</v>
      </c>
    </row>
    <row r="4675" spans="1:6">
      <c r="A4675" s="10">
        <v>2021</v>
      </c>
      <c r="B4675" t="s">
        <v>705</v>
      </c>
      <c r="C4675" t="s">
        <v>1770</v>
      </c>
      <c r="D4675" t="s">
        <v>1770</v>
      </c>
      <c r="E4675" s="10">
        <v>656867</v>
      </c>
      <c r="F4675" s="12">
        <v>5.0160000000000005E-4</v>
      </c>
    </row>
    <row r="4676" spans="1:6">
      <c r="A4676" s="10">
        <v>2021</v>
      </c>
      <c r="B4676" t="s">
        <v>706</v>
      </c>
      <c r="C4676" t="s">
        <v>1771</v>
      </c>
      <c r="D4676" t="s">
        <v>1771</v>
      </c>
      <c r="E4676" s="10">
        <v>4103758</v>
      </c>
      <c r="F4676" s="12">
        <v>3.1334000000000002E-3</v>
      </c>
    </row>
    <row r="4677" spans="1:6">
      <c r="A4677" s="10">
        <v>2021</v>
      </c>
      <c r="B4677" t="s">
        <v>441</v>
      </c>
      <c r="C4677" t="s">
        <v>1772</v>
      </c>
      <c r="D4677" t="s">
        <v>1772</v>
      </c>
      <c r="E4677" s="10">
        <v>1418687</v>
      </c>
      <c r="F4677" s="12">
        <v>1.0832000000000001E-3</v>
      </c>
    </row>
    <row r="4678" spans="1:6">
      <c r="A4678" s="10">
        <v>2021</v>
      </c>
      <c r="B4678" t="s">
        <v>707</v>
      </c>
      <c r="C4678" t="s">
        <v>1773</v>
      </c>
      <c r="D4678" t="s">
        <v>1773</v>
      </c>
      <c r="E4678" s="10">
        <v>75355</v>
      </c>
      <c r="F4678" s="12">
        <v>5.7500000000000002E-5</v>
      </c>
    </row>
    <row r="4679" spans="1:6">
      <c r="A4679" s="10">
        <v>2021</v>
      </c>
      <c r="B4679" t="s">
        <v>708</v>
      </c>
      <c r="C4679" t="s">
        <v>1774</v>
      </c>
      <c r="D4679" t="s">
        <v>1774</v>
      </c>
      <c r="E4679" s="10">
        <v>10612234</v>
      </c>
      <c r="F4679" s="12">
        <v>8.1030000000000008E-3</v>
      </c>
    </row>
    <row r="4680" spans="1:6">
      <c r="A4680" s="10">
        <v>2021</v>
      </c>
      <c r="B4680" t="s">
        <v>709</v>
      </c>
      <c r="C4680" t="s">
        <v>654</v>
      </c>
      <c r="D4680" t="s">
        <v>654</v>
      </c>
      <c r="E4680" s="10">
        <v>952244</v>
      </c>
      <c r="F4680" s="12">
        <v>7.2709999999999995E-4</v>
      </c>
    </row>
    <row r="4681" spans="1:6">
      <c r="A4681" s="10">
        <v>2021</v>
      </c>
      <c r="B4681" t="s">
        <v>710</v>
      </c>
      <c r="C4681" t="s">
        <v>1775</v>
      </c>
      <c r="D4681" t="s">
        <v>1775</v>
      </c>
      <c r="E4681" s="10">
        <v>2822042</v>
      </c>
      <c r="F4681" s="12">
        <v>2.1548000000000001E-3</v>
      </c>
    </row>
    <row r="4682" spans="1:6">
      <c r="A4682" s="10">
        <v>2021</v>
      </c>
      <c r="B4682" t="s">
        <v>442</v>
      </c>
      <c r="C4682" t="s">
        <v>1776</v>
      </c>
      <c r="D4682" t="s">
        <v>1776</v>
      </c>
      <c r="E4682" s="10">
        <v>1982904</v>
      </c>
      <c r="F4682" s="12">
        <v>1.5141E-3</v>
      </c>
    </row>
    <row r="4683" spans="1:6">
      <c r="A4683" s="10">
        <v>2021</v>
      </c>
      <c r="B4683" t="s">
        <v>712</v>
      </c>
      <c r="C4683" t="s">
        <v>1778</v>
      </c>
      <c r="D4683" t="s">
        <v>1778</v>
      </c>
      <c r="E4683" s="10">
        <v>4652231</v>
      </c>
      <c r="F4683" s="12">
        <v>3.5522000000000001E-3</v>
      </c>
    </row>
    <row r="4684" spans="1:6">
      <c r="A4684" s="10">
        <v>2021</v>
      </c>
      <c r="B4684" t="s">
        <v>713</v>
      </c>
      <c r="C4684" t="s">
        <v>1779</v>
      </c>
      <c r="D4684" t="s">
        <v>1779</v>
      </c>
      <c r="E4684" s="10">
        <v>163367</v>
      </c>
      <c r="F4684" s="12">
        <v>1.247E-4</v>
      </c>
    </row>
    <row r="4685" spans="1:6">
      <c r="A4685" s="10">
        <v>2021</v>
      </c>
      <c r="B4685" t="s">
        <v>714</v>
      </c>
      <c r="C4685" t="s">
        <v>1780</v>
      </c>
      <c r="D4685" t="s">
        <v>1780</v>
      </c>
      <c r="E4685" s="10">
        <v>2033278</v>
      </c>
      <c r="F4685" s="12">
        <v>1.5525000000000001E-3</v>
      </c>
    </row>
    <row r="4686" spans="1:6">
      <c r="A4686" s="10">
        <v>2021</v>
      </c>
      <c r="B4686" t="s">
        <v>770</v>
      </c>
      <c r="C4686" t="s">
        <v>715</v>
      </c>
      <c r="D4686" t="s">
        <v>715</v>
      </c>
      <c r="E4686" s="10">
        <v>52339</v>
      </c>
      <c r="F4686" s="12">
        <v>4.0000000000000003E-5</v>
      </c>
    </row>
    <row r="4687" spans="1:6">
      <c r="A4687" s="10">
        <v>2021</v>
      </c>
      <c r="B4687" t="s">
        <v>771</v>
      </c>
      <c r="C4687" t="s">
        <v>1782</v>
      </c>
      <c r="D4687" t="s">
        <v>1782</v>
      </c>
      <c r="E4687" s="10"/>
    </row>
    <row r="4688" spans="1:6">
      <c r="A4688" s="10">
        <v>2021</v>
      </c>
      <c r="B4688" t="s">
        <v>773</v>
      </c>
      <c r="C4688" t="s">
        <v>1784</v>
      </c>
      <c r="D4688" t="s">
        <v>1784</v>
      </c>
      <c r="E4688" s="10">
        <v>6819502</v>
      </c>
      <c r="F4688" s="12">
        <v>5.2071000000000001E-3</v>
      </c>
    </row>
    <row r="4689" spans="1:6">
      <c r="A4689" s="10">
        <v>2021</v>
      </c>
      <c r="B4689" t="s">
        <v>443</v>
      </c>
      <c r="C4689" t="s">
        <v>1785</v>
      </c>
      <c r="D4689" t="s">
        <v>1785</v>
      </c>
      <c r="E4689" s="10">
        <v>290102</v>
      </c>
      <c r="F4689" s="12">
        <v>2.2149999999999999E-4</v>
      </c>
    </row>
    <row r="4690" spans="1:6">
      <c r="A4690" s="10">
        <v>2021</v>
      </c>
      <c r="B4690" t="s">
        <v>774</v>
      </c>
      <c r="C4690" t="s">
        <v>1786</v>
      </c>
      <c r="D4690" t="s">
        <v>1786</v>
      </c>
      <c r="E4690" s="10">
        <v>255936</v>
      </c>
      <c r="F4690" s="12">
        <v>1.9540000000000001E-4</v>
      </c>
    </row>
    <row r="4691" spans="1:6">
      <c r="A4691" s="10">
        <v>2021</v>
      </c>
      <c r="B4691" t="s">
        <v>775</v>
      </c>
      <c r="C4691" t="s">
        <v>1787</v>
      </c>
      <c r="D4691" t="s">
        <v>1787</v>
      </c>
      <c r="E4691" s="10">
        <v>3490205</v>
      </c>
      <c r="F4691" s="12">
        <v>2.6649999999999998E-3</v>
      </c>
    </row>
    <row r="4692" spans="1:6">
      <c r="A4692" s="10">
        <v>2021</v>
      </c>
      <c r="B4692" t="s">
        <v>776</v>
      </c>
      <c r="C4692" t="s">
        <v>721</v>
      </c>
      <c r="D4692" t="s">
        <v>721</v>
      </c>
      <c r="E4692" s="10"/>
    </row>
    <row r="4693" spans="1:6">
      <c r="A4693" s="10">
        <v>2021</v>
      </c>
      <c r="B4693" t="s">
        <v>778</v>
      </c>
      <c r="C4693" t="s">
        <v>1788</v>
      </c>
      <c r="D4693" t="s">
        <v>1788</v>
      </c>
      <c r="E4693" s="10">
        <v>3783912</v>
      </c>
      <c r="F4693" s="12">
        <v>2.8892000000000002E-3</v>
      </c>
    </row>
    <row r="4694" spans="1:6">
      <c r="A4694" s="10">
        <v>2021</v>
      </c>
      <c r="B4694" t="s">
        <v>779</v>
      </c>
      <c r="C4694" t="s">
        <v>1789</v>
      </c>
      <c r="D4694" t="s">
        <v>1789</v>
      </c>
      <c r="E4694" s="10">
        <v>162293</v>
      </c>
      <c r="F4694" s="12">
        <v>1.239E-4</v>
      </c>
    </row>
    <row r="4695" spans="1:6">
      <c r="A4695" s="10">
        <v>2021</v>
      </c>
      <c r="B4695" t="s">
        <v>780</v>
      </c>
      <c r="C4695" t="s">
        <v>1790</v>
      </c>
      <c r="D4695" t="s">
        <v>1790</v>
      </c>
      <c r="E4695" s="10">
        <v>419638</v>
      </c>
      <c r="F4695" s="12">
        <v>3.2039999999999998E-4</v>
      </c>
    </row>
    <row r="4696" spans="1:6">
      <c r="A4696" s="10">
        <v>2021</v>
      </c>
      <c r="B4696" t="s">
        <v>781</v>
      </c>
      <c r="C4696" t="s">
        <v>1791</v>
      </c>
      <c r="D4696" t="s">
        <v>1791</v>
      </c>
      <c r="E4696" s="10">
        <v>18983</v>
      </c>
      <c r="F4696" s="12">
        <v>1.45E-5</v>
      </c>
    </row>
    <row r="4697" spans="1:6">
      <c r="A4697" s="10">
        <v>2021</v>
      </c>
      <c r="B4697" t="s">
        <v>782</v>
      </c>
      <c r="C4697" t="s">
        <v>1792</v>
      </c>
      <c r="D4697" t="s">
        <v>1792</v>
      </c>
      <c r="E4697" s="10">
        <v>8304862</v>
      </c>
      <c r="F4697" s="12">
        <v>6.3412E-3</v>
      </c>
    </row>
    <row r="4698" spans="1:6">
      <c r="A4698" s="10">
        <v>2021</v>
      </c>
      <c r="B4698" t="s">
        <v>1234</v>
      </c>
      <c r="C4698" t="s">
        <v>1793</v>
      </c>
      <c r="D4698" t="s">
        <v>1793</v>
      </c>
      <c r="E4698" s="10">
        <v>1810568</v>
      </c>
      <c r="F4698" s="12">
        <v>1.3825E-3</v>
      </c>
    </row>
    <row r="4699" spans="1:6">
      <c r="A4699" s="10">
        <v>2021</v>
      </c>
      <c r="B4699" t="s">
        <v>783</v>
      </c>
      <c r="C4699" t="s">
        <v>1794</v>
      </c>
      <c r="D4699" t="s">
        <v>1794</v>
      </c>
      <c r="E4699" s="10">
        <v>1188814</v>
      </c>
      <c r="F4699" s="12">
        <v>9.077E-4</v>
      </c>
    </row>
    <row r="4700" spans="1:6">
      <c r="A4700" s="10">
        <v>2021</v>
      </c>
      <c r="B4700" t="s">
        <v>787</v>
      </c>
      <c r="C4700" t="s">
        <v>732</v>
      </c>
      <c r="D4700" t="s">
        <v>732</v>
      </c>
      <c r="E4700" s="10">
        <v>65592096</v>
      </c>
      <c r="F4700" s="12">
        <v>5.0083099999999998E-2</v>
      </c>
    </row>
    <row r="4701" spans="1:6">
      <c r="A4701" s="10">
        <v>2021</v>
      </c>
      <c r="B4701" t="s">
        <v>784</v>
      </c>
      <c r="C4701" t="s">
        <v>1795</v>
      </c>
      <c r="D4701" t="s">
        <v>1795</v>
      </c>
      <c r="E4701" s="10">
        <v>45070367</v>
      </c>
      <c r="F4701" s="12">
        <v>3.4413600000000003E-2</v>
      </c>
    </row>
    <row r="4702" spans="1:6">
      <c r="A4702" s="10">
        <v>2021</v>
      </c>
      <c r="B4702" t="s">
        <v>785</v>
      </c>
      <c r="C4702" t="s">
        <v>1796</v>
      </c>
      <c r="D4702" t="s">
        <v>1796</v>
      </c>
      <c r="E4702" s="10">
        <v>480793</v>
      </c>
      <c r="F4702" s="12">
        <v>3.6709999999999998E-4</v>
      </c>
    </row>
    <row r="4703" spans="1:6">
      <c r="A4703" s="10">
        <v>2021</v>
      </c>
      <c r="B4703" t="s">
        <v>788</v>
      </c>
      <c r="C4703" t="s">
        <v>1797</v>
      </c>
      <c r="D4703" t="s">
        <v>1797</v>
      </c>
      <c r="E4703" s="10">
        <v>371164</v>
      </c>
      <c r="F4703" s="12">
        <v>2.834E-4</v>
      </c>
    </row>
    <row r="4704" spans="1:6">
      <c r="A4704" s="10">
        <v>2021</v>
      </c>
      <c r="B4704" t="s">
        <v>786</v>
      </c>
      <c r="C4704" t="s">
        <v>2460</v>
      </c>
      <c r="D4704" t="s">
        <v>1798</v>
      </c>
      <c r="E4704" s="10">
        <v>29688539</v>
      </c>
      <c r="F4704" s="12">
        <v>2.2668799999999999E-2</v>
      </c>
    </row>
    <row r="4705" spans="1:6">
      <c r="A4705" s="10">
        <v>2021</v>
      </c>
      <c r="B4705" t="s">
        <v>789</v>
      </c>
      <c r="C4705" t="s">
        <v>1799</v>
      </c>
      <c r="D4705" t="s">
        <v>1799</v>
      </c>
      <c r="E4705" s="10">
        <v>4415106</v>
      </c>
      <c r="F4705" s="12">
        <v>3.3712E-3</v>
      </c>
    </row>
    <row r="4706" spans="1:6">
      <c r="A4706" s="10">
        <v>2021</v>
      </c>
      <c r="B4706" t="s">
        <v>444</v>
      </c>
      <c r="C4706" t="s">
        <v>1800</v>
      </c>
      <c r="D4706" t="s">
        <v>1800</v>
      </c>
      <c r="E4706" s="10">
        <v>1265937</v>
      </c>
      <c r="F4706" s="12">
        <v>9.6659999999999997E-4</v>
      </c>
    </row>
    <row r="4707" spans="1:6">
      <c r="A4707" s="10">
        <v>2021</v>
      </c>
      <c r="B4707" t="s">
        <v>790</v>
      </c>
      <c r="C4707" t="s">
        <v>1801</v>
      </c>
      <c r="D4707" t="s">
        <v>1801</v>
      </c>
      <c r="E4707" s="10"/>
    </row>
    <row r="4708" spans="1:6">
      <c r="A4708" s="10">
        <v>2021</v>
      </c>
      <c r="B4708" t="s">
        <v>777</v>
      </c>
      <c r="C4708" t="s">
        <v>1802</v>
      </c>
      <c r="D4708" t="s">
        <v>1802</v>
      </c>
      <c r="E4708" s="10">
        <v>149920</v>
      </c>
      <c r="F4708" s="12">
        <v>1.145E-4</v>
      </c>
    </row>
    <row r="4709" spans="1:6">
      <c r="A4709" s="10">
        <v>2021</v>
      </c>
      <c r="B4709" t="s">
        <v>791</v>
      </c>
      <c r="C4709" t="s">
        <v>736</v>
      </c>
      <c r="D4709" t="s">
        <v>736</v>
      </c>
      <c r="E4709" s="10">
        <v>333452</v>
      </c>
      <c r="F4709" s="12">
        <v>2.5460000000000001E-4</v>
      </c>
    </row>
    <row r="4710" spans="1:6">
      <c r="A4710" s="10">
        <v>2021</v>
      </c>
      <c r="B4710" t="s">
        <v>792</v>
      </c>
      <c r="C4710" t="s">
        <v>1803</v>
      </c>
      <c r="D4710" t="s">
        <v>1803</v>
      </c>
      <c r="E4710" s="10">
        <v>397537</v>
      </c>
      <c r="F4710" s="12">
        <v>3.035E-4</v>
      </c>
    </row>
    <row r="4711" spans="1:6">
      <c r="A4711" s="10">
        <v>2021</v>
      </c>
      <c r="B4711" t="s">
        <v>793</v>
      </c>
      <c r="C4711" t="s">
        <v>1804</v>
      </c>
      <c r="D4711" t="s">
        <v>1804</v>
      </c>
      <c r="E4711" s="10">
        <v>159297</v>
      </c>
      <c r="F4711" s="12">
        <v>1.216E-4</v>
      </c>
    </row>
    <row r="4712" spans="1:6">
      <c r="A4712" s="10">
        <v>2021</v>
      </c>
      <c r="B4712" t="s">
        <v>794</v>
      </c>
      <c r="C4712" t="s">
        <v>1805</v>
      </c>
      <c r="D4712" t="s">
        <v>1805</v>
      </c>
      <c r="E4712" s="10">
        <v>41314</v>
      </c>
      <c r="F4712" s="12">
        <v>3.15E-5</v>
      </c>
    </row>
    <row r="4713" spans="1:6">
      <c r="A4713" s="10">
        <v>2021</v>
      </c>
      <c r="B4713" t="s">
        <v>795</v>
      </c>
      <c r="C4713" t="s">
        <v>1806</v>
      </c>
      <c r="D4713" t="s">
        <v>1806</v>
      </c>
      <c r="E4713" s="10">
        <v>43659193</v>
      </c>
      <c r="F4713" s="12">
        <v>3.33361E-2</v>
      </c>
    </row>
    <row r="4714" spans="1:6">
      <c r="A4714" s="10">
        <v>2021</v>
      </c>
      <c r="B4714" t="s">
        <v>445</v>
      </c>
      <c r="C4714" t="s">
        <v>1807</v>
      </c>
      <c r="D4714" t="s">
        <v>1807</v>
      </c>
      <c r="E4714" s="10">
        <v>20767213</v>
      </c>
      <c r="F4714" s="12">
        <v>1.58569E-2</v>
      </c>
    </row>
    <row r="4715" spans="1:6">
      <c r="A4715" s="10">
        <v>2021</v>
      </c>
      <c r="B4715" t="s">
        <v>796</v>
      </c>
      <c r="C4715" t="s">
        <v>741</v>
      </c>
      <c r="D4715" t="s">
        <v>741</v>
      </c>
      <c r="E4715" s="10">
        <v>147164</v>
      </c>
      <c r="F4715" s="12">
        <v>1.1239999999999999E-4</v>
      </c>
    </row>
    <row r="4716" spans="1:6">
      <c r="A4716" s="10">
        <v>2021</v>
      </c>
      <c r="B4716" t="s">
        <v>797</v>
      </c>
      <c r="C4716" t="s">
        <v>1808</v>
      </c>
      <c r="D4716" t="s">
        <v>1808</v>
      </c>
      <c r="E4716" s="10">
        <v>435911</v>
      </c>
      <c r="F4716" s="12">
        <v>3.3280000000000001E-4</v>
      </c>
    </row>
    <row r="4717" spans="1:6">
      <c r="A4717" s="10">
        <v>2021</v>
      </c>
      <c r="B4717" t="s">
        <v>798</v>
      </c>
      <c r="C4717" t="s">
        <v>743</v>
      </c>
      <c r="D4717" t="s">
        <v>743</v>
      </c>
      <c r="E4717" s="10">
        <v>118664</v>
      </c>
      <c r="F4717" s="12">
        <v>9.0600000000000007E-5</v>
      </c>
    </row>
    <row r="4718" spans="1:6">
      <c r="A4718" s="10">
        <v>2021</v>
      </c>
      <c r="B4718" t="s">
        <v>799</v>
      </c>
      <c r="C4718" t="s">
        <v>1809</v>
      </c>
      <c r="D4718" t="s">
        <v>1809</v>
      </c>
      <c r="E4718" s="10">
        <v>547692</v>
      </c>
      <c r="F4718" s="12">
        <v>4.1819999999999997E-4</v>
      </c>
    </row>
    <row r="4719" spans="1:6">
      <c r="A4719" s="10">
        <v>2021</v>
      </c>
      <c r="B4719" t="s">
        <v>1235</v>
      </c>
      <c r="C4719" t="s">
        <v>1810</v>
      </c>
      <c r="D4719" t="s">
        <v>1810</v>
      </c>
      <c r="E4719" s="10">
        <v>124857</v>
      </c>
      <c r="F4719" s="12">
        <v>9.5299999999999999E-5</v>
      </c>
    </row>
    <row r="4720" spans="1:6">
      <c r="A4720" s="10">
        <v>2021</v>
      </c>
      <c r="B4720" t="s">
        <v>800</v>
      </c>
      <c r="C4720" t="s">
        <v>745</v>
      </c>
      <c r="D4720" t="s">
        <v>745</v>
      </c>
      <c r="E4720" s="10">
        <v>91260</v>
      </c>
      <c r="F4720" s="12">
        <v>6.97E-5</v>
      </c>
    </row>
    <row r="4721" spans="1:6">
      <c r="A4721" s="10">
        <v>2021</v>
      </c>
      <c r="B4721" t="s">
        <v>801</v>
      </c>
      <c r="C4721" t="s">
        <v>1811</v>
      </c>
      <c r="D4721" t="s">
        <v>1811</v>
      </c>
      <c r="E4721" s="10">
        <v>740019</v>
      </c>
      <c r="F4721" s="12">
        <v>5.6499999999999996E-4</v>
      </c>
    </row>
    <row r="4722" spans="1:6">
      <c r="A4722" s="10">
        <v>2021</v>
      </c>
      <c r="B4722" t="s">
        <v>802</v>
      </c>
      <c r="C4722" t="s">
        <v>1812</v>
      </c>
      <c r="D4722" t="s">
        <v>1812</v>
      </c>
      <c r="E4722" s="10">
        <v>45886</v>
      </c>
      <c r="F4722" s="12">
        <v>3.4999999999999997E-5</v>
      </c>
    </row>
    <row r="4723" spans="1:6">
      <c r="A4723" s="10">
        <v>2021</v>
      </c>
      <c r="B4723" t="s">
        <v>803</v>
      </c>
      <c r="C4723" t="s">
        <v>748</v>
      </c>
      <c r="D4723" t="s">
        <v>748</v>
      </c>
      <c r="E4723" s="10">
        <v>254808</v>
      </c>
      <c r="F4723" s="12">
        <v>1.9459999999999999E-4</v>
      </c>
    </row>
    <row r="4724" spans="1:6">
      <c r="A4724" s="10">
        <v>2021</v>
      </c>
      <c r="B4724" t="s">
        <v>804</v>
      </c>
      <c r="C4724" t="s">
        <v>749</v>
      </c>
      <c r="D4724" t="s">
        <v>749</v>
      </c>
      <c r="E4724" s="10">
        <v>339783</v>
      </c>
      <c r="F4724" s="12">
        <v>2.5940000000000002E-4</v>
      </c>
    </row>
    <row r="4725" spans="1:6">
      <c r="A4725" s="10">
        <v>2021</v>
      </c>
      <c r="B4725" t="s">
        <v>805</v>
      </c>
      <c r="C4725" t="s">
        <v>750</v>
      </c>
      <c r="D4725" t="s">
        <v>750</v>
      </c>
      <c r="E4725" s="10">
        <v>1727365</v>
      </c>
      <c r="F4725" s="12">
        <v>1.3189E-3</v>
      </c>
    </row>
    <row r="4726" spans="1:6">
      <c r="A4726" s="10">
        <v>2021</v>
      </c>
      <c r="B4726" t="s">
        <v>806</v>
      </c>
      <c r="C4726" t="s">
        <v>751</v>
      </c>
      <c r="D4726" t="s">
        <v>751</v>
      </c>
      <c r="E4726" s="10">
        <v>4887275</v>
      </c>
      <c r="F4726" s="12">
        <v>3.7317000000000001E-3</v>
      </c>
    </row>
    <row r="4727" spans="1:6">
      <c r="A4727" s="10">
        <v>2021</v>
      </c>
      <c r="B4727" t="s">
        <v>807</v>
      </c>
      <c r="C4727" t="s">
        <v>752</v>
      </c>
      <c r="D4727" t="s">
        <v>752</v>
      </c>
      <c r="E4727" s="10">
        <v>95132</v>
      </c>
      <c r="F4727" s="12">
        <v>7.2600000000000003E-5</v>
      </c>
    </row>
    <row r="4728" spans="1:6">
      <c r="A4728" s="10">
        <v>2021</v>
      </c>
      <c r="B4728" t="s">
        <v>808</v>
      </c>
      <c r="C4728" t="s">
        <v>2430</v>
      </c>
      <c r="D4728" t="s">
        <v>2430</v>
      </c>
      <c r="E4728" s="10"/>
    </row>
    <row r="4729" spans="1:6">
      <c r="A4729" s="10">
        <v>2021</v>
      </c>
      <c r="B4729" t="s">
        <v>2431</v>
      </c>
      <c r="C4729" t="s">
        <v>2464</v>
      </c>
      <c r="D4729" t="s">
        <v>2430</v>
      </c>
      <c r="E4729" s="10">
        <v>191364</v>
      </c>
      <c r="F4729" s="12">
        <v>1.461E-4</v>
      </c>
    </row>
    <row r="4730" spans="1:6">
      <c r="A4730" s="10">
        <v>2021</v>
      </c>
      <c r="B4730" t="s">
        <v>809</v>
      </c>
      <c r="C4730" t="s">
        <v>1814</v>
      </c>
      <c r="D4730" t="s">
        <v>1814</v>
      </c>
      <c r="E4730" s="10">
        <v>657169</v>
      </c>
      <c r="F4730" s="12">
        <v>5.0180000000000005E-4</v>
      </c>
    </row>
    <row r="4731" spans="1:6">
      <c r="A4731" s="10">
        <v>2021</v>
      </c>
      <c r="B4731" t="s">
        <v>1470</v>
      </c>
      <c r="C4731" t="s">
        <v>1815</v>
      </c>
      <c r="D4731" t="s">
        <v>1815</v>
      </c>
      <c r="E4731" s="10">
        <v>17240</v>
      </c>
      <c r="F4731" s="12">
        <v>1.3200000000000001E-5</v>
      </c>
    </row>
    <row r="4732" spans="1:6">
      <c r="A4732" s="10">
        <v>2021</v>
      </c>
      <c r="B4732" t="s">
        <v>810</v>
      </c>
      <c r="C4732" t="s">
        <v>1816</v>
      </c>
      <c r="D4732" t="s">
        <v>1816</v>
      </c>
      <c r="E4732" s="10">
        <v>116924</v>
      </c>
      <c r="F4732" s="12">
        <v>8.9300000000000002E-5</v>
      </c>
    </row>
    <row r="4733" spans="1:6">
      <c r="A4733" s="10">
        <v>2021</v>
      </c>
      <c r="B4733" t="s">
        <v>812</v>
      </c>
      <c r="C4733" t="s">
        <v>1818</v>
      </c>
      <c r="D4733" t="s">
        <v>1818</v>
      </c>
      <c r="E4733" s="10">
        <v>1028695</v>
      </c>
      <c r="F4733" s="12">
        <v>7.8549999999999996E-4</v>
      </c>
    </row>
    <row r="4734" spans="1:6">
      <c r="A4734" s="10">
        <v>2021</v>
      </c>
      <c r="B4734" t="s">
        <v>813</v>
      </c>
      <c r="C4734" t="s">
        <v>1819</v>
      </c>
      <c r="D4734" t="s">
        <v>1819</v>
      </c>
      <c r="E4734" s="10">
        <v>109892</v>
      </c>
      <c r="F4734" s="12">
        <v>8.3900000000000006E-5</v>
      </c>
    </row>
    <row r="4735" spans="1:6">
      <c r="A4735" s="10">
        <v>2021</v>
      </c>
      <c r="B4735" t="s">
        <v>814</v>
      </c>
      <c r="C4735" t="s">
        <v>1820</v>
      </c>
      <c r="D4735" t="s">
        <v>1820</v>
      </c>
      <c r="E4735" s="10">
        <v>57777</v>
      </c>
      <c r="F4735" s="12">
        <v>4.4100000000000001E-5</v>
      </c>
    </row>
    <row r="4736" spans="1:6">
      <c r="A4736" s="10">
        <v>2021</v>
      </c>
      <c r="B4736" t="s">
        <v>815</v>
      </c>
      <c r="C4736" t="s">
        <v>760</v>
      </c>
      <c r="D4736" t="s">
        <v>760</v>
      </c>
      <c r="E4736" s="10">
        <v>45009</v>
      </c>
      <c r="F4736" s="12">
        <v>3.4400000000000003E-5</v>
      </c>
    </row>
    <row r="4737" spans="1:6">
      <c r="A4737" s="10">
        <v>2021</v>
      </c>
      <c r="B4737" t="s">
        <v>816</v>
      </c>
      <c r="C4737" t="s">
        <v>761</v>
      </c>
      <c r="D4737" t="s">
        <v>761</v>
      </c>
      <c r="E4737" s="10">
        <v>51004</v>
      </c>
      <c r="F4737" s="12">
        <v>3.8899999999999997E-5</v>
      </c>
    </row>
    <row r="4738" spans="1:6">
      <c r="A4738" s="10">
        <v>2021</v>
      </c>
      <c r="B4738" t="s">
        <v>817</v>
      </c>
      <c r="C4738" t="s">
        <v>762</v>
      </c>
      <c r="D4738" t="s">
        <v>762</v>
      </c>
      <c r="E4738" s="10">
        <v>107712</v>
      </c>
      <c r="F4738" s="12">
        <v>8.2200000000000006E-5</v>
      </c>
    </row>
    <row r="4739" spans="1:6">
      <c r="A4739" s="10">
        <v>2021</v>
      </c>
      <c r="B4739" t="s">
        <v>818</v>
      </c>
      <c r="C4739" t="s">
        <v>2445</v>
      </c>
      <c r="D4739" t="s">
        <v>1821</v>
      </c>
      <c r="E4739" s="10">
        <v>16128</v>
      </c>
      <c r="F4739" s="12">
        <v>1.2300000000000001E-5</v>
      </c>
    </row>
    <row r="4740" spans="1:6">
      <c r="A4740" s="10">
        <v>2021</v>
      </c>
      <c r="B4740" t="s">
        <v>820</v>
      </c>
      <c r="C4740" t="s">
        <v>1822</v>
      </c>
      <c r="D4740" t="s">
        <v>1822</v>
      </c>
      <c r="E4740" s="10">
        <v>827634</v>
      </c>
      <c r="F4740" s="12">
        <v>6.3190000000000002E-4</v>
      </c>
    </row>
    <row r="4741" spans="1:6">
      <c r="A4741" s="10">
        <v>2021</v>
      </c>
      <c r="B4741" t="s">
        <v>822</v>
      </c>
      <c r="C4741" t="s">
        <v>2406</v>
      </c>
      <c r="D4741" t="s">
        <v>2406</v>
      </c>
      <c r="E4741" s="10">
        <v>145217</v>
      </c>
      <c r="F4741" s="12">
        <v>1.109E-4</v>
      </c>
    </row>
    <row r="4742" spans="1:6">
      <c r="A4742" s="10">
        <v>2021</v>
      </c>
      <c r="B4742" t="s">
        <v>880</v>
      </c>
      <c r="C4742" t="s">
        <v>2407</v>
      </c>
      <c r="D4742" t="s">
        <v>2407</v>
      </c>
      <c r="E4742" s="10">
        <v>670599</v>
      </c>
      <c r="F4742" s="12">
        <v>5.1199999999999998E-4</v>
      </c>
    </row>
    <row r="4743" spans="1:6">
      <c r="A4743" s="10">
        <v>2021</v>
      </c>
      <c r="B4743" t="s">
        <v>884</v>
      </c>
      <c r="C4743" t="s">
        <v>829</v>
      </c>
      <c r="D4743" t="s">
        <v>829</v>
      </c>
      <c r="E4743" s="10">
        <v>2252771</v>
      </c>
      <c r="F4743" s="12">
        <v>1.7201E-3</v>
      </c>
    </row>
    <row r="4744" spans="1:6">
      <c r="A4744" s="10">
        <v>2021</v>
      </c>
      <c r="B4744" t="s">
        <v>881</v>
      </c>
      <c r="C4744" t="s">
        <v>1825</v>
      </c>
      <c r="D4744" t="s">
        <v>1825</v>
      </c>
      <c r="E4744" s="10">
        <v>27403</v>
      </c>
      <c r="F4744" s="12">
        <v>2.09E-5</v>
      </c>
    </row>
    <row r="4745" spans="1:6">
      <c r="A4745" s="10">
        <v>2021</v>
      </c>
      <c r="B4745" t="s">
        <v>885</v>
      </c>
      <c r="C4745" t="s">
        <v>1828</v>
      </c>
      <c r="D4745" t="s">
        <v>1828</v>
      </c>
      <c r="E4745" s="10">
        <v>145521</v>
      </c>
      <c r="F4745" s="12">
        <v>1.111E-4</v>
      </c>
    </row>
    <row r="4746" spans="1:6">
      <c r="A4746" s="10">
        <v>2021</v>
      </c>
      <c r="B4746" t="s">
        <v>886</v>
      </c>
      <c r="C4746" t="s">
        <v>1829</v>
      </c>
      <c r="D4746" t="s">
        <v>1829</v>
      </c>
      <c r="E4746" s="10">
        <v>48003</v>
      </c>
      <c r="F4746" s="12">
        <v>3.6699999999999998E-5</v>
      </c>
    </row>
    <row r="4747" spans="1:6">
      <c r="A4747" s="10">
        <v>2021</v>
      </c>
      <c r="B4747" t="s">
        <v>887</v>
      </c>
      <c r="C4747" t="s">
        <v>1830</v>
      </c>
      <c r="D4747" t="s">
        <v>1830</v>
      </c>
      <c r="E4747" s="10">
        <v>74593</v>
      </c>
      <c r="F4747" s="12">
        <v>5.7000000000000003E-5</v>
      </c>
    </row>
    <row r="4748" spans="1:6">
      <c r="A4748" s="10">
        <v>2021</v>
      </c>
      <c r="B4748" t="s">
        <v>888</v>
      </c>
      <c r="C4748" t="s">
        <v>1831</v>
      </c>
      <c r="D4748" t="s">
        <v>1831</v>
      </c>
      <c r="E4748" s="10">
        <v>33017</v>
      </c>
      <c r="F4748" s="12">
        <v>2.5199999999999999E-5</v>
      </c>
    </row>
    <row r="4749" spans="1:6">
      <c r="A4749" s="10">
        <v>2021</v>
      </c>
      <c r="B4749" t="s">
        <v>890</v>
      </c>
      <c r="C4749" t="s">
        <v>1832</v>
      </c>
      <c r="D4749" t="s">
        <v>1832</v>
      </c>
      <c r="E4749" s="10">
        <v>3139151</v>
      </c>
      <c r="F4749" s="12">
        <v>2.3969E-3</v>
      </c>
    </row>
    <row r="4750" spans="1:6">
      <c r="A4750" s="10">
        <v>2021</v>
      </c>
      <c r="B4750" t="s">
        <v>446</v>
      </c>
      <c r="C4750" t="s">
        <v>1833</v>
      </c>
      <c r="D4750" t="s">
        <v>1833</v>
      </c>
      <c r="E4750" s="10">
        <v>721074</v>
      </c>
      <c r="F4750" s="12">
        <v>5.5060000000000005E-4</v>
      </c>
    </row>
    <row r="4751" spans="1:6">
      <c r="A4751" s="10">
        <v>2021</v>
      </c>
      <c r="B4751" t="s">
        <v>821</v>
      </c>
      <c r="C4751" t="s">
        <v>1834</v>
      </c>
      <c r="D4751" t="s">
        <v>1834</v>
      </c>
      <c r="E4751" s="10">
        <v>141499</v>
      </c>
      <c r="F4751" s="12">
        <v>1.08E-4</v>
      </c>
    </row>
    <row r="4752" spans="1:6">
      <c r="A4752" s="10">
        <v>2021</v>
      </c>
      <c r="B4752" t="s">
        <v>891</v>
      </c>
      <c r="C4752" t="s">
        <v>1835</v>
      </c>
      <c r="D4752" t="s">
        <v>1835</v>
      </c>
      <c r="E4752" s="10">
        <v>50027</v>
      </c>
      <c r="F4752" s="12">
        <v>3.82E-5</v>
      </c>
    </row>
    <row r="4753" spans="1:6">
      <c r="A4753" s="10">
        <v>2021</v>
      </c>
      <c r="B4753" t="s">
        <v>892</v>
      </c>
      <c r="C4753" t="s">
        <v>1836</v>
      </c>
      <c r="D4753" t="s">
        <v>1836</v>
      </c>
      <c r="E4753" s="10">
        <v>79696</v>
      </c>
      <c r="F4753" s="12">
        <v>6.0900000000000003E-5</v>
      </c>
    </row>
    <row r="4754" spans="1:6">
      <c r="A4754" s="10">
        <v>2021</v>
      </c>
      <c r="B4754" t="s">
        <v>896</v>
      </c>
      <c r="C4754" t="s">
        <v>1837</v>
      </c>
      <c r="D4754" t="s">
        <v>2257</v>
      </c>
      <c r="E4754" s="10">
        <v>51207</v>
      </c>
      <c r="F4754" s="12">
        <v>3.9100000000000002E-5</v>
      </c>
    </row>
    <row r="4755" spans="1:6">
      <c r="A4755" s="10">
        <v>2021</v>
      </c>
      <c r="B4755" t="s">
        <v>824</v>
      </c>
      <c r="C4755" t="s">
        <v>1839</v>
      </c>
      <c r="D4755" t="s">
        <v>1839</v>
      </c>
      <c r="E4755" s="10">
        <v>417147</v>
      </c>
      <c r="F4755" s="12">
        <v>3.1849999999999999E-4</v>
      </c>
    </row>
    <row r="4756" spans="1:6">
      <c r="A4756" s="10">
        <v>2021</v>
      </c>
      <c r="B4756" t="s">
        <v>823</v>
      </c>
      <c r="C4756" t="s">
        <v>1840</v>
      </c>
      <c r="D4756" t="s">
        <v>1840</v>
      </c>
      <c r="E4756" s="10">
        <v>960187</v>
      </c>
      <c r="F4756" s="12">
        <v>7.3320000000000004E-4</v>
      </c>
    </row>
    <row r="4757" spans="1:6">
      <c r="A4757" s="10">
        <v>2021</v>
      </c>
      <c r="B4757" t="s">
        <v>893</v>
      </c>
      <c r="C4757" t="s">
        <v>2432</v>
      </c>
      <c r="D4757" t="s">
        <v>2432</v>
      </c>
      <c r="E4757" s="10">
        <v>6633</v>
      </c>
      <c r="F4757" s="12">
        <v>5.1000000000000003E-6</v>
      </c>
    </row>
    <row r="4758" spans="1:6">
      <c r="A4758" s="10">
        <v>2021</v>
      </c>
      <c r="B4758" t="s">
        <v>897</v>
      </c>
      <c r="C4758" t="s">
        <v>1841</v>
      </c>
      <c r="D4758" t="s">
        <v>1841</v>
      </c>
      <c r="E4758" s="10">
        <v>614084</v>
      </c>
      <c r="F4758" s="12">
        <v>4.6890000000000001E-4</v>
      </c>
    </row>
    <row r="4759" spans="1:6">
      <c r="A4759" s="10">
        <v>2021</v>
      </c>
      <c r="B4759" t="s">
        <v>894</v>
      </c>
      <c r="C4759" t="s">
        <v>839</v>
      </c>
      <c r="D4759" t="s">
        <v>839</v>
      </c>
      <c r="E4759" s="10">
        <v>13909633</v>
      </c>
      <c r="F4759" s="12">
        <v>1.06207E-2</v>
      </c>
    </row>
    <row r="4760" spans="1:6">
      <c r="A4760" s="10">
        <v>2021</v>
      </c>
      <c r="B4760" t="s">
        <v>895</v>
      </c>
      <c r="C4760" t="s">
        <v>1842</v>
      </c>
      <c r="D4760" t="s">
        <v>1842</v>
      </c>
      <c r="E4760" s="10">
        <v>41444</v>
      </c>
      <c r="F4760" s="12">
        <v>3.1600000000000002E-5</v>
      </c>
    </row>
    <row r="4761" spans="1:6">
      <c r="A4761" s="10">
        <v>2021</v>
      </c>
      <c r="B4761" t="s">
        <v>898</v>
      </c>
      <c r="C4761" t="s">
        <v>843</v>
      </c>
      <c r="D4761" t="s">
        <v>843</v>
      </c>
      <c r="E4761" s="10">
        <v>1556162</v>
      </c>
      <c r="F4761" s="12">
        <v>1.1881999999999999E-3</v>
      </c>
    </row>
    <row r="4762" spans="1:6">
      <c r="A4762" s="10">
        <v>2021</v>
      </c>
      <c r="B4762" t="s">
        <v>899</v>
      </c>
      <c r="C4762" t="s">
        <v>844</v>
      </c>
      <c r="D4762" t="s">
        <v>844</v>
      </c>
      <c r="E4762" s="10">
        <v>407043</v>
      </c>
      <c r="F4762" s="12">
        <v>3.1080000000000002E-4</v>
      </c>
    </row>
    <row r="4763" spans="1:6">
      <c r="A4763" s="10">
        <v>2021</v>
      </c>
      <c r="B4763" t="s">
        <v>900</v>
      </c>
      <c r="C4763" t="s">
        <v>845</v>
      </c>
      <c r="D4763" t="s">
        <v>845</v>
      </c>
      <c r="E4763" s="10">
        <v>328825</v>
      </c>
      <c r="F4763" s="12">
        <v>2.5109999999999998E-4</v>
      </c>
    </row>
    <row r="4764" spans="1:6">
      <c r="A4764" s="10">
        <v>2021</v>
      </c>
      <c r="B4764" t="s">
        <v>901</v>
      </c>
      <c r="C4764" t="s">
        <v>846</v>
      </c>
      <c r="D4764" t="s">
        <v>846</v>
      </c>
      <c r="E4764" s="10">
        <v>126854</v>
      </c>
      <c r="F4764" s="12">
        <v>9.6899999999999997E-5</v>
      </c>
    </row>
    <row r="4765" spans="1:6">
      <c r="A4765" s="10">
        <v>2021</v>
      </c>
      <c r="B4765" t="s">
        <v>902</v>
      </c>
      <c r="C4765" t="s">
        <v>1843</v>
      </c>
      <c r="D4765" t="s">
        <v>1843</v>
      </c>
      <c r="E4765" s="10">
        <v>305146</v>
      </c>
      <c r="F4765" s="12">
        <v>2.33E-4</v>
      </c>
    </row>
    <row r="4766" spans="1:6">
      <c r="A4766" s="10">
        <v>2021</v>
      </c>
      <c r="B4766" t="s">
        <v>1236</v>
      </c>
      <c r="C4766" t="s">
        <v>1844</v>
      </c>
      <c r="D4766" t="s">
        <v>1844</v>
      </c>
      <c r="E4766" s="10">
        <v>1582532</v>
      </c>
      <c r="F4766" s="12">
        <v>1.2083E-3</v>
      </c>
    </row>
    <row r="4767" spans="1:6">
      <c r="A4767" s="10">
        <v>2021</v>
      </c>
      <c r="B4767" t="s">
        <v>903</v>
      </c>
      <c r="C4767" t="s">
        <v>1845</v>
      </c>
      <c r="D4767" t="s">
        <v>1845</v>
      </c>
      <c r="E4767" s="10">
        <v>2081694</v>
      </c>
      <c r="F4767" s="12">
        <v>1.5895E-3</v>
      </c>
    </row>
    <row r="4768" spans="1:6">
      <c r="A4768" s="10">
        <v>2021</v>
      </c>
      <c r="B4768" t="s">
        <v>904</v>
      </c>
      <c r="C4768" t="s">
        <v>1846</v>
      </c>
      <c r="D4768" t="s">
        <v>1846</v>
      </c>
      <c r="E4768" s="10">
        <v>25245</v>
      </c>
      <c r="F4768" s="12">
        <v>1.9300000000000002E-5</v>
      </c>
    </row>
    <row r="4769" spans="1:6">
      <c r="A4769" s="10">
        <v>2021</v>
      </c>
      <c r="B4769" t="s">
        <v>905</v>
      </c>
      <c r="C4769" t="s">
        <v>1847</v>
      </c>
      <c r="D4769" t="s">
        <v>1847</v>
      </c>
      <c r="E4769" s="10">
        <v>40495</v>
      </c>
      <c r="F4769" s="12">
        <v>3.0899999999999999E-5</v>
      </c>
    </row>
    <row r="4770" spans="1:6">
      <c r="A4770" s="10">
        <v>2021</v>
      </c>
      <c r="B4770" t="s">
        <v>906</v>
      </c>
      <c r="C4770" t="s">
        <v>1848</v>
      </c>
      <c r="D4770" t="s">
        <v>1848</v>
      </c>
      <c r="E4770" s="10">
        <v>1690159</v>
      </c>
      <c r="F4770" s="12">
        <v>1.2905E-3</v>
      </c>
    </row>
    <row r="4771" spans="1:6">
      <c r="A4771" s="10">
        <v>2021</v>
      </c>
      <c r="B4771" t="s">
        <v>447</v>
      </c>
      <c r="C4771" t="s">
        <v>1849</v>
      </c>
      <c r="D4771" t="s">
        <v>1849</v>
      </c>
      <c r="E4771" s="10">
        <v>702485</v>
      </c>
      <c r="F4771" s="12">
        <v>5.3640000000000003E-4</v>
      </c>
    </row>
    <row r="4772" spans="1:6">
      <c r="A4772" s="10">
        <v>2021</v>
      </c>
      <c r="B4772" t="s">
        <v>1034</v>
      </c>
      <c r="C4772" t="s">
        <v>1850</v>
      </c>
      <c r="D4772" t="s">
        <v>1850</v>
      </c>
      <c r="E4772" s="10">
        <v>271763</v>
      </c>
      <c r="F4772" s="12">
        <v>2.075E-4</v>
      </c>
    </row>
    <row r="4773" spans="1:6">
      <c r="A4773" s="10">
        <v>2021</v>
      </c>
      <c r="B4773" t="s">
        <v>908</v>
      </c>
      <c r="C4773" t="s">
        <v>1851</v>
      </c>
      <c r="D4773" t="s">
        <v>1851</v>
      </c>
      <c r="E4773" s="10">
        <v>309860</v>
      </c>
      <c r="F4773" s="12">
        <v>2.366E-4</v>
      </c>
    </row>
    <row r="4774" spans="1:6">
      <c r="A4774" s="10">
        <v>2021</v>
      </c>
      <c r="B4774" t="s">
        <v>909</v>
      </c>
      <c r="C4774" t="s">
        <v>1852</v>
      </c>
      <c r="D4774" t="s">
        <v>1852</v>
      </c>
      <c r="E4774" s="10">
        <v>128790</v>
      </c>
      <c r="F4774" s="12">
        <v>9.8300000000000004E-5</v>
      </c>
    </row>
    <row r="4775" spans="1:6">
      <c r="A4775" s="10">
        <v>2021</v>
      </c>
      <c r="B4775" t="s">
        <v>910</v>
      </c>
      <c r="C4775" t="s">
        <v>1853</v>
      </c>
      <c r="D4775" t="s">
        <v>1853</v>
      </c>
      <c r="E4775" s="10">
        <v>659546</v>
      </c>
      <c r="F4775" s="12">
        <v>5.0359999999999999E-4</v>
      </c>
    </row>
    <row r="4776" spans="1:6">
      <c r="A4776" s="10">
        <v>2021</v>
      </c>
      <c r="B4776" t="s">
        <v>912</v>
      </c>
      <c r="C4776" t="s">
        <v>1854</v>
      </c>
      <c r="D4776" t="s">
        <v>2382</v>
      </c>
      <c r="E4776" s="10">
        <v>1399622</v>
      </c>
      <c r="F4776" s="12">
        <v>1.0686999999999999E-3</v>
      </c>
    </row>
    <row r="4777" spans="1:6">
      <c r="A4777" s="10">
        <v>2021</v>
      </c>
      <c r="B4777" t="s">
        <v>911</v>
      </c>
      <c r="C4777" t="s">
        <v>1855</v>
      </c>
      <c r="D4777" t="s">
        <v>1855</v>
      </c>
      <c r="E4777" s="10">
        <v>20146129</v>
      </c>
      <c r="F4777" s="12">
        <v>1.53826E-2</v>
      </c>
    </row>
    <row r="4778" spans="1:6">
      <c r="A4778" s="10">
        <v>2021</v>
      </c>
      <c r="B4778" t="s">
        <v>1237</v>
      </c>
      <c r="C4778" t="s">
        <v>1856</v>
      </c>
      <c r="D4778" t="s">
        <v>1856</v>
      </c>
      <c r="E4778" s="10">
        <v>640298</v>
      </c>
      <c r="F4778" s="12">
        <v>4.8890000000000001E-4</v>
      </c>
    </row>
    <row r="4779" spans="1:6">
      <c r="A4779" s="10">
        <v>2021</v>
      </c>
      <c r="B4779" t="s">
        <v>1474</v>
      </c>
      <c r="C4779" t="s">
        <v>1473</v>
      </c>
      <c r="D4779" t="s">
        <v>1473</v>
      </c>
      <c r="E4779" s="10"/>
    </row>
    <row r="4780" spans="1:6">
      <c r="A4780" s="10">
        <v>2021</v>
      </c>
      <c r="B4780" t="s">
        <v>913</v>
      </c>
      <c r="C4780" t="s">
        <v>1857</v>
      </c>
      <c r="D4780" t="s">
        <v>1857</v>
      </c>
      <c r="E4780" s="10">
        <v>96075</v>
      </c>
      <c r="F4780" s="12">
        <v>7.3399999999999995E-5</v>
      </c>
    </row>
    <row r="4781" spans="1:6">
      <c r="A4781" s="10">
        <v>2021</v>
      </c>
      <c r="B4781" t="s">
        <v>914</v>
      </c>
      <c r="C4781" t="s">
        <v>1858</v>
      </c>
      <c r="D4781" t="s">
        <v>1858</v>
      </c>
      <c r="E4781" s="10">
        <v>64217</v>
      </c>
      <c r="F4781" s="12">
        <v>4.8999999999999998E-5</v>
      </c>
    </row>
    <row r="4782" spans="1:6">
      <c r="A4782" s="10">
        <v>2021</v>
      </c>
      <c r="B4782" t="s">
        <v>915</v>
      </c>
      <c r="C4782" t="s">
        <v>1859</v>
      </c>
      <c r="D4782" t="s">
        <v>1859</v>
      </c>
      <c r="E4782" s="10">
        <v>1318586</v>
      </c>
      <c r="F4782" s="12">
        <v>1.0068E-3</v>
      </c>
    </row>
    <row r="4783" spans="1:6">
      <c r="A4783" s="10">
        <v>2021</v>
      </c>
      <c r="B4783" t="s">
        <v>1238</v>
      </c>
      <c r="C4783" t="s">
        <v>1860</v>
      </c>
      <c r="D4783" t="s">
        <v>1860</v>
      </c>
      <c r="E4783" s="10">
        <v>189407</v>
      </c>
      <c r="F4783" s="12">
        <v>1.4459999999999999E-4</v>
      </c>
    </row>
    <row r="4784" spans="1:6">
      <c r="A4784" s="10">
        <v>2021</v>
      </c>
      <c r="B4784" t="s">
        <v>917</v>
      </c>
      <c r="C4784" t="s">
        <v>1861</v>
      </c>
      <c r="D4784" t="s">
        <v>1861</v>
      </c>
      <c r="E4784" s="10">
        <v>64007</v>
      </c>
      <c r="F4784" s="12">
        <v>4.8900000000000003E-5</v>
      </c>
    </row>
    <row r="4785" spans="1:6">
      <c r="A4785" s="10">
        <v>2021</v>
      </c>
      <c r="B4785" t="s">
        <v>918</v>
      </c>
      <c r="C4785" t="s">
        <v>863</v>
      </c>
      <c r="D4785" t="s">
        <v>863</v>
      </c>
      <c r="E4785" s="10">
        <v>18435</v>
      </c>
      <c r="F4785" s="12">
        <v>1.4100000000000001E-5</v>
      </c>
    </row>
    <row r="4786" spans="1:6">
      <c r="A4786" s="10">
        <v>2021</v>
      </c>
      <c r="B4786" t="s">
        <v>919</v>
      </c>
      <c r="C4786" t="s">
        <v>1862</v>
      </c>
      <c r="D4786" t="s">
        <v>1862</v>
      </c>
      <c r="E4786" s="10">
        <v>140162</v>
      </c>
      <c r="F4786" s="12">
        <v>1.07E-4</v>
      </c>
    </row>
    <row r="4787" spans="1:6">
      <c r="A4787" s="10">
        <v>2021</v>
      </c>
      <c r="B4787" t="s">
        <v>1239</v>
      </c>
      <c r="C4787" t="s">
        <v>1863</v>
      </c>
      <c r="D4787" t="s">
        <v>1863</v>
      </c>
      <c r="E4787" s="10">
        <v>46074</v>
      </c>
      <c r="F4787" s="12">
        <v>3.5200000000000002E-5</v>
      </c>
    </row>
    <row r="4788" spans="1:6">
      <c r="A4788" s="10">
        <v>2021</v>
      </c>
      <c r="B4788" t="s">
        <v>1030</v>
      </c>
      <c r="C4788" t="s">
        <v>1864</v>
      </c>
      <c r="D4788" t="s">
        <v>1864</v>
      </c>
      <c r="E4788" s="10">
        <v>52167</v>
      </c>
      <c r="F4788" s="12">
        <v>3.9799999999999998E-5</v>
      </c>
    </row>
    <row r="4789" spans="1:6">
      <c r="A4789" s="10">
        <v>2021</v>
      </c>
      <c r="B4789" t="s">
        <v>921</v>
      </c>
      <c r="C4789" t="s">
        <v>1865</v>
      </c>
      <c r="D4789" t="s">
        <v>1865</v>
      </c>
      <c r="E4789" s="10">
        <v>1454476</v>
      </c>
      <c r="F4789" s="12">
        <v>1.1106E-3</v>
      </c>
    </row>
    <row r="4790" spans="1:6">
      <c r="A4790" s="10">
        <v>2021</v>
      </c>
      <c r="B4790" t="s">
        <v>1240</v>
      </c>
      <c r="C4790" t="s">
        <v>1866</v>
      </c>
      <c r="D4790" t="s">
        <v>1866</v>
      </c>
      <c r="E4790" s="10">
        <v>690471</v>
      </c>
      <c r="F4790" s="12">
        <v>5.2720000000000002E-4</v>
      </c>
    </row>
    <row r="4791" spans="1:6">
      <c r="A4791" s="10">
        <v>2021</v>
      </c>
      <c r="B4791" t="s">
        <v>922</v>
      </c>
      <c r="C4791" t="s">
        <v>1867</v>
      </c>
      <c r="D4791" t="s">
        <v>1867</v>
      </c>
      <c r="E4791" s="10">
        <v>130674</v>
      </c>
      <c r="F4791" s="12">
        <v>9.98E-5</v>
      </c>
    </row>
    <row r="4792" spans="1:6">
      <c r="A4792" s="10">
        <v>2021</v>
      </c>
      <c r="B4792" t="s">
        <v>923</v>
      </c>
      <c r="C4792" t="s">
        <v>868</v>
      </c>
      <c r="D4792" t="s">
        <v>868</v>
      </c>
      <c r="E4792" s="10">
        <v>85752</v>
      </c>
      <c r="F4792" s="12">
        <v>6.5500000000000006E-5</v>
      </c>
    </row>
    <row r="4793" spans="1:6">
      <c r="A4793" s="10">
        <v>2021</v>
      </c>
      <c r="B4793" t="s">
        <v>924</v>
      </c>
      <c r="C4793" t="s">
        <v>1868</v>
      </c>
      <c r="D4793" t="s">
        <v>1868</v>
      </c>
      <c r="E4793" s="10">
        <v>100439</v>
      </c>
      <c r="F4793" s="12">
        <v>7.6699999999999994E-5</v>
      </c>
    </row>
    <row r="4794" spans="1:6">
      <c r="A4794" s="10">
        <v>2021</v>
      </c>
      <c r="B4794" t="s">
        <v>925</v>
      </c>
      <c r="C4794" t="s">
        <v>1869</v>
      </c>
      <c r="D4794" t="s">
        <v>1869</v>
      </c>
      <c r="E4794" s="10">
        <v>4660050</v>
      </c>
      <c r="F4794" s="12">
        <v>3.5582000000000001E-3</v>
      </c>
    </row>
    <row r="4795" spans="1:6">
      <c r="A4795" s="10">
        <v>2021</v>
      </c>
      <c r="B4795" t="s">
        <v>926</v>
      </c>
      <c r="C4795" t="s">
        <v>1870</v>
      </c>
      <c r="D4795" t="s">
        <v>1870</v>
      </c>
      <c r="E4795" s="10">
        <v>20762080</v>
      </c>
      <c r="F4795" s="12">
        <v>1.5852999999999999E-2</v>
      </c>
    </row>
    <row r="4796" spans="1:6">
      <c r="A4796" s="10">
        <v>2021</v>
      </c>
      <c r="B4796" t="s">
        <v>448</v>
      </c>
      <c r="C4796" t="s">
        <v>1871</v>
      </c>
      <c r="D4796" t="s">
        <v>1871</v>
      </c>
      <c r="E4796" s="10">
        <v>6716286</v>
      </c>
      <c r="F4796" s="12">
        <v>5.1282000000000003E-3</v>
      </c>
    </row>
    <row r="4797" spans="1:6">
      <c r="A4797" s="10">
        <v>2021</v>
      </c>
      <c r="B4797" t="s">
        <v>927</v>
      </c>
      <c r="C4797" t="s">
        <v>1872</v>
      </c>
      <c r="D4797" t="s">
        <v>1872</v>
      </c>
      <c r="E4797" s="10">
        <v>5258799</v>
      </c>
      <c r="F4797" s="12">
        <v>4.0153999999999997E-3</v>
      </c>
    </row>
    <row r="4798" spans="1:6">
      <c r="A4798" s="10">
        <v>2021</v>
      </c>
      <c r="B4798" t="s">
        <v>930</v>
      </c>
      <c r="C4798" t="s">
        <v>1873</v>
      </c>
      <c r="D4798" t="s">
        <v>1873</v>
      </c>
      <c r="E4798" s="10">
        <v>48292</v>
      </c>
      <c r="F4798" s="12">
        <v>3.6900000000000002E-5</v>
      </c>
    </row>
    <row r="4799" spans="1:6">
      <c r="A4799" s="10">
        <v>2021</v>
      </c>
      <c r="B4799" t="s">
        <v>929</v>
      </c>
      <c r="C4799" t="s">
        <v>1874</v>
      </c>
      <c r="D4799" t="s">
        <v>1874</v>
      </c>
      <c r="E4799" s="10">
        <v>21322941</v>
      </c>
      <c r="F4799" s="12">
        <v>1.6281199999999999E-2</v>
      </c>
    </row>
    <row r="4800" spans="1:6">
      <c r="A4800" s="10">
        <v>2021</v>
      </c>
      <c r="B4800" t="s">
        <v>928</v>
      </c>
      <c r="C4800" t="s">
        <v>1875</v>
      </c>
      <c r="D4800" t="s">
        <v>1875</v>
      </c>
      <c r="E4800" s="10">
        <v>777064</v>
      </c>
      <c r="F4800" s="12">
        <v>5.9329999999999995E-4</v>
      </c>
    </row>
    <row r="4801" spans="1:6">
      <c r="A4801" s="10">
        <v>2021</v>
      </c>
      <c r="B4801" t="s">
        <v>931</v>
      </c>
      <c r="C4801" t="s">
        <v>1876</v>
      </c>
      <c r="D4801" t="s">
        <v>1876</v>
      </c>
      <c r="E4801" s="10">
        <v>111081</v>
      </c>
      <c r="F4801" s="12">
        <v>8.4800000000000001E-5</v>
      </c>
    </row>
    <row r="4802" spans="1:6">
      <c r="A4802" s="10">
        <v>2021</v>
      </c>
      <c r="B4802" t="s">
        <v>932</v>
      </c>
      <c r="C4802" t="s">
        <v>1877</v>
      </c>
      <c r="D4802" t="s">
        <v>1877</v>
      </c>
      <c r="E4802" s="10">
        <v>13110</v>
      </c>
      <c r="F4802" s="12">
        <v>1.0000000000000001E-5</v>
      </c>
    </row>
    <row r="4803" spans="1:6">
      <c r="A4803" s="10">
        <v>2021</v>
      </c>
      <c r="B4803" t="s">
        <v>933</v>
      </c>
      <c r="C4803" t="s">
        <v>1878</v>
      </c>
      <c r="D4803" t="s">
        <v>1878</v>
      </c>
      <c r="E4803" s="10">
        <v>17227</v>
      </c>
      <c r="F4803" s="12">
        <v>1.3200000000000001E-5</v>
      </c>
    </row>
    <row r="4804" spans="1:6">
      <c r="A4804" s="10">
        <v>2021</v>
      </c>
      <c r="B4804" t="s">
        <v>992</v>
      </c>
      <c r="C4804" t="s">
        <v>1879</v>
      </c>
      <c r="D4804" t="s">
        <v>1879</v>
      </c>
      <c r="E4804" s="10">
        <v>76379</v>
      </c>
      <c r="F4804" s="12">
        <v>5.8300000000000001E-5</v>
      </c>
    </row>
    <row r="4805" spans="1:6">
      <c r="A4805" s="10">
        <v>2021</v>
      </c>
      <c r="B4805" t="s">
        <v>934</v>
      </c>
      <c r="C4805" t="s">
        <v>1880</v>
      </c>
      <c r="D4805" t="s">
        <v>1880</v>
      </c>
      <c r="E4805" s="10">
        <v>501514</v>
      </c>
      <c r="F4805" s="12">
        <v>3.8289999999999998E-4</v>
      </c>
    </row>
    <row r="4806" spans="1:6">
      <c r="A4806" s="10">
        <v>2021</v>
      </c>
      <c r="B4806" t="s">
        <v>990</v>
      </c>
      <c r="C4806" t="s">
        <v>935</v>
      </c>
      <c r="D4806" t="s">
        <v>935</v>
      </c>
      <c r="E4806" s="10">
        <v>8082984</v>
      </c>
      <c r="F4806" s="12">
        <v>6.1717999999999999E-3</v>
      </c>
    </row>
    <row r="4807" spans="1:6">
      <c r="A4807" s="10">
        <v>2021</v>
      </c>
      <c r="B4807" t="s">
        <v>991</v>
      </c>
      <c r="C4807" t="s">
        <v>936</v>
      </c>
      <c r="D4807" t="s">
        <v>936</v>
      </c>
      <c r="E4807" s="10">
        <v>28183595</v>
      </c>
      <c r="F4807" s="12">
        <v>2.1519699999999999E-2</v>
      </c>
    </row>
    <row r="4808" spans="1:6">
      <c r="A4808" s="10">
        <v>2021</v>
      </c>
      <c r="B4808" t="s">
        <v>993</v>
      </c>
      <c r="C4808" t="s">
        <v>1881</v>
      </c>
      <c r="D4808" t="s">
        <v>1881</v>
      </c>
      <c r="E4808" s="10">
        <v>682536</v>
      </c>
      <c r="F4808" s="12">
        <v>5.2119999999999998E-4</v>
      </c>
    </row>
    <row r="4809" spans="1:6">
      <c r="A4809" s="10">
        <v>2021</v>
      </c>
      <c r="B4809" t="s">
        <v>1885</v>
      </c>
      <c r="C4809" t="s">
        <v>1882</v>
      </c>
      <c r="D4809" t="s">
        <v>1882</v>
      </c>
      <c r="E4809" s="10"/>
    </row>
    <row r="4810" spans="1:6">
      <c r="A4810" s="10">
        <v>2021</v>
      </c>
      <c r="B4810" t="s">
        <v>994</v>
      </c>
      <c r="C4810" t="s">
        <v>939</v>
      </c>
      <c r="D4810" t="s">
        <v>939</v>
      </c>
      <c r="E4810" s="10">
        <v>3710</v>
      </c>
      <c r="F4810" s="12">
        <v>2.7999999999999999E-6</v>
      </c>
    </row>
    <row r="4811" spans="1:6">
      <c r="A4811" s="10">
        <v>2021</v>
      </c>
      <c r="B4811" t="s">
        <v>995</v>
      </c>
      <c r="C4811" t="s">
        <v>2434</v>
      </c>
      <c r="D4811" t="s">
        <v>2434</v>
      </c>
      <c r="E4811" s="10">
        <v>65298</v>
      </c>
      <c r="F4811" s="12">
        <v>4.99E-5</v>
      </c>
    </row>
    <row r="4812" spans="1:6">
      <c r="A4812" s="10">
        <v>2021</v>
      </c>
      <c r="B4812" t="s">
        <v>996</v>
      </c>
      <c r="C4812" t="s">
        <v>2435</v>
      </c>
      <c r="D4812" t="s">
        <v>2435</v>
      </c>
      <c r="E4812" s="10">
        <v>40267</v>
      </c>
      <c r="F4812" s="12">
        <v>3.0700000000000001E-5</v>
      </c>
    </row>
    <row r="4813" spans="1:6">
      <c r="A4813" s="10">
        <v>2021</v>
      </c>
      <c r="B4813" t="s">
        <v>997</v>
      </c>
      <c r="C4813" t="s">
        <v>2436</v>
      </c>
      <c r="D4813" t="s">
        <v>2436</v>
      </c>
      <c r="E4813" s="10">
        <v>91172</v>
      </c>
      <c r="F4813" s="12">
        <v>6.9599999999999998E-5</v>
      </c>
    </row>
    <row r="4814" spans="1:6">
      <c r="A4814" s="10">
        <v>2021</v>
      </c>
      <c r="B4814" t="s">
        <v>999</v>
      </c>
      <c r="C4814" t="s">
        <v>1884</v>
      </c>
      <c r="D4814" t="s">
        <v>1884</v>
      </c>
      <c r="E4814" s="10">
        <v>531673</v>
      </c>
      <c r="F4814" s="12">
        <v>4.06E-4</v>
      </c>
    </row>
    <row r="4815" spans="1:6">
      <c r="A4815" s="10">
        <v>2021</v>
      </c>
      <c r="B4815" t="s">
        <v>1241</v>
      </c>
      <c r="C4815" t="s">
        <v>1886</v>
      </c>
      <c r="D4815" t="s">
        <v>1886</v>
      </c>
      <c r="E4815" s="10">
        <v>40376</v>
      </c>
      <c r="F4815" s="12">
        <v>3.0800000000000003E-5</v>
      </c>
    </row>
    <row r="4816" spans="1:6">
      <c r="A4816" s="10">
        <v>2021</v>
      </c>
      <c r="B4816" t="s">
        <v>1001</v>
      </c>
      <c r="C4816" t="s">
        <v>2433</v>
      </c>
      <c r="D4816" t="s">
        <v>2433</v>
      </c>
      <c r="E4816" s="10">
        <v>32035</v>
      </c>
      <c r="F4816" s="12">
        <v>2.4499999999999999E-5</v>
      </c>
    </row>
    <row r="4817" spans="1:6">
      <c r="A4817" s="10">
        <v>2021</v>
      </c>
      <c r="B4817" t="s">
        <v>1000</v>
      </c>
      <c r="C4817" t="s">
        <v>2384</v>
      </c>
      <c r="D4817" t="s">
        <v>2384</v>
      </c>
      <c r="E4817" s="10">
        <v>15228</v>
      </c>
      <c r="F4817" s="12">
        <v>1.1600000000000001E-5</v>
      </c>
    </row>
    <row r="4818" spans="1:6">
      <c r="A4818" s="10">
        <v>2021</v>
      </c>
      <c r="B4818" t="s">
        <v>1002</v>
      </c>
      <c r="C4818" t="s">
        <v>947</v>
      </c>
      <c r="D4818" t="s">
        <v>947</v>
      </c>
      <c r="E4818" s="10">
        <v>8690140</v>
      </c>
      <c r="F4818" s="12">
        <v>6.6353999999999996E-3</v>
      </c>
    </row>
    <row r="4819" spans="1:6">
      <c r="A4819" s="10">
        <v>2021</v>
      </c>
      <c r="B4819" t="s">
        <v>1003</v>
      </c>
      <c r="C4819" t="s">
        <v>1478</v>
      </c>
      <c r="D4819" t="s">
        <v>1478</v>
      </c>
      <c r="E4819" s="10">
        <v>34078</v>
      </c>
      <c r="F4819" s="12">
        <v>2.5999999999999998E-5</v>
      </c>
    </row>
    <row r="4820" spans="1:6">
      <c r="A4820" s="10">
        <v>2021</v>
      </c>
      <c r="B4820" t="s">
        <v>1004</v>
      </c>
      <c r="C4820" t="s">
        <v>949</v>
      </c>
      <c r="D4820" t="s">
        <v>949</v>
      </c>
      <c r="E4820" s="10">
        <v>387055</v>
      </c>
      <c r="F4820" s="12">
        <v>2.9550000000000003E-4</v>
      </c>
    </row>
    <row r="4821" spans="1:6">
      <c r="A4821" s="10">
        <v>2021</v>
      </c>
      <c r="B4821" t="s">
        <v>1005</v>
      </c>
      <c r="C4821" t="s">
        <v>1888</v>
      </c>
      <c r="D4821" t="s">
        <v>1888</v>
      </c>
      <c r="E4821" s="10">
        <v>114443</v>
      </c>
      <c r="F4821" s="12">
        <v>8.7399999999999997E-5</v>
      </c>
    </row>
    <row r="4822" spans="1:6">
      <c r="A4822" s="10">
        <v>2021</v>
      </c>
      <c r="B4822" t="s">
        <v>1006</v>
      </c>
      <c r="C4822" t="s">
        <v>1889</v>
      </c>
      <c r="D4822" t="s">
        <v>1889</v>
      </c>
      <c r="E4822" s="10">
        <v>211947</v>
      </c>
      <c r="F4822" s="12">
        <v>1.618E-4</v>
      </c>
    </row>
    <row r="4823" spans="1:6">
      <c r="A4823" s="10">
        <v>2021</v>
      </c>
      <c r="B4823" t="s">
        <v>1007</v>
      </c>
      <c r="C4823" t="s">
        <v>1890</v>
      </c>
      <c r="D4823" t="s">
        <v>1890</v>
      </c>
      <c r="E4823" s="10">
        <v>23305</v>
      </c>
      <c r="F4823" s="12">
        <v>1.7799999999999999E-5</v>
      </c>
    </row>
    <row r="4824" spans="1:6">
      <c r="A4824" s="10">
        <v>2021</v>
      </c>
      <c r="B4824" t="s">
        <v>1008</v>
      </c>
      <c r="C4824" t="s">
        <v>2286</v>
      </c>
      <c r="D4824" t="s">
        <v>2286</v>
      </c>
      <c r="E4824" s="10">
        <v>134938</v>
      </c>
      <c r="F4824" s="12">
        <v>1.03E-4</v>
      </c>
    </row>
    <row r="4825" spans="1:6">
      <c r="A4825" s="10">
        <v>2021</v>
      </c>
      <c r="B4825" t="s">
        <v>1009</v>
      </c>
      <c r="C4825" t="s">
        <v>1892</v>
      </c>
      <c r="D4825" t="s">
        <v>1892</v>
      </c>
      <c r="E4825" s="10">
        <v>28911</v>
      </c>
      <c r="F4825" s="12">
        <v>2.2099999999999998E-5</v>
      </c>
    </row>
    <row r="4826" spans="1:6">
      <c r="A4826" s="10">
        <v>2021</v>
      </c>
      <c r="B4826" t="s">
        <v>1010</v>
      </c>
      <c r="C4826" t="s">
        <v>1893</v>
      </c>
      <c r="D4826" t="s">
        <v>1893</v>
      </c>
      <c r="E4826" s="10">
        <v>114048</v>
      </c>
      <c r="F4826" s="12">
        <v>8.7100000000000003E-5</v>
      </c>
    </row>
    <row r="4827" spans="1:6">
      <c r="A4827" s="10">
        <v>2021</v>
      </c>
      <c r="B4827" t="s">
        <v>1242</v>
      </c>
      <c r="C4827" t="s">
        <v>1894</v>
      </c>
      <c r="D4827" t="s">
        <v>1894</v>
      </c>
      <c r="E4827" s="10">
        <v>224358</v>
      </c>
      <c r="F4827" s="12">
        <v>1.7129999999999999E-4</v>
      </c>
    </row>
    <row r="4828" spans="1:6">
      <c r="A4828" s="10">
        <v>2021</v>
      </c>
      <c r="B4828" t="s">
        <v>1011</v>
      </c>
      <c r="C4828" t="s">
        <v>2288</v>
      </c>
      <c r="D4828" t="s">
        <v>2288</v>
      </c>
      <c r="E4828" s="10">
        <v>14416</v>
      </c>
      <c r="F4828" s="12">
        <v>1.1E-5</v>
      </c>
    </row>
    <row r="4829" spans="1:6">
      <c r="A4829" s="10">
        <v>2021</v>
      </c>
      <c r="B4829" t="s">
        <v>1012</v>
      </c>
      <c r="C4829" t="s">
        <v>957</v>
      </c>
      <c r="D4829" t="s">
        <v>957</v>
      </c>
      <c r="E4829" s="10">
        <v>103101</v>
      </c>
      <c r="F4829" s="12">
        <v>7.8700000000000002E-5</v>
      </c>
    </row>
    <row r="4830" spans="1:6">
      <c r="A4830" s="10">
        <v>2021</v>
      </c>
      <c r="B4830" t="s">
        <v>1013</v>
      </c>
      <c r="C4830" t="s">
        <v>2408</v>
      </c>
      <c r="D4830" t="s">
        <v>2408</v>
      </c>
      <c r="E4830" s="10">
        <v>1116379</v>
      </c>
      <c r="F4830" s="12">
        <v>8.5240000000000001E-4</v>
      </c>
    </row>
    <row r="4831" spans="1:6">
      <c r="A4831" s="10">
        <v>2021</v>
      </c>
      <c r="B4831" t="s">
        <v>1016</v>
      </c>
      <c r="C4831" t="s">
        <v>1897</v>
      </c>
      <c r="D4831" t="s">
        <v>1897</v>
      </c>
      <c r="E4831" s="10">
        <v>395302</v>
      </c>
      <c r="F4831" s="12">
        <v>3.0180000000000002E-4</v>
      </c>
    </row>
    <row r="4832" spans="1:6">
      <c r="A4832" s="10">
        <v>2021</v>
      </c>
      <c r="B4832" t="s">
        <v>1017</v>
      </c>
      <c r="C4832" t="s">
        <v>1898</v>
      </c>
      <c r="D4832" t="s">
        <v>1898</v>
      </c>
      <c r="E4832" s="10">
        <v>79415</v>
      </c>
      <c r="F4832" s="12">
        <v>6.0600000000000003E-5</v>
      </c>
    </row>
    <row r="4833" spans="1:6">
      <c r="A4833" s="10">
        <v>2021</v>
      </c>
      <c r="B4833" t="s">
        <v>1018</v>
      </c>
      <c r="C4833" t="s">
        <v>1899</v>
      </c>
      <c r="D4833" t="s">
        <v>1899</v>
      </c>
      <c r="E4833" s="10">
        <v>42461</v>
      </c>
      <c r="F4833" s="12">
        <v>3.2400000000000001E-5</v>
      </c>
    </row>
    <row r="4834" spans="1:6">
      <c r="A4834" s="10">
        <v>2021</v>
      </c>
      <c r="B4834" t="s">
        <v>1020</v>
      </c>
      <c r="C4834" t="s">
        <v>1900</v>
      </c>
      <c r="D4834" t="s">
        <v>1900</v>
      </c>
      <c r="E4834" s="10">
        <v>2222063</v>
      </c>
      <c r="F4834" s="12">
        <v>1.6967E-3</v>
      </c>
    </row>
    <row r="4835" spans="1:6">
      <c r="A4835" s="10">
        <v>2021</v>
      </c>
      <c r="B4835" t="s">
        <v>1019</v>
      </c>
      <c r="C4835" t="s">
        <v>1901</v>
      </c>
      <c r="D4835" t="s">
        <v>1901</v>
      </c>
      <c r="E4835" s="10">
        <v>55371</v>
      </c>
      <c r="F4835" s="12">
        <v>4.2299999999999998E-5</v>
      </c>
    </row>
    <row r="4836" spans="1:6">
      <c r="A4836" s="10">
        <v>2021</v>
      </c>
      <c r="B4836" t="s">
        <v>1021</v>
      </c>
      <c r="C4836" t="s">
        <v>1902</v>
      </c>
      <c r="D4836" t="s">
        <v>1902</v>
      </c>
      <c r="E4836" s="10">
        <v>43823</v>
      </c>
      <c r="F4836" s="12">
        <v>3.3500000000000001E-5</v>
      </c>
    </row>
    <row r="4837" spans="1:6">
      <c r="A4837" s="10">
        <v>2021</v>
      </c>
      <c r="B4837" t="s">
        <v>449</v>
      </c>
      <c r="C4837" t="s">
        <v>1903</v>
      </c>
      <c r="D4837" t="s">
        <v>1903</v>
      </c>
      <c r="E4837" s="10">
        <v>2477223</v>
      </c>
      <c r="F4837" s="12">
        <v>1.8915E-3</v>
      </c>
    </row>
    <row r="4838" spans="1:6">
      <c r="A4838" s="10">
        <v>2021</v>
      </c>
      <c r="B4838" t="s">
        <v>1022</v>
      </c>
      <c r="C4838" t="s">
        <v>1904</v>
      </c>
      <c r="D4838" t="s">
        <v>1904</v>
      </c>
      <c r="E4838" s="10">
        <v>192861</v>
      </c>
      <c r="F4838" s="12">
        <v>1.473E-4</v>
      </c>
    </row>
    <row r="4839" spans="1:6">
      <c r="A4839" s="10">
        <v>2021</v>
      </c>
      <c r="B4839" t="s">
        <v>1023</v>
      </c>
      <c r="C4839" t="s">
        <v>1905</v>
      </c>
      <c r="D4839" t="s">
        <v>1905</v>
      </c>
      <c r="E4839" s="10">
        <v>763553</v>
      </c>
      <c r="F4839" s="12">
        <v>5.8299999999999997E-4</v>
      </c>
    </row>
    <row r="4840" spans="1:6">
      <c r="A4840" s="10">
        <v>2021</v>
      </c>
      <c r="B4840" t="s">
        <v>1024</v>
      </c>
      <c r="C4840" t="s">
        <v>969</v>
      </c>
      <c r="D4840" t="s">
        <v>969</v>
      </c>
      <c r="E4840" s="10">
        <v>97552</v>
      </c>
      <c r="F4840" s="12">
        <v>7.4499999999999995E-5</v>
      </c>
    </row>
    <row r="4841" spans="1:6">
      <c r="A4841" s="10">
        <v>2021</v>
      </c>
      <c r="B4841" t="s">
        <v>1025</v>
      </c>
      <c r="C4841" t="s">
        <v>1906</v>
      </c>
      <c r="D4841" t="s">
        <v>1906</v>
      </c>
      <c r="E4841" s="10">
        <v>113532</v>
      </c>
      <c r="F4841" s="12">
        <v>8.6700000000000007E-5</v>
      </c>
    </row>
    <row r="4842" spans="1:6">
      <c r="A4842" s="10">
        <v>2021</v>
      </c>
      <c r="B4842" t="s">
        <v>1026</v>
      </c>
      <c r="C4842" t="s">
        <v>1907</v>
      </c>
      <c r="D4842" t="s">
        <v>1907</v>
      </c>
      <c r="E4842" s="10">
        <v>6061784</v>
      </c>
      <c r="F4842" s="12">
        <v>4.6284999999999998E-3</v>
      </c>
    </row>
    <row r="4843" spans="1:6">
      <c r="A4843" s="10">
        <v>2021</v>
      </c>
      <c r="B4843" t="s">
        <v>1243</v>
      </c>
      <c r="C4843" t="s">
        <v>1908</v>
      </c>
      <c r="D4843" t="s">
        <v>1908</v>
      </c>
      <c r="E4843" s="10">
        <v>2213799</v>
      </c>
      <c r="F4843" s="12">
        <v>1.6904000000000001E-3</v>
      </c>
    </row>
    <row r="4844" spans="1:6">
      <c r="A4844" s="10">
        <v>2021</v>
      </c>
      <c r="B4844" t="s">
        <v>1027</v>
      </c>
      <c r="C4844" t="s">
        <v>1909</v>
      </c>
      <c r="D4844" t="s">
        <v>1909</v>
      </c>
      <c r="E4844" s="10">
        <v>20772</v>
      </c>
      <c r="F4844" s="12">
        <v>1.59E-5</v>
      </c>
    </row>
    <row r="4845" spans="1:6">
      <c r="A4845" s="10">
        <v>2021</v>
      </c>
      <c r="B4845" t="s">
        <v>1028</v>
      </c>
      <c r="C4845" t="s">
        <v>973</v>
      </c>
      <c r="D4845" t="s">
        <v>973</v>
      </c>
      <c r="E4845" s="10">
        <v>10592</v>
      </c>
      <c r="F4845" s="12">
        <v>8.1000000000000004E-6</v>
      </c>
    </row>
    <row r="4846" spans="1:6">
      <c r="A4846" s="10">
        <v>2021</v>
      </c>
      <c r="B4846" t="s">
        <v>1029</v>
      </c>
      <c r="C4846" t="s">
        <v>2409</v>
      </c>
      <c r="D4846" t="s">
        <v>2409</v>
      </c>
      <c r="E4846" s="10">
        <v>254046</v>
      </c>
      <c r="F4846" s="12">
        <v>1.94E-4</v>
      </c>
    </row>
    <row r="4847" spans="1:6">
      <c r="A4847" s="10">
        <v>2021</v>
      </c>
      <c r="B4847" t="s">
        <v>1031</v>
      </c>
      <c r="C4847" t="s">
        <v>1911</v>
      </c>
      <c r="D4847" t="s">
        <v>1911</v>
      </c>
      <c r="E4847" s="10">
        <v>516715</v>
      </c>
      <c r="F4847" s="12">
        <v>3.9449999999999999E-4</v>
      </c>
    </row>
    <row r="4848" spans="1:6">
      <c r="A4848" s="10">
        <v>2021</v>
      </c>
      <c r="B4848" t="s">
        <v>1032</v>
      </c>
      <c r="C4848" t="s">
        <v>1912</v>
      </c>
      <c r="D4848" t="s">
        <v>1912</v>
      </c>
      <c r="E4848" s="10">
        <v>226405</v>
      </c>
      <c r="F4848" s="12">
        <v>1.729E-4</v>
      </c>
    </row>
    <row r="4849" spans="1:6">
      <c r="A4849" s="10">
        <v>2021</v>
      </c>
      <c r="B4849" t="s">
        <v>920</v>
      </c>
      <c r="C4849" t="s">
        <v>1914</v>
      </c>
      <c r="D4849" t="s">
        <v>1914</v>
      </c>
      <c r="E4849" s="10"/>
    </row>
    <row r="4850" spans="1:6">
      <c r="A4850" s="10">
        <v>2021</v>
      </c>
      <c r="B4850" t="s">
        <v>1037</v>
      </c>
      <c r="C4850" t="s">
        <v>1915</v>
      </c>
      <c r="D4850" t="s">
        <v>1915</v>
      </c>
      <c r="E4850" s="10">
        <v>47605</v>
      </c>
      <c r="F4850" s="12">
        <v>3.6300000000000001E-5</v>
      </c>
    </row>
    <row r="4851" spans="1:6">
      <c r="A4851" s="10">
        <v>2021</v>
      </c>
      <c r="B4851" t="s">
        <v>1038</v>
      </c>
      <c r="C4851" t="s">
        <v>1916</v>
      </c>
      <c r="D4851" t="s">
        <v>1916</v>
      </c>
      <c r="E4851" s="10">
        <v>694654</v>
      </c>
      <c r="F4851" s="12">
        <v>5.3039999999999999E-4</v>
      </c>
    </row>
    <row r="4852" spans="1:6">
      <c r="A4852" s="10">
        <v>2021</v>
      </c>
      <c r="B4852" t="s">
        <v>1039</v>
      </c>
      <c r="C4852" t="s">
        <v>1917</v>
      </c>
      <c r="D4852" t="s">
        <v>1917</v>
      </c>
      <c r="E4852" s="10">
        <v>6517451</v>
      </c>
      <c r="F4852" s="12">
        <v>4.9763999999999997E-3</v>
      </c>
    </row>
    <row r="4853" spans="1:6">
      <c r="A4853" s="10">
        <v>2021</v>
      </c>
      <c r="B4853" t="s">
        <v>1040</v>
      </c>
      <c r="C4853" t="s">
        <v>985</v>
      </c>
      <c r="D4853" t="s">
        <v>985</v>
      </c>
      <c r="E4853" s="10">
        <v>189963</v>
      </c>
      <c r="F4853" s="12">
        <v>1.45E-4</v>
      </c>
    </row>
    <row r="4854" spans="1:6">
      <c r="A4854" s="10">
        <v>2021</v>
      </c>
      <c r="B4854" t="s">
        <v>998</v>
      </c>
      <c r="C4854" t="s">
        <v>1918</v>
      </c>
      <c r="D4854" t="s">
        <v>1918</v>
      </c>
      <c r="E4854" s="10">
        <v>49352</v>
      </c>
      <c r="F4854" s="12">
        <v>3.7700000000000002E-5</v>
      </c>
    </row>
    <row r="4855" spans="1:6">
      <c r="A4855" s="10">
        <v>2021</v>
      </c>
      <c r="B4855" t="s">
        <v>1041</v>
      </c>
      <c r="C4855" t="s">
        <v>1919</v>
      </c>
      <c r="D4855" t="s">
        <v>1919</v>
      </c>
      <c r="E4855" s="10">
        <v>801291</v>
      </c>
      <c r="F4855" s="12">
        <v>6.1180000000000002E-4</v>
      </c>
    </row>
    <row r="4856" spans="1:6">
      <c r="A4856" s="10">
        <v>2021</v>
      </c>
      <c r="B4856" t="s">
        <v>1042</v>
      </c>
      <c r="C4856" t="s">
        <v>2296</v>
      </c>
      <c r="D4856" t="s">
        <v>2296</v>
      </c>
      <c r="E4856" s="10">
        <v>11650</v>
      </c>
      <c r="F4856" s="12">
        <v>8.8999999999999995E-6</v>
      </c>
    </row>
    <row r="4857" spans="1:6">
      <c r="A4857" s="10">
        <v>2021</v>
      </c>
      <c r="B4857" t="s">
        <v>1043</v>
      </c>
      <c r="C4857" t="s">
        <v>1921</v>
      </c>
      <c r="D4857" t="s">
        <v>1921</v>
      </c>
      <c r="E4857" s="10">
        <v>573870</v>
      </c>
      <c r="F4857" s="12">
        <v>4.3820000000000003E-4</v>
      </c>
    </row>
    <row r="4858" spans="1:6">
      <c r="A4858" s="10">
        <v>2021</v>
      </c>
      <c r="B4858" t="s">
        <v>1044</v>
      </c>
      <c r="C4858" t="s">
        <v>1922</v>
      </c>
      <c r="D4858" t="s">
        <v>1922</v>
      </c>
      <c r="E4858" s="10">
        <v>1371761</v>
      </c>
      <c r="F4858" s="12">
        <v>1.0474E-3</v>
      </c>
    </row>
    <row r="4859" spans="1:6">
      <c r="A4859" s="10">
        <v>2021</v>
      </c>
      <c r="B4859" t="s">
        <v>1100</v>
      </c>
      <c r="C4859" t="s">
        <v>1923</v>
      </c>
      <c r="D4859" t="s">
        <v>1923</v>
      </c>
      <c r="E4859" s="10">
        <v>1736707</v>
      </c>
      <c r="F4859" s="12">
        <v>1.3261E-3</v>
      </c>
    </row>
    <row r="4860" spans="1:6">
      <c r="A4860" s="10">
        <v>2021</v>
      </c>
      <c r="B4860" t="s">
        <v>450</v>
      </c>
      <c r="C4860" t="s">
        <v>1924</v>
      </c>
      <c r="D4860" t="s">
        <v>1924</v>
      </c>
      <c r="E4860" s="10">
        <v>727184</v>
      </c>
      <c r="F4860" s="12">
        <v>5.5520000000000005E-4</v>
      </c>
    </row>
    <row r="4861" spans="1:6">
      <c r="A4861" s="10">
        <v>2021</v>
      </c>
      <c r="B4861" t="s">
        <v>1101</v>
      </c>
      <c r="C4861" t="s">
        <v>1925</v>
      </c>
      <c r="D4861" t="s">
        <v>1925</v>
      </c>
      <c r="E4861" s="10">
        <v>3992034</v>
      </c>
      <c r="F4861" s="12">
        <v>3.0481000000000002E-3</v>
      </c>
    </row>
    <row r="4862" spans="1:6">
      <c r="A4862" s="10">
        <v>2021</v>
      </c>
      <c r="B4862" t="s">
        <v>1244</v>
      </c>
      <c r="C4862" t="s">
        <v>1926</v>
      </c>
      <c r="D4862" t="s">
        <v>1926</v>
      </c>
      <c r="E4862" s="10">
        <v>762438</v>
      </c>
      <c r="F4862" s="12">
        <v>5.8219999999999995E-4</v>
      </c>
    </row>
    <row r="4863" spans="1:6">
      <c r="A4863" s="10">
        <v>2021</v>
      </c>
      <c r="B4863" t="s">
        <v>1102</v>
      </c>
      <c r="C4863" t="s">
        <v>1927</v>
      </c>
      <c r="D4863" t="s">
        <v>2386</v>
      </c>
      <c r="E4863" s="10">
        <v>80945</v>
      </c>
      <c r="F4863" s="12">
        <v>6.1799999999999998E-5</v>
      </c>
    </row>
    <row r="4864" spans="1:6">
      <c r="A4864" s="10">
        <v>2021</v>
      </c>
      <c r="B4864" t="s">
        <v>1134</v>
      </c>
      <c r="C4864" t="s">
        <v>1928</v>
      </c>
      <c r="D4864" t="s">
        <v>1928</v>
      </c>
      <c r="E4864" s="10">
        <v>131368</v>
      </c>
      <c r="F4864" s="12">
        <v>1.003E-4</v>
      </c>
    </row>
    <row r="4865" spans="1:6">
      <c r="A4865" s="10">
        <v>2021</v>
      </c>
      <c r="B4865" t="s">
        <v>1103</v>
      </c>
      <c r="C4865" t="s">
        <v>1929</v>
      </c>
      <c r="D4865" t="s">
        <v>1929</v>
      </c>
      <c r="E4865" s="10">
        <v>151910</v>
      </c>
      <c r="F4865" s="12">
        <v>1.16E-4</v>
      </c>
    </row>
    <row r="4866" spans="1:6">
      <c r="A4866" s="10">
        <v>2021</v>
      </c>
      <c r="B4866" t="s">
        <v>1104</v>
      </c>
      <c r="C4866" t="s">
        <v>1930</v>
      </c>
      <c r="D4866" t="s">
        <v>1930</v>
      </c>
      <c r="E4866" s="10">
        <v>1367662</v>
      </c>
      <c r="F4866" s="12">
        <v>1.0443E-3</v>
      </c>
    </row>
    <row r="4867" spans="1:6">
      <c r="A4867" s="10">
        <v>2021</v>
      </c>
      <c r="B4867" t="s">
        <v>1105</v>
      </c>
      <c r="C4867" t="s">
        <v>1931</v>
      </c>
      <c r="D4867" t="s">
        <v>1931</v>
      </c>
      <c r="E4867" s="10">
        <v>16471</v>
      </c>
      <c r="F4867" s="12">
        <v>1.26E-5</v>
      </c>
    </row>
    <row r="4868" spans="1:6">
      <c r="A4868" s="10">
        <v>2021</v>
      </c>
      <c r="B4868" t="s">
        <v>451</v>
      </c>
      <c r="C4868" t="s">
        <v>1932</v>
      </c>
      <c r="D4868" t="s">
        <v>1932</v>
      </c>
      <c r="E4868" s="10">
        <v>897980</v>
      </c>
      <c r="F4868" s="12">
        <v>6.8570000000000002E-4</v>
      </c>
    </row>
    <row r="4869" spans="1:6">
      <c r="A4869" s="10">
        <v>2021</v>
      </c>
      <c r="B4869" t="s">
        <v>1106</v>
      </c>
      <c r="C4869" t="s">
        <v>1933</v>
      </c>
      <c r="D4869" t="s">
        <v>1933</v>
      </c>
      <c r="E4869" s="10">
        <v>128341</v>
      </c>
      <c r="F4869" s="12">
        <v>9.7999999999999997E-5</v>
      </c>
    </row>
    <row r="4870" spans="1:6">
      <c r="A4870" s="10">
        <v>2021</v>
      </c>
      <c r="B4870" t="s">
        <v>1107</v>
      </c>
      <c r="C4870" t="s">
        <v>1934</v>
      </c>
      <c r="D4870" t="s">
        <v>1934</v>
      </c>
      <c r="E4870" s="10">
        <v>609397</v>
      </c>
      <c r="F4870" s="12">
        <v>4.6529999999999998E-4</v>
      </c>
    </row>
    <row r="4871" spans="1:6">
      <c r="A4871" s="10">
        <v>2021</v>
      </c>
      <c r="B4871" t="s">
        <v>1108</v>
      </c>
      <c r="C4871" t="s">
        <v>1053</v>
      </c>
      <c r="D4871" t="s">
        <v>1053</v>
      </c>
      <c r="E4871" s="10">
        <v>1147204</v>
      </c>
      <c r="F4871" s="12">
        <v>8.7600000000000004E-4</v>
      </c>
    </row>
    <row r="4872" spans="1:6">
      <c r="A4872" s="10">
        <v>2021</v>
      </c>
      <c r="B4872" t="s">
        <v>2390</v>
      </c>
      <c r="C4872" t="s">
        <v>2387</v>
      </c>
      <c r="D4872" t="s">
        <v>2416</v>
      </c>
      <c r="E4872" s="10">
        <v>29376</v>
      </c>
      <c r="F4872" s="12">
        <v>2.2399999999999999E-5</v>
      </c>
    </row>
    <row r="4873" spans="1:6">
      <c r="A4873" s="10">
        <v>2021</v>
      </c>
      <c r="B4873" t="s">
        <v>1110</v>
      </c>
      <c r="C4873" t="s">
        <v>2410</v>
      </c>
      <c r="D4873" t="s">
        <v>2410</v>
      </c>
      <c r="E4873" s="10">
        <v>1858721</v>
      </c>
      <c r="F4873" s="12">
        <v>1.4192E-3</v>
      </c>
    </row>
    <row r="4874" spans="1:6">
      <c r="A4874" s="10">
        <v>2021</v>
      </c>
      <c r="B4874" t="s">
        <v>1109</v>
      </c>
      <c r="C4874" t="s">
        <v>1936</v>
      </c>
      <c r="D4874" t="s">
        <v>1936</v>
      </c>
      <c r="E4874" s="10">
        <v>253689</v>
      </c>
      <c r="F4874" s="12">
        <v>1.9369999999999999E-4</v>
      </c>
    </row>
    <row r="4875" spans="1:6">
      <c r="A4875" s="10">
        <v>2021</v>
      </c>
      <c r="B4875" t="s">
        <v>1111</v>
      </c>
      <c r="C4875" t="s">
        <v>1937</v>
      </c>
      <c r="D4875" t="s">
        <v>1937</v>
      </c>
      <c r="E4875" s="10">
        <v>27873</v>
      </c>
      <c r="F4875" s="12">
        <v>2.1299999999999999E-5</v>
      </c>
    </row>
    <row r="4876" spans="1:6">
      <c r="A4876" s="10">
        <v>2021</v>
      </c>
      <c r="B4876" t="s">
        <v>1112</v>
      </c>
      <c r="C4876" t="s">
        <v>1938</v>
      </c>
      <c r="D4876" t="s">
        <v>1938</v>
      </c>
      <c r="E4876" s="10">
        <v>15292543</v>
      </c>
      <c r="F4876" s="12">
        <v>1.16767E-2</v>
      </c>
    </row>
    <row r="4877" spans="1:6">
      <c r="A4877" s="10">
        <v>2021</v>
      </c>
      <c r="B4877" t="s">
        <v>452</v>
      </c>
      <c r="C4877" t="s">
        <v>1939</v>
      </c>
      <c r="D4877" t="s">
        <v>1939</v>
      </c>
      <c r="E4877" s="10">
        <v>13219652</v>
      </c>
      <c r="F4877" s="12">
        <v>1.0093899999999999E-2</v>
      </c>
    </row>
    <row r="4878" spans="1:6">
      <c r="A4878" s="10">
        <v>2021</v>
      </c>
      <c r="B4878" t="s">
        <v>1113</v>
      </c>
      <c r="C4878" t="s">
        <v>1058</v>
      </c>
      <c r="D4878" t="s">
        <v>1058</v>
      </c>
      <c r="E4878" s="10">
        <v>75969</v>
      </c>
      <c r="F4878" s="12">
        <v>5.8E-5</v>
      </c>
    </row>
    <row r="4879" spans="1:6">
      <c r="A4879" s="10">
        <v>2021</v>
      </c>
      <c r="B4879" t="s">
        <v>1481</v>
      </c>
      <c r="C4879" t="s">
        <v>1479</v>
      </c>
      <c r="D4879" t="s">
        <v>1479</v>
      </c>
      <c r="E4879" s="10">
        <v>121663</v>
      </c>
      <c r="F4879" s="12">
        <v>9.2899999999999995E-5</v>
      </c>
    </row>
    <row r="4880" spans="1:6">
      <c r="A4880" s="10">
        <v>2021</v>
      </c>
      <c r="B4880" t="s">
        <v>453</v>
      </c>
      <c r="C4880" t="s">
        <v>1940</v>
      </c>
      <c r="D4880" t="s">
        <v>1940</v>
      </c>
      <c r="E4880" s="10">
        <v>784230</v>
      </c>
      <c r="F4880" s="12">
        <v>5.9880000000000003E-4</v>
      </c>
    </row>
    <row r="4881" spans="1:6">
      <c r="A4881" s="10">
        <v>2021</v>
      </c>
      <c r="B4881" t="s">
        <v>1115</v>
      </c>
      <c r="C4881" t="s">
        <v>1941</v>
      </c>
      <c r="D4881" t="s">
        <v>1941</v>
      </c>
      <c r="E4881" s="10">
        <v>58110</v>
      </c>
      <c r="F4881" s="12">
        <v>4.4400000000000002E-5</v>
      </c>
    </row>
    <row r="4882" spans="1:6">
      <c r="A4882" s="10">
        <v>2021</v>
      </c>
      <c r="B4882" t="s">
        <v>1114</v>
      </c>
      <c r="C4882" t="s">
        <v>1942</v>
      </c>
      <c r="D4882" t="s">
        <v>1942</v>
      </c>
      <c r="E4882" s="10">
        <v>476931</v>
      </c>
      <c r="F4882" s="12">
        <v>3.6420000000000002E-4</v>
      </c>
    </row>
    <row r="4883" spans="1:6">
      <c r="A4883" s="10">
        <v>2021</v>
      </c>
      <c r="B4883" t="s">
        <v>1116</v>
      </c>
      <c r="C4883" t="s">
        <v>2388</v>
      </c>
      <c r="D4883" t="s">
        <v>2388</v>
      </c>
      <c r="E4883" s="10">
        <v>100334</v>
      </c>
      <c r="F4883" s="12">
        <v>7.6600000000000005E-5</v>
      </c>
    </row>
    <row r="4884" spans="1:6">
      <c r="A4884" s="10">
        <v>2021</v>
      </c>
      <c r="B4884" t="s">
        <v>1117</v>
      </c>
      <c r="C4884" t="s">
        <v>1944</v>
      </c>
      <c r="D4884" t="s">
        <v>1944</v>
      </c>
      <c r="E4884" s="10">
        <v>151960</v>
      </c>
      <c r="F4884" s="12">
        <v>1.16E-4</v>
      </c>
    </row>
    <row r="4885" spans="1:6">
      <c r="A4885" s="10">
        <v>2021</v>
      </c>
      <c r="B4885" t="s">
        <v>1118</v>
      </c>
      <c r="C4885" t="s">
        <v>2411</v>
      </c>
      <c r="D4885" t="s">
        <v>2411</v>
      </c>
      <c r="E4885" s="10">
        <v>52176</v>
      </c>
      <c r="F4885" s="12">
        <v>3.9799999999999998E-5</v>
      </c>
    </row>
    <row r="4886" spans="1:6">
      <c r="A4886" s="10">
        <v>2021</v>
      </c>
      <c r="B4886" t="s">
        <v>1119</v>
      </c>
      <c r="C4886" t="s">
        <v>2412</v>
      </c>
      <c r="D4886" t="s">
        <v>2412</v>
      </c>
      <c r="E4886" s="10">
        <v>1280988</v>
      </c>
      <c r="F4886" s="12">
        <v>9.7809999999999998E-4</v>
      </c>
    </row>
    <row r="4887" spans="1:6">
      <c r="A4887" s="10">
        <v>2021</v>
      </c>
      <c r="B4887" t="s">
        <v>454</v>
      </c>
      <c r="C4887" t="s">
        <v>1947</v>
      </c>
      <c r="D4887" t="s">
        <v>1947</v>
      </c>
      <c r="E4887" s="10">
        <v>702988</v>
      </c>
      <c r="F4887" s="12">
        <v>5.3680000000000004E-4</v>
      </c>
    </row>
    <row r="4888" spans="1:6">
      <c r="A4888" s="10">
        <v>2021</v>
      </c>
      <c r="B4888" t="s">
        <v>1121</v>
      </c>
      <c r="C4888" t="s">
        <v>1949</v>
      </c>
      <c r="D4888" t="s">
        <v>1949</v>
      </c>
      <c r="E4888" s="10">
        <v>2970168</v>
      </c>
      <c r="F4888" s="12">
        <v>2.2679000000000002E-3</v>
      </c>
    </row>
    <row r="4889" spans="1:6">
      <c r="A4889" s="10">
        <v>2021</v>
      </c>
      <c r="B4889" t="s">
        <v>455</v>
      </c>
      <c r="C4889" t="s">
        <v>1950</v>
      </c>
      <c r="D4889" t="s">
        <v>1950</v>
      </c>
      <c r="E4889" s="10">
        <v>1476579</v>
      </c>
      <c r="F4889" s="12">
        <v>1.1274E-3</v>
      </c>
    </row>
    <row r="4890" spans="1:6">
      <c r="A4890" s="10">
        <v>2021</v>
      </c>
      <c r="B4890" t="s">
        <v>1122</v>
      </c>
      <c r="C4890" t="s">
        <v>1951</v>
      </c>
      <c r="D4890" t="s">
        <v>1951</v>
      </c>
      <c r="E4890" s="10">
        <v>36199</v>
      </c>
      <c r="F4890" s="12">
        <v>2.76E-5</v>
      </c>
    </row>
    <row r="4891" spans="1:6">
      <c r="A4891" s="10">
        <v>2021</v>
      </c>
      <c r="B4891" t="s">
        <v>1123</v>
      </c>
      <c r="C4891" t="s">
        <v>1952</v>
      </c>
      <c r="D4891" t="s">
        <v>1952</v>
      </c>
      <c r="E4891" s="10">
        <v>76937</v>
      </c>
      <c r="F4891" s="12">
        <v>5.8699999999999997E-5</v>
      </c>
    </row>
    <row r="4892" spans="1:6">
      <c r="A4892" s="10">
        <v>2021</v>
      </c>
      <c r="B4892" t="s">
        <v>1124</v>
      </c>
      <c r="C4892" t="s">
        <v>1953</v>
      </c>
      <c r="D4892" t="s">
        <v>1953</v>
      </c>
      <c r="E4892" s="10">
        <v>135900</v>
      </c>
      <c r="F4892" s="12">
        <v>1.038E-4</v>
      </c>
    </row>
    <row r="4893" spans="1:6">
      <c r="A4893" s="10">
        <v>2021</v>
      </c>
      <c r="B4893" t="s">
        <v>1125</v>
      </c>
      <c r="C4893" t="s">
        <v>1954</v>
      </c>
      <c r="D4893" t="s">
        <v>1954</v>
      </c>
      <c r="E4893" s="10">
        <v>1291003</v>
      </c>
      <c r="F4893" s="12">
        <v>9.8569999999999994E-4</v>
      </c>
    </row>
    <row r="4894" spans="1:6">
      <c r="A4894" s="10">
        <v>2021</v>
      </c>
      <c r="B4894" t="s">
        <v>1245</v>
      </c>
      <c r="C4894" t="s">
        <v>1955</v>
      </c>
      <c r="D4894" t="s">
        <v>1955</v>
      </c>
      <c r="E4894" s="10">
        <v>163597</v>
      </c>
      <c r="F4894" s="12">
        <v>1.249E-4</v>
      </c>
    </row>
    <row r="4895" spans="1:6">
      <c r="A4895" s="10">
        <v>2021</v>
      </c>
      <c r="B4895" t="s">
        <v>1126</v>
      </c>
      <c r="C4895" t="s">
        <v>1956</v>
      </c>
      <c r="D4895" t="s">
        <v>1956</v>
      </c>
      <c r="E4895" s="10">
        <v>117918</v>
      </c>
      <c r="F4895" s="12">
        <v>9.0000000000000006E-5</v>
      </c>
    </row>
    <row r="4896" spans="1:6">
      <c r="A4896" s="10">
        <v>2021</v>
      </c>
      <c r="B4896" t="s">
        <v>1127</v>
      </c>
      <c r="C4896" t="s">
        <v>2413</v>
      </c>
      <c r="D4896" t="s">
        <v>2413</v>
      </c>
      <c r="E4896" s="10">
        <v>1710083</v>
      </c>
      <c r="F4896" s="12">
        <v>1.3056999999999999E-3</v>
      </c>
    </row>
    <row r="4897" spans="1:6">
      <c r="A4897" s="10">
        <v>2021</v>
      </c>
      <c r="B4897" t="s">
        <v>456</v>
      </c>
      <c r="C4897" t="s">
        <v>1958</v>
      </c>
      <c r="D4897" t="s">
        <v>1958</v>
      </c>
      <c r="E4897" s="10">
        <v>373541</v>
      </c>
      <c r="F4897" s="12">
        <v>2.8519999999999999E-4</v>
      </c>
    </row>
    <row r="4898" spans="1:6">
      <c r="A4898" s="10">
        <v>2021</v>
      </c>
      <c r="B4898" t="s">
        <v>1128</v>
      </c>
      <c r="C4898" t="s">
        <v>1959</v>
      </c>
      <c r="D4898" t="s">
        <v>1959</v>
      </c>
      <c r="E4898" s="10">
        <v>133150</v>
      </c>
      <c r="F4898" s="12">
        <v>1.0170000000000001E-4</v>
      </c>
    </row>
    <row r="4899" spans="1:6">
      <c r="A4899" s="10">
        <v>2021</v>
      </c>
      <c r="B4899" t="s">
        <v>1129</v>
      </c>
      <c r="C4899" t="s">
        <v>1074</v>
      </c>
      <c r="D4899" t="s">
        <v>1074</v>
      </c>
      <c r="E4899" s="10">
        <v>9586</v>
      </c>
      <c r="F4899" s="12">
        <v>7.3000000000000004E-6</v>
      </c>
    </row>
    <row r="4900" spans="1:6">
      <c r="A4900" s="10">
        <v>2021</v>
      </c>
      <c r="B4900" t="s">
        <v>1130</v>
      </c>
      <c r="C4900" t="s">
        <v>1075</v>
      </c>
      <c r="D4900" t="s">
        <v>1075</v>
      </c>
      <c r="E4900" s="10"/>
    </row>
    <row r="4901" spans="1:6">
      <c r="A4901" s="10">
        <v>2021</v>
      </c>
      <c r="B4901" t="s">
        <v>1131</v>
      </c>
      <c r="C4901" t="s">
        <v>1960</v>
      </c>
      <c r="D4901" t="s">
        <v>1960</v>
      </c>
      <c r="E4901" s="10">
        <v>21560</v>
      </c>
      <c r="F4901" s="12">
        <v>1.6500000000000001E-5</v>
      </c>
    </row>
    <row r="4902" spans="1:6">
      <c r="A4902" s="10">
        <v>2021</v>
      </c>
      <c r="B4902" t="s">
        <v>457</v>
      </c>
      <c r="C4902" t="s">
        <v>1961</v>
      </c>
      <c r="D4902" t="s">
        <v>1961</v>
      </c>
      <c r="E4902" s="10">
        <v>124382</v>
      </c>
      <c r="F4902" s="12">
        <v>9.5000000000000005E-5</v>
      </c>
    </row>
    <row r="4903" spans="1:6">
      <c r="A4903" s="10">
        <v>2021</v>
      </c>
      <c r="B4903" t="s">
        <v>1132</v>
      </c>
      <c r="C4903" t="s">
        <v>2389</v>
      </c>
      <c r="D4903" t="s">
        <v>2389</v>
      </c>
      <c r="E4903" s="10">
        <v>91675</v>
      </c>
      <c r="F4903" s="12">
        <v>6.9999999999999994E-5</v>
      </c>
    </row>
    <row r="4904" spans="1:6">
      <c r="A4904" s="10">
        <v>2021</v>
      </c>
      <c r="B4904" t="s">
        <v>1133</v>
      </c>
      <c r="C4904" t="s">
        <v>1962</v>
      </c>
      <c r="D4904" t="s">
        <v>1962</v>
      </c>
      <c r="E4904" s="10">
        <v>70904</v>
      </c>
      <c r="F4904" s="12">
        <v>5.41E-5</v>
      </c>
    </row>
    <row r="4905" spans="1:6">
      <c r="A4905" s="10">
        <v>2021</v>
      </c>
      <c r="B4905" t="s">
        <v>1994</v>
      </c>
      <c r="C4905" t="s">
        <v>1963</v>
      </c>
      <c r="D4905" t="s">
        <v>1963</v>
      </c>
      <c r="E4905" s="10">
        <v>66830</v>
      </c>
      <c r="F4905" s="12">
        <v>5.1E-5</v>
      </c>
    </row>
    <row r="4906" spans="1:6">
      <c r="A4906" s="10">
        <v>2021</v>
      </c>
      <c r="B4906" t="s">
        <v>1246</v>
      </c>
      <c r="C4906" t="s">
        <v>1964</v>
      </c>
      <c r="D4906" t="s">
        <v>1964</v>
      </c>
      <c r="E4906" s="10">
        <v>120331</v>
      </c>
      <c r="F4906" s="12">
        <v>9.1899999999999998E-5</v>
      </c>
    </row>
    <row r="4907" spans="1:6">
      <c r="A4907" s="10">
        <v>2021</v>
      </c>
      <c r="B4907" t="s">
        <v>1135</v>
      </c>
      <c r="C4907" t="s">
        <v>1965</v>
      </c>
      <c r="D4907" t="s">
        <v>1965</v>
      </c>
      <c r="E4907" s="10">
        <v>248996</v>
      </c>
      <c r="F4907" s="12">
        <v>1.9010000000000001E-4</v>
      </c>
    </row>
    <row r="4908" spans="1:6">
      <c r="A4908" s="10">
        <v>2021</v>
      </c>
      <c r="B4908" t="s">
        <v>1136</v>
      </c>
      <c r="C4908" t="s">
        <v>1966</v>
      </c>
      <c r="D4908" t="s">
        <v>1966</v>
      </c>
      <c r="E4908" s="10">
        <v>641265</v>
      </c>
      <c r="F4908" s="12">
        <v>4.8959999999999997E-4</v>
      </c>
    </row>
    <row r="4909" spans="1:6">
      <c r="A4909" s="10">
        <v>2021</v>
      </c>
      <c r="B4909" t="s">
        <v>458</v>
      </c>
      <c r="C4909" t="s">
        <v>1967</v>
      </c>
      <c r="D4909" t="s">
        <v>1967</v>
      </c>
      <c r="E4909" s="10">
        <v>155688</v>
      </c>
      <c r="F4909" s="12">
        <v>1.189E-4</v>
      </c>
    </row>
    <row r="4910" spans="1:6">
      <c r="A4910" s="10">
        <v>2021</v>
      </c>
      <c r="B4910" t="s">
        <v>1137</v>
      </c>
      <c r="C4910" t="s">
        <v>1968</v>
      </c>
      <c r="D4910" t="s">
        <v>1968</v>
      </c>
      <c r="E4910" s="10">
        <v>260120</v>
      </c>
      <c r="F4910" s="12">
        <v>1.986E-4</v>
      </c>
    </row>
    <row r="4911" spans="1:6">
      <c r="A4911" s="10">
        <v>2021</v>
      </c>
      <c r="B4911" t="s">
        <v>1247</v>
      </c>
      <c r="C4911" t="s">
        <v>1969</v>
      </c>
      <c r="D4911" t="s">
        <v>1969</v>
      </c>
      <c r="E4911" s="10">
        <v>27935</v>
      </c>
      <c r="F4911" s="12">
        <v>2.1299999999999999E-5</v>
      </c>
    </row>
    <row r="4912" spans="1:6">
      <c r="A4912" s="10">
        <v>2021</v>
      </c>
      <c r="B4912" t="s">
        <v>1138</v>
      </c>
      <c r="C4912" t="s">
        <v>1083</v>
      </c>
      <c r="D4912" t="s">
        <v>1083</v>
      </c>
      <c r="E4912" s="10"/>
    </row>
    <row r="4913" spans="1:6">
      <c r="A4913" s="10">
        <v>2021</v>
      </c>
      <c r="B4913" t="s">
        <v>96</v>
      </c>
      <c r="C4913" t="s">
        <v>1970</v>
      </c>
      <c r="D4913" t="s">
        <v>1970</v>
      </c>
      <c r="E4913" s="10">
        <v>22050</v>
      </c>
      <c r="F4913" s="12">
        <v>1.6799999999999998E-5</v>
      </c>
    </row>
    <row r="4914" spans="1:6">
      <c r="A4914" s="10">
        <v>2021</v>
      </c>
      <c r="B4914" t="s">
        <v>1139</v>
      </c>
      <c r="C4914" t="s">
        <v>1084</v>
      </c>
      <c r="D4914" t="s">
        <v>1084</v>
      </c>
      <c r="E4914" s="10">
        <v>42862</v>
      </c>
      <c r="F4914" s="12">
        <v>3.2700000000000002E-5</v>
      </c>
    </row>
    <row r="4915" spans="1:6">
      <c r="A4915" s="10">
        <v>2021</v>
      </c>
      <c r="B4915" t="s">
        <v>1141</v>
      </c>
      <c r="C4915" t="s">
        <v>1971</v>
      </c>
      <c r="D4915" t="s">
        <v>1971</v>
      </c>
      <c r="E4915" s="10">
        <v>24853</v>
      </c>
      <c r="F4915" s="12">
        <v>1.9000000000000001E-5</v>
      </c>
    </row>
    <row r="4916" spans="1:6">
      <c r="A4916" s="10">
        <v>2021</v>
      </c>
      <c r="B4916" t="s">
        <v>1142</v>
      </c>
      <c r="C4916" t="s">
        <v>1087</v>
      </c>
      <c r="D4916" t="s">
        <v>1087</v>
      </c>
      <c r="E4916" s="10">
        <v>212695</v>
      </c>
      <c r="F4916" s="12">
        <v>1.6239999999999999E-4</v>
      </c>
    </row>
    <row r="4917" spans="1:6">
      <c r="A4917" s="10">
        <v>2021</v>
      </c>
      <c r="B4917" t="s">
        <v>1143</v>
      </c>
      <c r="C4917" t="s">
        <v>1088</v>
      </c>
      <c r="D4917" t="s">
        <v>1088</v>
      </c>
      <c r="E4917" s="10"/>
    </row>
    <row r="4918" spans="1:6">
      <c r="A4918" s="10">
        <v>2021</v>
      </c>
      <c r="B4918" t="s">
        <v>1144</v>
      </c>
      <c r="C4918" t="s">
        <v>1089</v>
      </c>
      <c r="D4918" t="s">
        <v>1089</v>
      </c>
      <c r="E4918" s="10"/>
    </row>
    <row r="4919" spans="1:6">
      <c r="A4919" s="10">
        <v>2021</v>
      </c>
      <c r="B4919" t="s">
        <v>1146</v>
      </c>
      <c r="C4919" t="s">
        <v>1973</v>
      </c>
      <c r="D4919" t="s">
        <v>1973</v>
      </c>
      <c r="E4919" s="10">
        <v>8733934</v>
      </c>
      <c r="F4919" s="12">
        <v>6.6687999999999999E-3</v>
      </c>
    </row>
    <row r="4920" spans="1:6">
      <c r="A4920" s="10">
        <v>2021</v>
      </c>
      <c r="B4920" t="s">
        <v>1147</v>
      </c>
      <c r="C4920" t="s">
        <v>1092</v>
      </c>
      <c r="D4920" t="s">
        <v>1092</v>
      </c>
      <c r="E4920" s="10">
        <v>3804</v>
      </c>
      <c r="F4920" s="12">
        <v>2.9000000000000002E-6</v>
      </c>
    </row>
    <row r="4921" spans="1:6">
      <c r="A4921" s="10">
        <v>2021</v>
      </c>
      <c r="B4921" t="s">
        <v>1148</v>
      </c>
      <c r="C4921" t="s">
        <v>1974</v>
      </c>
      <c r="D4921" t="s">
        <v>1974</v>
      </c>
      <c r="E4921" s="10">
        <v>228957</v>
      </c>
      <c r="F4921" s="12">
        <v>1.7479999999999999E-4</v>
      </c>
    </row>
    <row r="4922" spans="1:6">
      <c r="A4922" s="10">
        <v>2021</v>
      </c>
      <c r="B4922" t="s">
        <v>1248</v>
      </c>
      <c r="C4922" t="s">
        <v>1975</v>
      </c>
      <c r="D4922" t="s">
        <v>1975</v>
      </c>
      <c r="E4922" s="10">
        <v>78372</v>
      </c>
      <c r="F4922" s="12">
        <v>5.9799999999999997E-5</v>
      </c>
    </row>
    <row r="4923" spans="1:6">
      <c r="A4923" s="10">
        <v>2021</v>
      </c>
      <c r="B4923" t="s">
        <v>1149</v>
      </c>
      <c r="C4923" t="s">
        <v>1094</v>
      </c>
      <c r="D4923" t="s">
        <v>1094</v>
      </c>
      <c r="E4923" s="10">
        <v>269646</v>
      </c>
      <c r="F4923" s="12">
        <v>2.0589999999999999E-4</v>
      </c>
    </row>
    <row r="4924" spans="1:6">
      <c r="A4924" s="10">
        <v>2021</v>
      </c>
      <c r="B4924" t="s">
        <v>1150</v>
      </c>
      <c r="C4924" t="s">
        <v>1976</v>
      </c>
      <c r="D4924" t="s">
        <v>2392</v>
      </c>
      <c r="E4924" s="10">
        <v>186166</v>
      </c>
      <c r="F4924" s="12">
        <v>1.4210000000000001E-4</v>
      </c>
    </row>
    <row r="4925" spans="1:6">
      <c r="A4925" s="10">
        <v>2021</v>
      </c>
      <c r="B4925" t="s">
        <v>459</v>
      </c>
      <c r="C4925" t="s">
        <v>1977</v>
      </c>
      <c r="D4925" t="s">
        <v>1977</v>
      </c>
      <c r="E4925" s="10">
        <v>4950949</v>
      </c>
      <c r="F4925" s="12">
        <v>3.7802999999999999E-3</v>
      </c>
    </row>
    <row r="4926" spans="1:6">
      <c r="A4926" s="10">
        <v>2021</v>
      </c>
      <c r="B4926" t="s">
        <v>1152</v>
      </c>
      <c r="C4926" t="s">
        <v>1979</v>
      </c>
      <c r="D4926" t="s">
        <v>1979</v>
      </c>
      <c r="E4926" s="10">
        <v>1225913</v>
      </c>
      <c r="F4926" s="12">
        <v>9.3599999999999998E-4</v>
      </c>
    </row>
    <row r="4927" spans="1:6">
      <c r="A4927" s="10">
        <v>2021</v>
      </c>
      <c r="B4927" t="s">
        <v>1249</v>
      </c>
      <c r="C4927" t="s">
        <v>1980</v>
      </c>
      <c r="D4927" t="s">
        <v>1980</v>
      </c>
      <c r="E4927" s="10">
        <v>111739</v>
      </c>
      <c r="F4927" s="12">
        <v>8.53E-5</v>
      </c>
    </row>
    <row r="4928" spans="1:6">
      <c r="A4928" s="10">
        <v>2021</v>
      </c>
      <c r="B4928" t="s">
        <v>1153</v>
      </c>
      <c r="C4928" t="s">
        <v>1981</v>
      </c>
      <c r="D4928" t="s">
        <v>1981</v>
      </c>
      <c r="E4928" s="10">
        <v>155028</v>
      </c>
      <c r="F4928" s="12">
        <v>1.184E-4</v>
      </c>
    </row>
    <row r="4929" spans="1:6">
      <c r="A4929" s="10">
        <v>2021</v>
      </c>
      <c r="B4929" t="s">
        <v>1154</v>
      </c>
      <c r="C4929" t="s">
        <v>1982</v>
      </c>
      <c r="D4929" t="s">
        <v>1982</v>
      </c>
      <c r="E4929" s="10">
        <v>8832593</v>
      </c>
      <c r="F4929" s="12">
        <v>6.7441999999999997E-3</v>
      </c>
    </row>
    <row r="4930" spans="1:6">
      <c r="A4930" s="10">
        <v>2021</v>
      </c>
      <c r="B4930" t="s">
        <v>1209</v>
      </c>
      <c r="C4930" t="s">
        <v>1983</v>
      </c>
      <c r="D4930" t="s">
        <v>1983</v>
      </c>
      <c r="E4930" s="10">
        <v>8863476</v>
      </c>
      <c r="F4930" s="12">
        <v>6.7676999999999998E-3</v>
      </c>
    </row>
    <row r="4931" spans="1:6">
      <c r="A4931" s="10">
        <v>2021</v>
      </c>
      <c r="B4931" t="s">
        <v>460</v>
      </c>
      <c r="C4931" t="s">
        <v>1984</v>
      </c>
      <c r="D4931" t="s">
        <v>1984</v>
      </c>
      <c r="E4931" s="10">
        <v>9867453</v>
      </c>
      <c r="F4931" s="12">
        <v>7.5342999999999999E-3</v>
      </c>
    </row>
    <row r="4932" spans="1:6">
      <c r="A4932" s="10">
        <v>2021</v>
      </c>
      <c r="B4932" t="s">
        <v>1210</v>
      </c>
      <c r="C4932" t="s">
        <v>1985</v>
      </c>
      <c r="D4932" t="s">
        <v>1985</v>
      </c>
      <c r="E4932" s="10">
        <v>896325</v>
      </c>
      <c r="F4932" s="12">
        <v>6.8440000000000005E-4</v>
      </c>
    </row>
    <row r="4933" spans="1:6">
      <c r="A4933" s="10">
        <v>2021</v>
      </c>
      <c r="B4933" t="s">
        <v>1250</v>
      </c>
      <c r="C4933" t="s">
        <v>1986</v>
      </c>
      <c r="D4933" t="s">
        <v>1986</v>
      </c>
      <c r="E4933" s="10">
        <v>192785</v>
      </c>
      <c r="F4933" s="12">
        <v>1.472E-4</v>
      </c>
    </row>
    <row r="4934" spans="1:6">
      <c r="A4934" s="10">
        <v>2021</v>
      </c>
      <c r="B4934" t="s">
        <v>1211</v>
      </c>
      <c r="C4934" t="s">
        <v>1157</v>
      </c>
      <c r="D4934" t="s">
        <v>1157</v>
      </c>
      <c r="E4934" s="10">
        <v>3883</v>
      </c>
      <c r="F4934" s="12">
        <v>3.0000000000000001E-6</v>
      </c>
    </row>
    <row r="4935" spans="1:6">
      <c r="A4935" s="10">
        <v>2021</v>
      </c>
      <c r="B4935" t="s">
        <v>1483</v>
      </c>
      <c r="C4935" t="s">
        <v>1482</v>
      </c>
      <c r="D4935" t="s">
        <v>1482</v>
      </c>
      <c r="E4935" s="10">
        <v>80821</v>
      </c>
      <c r="F4935" s="12">
        <v>6.1699999999999995E-5</v>
      </c>
    </row>
    <row r="4936" spans="1:6">
      <c r="A4936" s="10">
        <v>2021</v>
      </c>
      <c r="B4936" t="s">
        <v>1212</v>
      </c>
      <c r="C4936" t="s">
        <v>1987</v>
      </c>
      <c r="D4936" t="s">
        <v>1987</v>
      </c>
      <c r="E4936" s="10">
        <v>1851833</v>
      </c>
      <c r="F4936" s="12">
        <v>1.4139999999999999E-3</v>
      </c>
    </row>
    <row r="4937" spans="1:6">
      <c r="A4937" s="10">
        <v>2021</v>
      </c>
      <c r="B4937" t="s">
        <v>1213</v>
      </c>
      <c r="C4937" t="s">
        <v>1988</v>
      </c>
      <c r="D4937" t="s">
        <v>1988</v>
      </c>
      <c r="E4937" s="10">
        <v>8219676</v>
      </c>
      <c r="F4937" s="12">
        <v>6.2762E-3</v>
      </c>
    </row>
    <row r="4938" spans="1:6">
      <c r="A4938" s="10">
        <v>2021</v>
      </c>
      <c r="B4938" t="s">
        <v>461</v>
      </c>
      <c r="C4938" t="s">
        <v>1989</v>
      </c>
      <c r="D4938" t="s">
        <v>1989</v>
      </c>
      <c r="E4938" s="10">
        <v>1130590</v>
      </c>
      <c r="F4938" s="12">
        <v>8.633E-4</v>
      </c>
    </row>
    <row r="4939" spans="1:6">
      <c r="A4939" s="10">
        <v>2021</v>
      </c>
      <c r="B4939" t="s">
        <v>1214</v>
      </c>
      <c r="C4939" t="s">
        <v>1990</v>
      </c>
      <c r="D4939" t="s">
        <v>1990</v>
      </c>
      <c r="E4939" s="10">
        <v>563088</v>
      </c>
      <c r="F4939" s="12">
        <v>4.2989999999999999E-4</v>
      </c>
    </row>
    <row r="4940" spans="1:6">
      <c r="A4940" s="10">
        <v>2021</v>
      </c>
      <c r="B4940" t="s">
        <v>1215</v>
      </c>
      <c r="C4940" t="s">
        <v>1991</v>
      </c>
      <c r="D4940" t="s">
        <v>1991</v>
      </c>
      <c r="E4940" s="10">
        <v>547370</v>
      </c>
      <c r="F4940" s="12">
        <v>4.1790000000000002E-4</v>
      </c>
    </row>
    <row r="4941" spans="1:6">
      <c r="A4941" s="10">
        <v>2021</v>
      </c>
      <c r="B4941" t="s">
        <v>462</v>
      </c>
      <c r="C4941" t="s">
        <v>1992</v>
      </c>
      <c r="D4941" t="s">
        <v>1992</v>
      </c>
      <c r="E4941" s="10">
        <v>79244</v>
      </c>
      <c r="F4941" s="12">
        <v>6.05E-5</v>
      </c>
    </row>
    <row r="4942" spans="1:6">
      <c r="A4942" s="10">
        <v>2021</v>
      </c>
      <c r="B4942" t="s">
        <v>1217</v>
      </c>
      <c r="C4942" t="s">
        <v>1993</v>
      </c>
      <c r="D4942" t="s">
        <v>1993</v>
      </c>
      <c r="E4942" s="10">
        <v>99947</v>
      </c>
      <c r="F4942" s="12">
        <v>7.6299999999999998E-5</v>
      </c>
    </row>
    <row r="4943" spans="1:6">
      <c r="A4943" s="10">
        <v>2021</v>
      </c>
      <c r="B4943" t="s">
        <v>1218</v>
      </c>
      <c r="C4943" t="s">
        <v>1995</v>
      </c>
      <c r="D4943" t="s">
        <v>1995</v>
      </c>
      <c r="E4943" s="10">
        <v>74494</v>
      </c>
      <c r="F4943" s="12">
        <v>5.6900000000000001E-5</v>
      </c>
    </row>
    <row r="4944" spans="1:6">
      <c r="A4944" s="10">
        <v>2021</v>
      </c>
      <c r="B4944" t="s">
        <v>1255</v>
      </c>
      <c r="C4944" t="s">
        <v>1201</v>
      </c>
      <c r="D4944" t="s">
        <v>1201</v>
      </c>
      <c r="E4944" s="10">
        <v>7013</v>
      </c>
      <c r="F4944" s="12">
        <v>5.4E-6</v>
      </c>
    </row>
    <row r="4945" spans="1:6">
      <c r="A4945" s="10">
        <v>2021</v>
      </c>
      <c r="B4945" t="s">
        <v>1256</v>
      </c>
      <c r="C4945" t="s">
        <v>1202</v>
      </c>
      <c r="D4945" t="s">
        <v>1202</v>
      </c>
      <c r="E4945" s="10">
        <v>52936</v>
      </c>
      <c r="F4945" s="12">
        <v>4.0399999999999999E-5</v>
      </c>
    </row>
    <row r="4946" spans="1:6">
      <c r="A4946" s="10">
        <v>2021</v>
      </c>
      <c r="B4946" t="s">
        <v>1257</v>
      </c>
      <c r="C4946" t="s">
        <v>1996</v>
      </c>
      <c r="D4946" t="s">
        <v>1996</v>
      </c>
      <c r="E4946" s="10">
        <v>1317929</v>
      </c>
      <c r="F4946" s="12">
        <v>1.0062999999999999E-3</v>
      </c>
    </row>
    <row r="4947" spans="1:6">
      <c r="A4947" s="10">
        <v>2021</v>
      </c>
      <c r="B4947" t="s">
        <v>1258</v>
      </c>
      <c r="C4947" t="s">
        <v>1204</v>
      </c>
      <c r="D4947" t="s">
        <v>1204</v>
      </c>
      <c r="E4947" s="10">
        <v>1316658</v>
      </c>
      <c r="F4947" s="12">
        <v>1.0053E-3</v>
      </c>
    </row>
    <row r="4948" spans="1:6">
      <c r="A4948" s="10">
        <v>2021</v>
      </c>
      <c r="B4948" t="s">
        <v>1259</v>
      </c>
      <c r="C4948" t="s">
        <v>1205</v>
      </c>
      <c r="D4948" t="s">
        <v>1205</v>
      </c>
      <c r="E4948" s="10">
        <v>312155</v>
      </c>
      <c r="F4948" s="12">
        <v>2.3829999999999999E-4</v>
      </c>
    </row>
    <row r="4949" spans="1:6">
      <c r="A4949" s="10">
        <v>2021</v>
      </c>
      <c r="B4949" t="s">
        <v>1260</v>
      </c>
      <c r="C4949" t="s">
        <v>1206</v>
      </c>
      <c r="D4949" t="s">
        <v>1206</v>
      </c>
      <c r="E4949" s="10">
        <v>79726</v>
      </c>
      <c r="F4949" s="12">
        <v>6.0900000000000003E-5</v>
      </c>
    </row>
    <row r="4950" spans="1:6">
      <c r="A4950" s="10">
        <v>2021</v>
      </c>
      <c r="B4950" t="s">
        <v>1261</v>
      </c>
      <c r="C4950" t="s">
        <v>1997</v>
      </c>
      <c r="D4950" t="s">
        <v>1997</v>
      </c>
      <c r="E4950" s="10">
        <v>31058289</v>
      </c>
      <c r="F4950" s="12">
        <v>2.3714699999999998E-2</v>
      </c>
    </row>
    <row r="4951" spans="1:6">
      <c r="A4951" s="10">
        <v>2021</v>
      </c>
      <c r="B4951" t="s">
        <v>1262</v>
      </c>
      <c r="C4951" t="s">
        <v>1208</v>
      </c>
      <c r="D4951" t="s">
        <v>1208</v>
      </c>
      <c r="E4951" s="10">
        <v>50036</v>
      </c>
      <c r="F4951" s="12">
        <v>3.82E-5</v>
      </c>
    </row>
    <row r="4952" spans="1:6">
      <c r="A4952" s="10">
        <v>2021</v>
      </c>
      <c r="B4952" t="s">
        <v>1251</v>
      </c>
      <c r="C4952" t="s">
        <v>1998</v>
      </c>
      <c r="D4952" t="s">
        <v>1998</v>
      </c>
      <c r="E4952" s="10">
        <v>27894</v>
      </c>
      <c r="F4952" s="12">
        <v>2.1299999999999999E-5</v>
      </c>
    </row>
    <row r="4953" spans="1:6">
      <c r="A4953" s="10">
        <v>2021</v>
      </c>
      <c r="B4953" t="s">
        <v>1311</v>
      </c>
      <c r="C4953" t="s">
        <v>2414</v>
      </c>
      <c r="D4953" t="s">
        <v>2414</v>
      </c>
      <c r="E4953" s="10">
        <v>957351</v>
      </c>
      <c r="F4953" s="12">
        <v>7.3099999999999999E-4</v>
      </c>
    </row>
    <row r="4954" spans="1:6">
      <c r="A4954" s="10">
        <v>2021</v>
      </c>
      <c r="B4954" t="s">
        <v>1312</v>
      </c>
      <c r="C4954" t="s">
        <v>2000</v>
      </c>
      <c r="D4954" t="s">
        <v>2000</v>
      </c>
      <c r="E4954" s="10">
        <v>49360825</v>
      </c>
      <c r="F4954" s="12">
        <v>3.7689599999999997E-2</v>
      </c>
    </row>
    <row r="4955" spans="1:6">
      <c r="A4955" s="10">
        <v>2021</v>
      </c>
      <c r="B4955" t="s">
        <v>1313</v>
      </c>
      <c r="C4955" t="s">
        <v>2001</v>
      </c>
      <c r="D4955" t="s">
        <v>2001</v>
      </c>
      <c r="E4955" s="10">
        <v>9086096</v>
      </c>
      <c r="F4955" s="12">
        <v>6.9376999999999998E-3</v>
      </c>
    </row>
    <row r="4956" spans="1:6">
      <c r="A4956" s="10">
        <v>2021</v>
      </c>
      <c r="B4956" t="s">
        <v>1314</v>
      </c>
      <c r="C4956" t="s">
        <v>2002</v>
      </c>
      <c r="D4956" t="s">
        <v>2002</v>
      </c>
      <c r="E4956" s="10">
        <v>73641</v>
      </c>
      <c r="F4956" s="12">
        <v>5.6199999999999997E-5</v>
      </c>
    </row>
    <row r="4957" spans="1:6">
      <c r="A4957" s="10">
        <v>2021</v>
      </c>
      <c r="B4957" t="s">
        <v>1035</v>
      </c>
      <c r="C4957" t="s">
        <v>2003</v>
      </c>
      <c r="D4957" t="s">
        <v>2003</v>
      </c>
      <c r="E4957" s="10">
        <v>321164</v>
      </c>
      <c r="F4957" s="12">
        <v>2.452E-4</v>
      </c>
    </row>
    <row r="4958" spans="1:6">
      <c r="A4958" s="10">
        <v>2021</v>
      </c>
      <c r="B4958" t="s">
        <v>1315</v>
      </c>
      <c r="C4958" t="s">
        <v>2394</v>
      </c>
      <c r="D4958" t="s">
        <v>2394</v>
      </c>
      <c r="E4958" s="10">
        <v>54239</v>
      </c>
      <c r="F4958" s="12">
        <v>4.1399999999999997E-5</v>
      </c>
    </row>
    <row r="4959" spans="1:6">
      <c r="A4959" s="10">
        <v>2021</v>
      </c>
      <c r="B4959" t="s">
        <v>1033</v>
      </c>
      <c r="C4959" t="s">
        <v>2005</v>
      </c>
      <c r="D4959" t="s">
        <v>2005</v>
      </c>
      <c r="E4959" s="10">
        <v>2953789</v>
      </c>
      <c r="F4959" s="12">
        <v>2.2553999999999999E-3</v>
      </c>
    </row>
    <row r="4960" spans="1:6">
      <c r="A4960" s="10">
        <v>2021</v>
      </c>
      <c r="B4960" t="s">
        <v>1316</v>
      </c>
      <c r="C4960" t="s">
        <v>2459</v>
      </c>
      <c r="D4960" t="s">
        <v>2006</v>
      </c>
      <c r="E4960" s="10">
        <v>382247</v>
      </c>
      <c r="F4960" s="12">
        <v>2.9189999999999999E-4</v>
      </c>
    </row>
    <row r="4961" spans="1:6">
      <c r="A4961" s="10">
        <v>2021</v>
      </c>
      <c r="B4961" t="s">
        <v>1317</v>
      </c>
      <c r="C4961" t="s">
        <v>2007</v>
      </c>
      <c r="D4961" t="s">
        <v>2007</v>
      </c>
      <c r="E4961" s="10">
        <v>110860</v>
      </c>
      <c r="F4961" s="12">
        <v>8.4599999999999996E-5</v>
      </c>
    </row>
    <row r="4962" spans="1:6">
      <c r="A4962" s="10">
        <v>2021</v>
      </c>
      <c r="B4962" t="s">
        <v>1319</v>
      </c>
      <c r="C4962" t="s">
        <v>1271</v>
      </c>
      <c r="D4962" t="s">
        <v>1271</v>
      </c>
      <c r="E4962" s="10">
        <v>35433</v>
      </c>
      <c r="F4962" s="12">
        <v>2.7100000000000001E-5</v>
      </c>
    </row>
    <row r="4963" spans="1:6">
      <c r="A4963" s="10">
        <v>2021</v>
      </c>
      <c r="B4963" t="s">
        <v>1320</v>
      </c>
      <c r="C4963" t="s">
        <v>2009</v>
      </c>
      <c r="D4963" t="s">
        <v>2009</v>
      </c>
      <c r="E4963" s="10">
        <v>124511</v>
      </c>
      <c r="F4963" s="12">
        <v>9.5099999999999994E-5</v>
      </c>
    </row>
    <row r="4964" spans="1:6">
      <c r="A4964" s="10">
        <v>2021</v>
      </c>
      <c r="B4964" t="s">
        <v>1321</v>
      </c>
      <c r="C4964" t="s">
        <v>1273</v>
      </c>
      <c r="D4964" t="s">
        <v>1273</v>
      </c>
      <c r="E4964" s="10"/>
    </row>
    <row r="4965" spans="1:6">
      <c r="A4965" s="10">
        <v>2021</v>
      </c>
      <c r="B4965" t="s">
        <v>1323</v>
      </c>
      <c r="C4965" t="s">
        <v>2011</v>
      </c>
      <c r="D4965" t="s">
        <v>2011</v>
      </c>
      <c r="E4965" s="10">
        <v>14995884</v>
      </c>
      <c r="F4965" s="12">
        <v>1.1450200000000001E-2</v>
      </c>
    </row>
    <row r="4966" spans="1:6">
      <c r="A4966" s="10">
        <v>2021</v>
      </c>
      <c r="B4966" t="s">
        <v>1325</v>
      </c>
      <c r="C4966" t="s">
        <v>2395</v>
      </c>
      <c r="D4966" t="s">
        <v>2395</v>
      </c>
      <c r="E4966" s="10">
        <v>106041</v>
      </c>
      <c r="F4966" s="12">
        <v>8.1000000000000004E-5</v>
      </c>
    </row>
    <row r="4967" spans="1:6">
      <c r="A4967" s="10">
        <v>2021</v>
      </c>
      <c r="B4967" t="s">
        <v>1252</v>
      </c>
      <c r="C4967" t="s">
        <v>2013</v>
      </c>
      <c r="D4967" t="s">
        <v>2013</v>
      </c>
      <c r="E4967" s="10">
        <v>139290</v>
      </c>
      <c r="F4967" s="12">
        <v>1.064E-4</v>
      </c>
    </row>
    <row r="4968" spans="1:6">
      <c r="A4968" s="10">
        <v>2021</v>
      </c>
      <c r="B4968" t="s">
        <v>1326</v>
      </c>
      <c r="C4968" t="s">
        <v>2014</v>
      </c>
      <c r="D4968" t="s">
        <v>2014</v>
      </c>
      <c r="E4968" s="10">
        <v>100502</v>
      </c>
      <c r="F4968" s="12">
        <v>7.6699999999999994E-5</v>
      </c>
    </row>
    <row r="4969" spans="1:6">
      <c r="A4969" s="10">
        <v>2021</v>
      </c>
      <c r="B4969" t="s">
        <v>1327</v>
      </c>
      <c r="C4969" t="s">
        <v>1279</v>
      </c>
      <c r="D4969" t="s">
        <v>1279</v>
      </c>
      <c r="E4969" s="10">
        <v>1143654</v>
      </c>
      <c r="F4969" s="12">
        <v>8.7319999999999997E-4</v>
      </c>
    </row>
    <row r="4970" spans="1:6">
      <c r="A4970" s="10">
        <v>2021</v>
      </c>
      <c r="B4970" t="s">
        <v>1328</v>
      </c>
      <c r="C4970" t="s">
        <v>1484</v>
      </c>
      <c r="D4970" t="s">
        <v>1484</v>
      </c>
      <c r="E4970" s="10">
        <v>43664</v>
      </c>
      <c r="F4970" s="12">
        <v>3.3300000000000003E-5</v>
      </c>
    </row>
    <row r="4971" spans="1:6">
      <c r="A4971" s="10">
        <v>2021</v>
      </c>
      <c r="B4971" t="s">
        <v>1329</v>
      </c>
      <c r="C4971" t="s">
        <v>1485</v>
      </c>
      <c r="D4971" t="s">
        <v>1485</v>
      </c>
      <c r="E4971" s="10">
        <v>1274216</v>
      </c>
      <c r="F4971" s="12">
        <v>9.7289999999999996E-4</v>
      </c>
    </row>
    <row r="4972" spans="1:6">
      <c r="A4972" s="10">
        <v>2021</v>
      </c>
      <c r="B4972" t="s">
        <v>1332</v>
      </c>
      <c r="C4972" t="s">
        <v>1284</v>
      </c>
      <c r="D4972" t="s">
        <v>1284</v>
      </c>
      <c r="E4972" s="10">
        <v>19252</v>
      </c>
      <c r="F4972" s="12">
        <v>1.47E-5</v>
      </c>
    </row>
    <row r="4973" spans="1:6">
      <c r="A4973" s="10">
        <v>2021</v>
      </c>
      <c r="B4973" t="s">
        <v>1333</v>
      </c>
      <c r="C4973" t="s">
        <v>2015</v>
      </c>
      <c r="D4973" t="s">
        <v>2396</v>
      </c>
      <c r="E4973" s="10">
        <v>6165</v>
      </c>
      <c r="F4973" s="12">
        <v>4.6999999999999999E-6</v>
      </c>
    </row>
    <row r="4974" spans="1:6">
      <c r="A4974" s="10">
        <v>2021</v>
      </c>
      <c r="B4974" t="s">
        <v>1334</v>
      </c>
      <c r="C4974" t="s">
        <v>2016</v>
      </c>
      <c r="D4974" t="s">
        <v>2016</v>
      </c>
      <c r="E4974" s="10">
        <v>1579883</v>
      </c>
      <c r="F4974" s="12">
        <v>1.2063E-3</v>
      </c>
    </row>
    <row r="4975" spans="1:6">
      <c r="A4975" s="10">
        <v>2021</v>
      </c>
      <c r="B4975" t="s">
        <v>1335</v>
      </c>
      <c r="C4975" t="s">
        <v>2017</v>
      </c>
      <c r="D4975" t="s">
        <v>2017</v>
      </c>
      <c r="E4975" s="10">
        <v>825046</v>
      </c>
      <c r="F4975" s="12">
        <v>6.3000000000000003E-4</v>
      </c>
    </row>
    <row r="4976" spans="1:6">
      <c r="A4976" s="10">
        <v>2021</v>
      </c>
      <c r="B4976" t="s">
        <v>1253</v>
      </c>
      <c r="C4976" t="s">
        <v>2018</v>
      </c>
      <c r="D4976" t="s">
        <v>2018</v>
      </c>
      <c r="E4976" s="10">
        <v>370905</v>
      </c>
      <c r="F4976" s="12">
        <v>2.832E-4</v>
      </c>
    </row>
    <row r="4977" spans="1:6">
      <c r="A4977" s="10">
        <v>2021</v>
      </c>
      <c r="B4977" t="s">
        <v>1336</v>
      </c>
      <c r="C4977" t="s">
        <v>2019</v>
      </c>
      <c r="D4977" t="s">
        <v>2019</v>
      </c>
      <c r="E4977" s="10">
        <v>630430</v>
      </c>
      <c r="F4977" s="12">
        <v>4.8139999999999999E-4</v>
      </c>
    </row>
    <row r="4978" spans="1:6">
      <c r="A4978" s="10">
        <v>2021</v>
      </c>
      <c r="B4978" t="s">
        <v>463</v>
      </c>
      <c r="C4978" t="s">
        <v>2020</v>
      </c>
      <c r="D4978" t="s">
        <v>2020</v>
      </c>
      <c r="E4978" s="10">
        <v>188145</v>
      </c>
      <c r="F4978" s="12">
        <v>1.437E-4</v>
      </c>
    </row>
    <row r="4979" spans="1:6">
      <c r="A4979" s="10">
        <v>2021</v>
      </c>
      <c r="B4979" t="s">
        <v>1337</v>
      </c>
      <c r="C4979" t="s">
        <v>2021</v>
      </c>
      <c r="D4979" t="s">
        <v>2021</v>
      </c>
      <c r="E4979" s="10">
        <v>462053</v>
      </c>
      <c r="F4979" s="12">
        <v>3.5280000000000001E-4</v>
      </c>
    </row>
    <row r="4980" spans="1:6">
      <c r="A4980" s="10">
        <v>2021</v>
      </c>
      <c r="B4980" t="s">
        <v>464</v>
      </c>
      <c r="C4980" t="s">
        <v>2022</v>
      </c>
      <c r="D4980" t="s">
        <v>2022</v>
      </c>
      <c r="E4980" s="10">
        <v>312606</v>
      </c>
      <c r="F4980" s="12">
        <v>2.387E-4</v>
      </c>
    </row>
    <row r="4981" spans="1:6">
      <c r="A4981" s="10">
        <v>2021</v>
      </c>
      <c r="B4981" t="s">
        <v>1338</v>
      </c>
      <c r="C4981" t="s">
        <v>2023</v>
      </c>
      <c r="D4981" t="s">
        <v>2023</v>
      </c>
      <c r="E4981" s="10">
        <v>2033</v>
      </c>
      <c r="F4981" s="12">
        <v>1.5999999999999999E-6</v>
      </c>
    </row>
    <row r="4982" spans="1:6">
      <c r="A4982" s="10">
        <v>2021</v>
      </c>
      <c r="B4982" t="s">
        <v>907</v>
      </c>
      <c r="C4982" t="s">
        <v>2024</v>
      </c>
      <c r="D4982" t="s">
        <v>2024</v>
      </c>
      <c r="E4982" s="10">
        <v>43492</v>
      </c>
      <c r="F4982" s="12">
        <v>3.3200000000000001E-5</v>
      </c>
    </row>
    <row r="4983" spans="1:6">
      <c r="A4983" s="10">
        <v>2021</v>
      </c>
      <c r="B4983" t="s">
        <v>1339</v>
      </c>
      <c r="C4983" t="s">
        <v>2025</v>
      </c>
      <c r="D4983" t="s">
        <v>2025</v>
      </c>
      <c r="E4983" s="10">
        <v>856646</v>
      </c>
      <c r="F4983" s="12">
        <v>6.5410000000000002E-4</v>
      </c>
    </row>
    <row r="4984" spans="1:6">
      <c r="A4984" s="10">
        <v>2021</v>
      </c>
      <c r="B4984" t="s">
        <v>1340</v>
      </c>
      <c r="C4984" t="s">
        <v>2026</v>
      </c>
      <c r="D4984" t="s">
        <v>2026</v>
      </c>
      <c r="E4984" s="10">
        <v>1782796</v>
      </c>
      <c r="F4984" s="12">
        <v>1.3613E-3</v>
      </c>
    </row>
    <row r="4985" spans="1:6">
      <c r="A4985" s="10">
        <v>2021</v>
      </c>
      <c r="B4985" t="s">
        <v>1341</v>
      </c>
      <c r="C4985" t="s">
        <v>2027</v>
      </c>
      <c r="D4985" t="s">
        <v>2027</v>
      </c>
      <c r="E4985" s="10">
        <v>1246141</v>
      </c>
      <c r="F4985" s="12">
        <v>9.5149999999999998E-4</v>
      </c>
    </row>
    <row r="4986" spans="1:6">
      <c r="A4986" s="10">
        <v>2021</v>
      </c>
      <c r="B4986" t="s">
        <v>465</v>
      </c>
      <c r="C4986" t="s">
        <v>2028</v>
      </c>
      <c r="D4986" t="s">
        <v>2028</v>
      </c>
      <c r="E4986" s="10">
        <v>339567</v>
      </c>
      <c r="F4986" s="12">
        <v>2.5930000000000001E-4</v>
      </c>
    </row>
    <row r="4987" spans="1:6">
      <c r="A4987" s="10">
        <v>2021</v>
      </c>
      <c r="B4987" t="s">
        <v>1343</v>
      </c>
      <c r="C4987" t="s">
        <v>2029</v>
      </c>
      <c r="D4987" t="s">
        <v>2029</v>
      </c>
      <c r="E4987" s="10">
        <v>47469</v>
      </c>
      <c r="F4987" s="12">
        <v>3.6199999999999999E-5</v>
      </c>
    </row>
    <row r="4988" spans="1:6">
      <c r="A4988" s="10">
        <v>2021</v>
      </c>
      <c r="B4988" t="s">
        <v>1344</v>
      </c>
      <c r="C4988" t="s">
        <v>2030</v>
      </c>
      <c r="D4988" t="s">
        <v>2030</v>
      </c>
      <c r="E4988" s="10">
        <v>87675</v>
      </c>
      <c r="F4988" s="12">
        <v>6.69E-5</v>
      </c>
    </row>
    <row r="4989" spans="1:6">
      <c r="A4989" s="10">
        <v>2021</v>
      </c>
      <c r="B4989" t="s">
        <v>1346</v>
      </c>
      <c r="C4989" t="s">
        <v>1298</v>
      </c>
      <c r="D4989" t="s">
        <v>1298</v>
      </c>
      <c r="E4989" s="10">
        <v>2588372</v>
      </c>
      <c r="F4989" s="12">
        <v>1.9764000000000001E-3</v>
      </c>
    </row>
    <row r="4990" spans="1:6">
      <c r="A4990" s="10">
        <v>2021</v>
      </c>
      <c r="B4990" t="s">
        <v>1347</v>
      </c>
      <c r="C4990" t="s">
        <v>1299</v>
      </c>
      <c r="D4990" t="s">
        <v>1299</v>
      </c>
      <c r="E4990" s="10">
        <v>6838833</v>
      </c>
      <c r="F4990" s="12">
        <v>5.2218000000000004E-3</v>
      </c>
    </row>
    <row r="4991" spans="1:6">
      <c r="A4991" s="10">
        <v>2021</v>
      </c>
      <c r="B4991" t="s">
        <v>1348</v>
      </c>
      <c r="C4991" t="s">
        <v>2032</v>
      </c>
      <c r="D4991" t="s">
        <v>2032</v>
      </c>
      <c r="E4991" s="10">
        <v>80014</v>
      </c>
      <c r="F4991" s="12">
        <v>6.1099999999999994E-5</v>
      </c>
    </row>
    <row r="4992" spans="1:6">
      <c r="A4992" s="10">
        <v>2021</v>
      </c>
      <c r="B4992" t="s">
        <v>1349</v>
      </c>
      <c r="C4992" t="s">
        <v>2033</v>
      </c>
      <c r="D4992" t="s">
        <v>2033</v>
      </c>
      <c r="E4992" s="10">
        <v>251347</v>
      </c>
      <c r="F4992" s="12">
        <v>1.919E-4</v>
      </c>
    </row>
    <row r="4993" spans="1:6">
      <c r="A4993" s="10">
        <v>2021</v>
      </c>
      <c r="B4993" t="s">
        <v>1254</v>
      </c>
      <c r="C4993" t="s">
        <v>2034</v>
      </c>
      <c r="D4993" t="s">
        <v>2034</v>
      </c>
      <c r="E4993" s="10">
        <v>89141</v>
      </c>
      <c r="F4993" s="12">
        <v>6.8100000000000002E-5</v>
      </c>
    </row>
    <row r="4994" spans="1:6">
      <c r="A4994" s="10">
        <v>2021</v>
      </c>
      <c r="B4994" t="s">
        <v>1350</v>
      </c>
      <c r="C4994" t="s">
        <v>2035</v>
      </c>
      <c r="D4994" t="s">
        <v>2035</v>
      </c>
      <c r="E4994" s="10">
        <v>33226</v>
      </c>
      <c r="F4994" s="12">
        <v>2.5400000000000001E-5</v>
      </c>
    </row>
    <row r="4995" spans="1:6">
      <c r="A4995" s="10">
        <v>2021</v>
      </c>
      <c r="B4995" t="s">
        <v>1352</v>
      </c>
      <c r="C4995" t="s">
        <v>1304</v>
      </c>
      <c r="D4995" t="s">
        <v>1304</v>
      </c>
      <c r="E4995" s="10">
        <v>5209601</v>
      </c>
      <c r="F4995" s="12">
        <v>3.9778000000000001E-3</v>
      </c>
    </row>
    <row r="4996" spans="1:6">
      <c r="A4996" s="10">
        <v>2021</v>
      </c>
      <c r="B4996" t="s">
        <v>1353</v>
      </c>
      <c r="C4996" t="s">
        <v>1305</v>
      </c>
      <c r="D4996" t="s">
        <v>1305</v>
      </c>
      <c r="E4996" s="10">
        <v>176052</v>
      </c>
      <c r="F4996" s="12">
        <v>1.3439999999999999E-4</v>
      </c>
    </row>
    <row r="4997" spans="1:6">
      <c r="A4997" s="10">
        <v>2021</v>
      </c>
      <c r="B4997" t="s">
        <v>1351</v>
      </c>
      <c r="C4997" t="s">
        <v>2415</v>
      </c>
      <c r="D4997" t="s">
        <v>2415</v>
      </c>
      <c r="E4997" s="10">
        <v>39751</v>
      </c>
      <c r="F4997" s="12">
        <v>3.04E-5</v>
      </c>
    </row>
    <row r="4998" spans="1:6">
      <c r="A4998" s="10">
        <v>2021</v>
      </c>
      <c r="B4998" t="s">
        <v>1354</v>
      </c>
      <c r="C4998" t="s">
        <v>2037</v>
      </c>
      <c r="D4998" t="s">
        <v>2037</v>
      </c>
      <c r="E4998" s="10"/>
    </row>
    <row r="4999" spans="1:6">
      <c r="A4999" s="10">
        <v>2021</v>
      </c>
      <c r="B4999" t="s">
        <v>1355</v>
      </c>
      <c r="C4999" t="s">
        <v>2038</v>
      </c>
      <c r="D4999" t="s">
        <v>2038</v>
      </c>
      <c r="E4999" s="10">
        <v>5039931</v>
      </c>
      <c r="F4999" s="12">
        <v>3.8482999999999998E-3</v>
      </c>
    </row>
    <row r="5000" spans="1:6">
      <c r="A5000" s="10">
        <v>2021</v>
      </c>
      <c r="B5000" t="s">
        <v>1357</v>
      </c>
      <c r="C5000" t="s">
        <v>2039</v>
      </c>
      <c r="D5000" t="s">
        <v>2039</v>
      </c>
      <c r="E5000" s="10">
        <v>171523</v>
      </c>
      <c r="F5000" s="12">
        <v>1.3100000000000001E-4</v>
      </c>
    </row>
    <row r="5001" spans="1:6">
      <c r="A5001" s="10">
        <v>2021</v>
      </c>
      <c r="B5001" t="s">
        <v>2043</v>
      </c>
      <c r="C5001" t="s">
        <v>2040</v>
      </c>
      <c r="D5001" t="s">
        <v>2040</v>
      </c>
      <c r="E5001" s="10">
        <v>36035</v>
      </c>
      <c r="F5001" s="12">
        <v>2.7500000000000001E-5</v>
      </c>
    </row>
    <row r="5002" spans="1:6">
      <c r="A5002" s="10">
        <v>2021</v>
      </c>
      <c r="B5002" t="s">
        <v>1358</v>
      </c>
      <c r="C5002" t="s">
        <v>2041</v>
      </c>
      <c r="D5002" t="s">
        <v>2041</v>
      </c>
      <c r="E5002" s="10">
        <v>6100589</v>
      </c>
      <c r="F5002" s="12">
        <v>4.6581000000000001E-3</v>
      </c>
    </row>
    <row r="5003" spans="1:6">
      <c r="A5003" s="10">
        <v>2021</v>
      </c>
      <c r="B5003" t="s">
        <v>466</v>
      </c>
      <c r="C5003" t="s">
        <v>2042</v>
      </c>
      <c r="D5003" t="s">
        <v>2042</v>
      </c>
      <c r="E5003" s="10">
        <v>3597404</v>
      </c>
      <c r="F5003" s="12">
        <v>2.7468000000000002E-3</v>
      </c>
    </row>
    <row r="5004" spans="1:6">
      <c r="A5004" s="10">
        <v>2022</v>
      </c>
      <c r="B5004" t="s">
        <v>59</v>
      </c>
      <c r="C5004" t="s">
        <v>6</v>
      </c>
      <c r="D5004" t="s">
        <v>6</v>
      </c>
      <c r="E5004" s="10"/>
    </row>
    <row r="5005" spans="1:6">
      <c r="A5005" s="10">
        <v>2022</v>
      </c>
      <c r="B5005" t="s">
        <v>60</v>
      </c>
      <c r="C5005" t="s">
        <v>7</v>
      </c>
      <c r="D5005" t="s">
        <v>7</v>
      </c>
      <c r="E5005" s="10">
        <v>368671</v>
      </c>
      <c r="F5005" s="12">
        <v>2.5789999999999998E-4</v>
      </c>
    </row>
    <row r="5006" spans="1:6">
      <c r="A5006" s="10">
        <v>2022</v>
      </c>
      <c r="B5006" t="s">
        <v>61</v>
      </c>
      <c r="C5006" t="s">
        <v>1487</v>
      </c>
      <c r="D5006" t="s">
        <v>1487</v>
      </c>
      <c r="E5006" s="10">
        <v>94214</v>
      </c>
      <c r="F5006" s="12">
        <v>6.5900000000000003E-5</v>
      </c>
    </row>
    <row r="5007" spans="1:6">
      <c r="A5007" s="10">
        <v>2022</v>
      </c>
      <c r="B5007" t="s">
        <v>62</v>
      </c>
      <c r="C5007" t="s">
        <v>9</v>
      </c>
      <c r="D5007" t="s">
        <v>9</v>
      </c>
      <c r="E5007" s="10">
        <v>94205</v>
      </c>
      <c r="F5007" s="12">
        <v>6.5900000000000003E-5</v>
      </c>
    </row>
    <row r="5008" spans="1:6">
      <c r="A5008" s="10">
        <v>2022</v>
      </c>
      <c r="B5008" t="s">
        <v>63</v>
      </c>
      <c r="C5008" t="s">
        <v>1488</v>
      </c>
      <c r="D5008" t="s">
        <v>1488</v>
      </c>
      <c r="E5008" s="10">
        <v>171932</v>
      </c>
      <c r="F5008" s="12">
        <v>1.203E-4</v>
      </c>
    </row>
    <row r="5009" spans="1:6">
      <c r="A5009" s="10">
        <v>2022</v>
      </c>
      <c r="B5009" t="s">
        <v>64</v>
      </c>
      <c r="C5009" t="s">
        <v>1489</v>
      </c>
      <c r="D5009" t="s">
        <v>1489</v>
      </c>
      <c r="E5009" s="10">
        <v>6615861</v>
      </c>
      <c r="F5009" s="12">
        <v>4.6274999999999997E-3</v>
      </c>
    </row>
    <row r="5010" spans="1:6">
      <c r="A5010" s="10">
        <v>2022</v>
      </c>
      <c r="B5010" t="s">
        <v>65</v>
      </c>
      <c r="C5010" t="s">
        <v>1490</v>
      </c>
      <c r="D5010" t="s">
        <v>1490</v>
      </c>
      <c r="E5010" s="10">
        <v>116401</v>
      </c>
      <c r="F5010" s="12">
        <v>8.14E-5</v>
      </c>
    </row>
    <row r="5011" spans="1:6">
      <c r="A5011" s="10">
        <v>2022</v>
      </c>
      <c r="B5011" t="s">
        <v>66</v>
      </c>
      <c r="C5011" t="s">
        <v>1491</v>
      </c>
      <c r="D5011" t="s">
        <v>1491</v>
      </c>
      <c r="E5011" s="10">
        <v>36173</v>
      </c>
      <c r="F5011" s="12">
        <v>2.5299999999999998E-5</v>
      </c>
    </row>
    <row r="5012" spans="1:6">
      <c r="A5012" s="10">
        <v>2022</v>
      </c>
      <c r="B5012" t="s">
        <v>67</v>
      </c>
      <c r="C5012" t="s">
        <v>1492</v>
      </c>
      <c r="D5012" t="s">
        <v>1492</v>
      </c>
      <c r="E5012" s="10">
        <v>212680</v>
      </c>
      <c r="F5012" s="12">
        <v>1.4880000000000001E-4</v>
      </c>
    </row>
    <row r="5013" spans="1:6">
      <c r="A5013" s="10">
        <v>2022</v>
      </c>
      <c r="B5013" t="s">
        <v>68</v>
      </c>
      <c r="C5013" t="s">
        <v>1493</v>
      </c>
      <c r="D5013" t="s">
        <v>1493</v>
      </c>
      <c r="E5013" s="10">
        <v>3752</v>
      </c>
      <c r="F5013" s="12">
        <v>2.6000000000000001E-6</v>
      </c>
    </row>
    <row r="5014" spans="1:6">
      <c r="A5014" s="10">
        <v>2022</v>
      </c>
      <c r="B5014" t="s">
        <v>69</v>
      </c>
      <c r="C5014" t="s">
        <v>1494</v>
      </c>
      <c r="D5014" t="s">
        <v>1494</v>
      </c>
      <c r="E5014" s="10">
        <v>419053</v>
      </c>
      <c r="F5014" s="12">
        <v>2.9310000000000002E-4</v>
      </c>
    </row>
    <row r="5015" spans="1:6">
      <c r="A5015" s="10">
        <v>2022</v>
      </c>
      <c r="B5015" t="s">
        <v>70</v>
      </c>
      <c r="C5015" t="s">
        <v>1495</v>
      </c>
      <c r="D5015" t="s">
        <v>1495</v>
      </c>
      <c r="E5015" s="10">
        <v>8716981</v>
      </c>
      <c r="F5015" s="12">
        <v>6.0971999999999997E-3</v>
      </c>
    </row>
    <row r="5016" spans="1:6">
      <c r="A5016" s="10">
        <v>2022</v>
      </c>
      <c r="B5016" t="s">
        <v>71</v>
      </c>
      <c r="C5016" t="s">
        <v>1496</v>
      </c>
      <c r="D5016" t="s">
        <v>1496</v>
      </c>
      <c r="E5016" s="10">
        <v>80516</v>
      </c>
      <c r="F5016" s="12">
        <v>5.63E-5</v>
      </c>
    </row>
    <row r="5017" spans="1:6">
      <c r="A5017" s="10">
        <v>2022</v>
      </c>
      <c r="B5017" t="s">
        <v>72</v>
      </c>
      <c r="C5017" t="s">
        <v>1497</v>
      </c>
      <c r="D5017" t="s">
        <v>1497</v>
      </c>
      <c r="E5017" s="10">
        <v>359355</v>
      </c>
      <c r="F5017" s="12">
        <v>2.5139999999999999E-4</v>
      </c>
    </row>
    <row r="5018" spans="1:6">
      <c r="A5018" s="10">
        <v>2022</v>
      </c>
      <c r="B5018" t="s">
        <v>74</v>
      </c>
      <c r="C5018" t="s">
        <v>1498</v>
      </c>
      <c r="D5018" t="s">
        <v>1498</v>
      </c>
      <c r="E5018" s="10">
        <v>32237</v>
      </c>
      <c r="F5018" s="12">
        <v>2.2500000000000001E-5</v>
      </c>
    </row>
    <row r="5019" spans="1:6">
      <c r="A5019" s="10">
        <v>2022</v>
      </c>
      <c r="B5019" t="s">
        <v>75</v>
      </c>
      <c r="C5019" t="s">
        <v>1365</v>
      </c>
      <c r="D5019" t="s">
        <v>1365</v>
      </c>
      <c r="E5019" s="10">
        <v>973</v>
      </c>
      <c r="F5019" s="12">
        <v>6.9999999999999997E-7</v>
      </c>
    </row>
    <row r="5020" spans="1:6">
      <c r="A5020" s="10">
        <v>2022</v>
      </c>
      <c r="B5020" t="s">
        <v>76</v>
      </c>
      <c r="C5020" t="s">
        <v>1499</v>
      </c>
      <c r="D5020" t="s">
        <v>1499</v>
      </c>
      <c r="E5020" s="10">
        <v>9246219</v>
      </c>
      <c r="F5020" s="12">
        <v>6.4673999999999999E-3</v>
      </c>
    </row>
    <row r="5021" spans="1:6">
      <c r="A5021" s="10">
        <v>2022</v>
      </c>
      <c r="B5021" t="s">
        <v>77</v>
      </c>
      <c r="C5021" t="s">
        <v>1500</v>
      </c>
      <c r="D5021" t="s">
        <v>1500</v>
      </c>
      <c r="E5021" s="10">
        <v>187353</v>
      </c>
      <c r="F5021" s="12">
        <v>1.3100000000000001E-4</v>
      </c>
    </row>
    <row r="5022" spans="1:6">
      <c r="A5022" s="10">
        <v>2022</v>
      </c>
      <c r="B5022" t="s">
        <v>78</v>
      </c>
      <c r="C5022" t="s">
        <v>25</v>
      </c>
      <c r="D5022" t="s">
        <v>25</v>
      </c>
      <c r="E5022" s="10">
        <v>1629631</v>
      </c>
      <c r="F5022" s="12">
        <v>1.1398999999999999E-3</v>
      </c>
    </row>
    <row r="5023" spans="1:6">
      <c r="A5023" s="10">
        <v>2022</v>
      </c>
      <c r="B5023" t="s">
        <v>79</v>
      </c>
      <c r="C5023" t="s">
        <v>1502</v>
      </c>
      <c r="D5023" t="s">
        <v>1502</v>
      </c>
      <c r="E5023" s="10">
        <v>17018</v>
      </c>
      <c r="F5023" s="12">
        <v>1.19E-5</v>
      </c>
    </row>
    <row r="5024" spans="1:6">
      <c r="A5024" s="10">
        <v>2022</v>
      </c>
      <c r="B5024" t="s">
        <v>80</v>
      </c>
      <c r="C5024" t="s">
        <v>1503</v>
      </c>
      <c r="D5024" t="s">
        <v>1503</v>
      </c>
      <c r="E5024" s="10">
        <v>2038294</v>
      </c>
      <c r="F5024" s="12">
        <v>1.4257E-3</v>
      </c>
    </row>
    <row r="5025" spans="1:6">
      <c r="A5025" s="10">
        <v>2022</v>
      </c>
      <c r="B5025" t="s">
        <v>1324</v>
      </c>
      <c r="C5025" t="s">
        <v>1504</v>
      </c>
      <c r="D5025" t="s">
        <v>1504</v>
      </c>
      <c r="E5025" s="10">
        <v>111158</v>
      </c>
      <c r="F5025" s="12">
        <v>7.7799999999999994E-5</v>
      </c>
    </row>
    <row r="5026" spans="1:6">
      <c r="A5026" s="10">
        <v>2022</v>
      </c>
      <c r="B5026" t="s">
        <v>369</v>
      </c>
      <c r="C5026" t="s">
        <v>1505</v>
      </c>
      <c r="D5026" t="s">
        <v>1505</v>
      </c>
      <c r="E5026" s="10">
        <v>1283556</v>
      </c>
      <c r="F5026" s="12">
        <v>8.9780000000000003E-4</v>
      </c>
    </row>
    <row r="5027" spans="1:6">
      <c r="A5027" s="10">
        <v>2022</v>
      </c>
      <c r="B5027" t="s">
        <v>81</v>
      </c>
      <c r="C5027" t="s">
        <v>1506</v>
      </c>
      <c r="D5027" t="s">
        <v>1506</v>
      </c>
      <c r="E5027" s="10">
        <v>203810</v>
      </c>
      <c r="F5027" s="12">
        <v>1.426E-4</v>
      </c>
    </row>
    <row r="5028" spans="1:6">
      <c r="A5028" s="10">
        <v>2022</v>
      </c>
      <c r="B5028" t="s">
        <v>1371</v>
      </c>
      <c r="C5028" t="s">
        <v>1507</v>
      </c>
      <c r="D5028" t="s">
        <v>1507</v>
      </c>
      <c r="E5028" s="10">
        <v>14412</v>
      </c>
      <c r="F5028" s="12">
        <v>1.01E-5</v>
      </c>
    </row>
    <row r="5029" spans="1:6">
      <c r="A5029" s="10">
        <v>2022</v>
      </c>
      <c r="B5029" t="s">
        <v>58</v>
      </c>
      <c r="C5029" t="s">
        <v>1508</v>
      </c>
      <c r="D5029" t="s">
        <v>1508</v>
      </c>
      <c r="E5029" s="10">
        <v>791560</v>
      </c>
      <c r="F5029" s="12">
        <v>5.5369999999999996E-4</v>
      </c>
    </row>
    <row r="5030" spans="1:6">
      <c r="A5030" s="10">
        <v>2022</v>
      </c>
      <c r="B5030" t="s">
        <v>82</v>
      </c>
      <c r="C5030" t="s">
        <v>1509</v>
      </c>
      <c r="D5030" t="s">
        <v>1509</v>
      </c>
      <c r="E5030" s="10">
        <v>48703</v>
      </c>
      <c r="F5030" s="12">
        <v>3.4100000000000002E-5</v>
      </c>
    </row>
    <row r="5031" spans="1:6">
      <c r="A5031" s="10">
        <v>2022</v>
      </c>
      <c r="B5031" t="s">
        <v>83</v>
      </c>
      <c r="C5031" t="s">
        <v>30</v>
      </c>
      <c r="D5031" t="s">
        <v>30</v>
      </c>
      <c r="E5031" s="10">
        <v>8420553</v>
      </c>
      <c r="F5031" s="12">
        <v>5.8899E-3</v>
      </c>
    </row>
    <row r="5032" spans="1:6">
      <c r="A5032" s="10">
        <v>2022</v>
      </c>
      <c r="B5032" t="s">
        <v>84</v>
      </c>
      <c r="C5032" t="s">
        <v>31</v>
      </c>
      <c r="D5032" t="s">
        <v>31</v>
      </c>
      <c r="E5032" s="10"/>
    </row>
    <row r="5033" spans="1:6">
      <c r="A5033" s="10">
        <v>2022</v>
      </c>
      <c r="B5033" t="s">
        <v>1426</v>
      </c>
      <c r="C5033" t="s">
        <v>1510</v>
      </c>
      <c r="D5033" t="s">
        <v>1510</v>
      </c>
      <c r="E5033" s="10">
        <v>4854</v>
      </c>
      <c r="F5033" s="12">
        <v>3.4000000000000001E-6</v>
      </c>
    </row>
    <row r="5034" spans="1:6">
      <c r="A5034" s="10">
        <v>2022</v>
      </c>
      <c r="B5034" t="s">
        <v>91</v>
      </c>
      <c r="C5034" t="s">
        <v>1511</v>
      </c>
      <c r="D5034" t="s">
        <v>1511</v>
      </c>
      <c r="E5034" s="10">
        <v>18489</v>
      </c>
      <c r="F5034" s="12">
        <v>1.29E-5</v>
      </c>
    </row>
    <row r="5035" spans="1:6">
      <c r="A5035" s="10">
        <v>2022</v>
      </c>
      <c r="B5035" t="s">
        <v>97</v>
      </c>
      <c r="C5035" t="s">
        <v>1512</v>
      </c>
      <c r="D5035" t="s">
        <v>1512</v>
      </c>
      <c r="E5035" s="10">
        <v>71021</v>
      </c>
      <c r="F5035" s="12">
        <v>4.9700000000000002E-5</v>
      </c>
    </row>
    <row r="5036" spans="1:6">
      <c r="A5036" s="10">
        <v>2022</v>
      </c>
      <c r="B5036" t="s">
        <v>98</v>
      </c>
      <c r="C5036" t="s">
        <v>1513</v>
      </c>
      <c r="D5036" t="s">
        <v>1513</v>
      </c>
      <c r="E5036" s="10">
        <v>39778</v>
      </c>
      <c r="F5036" s="12">
        <v>2.7800000000000001E-5</v>
      </c>
    </row>
    <row r="5037" spans="1:6">
      <c r="A5037" s="10">
        <v>2022</v>
      </c>
      <c r="B5037" t="s">
        <v>99</v>
      </c>
      <c r="C5037" t="s">
        <v>1514</v>
      </c>
      <c r="D5037" t="s">
        <v>1514</v>
      </c>
      <c r="E5037" s="10">
        <v>16664</v>
      </c>
      <c r="F5037" s="12">
        <v>1.17E-5</v>
      </c>
    </row>
    <row r="5038" spans="1:6">
      <c r="A5038" s="10">
        <v>2022</v>
      </c>
      <c r="B5038" t="s">
        <v>210</v>
      </c>
      <c r="C5038" t="s">
        <v>1515</v>
      </c>
      <c r="D5038" t="s">
        <v>1515</v>
      </c>
      <c r="E5038" s="10"/>
    </row>
    <row r="5039" spans="1:6">
      <c r="A5039" s="10">
        <v>2022</v>
      </c>
      <c r="B5039" t="s">
        <v>85</v>
      </c>
      <c r="C5039" t="s">
        <v>1516</v>
      </c>
      <c r="D5039" t="s">
        <v>1516</v>
      </c>
      <c r="E5039" s="10">
        <v>27834</v>
      </c>
      <c r="F5039" s="12">
        <v>1.95E-5</v>
      </c>
    </row>
    <row r="5040" spans="1:6">
      <c r="A5040" s="10">
        <v>2022</v>
      </c>
      <c r="B5040" t="s">
        <v>102</v>
      </c>
      <c r="C5040" t="s">
        <v>1517</v>
      </c>
      <c r="D5040" t="s">
        <v>1517</v>
      </c>
      <c r="E5040" s="10">
        <v>12881</v>
      </c>
      <c r="F5040" s="12">
        <v>9.0000000000000002E-6</v>
      </c>
    </row>
    <row r="5041" spans="1:6">
      <c r="A5041" s="10">
        <v>2022</v>
      </c>
      <c r="B5041" t="s">
        <v>104</v>
      </c>
      <c r="C5041" t="s">
        <v>1518</v>
      </c>
      <c r="D5041" t="s">
        <v>1518</v>
      </c>
      <c r="E5041" s="10">
        <v>55758</v>
      </c>
      <c r="F5041" s="12">
        <v>3.8999999999999999E-5</v>
      </c>
    </row>
    <row r="5042" spans="1:6">
      <c r="A5042" s="10">
        <v>2022</v>
      </c>
      <c r="B5042" t="s">
        <v>106</v>
      </c>
      <c r="C5042" t="s">
        <v>1519</v>
      </c>
      <c r="D5042" t="s">
        <v>1519</v>
      </c>
      <c r="E5042" s="10">
        <v>9539</v>
      </c>
      <c r="F5042" s="12">
        <v>6.7000000000000002E-6</v>
      </c>
    </row>
    <row r="5043" spans="1:6">
      <c r="A5043" s="10">
        <v>2022</v>
      </c>
      <c r="B5043" t="s">
        <v>107</v>
      </c>
      <c r="C5043" t="s">
        <v>1520</v>
      </c>
      <c r="D5043" t="s">
        <v>1520</v>
      </c>
      <c r="E5043" s="10">
        <v>34607</v>
      </c>
      <c r="F5043" s="12">
        <v>2.4199999999999999E-5</v>
      </c>
    </row>
    <row r="5044" spans="1:6">
      <c r="A5044" s="10">
        <v>2022</v>
      </c>
      <c r="B5044" t="s">
        <v>108</v>
      </c>
      <c r="C5044" t="s">
        <v>1521</v>
      </c>
      <c r="D5044" t="s">
        <v>1521</v>
      </c>
      <c r="E5044" s="10">
        <v>377508</v>
      </c>
      <c r="F5044" s="12">
        <v>2.6410000000000002E-4</v>
      </c>
    </row>
    <row r="5045" spans="1:6">
      <c r="A5045" s="10">
        <v>2022</v>
      </c>
      <c r="B5045" t="s">
        <v>109</v>
      </c>
      <c r="C5045" t="s">
        <v>1522</v>
      </c>
      <c r="D5045" t="s">
        <v>1522</v>
      </c>
      <c r="E5045" s="10">
        <v>18274</v>
      </c>
      <c r="F5045" s="12">
        <v>1.2799999999999999E-5</v>
      </c>
    </row>
    <row r="5046" spans="1:6">
      <c r="A5046" s="10">
        <v>2022</v>
      </c>
      <c r="B5046" t="s">
        <v>1140</v>
      </c>
      <c r="C5046" t="s">
        <v>1525</v>
      </c>
      <c r="D5046" t="s">
        <v>1525</v>
      </c>
      <c r="E5046" s="10">
        <v>544310</v>
      </c>
      <c r="F5046" s="12">
        <v>3.8069999999999998E-4</v>
      </c>
    </row>
    <row r="5047" spans="1:6">
      <c r="A5047" s="10">
        <v>2022</v>
      </c>
      <c r="B5047" t="s">
        <v>168</v>
      </c>
      <c r="C5047" t="s">
        <v>113</v>
      </c>
      <c r="D5047" t="s">
        <v>113</v>
      </c>
      <c r="E5047" s="10">
        <v>72708</v>
      </c>
      <c r="F5047" s="12">
        <v>5.0899999999999997E-5</v>
      </c>
    </row>
    <row r="5048" spans="1:6">
      <c r="A5048" s="10">
        <v>2022</v>
      </c>
      <c r="B5048" t="s">
        <v>170</v>
      </c>
      <c r="C5048" t="s">
        <v>1526</v>
      </c>
      <c r="D5048" t="s">
        <v>1526</v>
      </c>
      <c r="E5048" s="10">
        <v>6391</v>
      </c>
      <c r="F5048" s="12">
        <v>4.5000000000000001E-6</v>
      </c>
    </row>
    <row r="5049" spans="1:6">
      <c r="A5049" s="10">
        <v>2022</v>
      </c>
      <c r="B5049" t="s">
        <v>169</v>
      </c>
      <c r="C5049" t="s">
        <v>1527</v>
      </c>
      <c r="D5049" t="s">
        <v>1527</v>
      </c>
      <c r="E5049" s="10">
        <v>138972</v>
      </c>
      <c r="F5049" s="12">
        <v>9.7200000000000004E-5</v>
      </c>
    </row>
    <row r="5050" spans="1:6">
      <c r="A5050" s="10">
        <v>2022</v>
      </c>
      <c r="B5050" t="s">
        <v>1381</v>
      </c>
      <c r="C5050" t="s">
        <v>1528</v>
      </c>
      <c r="D5050" t="s">
        <v>1528</v>
      </c>
      <c r="E5050" s="10">
        <v>8197</v>
      </c>
      <c r="F5050" s="12">
        <v>5.6999999999999996E-6</v>
      </c>
    </row>
    <row r="5051" spans="1:6">
      <c r="A5051" s="10">
        <v>2022</v>
      </c>
      <c r="B5051" t="s">
        <v>171</v>
      </c>
      <c r="C5051" t="s">
        <v>1529</v>
      </c>
      <c r="D5051" t="s">
        <v>1529</v>
      </c>
      <c r="E5051" s="10">
        <v>71491</v>
      </c>
      <c r="F5051" s="12">
        <v>5.0000000000000002E-5</v>
      </c>
    </row>
    <row r="5052" spans="1:6">
      <c r="A5052" s="10">
        <v>2022</v>
      </c>
      <c r="B5052" t="s">
        <v>1427</v>
      </c>
      <c r="C5052" t="s">
        <v>1530</v>
      </c>
      <c r="D5052" t="s">
        <v>1530</v>
      </c>
      <c r="E5052" s="10">
        <v>694531</v>
      </c>
      <c r="F5052" s="12">
        <v>4.8579999999999999E-4</v>
      </c>
    </row>
    <row r="5053" spans="1:6">
      <c r="A5053" s="10">
        <v>2022</v>
      </c>
      <c r="B5053" t="s">
        <v>172</v>
      </c>
      <c r="C5053" t="s">
        <v>117</v>
      </c>
      <c r="D5053" t="s">
        <v>117</v>
      </c>
      <c r="E5053" s="10">
        <v>1800499</v>
      </c>
      <c r="F5053" s="12">
        <v>1.2593999999999999E-3</v>
      </c>
    </row>
    <row r="5054" spans="1:6">
      <c r="A5054" s="10">
        <v>2022</v>
      </c>
      <c r="B5054" t="s">
        <v>173</v>
      </c>
      <c r="C5054" t="s">
        <v>1531</v>
      </c>
      <c r="D5054" t="s">
        <v>1531</v>
      </c>
      <c r="E5054" s="10">
        <v>166140</v>
      </c>
      <c r="F5054" s="12">
        <v>1.1620000000000001E-4</v>
      </c>
    </row>
    <row r="5055" spans="1:6">
      <c r="A5055" s="10">
        <v>2022</v>
      </c>
      <c r="B5055" t="s">
        <v>174</v>
      </c>
      <c r="C5055" t="s">
        <v>119</v>
      </c>
      <c r="D5055" t="s">
        <v>119</v>
      </c>
      <c r="E5055" s="10">
        <v>100092</v>
      </c>
      <c r="F5055" s="12">
        <v>6.9999999999999994E-5</v>
      </c>
    </row>
    <row r="5056" spans="1:6">
      <c r="A5056" s="10">
        <v>2022</v>
      </c>
      <c r="B5056" t="s">
        <v>175</v>
      </c>
      <c r="C5056" t="s">
        <v>1532</v>
      </c>
      <c r="D5056" t="s">
        <v>1532</v>
      </c>
      <c r="E5056" s="10">
        <v>536756</v>
      </c>
      <c r="F5056" s="12">
        <v>3.7540000000000002E-4</v>
      </c>
    </row>
    <row r="5057" spans="1:6">
      <c r="A5057" s="10">
        <v>2022</v>
      </c>
      <c r="B5057" t="s">
        <v>176</v>
      </c>
      <c r="C5057" t="s">
        <v>1533</v>
      </c>
      <c r="D5057" t="s">
        <v>1533</v>
      </c>
      <c r="E5057" s="10">
        <v>228251</v>
      </c>
      <c r="F5057" s="12">
        <v>1.5970000000000001E-4</v>
      </c>
    </row>
    <row r="5058" spans="1:6">
      <c r="A5058" s="10">
        <v>2022</v>
      </c>
      <c r="B5058" t="s">
        <v>177</v>
      </c>
      <c r="C5058" t="s">
        <v>122</v>
      </c>
      <c r="D5058" t="s">
        <v>122</v>
      </c>
      <c r="E5058" s="10">
        <v>170486</v>
      </c>
      <c r="F5058" s="12">
        <v>1.192E-4</v>
      </c>
    </row>
    <row r="5059" spans="1:6">
      <c r="A5059" s="10">
        <v>2022</v>
      </c>
      <c r="B5059" t="s">
        <v>178</v>
      </c>
      <c r="C5059" t="s">
        <v>1534</v>
      </c>
      <c r="D5059" t="s">
        <v>1534</v>
      </c>
      <c r="E5059" s="10">
        <v>4081015</v>
      </c>
      <c r="F5059" s="12">
        <v>2.8544999999999998E-3</v>
      </c>
    </row>
    <row r="5060" spans="1:6">
      <c r="A5060" s="10">
        <v>2022</v>
      </c>
      <c r="B5060" t="s">
        <v>181</v>
      </c>
      <c r="C5060" t="s">
        <v>1535</v>
      </c>
      <c r="D5060" t="s">
        <v>1535</v>
      </c>
      <c r="E5060" s="10">
        <v>1434992</v>
      </c>
      <c r="F5060" s="12">
        <v>1.0036999999999999E-3</v>
      </c>
    </row>
    <row r="5061" spans="1:6">
      <c r="A5061" s="10">
        <v>2022</v>
      </c>
      <c r="B5061" t="s">
        <v>1382</v>
      </c>
      <c r="C5061" t="s">
        <v>1536</v>
      </c>
      <c r="D5061" t="s">
        <v>1536</v>
      </c>
      <c r="E5061" s="10">
        <v>14350401</v>
      </c>
      <c r="F5061" s="12">
        <v>1.0037600000000001E-2</v>
      </c>
    </row>
    <row r="5062" spans="1:6">
      <c r="A5062" s="10">
        <v>2022</v>
      </c>
      <c r="B5062" t="s">
        <v>182</v>
      </c>
      <c r="C5062" t="s">
        <v>1537</v>
      </c>
      <c r="D5062" t="s">
        <v>1537</v>
      </c>
      <c r="E5062" s="10">
        <v>7073465</v>
      </c>
      <c r="F5062" s="12">
        <v>4.9475999999999999E-3</v>
      </c>
    </row>
    <row r="5063" spans="1:6">
      <c r="A5063" s="10">
        <v>2022</v>
      </c>
      <c r="B5063" t="s">
        <v>183</v>
      </c>
      <c r="C5063" t="s">
        <v>1538</v>
      </c>
      <c r="D5063" t="s">
        <v>1538</v>
      </c>
      <c r="E5063" s="10">
        <v>44241857</v>
      </c>
      <c r="F5063" s="12">
        <v>3.0945500000000001E-2</v>
      </c>
    </row>
    <row r="5064" spans="1:6">
      <c r="A5064" s="10">
        <v>2022</v>
      </c>
      <c r="B5064" t="s">
        <v>184</v>
      </c>
      <c r="C5064" t="s">
        <v>1539</v>
      </c>
      <c r="D5064" t="s">
        <v>1539</v>
      </c>
      <c r="E5064" s="10">
        <v>4354981</v>
      </c>
      <c r="F5064" s="12">
        <v>3.0460999999999999E-3</v>
      </c>
    </row>
    <row r="5065" spans="1:6">
      <c r="A5065" s="10">
        <v>2022</v>
      </c>
      <c r="B5065" t="s">
        <v>185</v>
      </c>
      <c r="C5065" t="s">
        <v>1540</v>
      </c>
      <c r="D5065" t="s">
        <v>1540</v>
      </c>
      <c r="E5065" s="10">
        <v>1971690</v>
      </c>
      <c r="F5065" s="12">
        <v>1.3791000000000001E-3</v>
      </c>
    </row>
    <row r="5066" spans="1:6">
      <c r="A5066" s="10">
        <v>2022</v>
      </c>
      <c r="B5066" t="s">
        <v>186</v>
      </c>
      <c r="C5066" t="s">
        <v>1541</v>
      </c>
      <c r="D5066" t="s">
        <v>1541</v>
      </c>
      <c r="E5066" s="10">
        <v>3551761</v>
      </c>
      <c r="F5066" s="12">
        <v>2.4843E-3</v>
      </c>
    </row>
    <row r="5067" spans="1:6">
      <c r="A5067" s="10">
        <v>2022</v>
      </c>
      <c r="B5067" t="s">
        <v>187</v>
      </c>
      <c r="C5067" t="s">
        <v>1542</v>
      </c>
      <c r="D5067" t="s">
        <v>1542</v>
      </c>
      <c r="E5067" s="10"/>
    </row>
    <row r="5068" spans="1:6">
      <c r="A5068" s="10">
        <v>2022</v>
      </c>
      <c r="B5068" t="s">
        <v>189</v>
      </c>
      <c r="C5068" t="s">
        <v>1544</v>
      </c>
      <c r="D5068" t="s">
        <v>1544</v>
      </c>
      <c r="E5068" s="10">
        <v>716871</v>
      </c>
      <c r="F5068" s="12">
        <v>5.0140000000000004E-4</v>
      </c>
    </row>
    <row r="5069" spans="1:6">
      <c r="A5069" s="10">
        <v>2022</v>
      </c>
      <c r="B5069" t="s">
        <v>190</v>
      </c>
      <c r="C5069" t="s">
        <v>1546</v>
      </c>
      <c r="D5069" t="s">
        <v>1546</v>
      </c>
      <c r="E5069" s="10">
        <v>10628444</v>
      </c>
      <c r="F5069" s="12">
        <v>7.4342000000000002E-3</v>
      </c>
    </row>
    <row r="5070" spans="1:6">
      <c r="A5070" s="10">
        <v>2022</v>
      </c>
      <c r="B5070" t="s">
        <v>191</v>
      </c>
      <c r="C5070" t="s">
        <v>1547</v>
      </c>
      <c r="D5070" t="s">
        <v>1547</v>
      </c>
      <c r="E5070" s="10">
        <v>204143</v>
      </c>
      <c r="F5070" s="12">
        <v>1.428E-4</v>
      </c>
    </row>
    <row r="5071" spans="1:6">
      <c r="A5071" s="10">
        <v>2022</v>
      </c>
      <c r="B5071" t="s">
        <v>192</v>
      </c>
      <c r="C5071" t="s">
        <v>1548</v>
      </c>
      <c r="D5071" t="s">
        <v>1548</v>
      </c>
      <c r="E5071" s="10">
        <v>559309</v>
      </c>
      <c r="F5071" s="12">
        <v>3.9120000000000002E-4</v>
      </c>
    </row>
    <row r="5072" spans="1:6">
      <c r="A5072" s="10">
        <v>2022</v>
      </c>
      <c r="B5072" t="s">
        <v>193</v>
      </c>
      <c r="C5072" t="s">
        <v>1549</v>
      </c>
      <c r="D5072" t="s">
        <v>1549</v>
      </c>
      <c r="E5072" s="10">
        <v>1004125</v>
      </c>
      <c r="F5072" s="12">
        <v>7.0229999999999999E-4</v>
      </c>
    </row>
    <row r="5073" spans="1:6">
      <c r="A5073" s="10">
        <v>2022</v>
      </c>
      <c r="B5073" t="s">
        <v>194</v>
      </c>
      <c r="C5073" t="s">
        <v>1550</v>
      </c>
      <c r="D5073" t="s">
        <v>1550</v>
      </c>
      <c r="E5073" s="10">
        <v>630941</v>
      </c>
      <c r="F5073" s="12">
        <v>4.4129999999999999E-4</v>
      </c>
    </row>
    <row r="5074" spans="1:6">
      <c r="A5074" s="10">
        <v>2022</v>
      </c>
      <c r="B5074" t="s">
        <v>196</v>
      </c>
      <c r="C5074" t="s">
        <v>1551</v>
      </c>
      <c r="D5074" t="s">
        <v>1551</v>
      </c>
      <c r="E5074" s="10">
        <v>131044</v>
      </c>
      <c r="F5074" s="12">
        <v>9.1700000000000006E-5</v>
      </c>
    </row>
    <row r="5075" spans="1:6">
      <c r="A5075" s="10">
        <v>2022</v>
      </c>
      <c r="B5075" t="s">
        <v>197</v>
      </c>
      <c r="C5075" t="s">
        <v>1552</v>
      </c>
      <c r="D5075" t="s">
        <v>1552</v>
      </c>
      <c r="E5075" s="10">
        <v>6364797</v>
      </c>
      <c r="F5075" s="12">
        <v>4.4519E-3</v>
      </c>
    </row>
    <row r="5076" spans="1:6">
      <c r="A5076" s="10">
        <v>2022</v>
      </c>
      <c r="B5076" t="s">
        <v>198</v>
      </c>
      <c r="C5076" t="s">
        <v>1553</v>
      </c>
      <c r="D5076" t="s">
        <v>1553</v>
      </c>
      <c r="E5076" s="10">
        <v>145898</v>
      </c>
      <c r="F5076" s="12">
        <v>1.021E-4</v>
      </c>
    </row>
    <row r="5077" spans="1:6">
      <c r="A5077" s="10">
        <v>2022</v>
      </c>
      <c r="B5077" t="s">
        <v>199</v>
      </c>
      <c r="C5077" t="s">
        <v>1554</v>
      </c>
      <c r="D5077" t="s">
        <v>1554</v>
      </c>
      <c r="E5077" s="10">
        <v>3772182</v>
      </c>
      <c r="F5077" s="12">
        <v>2.6384999999999998E-3</v>
      </c>
    </row>
    <row r="5078" spans="1:6">
      <c r="A5078" s="10">
        <v>2022</v>
      </c>
      <c r="B5078" t="s">
        <v>200</v>
      </c>
      <c r="C5078" t="s">
        <v>1555</v>
      </c>
      <c r="D5078" t="s">
        <v>1555</v>
      </c>
      <c r="E5078" s="10">
        <v>23418166</v>
      </c>
      <c r="F5078" s="12">
        <v>1.6380100000000002E-2</v>
      </c>
    </row>
    <row r="5079" spans="1:6">
      <c r="A5079" s="10">
        <v>2022</v>
      </c>
      <c r="B5079" t="s">
        <v>201</v>
      </c>
      <c r="C5079" t="s">
        <v>1556</v>
      </c>
      <c r="D5079" t="s">
        <v>1556</v>
      </c>
      <c r="E5079" s="10">
        <v>1873224</v>
      </c>
      <c r="F5079" s="12">
        <v>1.3102000000000001E-3</v>
      </c>
    </row>
    <row r="5080" spans="1:6">
      <c r="A5080" s="10">
        <v>2022</v>
      </c>
      <c r="B5080" t="s">
        <v>202</v>
      </c>
      <c r="C5080" t="s">
        <v>1557</v>
      </c>
      <c r="D5080" t="s">
        <v>1557</v>
      </c>
      <c r="E5080" s="10">
        <v>1484237</v>
      </c>
      <c r="F5080" s="12">
        <v>1.0382E-3</v>
      </c>
    </row>
    <row r="5081" spans="1:6">
      <c r="A5081" s="10">
        <v>2022</v>
      </c>
      <c r="B5081" t="s">
        <v>204</v>
      </c>
      <c r="C5081" t="s">
        <v>1559</v>
      </c>
      <c r="D5081" t="s">
        <v>1559</v>
      </c>
      <c r="E5081" s="10">
        <v>1111781</v>
      </c>
      <c r="F5081" s="12">
        <v>7.7760000000000004E-4</v>
      </c>
    </row>
    <row r="5082" spans="1:6">
      <c r="A5082" s="10">
        <v>2022</v>
      </c>
      <c r="B5082" t="s">
        <v>205</v>
      </c>
      <c r="C5082" t="s">
        <v>150</v>
      </c>
      <c r="D5082" t="s">
        <v>150</v>
      </c>
      <c r="E5082" s="10">
        <v>194942</v>
      </c>
      <c r="F5082" s="12">
        <v>1.3640000000000001E-4</v>
      </c>
    </row>
    <row r="5083" spans="1:6">
      <c r="A5083" s="10">
        <v>2022</v>
      </c>
      <c r="B5083" t="s">
        <v>1563</v>
      </c>
      <c r="C5083" t="s">
        <v>1560</v>
      </c>
      <c r="D5083" t="s">
        <v>1560</v>
      </c>
      <c r="E5083" s="10">
        <v>126453</v>
      </c>
      <c r="F5083" s="12">
        <v>8.8399999999999994E-5</v>
      </c>
    </row>
    <row r="5084" spans="1:6">
      <c r="A5084" s="10">
        <v>2022</v>
      </c>
      <c r="B5084" t="s">
        <v>2088</v>
      </c>
      <c r="C5084" t="s">
        <v>2086</v>
      </c>
      <c r="D5084" t="s">
        <v>2086</v>
      </c>
      <c r="E5084" s="10">
        <v>463226</v>
      </c>
      <c r="F5084" s="12">
        <v>3.2400000000000001E-4</v>
      </c>
    </row>
    <row r="5085" spans="1:6">
      <c r="A5085" s="10">
        <v>2022</v>
      </c>
      <c r="B5085" t="s">
        <v>188</v>
      </c>
      <c r="C5085" t="s">
        <v>1561</v>
      </c>
      <c r="D5085" t="s">
        <v>1561</v>
      </c>
      <c r="E5085" s="10">
        <v>3081198</v>
      </c>
      <c r="F5085" s="12">
        <v>2.1551999999999999E-3</v>
      </c>
    </row>
    <row r="5086" spans="1:6">
      <c r="A5086" s="10">
        <v>2022</v>
      </c>
      <c r="B5086" t="s">
        <v>206</v>
      </c>
      <c r="C5086" t="s">
        <v>1562</v>
      </c>
      <c r="D5086" t="s">
        <v>1562</v>
      </c>
      <c r="E5086" s="10"/>
    </row>
    <row r="5087" spans="1:6">
      <c r="A5087" s="10">
        <v>2022</v>
      </c>
      <c r="B5087" t="s">
        <v>207</v>
      </c>
      <c r="C5087" t="s">
        <v>152</v>
      </c>
      <c r="D5087" t="s">
        <v>152</v>
      </c>
      <c r="E5087" s="10">
        <v>984132</v>
      </c>
      <c r="F5087" s="12">
        <v>6.8840000000000004E-4</v>
      </c>
    </row>
    <row r="5088" spans="1:6">
      <c r="A5088" s="10">
        <v>2022</v>
      </c>
      <c r="B5088" t="s">
        <v>57</v>
      </c>
      <c r="C5088" t="s">
        <v>1564</v>
      </c>
      <c r="D5088" t="s">
        <v>1564</v>
      </c>
      <c r="E5088" s="10">
        <v>7174993</v>
      </c>
      <c r="F5088" s="12">
        <v>5.0185999999999998E-3</v>
      </c>
    </row>
    <row r="5089" spans="1:6">
      <c r="A5089" s="10">
        <v>2022</v>
      </c>
      <c r="B5089" t="s">
        <v>208</v>
      </c>
      <c r="C5089" t="s">
        <v>153</v>
      </c>
      <c r="D5089" t="s">
        <v>153</v>
      </c>
      <c r="E5089" s="10"/>
    </row>
    <row r="5090" spans="1:6">
      <c r="A5090" s="10">
        <v>2022</v>
      </c>
      <c r="B5090" t="s">
        <v>209</v>
      </c>
      <c r="C5090" t="s">
        <v>154</v>
      </c>
      <c r="D5090" t="s">
        <v>154</v>
      </c>
      <c r="E5090" s="10">
        <v>179891</v>
      </c>
      <c r="F5090" s="12">
        <v>1.2579999999999999E-4</v>
      </c>
    </row>
    <row r="5091" spans="1:6">
      <c r="A5091" s="10">
        <v>2022</v>
      </c>
      <c r="B5091" t="s">
        <v>211</v>
      </c>
      <c r="C5091" t="s">
        <v>1565</v>
      </c>
      <c r="D5091" t="s">
        <v>1565</v>
      </c>
      <c r="E5091" s="10">
        <v>918683</v>
      </c>
      <c r="F5091" s="12">
        <v>6.4260000000000001E-4</v>
      </c>
    </row>
    <row r="5092" spans="1:6">
      <c r="A5092" s="10">
        <v>2022</v>
      </c>
      <c r="B5092" t="s">
        <v>212</v>
      </c>
      <c r="C5092" t="s">
        <v>1566</v>
      </c>
      <c r="D5092" t="s">
        <v>1566</v>
      </c>
      <c r="E5092" s="10">
        <v>50145</v>
      </c>
      <c r="F5092" s="12">
        <v>3.5099999999999999E-5</v>
      </c>
    </row>
    <row r="5093" spans="1:6">
      <c r="A5093" s="10">
        <v>2022</v>
      </c>
      <c r="B5093" t="s">
        <v>213</v>
      </c>
      <c r="C5093" t="s">
        <v>158</v>
      </c>
      <c r="D5093" t="s">
        <v>158</v>
      </c>
      <c r="E5093" s="10">
        <v>1188321</v>
      </c>
      <c r="F5093" s="12">
        <v>8.3120000000000004E-4</v>
      </c>
    </row>
    <row r="5094" spans="1:6">
      <c r="A5094" s="10">
        <v>2022</v>
      </c>
      <c r="B5094" t="s">
        <v>1597</v>
      </c>
      <c r="C5094" t="s">
        <v>1567</v>
      </c>
      <c r="D5094" t="s">
        <v>1567</v>
      </c>
      <c r="E5094" s="10">
        <v>21219</v>
      </c>
      <c r="F5094" s="12">
        <v>1.4800000000000001E-5</v>
      </c>
    </row>
    <row r="5095" spans="1:6">
      <c r="A5095" s="10">
        <v>2022</v>
      </c>
      <c r="B5095" t="s">
        <v>214</v>
      </c>
      <c r="C5095" t="s">
        <v>159</v>
      </c>
      <c r="D5095" t="s">
        <v>159</v>
      </c>
      <c r="E5095" s="10">
        <v>230397</v>
      </c>
      <c r="F5095" s="12">
        <v>1.6119999999999999E-4</v>
      </c>
    </row>
    <row r="5096" spans="1:6">
      <c r="A5096" s="10">
        <v>2022</v>
      </c>
      <c r="B5096" t="s">
        <v>215</v>
      </c>
      <c r="C5096" t="s">
        <v>1568</v>
      </c>
      <c r="D5096" t="s">
        <v>1568</v>
      </c>
      <c r="E5096" s="10">
        <v>219916</v>
      </c>
      <c r="F5096" s="12">
        <v>1.538E-4</v>
      </c>
    </row>
    <row r="5097" spans="1:6">
      <c r="A5097" s="10">
        <v>2022</v>
      </c>
      <c r="B5097" t="s">
        <v>217</v>
      </c>
      <c r="C5097" t="s">
        <v>162</v>
      </c>
      <c r="D5097" t="s">
        <v>162</v>
      </c>
      <c r="E5097" s="10">
        <v>452263</v>
      </c>
      <c r="F5097" s="12">
        <v>3.1629999999999999E-4</v>
      </c>
    </row>
    <row r="5098" spans="1:6">
      <c r="A5098" s="10">
        <v>2022</v>
      </c>
      <c r="B5098" t="s">
        <v>219</v>
      </c>
      <c r="C5098" t="s">
        <v>164</v>
      </c>
      <c r="D5098" t="s">
        <v>164</v>
      </c>
      <c r="E5098" s="10">
        <v>354861</v>
      </c>
      <c r="F5098" s="12">
        <v>2.4820000000000002E-4</v>
      </c>
    </row>
    <row r="5099" spans="1:6">
      <c r="A5099" s="10">
        <v>2022</v>
      </c>
      <c r="B5099" t="s">
        <v>73</v>
      </c>
      <c r="C5099" t="s">
        <v>2354</v>
      </c>
      <c r="D5099" t="s">
        <v>2354</v>
      </c>
      <c r="E5099" s="10">
        <v>283580</v>
      </c>
      <c r="F5099" s="12">
        <v>1.984E-4</v>
      </c>
    </row>
    <row r="5100" spans="1:6">
      <c r="A5100" s="10">
        <v>2022</v>
      </c>
      <c r="B5100" t="s">
        <v>220</v>
      </c>
      <c r="C5100" t="s">
        <v>1571</v>
      </c>
      <c r="D5100" t="s">
        <v>1571</v>
      </c>
      <c r="E5100" s="10">
        <v>78887</v>
      </c>
      <c r="F5100" s="12">
        <v>5.52E-5</v>
      </c>
    </row>
    <row r="5101" spans="1:6">
      <c r="A5101" s="10">
        <v>2022</v>
      </c>
      <c r="B5101" t="s">
        <v>1387</v>
      </c>
      <c r="C5101" t="s">
        <v>1572</v>
      </c>
      <c r="D5101" t="s">
        <v>1572</v>
      </c>
      <c r="E5101" s="10">
        <v>8469</v>
      </c>
      <c r="F5101" s="12">
        <v>5.9000000000000003E-6</v>
      </c>
    </row>
    <row r="5102" spans="1:6">
      <c r="A5102" s="10">
        <v>2022</v>
      </c>
      <c r="B5102" t="s">
        <v>1388</v>
      </c>
      <c r="C5102" t="s">
        <v>1573</v>
      </c>
      <c r="D5102" t="s">
        <v>1573</v>
      </c>
      <c r="E5102" s="10">
        <v>8501</v>
      </c>
      <c r="F5102" s="12">
        <v>5.9000000000000003E-6</v>
      </c>
    </row>
    <row r="5103" spans="1:6">
      <c r="A5103" s="10">
        <v>2022</v>
      </c>
      <c r="B5103" t="s">
        <v>1389</v>
      </c>
      <c r="C5103" t="s">
        <v>1574</v>
      </c>
      <c r="D5103" t="s">
        <v>1574</v>
      </c>
      <c r="E5103" s="10">
        <v>113472</v>
      </c>
      <c r="F5103" s="12">
        <v>7.9400000000000006E-5</v>
      </c>
    </row>
    <row r="5104" spans="1:6">
      <c r="A5104" s="10">
        <v>2022</v>
      </c>
      <c r="B5104" t="s">
        <v>1598</v>
      </c>
      <c r="C5104" t="s">
        <v>1575</v>
      </c>
      <c r="D5104" t="s">
        <v>1575</v>
      </c>
      <c r="E5104" s="10">
        <v>212875</v>
      </c>
      <c r="F5104" s="12">
        <v>1.4889999999999999E-4</v>
      </c>
    </row>
    <row r="5105" spans="1:6">
      <c r="A5105" s="10">
        <v>2022</v>
      </c>
      <c r="B5105" t="s">
        <v>1390</v>
      </c>
      <c r="C5105" t="s">
        <v>1578</v>
      </c>
      <c r="D5105" t="s">
        <v>1578</v>
      </c>
      <c r="E5105" s="10">
        <v>1615279</v>
      </c>
      <c r="F5105" s="12">
        <v>1.1298E-3</v>
      </c>
    </row>
    <row r="5106" spans="1:6">
      <c r="A5106" s="10">
        <v>2022</v>
      </c>
      <c r="B5106" t="s">
        <v>1393</v>
      </c>
      <c r="C5106" t="s">
        <v>1579</v>
      </c>
      <c r="D5106" t="s">
        <v>1579</v>
      </c>
      <c r="E5106" s="10">
        <v>201190</v>
      </c>
      <c r="F5106" s="12">
        <v>1.407E-4</v>
      </c>
    </row>
    <row r="5107" spans="1:6">
      <c r="A5107" s="10">
        <v>2022</v>
      </c>
      <c r="B5107" t="s">
        <v>1395</v>
      </c>
      <c r="C5107" t="s">
        <v>230</v>
      </c>
      <c r="D5107" t="s">
        <v>230</v>
      </c>
      <c r="E5107" s="10">
        <v>450029</v>
      </c>
      <c r="F5107" s="12">
        <v>3.1480000000000001E-4</v>
      </c>
    </row>
    <row r="5108" spans="1:6">
      <c r="A5108" s="10">
        <v>2022</v>
      </c>
      <c r="B5108" t="s">
        <v>1396</v>
      </c>
      <c r="C5108" t="s">
        <v>231</v>
      </c>
      <c r="D5108" t="s">
        <v>231</v>
      </c>
      <c r="E5108" s="10">
        <v>46807</v>
      </c>
      <c r="F5108" s="12">
        <v>3.2700000000000002E-5</v>
      </c>
    </row>
    <row r="5109" spans="1:6">
      <c r="A5109" s="10">
        <v>2022</v>
      </c>
      <c r="B5109" t="s">
        <v>1398</v>
      </c>
      <c r="C5109" t="s">
        <v>1580</v>
      </c>
      <c r="D5109" t="s">
        <v>1580</v>
      </c>
      <c r="E5109" s="10">
        <v>36816</v>
      </c>
      <c r="F5109" s="12">
        <v>2.58E-5</v>
      </c>
    </row>
    <row r="5110" spans="1:6">
      <c r="A5110" s="10">
        <v>2022</v>
      </c>
      <c r="B5110" t="s">
        <v>1399</v>
      </c>
      <c r="C5110" t="s">
        <v>234</v>
      </c>
      <c r="D5110" t="s">
        <v>234</v>
      </c>
      <c r="E5110" s="10"/>
    </row>
    <row r="5111" spans="1:6">
      <c r="A5111" s="10">
        <v>2022</v>
      </c>
      <c r="B5111" t="s">
        <v>1400</v>
      </c>
      <c r="C5111" t="s">
        <v>1581</v>
      </c>
      <c r="D5111" t="s">
        <v>1581</v>
      </c>
      <c r="E5111" s="10">
        <v>666866</v>
      </c>
      <c r="F5111" s="12">
        <v>4.6640000000000001E-4</v>
      </c>
    </row>
    <row r="5112" spans="1:6">
      <c r="A5112" s="10">
        <v>2022</v>
      </c>
      <c r="B5112" t="s">
        <v>1401</v>
      </c>
      <c r="C5112" t="s">
        <v>1582</v>
      </c>
      <c r="D5112" t="s">
        <v>1582</v>
      </c>
      <c r="E5112" s="10">
        <v>78762</v>
      </c>
      <c r="F5112" s="12">
        <v>5.5099999999999998E-5</v>
      </c>
    </row>
    <row r="5113" spans="1:6">
      <c r="A5113" s="10">
        <v>2022</v>
      </c>
      <c r="B5113" t="s">
        <v>1402</v>
      </c>
      <c r="C5113" t="s">
        <v>237</v>
      </c>
      <c r="D5113" t="s">
        <v>237</v>
      </c>
      <c r="E5113" s="10">
        <v>89582</v>
      </c>
      <c r="F5113" s="12">
        <v>6.2700000000000006E-5</v>
      </c>
    </row>
    <row r="5114" spans="1:6">
      <c r="A5114" s="10">
        <v>2022</v>
      </c>
      <c r="B5114" t="s">
        <v>1403</v>
      </c>
      <c r="C5114" t="s">
        <v>1584</v>
      </c>
      <c r="D5114" t="s">
        <v>1584</v>
      </c>
      <c r="E5114" s="10">
        <v>575576</v>
      </c>
      <c r="F5114" s="12">
        <v>4.0259999999999997E-4</v>
      </c>
    </row>
    <row r="5115" spans="1:6">
      <c r="A5115" s="10">
        <v>2022</v>
      </c>
      <c r="B5115" t="s">
        <v>1404</v>
      </c>
      <c r="C5115" t="s">
        <v>1585</v>
      </c>
      <c r="D5115" t="s">
        <v>1585</v>
      </c>
      <c r="E5115" s="10">
        <v>827369</v>
      </c>
      <c r="F5115" s="12">
        <v>5.7870000000000003E-4</v>
      </c>
    </row>
    <row r="5116" spans="1:6">
      <c r="A5116" s="10">
        <v>2022</v>
      </c>
      <c r="B5116" t="s">
        <v>1405</v>
      </c>
      <c r="C5116" t="s">
        <v>1586</v>
      </c>
      <c r="D5116" t="s">
        <v>1586</v>
      </c>
      <c r="E5116" s="10">
        <v>60487</v>
      </c>
      <c r="F5116" s="12">
        <v>4.2299999999999998E-5</v>
      </c>
    </row>
    <row r="5117" spans="1:6">
      <c r="A5117" s="10">
        <v>2022</v>
      </c>
      <c r="B5117" t="s">
        <v>1406</v>
      </c>
      <c r="C5117" t="s">
        <v>1587</v>
      </c>
      <c r="D5117" t="s">
        <v>1587</v>
      </c>
      <c r="E5117" s="10">
        <v>122570</v>
      </c>
      <c r="F5117" s="12">
        <v>8.5699999999999996E-5</v>
      </c>
    </row>
    <row r="5118" spans="1:6">
      <c r="A5118" s="10">
        <v>2022</v>
      </c>
      <c r="B5118" t="s">
        <v>1397</v>
      </c>
      <c r="C5118" t="s">
        <v>2356</v>
      </c>
      <c r="D5118" t="s">
        <v>1588</v>
      </c>
      <c r="E5118" s="10">
        <v>37926</v>
      </c>
      <c r="F5118" s="12">
        <v>2.65E-5</v>
      </c>
    </row>
    <row r="5119" spans="1:6">
      <c r="A5119" s="10">
        <v>2022</v>
      </c>
      <c r="B5119" t="s">
        <v>88</v>
      </c>
      <c r="C5119" t="s">
        <v>1589</v>
      </c>
      <c r="D5119" t="s">
        <v>1589</v>
      </c>
      <c r="E5119" s="10">
        <v>88278</v>
      </c>
      <c r="F5119" s="12">
        <v>6.1699999999999995E-5</v>
      </c>
    </row>
    <row r="5120" spans="1:6">
      <c r="A5120" s="10">
        <v>2022</v>
      </c>
      <c r="B5120" t="s">
        <v>90</v>
      </c>
      <c r="C5120" t="s">
        <v>1590</v>
      </c>
      <c r="D5120" t="s">
        <v>1590</v>
      </c>
      <c r="E5120" s="10">
        <v>7776</v>
      </c>
      <c r="F5120" s="12">
        <v>5.4E-6</v>
      </c>
    </row>
    <row r="5121" spans="1:6">
      <c r="A5121" s="10">
        <v>2022</v>
      </c>
      <c r="B5121" t="s">
        <v>87</v>
      </c>
      <c r="C5121" t="s">
        <v>2357</v>
      </c>
      <c r="D5121" t="s">
        <v>1591</v>
      </c>
      <c r="E5121" s="10">
        <v>107181</v>
      </c>
      <c r="F5121" s="12">
        <v>7.4999999999999993E-5</v>
      </c>
    </row>
    <row r="5122" spans="1:6">
      <c r="A5122" s="10">
        <v>2022</v>
      </c>
      <c r="B5122" t="s">
        <v>92</v>
      </c>
      <c r="C5122" t="s">
        <v>2419</v>
      </c>
      <c r="D5122" t="s">
        <v>2419</v>
      </c>
      <c r="E5122" s="10">
        <v>81662</v>
      </c>
      <c r="F5122" s="12">
        <v>5.7099999999999999E-5</v>
      </c>
    </row>
    <row r="5123" spans="1:6">
      <c r="A5123" s="10">
        <v>2022</v>
      </c>
      <c r="B5123" t="s">
        <v>93</v>
      </c>
      <c r="C5123" t="s">
        <v>1593</v>
      </c>
      <c r="D5123" t="s">
        <v>1593</v>
      </c>
      <c r="E5123" s="10">
        <v>76496</v>
      </c>
      <c r="F5123" s="12">
        <v>5.3499999999999999E-5</v>
      </c>
    </row>
    <row r="5124" spans="1:6">
      <c r="A5124" s="10">
        <v>2022</v>
      </c>
      <c r="B5124" t="s">
        <v>94</v>
      </c>
      <c r="C5124" t="s">
        <v>2420</v>
      </c>
      <c r="D5124" t="s">
        <v>2420</v>
      </c>
      <c r="E5124" s="10">
        <v>9936</v>
      </c>
      <c r="F5124" s="12">
        <v>6.9999999999999999E-6</v>
      </c>
    </row>
    <row r="5125" spans="1:6">
      <c r="A5125" s="10">
        <v>2022</v>
      </c>
      <c r="B5125" t="s">
        <v>95</v>
      </c>
      <c r="C5125" t="s">
        <v>1595</v>
      </c>
      <c r="D5125" t="s">
        <v>1595</v>
      </c>
      <c r="E5125" s="10">
        <v>113498</v>
      </c>
      <c r="F5125" s="12">
        <v>7.9400000000000006E-5</v>
      </c>
    </row>
    <row r="5126" spans="1:6">
      <c r="A5126" s="10">
        <v>2022</v>
      </c>
      <c r="B5126" t="s">
        <v>100</v>
      </c>
      <c r="C5126" t="s">
        <v>1596</v>
      </c>
      <c r="D5126" t="s">
        <v>1596</v>
      </c>
      <c r="E5126" s="10">
        <v>25660</v>
      </c>
      <c r="F5126" s="12">
        <v>1.7900000000000001E-5</v>
      </c>
    </row>
    <row r="5127" spans="1:6">
      <c r="A5127" s="10">
        <v>2022</v>
      </c>
      <c r="B5127" t="s">
        <v>101</v>
      </c>
      <c r="C5127" t="s">
        <v>1599</v>
      </c>
      <c r="D5127" t="s">
        <v>1599</v>
      </c>
      <c r="E5127" s="10">
        <v>363406</v>
      </c>
      <c r="F5127" s="12">
        <v>2.542E-4</v>
      </c>
    </row>
    <row r="5128" spans="1:6">
      <c r="A5128" s="10">
        <v>2022</v>
      </c>
      <c r="B5128" t="s">
        <v>103</v>
      </c>
      <c r="C5128" t="s">
        <v>2421</v>
      </c>
      <c r="D5128" t="s">
        <v>2421</v>
      </c>
      <c r="E5128" s="10">
        <v>14052</v>
      </c>
      <c r="F5128" s="12">
        <v>9.7999999999999993E-6</v>
      </c>
    </row>
    <row r="5129" spans="1:6">
      <c r="A5129" s="10">
        <v>2022</v>
      </c>
      <c r="B5129" t="s">
        <v>105</v>
      </c>
      <c r="C5129" t="s">
        <v>1601</v>
      </c>
      <c r="D5129" t="s">
        <v>1601</v>
      </c>
      <c r="E5129" s="10">
        <v>215498</v>
      </c>
      <c r="F5129" s="12">
        <v>1.507E-4</v>
      </c>
    </row>
    <row r="5130" spans="1:6">
      <c r="A5130" s="10">
        <v>2022</v>
      </c>
      <c r="B5130" t="s">
        <v>166</v>
      </c>
      <c r="C5130" t="s">
        <v>1602</v>
      </c>
      <c r="D5130" t="s">
        <v>1602</v>
      </c>
      <c r="E5130" s="10">
        <v>20590</v>
      </c>
      <c r="F5130" s="12">
        <v>1.4399999999999999E-5</v>
      </c>
    </row>
    <row r="5131" spans="1:6">
      <c r="A5131" s="10">
        <v>2022</v>
      </c>
      <c r="B5131" t="s">
        <v>86</v>
      </c>
      <c r="C5131" t="s">
        <v>1603</v>
      </c>
      <c r="D5131" t="s">
        <v>1603</v>
      </c>
      <c r="E5131" s="10">
        <v>19738</v>
      </c>
      <c r="F5131" s="12">
        <v>1.38E-5</v>
      </c>
    </row>
    <row r="5132" spans="1:6">
      <c r="A5132" s="10">
        <v>2022</v>
      </c>
      <c r="B5132" t="s">
        <v>110</v>
      </c>
      <c r="C5132" t="s">
        <v>1604</v>
      </c>
      <c r="D5132" t="s">
        <v>1604</v>
      </c>
      <c r="E5132" s="10">
        <v>113142</v>
      </c>
      <c r="F5132" s="12">
        <v>7.9099999999999998E-5</v>
      </c>
    </row>
    <row r="5133" spans="1:6">
      <c r="A5133" s="10">
        <v>2022</v>
      </c>
      <c r="B5133" t="s">
        <v>1409</v>
      </c>
      <c r="C5133" t="s">
        <v>1605</v>
      </c>
      <c r="D5133" t="s">
        <v>1605</v>
      </c>
      <c r="E5133" s="10">
        <v>1014196</v>
      </c>
      <c r="F5133" s="12">
        <v>7.094E-4</v>
      </c>
    </row>
    <row r="5134" spans="1:6">
      <c r="A5134" s="10">
        <v>2022</v>
      </c>
      <c r="B5134" t="s">
        <v>195</v>
      </c>
      <c r="C5134" t="s">
        <v>1606</v>
      </c>
      <c r="D5134" t="s">
        <v>1606</v>
      </c>
      <c r="E5134" s="10">
        <v>719546</v>
      </c>
      <c r="F5134" s="12">
        <v>5.0330000000000004E-4</v>
      </c>
    </row>
    <row r="5135" spans="1:6">
      <c r="A5135" s="10">
        <v>2022</v>
      </c>
      <c r="B5135" t="s">
        <v>218</v>
      </c>
      <c r="C5135" t="s">
        <v>1607</v>
      </c>
      <c r="D5135" t="s">
        <v>1607</v>
      </c>
      <c r="E5135" s="10">
        <v>529152</v>
      </c>
      <c r="F5135" s="12">
        <v>3.701E-4</v>
      </c>
    </row>
    <row r="5136" spans="1:6">
      <c r="A5136" s="10">
        <v>2022</v>
      </c>
      <c r="B5136" t="s">
        <v>1410</v>
      </c>
      <c r="C5136" t="s">
        <v>243</v>
      </c>
      <c r="D5136" t="s">
        <v>243</v>
      </c>
      <c r="E5136" s="10">
        <v>88555</v>
      </c>
      <c r="F5136" s="12">
        <v>6.19E-5</v>
      </c>
    </row>
    <row r="5137" spans="1:6">
      <c r="A5137" s="10">
        <v>2022</v>
      </c>
      <c r="B5137" t="s">
        <v>1411</v>
      </c>
      <c r="C5137" t="s">
        <v>244</v>
      </c>
      <c r="D5137" t="s">
        <v>244</v>
      </c>
      <c r="E5137" s="10">
        <v>1140947</v>
      </c>
      <c r="F5137" s="12">
        <v>7.9799999999999999E-4</v>
      </c>
    </row>
    <row r="5138" spans="1:6">
      <c r="A5138" s="10">
        <v>2022</v>
      </c>
      <c r="B5138" t="s">
        <v>1394</v>
      </c>
      <c r="C5138" t="s">
        <v>1608</v>
      </c>
      <c r="D5138" t="s">
        <v>1608</v>
      </c>
      <c r="E5138" s="10">
        <v>6846</v>
      </c>
      <c r="F5138" s="12">
        <v>4.7999999999999998E-6</v>
      </c>
    </row>
    <row r="5139" spans="1:6">
      <c r="A5139" s="10">
        <v>2022</v>
      </c>
      <c r="B5139" t="s">
        <v>1412</v>
      </c>
      <c r="C5139" t="s">
        <v>1609</v>
      </c>
      <c r="D5139" t="s">
        <v>1609</v>
      </c>
      <c r="E5139" s="10">
        <v>3430124</v>
      </c>
      <c r="F5139" s="12">
        <v>2.3992000000000002E-3</v>
      </c>
    </row>
    <row r="5140" spans="1:6">
      <c r="A5140" s="10">
        <v>2022</v>
      </c>
      <c r="B5140" t="s">
        <v>1413</v>
      </c>
      <c r="C5140" t="s">
        <v>246</v>
      </c>
      <c r="D5140" t="s">
        <v>246</v>
      </c>
      <c r="E5140" s="10">
        <v>731340</v>
      </c>
      <c r="F5140" s="12">
        <v>5.1150000000000002E-4</v>
      </c>
    </row>
    <row r="5141" spans="1:6">
      <c r="A5141" s="10">
        <v>2022</v>
      </c>
      <c r="B5141" t="s">
        <v>1414</v>
      </c>
      <c r="C5141" t="s">
        <v>247</v>
      </c>
      <c r="D5141" t="s">
        <v>247</v>
      </c>
      <c r="E5141" s="10">
        <v>262843</v>
      </c>
      <c r="F5141" s="12">
        <v>1.838E-4</v>
      </c>
    </row>
    <row r="5142" spans="1:6">
      <c r="A5142" s="10">
        <v>2022</v>
      </c>
      <c r="B5142" t="s">
        <v>1415</v>
      </c>
      <c r="C5142" t="s">
        <v>248</v>
      </c>
      <c r="D5142" t="s">
        <v>248</v>
      </c>
      <c r="E5142" s="10">
        <v>54380801</v>
      </c>
      <c r="F5142" s="12">
        <v>3.8037300000000003E-2</v>
      </c>
    </row>
    <row r="5143" spans="1:6">
      <c r="A5143" s="10">
        <v>2022</v>
      </c>
      <c r="B5143" t="s">
        <v>1417</v>
      </c>
      <c r="C5143" t="s">
        <v>1610</v>
      </c>
      <c r="D5143" t="s">
        <v>1610</v>
      </c>
      <c r="E5143" s="10">
        <v>32387</v>
      </c>
      <c r="F5143" s="12">
        <v>2.27E-5</v>
      </c>
    </row>
    <row r="5144" spans="1:6">
      <c r="A5144" s="10">
        <v>2022</v>
      </c>
      <c r="B5144" t="s">
        <v>1416</v>
      </c>
      <c r="C5144" t="s">
        <v>249</v>
      </c>
      <c r="D5144" t="s">
        <v>249</v>
      </c>
      <c r="E5144" s="10">
        <v>3669397</v>
      </c>
      <c r="F5144" s="12">
        <v>2.5666E-3</v>
      </c>
    </row>
    <row r="5145" spans="1:6">
      <c r="A5145" s="10">
        <v>2022</v>
      </c>
      <c r="B5145" t="s">
        <v>1418</v>
      </c>
      <c r="C5145" t="s">
        <v>1611</v>
      </c>
      <c r="D5145" t="s">
        <v>1611</v>
      </c>
      <c r="E5145" s="10"/>
    </row>
    <row r="5146" spans="1:6">
      <c r="A5146" s="10">
        <v>2022</v>
      </c>
      <c r="B5146" t="s">
        <v>1419</v>
      </c>
      <c r="C5146" t="s">
        <v>252</v>
      </c>
      <c r="D5146" t="s">
        <v>252</v>
      </c>
      <c r="E5146" s="10">
        <v>3236692</v>
      </c>
      <c r="F5146" s="12">
        <v>2.2639000000000001E-3</v>
      </c>
    </row>
    <row r="5147" spans="1:6">
      <c r="A5147" s="10">
        <v>2022</v>
      </c>
      <c r="B5147" t="s">
        <v>1420</v>
      </c>
      <c r="C5147" t="s">
        <v>1612</v>
      </c>
      <c r="D5147" t="s">
        <v>1612</v>
      </c>
      <c r="E5147" s="10">
        <v>236583</v>
      </c>
      <c r="F5147" s="12">
        <v>1.6550000000000001E-4</v>
      </c>
    </row>
    <row r="5148" spans="1:6">
      <c r="A5148" s="10">
        <v>2022</v>
      </c>
      <c r="B5148" t="s">
        <v>1015</v>
      </c>
      <c r="C5148" t="s">
        <v>1613</v>
      </c>
      <c r="D5148" t="s">
        <v>1613</v>
      </c>
      <c r="E5148" s="10">
        <v>585221</v>
      </c>
      <c r="F5148" s="12">
        <v>4.0929999999999997E-4</v>
      </c>
    </row>
    <row r="5149" spans="1:6">
      <c r="A5149" s="10">
        <v>2022</v>
      </c>
      <c r="B5149" t="s">
        <v>1014</v>
      </c>
      <c r="C5149" t="s">
        <v>1614</v>
      </c>
      <c r="D5149" t="s">
        <v>1614</v>
      </c>
      <c r="E5149" s="10"/>
    </row>
    <row r="5150" spans="1:6">
      <c r="A5150" s="10">
        <v>2022</v>
      </c>
      <c r="B5150" t="s">
        <v>1421</v>
      </c>
      <c r="C5150" t="s">
        <v>1615</v>
      </c>
      <c r="D5150" t="s">
        <v>1615</v>
      </c>
      <c r="E5150" s="10">
        <v>38264</v>
      </c>
      <c r="F5150" s="12">
        <v>2.6800000000000001E-5</v>
      </c>
    </row>
    <row r="5151" spans="1:6">
      <c r="A5151" s="10">
        <v>2022</v>
      </c>
      <c r="B5151" t="s">
        <v>1422</v>
      </c>
      <c r="C5151" t="s">
        <v>1616</v>
      </c>
      <c r="D5151" t="s">
        <v>1616</v>
      </c>
      <c r="E5151" s="10">
        <v>238849</v>
      </c>
      <c r="F5151" s="12">
        <v>1.671E-4</v>
      </c>
    </row>
    <row r="5152" spans="1:6">
      <c r="A5152" s="10">
        <v>2022</v>
      </c>
      <c r="B5152" t="s">
        <v>1423</v>
      </c>
      <c r="C5152" t="s">
        <v>256</v>
      </c>
      <c r="D5152" t="s">
        <v>256</v>
      </c>
      <c r="E5152" s="10">
        <v>4622242</v>
      </c>
      <c r="F5152" s="12">
        <v>3.2331E-3</v>
      </c>
    </row>
    <row r="5153" spans="1:6">
      <c r="A5153" s="10">
        <v>2022</v>
      </c>
      <c r="B5153" t="s">
        <v>1424</v>
      </c>
      <c r="C5153" t="s">
        <v>257</v>
      </c>
      <c r="D5153" t="s">
        <v>257</v>
      </c>
      <c r="E5153" s="10">
        <v>3882315</v>
      </c>
      <c r="F5153" s="12">
        <v>2.7155E-3</v>
      </c>
    </row>
    <row r="5154" spans="1:6">
      <c r="A5154" s="10">
        <v>2022</v>
      </c>
      <c r="B5154" t="s">
        <v>370</v>
      </c>
      <c r="C5154" t="s">
        <v>1617</v>
      </c>
      <c r="D5154" t="s">
        <v>1617</v>
      </c>
      <c r="E5154" s="10">
        <v>3829183</v>
      </c>
      <c r="F5154" s="12">
        <v>2.6784000000000001E-3</v>
      </c>
    </row>
    <row r="5155" spans="1:6">
      <c r="A5155" s="10">
        <v>2022</v>
      </c>
      <c r="B5155" t="s">
        <v>1425</v>
      </c>
      <c r="C5155" t="s">
        <v>258</v>
      </c>
      <c r="D5155" t="s">
        <v>258</v>
      </c>
      <c r="E5155" s="10">
        <v>57967</v>
      </c>
      <c r="F5155" s="12">
        <v>4.0500000000000002E-5</v>
      </c>
    </row>
    <row r="5156" spans="1:6">
      <c r="A5156" s="10">
        <v>2022</v>
      </c>
      <c r="B5156" t="s">
        <v>1429</v>
      </c>
      <c r="C5156" t="s">
        <v>2422</v>
      </c>
      <c r="D5156" t="s">
        <v>2422</v>
      </c>
      <c r="E5156" s="10">
        <v>1264533</v>
      </c>
      <c r="F5156" s="12">
        <v>8.8449999999999998E-4</v>
      </c>
    </row>
    <row r="5157" spans="1:6">
      <c r="A5157" s="10">
        <v>2022</v>
      </c>
      <c r="B5157" t="s">
        <v>1430</v>
      </c>
      <c r="C5157" t="s">
        <v>1619</v>
      </c>
      <c r="D5157" t="s">
        <v>1619</v>
      </c>
      <c r="E5157" s="10">
        <v>464220</v>
      </c>
      <c r="F5157" s="12">
        <v>3.2469999999999998E-4</v>
      </c>
    </row>
    <row r="5158" spans="1:6">
      <c r="A5158" s="10">
        <v>2022</v>
      </c>
      <c r="B5158" t="s">
        <v>1431</v>
      </c>
      <c r="C5158" t="s">
        <v>264</v>
      </c>
      <c r="D5158" t="s">
        <v>264</v>
      </c>
      <c r="E5158" s="10">
        <v>384674</v>
      </c>
      <c r="F5158" s="12">
        <v>2.6909999999999998E-4</v>
      </c>
    </row>
    <row r="5159" spans="1:6">
      <c r="A5159" s="10">
        <v>2022</v>
      </c>
      <c r="B5159" t="s">
        <v>1432</v>
      </c>
      <c r="C5159" t="s">
        <v>265</v>
      </c>
      <c r="D5159" t="s">
        <v>265</v>
      </c>
      <c r="E5159" s="10">
        <v>383578</v>
      </c>
      <c r="F5159" s="12">
        <v>2.6830000000000002E-4</v>
      </c>
    </row>
    <row r="5160" spans="1:6">
      <c r="A5160" s="10">
        <v>2022</v>
      </c>
      <c r="B5160" t="s">
        <v>1433</v>
      </c>
      <c r="C5160" t="s">
        <v>266</v>
      </c>
      <c r="D5160" t="s">
        <v>266</v>
      </c>
      <c r="E5160" s="10">
        <v>242734</v>
      </c>
      <c r="F5160" s="12">
        <v>1.6980000000000001E-4</v>
      </c>
    </row>
    <row r="5161" spans="1:6">
      <c r="A5161" s="10">
        <v>2022</v>
      </c>
      <c r="B5161" t="s">
        <v>1434</v>
      </c>
      <c r="C5161" t="s">
        <v>1620</v>
      </c>
      <c r="D5161" t="s">
        <v>1620</v>
      </c>
      <c r="E5161" s="10">
        <v>1730652</v>
      </c>
      <c r="F5161" s="12">
        <v>1.2105E-3</v>
      </c>
    </row>
    <row r="5162" spans="1:6">
      <c r="A5162" s="10">
        <v>2022</v>
      </c>
      <c r="B5162" t="s">
        <v>1435</v>
      </c>
      <c r="C5162" t="s">
        <v>2359</v>
      </c>
      <c r="D5162" t="s">
        <v>2359</v>
      </c>
      <c r="E5162" s="10">
        <v>216887</v>
      </c>
      <c r="F5162" s="12">
        <v>1.517E-4</v>
      </c>
    </row>
    <row r="5163" spans="1:6">
      <c r="A5163" s="10">
        <v>2022</v>
      </c>
      <c r="B5163" t="s">
        <v>1436</v>
      </c>
      <c r="C5163" t="s">
        <v>269</v>
      </c>
      <c r="D5163" t="s">
        <v>269</v>
      </c>
      <c r="E5163" s="10">
        <v>227520</v>
      </c>
      <c r="F5163" s="12">
        <v>1.5909999999999999E-4</v>
      </c>
    </row>
    <row r="5164" spans="1:6">
      <c r="A5164" s="10">
        <v>2022</v>
      </c>
      <c r="B5164" t="s">
        <v>1437</v>
      </c>
      <c r="C5164" t="s">
        <v>270</v>
      </c>
      <c r="D5164" t="s">
        <v>270</v>
      </c>
      <c r="E5164" s="10">
        <v>1508493</v>
      </c>
      <c r="F5164" s="12">
        <v>1.0551E-3</v>
      </c>
    </row>
    <row r="5165" spans="1:6">
      <c r="A5165" s="10">
        <v>2022</v>
      </c>
      <c r="B5165" t="s">
        <v>1438</v>
      </c>
      <c r="C5165" t="s">
        <v>1622</v>
      </c>
      <c r="D5165" t="s">
        <v>1622</v>
      </c>
      <c r="E5165" s="10">
        <v>990148</v>
      </c>
      <c r="F5165" s="12">
        <v>6.9260000000000003E-4</v>
      </c>
    </row>
    <row r="5166" spans="1:6">
      <c r="A5166" s="10">
        <v>2022</v>
      </c>
      <c r="B5166" t="s">
        <v>371</v>
      </c>
      <c r="C5166" t="s">
        <v>1623</v>
      </c>
      <c r="D5166" t="s">
        <v>1623</v>
      </c>
      <c r="E5166" s="10">
        <v>283424</v>
      </c>
      <c r="F5166" s="12">
        <v>1.9819999999999999E-4</v>
      </c>
    </row>
    <row r="5167" spans="1:6">
      <c r="A5167" s="10">
        <v>2022</v>
      </c>
      <c r="B5167" t="s">
        <v>1439</v>
      </c>
      <c r="C5167" t="s">
        <v>1624</v>
      </c>
      <c r="D5167" t="s">
        <v>1624</v>
      </c>
      <c r="E5167" s="10">
        <v>134089</v>
      </c>
      <c r="F5167" s="12">
        <v>9.3800000000000003E-5</v>
      </c>
    </row>
    <row r="5168" spans="1:6">
      <c r="A5168" s="10">
        <v>2022</v>
      </c>
      <c r="B5168" t="s">
        <v>1440</v>
      </c>
      <c r="C5168" t="s">
        <v>1625</v>
      </c>
      <c r="D5168" t="s">
        <v>1625</v>
      </c>
      <c r="E5168" s="10">
        <v>490237</v>
      </c>
      <c r="F5168" s="12">
        <v>3.4289999999999999E-4</v>
      </c>
    </row>
    <row r="5169" spans="1:6">
      <c r="A5169" s="10">
        <v>2022</v>
      </c>
      <c r="B5169" t="s">
        <v>372</v>
      </c>
      <c r="C5169" t="s">
        <v>1626</v>
      </c>
      <c r="D5169" t="s">
        <v>1626</v>
      </c>
      <c r="E5169" s="10">
        <v>223459</v>
      </c>
      <c r="F5169" s="12">
        <v>1.563E-4</v>
      </c>
    </row>
    <row r="5170" spans="1:6">
      <c r="A5170" s="10">
        <v>2022</v>
      </c>
      <c r="B5170" t="s">
        <v>1441</v>
      </c>
      <c r="C5170" t="s">
        <v>274</v>
      </c>
      <c r="D5170" t="s">
        <v>274</v>
      </c>
      <c r="E5170" s="10"/>
    </row>
    <row r="5171" spans="1:6">
      <c r="A5171" s="10">
        <v>2022</v>
      </c>
      <c r="B5171" t="s">
        <v>1442</v>
      </c>
      <c r="C5171" t="s">
        <v>1627</v>
      </c>
      <c r="D5171" t="s">
        <v>1627</v>
      </c>
      <c r="E5171" s="10">
        <v>9624</v>
      </c>
      <c r="F5171" s="12">
        <v>6.7000000000000002E-6</v>
      </c>
    </row>
    <row r="5172" spans="1:6">
      <c r="A5172" s="10">
        <v>2022</v>
      </c>
      <c r="B5172" t="s">
        <v>1443</v>
      </c>
      <c r="C5172" t="s">
        <v>1628</v>
      </c>
      <c r="D5172" t="s">
        <v>1628</v>
      </c>
      <c r="E5172" s="10">
        <v>1335382</v>
      </c>
      <c r="F5172" s="12">
        <v>9.3400000000000004E-4</v>
      </c>
    </row>
    <row r="5173" spans="1:6">
      <c r="A5173" s="10">
        <v>2022</v>
      </c>
      <c r="B5173" t="s">
        <v>332</v>
      </c>
      <c r="C5173" t="s">
        <v>1630</v>
      </c>
      <c r="D5173" t="s">
        <v>1630</v>
      </c>
      <c r="E5173" s="10">
        <v>132181</v>
      </c>
      <c r="F5173" s="12">
        <v>9.2499999999999999E-5</v>
      </c>
    </row>
    <row r="5174" spans="1:6">
      <c r="A5174" s="10">
        <v>2022</v>
      </c>
      <c r="B5174" t="s">
        <v>333</v>
      </c>
      <c r="C5174" t="s">
        <v>1631</v>
      </c>
      <c r="D5174" t="s">
        <v>1631</v>
      </c>
      <c r="E5174" s="10">
        <v>55210</v>
      </c>
      <c r="F5174" s="12">
        <v>3.8600000000000003E-5</v>
      </c>
    </row>
    <row r="5175" spans="1:6">
      <c r="A5175" s="10">
        <v>2022</v>
      </c>
      <c r="B5175" t="s">
        <v>334</v>
      </c>
      <c r="C5175" t="s">
        <v>1632</v>
      </c>
      <c r="D5175" t="s">
        <v>1632</v>
      </c>
      <c r="E5175" s="10">
        <v>73699</v>
      </c>
      <c r="F5175" s="12">
        <v>5.1499999999999998E-5</v>
      </c>
    </row>
    <row r="5176" spans="1:6">
      <c r="A5176" s="10">
        <v>2022</v>
      </c>
      <c r="B5176" t="s">
        <v>335</v>
      </c>
      <c r="C5176" t="s">
        <v>1633</v>
      </c>
      <c r="D5176" t="s">
        <v>1633</v>
      </c>
      <c r="E5176" s="10">
        <v>3696849</v>
      </c>
      <c r="F5176" s="12">
        <v>2.5858000000000001E-3</v>
      </c>
    </row>
    <row r="5177" spans="1:6">
      <c r="A5177" s="10">
        <v>2022</v>
      </c>
      <c r="B5177" t="s">
        <v>336</v>
      </c>
      <c r="C5177" t="s">
        <v>1634</v>
      </c>
      <c r="D5177" t="s">
        <v>1634</v>
      </c>
      <c r="E5177" s="10">
        <v>3189214</v>
      </c>
      <c r="F5177" s="12">
        <v>2.2307E-3</v>
      </c>
    </row>
    <row r="5178" spans="1:6">
      <c r="A5178" s="10">
        <v>2022</v>
      </c>
      <c r="B5178" t="s">
        <v>337</v>
      </c>
      <c r="C5178" t="s">
        <v>283</v>
      </c>
      <c r="D5178" t="s">
        <v>283</v>
      </c>
      <c r="E5178" s="10">
        <v>251685</v>
      </c>
      <c r="F5178" s="12">
        <v>1.76E-4</v>
      </c>
    </row>
    <row r="5179" spans="1:6">
      <c r="A5179" s="10">
        <v>2022</v>
      </c>
      <c r="B5179" t="s">
        <v>338</v>
      </c>
      <c r="C5179" t="s">
        <v>1635</v>
      </c>
      <c r="D5179" t="s">
        <v>1635</v>
      </c>
      <c r="E5179" s="10">
        <v>81733</v>
      </c>
      <c r="F5179" s="12">
        <v>5.7200000000000001E-5</v>
      </c>
    </row>
    <row r="5180" spans="1:6">
      <c r="A5180" s="10">
        <v>2022</v>
      </c>
      <c r="B5180" t="s">
        <v>373</v>
      </c>
      <c r="C5180" t="s">
        <v>1636</v>
      </c>
      <c r="D5180" t="s">
        <v>1636</v>
      </c>
      <c r="E5180" s="10">
        <v>3527001</v>
      </c>
      <c r="F5180" s="12">
        <v>2.467E-3</v>
      </c>
    </row>
    <row r="5181" spans="1:6">
      <c r="A5181" s="10">
        <v>2022</v>
      </c>
      <c r="B5181" t="s">
        <v>339</v>
      </c>
      <c r="C5181" t="s">
        <v>1637</v>
      </c>
      <c r="D5181" t="s">
        <v>1637</v>
      </c>
      <c r="E5181" s="10">
        <v>1422813</v>
      </c>
      <c r="F5181" s="12">
        <v>9.951999999999999E-4</v>
      </c>
    </row>
    <row r="5182" spans="1:6">
      <c r="A5182" s="10">
        <v>2022</v>
      </c>
      <c r="B5182" t="s">
        <v>340</v>
      </c>
      <c r="C5182" t="s">
        <v>286</v>
      </c>
      <c r="D5182" t="s">
        <v>286</v>
      </c>
      <c r="E5182" s="10">
        <v>147504</v>
      </c>
      <c r="F5182" s="12">
        <v>1.032E-4</v>
      </c>
    </row>
    <row r="5183" spans="1:6">
      <c r="A5183" s="10">
        <v>2022</v>
      </c>
      <c r="B5183" t="s">
        <v>342</v>
      </c>
      <c r="C5183" t="s">
        <v>1638</v>
      </c>
      <c r="D5183" t="s">
        <v>1638</v>
      </c>
      <c r="E5183" s="10">
        <v>1104884</v>
      </c>
      <c r="F5183" s="12">
        <v>7.7280000000000003E-4</v>
      </c>
    </row>
    <row r="5184" spans="1:6">
      <c r="A5184" s="10">
        <v>2022</v>
      </c>
      <c r="B5184" t="s">
        <v>1219</v>
      </c>
      <c r="C5184" t="s">
        <v>1639</v>
      </c>
      <c r="D5184" t="s">
        <v>1639</v>
      </c>
      <c r="E5184" s="10">
        <v>477960</v>
      </c>
      <c r="F5184" s="12">
        <v>3.3429999999999999E-4</v>
      </c>
    </row>
    <row r="5185" spans="1:6">
      <c r="A5185" s="10">
        <v>2022</v>
      </c>
      <c r="B5185" t="s">
        <v>343</v>
      </c>
      <c r="C5185" t="s">
        <v>1640</v>
      </c>
      <c r="D5185" t="s">
        <v>1640</v>
      </c>
      <c r="E5185" s="10">
        <v>144703</v>
      </c>
      <c r="F5185" s="12">
        <v>1.0119999999999999E-4</v>
      </c>
    </row>
    <row r="5186" spans="1:6">
      <c r="A5186" s="10">
        <v>2022</v>
      </c>
      <c r="B5186" t="s">
        <v>344</v>
      </c>
      <c r="C5186" t="s">
        <v>290</v>
      </c>
      <c r="D5186" t="s">
        <v>290</v>
      </c>
      <c r="E5186" s="10">
        <v>66516</v>
      </c>
      <c r="F5186" s="12">
        <v>4.6499999999999999E-5</v>
      </c>
    </row>
    <row r="5187" spans="1:6">
      <c r="A5187" s="10">
        <v>2022</v>
      </c>
      <c r="B5187" t="s">
        <v>1220</v>
      </c>
      <c r="C5187" t="s">
        <v>1641</v>
      </c>
      <c r="D5187" t="s">
        <v>1641</v>
      </c>
      <c r="E5187" s="10">
        <v>166618</v>
      </c>
      <c r="F5187" s="12">
        <v>1.165E-4</v>
      </c>
    </row>
    <row r="5188" spans="1:6">
      <c r="A5188" s="10">
        <v>2022</v>
      </c>
      <c r="B5188" t="s">
        <v>345</v>
      </c>
      <c r="C5188" t="s">
        <v>1642</v>
      </c>
      <c r="D5188" t="s">
        <v>1642</v>
      </c>
      <c r="E5188" s="10">
        <v>72419</v>
      </c>
      <c r="F5188" s="12">
        <v>5.0699999999999999E-5</v>
      </c>
    </row>
    <row r="5189" spans="1:6">
      <c r="A5189" s="10">
        <v>2022</v>
      </c>
      <c r="B5189" t="s">
        <v>346</v>
      </c>
      <c r="C5189" t="s">
        <v>1643</v>
      </c>
      <c r="D5189" t="s">
        <v>1643</v>
      </c>
      <c r="E5189" s="10">
        <v>12771484</v>
      </c>
      <c r="F5189" s="12">
        <v>8.9332000000000005E-3</v>
      </c>
    </row>
    <row r="5190" spans="1:6">
      <c r="A5190" s="10">
        <v>2022</v>
      </c>
      <c r="B5190" t="s">
        <v>347</v>
      </c>
      <c r="C5190" t="s">
        <v>1644</v>
      </c>
      <c r="D5190" t="s">
        <v>1644</v>
      </c>
      <c r="E5190" s="10">
        <v>4409364</v>
      </c>
      <c r="F5190" s="12">
        <v>3.0842E-3</v>
      </c>
    </row>
    <row r="5191" spans="1:6">
      <c r="A5191" s="10">
        <v>2022</v>
      </c>
      <c r="B5191" t="s">
        <v>348</v>
      </c>
      <c r="C5191" t="s">
        <v>1645</v>
      </c>
      <c r="D5191" t="s">
        <v>1645</v>
      </c>
      <c r="E5191" s="10">
        <v>2193550</v>
      </c>
      <c r="F5191" s="12">
        <v>1.5342999999999999E-3</v>
      </c>
    </row>
    <row r="5192" spans="1:6">
      <c r="A5192" s="10">
        <v>2022</v>
      </c>
      <c r="B5192" t="s">
        <v>374</v>
      </c>
      <c r="C5192" t="s">
        <v>1646</v>
      </c>
      <c r="D5192" t="s">
        <v>1646</v>
      </c>
      <c r="E5192" s="10">
        <v>1823737</v>
      </c>
      <c r="F5192" s="12">
        <v>1.2756E-3</v>
      </c>
    </row>
    <row r="5193" spans="1:6">
      <c r="A5193" s="10">
        <v>2022</v>
      </c>
      <c r="B5193" t="s">
        <v>349</v>
      </c>
      <c r="C5193" t="s">
        <v>1647</v>
      </c>
      <c r="D5193" t="s">
        <v>1647</v>
      </c>
      <c r="E5193" s="10">
        <v>3243082</v>
      </c>
      <c r="F5193" s="12">
        <v>2.2683999999999998E-3</v>
      </c>
    </row>
    <row r="5194" spans="1:6">
      <c r="A5194" s="10">
        <v>2022</v>
      </c>
      <c r="B5194" t="s">
        <v>350</v>
      </c>
      <c r="C5194" t="s">
        <v>1648</v>
      </c>
      <c r="D5194" t="s">
        <v>1648</v>
      </c>
      <c r="E5194" s="10">
        <v>2935068</v>
      </c>
      <c r="F5194" s="12">
        <v>2.0530000000000001E-3</v>
      </c>
    </row>
    <row r="5195" spans="1:6">
      <c r="A5195" s="10">
        <v>2022</v>
      </c>
      <c r="B5195" t="s">
        <v>1221</v>
      </c>
      <c r="C5195" t="s">
        <v>1649</v>
      </c>
      <c r="D5195" t="s">
        <v>1649</v>
      </c>
      <c r="E5195" s="10">
        <v>389363</v>
      </c>
      <c r="F5195" s="12">
        <v>2.7230000000000001E-4</v>
      </c>
    </row>
    <row r="5196" spans="1:6">
      <c r="A5196" s="10">
        <v>2022</v>
      </c>
      <c r="B5196" t="s">
        <v>351</v>
      </c>
      <c r="C5196" t="s">
        <v>297</v>
      </c>
      <c r="D5196" t="s">
        <v>297</v>
      </c>
      <c r="E5196" s="10">
        <v>27403</v>
      </c>
      <c r="F5196" s="12">
        <v>1.9199999999999999E-5</v>
      </c>
    </row>
    <row r="5197" spans="1:6">
      <c r="A5197" s="10">
        <v>2022</v>
      </c>
      <c r="B5197" t="s">
        <v>352</v>
      </c>
      <c r="C5197" t="s">
        <v>2398</v>
      </c>
      <c r="D5197" t="s">
        <v>2398</v>
      </c>
      <c r="E5197" s="10">
        <v>195740</v>
      </c>
      <c r="F5197" s="12">
        <v>1.3689999999999999E-4</v>
      </c>
    </row>
    <row r="5198" spans="1:6">
      <c r="A5198" s="10">
        <v>2022</v>
      </c>
      <c r="B5198" t="s">
        <v>353</v>
      </c>
      <c r="C5198" t="s">
        <v>1650</v>
      </c>
      <c r="D5198" t="s">
        <v>1650</v>
      </c>
      <c r="E5198" s="10">
        <v>48118</v>
      </c>
      <c r="F5198" s="12">
        <v>3.3699999999999999E-5</v>
      </c>
    </row>
    <row r="5199" spans="1:6">
      <c r="A5199" s="10">
        <v>2022</v>
      </c>
      <c r="B5199" t="s">
        <v>354</v>
      </c>
      <c r="C5199" t="s">
        <v>300</v>
      </c>
      <c r="D5199" t="s">
        <v>300</v>
      </c>
      <c r="E5199" s="10">
        <v>2757811</v>
      </c>
      <c r="F5199" s="12">
        <v>1.9289999999999999E-3</v>
      </c>
    </row>
    <row r="5200" spans="1:6">
      <c r="A5200" s="10">
        <v>2022</v>
      </c>
      <c r="B5200" t="s">
        <v>1659</v>
      </c>
      <c r="C5200" t="s">
        <v>1651</v>
      </c>
      <c r="D5200" t="s">
        <v>1651</v>
      </c>
      <c r="E5200" s="10">
        <v>260579</v>
      </c>
      <c r="F5200" s="12">
        <v>1.8230000000000001E-4</v>
      </c>
    </row>
    <row r="5201" spans="1:6">
      <c r="A5201" s="10">
        <v>2022</v>
      </c>
      <c r="B5201" t="s">
        <v>355</v>
      </c>
      <c r="C5201" t="s">
        <v>2423</v>
      </c>
      <c r="D5201" t="s">
        <v>2423</v>
      </c>
      <c r="E5201" s="10">
        <v>446909</v>
      </c>
      <c r="F5201" s="12">
        <v>3.1260000000000001E-4</v>
      </c>
    </row>
    <row r="5202" spans="1:6">
      <c r="A5202" s="10">
        <v>2022</v>
      </c>
      <c r="B5202" t="s">
        <v>356</v>
      </c>
      <c r="C5202" t="s">
        <v>1444</v>
      </c>
      <c r="D5202" t="s">
        <v>1444</v>
      </c>
      <c r="E5202" s="10">
        <v>6739546</v>
      </c>
      <c r="F5202" s="12">
        <v>4.7140999999999997E-3</v>
      </c>
    </row>
    <row r="5203" spans="1:6">
      <c r="A5203" s="10">
        <v>2022</v>
      </c>
      <c r="B5203" t="s">
        <v>357</v>
      </c>
      <c r="C5203" t="s">
        <v>2424</v>
      </c>
      <c r="D5203" t="s">
        <v>2424</v>
      </c>
      <c r="E5203" s="10">
        <v>224664</v>
      </c>
      <c r="F5203" s="12">
        <v>1.571E-4</v>
      </c>
    </row>
    <row r="5204" spans="1:6">
      <c r="A5204" s="10">
        <v>2022</v>
      </c>
      <c r="B5204" t="s">
        <v>358</v>
      </c>
      <c r="C5204" t="s">
        <v>304</v>
      </c>
      <c r="D5204" t="s">
        <v>304</v>
      </c>
      <c r="E5204" s="10"/>
    </row>
    <row r="5205" spans="1:6">
      <c r="A5205" s="10">
        <v>2022</v>
      </c>
      <c r="B5205" t="s">
        <v>359</v>
      </c>
      <c r="C5205" t="s">
        <v>305</v>
      </c>
      <c r="D5205" t="s">
        <v>305</v>
      </c>
      <c r="E5205" s="10">
        <v>260774</v>
      </c>
      <c r="F5205" s="12">
        <v>1.8239999999999999E-4</v>
      </c>
    </row>
    <row r="5206" spans="1:6">
      <c r="A5206" s="10">
        <v>2022</v>
      </c>
      <c r="B5206" t="s">
        <v>360</v>
      </c>
      <c r="C5206" t="s">
        <v>1653</v>
      </c>
      <c r="D5206" t="s">
        <v>1653</v>
      </c>
      <c r="E5206" s="10">
        <v>33754240</v>
      </c>
      <c r="F5206" s="12">
        <v>2.36098E-2</v>
      </c>
    </row>
    <row r="5207" spans="1:6">
      <c r="A5207" s="10">
        <v>2022</v>
      </c>
      <c r="B5207" t="s">
        <v>375</v>
      </c>
      <c r="C5207" t="s">
        <v>1654</v>
      </c>
      <c r="D5207" t="s">
        <v>1654</v>
      </c>
      <c r="E5207" s="10">
        <v>9646201</v>
      </c>
      <c r="F5207" s="12">
        <v>6.7470999999999998E-3</v>
      </c>
    </row>
    <row r="5208" spans="1:6">
      <c r="A5208" s="10">
        <v>2022</v>
      </c>
      <c r="B5208" t="s">
        <v>361</v>
      </c>
      <c r="C5208" t="s">
        <v>1655</v>
      </c>
      <c r="D5208" t="s">
        <v>1655</v>
      </c>
      <c r="E5208" s="10">
        <v>204905</v>
      </c>
      <c r="F5208" s="12">
        <v>1.4329999999999999E-4</v>
      </c>
    </row>
    <row r="5209" spans="1:6">
      <c r="A5209" s="10">
        <v>2022</v>
      </c>
      <c r="B5209" t="s">
        <v>362</v>
      </c>
      <c r="C5209" t="s">
        <v>1656</v>
      </c>
      <c r="D5209" t="s">
        <v>1656</v>
      </c>
      <c r="E5209" s="10">
        <v>9319</v>
      </c>
      <c r="F5209" s="12">
        <v>6.4999999999999996E-6</v>
      </c>
    </row>
    <row r="5210" spans="1:6">
      <c r="A5210" s="10">
        <v>2022</v>
      </c>
      <c r="B5210" t="s">
        <v>363</v>
      </c>
      <c r="C5210" t="s">
        <v>1657</v>
      </c>
      <c r="D5210" t="s">
        <v>1657</v>
      </c>
      <c r="E5210" s="10">
        <v>3539715</v>
      </c>
      <c r="F5210" s="12">
        <v>2.4759000000000001E-3</v>
      </c>
    </row>
    <row r="5211" spans="1:6">
      <c r="A5211" s="10">
        <v>2022</v>
      </c>
      <c r="B5211" t="s">
        <v>364</v>
      </c>
      <c r="C5211" t="s">
        <v>310</v>
      </c>
      <c r="D5211" t="s">
        <v>310</v>
      </c>
      <c r="E5211" s="10"/>
    </row>
    <row r="5212" spans="1:6">
      <c r="A5212" s="10">
        <v>2022</v>
      </c>
      <c r="B5212" t="s">
        <v>365</v>
      </c>
      <c r="C5212" t="s">
        <v>1658</v>
      </c>
      <c r="D5212" t="s">
        <v>1658</v>
      </c>
      <c r="E5212" s="10">
        <v>1370859</v>
      </c>
      <c r="F5212" s="12">
        <v>9.5890000000000005E-4</v>
      </c>
    </row>
    <row r="5213" spans="1:6">
      <c r="A5213" s="10">
        <v>2022</v>
      </c>
      <c r="B5213" t="s">
        <v>1222</v>
      </c>
      <c r="C5213" t="s">
        <v>1660</v>
      </c>
      <c r="D5213" t="s">
        <v>1660</v>
      </c>
      <c r="E5213" s="10">
        <v>488768</v>
      </c>
      <c r="F5213" s="12">
        <v>3.4190000000000002E-4</v>
      </c>
    </row>
    <row r="5214" spans="1:6">
      <c r="A5214" s="10">
        <v>2022</v>
      </c>
      <c r="B5214" t="s">
        <v>366</v>
      </c>
      <c r="C5214" t="s">
        <v>312</v>
      </c>
      <c r="D5214" t="s">
        <v>312</v>
      </c>
      <c r="E5214" s="10">
        <v>5573</v>
      </c>
      <c r="F5214" s="12">
        <v>3.8999999999999999E-6</v>
      </c>
    </row>
    <row r="5215" spans="1:6">
      <c r="A5215" s="10">
        <v>2022</v>
      </c>
      <c r="B5215" t="s">
        <v>367</v>
      </c>
      <c r="C5215" t="s">
        <v>313</v>
      </c>
      <c r="D5215" t="s">
        <v>313</v>
      </c>
      <c r="E5215" s="10">
        <v>74389</v>
      </c>
      <c r="F5215" s="12">
        <v>5.1999999999999997E-5</v>
      </c>
    </row>
    <row r="5216" spans="1:6">
      <c r="A5216" s="10">
        <v>2022</v>
      </c>
      <c r="B5216" t="s">
        <v>368</v>
      </c>
      <c r="C5216" t="s">
        <v>1661</v>
      </c>
      <c r="D5216" t="s">
        <v>1661</v>
      </c>
      <c r="E5216" s="10">
        <v>274008</v>
      </c>
      <c r="F5216" s="12">
        <v>1.917E-4</v>
      </c>
    </row>
    <row r="5217" spans="1:6">
      <c r="A5217" s="10">
        <v>2022</v>
      </c>
      <c r="B5217" t="s">
        <v>1223</v>
      </c>
      <c r="C5217" t="s">
        <v>1662</v>
      </c>
      <c r="D5217" t="s">
        <v>1662</v>
      </c>
      <c r="E5217" s="10">
        <v>162293</v>
      </c>
      <c r="F5217" s="12">
        <v>1.1349999999999999E-4</v>
      </c>
    </row>
    <row r="5218" spans="1:6">
      <c r="A5218" s="10">
        <v>2022</v>
      </c>
      <c r="B5218" t="s">
        <v>468</v>
      </c>
      <c r="C5218" t="s">
        <v>1663</v>
      </c>
      <c r="D5218" t="s">
        <v>1663</v>
      </c>
      <c r="E5218" s="10">
        <v>294155</v>
      </c>
      <c r="F5218" s="12">
        <v>2.0579999999999999E-4</v>
      </c>
    </row>
    <row r="5219" spans="1:6">
      <c r="A5219" s="10">
        <v>2022</v>
      </c>
      <c r="B5219" t="s">
        <v>1224</v>
      </c>
      <c r="C5219" t="s">
        <v>1665</v>
      </c>
      <c r="D5219" t="s">
        <v>1665</v>
      </c>
      <c r="E5219" s="10">
        <v>99041</v>
      </c>
      <c r="F5219" s="12">
        <v>6.9300000000000004E-5</v>
      </c>
    </row>
    <row r="5220" spans="1:6">
      <c r="A5220" s="10">
        <v>2022</v>
      </c>
      <c r="B5220" t="s">
        <v>470</v>
      </c>
      <c r="C5220" t="s">
        <v>2361</v>
      </c>
      <c r="D5220" t="s">
        <v>2361</v>
      </c>
      <c r="E5220" s="10">
        <v>30968</v>
      </c>
      <c r="F5220" s="12">
        <v>2.1699999999999999E-5</v>
      </c>
    </row>
    <row r="5221" spans="1:6">
      <c r="A5221" s="10">
        <v>2022</v>
      </c>
      <c r="B5221" t="s">
        <v>471</v>
      </c>
      <c r="C5221" t="s">
        <v>416</v>
      </c>
      <c r="D5221" t="s">
        <v>416</v>
      </c>
      <c r="E5221" s="10">
        <v>2448603</v>
      </c>
      <c r="F5221" s="12">
        <v>1.7126999999999999E-3</v>
      </c>
    </row>
    <row r="5222" spans="1:6">
      <c r="A5222" s="10">
        <v>2022</v>
      </c>
      <c r="B5222" t="s">
        <v>472</v>
      </c>
      <c r="C5222" t="s">
        <v>417</v>
      </c>
      <c r="D5222" t="s">
        <v>417</v>
      </c>
      <c r="E5222" s="10">
        <v>3489007</v>
      </c>
      <c r="F5222" s="12">
        <v>2.4404000000000001E-3</v>
      </c>
    </row>
    <row r="5223" spans="1:6">
      <c r="A5223" s="10">
        <v>2022</v>
      </c>
      <c r="B5223" t="s">
        <v>474</v>
      </c>
      <c r="C5223" t="s">
        <v>1666</v>
      </c>
      <c r="D5223" t="s">
        <v>1666</v>
      </c>
      <c r="E5223" s="10">
        <v>110547</v>
      </c>
      <c r="F5223" s="12">
        <v>7.7299999999999995E-5</v>
      </c>
    </row>
    <row r="5224" spans="1:6">
      <c r="A5224" s="10">
        <v>2022</v>
      </c>
      <c r="B5224" t="s">
        <v>475</v>
      </c>
      <c r="C5224" t="s">
        <v>1667</v>
      </c>
      <c r="D5224" t="s">
        <v>1667</v>
      </c>
      <c r="E5224" s="10">
        <v>27843</v>
      </c>
      <c r="F5224" s="12">
        <v>1.95E-5</v>
      </c>
    </row>
    <row r="5225" spans="1:6">
      <c r="A5225" s="10">
        <v>2022</v>
      </c>
      <c r="B5225" t="s">
        <v>476</v>
      </c>
      <c r="C5225" t="s">
        <v>421</v>
      </c>
      <c r="D5225" t="s">
        <v>421</v>
      </c>
      <c r="E5225" s="10">
        <v>5348546</v>
      </c>
      <c r="F5225" s="12">
        <v>3.7410999999999998E-3</v>
      </c>
    </row>
    <row r="5226" spans="1:6">
      <c r="A5226" s="10">
        <v>2022</v>
      </c>
      <c r="B5226" t="s">
        <v>477</v>
      </c>
      <c r="C5226" t="s">
        <v>422</v>
      </c>
      <c r="D5226" t="s">
        <v>422</v>
      </c>
      <c r="E5226" s="10">
        <v>1166116</v>
      </c>
      <c r="F5226" s="12">
        <v>8.1570000000000004E-4</v>
      </c>
    </row>
    <row r="5227" spans="1:6">
      <c r="A5227" s="10">
        <v>2022</v>
      </c>
      <c r="B5227" t="s">
        <v>478</v>
      </c>
      <c r="C5227" t="s">
        <v>1668</v>
      </c>
      <c r="D5227" t="s">
        <v>2362</v>
      </c>
      <c r="E5227" s="10">
        <v>164179</v>
      </c>
      <c r="F5227" s="12">
        <v>1.148E-4</v>
      </c>
    </row>
    <row r="5228" spans="1:6">
      <c r="A5228" s="10">
        <v>2022</v>
      </c>
      <c r="B5228" t="s">
        <v>479</v>
      </c>
      <c r="C5228" t="s">
        <v>1669</v>
      </c>
      <c r="D5228" t="s">
        <v>1669</v>
      </c>
      <c r="E5228" s="10">
        <v>470084</v>
      </c>
      <c r="F5228" s="12">
        <v>3.2880000000000002E-4</v>
      </c>
    </row>
    <row r="5229" spans="1:6">
      <c r="A5229" s="10">
        <v>2022</v>
      </c>
      <c r="B5229" t="s">
        <v>480</v>
      </c>
      <c r="C5229" t="s">
        <v>1670</v>
      </c>
      <c r="D5229" t="s">
        <v>1670</v>
      </c>
      <c r="E5229" s="10">
        <v>62511</v>
      </c>
      <c r="F5229" s="12">
        <v>4.3699999999999998E-5</v>
      </c>
    </row>
    <row r="5230" spans="1:6">
      <c r="A5230" s="10">
        <v>2022</v>
      </c>
      <c r="B5230" t="s">
        <v>481</v>
      </c>
      <c r="C5230" t="s">
        <v>1671</v>
      </c>
      <c r="D5230" t="s">
        <v>1671</v>
      </c>
      <c r="E5230" s="10">
        <v>870987</v>
      </c>
      <c r="F5230" s="12">
        <v>6.0919999999999995E-4</v>
      </c>
    </row>
    <row r="5231" spans="1:6">
      <c r="A5231" s="10">
        <v>2022</v>
      </c>
      <c r="B5231" t="s">
        <v>482</v>
      </c>
      <c r="C5231" t="s">
        <v>1672</v>
      </c>
      <c r="D5231" t="s">
        <v>1672</v>
      </c>
      <c r="E5231" s="10">
        <v>201095</v>
      </c>
      <c r="F5231" s="12">
        <v>1.407E-4</v>
      </c>
    </row>
    <row r="5232" spans="1:6">
      <c r="A5232" s="10">
        <v>2022</v>
      </c>
      <c r="B5232" t="s">
        <v>483</v>
      </c>
      <c r="C5232" t="s">
        <v>1673</v>
      </c>
      <c r="D5232" t="s">
        <v>1673</v>
      </c>
      <c r="E5232" s="10">
        <v>160972</v>
      </c>
      <c r="F5232" s="12">
        <v>1.126E-4</v>
      </c>
    </row>
    <row r="5233" spans="1:6">
      <c r="A5233" s="10">
        <v>2022</v>
      </c>
      <c r="B5233" t="s">
        <v>484</v>
      </c>
      <c r="C5233" t="s">
        <v>1674</v>
      </c>
      <c r="D5233" t="s">
        <v>1674</v>
      </c>
      <c r="E5233" s="10">
        <v>483557</v>
      </c>
      <c r="F5233" s="12">
        <v>3.3819999999999998E-4</v>
      </c>
    </row>
    <row r="5234" spans="1:6">
      <c r="A5234" s="10">
        <v>2022</v>
      </c>
      <c r="B5234" t="s">
        <v>485</v>
      </c>
      <c r="C5234" t="s">
        <v>1675</v>
      </c>
      <c r="D5234" t="s">
        <v>1675</v>
      </c>
      <c r="E5234" s="10">
        <v>1665315</v>
      </c>
      <c r="F5234" s="12">
        <v>1.1647999999999999E-3</v>
      </c>
    </row>
    <row r="5235" spans="1:6">
      <c r="A5235" s="10">
        <v>2022</v>
      </c>
      <c r="B5235" t="s">
        <v>376</v>
      </c>
      <c r="C5235" t="s">
        <v>1676</v>
      </c>
      <c r="D5235" t="s">
        <v>1676</v>
      </c>
      <c r="E5235" s="10">
        <v>540487</v>
      </c>
      <c r="F5235" s="12">
        <v>3.7809999999999997E-4</v>
      </c>
    </row>
    <row r="5236" spans="1:6">
      <c r="A5236" s="10">
        <v>2022</v>
      </c>
      <c r="B5236" t="s">
        <v>1690</v>
      </c>
      <c r="C5236" t="s">
        <v>1677</v>
      </c>
      <c r="D5236" t="s">
        <v>1677</v>
      </c>
      <c r="E5236" s="10"/>
    </row>
    <row r="5237" spans="1:6">
      <c r="A5237" s="10">
        <v>2022</v>
      </c>
      <c r="B5237" t="s">
        <v>2365</v>
      </c>
      <c r="C5237" t="s">
        <v>2363</v>
      </c>
      <c r="D5237" t="s">
        <v>2363</v>
      </c>
      <c r="E5237" s="10">
        <v>48762</v>
      </c>
      <c r="F5237" s="12">
        <v>3.4100000000000002E-5</v>
      </c>
    </row>
    <row r="5238" spans="1:6">
      <c r="A5238" s="10">
        <v>2022</v>
      </c>
      <c r="B5238" t="s">
        <v>377</v>
      </c>
      <c r="C5238" t="s">
        <v>1678</v>
      </c>
      <c r="D5238" t="s">
        <v>1678</v>
      </c>
      <c r="E5238" s="10">
        <v>1039383</v>
      </c>
      <c r="F5238" s="12">
        <v>7.27E-4</v>
      </c>
    </row>
    <row r="5239" spans="1:6">
      <c r="A5239" s="10">
        <v>2022</v>
      </c>
      <c r="B5239" t="s">
        <v>486</v>
      </c>
      <c r="C5239" t="s">
        <v>1679</v>
      </c>
      <c r="D5239" t="s">
        <v>1679</v>
      </c>
      <c r="E5239" s="10">
        <v>1292483</v>
      </c>
      <c r="F5239" s="12">
        <v>9.0399999999999996E-4</v>
      </c>
    </row>
    <row r="5240" spans="1:6">
      <c r="A5240" s="10">
        <v>2022</v>
      </c>
      <c r="B5240" t="s">
        <v>487</v>
      </c>
      <c r="C5240" t="s">
        <v>432</v>
      </c>
      <c r="D5240" t="s">
        <v>432</v>
      </c>
      <c r="E5240" s="10"/>
    </row>
    <row r="5241" spans="1:6">
      <c r="A5241" s="10">
        <v>2022</v>
      </c>
      <c r="B5241" t="s">
        <v>488</v>
      </c>
      <c r="C5241" t="s">
        <v>1680</v>
      </c>
      <c r="D5241" t="s">
        <v>1680</v>
      </c>
      <c r="E5241" s="10">
        <v>200190</v>
      </c>
      <c r="F5241" s="12">
        <v>1.3999999999999999E-4</v>
      </c>
    </row>
    <row r="5242" spans="1:6">
      <c r="A5242" s="10">
        <v>2022</v>
      </c>
      <c r="B5242" t="s">
        <v>489</v>
      </c>
      <c r="C5242" t="s">
        <v>434</v>
      </c>
      <c r="D5242" t="s">
        <v>434</v>
      </c>
      <c r="E5242" s="10">
        <v>71543</v>
      </c>
      <c r="F5242" s="12">
        <v>5.0000000000000002E-5</v>
      </c>
    </row>
    <row r="5243" spans="1:6">
      <c r="A5243" s="10">
        <v>2022</v>
      </c>
      <c r="B5243" t="s">
        <v>490</v>
      </c>
      <c r="C5243" t="s">
        <v>1681</v>
      </c>
      <c r="D5243" t="s">
        <v>1681</v>
      </c>
      <c r="E5243" s="10">
        <v>3585713</v>
      </c>
      <c r="F5243" s="12">
        <v>2.5081000000000001E-3</v>
      </c>
    </row>
    <row r="5244" spans="1:6">
      <c r="A5244" s="10">
        <v>2022</v>
      </c>
      <c r="B5244" t="s">
        <v>491</v>
      </c>
      <c r="C5244" t="s">
        <v>1682</v>
      </c>
      <c r="D5244" t="s">
        <v>1682</v>
      </c>
      <c r="E5244" s="10">
        <v>4178067</v>
      </c>
      <c r="F5244" s="12">
        <v>2.9223999999999999E-3</v>
      </c>
    </row>
    <row r="5245" spans="1:6">
      <c r="A5245" s="10">
        <v>2022</v>
      </c>
      <c r="B5245" t="s">
        <v>492</v>
      </c>
      <c r="C5245" t="s">
        <v>1683</v>
      </c>
      <c r="D5245" t="s">
        <v>1683</v>
      </c>
      <c r="E5245" s="10">
        <v>9320</v>
      </c>
      <c r="F5245" s="12">
        <v>6.4999999999999996E-6</v>
      </c>
    </row>
    <row r="5246" spans="1:6">
      <c r="A5246" s="10">
        <v>2022</v>
      </c>
      <c r="B5246" t="s">
        <v>493</v>
      </c>
      <c r="C5246" t="s">
        <v>1684</v>
      </c>
      <c r="D5246" t="s">
        <v>1684</v>
      </c>
      <c r="E5246" s="10">
        <v>23456</v>
      </c>
      <c r="F5246" s="12">
        <v>1.6399999999999999E-5</v>
      </c>
    </row>
    <row r="5247" spans="1:6">
      <c r="A5247" s="10">
        <v>2022</v>
      </c>
      <c r="B5247" t="s">
        <v>494</v>
      </c>
      <c r="C5247" t="s">
        <v>1685</v>
      </c>
      <c r="D5247" t="s">
        <v>1685</v>
      </c>
      <c r="E5247" s="10"/>
    </row>
    <row r="5248" spans="1:6">
      <c r="A5248" s="10">
        <v>2022</v>
      </c>
      <c r="B5248" t="s">
        <v>550</v>
      </c>
      <c r="C5248" t="s">
        <v>1686</v>
      </c>
      <c r="D5248" t="s">
        <v>1686</v>
      </c>
      <c r="E5248" s="10">
        <v>49293</v>
      </c>
      <c r="F5248" s="12">
        <v>3.4499999999999998E-5</v>
      </c>
    </row>
    <row r="5249" spans="1:6">
      <c r="A5249" s="10">
        <v>2022</v>
      </c>
      <c r="B5249" t="s">
        <v>551</v>
      </c>
      <c r="C5249" t="s">
        <v>1687</v>
      </c>
      <c r="D5249" t="s">
        <v>1687</v>
      </c>
      <c r="E5249" s="10">
        <v>113482</v>
      </c>
      <c r="F5249" s="12">
        <v>7.9400000000000006E-5</v>
      </c>
    </row>
    <row r="5250" spans="1:6">
      <c r="A5250" s="10">
        <v>2022</v>
      </c>
      <c r="B5250" t="s">
        <v>552</v>
      </c>
      <c r="C5250" t="s">
        <v>1688</v>
      </c>
      <c r="D5250" t="s">
        <v>1688</v>
      </c>
      <c r="E5250" s="10">
        <v>22349628</v>
      </c>
      <c r="F5250" s="12">
        <v>1.5632699999999999E-2</v>
      </c>
    </row>
    <row r="5251" spans="1:6">
      <c r="A5251" s="10">
        <v>2022</v>
      </c>
      <c r="B5251" t="s">
        <v>553</v>
      </c>
      <c r="C5251" t="s">
        <v>498</v>
      </c>
      <c r="D5251" t="s">
        <v>498</v>
      </c>
      <c r="E5251" s="10">
        <v>45520</v>
      </c>
      <c r="F5251" s="12">
        <v>3.18E-5</v>
      </c>
    </row>
    <row r="5252" spans="1:6">
      <c r="A5252" s="10">
        <v>2022</v>
      </c>
      <c r="B5252" t="s">
        <v>554</v>
      </c>
      <c r="C5252" t="s">
        <v>499</v>
      </c>
      <c r="D5252" t="s">
        <v>499</v>
      </c>
      <c r="E5252" s="10"/>
    </row>
    <row r="5253" spans="1:6">
      <c r="A5253" s="10">
        <v>2022</v>
      </c>
      <c r="B5253" t="s">
        <v>555</v>
      </c>
      <c r="C5253" t="s">
        <v>500</v>
      </c>
      <c r="D5253" t="s">
        <v>500</v>
      </c>
      <c r="E5253" s="10">
        <v>251268</v>
      </c>
      <c r="F5253" s="12">
        <v>1.7579999999999999E-4</v>
      </c>
    </row>
    <row r="5254" spans="1:6">
      <c r="A5254" s="10">
        <v>2022</v>
      </c>
      <c r="B5254" t="s">
        <v>556</v>
      </c>
      <c r="C5254" t="s">
        <v>501</v>
      </c>
      <c r="D5254" t="s">
        <v>501</v>
      </c>
      <c r="E5254" s="10"/>
    </row>
    <row r="5255" spans="1:6">
      <c r="A5255" s="10">
        <v>2022</v>
      </c>
      <c r="B5255" t="s">
        <v>557</v>
      </c>
      <c r="C5255" t="s">
        <v>502</v>
      </c>
      <c r="D5255" t="s">
        <v>502</v>
      </c>
      <c r="E5255" s="10">
        <v>72171</v>
      </c>
      <c r="F5255" s="12">
        <v>5.0500000000000001E-5</v>
      </c>
    </row>
    <row r="5256" spans="1:6">
      <c r="A5256" s="10">
        <v>2022</v>
      </c>
      <c r="B5256" t="s">
        <v>558</v>
      </c>
      <c r="C5256" t="s">
        <v>1691</v>
      </c>
      <c r="D5256" t="s">
        <v>1691</v>
      </c>
      <c r="E5256" s="10">
        <v>29715</v>
      </c>
      <c r="F5256" s="12">
        <v>2.0800000000000001E-5</v>
      </c>
    </row>
    <row r="5257" spans="1:6">
      <c r="A5257" s="10">
        <v>2022</v>
      </c>
      <c r="B5257" t="s">
        <v>559</v>
      </c>
      <c r="C5257" t="s">
        <v>1692</v>
      </c>
      <c r="D5257" t="s">
        <v>1692</v>
      </c>
      <c r="E5257" s="10">
        <v>2446068</v>
      </c>
      <c r="F5257" s="12">
        <v>1.7109E-3</v>
      </c>
    </row>
    <row r="5258" spans="1:6">
      <c r="A5258" s="10">
        <v>2022</v>
      </c>
      <c r="B5258" t="s">
        <v>378</v>
      </c>
      <c r="C5258" t="s">
        <v>1693</v>
      </c>
      <c r="D5258" t="s">
        <v>1693</v>
      </c>
      <c r="E5258" s="10">
        <v>633061</v>
      </c>
      <c r="F5258" s="12">
        <v>4.4279999999999998E-4</v>
      </c>
    </row>
    <row r="5259" spans="1:6">
      <c r="A5259" s="10">
        <v>2022</v>
      </c>
      <c r="B5259" t="s">
        <v>560</v>
      </c>
      <c r="C5259" t="s">
        <v>505</v>
      </c>
      <c r="D5259" t="s">
        <v>505</v>
      </c>
      <c r="E5259" s="10">
        <v>146114</v>
      </c>
      <c r="F5259" s="12">
        <v>1.022E-4</v>
      </c>
    </row>
    <row r="5260" spans="1:6">
      <c r="A5260" s="10">
        <v>2022</v>
      </c>
      <c r="B5260" t="s">
        <v>561</v>
      </c>
      <c r="C5260" t="s">
        <v>1694</v>
      </c>
      <c r="D5260" t="s">
        <v>1694</v>
      </c>
      <c r="E5260" s="10">
        <v>294296</v>
      </c>
      <c r="F5260" s="12">
        <v>2.0579999999999999E-4</v>
      </c>
    </row>
    <row r="5261" spans="1:6">
      <c r="A5261" s="10">
        <v>2022</v>
      </c>
      <c r="B5261" t="s">
        <v>1225</v>
      </c>
      <c r="C5261" t="s">
        <v>1695</v>
      </c>
      <c r="D5261" t="s">
        <v>1695</v>
      </c>
      <c r="E5261" s="10">
        <v>24242</v>
      </c>
      <c r="F5261" s="12">
        <v>1.7E-5</v>
      </c>
    </row>
    <row r="5262" spans="1:6">
      <c r="A5262" s="10">
        <v>2022</v>
      </c>
      <c r="B5262" t="s">
        <v>562</v>
      </c>
      <c r="C5262" t="s">
        <v>2367</v>
      </c>
      <c r="D5262" t="s">
        <v>2367</v>
      </c>
      <c r="E5262" s="10">
        <v>16213564</v>
      </c>
      <c r="F5262" s="12">
        <v>1.13408E-2</v>
      </c>
    </row>
    <row r="5263" spans="1:6">
      <c r="A5263" s="10">
        <v>2022</v>
      </c>
      <c r="B5263" t="s">
        <v>1226</v>
      </c>
      <c r="C5263" t="s">
        <v>1697</v>
      </c>
      <c r="D5263" t="s">
        <v>1697</v>
      </c>
      <c r="E5263" s="10">
        <v>143577</v>
      </c>
      <c r="F5263" s="12">
        <v>1.004E-4</v>
      </c>
    </row>
    <row r="5264" spans="1:6">
      <c r="A5264" s="10">
        <v>2022</v>
      </c>
      <c r="B5264" t="s">
        <v>563</v>
      </c>
      <c r="C5264" t="s">
        <v>1698</v>
      </c>
      <c r="D5264" t="s">
        <v>1698</v>
      </c>
      <c r="E5264" s="10"/>
    </row>
    <row r="5265" spans="1:6">
      <c r="A5265" s="10">
        <v>2022</v>
      </c>
      <c r="B5265" t="s">
        <v>564</v>
      </c>
      <c r="C5265" t="s">
        <v>509</v>
      </c>
      <c r="D5265" t="s">
        <v>509</v>
      </c>
      <c r="E5265" s="10">
        <v>1759533</v>
      </c>
      <c r="F5265" s="12">
        <v>1.2306999999999999E-3</v>
      </c>
    </row>
    <row r="5266" spans="1:6">
      <c r="A5266" s="10">
        <v>2022</v>
      </c>
      <c r="B5266" t="s">
        <v>565</v>
      </c>
      <c r="C5266" t="s">
        <v>510</v>
      </c>
      <c r="D5266" t="s">
        <v>510</v>
      </c>
      <c r="E5266" s="10">
        <v>2268412</v>
      </c>
      <c r="F5266" s="12">
        <v>1.5866999999999999E-3</v>
      </c>
    </row>
    <row r="5267" spans="1:6">
      <c r="A5267" s="10">
        <v>2022</v>
      </c>
      <c r="B5267" t="s">
        <v>566</v>
      </c>
      <c r="C5267" t="s">
        <v>1699</v>
      </c>
      <c r="D5267" t="s">
        <v>1699</v>
      </c>
      <c r="E5267" s="10">
        <v>144302</v>
      </c>
      <c r="F5267" s="12">
        <v>1.009E-4</v>
      </c>
    </row>
    <row r="5268" spans="1:6">
      <c r="A5268" s="10">
        <v>2022</v>
      </c>
      <c r="B5268" t="s">
        <v>2400</v>
      </c>
      <c r="C5268" t="s">
        <v>2399</v>
      </c>
      <c r="D5268" t="s">
        <v>2399</v>
      </c>
      <c r="E5268" s="10">
        <v>151106</v>
      </c>
      <c r="F5268" s="12">
        <v>1.0569999999999999E-4</v>
      </c>
    </row>
    <row r="5269" spans="1:6">
      <c r="A5269" s="10">
        <v>2022</v>
      </c>
      <c r="B5269" t="s">
        <v>569</v>
      </c>
      <c r="C5269" t="s">
        <v>1446</v>
      </c>
      <c r="D5269" t="s">
        <v>1446</v>
      </c>
      <c r="E5269" s="10">
        <v>212694</v>
      </c>
      <c r="F5269" s="12">
        <v>1.4880000000000001E-4</v>
      </c>
    </row>
    <row r="5270" spans="1:6">
      <c r="A5270" s="10">
        <v>2022</v>
      </c>
      <c r="B5270" t="s">
        <v>567</v>
      </c>
      <c r="C5270" t="s">
        <v>1700</v>
      </c>
      <c r="D5270" t="s">
        <v>1700</v>
      </c>
      <c r="E5270" s="10">
        <v>117009</v>
      </c>
      <c r="F5270" s="12">
        <v>8.1799999999999996E-5</v>
      </c>
    </row>
    <row r="5271" spans="1:6">
      <c r="A5271" s="10">
        <v>2022</v>
      </c>
      <c r="B5271" t="s">
        <v>568</v>
      </c>
      <c r="C5271" t="s">
        <v>2446</v>
      </c>
      <c r="D5271" t="s">
        <v>2446</v>
      </c>
      <c r="E5271" s="10">
        <v>190808</v>
      </c>
      <c r="F5271" s="12">
        <v>1.3349999999999999E-4</v>
      </c>
    </row>
    <row r="5272" spans="1:6">
      <c r="A5272" s="10">
        <v>2022</v>
      </c>
      <c r="B5272" t="s">
        <v>570</v>
      </c>
      <c r="C5272" t="s">
        <v>515</v>
      </c>
      <c r="D5272" t="s">
        <v>515</v>
      </c>
      <c r="E5272" s="10">
        <v>414740</v>
      </c>
      <c r="F5272" s="12">
        <v>2.901E-4</v>
      </c>
    </row>
    <row r="5273" spans="1:6">
      <c r="A5273" s="10">
        <v>2022</v>
      </c>
      <c r="B5273" t="s">
        <v>571</v>
      </c>
      <c r="C5273" t="s">
        <v>516</v>
      </c>
      <c r="D5273" t="s">
        <v>516</v>
      </c>
      <c r="E5273" s="10">
        <v>1162536</v>
      </c>
      <c r="F5273" s="12">
        <v>8.1309999999999998E-4</v>
      </c>
    </row>
    <row r="5274" spans="1:6">
      <c r="A5274" s="10">
        <v>2022</v>
      </c>
      <c r="B5274" t="s">
        <v>572</v>
      </c>
      <c r="C5274" t="s">
        <v>517</v>
      </c>
      <c r="D5274" t="s">
        <v>517</v>
      </c>
      <c r="E5274" s="10">
        <v>1056777</v>
      </c>
      <c r="F5274" s="12">
        <v>7.3919999999999997E-4</v>
      </c>
    </row>
    <row r="5275" spans="1:6">
      <c r="A5275" s="10">
        <v>2022</v>
      </c>
      <c r="B5275" t="s">
        <v>573</v>
      </c>
      <c r="C5275" t="s">
        <v>518</v>
      </c>
      <c r="D5275" t="s">
        <v>518</v>
      </c>
      <c r="E5275" s="10">
        <v>349438</v>
      </c>
      <c r="F5275" s="12">
        <v>2.4439999999999998E-4</v>
      </c>
    </row>
    <row r="5276" spans="1:6">
      <c r="A5276" s="10">
        <v>2022</v>
      </c>
      <c r="B5276" t="s">
        <v>574</v>
      </c>
      <c r="C5276" t="s">
        <v>1702</v>
      </c>
      <c r="D5276" t="s">
        <v>1702</v>
      </c>
      <c r="E5276" s="10">
        <v>137585</v>
      </c>
      <c r="F5276" s="12">
        <v>9.6199999999999994E-5</v>
      </c>
    </row>
    <row r="5277" spans="1:6">
      <c r="A5277" s="10">
        <v>2022</v>
      </c>
      <c r="B5277" t="s">
        <v>575</v>
      </c>
      <c r="C5277" t="s">
        <v>2437</v>
      </c>
      <c r="D5277" t="s">
        <v>2437</v>
      </c>
      <c r="E5277" s="10">
        <v>168338</v>
      </c>
      <c r="F5277" s="12">
        <v>1.177E-4</v>
      </c>
    </row>
    <row r="5278" spans="1:6">
      <c r="A5278" s="10">
        <v>2022</v>
      </c>
      <c r="B5278" t="s">
        <v>576</v>
      </c>
      <c r="C5278" t="s">
        <v>521</v>
      </c>
      <c r="D5278" t="s">
        <v>521</v>
      </c>
      <c r="E5278" s="10">
        <v>262282</v>
      </c>
      <c r="F5278" s="12">
        <v>1.8349999999999999E-4</v>
      </c>
    </row>
    <row r="5279" spans="1:6">
      <c r="A5279" s="10">
        <v>2022</v>
      </c>
      <c r="B5279" t="s">
        <v>577</v>
      </c>
      <c r="C5279" t="s">
        <v>1704</v>
      </c>
      <c r="D5279" t="s">
        <v>1704</v>
      </c>
      <c r="E5279" s="10">
        <v>39496</v>
      </c>
      <c r="F5279" s="12">
        <v>2.76E-5</v>
      </c>
    </row>
    <row r="5280" spans="1:6">
      <c r="A5280" s="10">
        <v>2022</v>
      </c>
      <c r="B5280" t="s">
        <v>578</v>
      </c>
      <c r="C5280" t="s">
        <v>1705</v>
      </c>
      <c r="D5280" t="s">
        <v>1705</v>
      </c>
      <c r="E5280" s="10">
        <v>1722950</v>
      </c>
      <c r="F5280" s="12">
        <v>1.2051E-3</v>
      </c>
    </row>
    <row r="5281" spans="1:6">
      <c r="A5281" s="10">
        <v>2022</v>
      </c>
      <c r="B5281" t="s">
        <v>2371</v>
      </c>
      <c r="C5281" t="s">
        <v>2369</v>
      </c>
      <c r="D5281" t="s">
        <v>2369</v>
      </c>
      <c r="E5281" s="10">
        <v>1549</v>
      </c>
      <c r="F5281" s="12">
        <v>1.1000000000000001E-6</v>
      </c>
    </row>
    <row r="5282" spans="1:6">
      <c r="A5282" s="10">
        <v>2022</v>
      </c>
      <c r="B5282" t="s">
        <v>379</v>
      </c>
      <c r="C5282" t="s">
        <v>1706</v>
      </c>
      <c r="D5282" t="s">
        <v>1706</v>
      </c>
      <c r="E5282" s="10">
        <v>921587</v>
      </c>
      <c r="F5282" s="12">
        <v>6.4459999999999995E-4</v>
      </c>
    </row>
    <row r="5283" spans="1:6">
      <c r="A5283" s="10">
        <v>2022</v>
      </c>
      <c r="B5283" t="s">
        <v>580</v>
      </c>
      <c r="C5283" t="s">
        <v>1709</v>
      </c>
      <c r="D5283" t="s">
        <v>1709</v>
      </c>
      <c r="E5283" s="10">
        <v>69908</v>
      </c>
      <c r="F5283" s="12">
        <v>4.8900000000000003E-5</v>
      </c>
    </row>
    <row r="5284" spans="1:6">
      <c r="A5284" s="10">
        <v>2022</v>
      </c>
      <c r="B5284" t="s">
        <v>581</v>
      </c>
      <c r="C5284" t="s">
        <v>526</v>
      </c>
      <c r="D5284" t="s">
        <v>526</v>
      </c>
      <c r="E5284" s="10">
        <v>15768</v>
      </c>
      <c r="F5284" s="12">
        <v>1.1E-5</v>
      </c>
    </row>
    <row r="5285" spans="1:6">
      <c r="A5285" s="10">
        <v>2022</v>
      </c>
      <c r="B5285" t="s">
        <v>582</v>
      </c>
      <c r="C5285" t="s">
        <v>1710</v>
      </c>
      <c r="D5285" t="s">
        <v>1710</v>
      </c>
      <c r="E5285" s="10">
        <v>552023</v>
      </c>
      <c r="F5285" s="12">
        <v>3.8610000000000001E-4</v>
      </c>
    </row>
    <row r="5286" spans="1:6">
      <c r="A5286" s="10">
        <v>2022</v>
      </c>
      <c r="B5286" t="s">
        <v>583</v>
      </c>
      <c r="C5286" t="s">
        <v>1711</v>
      </c>
      <c r="D5286" t="s">
        <v>1711</v>
      </c>
      <c r="E5286" s="10">
        <v>15184</v>
      </c>
      <c r="F5286" s="12">
        <v>1.06E-5</v>
      </c>
    </row>
    <row r="5287" spans="1:6">
      <c r="A5287" s="10">
        <v>2022</v>
      </c>
      <c r="B5287" t="s">
        <v>380</v>
      </c>
      <c r="C5287" t="s">
        <v>1712</v>
      </c>
      <c r="D5287" t="s">
        <v>1712</v>
      </c>
      <c r="E5287" s="10">
        <v>592445</v>
      </c>
      <c r="F5287" s="12">
        <v>4.1439999999999999E-4</v>
      </c>
    </row>
    <row r="5288" spans="1:6">
      <c r="A5288" s="10">
        <v>2022</v>
      </c>
      <c r="B5288" t="s">
        <v>585</v>
      </c>
      <c r="C5288" t="s">
        <v>1713</v>
      </c>
      <c r="D5288" t="s">
        <v>1713</v>
      </c>
      <c r="E5288" s="10">
        <v>121867</v>
      </c>
      <c r="F5288" s="12">
        <v>8.5199999999999997E-5</v>
      </c>
    </row>
    <row r="5289" spans="1:6">
      <c r="A5289" s="10">
        <v>2022</v>
      </c>
      <c r="B5289" t="s">
        <v>2426</v>
      </c>
      <c r="C5289" t="s">
        <v>2428</v>
      </c>
      <c r="D5289" t="s">
        <v>2428</v>
      </c>
      <c r="E5289" s="10">
        <v>152198</v>
      </c>
      <c r="F5289" s="12">
        <v>1.065E-4</v>
      </c>
    </row>
    <row r="5290" spans="1:6">
      <c r="A5290" s="10">
        <v>2022</v>
      </c>
      <c r="B5290" t="s">
        <v>586</v>
      </c>
      <c r="C5290" t="s">
        <v>1714</v>
      </c>
      <c r="D5290" t="s">
        <v>1714</v>
      </c>
      <c r="E5290" s="10">
        <v>214567</v>
      </c>
      <c r="F5290" s="12">
        <v>1.5009999999999999E-4</v>
      </c>
    </row>
    <row r="5291" spans="1:6">
      <c r="A5291" s="10">
        <v>2022</v>
      </c>
      <c r="B5291" t="s">
        <v>587</v>
      </c>
      <c r="C5291" t="s">
        <v>532</v>
      </c>
      <c r="D5291" t="s">
        <v>532</v>
      </c>
      <c r="E5291" s="10">
        <v>195637</v>
      </c>
      <c r="F5291" s="12">
        <v>1.3679999999999999E-4</v>
      </c>
    </row>
    <row r="5292" spans="1:6">
      <c r="A5292" s="10">
        <v>2022</v>
      </c>
      <c r="B5292" t="s">
        <v>588</v>
      </c>
      <c r="C5292" t="s">
        <v>533</v>
      </c>
      <c r="D5292" t="s">
        <v>533</v>
      </c>
      <c r="E5292" s="10">
        <v>195571</v>
      </c>
      <c r="F5292" s="12">
        <v>1.3679999999999999E-4</v>
      </c>
    </row>
    <row r="5293" spans="1:6">
      <c r="A5293" s="10">
        <v>2022</v>
      </c>
      <c r="B5293" t="s">
        <v>589</v>
      </c>
      <c r="C5293" t="s">
        <v>1715</v>
      </c>
      <c r="D5293" t="s">
        <v>1715</v>
      </c>
      <c r="E5293" s="10">
        <v>7389826</v>
      </c>
      <c r="F5293" s="12">
        <v>5.1688999999999997E-3</v>
      </c>
    </row>
    <row r="5294" spans="1:6">
      <c r="A5294" s="10">
        <v>2022</v>
      </c>
      <c r="B5294" t="s">
        <v>381</v>
      </c>
      <c r="C5294" t="s">
        <v>1716</v>
      </c>
      <c r="D5294" t="s">
        <v>1716</v>
      </c>
      <c r="E5294" s="10">
        <v>4182436</v>
      </c>
      <c r="F5294" s="12">
        <v>2.9255000000000001E-3</v>
      </c>
    </row>
    <row r="5295" spans="1:6">
      <c r="A5295" s="10">
        <v>2022</v>
      </c>
      <c r="B5295" t="s">
        <v>590</v>
      </c>
      <c r="C5295" t="s">
        <v>1717</v>
      </c>
      <c r="D5295" t="s">
        <v>1717</v>
      </c>
      <c r="E5295" s="10">
        <v>6088811</v>
      </c>
      <c r="F5295" s="12">
        <v>4.2589000000000004E-3</v>
      </c>
    </row>
    <row r="5296" spans="1:6">
      <c r="A5296" s="10">
        <v>2022</v>
      </c>
      <c r="B5296" t="s">
        <v>1227</v>
      </c>
      <c r="C5296" t="s">
        <v>1718</v>
      </c>
      <c r="D5296" t="s">
        <v>1718</v>
      </c>
      <c r="E5296" s="10">
        <v>705361</v>
      </c>
      <c r="F5296" s="12">
        <v>4.9339999999999996E-4</v>
      </c>
    </row>
    <row r="5297" spans="1:6">
      <c r="A5297" s="10">
        <v>2022</v>
      </c>
      <c r="B5297" t="s">
        <v>591</v>
      </c>
      <c r="C5297" t="s">
        <v>536</v>
      </c>
      <c r="D5297" t="s">
        <v>536</v>
      </c>
      <c r="E5297" s="10">
        <v>71013</v>
      </c>
      <c r="F5297" s="12">
        <v>4.9700000000000002E-5</v>
      </c>
    </row>
    <row r="5298" spans="1:6">
      <c r="A5298" s="10">
        <v>2022</v>
      </c>
      <c r="B5298" t="s">
        <v>592</v>
      </c>
      <c r="C5298" t="s">
        <v>1719</v>
      </c>
      <c r="D5298" t="s">
        <v>1719</v>
      </c>
      <c r="E5298" s="10">
        <v>3763189</v>
      </c>
      <c r="F5298" s="12">
        <v>2.6321999999999999E-3</v>
      </c>
    </row>
    <row r="5299" spans="1:6">
      <c r="A5299" s="10">
        <v>2022</v>
      </c>
      <c r="B5299" t="s">
        <v>1456</v>
      </c>
      <c r="C5299" t="s">
        <v>1720</v>
      </c>
      <c r="D5299" t="s">
        <v>1720</v>
      </c>
      <c r="E5299" s="10">
        <v>22783</v>
      </c>
      <c r="F5299" s="12">
        <v>1.59E-5</v>
      </c>
    </row>
    <row r="5300" spans="1:6">
      <c r="A5300" s="10">
        <v>2022</v>
      </c>
      <c r="B5300" t="s">
        <v>2440</v>
      </c>
      <c r="C5300" t="s">
        <v>2438</v>
      </c>
      <c r="D5300" t="s">
        <v>2438</v>
      </c>
      <c r="E5300" s="10">
        <v>15727</v>
      </c>
      <c r="F5300" s="12">
        <v>1.1E-5</v>
      </c>
    </row>
    <row r="5301" spans="1:6">
      <c r="A5301" s="10">
        <v>2022</v>
      </c>
      <c r="B5301" t="s">
        <v>593</v>
      </c>
      <c r="C5301" t="s">
        <v>1721</v>
      </c>
      <c r="D5301" t="s">
        <v>1721</v>
      </c>
      <c r="E5301" s="10">
        <v>831000</v>
      </c>
      <c r="F5301" s="12">
        <v>5.8129999999999998E-4</v>
      </c>
    </row>
    <row r="5302" spans="1:6">
      <c r="A5302" s="10">
        <v>2022</v>
      </c>
      <c r="B5302" t="s">
        <v>594</v>
      </c>
      <c r="C5302" t="s">
        <v>2190</v>
      </c>
      <c r="D5302" t="s">
        <v>2190</v>
      </c>
      <c r="E5302" s="10">
        <v>31086</v>
      </c>
      <c r="F5302" s="12">
        <v>2.1699999999999999E-5</v>
      </c>
    </row>
    <row r="5303" spans="1:6">
      <c r="A5303" s="10">
        <v>2022</v>
      </c>
      <c r="B5303" t="s">
        <v>595</v>
      </c>
      <c r="C5303" t="s">
        <v>1722</v>
      </c>
      <c r="D5303" t="s">
        <v>1722</v>
      </c>
      <c r="E5303" s="10">
        <v>791199</v>
      </c>
      <c r="F5303" s="12">
        <v>5.5340000000000001E-4</v>
      </c>
    </row>
    <row r="5304" spans="1:6">
      <c r="A5304" s="10">
        <v>2022</v>
      </c>
      <c r="B5304" t="s">
        <v>2453</v>
      </c>
      <c r="C5304" t="s">
        <v>2439</v>
      </c>
      <c r="D5304" t="s">
        <v>2439</v>
      </c>
      <c r="E5304" s="10">
        <v>394630</v>
      </c>
      <c r="F5304" s="12">
        <v>2.7599999999999999E-4</v>
      </c>
    </row>
    <row r="5305" spans="1:6">
      <c r="A5305" s="10">
        <v>2022</v>
      </c>
      <c r="B5305" t="s">
        <v>596</v>
      </c>
      <c r="C5305" t="s">
        <v>1723</v>
      </c>
      <c r="D5305" t="s">
        <v>1723</v>
      </c>
      <c r="E5305" s="10">
        <v>909002</v>
      </c>
      <c r="F5305" s="12">
        <v>6.3579999999999995E-4</v>
      </c>
    </row>
    <row r="5306" spans="1:6">
      <c r="A5306" s="10">
        <v>2022</v>
      </c>
      <c r="B5306" t="s">
        <v>597</v>
      </c>
      <c r="C5306" t="s">
        <v>1724</v>
      </c>
      <c r="D5306" t="s">
        <v>1724</v>
      </c>
      <c r="E5306" s="10">
        <v>2542097</v>
      </c>
      <c r="F5306" s="12">
        <v>1.7780999999999999E-3</v>
      </c>
    </row>
    <row r="5307" spans="1:6">
      <c r="A5307" s="10">
        <v>2022</v>
      </c>
      <c r="B5307" t="s">
        <v>598</v>
      </c>
      <c r="C5307" t="s">
        <v>543</v>
      </c>
      <c r="D5307" t="s">
        <v>543</v>
      </c>
      <c r="E5307" s="10">
        <v>271110</v>
      </c>
      <c r="F5307" s="12">
        <v>1.896E-4</v>
      </c>
    </row>
    <row r="5308" spans="1:6">
      <c r="A5308" s="10">
        <v>2022</v>
      </c>
      <c r="B5308" t="s">
        <v>1228</v>
      </c>
      <c r="C5308" t="s">
        <v>1725</v>
      </c>
      <c r="D5308" t="s">
        <v>1725</v>
      </c>
      <c r="E5308" s="10">
        <v>48548</v>
      </c>
      <c r="F5308" s="12">
        <v>3.4E-5</v>
      </c>
    </row>
    <row r="5309" spans="1:6">
      <c r="A5309" s="10">
        <v>2022</v>
      </c>
      <c r="B5309" t="s">
        <v>599</v>
      </c>
      <c r="C5309" t="s">
        <v>1726</v>
      </c>
      <c r="D5309" t="s">
        <v>1726</v>
      </c>
      <c r="E5309" s="10">
        <v>171202</v>
      </c>
      <c r="F5309" s="12">
        <v>1.197E-4</v>
      </c>
    </row>
    <row r="5310" spans="1:6">
      <c r="A5310" s="10">
        <v>2022</v>
      </c>
      <c r="B5310" t="s">
        <v>2403</v>
      </c>
      <c r="C5310" t="s">
        <v>2401</v>
      </c>
      <c r="D5310" t="s">
        <v>2401</v>
      </c>
      <c r="E5310" s="10">
        <v>25417</v>
      </c>
      <c r="F5310" s="12">
        <v>1.7799999999999999E-5</v>
      </c>
    </row>
    <row r="5311" spans="1:6">
      <c r="A5311" s="10">
        <v>2022</v>
      </c>
      <c r="B5311" t="s">
        <v>600</v>
      </c>
      <c r="C5311" t="s">
        <v>1727</v>
      </c>
      <c r="D5311" t="s">
        <v>1727</v>
      </c>
      <c r="E5311" s="10">
        <v>3179223</v>
      </c>
      <c r="F5311" s="12">
        <v>2.2236999999999999E-3</v>
      </c>
    </row>
    <row r="5312" spans="1:6">
      <c r="A5312" s="10">
        <v>2022</v>
      </c>
      <c r="B5312" t="s">
        <v>601</v>
      </c>
      <c r="C5312" t="s">
        <v>1728</v>
      </c>
      <c r="D5312" t="s">
        <v>1728</v>
      </c>
      <c r="E5312" s="10">
        <v>1143251</v>
      </c>
      <c r="F5312" s="12">
        <v>7.9969999999999998E-4</v>
      </c>
    </row>
    <row r="5313" spans="1:6">
      <c r="A5313" s="10">
        <v>2022</v>
      </c>
      <c r="B5313" t="s">
        <v>2404</v>
      </c>
      <c r="C5313" t="s">
        <v>2441</v>
      </c>
      <c r="D5313" t="s">
        <v>2441</v>
      </c>
      <c r="E5313" s="10">
        <v>400979</v>
      </c>
      <c r="F5313" s="12">
        <v>2.8049999999999999E-4</v>
      </c>
    </row>
    <row r="5314" spans="1:6">
      <c r="A5314" s="10">
        <v>2022</v>
      </c>
      <c r="B5314" t="s">
        <v>602</v>
      </c>
      <c r="C5314" t="s">
        <v>547</v>
      </c>
      <c r="D5314" t="s">
        <v>547</v>
      </c>
      <c r="E5314" s="10">
        <v>75521</v>
      </c>
      <c r="F5314" s="12">
        <v>5.2800000000000003E-5</v>
      </c>
    </row>
    <row r="5315" spans="1:6">
      <c r="A5315" s="10">
        <v>2022</v>
      </c>
      <c r="B5315" t="s">
        <v>603</v>
      </c>
      <c r="C5315" t="s">
        <v>548</v>
      </c>
      <c r="D5315" t="s">
        <v>548</v>
      </c>
      <c r="E5315" s="10">
        <v>87881</v>
      </c>
      <c r="F5315" s="12">
        <v>6.1500000000000004E-5</v>
      </c>
    </row>
    <row r="5316" spans="1:6">
      <c r="A5316" s="10">
        <v>2022</v>
      </c>
      <c r="B5316" t="s">
        <v>604</v>
      </c>
      <c r="C5316" t="s">
        <v>1729</v>
      </c>
      <c r="D5316" t="s">
        <v>1729</v>
      </c>
      <c r="E5316" s="10">
        <v>227467</v>
      </c>
      <c r="F5316" s="12">
        <v>1.5909999999999999E-4</v>
      </c>
    </row>
    <row r="5317" spans="1:6">
      <c r="A5317" s="10">
        <v>2022</v>
      </c>
      <c r="B5317" t="s">
        <v>1229</v>
      </c>
      <c r="C5317" t="s">
        <v>1730</v>
      </c>
      <c r="D5317" t="s">
        <v>1730</v>
      </c>
      <c r="E5317" s="10">
        <v>170847</v>
      </c>
      <c r="F5317" s="12">
        <v>1.195E-4</v>
      </c>
    </row>
    <row r="5318" spans="1:6">
      <c r="A5318" s="10">
        <v>2022</v>
      </c>
      <c r="B5318" t="s">
        <v>660</v>
      </c>
      <c r="C5318" t="s">
        <v>605</v>
      </c>
      <c r="D5318" t="s">
        <v>605</v>
      </c>
      <c r="E5318" s="10">
        <v>2342590</v>
      </c>
      <c r="F5318" s="12">
        <v>1.6386E-3</v>
      </c>
    </row>
    <row r="5319" spans="1:6">
      <c r="A5319" s="10">
        <v>2022</v>
      </c>
      <c r="B5319" t="s">
        <v>661</v>
      </c>
      <c r="C5319" t="s">
        <v>1455</v>
      </c>
      <c r="D5319" t="s">
        <v>1455</v>
      </c>
      <c r="E5319" s="10">
        <v>27547</v>
      </c>
      <c r="F5319" s="12">
        <v>1.9300000000000002E-5</v>
      </c>
    </row>
    <row r="5320" spans="1:6">
      <c r="A5320" s="10">
        <v>2022</v>
      </c>
      <c r="B5320" t="s">
        <v>662</v>
      </c>
      <c r="C5320" t="s">
        <v>607</v>
      </c>
      <c r="D5320" t="s">
        <v>607</v>
      </c>
      <c r="E5320" s="10">
        <v>20914</v>
      </c>
      <c r="F5320" s="12">
        <v>1.4600000000000001E-5</v>
      </c>
    </row>
    <row r="5321" spans="1:6">
      <c r="A5321" s="10">
        <v>2022</v>
      </c>
      <c r="B5321" t="s">
        <v>663</v>
      </c>
      <c r="C5321" t="s">
        <v>608</v>
      </c>
      <c r="D5321" t="s">
        <v>608</v>
      </c>
      <c r="E5321" s="10">
        <v>35046</v>
      </c>
      <c r="F5321" s="12">
        <v>2.4499999999999999E-5</v>
      </c>
    </row>
    <row r="5322" spans="1:6">
      <c r="A5322" s="10">
        <v>2022</v>
      </c>
      <c r="B5322" t="s">
        <v>664</v>
      </c>
      <c r="C5322" t="s">
        <v>609</v>
      </c>
      <c r="D5322" t="s">
        <v>609</v>
      </c>
      <c r="E5322" s="10">
        <v>24207655</v>
      </c>
      <c r="F5322" s="12">
        <v>1.6932300000000001E-2</v>
      </c>
    </row>
    <row r="5323" spans="1:6">
      <c r="A5323" s="10">
        <v>2022</v>
      </c>
      <c r="B5323" t="s">
        <v>1230</v>
      </c>
      <c r="C5323" t="s">
        <v>1731</v>
      </c>
      <c r="D5323" t="s">
        <v>1731</v>
      </c>
      <c r="E5323" s="10">
        <v>7953309</v>
      </c>
      <c r="F5323" s="12">
        <v>5.5630000000000002E-3</v>
      </c>
    </row>
    <row r="5324" spans="1:6">
      <c r="A5324" s="10">
        <v>2022</v>
      </c>
      <c r="B5324" t="s">
        <v>665</v>
      </c>
      <c r="C5324" t="s">
        <v>1732</v>
      </c>
      <c r="D5324" t="s">
        <v>1732</v>
      </c>
      <c r="E5324" s="10">
        <v>6521800</v>
      </c>
      <c r="F5324" s="12">
        <v>4.5618000000000004E-3</v>
      </c>
    </row>
    <row r="5325" spans="1:6">
      <c r="A5325" s="10">
        <v>2022</v>
      </c>
      <c r="B5325" t="s">
        <v>666</v>
      </c>
      <c r="C5325" t="s">
        <v>1733</v>
      </c>
      <c r="D5325" t="s">
        <v>1733</v>
      </c>
      <c r="E5325" s="10">
        <v>12014752</v>
      </c>
      <c r="F5325" s="12">
        <v>8.4039000000000006E-3</v>
      </c>
    </row>
    <row r="5326" spans="1:6">
      <c r="A5326" s="10">
        <v>2022</v>
      </c>
      <c r="B5326" t="s">
        <v>382</v>
      </c>
      <c r="C5326" t="s">
        <v>1734</v>
      </c>
      <c r="D5326" t="s">
        <v>1734</v>
      </c>
      <c r="E5326" s="10">
        <v>9750555</v>
      </c>
      <c r="F5326" s="12">
        <v>6.8200999999999999E-3</v>
      </c>
    </row>
    <row r="5327" spans="1:6">
      <c r="A5327" s="10">
        <v>2022</v>
      </c>
      <c r="B5327" t="s">
        <v>667</v>
      </c>
      <c r="C5327" t="s">
        <v>1735</v>
      </c>
      <c r="D5327" t="s">
        <v>1735</v>
      </c>
      <c r="E5327" s="10">
        <v>958943</v>
      </c>
      <c r="F5327" s="12">
        <v>6.7069999999999999E-4</v>
      </c>
    </row>
    <row r="5328" spans="1:6">
      <c r="A5328" s="10">
        <v>2022</v>
      </c>
      <c r="B5328" t="s">
        <v>383</v>
      </c>
      <c r="C5328" t="s">
        <v>1736</v>
      </c>
      <c r="D5328" t="s">
        <v>1736</v>
      </c>
      <c r="E5328" s="10">
        <v>375511</v>
      </c>
      <c r="F5328" s="12">
        <v>2.6269999999999999E-4</v>
      </c>
    </row>
    <row r="5329" spans="1:6">
      <c r="A5329" s="10">
        <v>2022</v>
      </c>
      <c r="B5329" t="s">
        <v>668</v>
      </c>
      <c r="C5329" t="s">
        <v>613</v>
      </c>
      <c r="D5329" t="s">
        <v>613</v>
      </c>
      <c r="E5329" s="10">
        <v>280030</v>
      </c>
      <c r="F5329" s="12">
        <v>1.9589999999999999E-4</v>
      </c>
    </row>
    <row r="5330" spans="1:6">
      <c r="A5330" s="10">
        <v>2022</v>
      </c>
      <c r="B5330" t="s">
        <v>384</v>
      </c>
      <c r="C5330" t="s">
        <v>1737</v>
      </c>
      <c r="D5330" t="s">
        <v>1737</v>
      </c>
      <c r="E5330" s="10">
        <v>4395683</v>
      </c>
      <c r="F5330" s="12">
        <v>3.0745999999999998E-3</v>
      </c>
    </row>
    <row r="5331" spans="1:6">
      <c r="A5331" s="10">
        <v>2022</v>
      </c>
      <c r="B5331" t="s">
        <v>669</v>
      </c>
      <c r="C5331" t="s">
        <v>614</v>
      </c>
      <c r="D5331" t="s">
        <v>614</v>
      </c>
      <c r="E5331" s="10">
        <v>88351</v>
      </c>
      <c r="F5331" s="12">
        <v>6.1799999999999998E-5</v>
      </c>
    </row>
    <row r="5332" spans="1:6">
      <c r="A5332" s="10">
        <v>2022</v>
      </c>
      <c r="B5332" t="s">
        <v>670</v>
      </c>
      <c r="C5332" t="s">
        <v>615</v>
      </c>
      <c r="D5332" t="s">
        <v>615</v>
      </c>
      <c r="E5332" s="10">
        <v>904935</v>
      </c>
      <c r="F5332" s="12">
        <v>6.3299999999999999E-4</v>
      </c>
    </row>
    <row r="5333" spans="1:6">
      <c r="A5333" s="10">
        <v>2022</v>
      </c>
      <c r="B5333" t="s">
        <v>672</v>
      </c>
      <c r="C5333" t="s">
        <v>1739</v>
      </c>
      <c r="D5333" t="s">
        <v>1739</v>
      </c>
      <c r="E5333" s="10">
        <v>334378</v>
      </c>
      <c r="F5333" s="12">
        <v>2.3389999999999999E-4</v>
      </c>
    </row>
    <row r="5334" spans="1:6">
      <c r="A5334" s="10">
        <v>2022</v>
      </c>
      <c r="B5334" t="s">
        <v>673</v>
      </c>
      <c r="C5334" t="s">
        <v>618</v>
      </c>
      <c r="D5334" t="s">
        <v>618</v>
      </c>
      <c r="E5334" s="10">
        <v>152195</v>
      </c>
      <c r="F5334" s="12">
        <v>1.065E-4</v>
      </c>
    </row>
    <row r="5335" spans="1:6">
      <c r="A5335" s="10">
        <v>2022</v>
      </c>
      <c r="B5335" t="s">
        <v>674</v>
      </c>
      <c r="C5335" t="s">
        <v>2429</v>
      </c>
      <c r="D5335" t="s">
        <v>2429</v>
      </c>
      <c r="E5335" s="10">
        <v>53073</v>
      </c>
      <c r="F5335" s="12">
        <v>3.7100000000000001E-5</v>
      </c>
    </row>
    <row r="5336" spans="1:6">
      <c r="A5336" s="10">
        <v>2022</v>
      </c>
      <c r="B5336" t="s">
        <v>675</v>
      </c>
      <c r="C5336" t="s">
        <v>620</v>
      </c>
      <c r="D5336" t="s">
        <v>620</v>
      </c>
      <c r="E5336" s="10">
        <v>771521</v>
      </c>
      <c r="F5336" s="12">
        <v>5.396E-4</v>
      </c>
    </row>
    <row r="5337" spans="1:6">
      <c r="A5337" s="10">
        <v>2022</v>
      </c>
      <c r="B5337" t="s">
        <v>676</v>
      </c>
      <c r="C5337" t="s">
        <v>1740</v>
      </c>
      <c r="D5337" t="s">
        <v>1740</v>
      </c>
      <c r="E5337" s="10"/>
    </row>
    <row r="5338" spans="1:6">
      <c r="A5338" s="10">
        <v>2022</v>
      </c>
      <c r="B5338" t="s">
        <v>677</v>
      </c>
      <c r="C5338" t="s">
        <v>622</v>
      </c>
      <c r="D5338" t="s">
        <v>622</v>
      </c>
      <c r="E5338" s="10"/>
    </row>
    <row r="5339" spans="1:6">
      <c r="A5339" s="10">
        <v>2022</v>
      </c>
      <c r="B5339" t="s">
        <v>1463</v>
      </c>
      <c r="C5339" t="s">
        <v>1741</v>
      </c>
      <c r="D5339" t="s">
        <v>1741</v>
      </c>
      <c r="E5339" s="10">
        <v>70820</v>
      </c>
      <c r="F5339" s="12">
        <v>4.9499999999999997E-5</v>
      </c>
    </row>
    <row r="5340" spans="1:6">
      <c r="A5340" s="10">
        <v>2022</v>
      </c>
      <c r="B5340" t="s">
        <v>678</v>
      </c>
      <c r="C5340" t="s">
        <v>1458</v>
      </c>
      <c r="D5340" t="s">
        <v>1458</v>
      </c>
      <c r="E5340" s="10"/>
    </row>
    <row r="5341" spans="1:6">
      <c r="A5341" s="10">
        <v>2022</v>
      </c>
      <c r="B5341" t="s">
        <v>1231</v>
      </c>
      <c r="C5341" t="s">
        <v>1742</v>
      </c>
      <c r="D5341" t="s">
        <v>1742</v>
      </c>
      <c r="E5341" s="10">
        <v>97458</v>
      </c>
      <c r="F5341" s="12">
        <v>6.8200000000000004E-5</v>
      </c>
    </row>
    <row r="5342" spans="1:6">
      <c r="A5342" s="10">
        <v>2022</v>
      </c>
      <c r="B5342" t="s">
        <v>680</v>
      </c>
      <c r="C5342" t="s">
        <v>1743</v>
      </c>
      <c r="D5342" t="s">
        <v>1743</v>
      </c>
      <c r="E5342" s="10">
        <v>60030</v>
      </c>
      <c r="F5342" s="12">
        <v>4.1999999999999998E-5</v>
      </c>
    </row>
    <row r="5343" spans="1:6">
      <c r="A5343" s="10">
        <v>2022</v>
      </c>
      <c r="B5343" t="s">
        <v>681</v>
      </c>
      <c r="C5343" t="s">
        <v>626</v>
      </c>
      <c r="D5343" t="s">
        <v>626</v>
      </c>
      <c r="E5343" s="10">
        <v>262517</v>
      </c>
      <c r="F5343" s="12">
        <v>1.8359999999999999E-4</v>
      </c>
    </row>
    <row r="5344" spans="1:6">
      <c r="A5344" s="10">
        <v>2022</v>
      </c>
      <c r="B5344" t="s">
        <v>682</v>
      </c>
      <c r="C5344" t="s">
        <v>1744</v>
      </c>
      <c r="D5344" t="s">
        <v>1744</v>
      </c>
      <c r="E5344" s="10">
        <v>21600</v>
      </c>
      <c r="F5344" s="12">
        <v>1.5099999999999999E-5</v>
      </c>
    </row>
    <row r="5345" spans="1:6">
      <c r="A5345" s="10">
        <v>2022</v>
      </c>
      <c r="B5345" t="s">
        <v>1232</v>
      </c>
      <c r="C5345" t="s">
        <v>1745</v>
      </c>
      <c r="D5345" t="s">
        <v>1745</v>
      </c>
      <c r="E5345" s="10">
        <v>70758</v>
      </c>
      <c r="F5345" s="12">
        <v>4.9499999999999997E-5</v>
      </c>
    </row>
    <row r="5346" spans="1:6">
      <c r="A5346" s="10">
        <v>2022</v>
      </c>
      <c r="B5346" t="s">
        <v>683</v>
      </c>
      <c r="C5346" t="s">
        <v>1746</v>
      </c>
      <c r="D5346" t="s">
        <v>1746</v>
      </c>
      <c r="E5346" s="10">
        <v>314824</v>
      </c>
      <c r="F5346" s="12">
        <v>2.2020000000000001E-4</v>
      </c>
    </row>
    <row r="5347" spans="1:6">
      <c r="A5347" s="10">
        <v>2022</v>
      </c>
      <c r="B5347" t="s">
        <v>685</v>
      </c>
      <c r="C5347" t="s">
        <v>1461</v>
      </c>
      <c r="D5347" t="s">
        <v>1461</v>
      </c>
      <c r="E5347" s="10">
        <v>32385</v>
      </c>
      <c r="F5347" s="12">
        <v>2.27E-5</v>
      </c>
    </row>
    <row r="5348" spans="1:6">
      <c r="A5348" s="10">
        <v>2022</v>
      </c>
      <c r="B5348" t="s">
        <v>686</v>
      </c>
      <c r="C5348" t="s">
        <v>1747</v>
      </c>
      <c r="D5348" t="s">
        <v>1747</v>
      </c>
      <c r="E5348" s="10">
        <v>362770</v>
      </c>
      <c r="F5348" s="12">
        <v>2.5369999999999999E-4</v>
      </c>
    </row>
    <row r="5349" spans="1:6">
      <c r="A5349" s="10">
        <v>2022</v>
      </c>
      <c r="B5349" t="s">
        <v>2089</v>
      </c>
      <c r="C5349" t="s">
        <v>2087</v>
      </c>
      <c r="D5349" t="s">
        <v>2087</v>
      </c>
      <c r="E5349" s="10">
        <v>8814</v>
      </c>
      <c r="F5349" s="12">
        <v>6.1999999999999999E-6</v>
      </c>
    </row>
    <row r="5350" spans="1:6">
      <c r="A5350" s="10">
        <v>2022</v>
      </c>
      <c r="B5350" t="s">
        <v>687</v>
      </c>
      <c r="C5350" t="s">
        <v>632</v>
      </c>
      <c r="D5350" t="s">
        <v>632</v>
      </c>
      <c r="E5350" s="10">
        <v>1578431</v>
      </c>
      <c r="F5350" s="12">
        <v>1.1041E-3</v>
      </c>
    </row>
    <row r="5351" spans="1:6">
      <c r="A5351" s="10">
        <v>2022</v>
      </c>
      <c r="B5351" t="s">
        <v>688</v>
      </c>
      <c r="C5351" t="s">
        <v>1748</v>
      </c>
      <c r="D5351" t="s">
        <v>1748</v>
      </c>
      <c r="E5351" s="10">
        <v>49474</v>
      </c>
      <c r="F5351" s="12">
        <v>3.4600000000000001E-5</v>
      </c>
    </row>
    <row r="5352" spans="1:6">
      <c r="A5352" s="10">
        <v>2022</v>
      </c>
      <c r="B5352" t="s">
        <v>689</v>
      </c>
      <c r="C5352" t="s">
        <v>1749</v>
      </c>
      <c r="D5352" t="s">
        <v>1749</v>
      </c>
      <c r="E5352" s="10">
        <v>8581683</v>
      </c>
      <c r="F5352" s="12">
        <v>6.0026000000000003E-3</v>
      </c>
    </row>
    <row r="5353" spans="1:6">
      <c r="A5353" s="10">
        <v>2022</v>
      </c>
      <c r="B5353" t="s">
        <v>690</v>
      </c>
      <c r="C5353" t="s">
        <v>1750</v>
      </c>
      <c r="D5353" t="s">
        <v>1750</v>
      </c>
      <c r="E5353" s="10">
        <v>13227</v>
      </c>
      <c r="F5353" s="12">
        <v>9.3000000000000007E-6</v>
      </c>
    </row>
    <row r="5354" spans="1:6">
      <c r="A5354" s="10">
        <v>2022</v>
      </c>
      <c r="B5354" t="s">
        <v>691</v>
      </c>
      <c r="C5354" t="s">
        <v>1751</v>
      </c>
      <c r="D5354" t="s">
        <v>1751</v>
      </c>
      <c r="E5354" s="10">
        <v>1621215</v>
      </c>
      <c r="F5354" s="12">
        <v>1.134E-3</v>
      </c>
    </row>
    <row r="5355" spans="1:6">
      <c r="A5355" s="10">
        <v>2022</v>
      </c>
      <c r="B5355" t="s">
        <v>440</v>
      </c>
      <c r="C5355" t="s">
        <v>1752</v>
      </c>
      <c r="D5355" t="s">
        <v>1752</v>
      </c>
      <c r="E5355" s="10">
        <v>184284</v>
      </c>
      <c r="F5355" s="12">
        <v>1.2889999999999999E-4</v>
      </c>
    </row>
    <row r="5356" spans="1:6">
      <c r="A5356" s="10">
        <v>2022</v>
      </c>
      <c r="B5356" t="s">
        <v>1464</v>
      </c>
      <c r="C5356" t="s">
        <v>1753</v>
      </c>
      <c r="D5356" t="s">
        <v>1753</v>
      </c>
      <c r="E5356" s="10">
        <v>458187</v>
      </c>
      <c r="F5356" s="12">
        <v>3.2049999999999998E-4</v>
      </c>
    </row>
    <row r="5357" spans="1:6">
      <c r="A5357" s="10">
        <v>2022</v>
      </c>
      <c r="B5357" t="s">
        <v>684</v>
      </c>
      <c r="C5357" t="s">
        <v>1754</v>
      </c>
      <c r="D5357" t="s">
        <v>1754</v>
      </c>
      <c r="E5357" s="10">
        <v>507823</v>
      </c>
      <c r="F5357" s="12">
        <v>3.5520000000000001E-4</v>
      </c>
    </row>
    <row r="5358" spans="1:6">
      <c r="A5358" s="10">
        <v>2022</v>
      </c>
      <c r="B5358" t="s">
        <v>692</v>
      </c>
      <c r="C5358" t="s">
        <v>637</v>
      </c>
      <c r="D5358" t="s">
        <v>637</v>
      </c>
      <c r="E5358" s="10">
        <v>300241</v>
      </c>
      <c r="F5358" s="12">
        <v>2.1000000000000001E-4</v>
      </c>
    </row>
    <row r="5359" spans="1:6">
      <c r="A5359" s="10">
        <v>2022</v>
      </c>
      <c r="B5359" t="s">
        <v>1356</v>
      </c>
      <c r="C5359" t="s">
        <v>1755</v>
      </c>
      <c r="D5359" t="s">
        <v>1755</v>
      </c>
      <c r="E5359" s="10">
        <v>222027</v>
      </c>
      <c r="F5359" s="12">
        <v>1.5530000000000001E-4</v>
      </c>
    </row>
    <row r="5360" spans="1:6">
      <c r="A5360" s="10">
        <v>2022</v>
      </c>
      <c r="B5360" t="s">
        <v>693</v>
      </c>
      <c r="C5360" t="s">
        <v>2442</v>
      </c>
      <c r="D5360" t="s">
        <v>2442</v>
      </c>
      <c r="E5360" s="10">
        <v>148138</v>
      </c>
      <c r="F5360" s="12">
        <v>1.036E-4</v>
      </c>
    </row>
    <row r="5361" spans="1:6">
      <c r="A5361" s="10">
        <v>2022</v>
      </c>
      <c r="B5361" t="s">
        <v>694</v>
      </c>
      <c r="C5361" t="s">
        <v>1757</v>
      </c>
      <c r="D5361" t="s">
        <v>1757</v>
      </c>
      <c r="E5361" s="10">
        <v>3622772</v>
      </c>
      <c r="F5361" s="12">
        <v>2.5339999999999998E-3</v>
      </c>
    </row>
    <row r="5362" spans="1:6">
      <c r="A5362" s="10">
        <v>2022</v>
      </c>
      <c r="B5362" t="s">
        <v>695</v>
      </c>
      <c r="C5362" t="s">
        <v>1758</v>
      </c>
      <c r="D5362" t="s">
        <v>1758</v>
      </c>
      <c r="E5362" s="10">
        <v>136449</v>
      </c>
      <c r="F5362" s="12">
        <v>9.5400000000000001E-5</v>
      </c>
    </row>
    <row r="5363" spans="1:6">
      <c r="A5363" s="10">
        <v>2022</v>
      </c>
      <c r="B5363" t="s">
        <v>1781</v>
      </c>
      <c r="C5363" t="s">
        <v>1759</v>
      </c>
      <c r="D5363" t="s">
        <v>1759</v>
      </c>
      <c r="E5363" s="10">
        <v>179709</v>
      </c>
      <c r="F5363" s="12">
        <v>1.2569999999999999E-4</v>
      </c>
    </row>
    <row r="5364" spans="1:6">
      <c r="A5364" s="10">
        <v>2022</v>
      </c>
      <c r="B5364" t="s">
        <v>916</v>
      </c>
      <c r="C5364" t="s">
        <v>2443</v>
      </c>
      <c r="D5364" t="s">
        <v>2443</v>
      </c>
      <c r="E5364" s="10">
        <v>65463</v>
      </c>
      <c r="F5364" s="12">
        <v>4.5800000000000002E-5</v>
      </c>
    </row>
    <row r="5365" spans="1:6">
      <c r="A5365" s="10">
        <v>2022</v>
      </c>
      <c r="B5365" t="s">
        <v>696</v>
      </c>
      <c r="C5365" t="s">
        <v>641</v>
      </c>
      <c r="D5365" t="s">
        <v>641</v>
      </c>
      <c r="E5365" s="10">
        <v>35740</v>
      </c>
      <c r="F5365" s="12">
        <v>2.5000000000000001E-5</v>
      </c>
    </row>
    <row r="5366" spans="1:6">
      <c r="A5366" s="10">
        <v>2022</v>
      </c>
      <c r="B5366" t="s">
        <v>697</v>
      </c>
      <c r="C5366" t="s">
        <v>1761</v>
      </c>
      <c r="D5366" t="s">
        <v>2373</v>
      </c>
      <c r="E5366" s="10">
        <v>187149</v>
      </c>
      <c r="F5366" s="12">
        <v>1.3090000000000001E-4</v>
      </c>
    </row>
    <row r="5367" spans="1:6">
      <c r="A5367" s="10">
        <v>2022</v>
      </c>
      <c r="B5367" t="s">
        <v>698</v>
      </c>
      <c r="C5367" t="s">
        <v>1762</v>
      </c>
      <c r="D5367" t="s">
        <v>1762</v>
      </c>
      <c r="E5367" s="10">
        <v>4447804</v>
      </c>
      <c r="F5367" s="12">
        <v>3.1110999999999999E-3</v>
      </c>
    </row>
    <row r="5368" spans="1:6">
      <c r="A5368" s="10">
        <v>2022</v>
      </c>
      <c r="B5368" t="s">
        <v>699</v>
      </c>
      <c r="C5368" t="s">
        <v>1763</v>
      </c>
      <c r="D5368" t="s">
        <v>1763</v>
      </c>
      <c r="E5368" s="10">
        <v>2871166</v>
      </c>
      <c r="F5368" s="12">
        <v>2.0083000000000002E-3</v>
      </c>
    </row>
    <row r="5369" spans="1:6">
      <c r="A5369" s="10">
        <v>2022</v>
      </c>
      <c r="B5369" t="s">
        <v>700</v>
      </c>
      <c r="C5369" t="s">
        <v>2374</v>
      </c>
      <c r="D5369" t="s">
        <v>2374</v>
      </c>
      <c r="E5369" s="10">
        <v>17197</v>
      </c>
      <c r="F5369" s="12">
        <v>1.2E-5</v>
      </c>
    </row>
    <row r="5370" spans="1:6">
      <c r="A5370" s="10">
        <v>2022</v>
      </c>
      <c r="B5370" t="s">
        <v>701</v>
      </c>
      <c r="C5370" t="s">
        <v>2405</v>
      </c>
      <c r="D5370" t="s">
        <v>2405</v>
      </c>
      <c r="E5370" s="10">
        <v>368665</v>
      </c>
      <c r="F5370" s="12">
        <v>2.5789999999999998E-4</v>
      </c>
    </row>
    <row r="5371" spans="1:6">
      <c r="A5371" s="10">
        <v>2022</v>
      </c>
      <c r="B5371" t="s">
        <v>702</v>
      </c>
      <c r="C5371" t="s">
        <v>1766</v>
      </c>
      <c r="D5371" t="s">
        <v>1766</v>
      </c>
      <c r="E5371" s="10">
        <v>435073</v>
      </c>
      <c r="F5371" s="12">
        <v>3.0430000000000002E-4</v>
      </c>
    </row>
    <row r="5372" spans="1:6">
      <c r="A5372" s="10">
        <v>2022</v>
      </c>
      <c r="B5372" t="s">
        <v>703</v>
      </c>
      <c r="C5372" t="s">
        <v>1767</v>
      </c>
      <c r="D5372" t="s">
        <v>1767</v>
      </c>
      <c r="E5372" s="10">
        <v>2057625</v>
      </c>
      <c r="F5372" s="12">
        <v>1.4392000000000001E-3</v>
      </c>
    </row>
    <row r="5373" spans="1:6">
      <c r="A5373" s="10">
        <v>2022</v>
      </c>
      <c r="B5373" t="s">
        <v>1233</v>
      </c>
      <c r="C5373" t="s">
        <v>1768</v>
      </c>
      <c r="D5373" t="s">
        <v>1768</v>
      </c>
      <c r="E5373" s="10">
        <v>80826</v>
      </c>
      <c r="F5373" s="12">
        <v>5.6499999999999998E-5</v>
      </c>
    </row>
    <row r="5374" spans="1:6">
      <c r="A5374" s="10">
        <v>2022</v>
      </c>
      <c r="B5374" t="s">
        <v>704</v>
      </c>
      <c r="C5374" t="s">
        <v>1769</v>
      </c>
      <c r="D5374" t="s">
        <v>1769</v>
      </c>
      <c r="E5374" s="10">
        <v>128713</v>
      </c>
      <c r="F5374" s="12">
        <v>9.0000000000000006E-5</v>
      </c>
    </row>
    <row r="5375" spans="1:6">
      <c r="A5375" s="10">
        <v>2022</v>
      </c>
      <c r="B5375" t="s">
        <v>705</v>
      </c>
      <c r="C5375" t="s">
        <v>1770</v>
      </c>
      <c r="D5375" t="s">
        <v>1770</v>
      </c>
      <c r="E5375" s="10">
        <v>676570</v>
      </c>
      <c r="F5375" s="12">
        <v>4.7320000000000001E-4</v>
      </c>
    </row>
    <row r="5376" spans="1:6">
      <c r="A5376" s="10">
        <v>2022</v>
      </c>
      <c r="B5376" t="s">
        <v>706</v>
      </c>
      <c r="C5376" t="s">
        <v>1771</v>
      </c>
      <c r="D5376" t="s">
        <v>1771</v>
      </c>
      <c r="E5376" s="10">
        <v>4232016</v>
      </c>
      <c r="F5376" s="12">
        <v>2.9600999999999998E-3</v>
      </c>
    </row>
    <row r="5377" spans="1:6">
      <c r="A5377" s="10">
        <v>2022</v>
      </c>
      <c r="B5377" t="s">
        <v>441</v>
      </c>
      <c r="C5377" t="s">
        <v>1772</v>
      </c>
      <c r="D5377" t="s">
        <v>1772</v>
      </c>
      <c r="E5377" s="10">
        <v>1544221</v>
      </c>
      <c r="F5377" s="12">
        <v>1.0801000000000001E-3</v>
      </c>
    </row>
    <row r="5378" spans="1:6">
      <c r="A5378" s="10">
        <v>2022</v>
      </c>
      <c r="B5378" t="s">
        <v>707</v>
      </c>
      <c r="C5378" t="s">
        <v>1773</v>
      </c>
      <c r="D5378" t="s">
        <v>1773</v>
      </c>
      <c r="E5378" s="10">
        <v>83190</v>
      </c>
      <c r="F5378" s="12">
        <v>5.8199999999999998E-5</v>
      </c>
    </row>
    <row r="5379" spans="1:6">
      <c r="A5379" s="10">
        <v>2022</v>
      </c>
      <c r="B5379" t="s">
        <v>708</v>
      </c>
      <c r="C5379" t="s">
        <v>1774</v>
      </c>
      <c r="D5379" t="s">
        <v>1774</v>
      </c>
      <c r="E5379" s="10">
        <v>10890142</v>
      </c>
      <c r="F5379" s="12">
        <v>7.6172000000000002E-3</v>
      </c>
    </row>
    <row r="5380" spans="1:6">
      <c r="A5380" s="10">
        <v>2022</v>
      </c>
      <c r="B5380" t="s">
        <v>709</v>
      </c>
      <c r="C5380" t="s">
        <v>654</v>
      </c>
      <c r="D5380" t="s">
        <v>654</v>
      </c>
      <c r="E5380" s="10">
        <v>908678</v>
      </c>
      <c r="F5380" s="12">
        <v>6.3560000000000005E-4</v>
      </c>
    </row>
    <row r="5381" spans="1:6">
      <c r="A5381" s="10">
        <v>2022</v>
      </c>
      <c r="B5381" t="s">
        <v>710</v>
      </c>
      <c r="C5381" t="s">
        <v>1775</v>
      </c>
      <c r="D5381" t="s">
        <v>1775</v>
      </c>
      <c r="E5381" s="10">
        <v>3144149</v>
      </c>
      <c r="F5381" s="12">
        <v>2.1992000000000001E-3</v>
      </c>
    </row>
    <row r="5382" spans="1:6">
      <c r="A5382" s="10">
        <v>2022</v>
      </c>
      <c r="B5382" t="s">
        <v>442</v>
      </c>
      <c r="C5382" t="s">
        <v>1776</v>
      </c>
      <c r="D5382" t="s">
        <v>1776</v>
      </c>
      <c r="E5382" s="10">
        <v>2158282</v>
      </c>
      <c r="F5382" s="12">
        <v>1.5096E-3</v>
      </c>
    </row>
    <row r="5383" spans="1:6">
      <c r="A5383" s="10">
        <v>2022</v>
      </c>
      <c r="B5383" t="s">
        <v>712</v>
      </c>
      <c r="C5383" t="s">
        <v>1778</v>
      </c>
      <c r="D5383" t="s">
        <v>1778</v>
      </c>
      <c r="E5383" s="10">
        <v>5141488</v>
      </c>
      <c r="F5383" s="12">
        <v>3.5963000000000002E-3</v>
      </c>
    </row>
    <row r="5384" spans="1:6">
      <c r="A5384" s="10">
        <v>2022</v>
      </c>
      <c r="B5384" t="s">
        <v>713</v>
      </c>
      <c r="C5384" t="s">
        <v>1779</v>
      </c>
      <c r="D5384" t="s">
        <v>1779</v>
      </c>
      <c r="E5384" s="10">
        <v>179721</v>
      </c>
      <c r="F5384" s="12">
        <v>1.2569999999999999E-4</v>
      </c>
    </row>
    <row r="5385" spans="1:6">
      <c r="A5385" s="10">
        <v>2022</v>
      </c>
      <c r="B5385" t="s">
        <v>714</v>
      </c>
      <c r="C5385" t="s">
        <v>1780</v>
      </c>
      <c r="D5385" t="s">
        <v>1780</v>
      </c>
      <c r="E5385" s="10">
        <v>2349863</v>
      </c>
      <c r="F5385" s="12">
        <v>1.6436000000000001E-3</v>
      </c>
    </row>
    <row r="5386" spans="1:6">
      <c r="A5386" s="10">
        <v>2022</v>
      </c>
      <c r="B5386" t="s">
        <v>770</v>
      </c>
      <c r="C5386" t="s">
        <v>715</v>
      </c>
      <c r="D5386" t="s">
        <v>715</v>
      </c>
      <c r="E5386" s="10">
        <v>49675</v>
      </c>
      <c r="F5386" s="12">
        <v>3.4700000000000003E-5</v>
      </c>
    </row>
    <row r="5387" spans="1:6">
      <c r="A5387" s="10">
        <v>2022</v>
      </c>
      <c r="B5387" t="s">
        <v>771</v>
      </c>
      <c r="C5387" t="s">
        <v>1782</v>
      </c>
      <c r="D5387" t="s">
        <v>1782</v>
      </c>
      <c r="E5387" s="10"/>
    </row>
    <row r="5388" spans="1:6">
      <c r="A5388" s="10">
        <v>2022</v>
      </c>
      <c r="B5388" t="s">
        <v>773</v>
      </c>
      <c r="C5388" t="s">
        <v>1784</v>
      </c>
      <c r="D5388" t="s">
        <v>1784</v>
      </c>
      <c r="E5388" s="10">
        <v>7103875</v>
      </c>
      <c r="F5388" s="12">
        <v>4.9689000000000001E-3</v>
      </c>
    </row>
    <row r="5389" spans="1:6">
      <c r="A5389" s="10">
        <v>2022</v>
      </c>
      <c r="B5389" t="s">
        <v>443</v>
      </c>
      <c r="C5389" t="s">
        <v>1785</v>
      </c>
      <c r="D5389" t="s">
        <v>1785</v>
      </c>
      <c r="E5389" s="10">
        <v>297473</v>
      </c>
      <c r="F5389" s="12">
        <v>2.0809999999999999E-4</v>
      </c>
    </row>
    <row r="5390" spans="1:6">
      <c r="A5390" s="10">
        <v>2022</v>
      </c>
      <c r="B5390" t="s">
        <v>774</v>
      </c>
      <c r="C5390" t="s">
        <v>1786</v>
      </c>
      <c r="D5390" t="s">
        <v>1786</v>
      </c>
      <c r="E5390" s="10">
        <v>285552</v>
      </c>
      <c r="F5390" s="12">
        <v>1.997E-4</v>
      </c>
    </row>
    <row r="5391" spans="1:6">
      <c r="A5391" s="10">
        <v>2022</v>
      </c>
      <c r="B5391" t="s">
        <v>775</v>
      </c>
      <c r="C5391" t="s">
        <v>1787</v>
      </c>
      <c r="D5391" t="s">
        <v>1787</v>
      </c>
      <c r="E5391" s="10">
        <v>3768987</v>
      </c>
      <c r="F5391" s="12">
        <v>2.6362999999999998E-3</v>
      </c>
    </row>
    <row r="5392" spans="1:6">
      <c r="A5392" s="10">
        <v>2022</v>
      </c>
      <c r="B5392" t="s">
        <v>776</v>
      </c>
      <c r="C5392" t="s">
        <v>721</v>
      </c>
      <c r="D5392" t="s">
        <v>721</v>
      </c>
      <c r="E5392" s="10"/>
    </row>
    <row r="5393" spans="1:6">
      <c r="A5393" s="10">
        <v>2022</v>
      </c>
      <c r="B5393" t="s">
        <v>778</v>
      </c>
      <c r="C5393" t="s">
        <v>1788</v>
      </c>
      <c r="D5393" t="s">
        <v>1788</v>
      </c>
      <c r="E5393" s="10">
        <v>4139946</v>
      </c>
      <c r="F5393" s="12">
        <v>2.8957000000000002E-3</v>
      </c>
    </row>
    <row r="5394" spans="1:6">
      <c r="A5394" s="10">
        <v>2022</v>
      </c>
      <c r="B5394" t="s">
        <v>779</v>
      </c>
      <c r="C5394" t="s">
        <v>1789</v>
      </c>
      <c r="D5394" t="s">
        <v>1789</v>
      </c>
      <c r="E5394" s="10">
        <v>168972</v>
      </c>
      <c r="F5394" s="12">
        <v>1.182E-4</v>
      </c>
    </row>
    <row r="5395" spans="1:6">
      <c r="A5395" s="10">
        <v>2022</v>
      </c>
      <c r="B5395" t="s">
        <v>780</v>
      </c>
      <c r="C5395" t="s">
        <v>1790</v>
      </c>
      <c r="D5395" t="s">
        <v>1790</v>
      </c>
      <c r="E5395" s="10">
        <v>385759</v>
      </c>
      <c r="F5395" s="12">
        <v>2.698E-4</v>
      </c>
    </row>
    <row r="5396" spans="1:6">
      <c r="A5396" s="10">
        <v>2022</v>
      </c>
      <c r="B5396" t="s">
        <v>781</v>
      </c>
      <c r="C5396" t="s">
        <v>1791</v>
      </c>
      <c r="D5396" t="s">
        <v>1791</v>
      </c>
      <c r="E5396" s="10">
        <v>27657</v>
      </c>
      <c r="F5396" s="12">
        <v>1.9300000000000002E-5</v>
      </c>
    </row>
    <row r="5397" spans="1:6">
      <c r="A5397" s="10">
        <v>2022</v>
      </c>
      <c r="B5397" t="s">
        <v>782</v>
      </c>
      <c r="C5397" t="s">
        <v>1792</v>
      </c>
      <c r="D5397" t="s">
        <v>1792</v>
      </c>
      <c r="E5397" s="10">
        <v>9484671</v>
      </c>
      <c r="F5397" s="12">
        <v>6.6341999999999998E-3</v>
      </c>
    </row>
    <row r="5398" spans="1:6">
      <c r="A5398" s="10">
        <v>2022</v>
      </c>
      <c r="B5398" t="s">
        <v>1234</v>
      </c>
      <c r="C5398" t="s">
        <v>1793</v>
      </c>
      <c r="D5398" t="s">
        <v>1793</v>
      </c>
      <c r="E5398" s="10">
        <v>1992969</v>
      </c>
      <c r="F5398" s="12">
        <v>1.3940000000000001E-3</v>
      </c>
    </row>
    <row r="5399" spans="1:6">
      <c r="A5399" s="10">
        <v>2022</v>
      </c>
      <c r="B5399" t="s">
        <v>783</v>
      </c>
      <c r="C5399" t="s">
        <v>1794</v>
      </c>
      <c r="D5399" t="s">
        <v>1794</v>
      </c>
      <c r="E5399" s="10">
        <v>1295507</v>
      </c>
      <c r="F5399" s="12">
        <v>9.0620000000000002E-4</v>
      </c>
    </row>
    <row r="5400" spans="1:6">
      <c r="A5400" s="10">
        <v>2022</v>
      </c>
      <c r="B5400" t="s">
        <v>787</v>
      </c>
      <c r="C5400" t="s">
        <v>732</v>
      </c>
      <c r="D5400" t="s">
        <v>732</v>
      </c>
      <c r="E5400" s="10">
        <v>69045858</v>
      </c>
      <c r="F5400" s="12">
        <v>4.8296199999999997E-2</v>
      </c>
    </row>
    <row r="5401" spans="1:6">
      <c r="A5401" s="10">
        <v>2022</v>
      </c>
      <c r="B5401" t="s">
        <v>784</v>
      </c>
      <c r="C5401" t="s">
        <v>1795</v>
      </c>
      <c r="D5401" t="s">
        <v>1795</v>
      </c>
      <c r="E5401" s="10">
        <v>46768324</v>
      </c>
      <c r="F5401" s="12">
        <v>3.2712699999999997E-2</v>
      </c>
    </row>
    <row r="5402" spans="1:6">
      <c r="A5402" s="10">
        <v>2022</v>
      </c>
      <c r="B5402" t="s">
        <v>785</v>
      </c>
      <c r="C5402" t="s">
        <v>1796</v>
      </c>
      <c r="D5402" t="s">
        <v>1796</v>
      </c>
      <c r="E5402" s="10">
        <v>576662</v>
      </c>
      <c r="F5402" s="12">
        <v>4.0339999999999999E-4</v>
      </c>
    </row>
    <row r="5403" spans="1:6">
      <c r="A5403" s="10">
        <v>2022</v>
      </c>
      <c r="B5403" t="s">
        <v>788</v>
      </c>
      <c r="C5403" t="s">
        <v>1797</v>
      </c>
      <c r="D5403" t="s">
        <v>1797</v>
      </c>
      <c r="E5403" s="10">
        <v>363200</v>
      </c>
      <c r="F5403" s="12">
        <v>2.5399999999999999E-4</v>
      </c>
    </row>
    <row r="5404" spans="1:6">
      <c r="A5404" s="10">
        <v>2022</v>
      </c>
      <c r="B5404" t="s">
        <v>786</v>
      </c>
      <c r="C5404" t="s">
        <v>2460</v>
      </c>
      <c r="D5404" t="s">
        <v>1798</v>
      </c>
      <c r="E5404" s="10">
        <v>32327927</v>
      </c>
      <c r="F5404" s="12">
        <v>2.26121E-2</v>
      </c>
    </row>
    <row r="5405" spans="1:6">
      <c r="A5405" s="10">
        <v>2022</v>
      </c>
      <c r="B5405" t="s">
        <v>789</v>
      </c>
      <c r="C5405" t="s">
        <v>1799</v>
      </c>
      <c r="D5405" t="s">
        <v>1799</v>
      </c>
      <c r="E5405" s="10">
        <v>5140391</v>
      </c>
      <c r="F5405" s="12">
        <v>3.5955000000000002E-3</v>
      </c>
    </row>
    <row r="5406" spans="1:6">
      <c r="A5406" s="10">
        <v>2022</v>
      </c>
      <c r="B5406" t="s">
        <v>444</v>
      </c>
      <c r="C5406" t="s">
        <v>1800</v>
      </c>
      <c r="D5406" t="s">
        <v>1800</v>
      </c>
      <c r="E5406" s="10">
        <v>1430899</v>
      </c>
      <c r="F5406" s="12">
        <v>1.0009000000000001E-3</v>
      </c>
    </row>
    <row r="5407" spans="1:6">
      <c r="A5407" s="10">
        <v>2022</v>
      </c>
      <c r="B5407" t="s">
        <v>790</v>
      </c>
      <c r="C5407" t="s">
        <v>1801</v>
      </c>
      <c r="D5407" t="s">
        <v>1801</v>
      </c>
      <c r="E5407" s="10"/>
    </row>
    <row r="5408" spans="1:6">
      <c r="A5408" s="10">
        <v>2022</v>
      </c>
      <c r="B5408" t="s">
        <v>777</v>
      </c>
      <c r="C5408" t="s">
        <v>1802</v>
      </c>
      <c r="D5408" t="s">
        <v>1802</v>
      </c>
      <c r="E5408" s="10">
        <v>168937</v>
      </c>
      <c r="F5408" s="12">
        <v>1.182E-4</v>
      </c>
    </row>
    <row r="5409" spans="1:6">
      <c r="A5409" s="10">
        <v>2022</v>
      </c>
      <c r="B5409" t="s">
        <v>791</v>
      </c>
      <c r="C5409" t="s">
        <v>736</v>
      </c>
      <c r="D5409" t="s">
        <v>736</v>
      </c>
      <c r="E5409" s="10">
        <v>327330</v>
      </c>
      <c r="F5409" s="12">
        <v>2.2900000000000001E-4</v>
      </c>
    </row>
    <row r="5410" spans="1:6">
      <c r="A5410" s="10">
        <v>2022</v>
      </c>
      <c r="B5410" t="s">
        <v>792</v>
      </c>
      <c r="C5410" t="s">
        <v>1803</v>
      </c>
      <c r="D5410" t="s">
        <v>1803</v>
      </c>
      <c r="E5410" s="10">
        <v>495540</v>
      </c>
      <c r="F5410" s="12">
        <v>3.4660000000000002E-4</v>
      </c>
    </row>
    <row r="5411" spans="1:6">
      <c r="A5411" s="10">
        <v>2022</v>
      </c>
      <c r="B5411" t="s">
        <v>793</v>
      </c>
      <c r="C5411" t="s">
        <v>1804</v>
      </c>
      <c r="D5411" t="s">
        <v>1804</v>
      </c>
      <c r="E5411" s="10">
        <v>166242</v>
      </c>
      <c r="F5411" s="12">
        <v>1.1629999999999999E-4</v>
      </c>
    </row>
    <row r="5412" spans="1:6">
      <c r="A5412" s="10">
        <v>2022</v>
      </c>
      <c r="B5412" t="s">
        <v>794</v>
      </c>
      <c r="C5412" t="s">
        <v>1805</v>
      </c>
      <c r="D5412" t="s">
        <v>1805</v>
      </c>
      <c r="E5412" s="10">
        <v>51039</v>
      </c>
      <c r="F5412" s="12">
        <v>3.57E-5</v>
      </c>
    </row>
    <row r="5413" spans="1:6">
      <c r="A5413" s="10">
        <v>2022</v>
      </c>
      <c r="B5413" t="s">
        <v>795</v>
      </c>
      <c r="C5413" t="s">
        <v>1806</v>
      </c>
      <c r="D5413" t="s">
        <v>1806</v>
      </c>
      <c r="E5413" s="10">
        <v>48535717</v>
      </c>
      <c r="F5413" s="12">
        <v>3.3948899999999997E-2</v>
      </c>
    </row>
    <row r="5414" spans="1:6">
      <c r="A5414" s="10">
        <v>2022</v>
      </c>
      <c r="B5414" t="s">
        <v>445</v>
      </c>
      <c r="C5414" t="s">
        <v>1807</v>
      </c>
      <c r="D5414" t="s">
        <v>1807</v>
      </c>
      <c r="E5414" s="10">
        <v>23097039</v>
      </c>
      <c r="F5414" s="12">
        <v>1.61555E-2</v>
      </c>
    </row>
    <row r="5415" spans="1:6">
      <c r="A5415" s="10">
        <v>2022</v>
      </c>
      <c r="B5415" t="s">
        <v>796</v>
      </c>
      <c r="C5415" t="s">
        <v>741</v>
      </c>
      <c r="D5415" t="s">
        <v>741</v>
      </c>
      <c r="E5415" s="10">
        <v>154778</v>
      </c>
      <c r="F5415" s="12">
        <v>1.083E-4</v>
      </c>
    </row>
    <row r="5416" spans="1:6">
      <c r="A5416" s="10">
        <v>2022</v>
      </c>
      <c r="B5416" t="s">
        <v>797</v>
      </c>
      <c r="C5416" t="s">
        <v>1808</v>
      </c>
      <c r="D5416" t="s">
        <v>1808</v>
      </c>
      <c r="E5416" s="10">
        <v>480503</v>
      </c>
      <c r="F5416" s="12">
        <v>3.3609999999999998E-4</v>
      </c>
    </row>
    <row r="5417" spans="1:6">
      <c r="A5417" s="10">
        <v>2022</v>
      </c>
      <c r="B5417" t="s">
        <v>798</v>
      </c>
      <c r="C5417" t="s">
        <v>743</v>
      </c>
      <c r="D5417" t="s">
        <v>743</v>
      </c>
      <c r="E5417" s="10">
        <v>125556</v>
      </c>
      <c r="F5417" s="12">
        <v>8.7800000000000006E-5</v>
      </c>
    </row>
    <row r="5418" spans="1:6">
      <c r="A5418" s="10">
        <v>2022</v>
      </c>
      <c r="B5418" t="s">
        <v>799</v>
      </c>
      <c r="C5418" t="s">
        <v>1809</v>
      </c>
      <c r="D5418" t="s">
        <v>1809</v>
      </c>
      <c r="E5418" s="10">
        <v>620185</v>
      </c>
      <c r="F5418" s="12">
        <v>4.3379999999999997E-4</v>
      </c>
    </row>
    <row r="5419" spans="1:6">
      <c r="A5419" s="10">
        <v>2022</v>
      </c>
      <c r="B5419" t="s">
        <v>1235</v>
      </c>
      <c r="C5419" t="s">
        <v>1810</v>
      </c>
      <c r="D5419" t="s">
        <v>1810</v>
      </c>
      <c r="E5419" s="10">
        <v>124739</v>
      </c>
      <c r="F5419" s="12">
        <v>8.7200000000000005E-5</v>
      </c>
    </row>
    <row r="5420" spans="1:6">
      <c r="A5420" s="10">
        <v>2022</v>
      </c>
      <c r="B5420" t="s">
        <v>800</v>
      </c>
      <c r="C5420" t="s">
        <v>745</v>
      </c>
      <c r="D5420" t="s">
        <v>745</v>
      </c>
      <c r="E5420" s="10">
        <v>93201</v>
      </c>
      <c r="F5420" s="12">
        <v>6.5199999999999999E-5</v>
      </c>
    </row>
    <row r="5421" spans="1:6">
      <c r="A5421" s="10">
        <v>2022</v>
      </c>
      <c r="B5421" t="s">
        <v>801</v>
      </c>
      <c r="C5421" t="s">
        <v>1811</v>
      </c>
      <c r="D5421" t="s">
        <v>1811</v>
      </c>
      <c r="E5421" s="10">
        <v>862201</v>
      </c>
      <c r="F5421" s="12">
        <v>6.0309999999999997E-4</v>
      </c>
    </row>
    <row r="5422" spans="1:6">
      <c r="A5422" s="10">
        <v>2022</v>
      </c>
      <c r="B5422" t="s">
        <v>802</v>
      </c>
      <c r="C5422" t="s">
        <v>1812</v>
      </c>
      <c r="D5422" t="s">
        <v>1812</v>
      </c>
      <c r="E5422" s="10">
        <v>46932</v>
      </c>
      <c r="F5422" s="12">
        <v>3.2799999999999998E-5</v>
      </c>
    </row>
    <row r="5423" spans="1:6">
      <c r="A5423" s="10">
        <v>2022</v>
      </c>
      <c r="B5423" t="s">
        <v>803</v>
      </c>
      <c r="C5423" t="s">
        <v>748</v>
      </c>
      <c r="D5423" t="s">
        <v>748</v>
      </c>
      <c r="E5423" s="10">
        <v>291151</v>
      </c>
      <c r="F5423" s="12">
        <v>2.0359999999999999E-4</v>
      </c>
    </row>
    <row r="5424" spans="1:6">
      <c r="A5424" s="10">
        <v>2022</v>
      </c>
      <c r="B5424" t="s">
        <v>804</v>
      </c>
      <c r="C5424" t="s">
        <v>749</v>
      </c>
      <c r="D5424" t="s">
        <v>749</v>
      </c>
      <c r="E5424" s="10">
        <v>379920</v>
      </c>
      <c r="F5424" s="12">
        <v>2.6570000000000001E-4</v>
      </c>
    </row>
    <row r="5425" spans="1:6">
      <c r="A5425" s="10">
        <v>2022</v>
      </c>
      <c r="B5425" t="s">
        <v>805</v>
      </c>
      <c r="C5425" t="s">
        <v>750</v>
      </c>
      <c r="D5425" t="s">
        <v>750</v>
      </c>
      <c r="E5425" s="10">
        <v>2034477</v>
      </c>
      <c r="F5425" s="12">
        <v>1.423E-3</v>
      </c>
    </row>
    <row r="5426" spans="1:6">
      <c r="A5426" s="10">
        <v>2022</v>
      </c>
      <c r="B5426" t="s">
        <v>806</v>
      </c>
      <c r="C5426" t="s">
        <v>751</v>
      </c>
      <c r="D5426" t="s">
        <v>751</v>
      </c>
      <c r="E5426" s="10">
        <v>5316823</v>
      </c>
      <c r="F5426" s="12">
        <v>3.7188999999999998E-3</v>
      </c>
    </row>
    <row r="5427" spans="1:6">
      <c r="A5427" s="10">
        <v>2022</v>
      </c>
      <c r="B5427" t="s">
        <v>807</v>
      </c>
      <c r="C5427" t="s">
        <v>752</v>
      </c>
      <c r="D5427" t="s">
        <v>752</v>
      </c>
      <c r="E5427" s="10">
        <v>103834</v>
      </c>
      <c r="F5427" s="12">
        <v>7.2600000000000003E-5</v>
      </c>
    </row>
    <row r="5428" spans="1:6">
      <c r="A5428" s="10">
        <v>2022</v>
      </c>
      <c r="B5428" t="s">
        <v>808</v>
      </c>
      <c r="C5428" t="s">
        <v>2430</v>
      </c>
      <c r="D5428" t="s">
        <v>2430</v>
      </c>
      <c r="E5428" s="10"/>
    </row>
    <row r="5429" spans="1:6">
      <c r="A5429" s="10">
        <v>2022</v>
      </c>
      <c r="B5429" t="s">
        <v>2431</v>
      </c>
      <c r="C5429" t="s">
        <v>2464</v>
      </c>
      <c r="D5429" t="s">
        <v>2430</v>
      </c>
      <c r="E5429" s="10">
        <v>194135</v>
      </c>
      <c r="F5429" s="12">
        <v>1.3579999999999999E-4</v>
      </c>
    </row>
    <row r="5430" spans="1:6">
      <c r="A5430" s="10">
        <v>2022</v>
      </c>
      <c r="B5430" t="s">
        <v>809</v>
      </c>
      <c r="C5430" t="s">
        <v>1814</v>
      </c>
      <c r="D5430" t="s">
        <v>1814</v>
      </c>
      <c r="E5430" s="10">
        <v>726265</v>
      </c>
      <c r="F5430" s="12">
        <v>5.0799999999999999E-4</v>
      </c>
    </row>
    <row r="5431" spans="1:6">
      <c r="A5431" s="10">
        <v>2022</v>
      </c>
      <c r="B5431" t="s">
        <v>1470</v>
      </c>
      <c r="C5431" t="s">
        <v>1815</v>
      </c>
      <c r="D5431" t="s">
        <v>1815</v>
      </c>
      <c r="E5431" s="10">
        <v>19215</v>
      </c>
      <c r="F5431" s="12">
        <v>1.34E-5</v>
      </c>
    </row>
    <row r="5432" spans="1:6">
      <c r="A5432" s="10">
        <v>2022</v>
      </c>
      <c r="B5432" t="s">
        <v>810</v>
      </c>
      <c r="C5432" t="s">
        <v>1816</v>
      </c>
      <c r="D5432" t="s">
        <v>1816</v>
      </c>
      <c r="E5432" s="10">
        <v>143634</v>
      </c>
      <c r="F5432" s="12">
        <v>1.005E-4</v>
      </c>
    </row>
    <row r="5433" spans="1:6">
      <c r="A5433" s="10">
        <v>2022</v>
      </c>
      <c r="B5433" t="s">
        <v>812</v>
      </c>
      <c r="C5433" t="s">
        <v>1818</v>
      </c>
      <c r="D5433" t="s">
        <v>1818</v>
      </c>
      <c r="E5433" s="10">
        <v>1098478</v>
      </c>
      <c r="F5433" s="12">
        <v>7.6829999999999997E-4</v>
      </c>
    </row>
    <row r="5434" spans="1:6">
      <c r="A5434" s="10">
        <v>2022</v>
      </c>
      <c r="B5434" t="s">
        <v>813</v>
      </c>
      <c r="C5434" t="s">
        <v>1819</v>
      </c>
      <c r="D5434" t="s">
        <v>1819</v>
      </c>
      <c r="E5434" s="10">
        <v>127704</v>
      </c>
      <c r="F5434" s="12">
        <v>8.9300000000000002E-5</v>
      </c>
    </row>
    <row r="5435" spans="1:6">
      <c r="A5435" s="10">
        <v>2022</v>
      </c>
      <c r="B5435" t="s">
        <v>814</v>
      </c>
      <c r="C5435" t="s">
        <v>1820</v>
      </c>
      <c r="D5435" t="s">
        <v>1820</v>
      </c>
      <c r="E5435" s="10">
        <v>64299</v>
      </c>
      <c r="F5435" s="12">
        <v>4.5000000000000003E-5</v>
      </c>
    </row>
    <row r="5436" spans="1:6">
      <c r="A5436" s="10">
        <v>2022</v>
      </c>
      <c r="B5436" t="s">
        <v>815</v>
      </c>
      <c r="C5436" t="s">
        <v>760</v>
      </c>
      <c r="D5436" t="s">
        <v>760</v>
      </c>
      <c r="E5436" s="10">
        <v>52054</v>
      </c>
      <c r="F5436" s="12">
        <v>3.6399999999999997E-5</v>
      </c>
    </row>
    <row r="5437" spans="1:6">
      <c r="A5437" s="10">
        <v>2022</v>
      </c>
      <c r="B5437" t="s">
        <v>816</v>
      </c>
      <c r="C5437" t="s">
        <v>761</v>
      </c>
      <c r="D5437" t="s">
        <v>761</v>
      </c>
      <c r="E5437" s="10">
        <v>54394</v>
      </c>
      <c r="F5437" s="12">
        <v>3.8000000000000002E-5</v>
      </c>
    </row>
    <row r="5438" spans="1:6">
      <c r="A5438" s="10">
        <v>2022</v>
      </c>
      <c r="B5438" t="s">
        <v>817</v>
      </c>
      <c r="C5438" t="s">
        <v>762</v>
      </c>
      <c r="D5438" t="s">
        <v>762</v>
      </c>
      <c r="E5438" s="10">
        <v>111742</v>
      </c>
      <c r="F5438" s="12">
        <v>7.8200000000000003E-5</v>
      </c>
    </row>
    <row r="5439" spans="1:6">
      <c r="A5439" s="10">
        <v>2022</v>
      </c>
      <c r="B5439" t="s">
        <v>818</v>
      </c>
      <c r="C5439" t="s">
        <v>2445</v>
      </c>
      <c r="D5439" t="s">
        <v>2445</v>
      </c>
      <c r="E5439" s="10">
        <v>16433</v>
      </c>
      <c r="F5439" s="12">
        <v>1.15E-5</v>
      </c>
    </row>
    <row r="5440" spans="1:6">
      <c r="A5440" s="10">
        <v>2022</v>
      </c>
      <c r="B5440" t="s">
        <v>820</v>
      </c>
      <c r="C5440" t="s">
        <v>1822</v>
      </c>
      <c r="D5440" t="s">
        <v>1822</v>
      </c>
      <c r="E5440" s="10">
        <v>889818</v>
      </c>
      <c r="F5440" s="12">
        <v>6.2239999999999995E-4</v>
      </c>
    </row>
    <row r="5441" spans="1:6">
      <c r="A5441" s="10">
        <v>2022</v>
      </c>
      <c r="B5441" t="s">
        <v>822</v>
      </c>
      <c r="C5441" t="s">
        <v>2406</v>
      </c>
      <c r="D5441" t="s">
        <v>2406</v>
      </c>
      <c r="E5441" s="10">
        <v>200569</v>
      </c>
      <c r="F5441" s="12">
        <v>1.403E-4</v>
      </c>
    </row>
    <row r="5442" spans="1:6">
      <c r="A5442" s="10">
        <v>2022</v>
      </c>
      <c r="B5442" t="s">
        <v>880</v>
      </c>
      <c r="C5442" t="s">
        <v>2407</v>
      </c>
      <c r="D5442" t="s">
        <v>2407</v>
      </c>
      <c r="E5442" s="10">
        <v>833858</v>
      </c>
      <c r="F5442" s="12">
        <v>5.8330000000000003E-4</v>
      </c>
    </row>
    <row r="5443" spans="1:6">
      <c r="A5443" s="10">
        <v>2022</v>
      </c>
      <c r="B5443" t="s">
        <v>884</v>
      </c>
      <c r="C5443" t="s">
        <v>829</v>
      </c>
      <c r="D5443" t="s">
        <v>829</v>
      </c>
      <c r="E5443" s="10">
        <v>2428108</v>
      </c>
      <c r="F5443" s="12">
        <v>1.6984000000000001E-3</v>
      </c>
    </row>
    <row r="5444" spans="1:6">
      <c r="A5444" s="10">
        <v>2022</v>
      </c>
      <c r="B5444" t="s">
        <v>881</v>
      </c>
      <c r="C5444" t="s">
        <v>1825</v>
      </c>
      <c r="D5444" t="s">
        <v>1825</v>
      </c>
      <c r="E5444" s="10">
        <v>31761</v>
      </c>
      <c r="F5444" s="12">
        <v>2.2200000000000001E-5</v>
      </c>
    </row>
    <row r="5445" spans="1:6">
      <c r="A5445" s="10">
        <v>2022</v>
      </c>
      <c r="B5445" t="s">
        <v>885</v>
      </c>
      <c r="C5445" t="s">
        <v>1828</v>
      </c>
      <c r="D5445" t="s">
        <v>1828</v>
      </c>
      <c r="E5445" s="10">
        <v>152698</v>
      </c>
      <c r="F5445" s="12">
        <v>1.0679999999999999E-4</v>
      </c>
    </row>
    <row r="5446" spans="1:6">
      <c r="A5446" s="10">
        <v>2022</v>
      </c>
      <c r="B5446" t="s">
        <v>886</v>
      </c>
      <c r="C5446" t="s">
        <v>1829</v>
      </c>
      <c r="D5446" t="s">
        <v>1829</v>
      </c>
      <c r="E5446" s="10">
        <v>47267</v>
      </c>
      <c r="F5446" s="12">
        <v>3.3099999999999998E-5</v>
      </c>
    </row>
    <row r="5447" spans="1:6">
      <c r="A5447" s="10">
        <v>2022</v>
      </c>
      <c r="B5447" t="s">
        <v>887</v>
      </c>
      <c r="C5447" t="s">
        <v>1830</v>
      </c>
      <c r="D5447" t="s">
        <v>1830</v>
      </c>
      <c r="E5447" s="10">
        <v>99258</v>
      </c>
      <c r="F5447" s="12">
        <v>6.9400000000000006E-5</v>
      </c>
    </row>
    <row r="5448" spans="1:6">
      <c r="A5448" s="10">
        <v>2022</v>
      </c>
      <c r="B5448" t="s">
        <v>888</v>
      </c>
      <c r="C5448" t="s">
        <v>1831</v>
      </c>
      <c r="D5448" t="s">
        <v>1831</v>
      </c>
      <c r="E5448" s="10">
        <v>33367</v>
      </c>
      <c r="F5448" s="12">
        <v>2.3300000000000001E-5</v>
      </c>
    </row>
    <row r="5449" spans="1:6">
      <c r="A5449" s="10">
        <v>2022</v>
      </c>
      <c r="B5449" t="s">
        <v>890</v>
      </c>
      <c r="C5449" t="s">
        <v>1832</v>
      </c>
      <c r="D5449" t="s">
        <v>1832</v>
      </c>
      <c r="E5449" s="10">
        <v>3446954</v>
      </c>
      <c r="F5449" s="12">
        <v>2.4109999999999999E-3</v>
      </c>
    </row>
    <row r="5450" spans="1:6">
      <c r="A5450" s="10">
        <v>2022</v>
      </c>
      <c r="B5450" t="s">
        <v>446</v>
      </c>
      <c r="C5450" t="s">
        <v>1833</v>
      </c>
      <c r="D5450" t="s">
        <v>1833</v>
      </c>
      <c r="E5450" s="10">
        <v>836016</v>
      </c>
      <c r="F5450" s="12">
        <v>5.8480000000000001E-4</v>
      </c>
    </row>
    <row r="5451" spans="1:6">
      <c r="A5451" s="10">
        <v>2022</v>
      </c>
      <c r="B5451" t="s">
        <v>821</v>
      </c>
      <c r="C5451" t="s">
        <v>1834</v>
      </c>
      <c r="D5451" t="s">
        <v>1834</v>
      </c>
      <c r="E5451" s="10">
        <v>182080</v>
      </c>
      <c r="F5451" s="12">
        <v>1.2740000000000001E-4</v>
      </c>
    </row>
    <row r="5452" spans="1:6">
      <c r="A5452" s="10">
        <v>2022</v>
      </c>
      <c r="B5452" t="s">
        <v>891</v>
      </c>
      <c r="C5452" t="s">
        <v>1835</v>
      </c>
      <c r="D5452" t="s">
        <v>1835</v>
      </c>
      <c r="E5452" s="10">
        <v>60827</v>
      </c>
      <c r="F5452" s="12">
        <v>4.2500000000000003E-5</v>
      </c>
    </row>
    <row r="5453" spans="1:6">
      <c r="A5453" s="10">
        <v>2022</v>
      </c>
      <c r="B5453" t="s">
        <v>892</v>
      </c>
      <c r="C5453" t="s">
        <v>1836</v>
      </c>
      <c r="D5453" t="s">
        <v>1836</v>
      </c>
      <c r="E5453" s="10">
        <v>72227</v>
      </c>
      <c r="F5453" s="12">
        <v>5.0500000000000001E-5</v>
      </c>
    </row>
    <row r="5454" spans="1:6">
      <c r="A5454" s="10">
        <v>2022</v>
      </c>
      <c r="B5454" t="s">
        <v>896</v>
      </c>
      <c r="C5454" t="s">
        <v>1837</v>
      </c>
      <c r="D5454" t="s">
        <v>1837</v>
      </c>
      <c r="E5454" s="10">
        <v>60141</v>
      </c>
      <c r="F5454" s="12">
        <v>4.21E-5</v>
      </c>
    </row>
    <row r="5455" spans="1:6">
      <c r="A5455" s="10">
        <v>2022</v>
      </c>
      <c r="B5455" t="s">
        <v>824</v>
      </c>
      <c r="C5455" t="s">
        <v>1839</v>
      </c>
      <c r="D5455" t="s">
        <v>1839</v>
      </c>
      <c r="E5455" s="10">
        <v>442889</v>
      </c>
      <c r="F5455" s="12">
        <v>3.098E-4</v>
      </c>
    </row>
    <row r="5456" spans="1:6">
      <c r="A5456" s="10">
        <v>2022</v>
      </c>
      <c r="B5456" t="s">
        <v>823</v>
      </c>
      <c r="C5456" t="s">
        <v>1840</v>
      </c>
      <c r="D5456" t="s">
        <v>1840</v>
      </c>
      <c r="E5456" s="10">
        <v>1054235</v>
      </c>
      <c r="F5456" s="12">
        <v>7.3740000000000003E-4</v>
      </c>
    </row>
    <row r="5457" spans="1:6">
      <c r="A5457" s="10">
        <v>2022</v>
      </c>
      <c r="B5457" t="s">
        <v>893</v>
      </c>
      <c r="C5457" t="s">
        <v>2432</v>
      </c>
      <c r="D5457" t="s">
        <v>2432</v>
      </c>
      <c r="E5457" s="10">
        <v>7094</v>
      </c>
      <c r="F5457" s="12">
        <v>5.0000000000000004E-6</v>
      </c>
    </row>
    <row r="5458" spans="1:6">
      <c r="A5458" s="10">
        <v>2022</v>
      </c>
      <c r="B5458" t="s">
        <v>897</v>
      </c>
      <c r="C5458" t="s">
        <v>1841</v>
      </c>
      <c r="D5458" t="s">
        <v>1841</v>
      </c>
      <c r="E5458" s="10">
        <v>696646</v>
      </c>
      <c r="F5458" s="12">
        <v>4.8730000000000003E-4</v>
      </c>
    </row>
    <row r="5459" spans="1:6">
      <c r="A5459" s="10">
        <v>2022</v>
      </c>
      <c r="B5459" t="s">
        <v>894</v>
      </c>
      <c r="C5459" t="s">
        <v>839</v>
      </c>
      <c r="D5459" t="s">
        <v>839</v>
      </c>
      <c r="E5459" s="10">
        <v>15222292</v>
      </c>
      <c r="F5459" s="12">
        <v>1.06474E-2</v>
      </c>
    </row>
    <row r="5460" spans="1:6">
      <c r="A5460" s="10">
        <v>2022</v>
      </c>
      <c r="B5460" t="s">
        <v>895</v>
      </c>
      <c r="C5460" t="s">
        <v>1842</v>
      </c>
      <c r="D5460" t="s">
        <v>1842</v>
      </c>
      <c r="E5460" s="10">
        <v>42582</v>
      </c>
      <c r="F5460" s="12">
        <v>2.9799999999999999E-5</v>
      </c>
    </row>
    <row r="5461" spans="1:6">
      <c r="A5461" s="10">
        <v>2022</v>
      </c>
      <c r="B5461" t="s">
        <v>898</v>
      </c>
      <c r="C5461" t="s">
        <v>843</v>
      </c>
      <c r="D5461" t="s">
        <v>843</v>
      </c>
      <c r="E5461" s="10">
        <v>1667028</v>
      </c>
      <c r="F5461" s="12">
        <v>1.1659999999999999E-3</v>
      </c>
    </row>
    <row r="5462" spans="1:6">
      <c r="A5462" s="10">
        <v>2022</v>
      </c>
      <c r="B5462" t="s">
        <v>899</v>
      </c>
      <c r="C5462" t="s">
        <v>844</v>
      </c>
      <c r="D5462" t="s">
        <v>844</v>
      </c>
      <c r="E5462" s="10">
        <v>426415</v>
      </c>
      <c r="F5462" s="12">
        <v>2.9829999999999999E-4</v>
      </c>
    </row>
    <row r="5463" spans="1:6">
      <c r="A5463" s="10">
        <v>2022</v>
      </c>
      <c r="B5463" t="s">
        <v>900</v>
      </c>
      <c r="C5463" t="s">
        <v>845</v>
      </c>
      <c r="D5463" t="s">
        <v>845</v>
      </c>
      <c r="E5463" s="10">
        <v>390320</v>
      </c>
      <c r="F5463" s="12">
        <v>2.7300000000000002E-4</v>
      </c>
    </row>
    <row r="5464" spans="1:6">
      <c r="A5464" s="10">
        <v>2022</v>
      </c>
      <c r="B5464" t="s">
        <v>901</v>
      </c>
      <c r="C5464" t="s">
        <v>846</v>
      </c>
      <c r="D5464" t="s">
        <v>846</v>
      </c>
      <c r="E5464" s="10">
        <v>146084</v>
      </c>
      <c r="F5464" s="12">
        <v>1.022E-4</v>
      </c>
    </row>
    <row r="5465" spans="1:6">
      <c r="A5465" s="10">
        <v>2022</v>
      </c>
      <c r="B5465" t="s">
        <v>902</v>
      </c>
      <c r="C5465" t="s">
        <v>1843</v>
      </c>
      <c r="D5465" t="s">
        <v>1843</v>
      </c>
      <c r="E5465" s="10">
        <v>360912</v>
      </c>
      <c r="F5465" s="12">
        <v>2.5240000000000001E-4</v>
      </c>
    </row>
    <row r="5466" spans="1:6">
      <c r="A5466" s="10">
        <v>2022</v>
      </c>
      <c r="B5466" t="s">
        <v>1236</v>
      </c>
      <c r="C5466" t="s">
        <v>1844</v>
      </c>
      <c r="D5466" t="s">
        <v>1844</v>
      </c>
      <c r="E5466" s="10">
        <v>1744485</v>
      </c>
      <c r="F5466" s="12">
        <v>1.2202000000000001E-3</v>
      </c>
    </row>
    <row r="5467" spans="1:6">
      <c r="A5467" s="10">
        <v>2022</v>
      </c>
      <c r="B5467" t="s">
        <v>903</v>
      </c>
      <c r="C5467" t="s">
        <v>1845</v>
      </c>
      <c r="D5467" t="s">
        <v>1845</v>
      </c>
      <c r="E5467" s="10">
        <v>2373877</v>
      </c>
      <c r="F5467" s="12">
        <v>1.6604E-3</v>
      </c>
    </row>
    <row r="5468" spans="1:6">
      <c r="A5468" s="10">
        <v>2022</v>
      </c>
      <c r="B5468" t="s">
        <v>904</v>
      </c>
      <c r="C5468" t="s">
        <v>1846</v>
      </c>
      <c r="D5468" t="s">
        <v>1846</v>
      </c>
      <c r="E5468" s="10">
        <v>24177</v>
      </c>
      <c r="F5468" s="12">
        <v>1.6900000000000001E-5</v>
      </c>
    </row>
    <row r="5469" spans="1:6">
      <c r="A5469" s="10">
        <v>2022</v>
      </c>
      <c r="B5469" t="s">
        <v>905</v>
      </c>
      <c r="C5469" t="s">
        <v>1847</v>
      </c>
      <c r="D5469" t="s">
        <v>1847</v>
      </c>
      <c r="E5469" s="10">
        <v>60124</v>
      </c>
      <c r="F5469" s="12">
        <v>4.21E-5</v>
      </c>
    </row>
    <row r="5470" spans="1:6">
      <c r="A5470" s="10">
        <v>2022</v>
      </c>
      <c r="B5470" t="s">
        <v>906</v>
      </c>
      <c r="C5470" t="s">
        <v>1848</v>
      </c>
      <c r="D5470" t="s">
        <v>1848</v>
      </c>
      <c r="E5470" s="10">
        <v>1714494</v>
      </c>
      <c r="F5470" s="12">
        <v>1.1992000000000001E-3</v>
      </c>
    </row>
    <row r="5471" spans="1:6">
      <c r="A5471" s="10">
        <v>2022</v>
      </c>
      <c r="B5471" t="s">
        <v>447</v>
      </c>
      <c r="C5471" t="s">
        <v>1849</v>
      </c>
      <c r="D5471" t="s">
        <v>1849</v>
      </c>
      <c r="E5471" s="10">
        <v>828411</v>
      </c>
      <c r="F5471" s="12">
        <v>5.7939999999999999E-4</v>
      </c>
    </row>
    <row r="5472" spans="1:6">
      <c r="A5472" s="10">
        <v>2022</v>
      </c>
      <c r="B5472" t="s">
        <v>1034</v>
      </c>
      <c r="C5472" t="s">
        <v>1850</v>
      </c>
      <c r="D5472" t="s">
        <v>1850</v>
      </c>
      <c r="E5472" s="10">
        <v>262314</v>
      </c>
      <c r="F5472" s="12">
        <v>1.8349999999999999E-4</v>
      </c>
    </row>
    <row r="5473" spans="1:6">
      <c r="A5473" s="10">
        <v>2022</v>
      </c>
      <c r="B5473" t="s">
        <v>908</v>
      </c>
      <c r="C5473" t="s">
        <v>1851</v>
      </c>
      <c r="D5473" t="s">
        <v>1851</v>
      </c>
      <c r="E5473" s="10">
        <v>352079</v>
      </c>
      <c r="F5473" s="12">
        <v>2.4630000000000002E-4</v>
      </c>
    </row>
    <row r="5474" spans="1:6">
      <c r="A5474" s="10">
        <v>2022</v>
      </c>
      <c r="B5474" t="s">
        <v>909</v>
      </c>
      <c r="C5474" t="s">
        <v>1852</v>
      </c>
      <c r="D5474" t="s">
        <v>1852</v>
      </c>
      <c r="E5474" s="10">
        <v>147352</v>
      </c>
      <c r="F5474" s="12">
        <v>1.031E-4</v>
      </c>
    </row>
    <row r="5475" spans="1:6">
      <c r="A5475" s="10">
        <v>2022</v>
      </c>
      <c r="B5475" t="s">
        <v>910</v>
      </c>
      <c r="C5475" t="s">
        <v>1853</v>
      </c>
      <c r="D5475" t="s">
        <v>1853</v>
      </c>
      <c r="E5475" s="10">
        <v>657016</v>
      </c>
      <c r="F5475" s="12">
        <v>4.596E-4</v>
      </c>
    </row>
    <row r="5476" spans="1:6">
      <c r="A5476" s="10">
        <v>2022</v>
      </c>
      <c r="B5476" t="s">
        <v>912</v>
      </c>
      <c r="C5476" t="s">
        <v>1854</v>
      </c>
      <c r="D5476" t="s">
        <v>1854</v>
      </c>
      <c r="E5476" s="10">
        <v>1482376</v>
      </c>
      <c r="F5476" s="12">
        <v>1.0369000000000001E-3</v>
      </c>
    </row>
    <row r="5477" spans="1:6">
      <c r="A5477" s="10">
        <v>2022</v>
      </c>
      <c r="B5477" t="s">
        <v>911</v>
      </c>
      <c r="C5477" t="s">
        <v>1855</v>
      </c>
      <c r="D5477" t="s">
        <v>1855</v>
      </c>
      <c r="E5477" s="10">
        <v>22256385</v>
      </c>
      <c r="F5477" s="12">
        <v>1.55675E-2</v>
      </c>
    </row>
    <row r="5478" spans="1:6">
      <c r="A5478" s="10">
        <v>2022</v>
      </c>
      <c r="B5478" t="s">
        <v>1237</v>
      </c>
      <c r="C5478" t="s">
        <v>1856</v>
      </c>
      <c r="D5478" t="s">
        <v>1856</v>
      </c>
      <c r="E5478" s="10">
        <v>675619</v>
      </c>
      <c r="F5478" s="12">
        <v>4.7259999999999999E-4</v>
      </c>
    </row>
    <row r="5479" spans="1:6">
      <c r="A5479" s="10">
        <v>2022</v>
      </c>
      <c r="B5479" t="s">
        <v>1474</v>
      </c>
      <c r="C5479" t="s">
        <v>1473</v>
      </c>
      <c r="D5479" t="s">
        <v>1473</v>
      </c>
      <c r="E5479" s="10"/>
    </row>
    <row r="5480" spans="1:6">
      <c r="A5480" s="10">
        <v>2022</v>
      </c>
      <c r="B5480" t="s">
        <v>913</v>
      </c>
      <c r="C5480" t="s">
        <v>1857</v>
      </c>
      <c r="D5480" t="s">
        <v>1857</v>
      </c>
      <c r="E5480" s="10">
        <v>102744</v>
      </c>
      <c r="F5480" s="12">
        <v>7.1899999999999999E-5</v>
      </c>
    </row>
    <row r="5481" spans="1:6">
      <c r="A5481" s="10">
        <v>2022</v>
      </c>
      <c r="B5481" t="s">
        <v>914</v>
      </c>
      <c r="C5481" t="s">
        <v>1858</v>
      </c>
      <c r="D5481" t="s">
        <v>1858</v>
      </c>
      <c r="E5481" s="10">
        <v>56609</v>
      </c>
      <c r="F5481" s="12">
        <v>3.96E-5</v>
      </c>
    </row>
    <row r="5482" spans="1:6">
      <c r="A5482" s="10">
        <v>2022</v>
      </c>
      <c r="B5482" t="s">
        <v>915</v>
      </c>
      <c r="C5482" t="s">
        <v>1859</v>
      </c>
      <c r="D5482" t="s">
        <v>1859</v>
      </c>
      <c r="E5482" s="10">
        <v>1371388</v>
      </c>
      <c r="F5482" s="12">
        <v>9.592E-4</v>
      </c>
    </row>
    <row r="5483" spans="1:6">
      <c r="A5483" s="10">
        <v>2022</v>
      </c>
      <c r="B5483" t="s">
        <v>1238</v>
      </c>
      <c r="C5483" t="s">
        <v>1860</v>
      </c>
      <c r="D5483" t="s">
        <v>1860</v>
      </c>
      <c r="E5483" s="10">
        <v>194320</v>
      </c>
      <c r="F5483" s="12">
        <v>1.359E-4</v>
      </c>
    </row>
    <row r="5484" spans="1:6">
      <c r="A5484" s="10">
        <v>2022</v>
      </c>
      <c r="B5484" t="s">
        <v>917</v>
      </c>
      <c r="C5484" t="s">
        <v>1861</v>
      </c>
      <c r="D5484" t="s">
        <v>1861</v>
      </c>
      <c r="E5484" s="10">
        <v>68909</v>
      </c>
      <c r="F5484" s="12">
        <v>4.8199999999999999E-5</v>
      </c>
    </row>
    <row r="5485" spans="1:6">
      <c r="A5485" s="10">
        <v>2022</v>
      </c>
      <c r="B5485" t="s">
        <v>918</v>
      </c>
      <c r="C5485" t="s">
        <v>863</v>
      </c>
      <c r="D5485" t="s">
        <v>863</v>
      </c>
      <c r="E5485" s="10">
        <v>24053</v>
      </c>
      <c r="F5485" s="12">
        <v>1.6799999999999998E-5</v>
      </c>
    </row>
    <row r="5486" spans="1:6">
      <c r="A5486" s="10">
        <v>2022</v>
      </c>
      <c r="B5486" t="s">
        <v>919</v>
      </c>
      <c r="C5486" t="s">
        <v>1862</v>
      </c>
      <c r="D5486" t="s">
        <v>1862</v>
      </c>
      <c r="E5486" s="10">
        <v>158973</v>
      </c>
      <c r="F5486" s="12">
        <v>1.1120000000000001E-4</v>
      </c>
    </row>
    <row r="5487" spans="1:6">
      <c r="A5487" s="10">
        <v>2022</v>
      </c>
      <c r="B5487" t="s">
        <v>1239</v>
      </c>
      <c r="C5487" t="s">
        <v>1863</v>
      </c>
      <c r="D5487" t="s">
        <v>1863</v>
      </c>
      <c r="E5487" s="10">
        <v>44888</v>
      </c>
      <c r="F5487" s="12">
        <v>3.1399999999999998E-5</v>
      </c>
    </row>
    <row r="5488" spans="1:6">
      <c r="A5488" s="10">
        <v>2022</v>
      </c>
      <c r="B5488" t="s">
        <v>1030</v>
      </c>
      <c r="C5488" t="s">
        <v>1864</v>
      </c>
      <c r="D5488" t="s">
        <v>1864</v>
      </c>
      <c r="E5488" s="10">
        <v>53029</v>
      </c>
      <c r="F5488" s="12">
        <v>3.7100000000000001E-5</v>
      </c>
    </row>
    <row r="5489" spans="1:6">
      <c r="A5489" s="10">
        <v>2022</v>
      </c>
      <c r="B5489" t="s">
        <v>921</v>
      </c>
      <c r="C5489" t="s">
        <v>1865</v>
      </c>
      <c r="D5489" t="s">
        <v>1865</v>
      </c>
      <c r="E5489" s="10">
        <v>1576006</v>
      </c>
      <c r="F5489" s="12">
        <v>1.1023999999999999E-3</v>
      </c>
    </row>
    <row r="5490" spans="1:6">
      <c r="A5490" s="10">
        <v>2022</v>
      </c>
      <c r="B5490" t="s">
        <v>1240</v>
      </c>
      <c r="C5490" t="s">
        <v>1866</v>
      </c>
      <c r="D5490" t="s">
        <v>1866</v>
      </c>
      <c r="E5490" s="10">
        <v>771054</v>
      </c>
      <c r="F5490" s="12">
        <v>5.3930000000000004E-4</v>
      </c>
    </row>
    <row r="5491" spans="1:6">
      <c r="A5491" s="10">
        <v>2022</v>
      </c>
      <c r="B5491" t="s">
        <v>922</v>
      </c>
      <c r="C5491" t="s">
        <v>1867</v>
      </c>
      <c r="D5491" t="s">
        <v>1867</v>
      </c>
      <c r="E5491" s="10">
        <v>244083</v>
      </c>
      <c r="F5491" s="12">
        <v>1.707E-4</v>
      </c>
    </row>
    <row r="5492" spans="1:6">
      <c r="A5492" s="10">
        <v>2022</v>
      </c>
      <c r="B5492" t="s">
        <v>923</v>
      </c>
      <c r="C5492" t="s">
        <v>868</v>
      </c>
      <c r="D5492" t="s">
        <v>868</v>
      </c>
      <c r="E5492" s="10">
        <v>93988</v>
      </c>
      <c r="F5492" s="12">
        <v>6.5699999999999998E-5</v>
      </c>
    </row>
    <row r="5493" spans="1:6">
      <c r="A5493" s="10">
        <v>2022</v>
      </c>
      <c r="B5493" t="s">
        <v>924</v>
      </c>
      <c r="C5493" t="s">
        <v>1868</v>
      </c>
      <c r="D5493" t="s">
        <v>1868</v>
      </c>
      <c r="E5493" s="10">
        <v>116015</v>
      </c>
      <c r="F5493" s="12">
        <v>8.1100000000000006E-5</v>
      </c>
    </row>
    <row r="5494" spans="1:6">
      <c r="A5494" s="10">
        <v>2022</v>
      </c>
      <c r="B5494" t="s">
        <v>925</v>
      </c>
      <c r="C5494" t="s">
        <v>1869</v>
      </c>
      <c r="D5494" t="s">
        <v>1869</v>
      </c>
      <c r="E5494" s="10">
        <v>5167805</v>
      </c>
      <c r="F5494" s="12">
        <v>3.6147000000000002E-3</v>
      </c>
    </row>
    <row r="5495" spans="1:6">
      <c r="A5495" s="10">
        <v>2022</v>
      </c>
      <c r="B5495" t="s">
        <v>926</v>
      </c>
      <c r="C5495" t="s">
        <v>1870</v>
      </c>
      <c r="D5495" t="s">
        <v>1870</v>
      </c>
      <c r="E5495" s="10">
        <v>22464490</v>
      </c>
      <c r="F5495" s="12">
        <v>1.5713100000000001E-2</v>
      </c>
    </row>
    <row r="5496" spans="1:6">
      <c r="A5496" s="10">
        <v>2022</v>
      </c>
      <c r="B5496" t="s">
        <v>448</v>
      </c>
      <c r="C5496" t="s">
        <v>1871</v>
      </c>
      <c r="D5496" t="s">
        <v>1871</v>
      </c>
      <c r="E5496" s="10">
        <v>7351653</v>
      </c>
      <c r="F5496" s="12">
        <v>5.1422000000000004E-3</v>
      </c>
    </row>
    <row r="5497" spans="1:6">
      <c r="A5497" s="10">
        <v>2022</v>
      </c>
      <c r="B5497" t="s">
        <v>927</v>
      </c>
      <c r="C5497" t="s">
        <v>1872</v>
      </c>
      <c r="D5497" t="s">
        <v>1872</v>
      </c>
      <c r="E5497" s="10">
        <v>5639253</v>
      </c>
      <c r="F5497" s="12">
        <v>3.9443999999999998E-3</v>
      </c>
    </row>
    <row r="5498" spans="1:6">
      <c r="A5498" s="10">
        <v>2022</v>
      </c>
      <c r="B5498" t="s">
        <v>930</v>
      </c>
      <c r="C5498" t="s">
        <v>1873</v>
      </c>
      <c r="D5498" t="s">
        <v>1873</v>
      </c>
      <c r="E5498" s="10">
        <v>58058</v>
      </c>
      <c r="F5498" s="12">
        <v>4.0599999999999998E-5</v>
      </c>
    </row>
    <row r="5499" spans="1:6">
      <c r="A5499" s="10">
        <v>2022</v>
      </c>
      <c r="B5499" t="s">
        <v>929</v>
      </c>
      <c r="C5499" t="s">
        <v>1874</v>
      </c>
      <c r="D5499" t="s">
        <v>1874</v>
      </c>
      <c r="E5499" s="10">
        <v>23182262</v>
      </c>
      <c r="F5499" s="12">
        <v>1.62151E-2</v>
      </c>
    </row>
    <row r="5500" spans="1:6">
      <c r="A5500" s="10">
        <v>2022</v>
      </c>
      <c r="B5500" t="s">
        <v>928</v>
      </c>
      <c r="C5500" t="s">
        <v>1875</v>
      </c>
      <c r="D5500" t="s">
        <v>1875</v>
      </c>
      <c r="E5500" s="10">
        <v>854389</v>
      </c>
      <c r="F5500" s="12">
        <v>5.976E-4</v>
      </c>
    </row>
    <row r="5501" spans="1:6">
      <c r="A5501" s="10">
        <v>2022</v>
      </c>
      <c r="B5501" t="s">
        <v>931</v>
      </c>
      <c r="C5501" t="s">
        <v>1876</v>
      </c>
      <c r="D5501" t="s">
        <v>1876</v>
      </c>
      <c r="E5501" s="10">
        <v>114413</v>
      </c>
      <c r="F5501" s="12">
        <v>8.0000000000000007E-5</v>
      </c>
    </row>
    <row r="5502" spans="1:6">
      <c r="A5502" s="10">
        <v>2022</v>
      </c>
      <c r="B5502" t="s">
        <v>932</v>
      </c>
      <c r="C5502" t="s">
        <v>1877</v>
      </c>
      <c r="D5502" t="s">
        <v>1877</v>
      </c>
      <c r="E5502" s="10">
        <v>9005</v>
      </c>
      <c r="F5502" s="12">
        <v>6.2999999999999998E-6</v>
      </c>
    </row>
    <row r="5503" spans="1:6">
      <c r="A5503" s="10">
        <v>2022</v>
      </c>
      <c r="B5503" t="s">
        <v>933</v>
      </c>
      <c r="C5503" t="s">
        <v>1878</v>
      </c>
      <c r="D5503" t="s">
        <v>1878</v>
      </c>
      <c r="E5503" s="10">
        <v>17611</v>
      </c>
      <c r="F5503" s="12">
        <v>1.2300000000000001E-5</v>
      </c>
    </row>
    <row r="5504" spans="1:6">
      <c r="A5504" s="10">
        <v>2022</v>
      </c>
      <c r="B5504" t="s">
        <v>992</v>
      </c>
      <c r="C5504" t="s">
        <v>1879</v>
      </c>
      <c r="D5504" t="s">
        <v>1879</v>
      </c>
      <c r="E5504" s="10">
        <v>77127</v>
      </c>
      <c r="F5504" s="12">
        <v>5.3900000000000002E-5</v>
      </c>
    </row>
    <row r="5505" spans="1:6">
      <c r="A5505" s="10">
        <v>2022</v>
      </c>
      <c r="B5505" t="s">
        <v>934</v>
      </c>
      <c r="C5505" t="s">
        <v>1880</v>
      </c>
      <c r="D5505" t="s">
        <v>1880</v>
      </c>
      <c r="E5505" s="10">
        <v>503613</v>
      </c>
      <c r="F5505" s="12">
        <v>3.523E-4</v>
      </c>
    </row>
    <row r="5506" spans="1:6">
      <c r="A5506" s="10">
        <v>2022</v>
      </c>
      <c r="B5506" t="s">
        <v>990</v>
      </c>
      <c r="C5506" t="s">
        <v>935</v>
      </c>
      <c r="D5506" t="s">
        <v>935</v>
      </c>
      <c r="E5506" s="10">
        <v>8527343</v>
      </c>
      <c r="F5506" s="12">
        <v>5.9645999999999996E-3</v>
      </c>
    </row>
    <row r="5507" spans="1:6">
      <c r="A5507" s="10">
        <v>2022</v>
      </c>
      <c r="B5507" t="s">
        <v>991</v>
      </c>
      <c r="C5507" t="s">
        <v>936</v>
      </c>
      <c r="D5507" t="s">
        <v>936</v>
      </c>
      <c r="E5507" s="10">
        <v>30167635</v>
      </c>
      <c r="F5507" s="12">
        <v>2.1101100000000001E-2</v>
      </c>
    </row>
    <row r="5508" spans="1:6">
      <c r="A5508" s="10">
        <v>2022</v>
      </c>
      <c r="B5508" t="s">
        <v>993</v>
      </c>
      <c r="C5508" t="s">
        <v>1881</v>
      </c>
      <c r="D5508" t="s">
        <v>1881</v>
      </c>
      <c r="E5508" s="10">
        <v>735750</v>
      </c>
      <c r="F5508" s="12">
        <v>5.1460000000000004E-4</v>
      </c>
    </row>
    <row r="5509" spans="1:6">
      <c r="A5509" s="10">
        <v>2022</v>
      </c>
      <c r="B5509" t="s">
        <v>1885</v>
      </c>
      <c r="C5509" t="s">
        <v>1882</v>
      </c>
      <c r="D5509" t="s">
        <v>1882</v>
      </c>
      <c r="E5509" s="10"/>
    </row>
    <row r="5510" spans="1:6">
      <c r="A5510" s="10">
        <v>2022</v>
      </c>
      <c r="B5510" t="s">
        <v>994</v>
      </c>
      <c r="C5510" t="s">
        <v>939</v>
      </c>
      <c r="D5510" t="s">
        <v>939</v>
      </c>
      <c r="E5510" s="10">
        <v>7484</v>
      </c>
      <c r="F5510" s="12">
        <v>5.2000000000000002E-6</v>
      </c>
    </row>
    <row r="5511" spans="1:6">
      <c r="A5511" s="10">
        <v>2022</v>
      </c>
      <c r="B5511" t="s">
        <v>995</v>
      </c>
      <c r="C5511" t="s">
        <v>2434</v>
      </c>
      <c r="D5511" t="s">
        <v>2434</v>
      </c>
      <c r="E5511" s="10">
        <v>82987</v>
      </c>
      <c r="F5511" s="12">
        <v>5.8E-5</v>
      </c>
    </row>
    <row r="5512" spans="1:6">
      <c r="A5512" s="10">
        <v>2022</v>
      </c>
      <c r="B5512" t="s">
        <v>996</v>
      </c>
      <c r="C5512" t="s">
        <v>2435</v>
      </c>
      <c r="D5512" t="s">
        <v>2435</v>
      </c>
      <c r="E5512" s="10">
        <v>46711</v>
      </c>
      <c r="F5512" s="12">
        <v>3.2700000000000002E-5</v>
      </c>
    </row>
    <row r="5513" spans="1:6">
      <c r="A5513" s="10">
        <v>2022</v>
      </c>
      <c r="B5513" t="s">
        <v>997</v>
      </c>
      <c r="C5513" t="s">
        <v>2436</v>
      </c>
      <c r="D5513" t="s">
        <v>2436</v>
      </c>
      <c r="E5513" s="10">
        <v>96256</v>
      </c>
      <c r="F5513" s="12">
        <v>6.7299999999999996E-5</v>
      </c>
    </row>
    <row r="5514" spans="1:6">
      <c r="A5514" s="10">
        <v>2022</v>
      </c>
      <c r="B5514" t="s">
        <v>999</v>
      </c>
      <c r="C5514" t="s">
        <v>1884</v>
      </c>
      <c r="D5514" t="s">
        <v>1884</v>
      </c>
      <c r="E5514" s="10">
        <v>620330</v>
      </c>
      <c r="F5514" s="12">
        <v>4.3389999999999998E-4</v>
      </c>
    </row>
    <row r="5515" spans="1:6">
      <c r="A5515" s="10">
        <v>2022</v>
      </c>
      <c r="B5515" t="s">
        <v>1241</v>
      </c>
      <c r="C5515" t="s">
        <v>1886</v>
      </c>
      <c r="D5515" t="s">
        <v>1886</v>
      </c>
      <c r="E5515" s="10">
        <v>49758</v>
      </c>
      <c r="F5515" s="12">
        <v>3.4799999999999999E-5</v>
      </c>
    </row>
    <row r="5516" spans="1:6">
      <c r="A5516" s="10">
        <v>2022</v>
      </c>
      <c r="B5516" t="s">
        <v>1001</v>
      </c>
      <c r="C5516" t="s">
        <v>2433</v>
      </c>
      <c r="D5516" t="s">
        <v>2433</v>
      </c>
      <c r="E5516" s="10">
        <v>29790</v>
      </c>
      <c r="F5516" s="12">
        <v>2.0800000000000001E-5</v>
      </c>
    </row>
    <row r="5517" spans="1:6">
      <c r="A5517" s="10">
        <v>2022</v>
      </c>
      <c r="B5517" t="s">
        <v>1000</v>
      </c>
      <c r="C5517" t="s">
        <v>2384</v>
      </c>
      <c r="D5517" t="s">
        <v>2384</v>
      </c>
      <c r="E5517" s="10">
        <v>21269</v>
      </c>
      <c r="F5517" s="12">
        <v>1.49E-5</v>
      </c>
    </row>
    <row r="5518" spans="1:6">
      <c r="A5518" s="10">
        <v>2022</v>
      </c>
      <c r="B5518" t="s">
        <v>1002</v>
      </c>
      <c r="C5518" t="s">
        <v>947</v>
      </c>
      <c r="D5518" t="s">
        <v>947</v>
      </c>
      <c r="E5518" s="10">
        <v>9606071</v>
      </c>
      <c r="F5518" s="12">
        <v>6.7191000000000004E-3</v>
      </c>
    </row>
    <row r="5519" spans="1:6">
      <c r="A5519" s="10">
        <v>2022</v>
      </c>
      <c r="B5519" t="s">
        <v>1003</v>
      </c>
      <c r="C5519" t="s">
        <v>1478</v>
      </c>
      <c r="D5519" t="s">
        <v>1478</v>
      </c>
      <c r="E5519" s="10">
        <v>37229</v>
      </c>
      <c r="F5519" s="12">
        <v>2.5999999999999998E-5</v>
      </c>
    </row>
    <row r="5520" spans="1:6">
      <c r="A5520" s="10">
        <v>2022</v>
      </c>
      <c r="B5520" t="s">
        <v>1004</v>
      </c>
      <c r="C5520" t="s">
        <v>949</v>
      </c>
      <c r="D5520" t="s">
        <v>949</v>
      </c>
      <c r="E5520" s="10">
        <v>401758</v>
      </c>
      <c r="F5520" s="12">
        <v>2.81E-4</v>
      </c>
    </row>
    <row r="5521" spans="1:6">
      <c r="A5521" s="10">
        <v>2022</v>
      </c>
      <c r="B5521" t="s">
        <v>1005</v>
      </c>
      <c r="C5521" t="s">
        <v>1888</v>
      </c>
      <c r="D5521" t="s">
        <v>1888</v>
      </c>
      <c r="E5521" s="10">
        <v>132297</v>
      </c>
      <c r="F5521" s="12">
        <v>9.2499999999999999E-5</v>
      </c>
    </row>
    <row r="5522" spans="1:6">
      <c r="A5522" s="10">
        <v>2022</v>
      </c>
      <c r="B5522" t="s">
        <v>1006</v>
      </c>
      <c r="C5522" t="s">
        <v>1889</v>
      </c>
      <c r="D5522" t="s">
        <v>1889</v>
      </c>
      <c r="E5522" s="10">
        <v>267543</v>
      </c>
      <c r="F5522" s="12">
        <v>1.8709999999999999E-4</v>
      </c>
    </row>
    <row r="5523" spans="1:6">
      <c r="A5523" s="10">
        <v>2022</v>
      </c>
      <c r="B5523" t="s">
        <v>1007</v>
      </c>
      <c r="C5523" t="s">
        <v>1890</v>
      </c>
      <c r="D5523" t="s">
        <v>1890</v>
      </c>
      <c r="E5523" s="10">
        <v>26923</v>
      </c>
      <c r="F5523" s="12">
        <v>1.88E-5</v>
      </c>
    </row>
    <row r="5524" spans="1:6">
      <c r="A5524" s="10">
        <v>2022</v>
      </c>
      <c r="B5524" t="s">
        <v>1008</v>
      </c>
      <c r="C5524" t="s">
        <v>2286</v>
      </c>
      <c r="D5524" t="s">
        <v>2286</v>
      </c>
      <c r="E5524" s="10">
        <v>132320</v>
      </c>
      <c r="F5524" s="12">
        <v>9.2600000000000001E-5</v>
      </c>
    </row>
    <row r="5525" spans="1:6">
      <c r="A5525" s="10">
        <v>2022</v>
      </c>
      <c r="B5525" t="s">
        <v>1009</v>
      </c>
      <c r="C5525" t="s">
        <v>1892</v>
      </c>
      <c r="D5525" t="s">
        <v>1892</v>
      </c>
      <c r="E5525" s="10">
        <v>36266</v>
      </c>
      <c r="F5525" s="12">
        <v>2.5400000000000001E-5</v>
      </c>
    </row>
    <row r="5526" spans="1:6">
      <c r="A5526" s="10">
        <v>2022</v>
      </c>
      <c r="B5526" t="s">
        <v>1010</v>
      </c>
      <c r="C5526" t="s">
        <v>1893</v>
      </c>
      <c r="D5526" t="s">
        <v>1893</v>
      </c>
      <c r="E5526" s="10">
        <v>124352</v>
      </c>
      <c r="F5526" s="12">
        <v>8.7000000000000001E-5</v>
      </c>
    </row>
    <row r="5527" spans="1:6">
      <c r="A5527" s="10">
        <v>2022</v>
      </c>
      <c r="B5527" t="s">
        <v>1242</v>
      </c>
      <c r="C5527" t="s">
        <v>1894</v>
      </c>
      <c r="D5527" t="s">
        <v>1894</v>
      </c>
      <c r="E5527" s="10">
        <v>283800</v>
      </c>
      <c r="F5527" s="12">
        <v>1.985E-4</v>
      </c>
    </row>
    <row r="5528" spans="1:6">
      <c r="A5528" s="10">
        <v>2022</v>
      </c>
      <c r="B5528" t="s">
        <v>1011</v>
      </c>
      <c r="C5528" t="s">
        <v>2288</v>
      </c>
      <c r="D5528" t="s">
        <v>2288</v>
      </c>
      <c r="E5528" s="10">
        <v>13500</v>
      </c>
      <c r="F5528" s="12">
        <v>9.3999999999999998E-6</v>
      </c>
    </row>
    <row r="5529" spans="1:6">
      <c r="A5529" s="10">
        <v>2022</v>
      </c>
      <c r="B5529" t="s">
        <v>1012</v>
      </c>
      <c r="C5529" t="s">
        <v>957</v>
      </c>
      <c r="D5529" t="s">
        <v>957</v>
      </c>
      <c r="E5529" s="10">
        <v>87575</v>
      </c>
      <c r="F5529" s="12">
        <v>6.1299999999999999E-5</v>
      </c>
    </row>
    <row r="5530" spans="1:6">
      <c r="A5530" s="10">
        <v>2022</v>
      </c>
      <c r="B5530" t="s">
        <v>1013</v>
      </c>
      <c r="C5530" t="s">
        <v>2408</v>
      </c>
      <c r="D5530" t="s">
        <v>2408</v>
      </c>
      <c r="E5530" s="10">
        <v>1245526</v>
      </c>
      <c r="F5530" s="12">
        <v>8.7120000000000003E-4</v>
      </c>
    </row>
    <row r="5531" spans="1:6">
      <c r="A5531" s="10">
        <v>2022</v>
      </c>
      <c r="B5531" t="s">
        <v>1016</v>
      </c>
      <c r="C5531" t="s">
        <v>1897</v>
      </c>
      <c r="D5531" t="s">
        <v>1897</v>
      </c>
      <c r="E5531" s="10">
        <v>437333</v>
      </c>
      <c r="F5531" s="12">
        <v>3.0590000000000001E-4</v>
      </c>
    </row>
    <row r="5532" spans="1:6">
      <c r="A5532" s="10">
        <v>2022</v>
      </c>
      <c r="B5532" t="s">
        <v>1017</v>
      </c>
      <c r="C5532" t="s">
        <v>1898</v>
      </c>
      <c r="D5532" t="s">
        <v>1898</v>
      </c>
      <c r="E5532" s="10">
        <v>96985</v>
      </c>
      <c r="F5532" s="12">
        <v>6.7799999999999995E-5</v>
      </c>
    </row>
    <row r="5533" spans="1:6">
      <c r="A5533" s="10">
        <v>2022</v>
      </c>
      <c r="B5533" t="s">
        <v>1018</v>
      </c>
      <c r="C5533" t="s">
        <v>1899</v>
      </c>
      <c r="D5533" t="s">
        <v>2444</v>
      </c>
      <c r="E5533" s="10">
        <v>42556</v>
      </c>
      <c r="F5533" s="12">
        <v>2.9799999999999999E-5</v>
      </c>
    </row>
    <row r="5534" spans="1:6">
      <c r="A5534" s="10">
        <v>2022</v>
      </c>
      <c r="B5534" t="s">
        <v>1020</v>
      </c>
      <c r="C5534" t="s">
        <v>1900</v>
      </c>
      <c r="D5534" t="s">
        <v>1900</v>
      </c>
      <c r="E5534" s="10">
        <v>2496368</v>
      </c>
      <c r="F5534" s="12">
        <v>1.7461E-3</v>
      </c>
    </row>
    <row r="5535" spans="1:6">
      <c r="A5535" s="10">
        <v>2022</v>
      </c>
      <c r="B5535" t="s">
        <v>1019</v>
      </c>
      <c r="C5535" t="s">
        <v>1901</v>
      </c>
      <c r="D5535" t="s">
        <v>1901</v>
      </c>
      <c r="E5535" s="10">
        <v>56578</v>
      </c>
      <c r="F5535" s="12">
        <v>3.96E-5</v>
      </c>
    </row>
    <row r="5536" spans="1:6">
      <c r="A5536" s="10">
        <v>2022</v>
      </c>
      <c r="B5536" t="s">
        <v>1021</v>
      </c>
      <c r="C5536" t="s">
        <v>1902</v>
      </c>
      <c r="D5536" t="s">
        <v>1902</v>
      </c>
      <c r="E5536" s="10">
        <v>42843</v>
      </c>
      <c r="F5536" s="12">
        <v>3.0000000000000001E-5</v>
      </c>
    </row>
    <row r="5537" spans="1:6">
      <c r="A5537" s="10">
        <v>2022</v>
      </c>
      <c r="B5537" t="s">
        <v>449</v>
      </c>
      <c r="C5537" t="s">
        <v>1903</v>
      </c>
      <c r="D5537" t="s">
        <v>1903</v>
      </c>
      <c r="E5537" s="10">
        <v>2693068</v>
      </c>
      <c r="F5537" s="12">
        <v>1.8837000000000001E-3</v>
      </c>
    </row>
    <row r="5538" spans="1:6">
      <c r="A5538" s="10">
        <v>2022</v>
      </c>
      <c r="B5538" t="s">
        <v>1022</v>
      </c>
      <c r="C5538" t="s">
        <v>1904</v>
      </c>
      <c r="D5538" t="s">
        <v>1904</v>
      </c>
      <c r="E5538" s="10">
        <v>221445</v>
      </c>
      <c r="F5538" s="12">
        <v>1.549E-4</v>
      </c>
    </row>
    <row r="5539" spans="1:6">
      <c r="A5539" s="10">
        <v>2022</v>
      </c>
      <c r="B5539" t="s">
        <v>1023</v>
      </c>
      <c r="C5539" t="s">
        <v>1905</v>
      </c>
      <c r="D5539" t="s">
        <v>1905</v>
      </c>
      <c r="E5539" s="10">
        <v>854186</v>
      </c>
      <c r="F5539" s="12">
        <v>5.9750000000000005E-4</v>
      </c>
    </row>
    <row r="5540" spans="1:6">
      <c r="A5540" s="10">
        <v>2022</v>
      </c>
      <c r="B5540" t="s">
        <v>1024</v>
      </c>
      <c r="C5540" t="s">
        <v>969</v>
      </c>
      <c r="D5540" t="s">
        <v>969</v>
      </c>
      <c r="E5540" s="10">
        <v>96839</v>
      </c>
      <c r="F5540" s="12">
        <v>6.7700000000000006E-5</v>
      </c>
    </row>
    <row r="5541" spans="1:6">
      <c r="A5541" s="10">
        <v>2022</v>
      </c>
      <c r="B5541" t="s">
        <v>1025</v>
      </c>
      <c r="C5541" t="s">
        <v>1906</v>
      </c>
      <c r="D5541" t="s">
        <v>1906</v>
      </c>
      <c r="E5541" s="10">
        <v>109946</v>
      </c>
      <c r="F5541" s="12">
        <v>7.6899999999999999E-5</v>
      </c>
    </row>
    <row r="5542" spans="1:6">
      <c r="A5542" s="10">
        <v>2022</v>
      </c>
      <c r="B5542" t="s">
        <v>1026</v>
      </c>
      <c r="C5542" t="s">
        <v>1907</v>
      </c>
      <c r="D5542" t="s">
        <v>1907</v>
      </c>
      <c r="E5542" s="10">
        <v>7647134</v>
      </c>
      <c r="F5542" s="12">
        <v>5.3489000000000002E-3</v>
      </c>
    </row>
    <row r="5543" spans="1:6">
      <c r="A5543" s="10">
        <v>2022</v>
      </c>
      <c r="B5543" t="s">
        <v>1243</v>
      </c>
      <c r="C5543" t="s">
        <v>1908</v>
      </c>
      <c r="D5543" t="s">
        <v>1908</v>
      </c>
      <c r="E5543" s="10">
        <v>2584310</v>
      </c>
      <c r="F5543" s="12">
        <v>1.8075999999999999E-3</v>
      </c>
    </row>
    <row r="5544" spans="1:6">
      <c r="A5544" s="10">
        <v>2022</v>
      </c>
      <c r="B5544" t="s">
        <v>1027</v>
      </c>
      <c r="C5544" t="s">
        <v>1909</v>
      </c>
      <c r="D5544" t="s">
        <v>1909</v>
      </c>
      <c r="E5544" s="10">
        <v>23526</v>
      </c>
      <c r="F5544" s="12">
        <v>1.6500000000000001E-5</v>
      </c>
    </row>
    <row r="5545" spans="1:6">
      <c r="A5545" s="10">
        <v>2022</v>
      </c>
      <c r="B5545" t="s">
        <v>1028</v>
      </c>
      <c r="C5545" t="s">
        <v>973</v>
      </c>
      <c r="D5545" t="s">
        <v>973</v>
      </c>
      <c r="E5545" s="10">
        <v>12006</v>
      </c>
      <c r="F5545" s="12">
        <v>8.3999999999999992E-6</v>
      </c>
    </row>
    <row r="5546" spans="1:6">
      <c r="A5546" s="10">
        <v>2022</v>
      </c>
      <c r="B5546" t="s">
        <v>1029</v>
      </c>
      <c r="C5546" t="s">
        <v>2409</v>
      </c>
      <c r="D5546" t="s">
        <v>2409</v>
      </c>
      <c r="E5546" s="10">
        <v>290040</v>
      </c>
      <c r="F5546" s="12">
        <v>2.029E-4</v>
      </c>
    </row>
    <row r="5547" spans="1:6">
      <c r="A5547" s="10">
        <v>2022</v>
      </c>
      <c r="B5547" t="s">
        <v>1031</v>
      </c>
      <c r="C5547" t="s">
        <v>1911</v>
      </c>
      <c r="D5547" t="s">
        <v>1911</v>
      </c>
      <c r="E5547" s="10">
        <v>609051</v>
      </c>
      <c r="F5547" s="12">
        <v>4.26E-4</v>
      </c>
    </row>
    <row r="5548" spans="1:6">
      <c r="A5548" s="10">
        <v>2022</v>
      </c>
      <c r="B5548" t="s">
        <v>1032</v>
      </c>
      <c r="C5548" t="s">
        <v>1912</v>
      </c>
      <c r="D5548" t="s">
        <v>1912</v>
      </c>
      <c r="E5548" s="10">
        <v>291257</v>
      </c>
      <c r="F5548" s="12">
        <v>2.0369999999999999E-4</v>
      </c>
    </row>
    <row r="5549" spans="1:6">
      <c r="A5549" s="10">
        <v>2022</v>
      </c>
      <c r="B5549" t="s">
        <v>920</v>
      </c>
      <c r="C5549" t="s">
        <v>1914</v>
      </c>
      <c r="D5549" t="s">
        <v>1914</v>
      </c>
      <c r="E5549" s="10"/>
    </row>
    <row r="5550" spans="1:6">
      <c r="A5550" s="10">
        <v>2022</v>
      </c>
      <c r="B5550" t="s">
        <v>1037</v>
      </c>
      <c r="C5550" t="s">
        <v>1915</v>
      </c>
      <c r="D5550" t="s">
        <v>1915</v>
      </c>
      <c r="E5550" s="10">
        <v>49759</v>
      </c>
      <c r="F5550" s="12">
        <v>3.4799999999999999E-5</v>
      </c>
    </row>
    <row r="5551" spans="1:6">
      <c r="A5551" s="10">
        <v>2022</v>
      </c>
      <c r="B5551" t="s">
        <v>1038</v>
      </c>
      <c r="C5551" t="s">
        <v>1916</v>
      </c>
      <c r="D5551" t="s">
        <v>1916</v>
      </c>
      <c r="E5551" s="10">
        <v>617413</v>
      </c>
      <c r="F5551" s="12">
        <v>4.3189999999999998E-4</v>
      </c>
    </row>
    <row r="5552" spans="1:6">
      <c r="A5552" s="10">
        <v>2022</v>
      </c>
      <c r="B5552" t="s">
        <v>1039</v>
      </c>
      <c r="C5552" t="s">
        <v>1917</v>
      </c>
      <c r="D5552" t="s">
        <v>1917</v>
      </c>
      <c r="E5552" s="10">
        <v>6826701</v>
      </c>
      <c r="F5552" s="12">
        <v>4.7749999999999997E-3</v>
      </c>
    </row>
    <row r="5553" spans="1:6">
      <c r="A5553" s="10">
        <v>2022</v>
      </c>
      <c r="B5553" t="s">
        <v>1040</v>
      </c>
      <c r="C5553" t="s">
        <v>985</v>
      </c>
      <c r="D5553" t="s">
        <v>985</v>
      </c>
      <c r="E5553" s="10">
        <v>204585</v>
      </c>
      <c r="F5553" s="12">
        <v>1.4310000000000001E-4</v>
      </c>
    </row>
    <row r="5554" spans="1:6">
      <c r="A5554" s="10">
        <v>2022</v>
      </c>
      <c r="B5554" t="s">
        <v>998</v>
      </c>
      <c r="C5554" t="s">
        <v>1918</v>
      </c>
      <c r="D5554" t="s">
        <v>1918</v>
      </c>
      <c r="E5554" s="10">
        <v>42232</v>
      </c>
      <c r="F5554" s="12">
        <v>2.9499999999999999E-5</v>
      </c>
    </row>
    <row r="5555" spans="1:6">
      <c r="A5555" s="10">
        <v>2022</v>
      </c>
      <c r="B5555" t="s">
        <v>1041</v>
      </c>
      <c r="C5555" t="s">
        <v>1919</v>
      </c>
      <c r="D5555" t="s">
        <v>1919</v>
      </c>
      <c r="E5555" s="10">
        <v>956589</v>
      </c>
      <c r="F5555" s="12">
        <v>6.6909999999999995E-4</v>
      </c>
    </row>
    <row r="5556" spans="1:6">
      <c r="A5556" s="10">
        <v>2022</v>
      </c>
      <c r="B5556" t="s">
        <v>1042</v>
      </c>
      <c r="C5556" t="s">
        <v>2296</v>
      </c>
      <c r="D5556" t="s">
        <v>2296</v>
      </c>
      <c r="E5556" s="10"/>
    </row>
    <row r="5557" spans="1:6">
      <c r="A5557" s="10">
        <v>2022</v>
      </c>
      <c r="B5557" t="s">
        <v>1043</v>
      </c>
      <c r="C5557" t="s">
        <v>1921</v>
      </c>
      <c r="D5557" t="s">
        <v>1921</v>
      </c>
      <c r="E5557" s="10">
        <v>609402</v>
      </c>
      <c r="F5557" s="12">
        <v>4.2630000000000001E-4</v>
      </c>
    </row>
    <row r="5558" spans="1:6">
      <c r="A5558" s="10">
        <v>2022</v>
      </c>
      <c r="B5558" t="s">
        <v>1044</v>
      </c>
      <c r="C5558" t="s">
        <v>1922</v>
      </c>
      <c r="D5558" t="s">
        <v>1922</v>
      </c>
      <c r="E5558" s="10">
        <v>1615575</v>
      </c>
      <c r="F5558" s="12">
        <v>1.1299999999999999E-3</v>
      </c>
    </row>
    <row r="5559" spans="1:6">
      <c r="A5559" s="10">
        <v>2022</v>
      </c>
      <c r="B5559" t="s">
        <v>1100</v>
      </c>
      <c r="C5559" t="s">
        <v>1923</v>
      </c>
      <c r="D5559" t="s">
        <v>1923</v>
      </c>
      <c r="E5559" s="10">
        <v>1809857</v>
      </c>
      <c r="F5559" s="12">
        <v>1.2658999999999999E-3</v>
      </c>
    </row>
    <row r="5560" spans="1:6">
      <c r="A5560" s="10">
        <v>2022</v>
      </c>
      <c r="B5560" t="s">
        <v>450</v>
      </c>
      <c r="C5560" t="s">
        <v>1924</v>
      </c>
      <c r="D5560" t="s">
        <v>1924</v>
      </c>
      <c r="E5560" s="10">
        <v>748068</v>
      </c>
      <c r="F5560" s="12">
        <v>5.2320000000000003E-4</v>
      </c>
    </row>
    <row r="5561" spans="1:6">
      <c r="A5561" s="10">
        <v>2022</v>
      </c>
      <c r="B5561" t="s">
        <v>1101</v>
      </c>
      <c r="C5561" t="s">
        <v>1925</v>
      </c>
      <c r="D5561" t="s">
        <v>1925</v>
      </c>
      <c r="E5561" s="10">
        <v>4055860</v>
      </c>
      <c r="F5561" s="12">
        <v>2.8368999999999998E-3</v>
      </c>
    </row>
    <row r="5562" spans="1:6">
      <c r="A5562" s="10">
        <v>2022</v>
      </c>
      <c r="B5562" t="s">
        <v>1244</v>
      </c>
      <c r="C5562" t="s">
        <v>1926</v>
      </c>
      <c r="D5562" t="s">
        <v>1926</v>
      </c>
      <c r="E5562" s="10">
        <v>834911</v>
      </c>
      <c r="F5562" s="12">
        <v>5.8399999999999999E-4</v>
      </c>
    </row>
    <row r="5563" spans="1:6">
      <c r="A5563" s="10">
        <v>2022</v>
      </c>
      <c r="B5563" t="s">
        <v>1102</v>
      </c>
      <c r="C5563" t="s">
        <v>1927</v>
      </c>
      <c r="D5563" t="s">
        <v>2386</v>
      </c>
      <c r="E5563" s="10">
        <v>95204</v>
      </c>
      <c r="F5563" s="12">
        <v>6.6600000000000006E-5</v>
      </c>
    </row>
    <row r="5564" spans="1:6">
      <c r="A5564" s="10">
        <v>2022</v>
      </c>
      <c r="B5564" t="s">
        <v>1134</v>
      </c>
      <c r="C5564" t="s">
        <v>1928</v>
      </c>
      <c r="D5564" t="s">
        <v>1928</v>
      </c>
      <c r="E5564" s="10">
        <v>120739</v>
      </c>
      <c r="F5564" s="12">
        <v>8.4499999999999994E-5</v>
      </c>
    </row>
    <row r="5565" spans="1:6">
      <c r="A5565" s="10">
        <v>2022</v>
      </c>
      <c r="B5565" t="s">
        <v>1103</v>
      </c>
      <c r="C5565" t="s">
        <v>1929</v>
      </c>
      <c r="D5565" t="s">
        <v>1929</v>
      </c>
      <c r="E5565" s="10">
        <v>151580</v>
      </c>
      <c r="F5565" s="12">
        <v>1.06E-4</v>
      </c>
    </row>
    <row r="5566" spans="1:6">
      <c r="A5566" s="10">
        <v>2022</v>
      </c>
      <c r="B5566" t="s">
        <v>1104</v>
      </c>
      <c r="C5566" t="s">
        <v>1930</v>
      </c>
      <c r="D5566" t="s">
        <v>1930</v>
      </c>
      <c r="E5566" s="10">
        <v>1476494</v>
      </c>
      <c r="F5566" s="12">
        <v>1.0328E-3</v>
      </c>
    </row>
    <row r="5567" spans="1:6">
      <c r="A5567" s="10">
        <v>2022</v>
      </c>
      <c r="B5567" t="s">
        <v>1105</v>
      </c>
      <c r="C5567" t="s">
        <v>1931</v>
      </c>
      <c r="D5567" t="s">
        <v>1931</v>
      </c>
      <c r="E5567" s="10">
        <v>21049</v>
      </c>
      <c r="F5567" s="12">
        <v>1.47E-5</v>
      </c>
    </row>
    <row r="5568" spans="1:6">
      <c r="A5568" s="10">
        <v>2022</v>
      </c>
      <c r="B5568" t="s">
        <v>451</v>
      </c>
      <c r="C5568" t="s">
        <v>1932</v>
      </c>
      <c r="D5568" t="s">
        <v>1932</v>
      </c>
      <c r="E5568" s="10">
        <v>1005584</v>
      </c>
      <c r="F5568" s="12">
        <v>7.0339999999999997E-4</v>
      </c>
    </row>
    <row r="5569" spans="1:6">
      <c r="A5569" s="10">
        <v>2022</v>
      </c>
      <c r="B5569" t="s">
        <v>1106</v>
      </c>
      <c r="C5569" t="s">
        <v>1933</v>
      </c>
      <c r="D5569" t="s">
        <v>1933</v>
      </c>
      <c r="E5569" s="10">
        <v>141691</v>
      </c>
      <c r="F5569" s="12">
        <v>9.9099999999999996E-5</v>
      </c>
    </row>
    <row r="5570" spans="1:6">
      <c r="A5570" s="10">
        <v>2022</v>
      </c>
      <c r="B5570" t="s">
        <v>1107</v>
      </c>
      <c r="C5570" t="s">
        <v>1934</v>
      </c>
      <c r="D5570" t="s">
        <v>1934</v>
      </c>
      <c r="E5570" s="10">
        <v>735225</v>
      </c>
      <c r="F5570" s="12">
        <v>5.1429999999999998E-4</v>
      </c>
    </row>
    <row r="5571" spans="1:6">
      <c r="A5571" s="10">
        <v>2022</v>
      </c>
      <c r="B5571" t="s">
        <v>1108</v>
      </c>
      <c r="C5571" t="s">
        <v>1053</v>
      </c>
      <c r="D5571" t="s">
        <v>1053</v>
      </c>
      <c r="E5571" s="10">
        <v>1281586</v>
      </c>
      <c r="F5571" s="12">
        <v>8.964E-4</v>
      </c>
    </row>
    <row r="5572" spans="1:6">
      <c r="A5572" s="10">
        <v>2022</v>
      </c>
      <c r="B5572" t="s">
        <v>2390</v>
      </c>
      <c r="C5572" t="s">
        <v>2387</v>
      </c>
      <c r="D5572" t="s">
        <v>2387</v>
      </c>
      <c r="E5572" s="10">
        <v>13030</v>
      </c>
      <c r="F5572" s="12">
        <v>9.0999999999999993E-6</v>
      </c>
    </row>
    <row r="5573" spans="1:6">
      <c r="A5573" s="10">
        <v>2022</v>
      </c>
      <c r="B5573" t="s">
        <v>1110</v>
      </c>
      <c r="C5573" t="s">
        <v>2410</v>
      </c>
      <c r="D5573" t="s">
        <v>2410</v>
      </c>
      <c r="E5573" s="10">
        <v>2103783</v>
      </c>
      <c r="F5573" s="12">
        <v>1.4714999999999999E-3</v>
      </c>
    </row>
    <row r="5574" spans="1:6">
      <c r="A5574" s="10">
        <v>2022</v>
      </c>
      <c r="B5574" t="s">
        <v>1109</v>
      </c>
      <c r="C5574" t="s">
        <v>1936</v>
      </c>
      <c r="D5574" t="s">
        <v>1936</v>
      </c>
      <c r="E5574" s="10">
        <v>268769</v>
      </c>
      <c r="F5574" s="12">
        <v>1.8799999999999999E-4</v>
      </c>
    </row>
    <row r="5575" spans="1:6">
      <c r="A5575" s="10">
        <v>2022</v>
      </c>
      <c r="B5575" t="s">
        <v>1111</v>
      </c>
      <c r="C5575" t="s">
        <v>1937</v>
      </c>
      <c r="D5575" t="s">
        <v>1937</v>
      </c>
      <c r="E5575" s="10">
        <v>31439</v>
      </c>
      <c r="F5575" s="12">
        <v>2.1999999999999999E-5</v>
      </c>
    </row>
    <row r="5576" spans="1:6">
      <c r="A5576" s="10">
        <v>2022</v>
      </c>
      <c r="B5576" t="s">
        <v>1112</v>
      </c>
      <c r="C5576" t="s">
        <v>1938</v>
      </c>
      <c r="D5576" t="s">
        <v>1938</v>
      </c>
      <c r="E5576" s="10">
        <v>15966730</v>
      </c>
      <c r="F5576" s="12">
        <v>1.11681E-2</v>
      </c>
    </row>
    <row r="5577" spans="1:6">
      <c r="A5577" s="10">
        <v>2022</v>
      </c>
      <c r="B5577" t="s">
        <v>452</v>
      </c>
      <c r="C5577" t="s">
        <v>1939</v>
      </c>
      <c r="D5577" t="s">
        <v>1939</v>
      </c>
      <c r="E5577" s="10">
        <v>14868592</v>
      </c>
      <c r="F5577" s="12">
        <v>1.04E-2</v>
      </c>
    </row>
    <row r="5578" spans="1:6">
      <c r="A5578" s="10">
        <v>2022</v>
      </c>
      <c r="B5578" t="s">
        <v>1113</v>
      </c>
      <c r="C5578" t="s">
        <v>1058</v>
      </c>
      <c r="D5578" t="s">
        <v>1058</v>
      </c>
      <c r="E5578" s="10">
        <v>90796</v>
      </c>
      <c r="F5578" s="12">
        <v>6.3499999999999999E-5</v>
      </c>
    </row>
    <row r="5579" spans="1:6">
      <c r="A5579" s="10">
        <v>2022</v>
      </c>
      <c r="B5579" t="s">
        <v>1481</v>
      </c>
      <c r="C5579" t="s">
        <v>1479</v>
      </c>
      <c r="D5579" t="s">
        <v>1479</v>
      </c>
      <c r="E5579" s="10">
        <v>115063</v>
      </c>
      <c r="F5579" s="12">
        <v>8.0500000000000005E-5</v>
      </c>
    </row>
    <row r="5580" spans="1:6">
      <c r="A5580" s="10">
        <v>2022</v>
      </c>
      <c r="B5580" t="s">
        <v>453</v>
      </c>
      <c r="C5580" t="s">
        <v>1940</v>
      </c>
      <c r="D5580" t="s">
        <v>1940</v>
      </c>
      <c r="E5580" s="10">
        <v>926221</v>
      </c>
      <c r="F5580" s="12">
        <v>6.4789999999999997E-4</v>
      </c>
    </row>
    <row r="5581" spans="1:6">
      <c r="A5581" s="10">
        <v>2022</v>
      </c>
      <c r="B5581" t="s">
        <v>1115</v>
      </c>
      <c r="C5581" t="s">
        <v>1941</v>
      </c>
      <c r="D5581" t="s">
        <v>1941</v>
      </c>
      <c r="E5581" s="10">
        <v>74032</v>
      </c>
      <c r="F5581" s="12">
        <v>5.1799999999999999E-5</v>
      </c>
    </row>
    <row r="5582" spans="1:6">
      <c r="A5582" s="10">
        <v>2022</v>
      </c>
      <c r="B5582" t="s">
        <v>1114</v>
      </c>
      <c r="C5582" t="s">
        <v>1942</v>
      </c>
      <c r="D5582" t="s">
        <v>1942</v>
      </c>
      <c r="E5582" s="10">
        <v>560027</v>
      </c>
      <c r="F5582" s="12">
        <v>3.9169999999999998E-4</v>
      </c>
    </row>
    <row r="5583" spans="1:6">
      <c r="A5583" s="10">
        <v>2022</v>
      </c>
      <c r="B5583" t="s">
        <v>1116</v>
      </c>
      <c r="C5583" t="s">
        <v>2388</v>
      </c>
      <c r="D5583" t="s">
        <v>2388</v>
      </c>
      <c r="E5583" s="10">
        <v>98318</v>
      </c>
      <c r="F5583" s="12">
        <v>6.8800000000000005E-5</v>
      </c>
    </row>
    <row r="5584" spans="1:6">
      <c r="A5584" s="10">
        <v>2022</v>
      </c>
      <c r="B5584" t="s">
        <v>1117</v>
      </c>
      <c r="C5584" t="s">
        <v>1944</v>
      </c>
      <c r="D5584" t="s">
        <v>1944</v>
      </c>
      <c r="E5584" s="10">
        <v>177256</v>
      </c>
      <c r="F5584" s="12">
        <v>1.2400000000000001E-4</v>
      </c>
    </row>
    <row r="5585" spans="1:6">
      <c r="A5585" s="10">
        <v>2022</v>
      </c>
      <c r="B5585" t="s">
        <v>1118</v>
      </c>
      <c r="C5585" t="s">
        <v>2411</v>
      </c>
      <c r="D5585" t="s">
        <v>2411</v>
      </c>
      <c r="E5585" s="10">
        <v>70620</v>
      </c>
      <c r="F5585" s="12">
        <v>4.9400000000000001E-5</v>
      </c>
    </row>
    <row r="5586" spans="1:6">
      <c r="A5586" s="10">
        <v>2022</v>
      </c>
      <c r="B5586" t="s">
        <v>1119</v>
      </c>
      <c r="C5586" t="s">
        <v>2412</v>
      </c>
      <c r="D5586" t="s">
        <v>2412</v>
      </c>
      <c r="E5586" s="10">
        <v>1456875</v>
      </c>
      <c r="F5586" s="12">
        <v>1.0189999999999999E-3</v>
      </c>
    </row>
    <row r="5587" spans="1:6">
      <c r="A5587" s="10">
        <v>2022</v>
      </c>
      <c r="B5587" t="s">
        <v>454</v>
      </c>
      <c r="C5587" t="s">
        <v>1947</v>
      </c>
      <c r="D5587" t="s">
        <v>1947</v>
      </c>
      <c r="E5587" s="10">
        <v>758408</v>
      </c>
      <c r="F5587" s="12">
        <v>5.3050000000000005E-4</v>
      </c>
    </row>
    <row r="5588" spans="1:6">
      <c r="A5588" s="10">
        <v>2022</v>
      </c>
      <c r="B5588" t="s">
        <v>1121</v>
      </c>
      <c r="C5588" t="s">
        <v>1949</v>
      </c>
      <c r="D5588" t="s">
        <v>1949</v>
      </c>
      <c r="E5588" s="10">
        <v>2984081</v>
      </c>
      <c r="F5588" s="12">
        <v>2.0872999999999998E-3</v>
      </c>
    </row>
    <row r="5589" spans="1:6">
      <c r="A5589" s="10">
        <v>2022</v>
      </c>
      <c r="B5589" t="s">
        <v>455</v>
      </c>
      <c r="C5589" t="s">
        <v>1950</v>
      </c>
      <c r="D5589" t="s">
        <v>1950</v>
      </c>
      <c r="E5589" s="10">
        <v>1575217</v>
      </c>
      <c r="F5589" s="12">
        <v>1.1018E-3</v>
      </c>
    </row>
    <row r="5590" spans="1:6">
      <c r="A5590" s="10">
        <v>2022</v>
      </c>
      <c r="B5590" t="s">
        <v>1122</v>
      </c>
      <c r="C5590" t="s">
        <v>1951</v>
      </c>
      <c r="D5590" t="s">
        <v>1951</v>
      </c>
      <c r="E5590" s="10">
        <v>50587</v>
      </c>
      <c r="F5590" s="12">
        <v>3.54E-5</v>
      </c>
    </row>
    <row r="5591" spans="1:6">
      <c r="A5591" s="10">
        <v>2022</v>
      </c>
      <c r="B5591" t="s">
        <v>1123</v>
      </c>
      <c r="C5591" t="s">
        <v>1952</v>
      </c>
      <c r="D5591" t="s">
        <v>1952</v>
      </c>
      <c r="E5591" s="10">
        <v>93993</v>
      </c>
      <c r="F5591" s="12">
        <v>6.5699999999999998E-5</v>
      </c>
    </row>
    <row r="5592" spans="1:6">
      <c r="A5592" s="10">
        <v>2022</v>
      </c>
      <c r="B5592" t="s">
        <v>1124</v>
      </c>
      <c r="C5592" t="s">
        <v>1953</v>
      </c>
      <c r="D5592" t="s">
        <v>1953</v>
      </c>
      <c r="E5592" s="10">
        <v>139467</v>
      </c>
      <c r="F5592" s="12">
        <v>9.7600000000000001E-5</v>
      </c>
    </row>
    <row r="5593" spans="1:6">
      <c r="A5593" s="10">
        <v>2022</v>
      </c>
      <c r="B5593" t="s">
        <v>1125</v>
      </c>
      <c r="C5593" t="s">
        <v>1954</v>
      </c>
      <c r="D5593" t="s">
        <v>1954</v>
      </c>
      <c r="E5593" s="10">
        <v>1358334</v>
      </c>
      <c r="F5593" s="12">
        <v>9.5009999999999995E-4</v>
      </c>
    </row>
    <row r="5594" spans="1:6">
      <c r="A5594" s="10">
        <v>2022</v>
      </c>
      <c r="B5594" t="s">
        <v>1245</v>
      </c>
      <c r="C5594" t="s">
        <v>1955</v>
      </c>
      <c r="D5594" t="s">
        <v>1955</v>
      </c>
      <c r="E5594" s="10">
        <v>190413</v>
      </c>
      <c r="F5594" s="12">
        <v>1.3320000000000001E-4</v>
      </c>
    </row>
    <row r="5595" spans="1:6">
      <c r="A5595" s="10">
        <v>2022</v>
      </c>
      <c r="B5595" t="s">
        <v>1126</v>
      </c>
      <c r="C5595" t="s">
        <v>1956</v>
      </c>
      <c r="D5595" t="s">
        <v>1956</v>
      </c>
      <c r="E5595" s="10">
        <v>136049</v>
      </c>
      <c r="F5595" s="12">
        <v>9.5199999999999997E-5</v>
      </c>
    </row>
    <row r="5596" spans="1:6">
      <c r="A5596" s="10">
        <v>2022</v>
      </c>
      <c r="B5596" t="s">
        <v>1127</v>
      </c>
      <c r="C5596" t="s">
        <v>2413</v>
      </c>
      <c r="D5596" t="s">
        <v>2413</v>
      </c>
      <c r="E5596" s="10">
        <v>2206714</v>
      </c>
      <c r="F5596" s="12">
        <v>1.5435E-3</v>
      </c>
    </row>
    <row r="5597" spans="1:6">
      <c r="A5597" s="10">
        <v>2022</v>
      </c>
      <c r="B5597" t="s">
        <v>456</v>
      </c>
      <c r="C5597" t="s">
        <v>1958</v>
      </c>
      <c r="D5597" t="s">
        <v>1958</v>
      </c>
      <c r="E5597" s="10">
        <v>432123</v>
      </c>
      <c r="F5597" s="12">
        <v>3.0229999999999998E-4</v>
      </c>
    </row>
    <row r="5598" spans="1:6">
      <c r="A5598" s="10">
        <v>2022</v>
      </c>
      <c r="B5598" t="s">
        <v>1128</v>
      </c>
      <c r="C5598" t="s">
        <v>1959</v>
      </c>
      <c r="D5598" t="s">
        <v>1959</v>
      </c>
      <c r="E5598" s="10">
        <v>138785</v>
      </c>
      <c r="F5598" s="12">
        <v>9.7100000000000002E-5</v>
      </c>
    </row>
    <row r="5599" spans="1:6">
      <c r="A5599" s="10">
        <v>2022</v>
      </c>
      <c r="B5599" t="s">
        <v>1129</v>
      </c>
      <c r="C5599" t="s">
        <v>1074</v>
      </c>
      <c r="D5599" t="s">
        <v>1074</v>
      </c>
      <c r="E5599" s="10"/>
    </row>
    <row r="5600" spans="1:6">
      <c r="A5600" s="10">
        <v>2022</v>
      </c>
      <c r="B5600" t="s">
        <v>1130</v>
      </c>
      <c r="C5600" t="s">
        <v>1075</v>
      </c>
      <c r="D5600" t="s">
        <v>1075</v>
      </c>
      <c r="E5600" s="10"/>
    </row>
    <row r="5601" spans="1:6">
      <c r="A5601" s="10">
        <v>2022</v>
      </c>
      <c r="B5601" t="s">
        <v>1131</v>
      </c>
      <c r="C5601" t="s">
        <v>1960</v>
      </c>
      <c r="D5601" t="s">
        <v>1960</v>
      </c>
      <c r="E5601" s="10">
        <v>16582</v>
      </c>
      <c r="F5601" s="12">
        <v>1.1600000000000001E-5</v>
      </c>
    </row>
    <row r="5602" spans="1:6">
      <c r="A5602" s="10">
        <v>2022</v>
      </c>
      <c r="B5602" t="s">
        <v>457</v>
      </c>
      <c r="C5602" t="s">
        <v>1961</v>
      </c>
      <c r="D5602" t="s">
        <v>1961</v>
      </c>
      <c r="E5602" s="10">
        <v>136358</v>
      </c>
      <c r="F5602" s="12">
        <v>9.5400000000000001E-5</v>
      </c>
    </row>
    <row r="5603" spans="1:6">
      <c r="A5603" s="10">
        <v>2022</v>
      </c>
      <c r="B5603" t="s">
        <v>1132</v>
      </c>
      <c r="C5603" t="s">
        <v>2389</v>
      </c>
      <c r="D5603" t="s">
        <v>2389</v>
      </c>
      <c r="E5603" s="10">
        <v>104354</v>
      </c>
      <c r="F5603" s="12">
        <v>7.2999999999999999E-5</v>
      </c>
    </row>
    <row r="5604" spans="1:6">
      <c r="A5604" s="10">
        <v>2022</v>
      </c>
      <c r="B5604" t="s">
        <v>1133</v>
      </c>
      <c r="C5604" t="s">
        <v>1962</v>
      </c>
      <c r="D5604" t="s">
        <v>1962</v>
      </c>
      <c r="E5604" s="10">
        <v>76838</v>
      </c>
      <c r="F5604" s="12">
        <v>5.3699999999999997E-5</v>
      </c>
    </row>
    <row r="5605" spans="1:6">
      <c r="A5605" s="10">
        <v>2022</v>
      </c>
      <c r="B5605" t="s">
        <v>1994</v>
      </c>
      <c r="C5605" t="s">
        <v>1963</v>
      </c>
      <c r="D5605" t="s">
        <v>1963</v>
      </c>
      <c r="E5605" s="10">
        <v>73670</v>
      </c>
      <c r="F5605" s="12">
        <v>5.1499999999999998E-5</v>
      </c>
    </row>
    <row r="5606" spans="1:6">
      <c r="A5606" s="10">
        <v>2022</v>
      </c>
      <c r="B5606" t="s">
        <v>1246</v>
      </c>
      <c r="C5606" t="s">
        <v>1964</v>
      </c>
      <c r="D5606" t="s">
        <v>1964</v>
      </c>
      <c r="E5606" s="10">
        <v>131763</v>
      </c>
      <c r="F5606" s="12">
        <v>9.2200000000000005E-5</v>
      </c>
    </row>
    <row r="5607" spans="1:6">
      <c r="A5607" s="10">
        <v>2022</v>
      </c>
      <c r="B5607" t="s">
        <v>1135</v>
      </c>
      <c r="C5607" t="s">
        <v>1965</v>
      </c>
      <c r="D5607" t="s">
        <v>1965</v>
      </c>
      <c r="E5607" s="10">
        <v>291422</v>
      </c>
      <c r="F5607" s="12">
        <v>2.0379999999999999E-4</v>
      </c>
    </row>
    <row r="5608" spans="1:6">
      <c r="A5608" s="10">
        <v>2022</v>
      </c>
      <c r="B5608" t="s">
        <v>1136</v>
      </c>
      <c r="C5608" t="s">
        <v>1966</v>
      </c>
      <c r="D5608" t="s">
        <v>1966</v>
      </c>
      <c r="E5608" s="10">
        <v>647216</v>
      </c>
      <c r="F5608" s="12">
        <v>4.527E-4</v>
      </c>
    </row>
    <row r="5609" spans="1:6">
      <c r="A5609" s="10">
        <v>2022</v>
      </c>
      <c r="B5609" t="s">
        <v>458</v>
      </c>
      <c r="C5609" t="s">
        <v>1967</v>
      </c>
      <c r="D5609" t="s">
        <v>1967</v>
      </c>
      <c r="E5609" s="10">
        <v>160856</v>
      </c>
      <c r="F5609" s="12">
        <v>1.125E-4</v>
      </c>
    </row>
    <row r="5610" spans="1:6">
      <c r="A5610" s="10">
        <v>2022</v>
      </c>
      <c r="B5610" t="s">
        <v>1137</v>
      </c>
      <c r="C5610" t="s">
        <v>1968</v>
      </c>
      <c r="D5610" t="s">
        <v>1968</v>
      </c>
      <c r="E5610" s="10">
        <v>254758</v>
      </c>
      <c r="F5610" s="12">
        <v>1.7819999999999999E-4</v>
      </c>
    </row>
    <row r="5611" spans="1:6">
      <c r="A5611" s="10">
        <v>2022</v>
      </c>
      <c r="B5611" t="s">
        <v>1247</v>
      </c>
      <c r="C5611" t="s">
        <v>1969</v>
      </c>
      <c r="D5611" t="s">
        <v>1969</v>
      </c>
      <c r="E5611" s="10">
        <v>35181</v>
      </c>
      <c r="F5611" s="12">
        <v>2.4600000000000002E-5</v>
      </c>
    </row>
    <row r="5612" spans="1:6">
      <c r="A5612" s="10">
        <v>2022</v>
      </c>
      <c r="B5612" t="s">
        <v>1138</v>
      </c>
      <c r="C5612" t="s">
        <v>1083</v>
      </c>
      <c r="D5612" t="s">
        <v>1083</v>
      </c>
      <c r="E5612" s="10"/>
    </row>
    <row r="5613" spans="1:6">
      <c r="A5613" s="10">
        <v>2022</v>
      </c>
      <c r="B5613" t="s">
        <v>96</v>
      </c>
      <c r="C5613" t="s">
        <v>1970</v>
      </c>
      <c r="D5613" t="s">
        <v>1970</v>
      </c>
      <c r="E5613" s="10">
        <v>22795</v>
      </c>
      <c r="F5613" s="12">
        <v>1.59E-5</v>
      </c>
    </row>
    <row r="5614" spans="1:6">
      <c r="A5614" s="10">
        <v>2022</v>
      </c>
      <c r="B5614" t="s">
        <v>1139</v>
      </c>
      <c r="C5614" t="s">
        <v>1084</v>
      </c>
      <c r="D5614" t="s">
        <v>1084</v>
      </c>
      <c r="E5614" s="10">
        <v>56172</v>
      </c>
      <c r="F5614" s="12">
        <v>3.93E-5</v>
      </c>
    </row>
    <row r="5615" spans="1:6">
      <c r="A5615" s="10">
        <v>2022</v>
      </c>
      <c r="B5615" t="s">
        <v>1141</v>
      </c>
      <c r="C5615" t="s">
        <v>1971</v>
      </c>
      <c r="D5615" t="s">
        <v>1971</v>
      </c>
      <c r="E5615" s="10">
        <v>22886</v>
      </c>
      <c r="F5615" s="12">
        <v>1.5999999999999999E-5</v>
      </c>
    </row>
    <row r="5616" spans="1:6">
      <c r="A5616" s="10">
        <v>2022</v>
      </c>
      <c r="B5616" t="s">
        <v>1142</v>
      </c>
      <c r="C5616" t="s">
        <v>1087</v>
      </c>
      <c r="D5616" t="s">
        <v>1087</v>
      </c>
      <c r="E5616" s="10">
        <v>230378</v>
      </c>
      <c r="F5616" s="12">
        <v>1.6110000000000001E-4</v>
      </c>
    </row>
    <row r="5617" spans="1:6">
      <c r="A5617" s="10">
        <v>2022</v>
      </c>
      <c r="B5617" t="s">
        <v>1143</v>
      </c>
      <c r="C5617" t="s">
        <v>1088</v>
      </c>
      <c r="D5617" t="s">
        <v>1088</v>
      </c>
      <c r="E5617" s="10"/>
    </row>
    <row r="5618" spans="1:6">
      <c r="A5618" s="10">
        <v>2022</v>
      </c>
      <c r="B5618" t="s">
        <v>1144</v>
      </c>
      <c r="C5618" t="s">
        <v>1089</v>
      </c>
      <c r="D5618" t="s">
        <v>1089</v>
      </c>
      <c r="E5618" s="10"/>
    </row>
    <row r="5619" spans="1:6">
      <c r="A5619" s="10">
        <v>2022</v>
      </c>
      <c r="B5619" t="s">
        <v>1146</v>
      </c>
      <c r="C5619" t="s">
        <v>1973</v>
      </c>
      <c r="D5619" t="s">
        <v>1973</v>
      </c>
      <c r="E5619" s="10">
        <v>10494124</v>
      </c>
      <c r="F5619" s="12">
        <v>7.3401999999999998E-3</v>
      </c>
    </row>
    <row r="5620" spans="1:6">
      <c r="A5620" s="10">
        <v>2022</v>
      </c>
      <c r="B5620" t="s">
        <v>1147</v>
      </c>
      <c r="C5620" t="s">
        <v>1092</v>
      </c>
      <c r="D5620" t="s">
        <v>1092</v>
      </c>
      <c r="E5620" s="10">
        <v>4871</v>
      </c>
      <c r="F5620" s="12">
        <v>3.4000000000000001E-6</v>
      </c>
    </row>
    <row r="5621" spans="1:6">
      <c r="A5621" s="10">
        <v>2022</v>
      </c>
      <c r="B5621" t="s">
        <v>1148</v>
      </c>
      <c r="C5621" t="s">
        <v>1974</v>
      </c>
      <c r="D5621" t="s">
        <v>1974</v>
      </c>
      <c r="E5621" s="10">
        <v>257546</v>
      </c>
      <c r="F5621" s="12">
        <v>1.8009999999999999E-4</v>
      </c>
    </row>
    <row r="5622" spans="1:6">
      <c r="A5622" s="10">
        <v>2022</v>
      </c>
      <c r="B5622" t="s">
        <v>1248</v>
      </c>
      <c r="C5622" t="s">
        <v>1975</v>
      </c>
      <c r="D5622" t="s">
        <v>1975</v>
      </c>
      <c r="E5622" s="10">
        <v>82539</v>
      </c>
      <c r="F5622" s="12">
        <v>5.77E-5</v>
      </c>
    </row>
    <row r="5623" spans="1:6">
      <c r="A5623" s="10">
        <v>2022</v>
      </c>
      <c r="B5623" t="s">
        <v>1149</v>
      </c>
      <c r="C5623" t="s">
        <v>1094</v>
      </c>
      <c r="D5623" t="s">
        <v>1094</v>
      </c>
      <c r="E5623" s="10">
        <v>304617</v>
      </c>
      <c r="F5623" s="12">
        <v>2.131E-4</v>
      </c>
    </row>
    <row r="5624" spans="1:6">
      <c r="A5624" s="10">
        <v>2022</v>
      </c>
      <c r="B5624" t="s">
        <v>1150</v>
      </c>
      <c r="C5624" t="s">
        <v>1976</v>
      </c>
      <c r="D5624" t="s">
        <v>1976</v>
      </c>
      <c r="E5624" s="10">
        <v>208925</v>
      </c>
      <c r="F5624" s="12">
        <v>1.461E-4</v>
      </c>
    </row>
    <row r="5625" spans="1:6">
      <c r="A5625" s="10">
        <v>2022</v>
      </c>
      <c r="B5625" t="s">
        <v>459</v>
      </c>
      <c r="C5625" t="s">
        <v>1977</v>
      </c>
      <c r="D5625" t="s">
        <v>1977</v>
      </c>
      <c r="E5625" s="10">
        <v>5714770</v>
      </c>
      <c r="F5625" s="12">
        <v>3.9972999999999996E-3</v>
      </c>
    </row>
    <row r="5626" spans="1:6">
      <c r="A5626" s="10">
        <v>2022</v>
      </c>
      <c r="B5626" t="s">
        <v>1152</v>
      </c>
      <c r="C5626" t="s">
        <v>1979</v>
      </c>
      <c r="D5626" t="s">
        <v>1979</v>
      </c>
      <c r="E5626" s="10">
        <v>1394542</v>
      </c>
      <c r="F5626" s="12">
        <v>9.7539999999999996E-4</v>
      </c>
    </row>
    <row r="5627" spans="1:6">
      <c r="A5627" s="10">
        <v>2022</v>
      </c>
      <c r="B5627" t="s">
        <v>1249</v>
      </c>
      <c r="C5627" t="s">
        <v>1980</v>
      </c>
      <c r="D5627" t="s">
        <v>1980</v>
      </c>
      <c r="E5627" s="10">
        <v>132147</v>
      </c>
      <c r="F5627" s="12">
        <v>9.2399999999999996E-5</v>
      </c>
    </row>
    <row r="5628" spans="1:6">
      <c r="A5628" s="10">
        <v>2022</v>
      </c>
      <c r="B5628" t="s">
        <v>1153</v>
      </c>
      <c r="C5628" t="s">
        <v>1981</v>
      </c>
      <c r="D5628" t="s">
        <v>1981</v>
      </c>
      <c r="E5628" s="10">
        <v>181902</v>
      </c>
      <c r="F5628" s="12">
        <v>1.272E-4</v>
      </c>
    </row>
    <row r="5629" spans="1:6">
      <c r="A5629" s="10">
        <v>2022</v>
      </c>
      <c r="B5629" t="s">
        <v>1154</v>
      </c>
      <c r="C5629" t="s">
        <v>1982</v>
      </c>
      <c r="D5629" t="s">
        <v>1982</v>
      </c>
      <c r="E5629" s="10">
        <v>9979282</v>
      </c>
      <c r="F5629" s="12">
        <v>6.9801000000000004E-3</v>
      </c>
    </row>
    <row r="5630" spans="1:6">
      <c r="A5630" s="10">
        <v>2022</v>
      </c>
      <c r="B5630" t="s">
        <v>1209</v>
      </c>
      <c r="C5630" t="s">
        <v>1983</v>
      </c>
      <c r="D5630" t="s">
        <v>1983</v>
      </c>
      <c r="E5630" s="10">
        <v>9208837</v>
      </c>
      <c r="F5630" s="12">
        <v>6.4412000000000002E-3</v>
      </c>
    </row>
    <row r="5631" spans="1:6">
      <c r="A5631" s="10">
        <v>2022</v>
      </c>
      <c r="B5631" t="s">
        <v>460</v>
      </c>
      <c r="C5631" t="s">
        <v>1984</v>
      </c>
      <c r="D5631" t="s">
        <v>1984</v>
      </c>
      <c r="E5631" s="10">
        <v>10697562</v>
      </c>
      <c r="F5631" s="12">
        <v>7.4824999999999996E-3</v>
      </c>
    </row>
    <row r="5632" spans="1:6">
      <c r="A5632" s="10">
        <v>2022</v>
      </c>
      <c r="B5632" t="s">
        <v>1210</v>
      </c>
      <c r="C5632" t="s">
        <v>1985</v>
      </c>
      <c r="D5632" t="s">
        <v>1985</v>
      </c>
      <c r="E5632" s="10">
        <v>1001630</v>
      </c>
      <c r="F5632" s="12">
        <v>7.0060000000000001E-4</v>
      </c>
    </row>
    <row r="5633" spans="1:6">
      <c r="A5633" s="10">
        <v>2022</v>
      </c>
      <c r="B5633" t="s">
        <v>1250</v>
      </c>
      <c r="C5633" t="s">
        <v>1986</v>
      </c>
      <c r="D5633" t="s">
        <v>1986</v>
      </c>
      <c r="E5633" s="10">
        <v>227258</v>
      </c>
      <c r="F5633" s="12">
        <v>1.5899999999999999E-4</v>
      </c>
    </row>
    <row r="5634" spans="1:6">
      <c r="A5634" s="10">
        <v>2022</v>
      </c>
      <c r="B5634" t="s">
        <v>1211</v>
      </c>
      <c r="C5634" t="s">
        <v>1157</v>
      </c>
      <c r="D5634" t="s">
        <v>1157</v>
      </c>
      <c r="E5634" s="10">
        <v>4097</v>
      </c>
      <c r="F5634" s="12">
        <v>2.9000000000000002E-6</v>
      </c>
    </row>
    <row r="5635" spans="1:6">
      <c r="A5635" s="10">
        <v>2022</v>
      </c>
      <c r="B5635" t="s">
        <v>1483</v>
      </c>
      <c r="C5635" t="s">
        <v>1482</v>
      </c>
      <c r="D5635" t="s">
        <v>1482</v>
      </c>
      <c r="E5635" s="10">
        <v>92312</v>
      </c>
      <c r="F5635" s="12">
        <v>6.4599999999999998E-5</v>
      </c>
    </row>
    <row r="5636" spans="1:6">
      <c r="A5636" s="10">
        <v>2022</v>
      </c>
      <c r="B5636" t="s">
        <v>1212</v>
      </c>
      <c r="C5636" t="s">
        <v>1987</v>
      </c>
      <c r="D5636" t="s">
        <v>1987</v>
      </c>
      <c r="E5636" s="10">
        <v>1907209</v>
      </c>
      <c r="F5636" s="12">
        <v>1.3339999999999999E-3</v>
      </c>
    </row>
    <row r="5637" spans="1:6">
      <c r="A5637" s="10">
        <v>2022</v>
      </c>
      <c r="B5637" t="s">
        <v>1213</v>
      </c>
      <c r="C5637" t="s">
        <v>1988</v>
      </c>
      <c r="D5637" t="s">
        <v>1988</v>
      </c>
      <c r="E5637" s="10">
        <v>9487241</v>
      </c>
      <c r="F5637" s="12">
        <v>6.6360000000000004E-3</v>
      </c>
    </row>
    <row r="5638" spans="1:6">
      <c r="A5638" s="10">
        <v>2022</v>
      </c>
      <c r="B5638" t="s">
        <v>461</v>
      </c>
      <c r="C5638" t="s">
        <v>1989</v>
      </c>
      <c r="D5638" t="s">
        <v>1989</v>
      </c>
      <c r="E5638" s="10">
        <v>1242271</v>
      </c>
      <c r="F5638" s="12">
        <v>8.6890000000000003E-4</v>
      </c>
    </row>
    <row r="5639" spans="1:6">
      <c r="A5639" s="10">
        <v>2022</v>
      </c>
      <c r="B5639" t="s">
        <v>1214</v>
      </c>
      <c r="C5639" t="s">
        <v>1990</v>
      </c>
      <c r="D5639" t="s">
        <v>1990</v>
      </c>
      <c r="E5639" s="10">
        <v>661280</v>
      </c>
      <c r="F5639" s="12">
        <v>4.6250000000000002E-4</v>
      </c>
    </row>
    <row r="5640" spans="1:6">
      <c r="A5640" s="10">
        <v>2022</v>
      </c>
      <c r="B5640" t="s">
        <v>1215</v>
      </c>
      <c r="C5640" t="s">
        <v>1991</v>
      </c>
      <c r="D5640" t="s">
        <v>2393</v>
      </c>
      <c r="E5640" s="10">
        <v>636273</v>
      </c>
      <c r="F5640" s="12">
        <v>4.4499999999999997E-4</v>
      </c>
    </row>
    <row r="5641" spans="1:6">
      <c r="A5641" s="10">
        <v>2022</v>
      </c>
      <c r="B5641" t="s">
        <v>462</v>
      </c>
      <c r="C5641" t="s">
        <v>1992</v>
      </c>
      <c r="D5641" t="s">
        <v>1992</v>
      </c>
      <c r="E5641" s="10">
        <v>95420</v>
      </c>
      <c r="F5641" s="12">
        <v>6.6699999999999995E-5</v>
      </c>
    </row>
    <row r="5642" spans="1:6">
      <c r="A5642" s="10">
        <v>2022</v>
      </c>
      <c r="B5642" t="s">
        <v>1217</v>
      </c>
      <c r="C5642" t="s">
        <v>1993</v>
      </c>
      <c r="D5642" t="s">
        <v>1993</v>
      </c>
      <c r="E5642" s="10">
        <v>105862</v>
      </c>
      <c r="F5642" s="12">
        <v>7.3999999999999996E-5</v>
      </c>
    </row>
    <row r="5643" spans="1:6">
      <c r="A5643" s="10">
        <v>2022</v>
      </c>
      <c r="B5643" t="s">
        <v>1218</v>
      </c>
      <c r="C5643" t="s">
        <v>1995</v>
      </c>
      <c r="D5643" t="s">
        <v>1995</v>
      </c>
      <c r="E5643" s="10">
        <v>109984</v>
      </c>
      <c r="F5643" s="12">
        <v>7.6899999999999999E-5</v>
      </c>
    </row>
    <row r="5644" spans="1:6">
      <c r="A5644" s="10">
        <v>2022</v>
      </c>
      <c r="B5644" t="s">
        <v>1255</v>
      </c>
      <c r="C5644" t="s">
        <v>1201</v>
      </c>
      <c r="D5644" t="s">
        <v>1201</v>
      </c>
      <c r="E5644" s="10">
        <v>7542</v>
      </c>
      <c r="F5644" s="12">
        <v>5.3000000000000001E-6</v>
      </c>
    </row>
    <row r="5645" spans="1:6">
      <c r="A5645" s="10">
        <v>2022</v>
      </c>
      <c r="B5645" t="s">
        <v>1256</v>
      </c>
      <c r="C5645" t="s">
        <v>1202</v>
      </c>
      <c r="D5645" t="s">
        <v>1202</v>
      </c>
      <c r="E5645" s="10">
        <v>54849</v>
      </c>
      <c r="F5645" s="12">
        <v>3.8399999999999998E-5</v>
      </c>
    </row>
    <row r="5646" spans="1:6">
      <c r="A5646" s="10">
        <v>2022</v>
      </c>
      <c r="B5646" t="s">
        <v>1257</v>
      </c>
      <c r="C5646" t="s">
        <v>1996</v>
      </c>
      <c r="D5646" t="s">
        <v>1996</v>
      </c>
      <c r="E5646" s="10">
        <v>1461232</v>
      </c>
      <c r="F5646" s="12">
        <v>1.0221E-3</v>
      </c>
    </row>
    <row r="5647" spans="1:6">
      <c r="A5647" s="10">
        <v>2022</v>
      </c>
      <c r="B5647" t="s">
        <v>1258</v>
      </c>
      <c r="C5647" t="s">
        <v>1204</v>
      </c>
      <c r="D5647" t="s">
        <v>1204</v>
      </c>
      <c r="E5647" s="10">
        <v>1480036</v>
      </c>
      <c r="F5647" s="12">
        <v>1.0352E-3</v>
      </c>
    </row>
    <row r="5648" spans="1:6">
      <c r="A5648" s="10">
        <v>2022</v>
      </c>
      <c r="B5648" t="s">
        <v>1259</v>
      </c>
      <c r="C5648" t="s">
        <v>1205</v>
      </c>
      <c r="D5648" t="s">
        <v>1205</v>
      </c>
      <c r="E5648" s="10">
        <v>350747</v>
      </c>
      <c r="F5648" s="12">
        <v>2.453E-4</v>
      </c>
    </row>
    <row r="5649" spans="1:6">
      <c r="A5649" s="10">
        <v>2022</v>
      </c>
      <c r="B5649" t="s">
        <v>1260</v>
      </c>
      <c r="C5649" t="s">
        <v>1206</v>
      </c>
      <c r="D5649" t="s">
        <v>1206</v>
      </c>
      <c r="E5649" s="10">
        <v>82395</v>
      </c>
      <c r="F5649" s="12">
        <v>5.7599999999999997E-5</v>
      </c>
    </row>
    <row r="5650" spans="1:6">
      <c r="A5650" s="10">
        <v>2022</v>
      </c>
      <c r="B5650" t="s">
        <v>1261</v>
      </c>
      <c r="C5650" t="s">
        <v>1997</v>
      </c>
      <c r="D5650" t="s">
        <v>1997</v>
      </c>
      <c r="E5650" s="10">
        <v>35281996</v>
      </c>
      <c r="F5650" s="12">
        <v>2.46784E-2</v>
      </c>
    </row>
    <row r="5651" spans="1:6">
      <c r="A5651" s="10">
        <v>2022</v>
      </c>
      <c r="B5651" t="s">
        <v>1262</v>
      </c>
      <c r="C5651" t="s">
        <v>1208</v>
      </c>
      <c r="D5651" t="s">
        <v>1208</v>
      </c>
      <c r="E5651" s="10">
        <v>63676</v>
      </c>
      <c r="F5651" s="12">
        <v>4.4499999999999997E-5</v>
      </c>
    </row>
    <row r="5652" spans="1:6">
      <c r="A5652" s="10">
        <v>2022</v>
      </c>
      <c r="B5652" t="s">
        <v>1251</v>
      </c>
      <c r="C5652" t="s">
        <v>1998</v>
      </c>
      <c r="D5652" t="s">
        <v>1998</v>
      </c>
      <c r="E5652" s="10">
        <v>28375</v>
      </c>
      <c r="F5652" s="12">
        <v>1.98E-5</v>
      </c>
    </row>
    <row r="5653" spans="1:6">
      <c r="A5653" s="10">
        <v>2022</v>
      </c>
      <c r="B5653" t="s">
        <v>1311</v>
      </c>
      <c r="C5653" t="s">
        <v>2414</v>
      </c>
      <c r="D5653" t="s">
        <v>2414</v>
      </c>
      <c r="E5653" s="10">
        <v>1082370</v>
      </c>
      <c r="F5653" s="12">
        <v>7.5710000000000003E-4</v>
      </c>
    </row>
    <row r="5654" spans="1:6">
      <c r="A5654" s="10">
        <v>2022</v>
      </c>
      <c r="B5654" t="s">
        <v>1312</v>
      </c>
      <c r="C5654" t="s">
        <v>2000</v>
      </c>
      <c r="D5654" t="s">
        <v>2000</v>
      </c>
      <c r="E5654" s="10">
        <v>53581442</v>
      </c>
      <c r="F5654" s="12">
        <v>3.7478200000000003E-2</v>
      </c>
    </row>
    <row r="5655" spans="1:6">
      <c r="A5655" s="10">
        <v>2022</v>
      </c>
      <c r="B5655" t="s">
        <v>1313</v>
      </c>
      <c r="C5655" t="s">
        <v>2001</v>
      </c>
      <c r="D5655" t="s">
        <v>2001</v>
      </c>
      <c r="E5655" s="10">
        <v>10515302</v>
      </c>
      <c r="F5655" s="12">
        <v>7.3550999999999998E-3</v>
      </c>
    </row>
    <row r="5656" spans="1:6">
      <c r="A5656" s="10">
        <v>2022</v>
      </c>
      <c r="B5656" t="s">
        <v>1314</v>
      </c>
      <c r="C5656" t="s">
        <v>2002</v>
      </c>
      <c r="D5656" t="s">
        <v>2002</v>
      </c>
      <c r="E5656" s="10">
        <v>80631</v>
      </c>
      <c r="F5656" s="12">
        <v>5.6400000000000002E-5</v>
      </c>
    </row>
    <row r="5657" spans="1:6">
      <c r="A5657" s="10">
        <v>2022</v>
      </c>
      <c r="B5657" t="s">
        <v>1035</v>
      </c>
      <c r="C5657" t="s">
        <v>2003</v>
      </c>
      <c r="D5657" t="s">
        <v>2003</v>
      </c>
      <c r="E5657" s="10">
        <v>331252</v>
      </c>
      <c r="F5657" s="12">
        <v>2.3169999999999999E-4</v>
      </c>
    </row>
    <row r="5658" spans="1:6">
      <c r="A5658" s="10">
        <v>2022</v>
      </c>
      <c r="B5658" t="s">
        <v>1315</v>
      </c>
      <c r="C5658" t="s">
        <v>2394</v>
      </c>
      <c r="D5658" t="s">
        <v>2394</v>
      </c>
      <c r="E5658" s="10">
        <v>48186</v>
      </c>
      <c r="F5658" s="12">
        <v>3.3699999999999999E-5</v>
      </c>
    </row>
    <row r="5659" spans="1:6">
      <c r="A5659" s="10">
        <v>2022</v>
      </c>
      <c r="B5659" t="s">
        <v>1033</v>
      </c>
      <c r="C5659" t="s">
        <v>2005</v>
      </c>
      <c r="D5659" t="s">
        <v>2005</v>
      </c>
      <c r="E5659" s="10">
        <v>3325423</v>
      </c>
      <c r="F5659" s="12">
        <v>2.3259999999999999E-3</v>
      </c>
    </row>
    <row r="5660" spans="1:6">
      <c r="A5660" s="10">
        <v>2022</v>
      </c>
      <c r="B5660" t="s">
        <v>1316</v>
      </c>
      <c r="C5660" t="s">
        <v>2459</v>
      </c>
      <c r="D5660" t="s">
        <v>2006</v>
      </c>
      <c r="E5660" s="10">
        <v>422441</v>
      </c>
      <c r="F5660" s="12">
        <v>2.9550000000000003E-4</v>
      </c>
    </row>
    <row r="5661" spans="1:6">
      <c r="A5661" s="10">
        <v>2022</v>
      </c>
      <c r="B5661" t="s">
        <v>1317</v>
      </c>
      <c r="C5661" t="s">
        <v>2007</v>
      </c>
      <c r="D5661" t="s">
        <v>2007</v>
      </c>
      <c r="E5661" s="10">
        <v>127210</v>
      </c>
      <c r="F5661" s="12">
        <v>8.8999999999999995E-5</v>
      </c>
    </row>
    <row r="5662" spans="1:6">
      <c r="A5662" s="10">
        <v>2022</v>
      </c>
      <c r="B5662" t="s">
        <v>1319</v>
      </c>
      <c r="C5662" t="s">
        <v>1271</v>
      </c>
      <c r="D5662" t="s">
        <v>1271</v>
      </c>
      <c r="E5662" s="10">
        <v>41130</v>
      </c>
      <c r="F5662" s="12">
        <v>2.8799999999999999E-5</v>
      </c>
    </row>
    <row r="5663" spans="1:6">
      <c r="A5663" s="10">
        <v>2022</v>
      </c>
      <c r="B5663" t="s">
        <v>1320</v>
      </c>
      <c r="C5663" t="s">
        <v>2009</v>
      </c>
      <c r="D5663" t="s">
        <v>2009</v>
      </c>
      <c r="E5663" s="10">
        <v>134327</v>
      </c>
      <c r="F5663" s="12">
        <v>9.3999999999999994E-5</v>
      </c>
    </row>
    <row r="5664" spans="1:6">
      <c r="A5664" s="10">
        <v>2022</v>
      </c>
      <c r="B5664" t="s">
        <v>1321</v>
      </c>
      <c r="C5664" t="s">
        <v>1273</v>
      </c>
      <c r="D5664" t="s">
        <v>1273</v>
      </c>
      <c r="E5664" s="10"/>
    </row>
    <row r="5665" spans="1:6">
      <c r="A5665" s="10">
        <v>2022</v>
      </c>
      <c r="B5665" t="s">
        <v>1323</v>
      </c>
      <c r="C5665" t="s">
        <v>2011</v>
      </c>
      <c r="D5665" t="s">
        <v>2011</v>
      </c>
      <c r="E5665" s="10">
        <v>15614309</v>
      </c>
      <c r="F5665" s="12">
        <v>1.09216E-2</v>
      </c>
    </row>
    <row r="5666" spans="1:6">
      <c r="A5666" s="10">
        <v>2022</v>
      </c>
      <c r="B5666" t="s">
        <v>1325</v>
      </c>
      <c r="C5666" t="s">
        <v>2395</v>
      </c>
      <c r="D5666" t="s">
        <v>2395</v>
      </c>
      <c r="E5666" s="10">
        <v>150171</v>
      </c>
      <c r="F5666" s="12">
        <v>1.05E-4</v>
      </c>
    </row>
    <row r="5667" spans="1:6">
      <c r="A5667" s="10">
        <v>2022</v>
      </c>
      <c r="B5667" t="s">
        <v>1252</v>
      </c>
      <c r="C5667" t="s">
        <v>2013</v>
      </c>
      <c r="D5667" t="s">
        <v>2013</v>
      </c>
      <c r="E5667" s="10">
        <v>138728</v>
      </c>
      <c r="F5667" s="12">
        <v>9.7E-5</v>
      </c>
    </row>
    <row r="5668" spans="1:6">
      <c r="A5668" s="10">
        <v>2022</v>
      </c>
      <c r="B5668" t="s">
        <v>1326</v>
      </c>
      <c r="C5668" t="s">
        <v>2014</v>
      </c>
      <c r="D5668" t="s">
        <v>2014</v>
      </c>
      <c r="E5668" s="10">
        <v>108770</v>
      </c>
      <c r="F5668" s="12">
        <v>7.6100000000000007E-5</v>
      </c>
    </row>
    <row r="5669" spans="1:6">
      <c r="A5669" s="10">
        <v>2022</v>
      </c>
      <c r="B5669" t="s">
        <v>1327</v>
      </c>
      <c r="C5669" t="s">
        <v>1279</v>
      </c>
      <c r="D5669" t="s">
        <v>1279</v>
      </c>
      <c r="E5669" s="10">
        <v>1212405</v>
      </c>
      <c r="F5669" s="12">
        <v>8.4800000000000001E-4</v>
      </c>
    </row>
    <row r="5670" spans="1:6">
      <c r="A5670" s="10">
        <v>2022</v>
      </c>
      <c r="B5670" t="s">
        <v>1328</v>
      </c>
      <c r="C5670" t="s">
        <v>1484</v>
      </c>
      <c r="D5670" t="s">
        <v>1484</v>
      </c>
      <c r="E5670" s="10">
        <v>49615</v>
      </c>
      <c r="F5670" s="12">
        <v>3.4700000000000003E-5</v>
      </c>
    </row>
    <row r="5671" spans="1:6">
      <c r="A5671" s="10">
        <v>2022</v>
      </c>
      <c r="B5671" t="s">
        <v>1329</v>
      </c>
      <c r="C5671" t="s">
        <v>1485</v>
      </c>
      <c r="D5671" t="s">
        <v>1485</v>
      </c>
      <c r="E5671" s="10">
        <v>1378250</v>
      </c>
      <c r="F5671" s="12">
        <v>9.6400000000000001E-4</v>
      </c>
    </row>
    <row r="5672" spans="1:6">
      <c r="A5672" s="10">
        <v>2022</v>
      </c>
      <c r="B5672" t="s">
        <v>1332</v>
      </c>
      <c r="C5672" t="s">
        <v>1284</v>
      </c>
      <c r="D5672" t="s">
        <v>1284</v>
      </c>
      <c r="E5672" s="10">
        <v>21880</v>
      </c>
      <c r="F5672" s="12">
        <v>1.5299999999999999E-5</v>
      </c>
    </row>
    <row r="5673" spans="1:6">
      <c r="A5673" s="10">
        <v>2022</v>
      </c>
      <c r="B5673" t="s">
        <v>1333</v>
      </c>
      <c r="C5673" t="s">
        <v>2015</v>
      </c>
      <c r="D5673" t="s">
        <v>2396</v>
      </c>
      <c r="E5673" s="10">
        <v>6488</v>
      </c>
      <c r="F5673" s="12">
        <v>4.5000000000000001E-6</v>
      </c>
    </row>
    <row r="5674" spans="1:6">
      <c r="A5674" s="10">
        <v>2022</v>
      </c>
      <c r="B5674" t="s">
        <v>1334</v>
      </c>
      <c r="C5674" t="s">
        <v>2016</v>
      </c>
      <c r="D5674" t="s">
        <v>2016</v>
      </c>
      <c r="E5674" s="10">
        <v>1679780</v>
      </c>
      <c r="F5674" s="12">
        <v>1.1749E-3</v>
      </c>
    </row>
    <row r="5675" spans="1:6">
      <c r="A5675" s="10">
        <v>2022</v>
      </c>
      <c r="B5675" t="s">
        <v>1335</v>
      </c>
      <c r="C5675" t="s">
        <v>2017</v>
      </c>
      <c r="D5675" t="s">
        <v>2017</v>
      </c>
      <c r="E5675" s="10">
        <v>836811</v>
      </c>
      <c r="F5675" s="12">
        <v>5.8529999999999997E-4</v>
      </c>
    </row>
    <row r="5676" spans="1:6">
      <c r="A5676" s="10">
        <v>2022</v>
      </c>
      <c r="B5676" t="s">
        <v>1253</v>
      </c>
      <c r="C5676" t="s">
        <v>2018</v>
      </c>
      <c r="D5676" t="s">
        <v>2018</v>
      </c>
      <c r="E5676" s="10">
        <v>409774</v>
      </c>
      <c r="F5676" s="12">
        <v>2.8659999999999997E-4</v>
      </c>
    </row>
    <row r="5677" spans="1:6">
      <c r="A5677" s="10">
        <v>2022</v>
      </c>
      <c r="B5677" t="s">
        <v>1336</v>
      </c>
      <c r="C5677" t="s">
        <v>2019</v>
      </c>
      <c r="D5677" t="s">
        <v>2019</v>
      </c>
      <c r="E5677" s="10">
        <v>803609</v>
      </c>
      <c r="F5677" s="12">
        <v>5.6209999999999995E-4</v>
      </c>
    </row>
    <row r="5678" spans="1:6">
      <c r="A5678" s="10">
        <v>2022</v>
      </c>
      <c r="B5678" t="s">
        <v>463</v>
      </c>
      <c r="C5678" t="s">
        <v>2020</v>
      </c>
      <c r="D5678" t="s">
        <v>2020</v>
      </c>
      <c r="E5678" s="10">
        <v>223872</v>
      </c>
      <c r="F5678" s="12">
        <v>1.5660000000000001E-4</v>
      </c>
    </row>
    <row r="5679" spans="1:6">
      <c r="A5679" s="10">
        <v>2022</v>
      </c>
      <c r="B5679" t="s">
        <v>1337</v>
      </c>
      <c r="C5679" t="s">
        <v>2021</v>
      </c>
      <c r="D5679" t="s">
        <v>2021</v>
      </c>
      <c r="E5679" s="10">
        <v>538911</v>
      </c>
      <c r="F5679" s="12">
        <v>3.769E-4</v>
      </c>
    </row>
    <row r="5680" spans="1:6">
      <c r="A5680" s="10">
        <v>2022</v>
      </c>
      <c r="B5680" t="s">
        <v>464</v>
      </c>
      <c r="C5680" t="s">
        <v>2022</v>
      </c>
      <c r="D5680" t="s">
        <v>2022</v>
      </c>
      <c r="E5680" s="10">
        <v>357127</v>
      </c>
      <c r="F5680" s="12">
        <v>2.498E-4</v>
      </c>
    </row>
    <row r="5681" spans="1:6">
      <c r="A5681" s="10">
        <v>2022</v>
      </c>
      <c r="B5681" t="s">
        <v>1338</v>
      </c>
      <c r="C5681" t="s">
        <v>2023</v>
      </c>
      <c r="D5681" t="s">
        <v>2023</v>
      </c>
      <c r="E5681" s="10">
        <v>4133</v>
      </c>
      <c r="F5681" s="12">
        <v>2.9000000000000002E-6</v>
      </c>
    </row>
    <row r="5682" spans="1:6">
      <c r="A5682" s="10">
        <v>2022</v>
      </c>
      <c r="B5682" t="s">
        <v>907</v>
      </c>
      <c r="C5682" t="s">
        <v>2024</v>
      </c>
      <c r="D5682" t="s">
        <v>2024</v>
      </c>
      <c r="E5682" s="10">
        <v>38611</v>
      </c>
      <c r="F5682" s="12">
        <v>2.6999999999999999E-5</v>
      </c>
    </row>
    <row r="5683" spans="1:6">
      <c r="A5683" s="10">
        <v>2022</v>
      </c>
      <c r="B5683" t="s">
        <v>1339</v>
      </c>
      <c r="C5683" t="s">
        <v>2025</v>
      </c>
      <c r="D5683" t="s">
        <v>2025</v>
      </c>
      <c r="E5683" s="10">
        <v>930778</v>
      </c>
      <c r="F5683" s="12">
        <v>6.5099999999999999E-4</v>
      </c>
    </row>
    <row r="5684" spans="1:6">
      <c r="A5684" s="10">
        <v>2022</v>
      </c>
      <c r="B5684" t="s">
        <v>1340</v>
      </c>
      <c r="C5684" t="s">
        <v>2026</v>
      </c>
      <c r="D5684" t="s">
        <v>2026</v>
      </c>
      <c r="E5684" s="10">
        <v>1716985</v>
      </c>
      <c r="F5684" s="12">
        <v>1.201E-3</v>
      </c>
    </row>
    <row r="5685" spans="1:6">
      <c r="A5685" s="10">
        <v>2022</v>
      </c>
      <c r="B5685" t="s">
        <v>1341</v>
      </c>
      <c r="C5685" t="s">
        <v>2027</v>
      </c>
      <c r="D5685" t="s">
        <v>2027</v>
      </c>
      <c r="E5685" s="10">
        <v>1339011</v>
      </c>
      <c r="F5685" s="12">
        <v>9.366E-4</v>
      </c>
    </row>
    <row r="5686" spans="1:6">
      <c r="A5686" s="10">
        <v>2022</v>
      </c>
      <c r="B5686" t="s">
        <v>465</v>
      </c>
      <c r="C5686" t="s">
        <v>2028</v>
      </c>
      <c r="D5686" t="s">
        <v>2028</v>
      </c>
      <c r="E5686" s="10">
        <v>439833</v>
      </c>
      <c r="F5686" s="12">
        <v>3.076E-4</v>
      </c>
    </row>
    <row r="5687" spans="1:6">
      <c r="A5687" s="10">
        <v>2022</v>
      </c>
      <c r="B5687" t="s">
        <v>1343</v>
      </c>
      <c r="C5687" t="s">
        <v>2029</v>
      </c>
      <c r="D5687" t="s">
        <v>2029</v>
      </c>
      <c r="E5687" s="10">
        <v>60901</v>
      </c>
      <c r="F5687" s="12">
        <v>4.2599999999999999E-5</v>
      </c>
    </row>
    <row r="5688" spans="1:6">
      <c r="A5688" s="10">
        <v>2022</v>
      </c>
      <c r="B5688" t="s">
        <v>1344</v>
      </c>
      <c r="C5688" t="s">
        <v>2030</v>
      </c>
      <c r="D5688" t="s">
        <v>2030</v>
      </c>
      <c r="E5688" s="10">
        <v>91698</v>
      </c>
      <c r="F5688" s="12">
        <v>6.41E-5</v>
      </c>
    </row>
    <row r="5689" spans="1:6">
      <c r="A5689" s="10">
        <v>2022</v>
      </c>
      <c r="B5689" t="s">
        <v>1346</v>
      </c>
      <c r="C5689" t="s">
        <v>1298</v>
      </c>
      <c r="D5689" t="s">
        <v>1298</v>
      </c>
      <c r="E5689" s="10">
        <v>2862161</v>
      </c>
      <c r="F5689" s="12">
        <v>2.0019999999999999E-3</v>
      </c>
    </row>
    <row r="5690" spans="1:6">
      <c r="A5690" s="10">
        <v>2022</v>
      </c>
      <c r="B5690" t="s">
        <v>1347</v>
      </c>
      <c r="C5690" t="s">
        <v>1299</v>
      </c>
      <c r="D5690" t="s">
        <v>1299</v>
      </c>
      <c r="E5690" s="10">
        <v>7270519</v>
      </c>
      <c r="F5690" s="12">
        <v>5.0854999999999997E-3</v>
      </c>
    </row>
    <row r="5691" spans="1:6">
      <c r="A5691" s="10">
        <v>2022</v>
      </c>
      <c r="B5691" t="s">
        <v>1348</v>
      </c>
      <c r="C5691" t="s">
        <v>2032</v>
      </c>
      <c r="D5691" t="s">
        <v>2032</v>
      </c>
      <c r="E5691" s="10">
        <v>93430</v>
      </c>
      <c r="F5691" s="12">
        <v>6.5400000000000004E-5</v>
      </c>
    </row>
    <row r="5692" spans="1:6">
      <c r="A5692" s="10">
        <v>2022</v>
      </c>
      <c r="B5692" t="s">
        <v>1349</v>
      </c>
      <c r="C5692" t="s">
        <v>2033</v>
      </c>
      <c r="D5692" t="s">
        <v>2033</v>
      </c>
      <c r="E5692" s="10">
        <v>269850</v>
      </c>
      <c r="F5692" s="12">
        <v>1.8870000000000001E-4</v>
      </c>
    </row>
    <row r="5693" spans="1:6">
      <c r="A5693" s="10">
        <v>2022</v>
      </c>
      <c r="B5693" t="s">
        <v>1254</v>
      </c>
      <c r="C5693" t="s">
        <v>2034</v>
      </c>
      <c r="D5693" t="s">
        <v>2034</v>
      </c>
      <c r="E5693" s="10">
        <v>98340</v>
      </c>
      <c r="F5693" s="12">
        <v>6.8800000000000005E-5</v>
      </c>
    </row>
    <row r="5694" spans="1:6">
      <c r="A5694" s="10">
        <v>2022</v>
      </c>
      <c r="B5694" t="s">
        <v>1350</v>
      </c>
      <c r="C5694" t="s">
        <v>2035</v>
      </c>
      <c r="D5694" t="s">
        <v>2035</v>
      </c>
      <c r="E5694" s="10">
        <v>40735</v>
      </c>
      <c r="F5694" s="12">
        <v>2.8500000000000002E-5</v>
      </c>
    </row>
    <row r="5695" spans="1:6">
      <c r="A5695" s="10">
        <v>2022</v>
      </c>
      <c r="B5695" t="s">
        <v>1352</v>
      </c>
      <c r="C5695" t="s">
        <v>1304</v>
      </c>
      <c r="D5695" t="s">
        <v>1304</v>
      </c>
      <c r="E5695" s="10">
        <v>5455423</v>
      </c>
      <c r="F5695" s="12">
        <v>3.8159000000000001E-3</v>
      </c>
    </row>
    <row r="5696" spans="1:6">
      <c r="A5696" s="10">
        <v>2022</v>
      </c>
      <c r="B5696" t="s">
        <v>1353</v>
      </c>
      <c r="C5696" t="s">
        <v>1305</v>
      </c>
      <c r="D5696" t="s">
        <v>1305</v>
      </c>
      <c r="E5696" s="10">
        <v>177844</v>
      </c>
      <c r="F5696" s="12">
        <v>1.2439999999999999E-4</v>
      </c>
    </row>
    <row r="5697" spans="1:6">
      <c r="A5697" s="10">
        <v>2022</v>
      </c>
      <c r="B5697" t="s">
        <v>1351</v>
      </c>
      <c r="C5697" t="s">
        <v>2415</v>
      </c>
      <c r="D5697" t="s">
        <v>2415</v>
      </c>
      <c r="E5697" s="10">
        <v>40091</v>
      </c>
      <c r="F5697" s="12">
        <v>2.8E-5</v>
      </c>
    </row>
    <row r="5698" spans="1:6">
      <c r="A5698" s="10">
        <v>2022</v>
      </c>
      <c r="B5698" t="s">
        <v>1354</v>
      </c>
      <c r="C5698" t="s">
        <v>2037</v>
      </c>
      <c r="D5698" t="s">
        <v>2037</v>
      </c>
      <c r="E5698" s="10"/>
    </row>
    <row r="5699" spans="1:6">
      <c r="A5699" s="10">
        <v>2022</v>
      </c>
      <c r="B5699" t="s">
        <v>1355</v>
      </c>
      <c r="C5699" t="s">
        <v>2038</v>
      </c>
      <c r="D5699" t="s">
        <v>2038</v>
      </c>
      <c r="E5699" s="10">
        <v>6100139</v>
      </c>
      <c r="F5699" s="12">
        <v>4.2668000000000003E-3</v>
      </c>
    </row>
    <row r="5700" spans="1:6">
      <c r="A5700" s="10">
        <v>2022</v>
      </c>
      <c r="B5700" t="s">
        <v>1357</v>
      </c>
      <c r="C5700" t="s">
        <v>2039</v>
      </c>
      <c r="D5700" t="s">
        <v>2039</v>
      </c>
      <c r="E5700" s="10">
        <v>177047</v>
      </c>
      <c r="F5700" s="12">
        <v>1.238E-4</v>
      </c>
    </row>
    <row r="5701" spans="1:6">
      <c r="A5701" s="10">
        <v>2022</v>
      </c>
      <c r="B5701" t="s">
        <v>2043</v>
      </c>
      <c r="C5701" t="s">
        <v>2040</v>
      </c>
      <c r="D5701" t="s">
        <v>2040</v>
      </c>
      <c r="E5701" s="10">
        <v>37927</v>
      </c>
      <c r="F5701" s="12">
        <v>2.65E-5</v>
      </c>
    </row>
    <row r="5702" spans="1:6">
      <c r="A5702" s="10">
        <v>2022</v>
      </c>
      <c r="B5702" t="s">
        <v>1358</v>
      </c>
      <c r="C5702" t="s">
        <v>2041</v>
      </c>
      <c r="D5702" t="s">
        <v>2041</v>
      </c>
      <c r="E5702" s="10">
        <v>7373652</v>
      </c>
      <c r="F5702" s="12">
        <v>5.1576E-3</v>
      </c>
    </row>
    <row r="5703" spans="1:6">
      <c r="A5703" s="10">
        <v>2022</v>
      </c>
      <c r="B5703" t="s">
        <v>466</v>
      </c>
      <c r="C5703" t="s">
        <v>2042</v>
      </c>
      <c r="D5703" t="s">
        <v>2042</v>
      </c>
      <c r="E5703" s="10">
        <v>4100499</v>
      </c>
      <c r="F5703" s="12">
        <v>2.8681000000000002E-3</v>
      </c>
    </row>
    <row r="5704" spans="1:6">
      <c r="A5704" s="10">
        <v>2023</v>
      </c>
      <c r="B5704" t="s">
        <v>59</v>
      </c>
      <c r="C5704" t="s">
        <v>6</v>
      </c>
      <c r="D5704" t="s">
        <v>6</v>
      </c>
      <c r="E5704" s="10"/>
    </row>
    <row r="5705" spans="1:6">
      <c r="A5705" s="10">
        <v>2023</v>
      </c>
      <c r="B5705" t="s">
        <v>60</v>
      </c>
      <c r="C5705" t="s">
        <v>7</v>
      </c>
      <c r="D5705" t="s">
        <v>7</v>
      </c>
      <c r="E5705" s="10">
        <v>359121</v>
      </c>
      <c r="F5705" s="12">
        <v>2.308E-4</v>
      </c>
    </row>
    <row r="5706" spans="1:6">
      <c r="A5706" s="10">
        <v>2023</v>
      </c>
      <c r="B5706" t="s">
        <v>61</v>
      </c>
      <c r="C5706" t="s">
        <v>1487</v>
      </c>
      <c r="D5706" t="s">
        <v>1487</v>
      </c>
      <c r="E5706" s="10"/>
    </row>
    <row r="5707" spans="1:6">
      <c r="A5707" s="10">
        <v>2023</v>
      </c>
      <c r="B5707" t="s">
        <v>62</v>
      </c>
      <c r="C5707" t="s">
        <v>9</v>
      </c>
      <c r="D5707" t="s">
        <v>9</v>
      </c>
      <c r="E5707" s="10">
        <v>103145</v>
      </c>
      <c r="F5707" s="12">
        <v>6.6299999999999999E-5</v>
      </c>
    </row>
    <row r="5708" spans="1:6">
      <c r="A5708" s="10">
        <v>2023</v>
      </c>
      <c r="B5708" t="s">
        <v>63</v>
      </c>
      <c r="C5708" t="s">
        <v>1488</v>
      </c>
      <c r="D5708" t="s">
        <v>1488</v>
      </c>
      <c r="E5708" s="10">
        <v>158368</v>
      </c>
      <c r="F5708" s="12">
        <v>1.0179999999999999E-4</v>
      </c>
    </row>
    <row r="5709" spans="1:6">
      <c r="A5709" s="10">
        <v>2023</v>
      </c>
      <c r="B5709" t="s">
        <v>64</v>
      </c>
      <c r="C5709" t="s">
        <v>1489</v>
      </c>
      <c r="D5709" t="s">
        <v>1489</v>
      </c>
      <c r="E5709" s="10">
        <v>7066127</v>
      </c>
      <c r="F5709" s="12">
        <v>4.5411999999999996E-3</v>
      </c>
    </row>
    <row r="5710" spans="1:6">
      <c r="A5710" s="10">
        <v>2023</v>
      </c>
      <c r="B5710" t="s">
        <v>65</v>
      </c>
      <c r="C5710" t="s">
        <v>1490</v>
      </c>
      <c r="D5710" t="s">
        <v>1490</v>
      </c>
      <c r="E5710" s="10">
        <v>132764</v>
      </c>
      <c r="F5710" s="12">
        <v>8.53E-5</v>
      </c>
    </row>
    <row r="5711" spans="1:6">
      <c r="A5711" s="10">
        <v>2023</v>
      </c>
      <c r="B5711" t="s">
        <v>66</v>
      </c>
      <c r="C5711" t="s">
        <v>1491</v>
      </c>
      <c r="D5711" t="s">
        <v>1491</v>
      </c>
      <c r="E5711" s="10">
        <v>39385</v>
      </c>
      <c r="F5711" s="12">
        <v>2.5299999999999998E-5</v>
      </c>
    </row>
    <row r="5712" spans="1:6">
      <c r="A5712" s="10">
        <v>2023</v>
      </c>
      <c r="B5712" t="s">
        <v>67</v>
      </c>
      <c r="C5712" t="s">
        <v>1492</v>
      </c>
      <c r="D5712" t="s">
        <v>1492</v>
      </c>
      <c r="E5712" s="10">
        <v>233216</v>
      </c>
      <c r="F5712" s="12">
        <v>1.4990000000000001E-4</v>
      </c>
    </row>
    <row r="5713" spans="1:6">
      <c r="A5713" s="10">
        <v>2023</v>
      </c>
      <c r="B5713" t="s">
        <v>68</v>
      </c>
      <c r="C5713" t="s">
        <v>1493</v>
      </c>
      <c r="D5713" t="s">
        <v>1493</v>
      </c>
      <c r="E5713" s="10">
        <v>4074</v>
      </c>
      <c r="F5713" s="12">
        <v>2.6000000000000001E-6</v>
      </c>
    </row>
    <row r="5714" spans="1:6">
      <c r="A5714" s="10">
        <v>2023</v>
      </c>
      <c r="B5714" t="s">
        <v>69</v>
      </c>
      <c r="C5714" t="s">
        <v>1494</v>
      </c>
      <c r="D5714" t="s">
        <v>1494</v>
      </c>
      <c r="E5714" s="10">
        <v>365781</v>
      </c>
      <c r="F5714" s="12">
        <v>2.351E-4</v>
      </c>
    </row>
    <row r="5715" spans="1:6">
      <c r="A5715" s="10">
        <v>2023</v>
      </c>
      <c r="B5715" t="s">
        <v>70</v>
      </c>
      <c r="C5715" t="s">
        <v>1495</v>
      </c>
      <c r="D5715" t="s">
        <v>1495</v>
      </c>
      <c r="E5715" s="10">
        <v>9382965</v>
      </c>
      <c r="F5715" s="12">
        <v>6.0302000000000003E-3</v>
      </c>
    </row>
    <row r="5716" spans="1:6">
      <c r="A5716" s="10">
        <v>2023</v>
      </c>
      <c r="B5716" t="s">
        <v>71</v>
      </c>
      <c r="C5716" t="s">
        <v>1496</v>
      </c>
      <c r="D5716" t="s">
        <v>1496</v>
      </c>
      <c r="E5716" s="10">
        <v>76896</v>
      </c>
      <c r="F5716" s="12">
        <v>4.9400000000000001E-5</v>
      </c>
    </row>
    <row r="5717" spans="1:6">
      <c r="A5717" s="10">
        <v>2023</v>
      </c>
      <c r="B5717" t="s">
        <v>72</v>
      </c>
      <c r="C5717" t="s">
        <v>1497</v>
      </c>
      <c r="D5717" t="s">
        <v>1497</v>
      </c>
      <c r="E5717" s="10">
        <v>332680</v>
      </c>
      <c r="F5717" s="12">
        <v>2.1379999999999999E-4</v>
      </c>
    </row>
    <row r="5718" spans="1:6">
      <c r="A5718" s="10">
        <v>2023</v>
      </c>
      <c r="B5718" t="s">
        <v>74</v>
      </c>
      <c r="C5718" t="s">
        <v>1498</v>
      </c>
      <c r="D5718" t="s">
        <v>1498</v>
      </c>
      <c r="E5718" s="10">
        <v>13573</v>
      </c>
      <c r="F5718" s="12">
        <v>8.6999999999999997E-6</v>
      </c>
    </row>
    <row r="5719" spans="1:6">
      <c r="A5719" s="10">
        <v>2023</v>
      </c>
      <c r="B5719" t="s">
        <v>75</v>
      </c>
      <c r="C5719" t="s">
        <v>1365</v>
      </c>
      <c r="D5719" t="s">
        <v>1365</v>
      </c>
      <c r="E5719" s="10"/>
    </row>
    <row r="5720" spans="1:6">
      <c r="A5720" s="10">
        <v>2023</v>
      </c>
      <c r="B5720" t="s">
        <v>76</v>
      </c>
      <c r="C5720" t="s">
        <v>1499</v>
      </c>
      <c r="D5720" t="s">
        <v>1499</v>
      </c>
      <c r="E5720" s="10">
        <v>9600467</v>
      </c>
      <c r="F5720" s="12">
        <v>6.1698999999999999E-3</v>
      </c>
    </row>
    <row r="5721" spans="1:6">
      <c r="A5721" s="10">
        <v>2023</v>
      </c>
      <c r="B5721" t="s">
        <v>77</v>
      </c>
      <c r="C5721" t="s">
        <v>1500</v>
      </c>
      <c r="D5721" t="s">
        <v>1500</v>
      </c>
      <c r="E5721" s="10">
        <v>153679</v>
      </c>
      <c r="F5721" s="12">
        <v>9.8800000000000003E-5</v>
      </c>
    </row>
    <row r="5722" spans="1:6">
      <c r="A5722" s="10">
        <v>2023</v>
      </c>
      <c r="B5722" t="s">
        <v>78</v>
      </c>
      <c r="C5722" t="s">
        <v>25</v>
      </c>
      <c r="D5722" t="s">
        <v>25</v>
      </c>
      <c r="E5722" s="10">
        <v>1684494</v>
      </c>
      <c r="F5722" s="12">
        <v>1.0826E-3</v>
      </c>
    </row>
    <row r="5723" spans="1:6">
      <c r="A5723" s="10">
        <v>2023</v>
      </c>
      <c r="B5723" t="s">
        <v>79</v>
      </c>
      <c r="C5723" t="s">
        <v>1502</v>
      </c>
      <c r="D5723" t="s">
        <v>1502</v>
      </c>
      <c r="E5723" s="10">
        <v>16771</v>
      </c>
      <c r="F5723" s="12">
        <v>1.08E-5</v>
      </c>
    </row>
    <row r="5724" spans="1:6">
      <c r="A5724" s="10">
        <v>2023</v>
      </c>
      <c r="B5724" t="s">
        <v>80</v>
      </c>
      <c r="C5724" t="s">
        <v>1503</v>
      </c>
      <c r="D5724" t="s">
        <v>1503</v>
      </c>
      <c r="E5724" s="10">
        <v>2234438</v>
      </c>
      <c r="F5724" s="12">
        <v>1.436E-3</v>
      </c>
    </row>
    <row r="5725" spans="1:6">
      <c r="A5725" s="10">
        <v>2023</v>
      </c>
      <c r="B5725" t="s">
        <v>1324</v>
      </c>
      <c r="C5725" t="s">
        <v>1504</v>
      </c>
      <c r="D5725" t="s">
        <v>1504</v>
      </c>
      <c r="E5725" s="10">
        <v>112435</v>
      </c>
      <c r="F5725" s="12">
        <v>7.2299999999999996E-5</v>
      </c>
    </row>
    <row r="5726" spans="1:6">
      <c r="A5726" s="10">
        <v>2023</v>
      </c>
      <c r="B5726" t="s">
        <v>369</v>
      </c>
      <c r="C5726" t="s">
        <v>1505</v>
      </c>
      <c r="D5726" t="s">
        <v>1505</v>
      </c>
      <c r="E5726" s="10">
        <v>1538622</v>
      </c>
      <c r="F5726" s="12">
        <v>9.8879999999999997E-4</v>
      </c>
    </row>
    <row r="5727" spans="1:6">
      <c r="A5727" s="10">
        <v>2023</v>
      </c>
      <c r="B5727" t="s">
        <v>81</v>
      </c>
      <c r="C5727" t="s">
        <v>1506</v>
      </c>
      <c r="D5727" t="s">
        <v>1506</v>
      </c>
      <c r="E5727" s="10">
        <v>204582</v>
      </c>
      <c r="F5727" s="12">
        <v>1.315E-4</v>
      </c>
    </row>
    <row r="5728" spans="1:6">
      <c r="A5728" s="10">
        <v>2023</v>
      </c>
      <c r="B5728" t="s">
        <v>1371</v>
      </c>
      <c r="C5728" t="s">
        <v>1507</v>
      </c>
      <c r="D5728" t="s">
        <v>1507</v>
      </c>
      <c r="E5728" s="10">
        <v>15639</v>
      </c>
      <c r="F5728" s="12">
        <v>1.01E-5</v>
      </c>
    </row>
    <row r="5729" spans="1:6">
      <c r="A5729" s="10">
        <v>2023</v>
      </c>
      <c r="B5729" t="s">
        <v>58</v>
      </c>
      <c r="C5729" t="s">
        <v>1508</v>
      </c>
      <c r="D5729" t="s">
        <v>1508</v>
      </c>
      <c r="E5729" s="10">
        <v>853710</v>
      </c>
      <c r="F5729" s="12">
        <v>5.4869999999999995E-4</v>
      </c>
    </row>
    <row r="5730" spans="1:6">
      <c r="A5730" s="10">
        <v>2023</v>
      </c>
      <c r="B5730" t="s">
        <v>82</v>
      </c>
      <c r="C5730" t="s">
        <v>1509</v>
      </c>
      <c r="D5730" t="s">
        <v>1509</v>
      </c>
      <c r="E5730" s="10">
        <v>44758</v>
      </c>
      <c r="F5730" s="12">
        <v>2.8799999999999999E-5</v>
      </c>
    </row>
    <row r="5731" spans="1:6">
      <c r="A5731" s="10">
        <v>2023</v>
      </c>
      <c r="B5731" t="s">
        <v>83</v>
      </c>
      <c r="C5731" t="s">
        <v>30</v>
      </c>
      <c r="D5731" t="s">
        <v>30</v>
      </c>
      <c r="E5731" s="10">
        <v>9005744</v>
      </c>
      <c r="F5731" s="12">
        <v>5.7876999999999998E-3</v>
      </c>
    </row>
    <row r="5732" spans="1:6">
      <c r="A5732" s="10">
        <v>2023</v>
      </c>
      <c r="B5732" t="s">
        <v>84</v>
      </c>
      <c r="C5732" t="s">
        <v>31</v>
      </c>
      <c r="D5732" t="s">
        <v>31</v>
      </c>
      <c r="E5732" s="10"/>
    </row>
    <row r="5733" spans="1:6">
      <c r="A5733" s="10">
        <v>2023</v>
      </c>
      <c r="B5733" t="s">
        <v>1426</v>
      </c>
      <c r="C5733" t="s">
        <v>1510</v>
      </c>
      <c r="D5733" t="s">
        <v>1510</v>
      </c>
      <c r="E5733" s="10">
        <v>5347</v>
      </c>
      <c r="F5733" s="12">
        <v>3.4000000000000001E-6</v>
      </c>
    </row>
    <row r="5734" spans="1:6">
      <c r="A5734" s="10">
        <v>2023</v>
      </c>
      <c r="B5734" t="s">
        <v>91</v>
      </c>
      <c r="C5734" t="s">
        <v>1511</v>
      </c>
      <c r="D5734" t="s">
        <v>1511</v>
      </c>
      <c r="E5734" s="10">
        <v>26765</v>
      </c>
      <c r="F5734" s="12">
        <v>1.7200000000000001E-5</v>
      </c>
    </row>
    <row r="5735" spans="1:6">
      <c r="A5735" s="10">
        <v>2023</v>
      </c>
      <c r="B5735" t="s">
        <v>97</v>
      </c>
      <c r="C5735" t="s">
        <v>1512</v>
      </c>
      <c r="D5735" t="s">
        <v>1512</v>
      </c>
      <c r="E5735" s="10">
        <v>79780</v>
      </c>
      <c r="F5735" s="12">
        <v>5.13E-5</v>
      </c>
    </row>
    <row r="5736" spans="1:6">
      <c r="A5736" s="10">
        <v>2023</v>
      </c>
      <c r="B5736" t="s">
        <v>98</v>
      </c>
      <c r="C5736" t="s">
        <v>1513</v>
      </c>
      <c r="D5736" t="s">
        <v>1513</v>
      </c>
      <c r="E5736" s="10">
        <v>41468</v>
      </c>
      <c r="F5736" s="12">
        <v>2.6699999999999998E-5</v>
      </c>
    </row>
    <row r="5737" spans="1:6">
      <c r="A5737" s="10">
        <v>2023</v>
      </c>
      <c r="B5737" t="s">
        <v>99</v>
      </c>
      <c r="C5737" t="s">
        <v>1514</v>
      </c>
      <c r="D5737" t="s">
        <v>1514</v>
      </c>
      <c r="E5737" s="10">
        <v>26042</v>
      </c>
      <c r="F5737" s="12">
        <v>1.6699999999999999E-5</v>
      </c>
    </row>
    <row r="5738" spans="1:6">
      <c r="A5738" s="10">
        <v>2023</v>
      </c>
      <c r="B5738" t="s">
        <v>210</v>
      </c>
      <c r="C5738" t="s">
        <v>1515</v>
      </c>
      <c r="D5738" t="s">
        <v>1515</v>
      </c>
      <c r="E5738" s="10"/>
    </row>
    <row r="5739" spans="1:6">
      <c r="A5739" s="10">
        <v>2023</v>
      </c>
      <c r="B5739" t="s">
        <v>85</v>
      </c>
      <c r="C5739" t="s">
        <v>1516</v>
      </c>
      <c r="D5739" t="s">
        <v>1516</v>
      </c>
      <c r="E5739" s="10">
        <v>28275</v>
      </c>
      <c r="F5739" s="12">
        <v>1.8199999999999999E-5</v>
      </c>
    </row>
    <row r="5740" spans="1:6">
      <c r="A5740" s="10">
        <v>2023</v>
      </c>
      <c r="B5740" t="s">
        <v>102</v>
      </c>
      <c r="C5740" t="s">
        <v>1517</v>
      </c>
      <c r="D5740" t="s">
        <v>1517</v>
      </c>
      <c r="E5740" s="10">
        <v>17130</v>
      </c>
      <c r="F5740" s="12">
        <v>1.1E-5</v>
      </c>
    </row>
    <row r="5741" spans="1:6">
      <c r="A5741" s="10">
        <v>2023</v>
      </c>
      <c r="B5741" t="s">
        <v>104</v>
      </c>
      <c r="C5741" t="s">
        <v>1518</v>
      </c>
      <c r="D5741" t="s">
        <v>1518</v>
      </c>
      <c r="E5741" s="10">
        <v>64814</v>
      </c>
      <c r="F5741" s="12">
        <v>4.1699999999999997E-5</v>
      </c>
    </row>
    <row r="5742" spans="1:6">
      <c r="A5742" s="10">
        <v>2023</v>
      </c>
      <c r="B5742" t="s">
        <v>106</v>
      </c>
      <c r="C5742" t="s">
        <v>1519</v>
      </c>
      <c r="D5742" t="s">
        <v>1519</v>
      </c>
      <c r="E5742" s="10">
        <v>12413</v>
      </c>
      <c r="F5742" s="12">
        <v>7.9999999999999996E-6</v>
      </c>
    </row>
    <row r="5743" spans="1:6">
      <c r="A5743" s="10">
        <v>2023</v>
      </c>
      <c r="B5743" t="s">
        <v>107</v>
      </c>
      <c r="C5743" t="s">
        <v>1520</v>
      </c>
      <c r="D5743" t="s">
        <v>1520</v>
      </c>
      <c r="E5743" s="10">
        <v>37356</v>
      </c>
      <c r="F5743" s="12">
        <v>2.4000000000000001E-5</v>
      </c>
    </row>
    <row r="5744" spans="1:6">
      <c r="A5744" s="10">
        <v>2023</v>
      </c>
      <c r="B5744" t="s">
        <v>108</v>
      </c>
      <c r="C5744" t="s">
        <v>1521</v>
      </c>
      <c r="D5744" t="s">
        <v>1521</v>
      </c>
      <c r="E5744" s="10">
        <v>429762</v>
      </c>
      <c r="F5744" s="12">
        <v>2.7619999999999999E-4</v>
      </c>
    </row>
    <row r="5745" spans="1:6">
      <c r="A5745" s="10">
        <v>2023</v>
      </c>
      <c r="B5745" t="s">
        <v>109</v>
      </c>
      <c r="C5745" t="s">
        <v>1522</v>
      </c>
      <c r="D5745" t="s">
        <v>1522</v>
      </c>
      <c r="E5745" s="10">
        <v>19797</v>
      </c>
      <c r="F5745" s="12">
        <v>1.27E-5</v>
      </c>
    </row>
    <row r="5746" spans="1:6">
      <c r="A5746" s="10">
        <v>2023</v>
      </c>
      <c r="B5746" t="s">
        <v>1140</v>
      </c>
      <c r="C5746" t="s">
        <v>1525</v>
      </c>
      <c r="D5746" t="s">
        <v>1525</v>
      </c>
      <c r="E5746" s="10">
        <v>630190</v>
      </c>
      <c r="F5746" s="12">
        <v>4.0499999999999998E-4</v>
      </c>
    </row>
    <row r="5747" spans="1:6">
      <c r="A5747" s="10">
        <v>2023</v>
      </c>
      <c r="B5747" t="s">
        <v>168</v>
      </c>
      <c r="C5747" t="s">
        <v>113</v>
      </c>
      <c r="D5747" t="s">
        <v>113</v>
      </c>
      <c r="E5747" s="10">
        <v>74113</v>
      </c>
      <c r="F5747" s="12">
        <v>4.7599999999999998E-5</v>
      </c>
    </row>
    <row r="5748" spans="1:6">
      <c r="A5748" s="10">
        <v>2023</v>
      </c>
      <c r="B5748" t="s">
        <v>170</v>
      </c>
      <c r="C5748" t="s">
        <v>1526</v>
      </c>
      <c r="D5748" t="s">
        <v>1526</v>
      </c>
      <c r="E5748" s="10"/>
    </row>
    <row r="5749" spans="1:6">
      <c r="A5749" s="10">
        <v>2023</v>
      </c>
      <c r="B5749" t="s">
        <v>169</v>
      </c>
      <c r="C5749" t="s">
        <v>1527</v>
      </c>
      <c r="D5749" t="s">
        <v>1527</v>
      </c>
      <c r="E5749" s="10">
        <v>162365</v>
      </c>
      <c r="F5749" s="12">
        <v>1.043E-4</v>
      </c>
    </row>
    <row r="5750" spans="1:6">
      <c r="A5750" s="10">
        <v>2023</v>
      </c>
      <c r="B5750" t="s">
        <v>1381</v>
      </c>
      <c r="C5750" t="s">
        <v>1528</v>
      </c>
      <c r="D5750" t="s">
        <v>1528</v>
      </c>
      <c r="E5750" s="10">
        <v>8689</v>
      </c>
      <c r="F5750" s="12">
        <v>5.5999999999999997E-6</v>
      </c>
    </row>
    <row r="5751" spans="1:6">
      <c r="A5751" s="10">
        <v>2023</v>
      </c>
      <c r="B5751" t="s">
        <v>171</v>
      </c>
      <c r="C5751" t="s">
        <v>1529</v>
      </c>
      <c r="D5751" t="s">
        <v>1529</v>
      </c>
      <c r="E5751" s="10">
        <v>86900</v>
      </c>
      <c r="F5751" s="12">
        <v>5.5800000000000001E-5</v>
      </c>
    </row>
    <row r="5752" spans="1:6">
      <c r="A5752" s="10">
        <v>2023</v>
      </c>
      <c r="B5752" t="s">
        <v>1427</v>
      </c>
      <c r="C5752" t="s">
        <v>1530</v>
      </c>
      <c r="D5752" t="s">
        <v>1530</v>
      </c>
      <c r="E5752" s="10">
        <v>1167274</v>
      </c>
      <c r="F5752" s="12">
        <v>7.5020000000000002E-4</v>
      </c>
    </row>
    <row r="5753" spans="1:6">
      <c r="A5753" s="10">
        <v>2023</v>
      </c>
      <c r="B5753" t="s">
        <v>172</v>
      </c>
      <c r="C5753" t="s">
        <v>117</v>
      </c>
      <c r="D5753" t="s">
        <v>117</v>
      </c>
      <c r="E5753" s="10">
        <v>2008934</v>
      </c>
      <c r="F5753" s="12">
        <v>1.2911000000000001E-3</v>
      </c>
    </row>
    <row r="5754" spans="1:6">
      <c r="A5754" s="10">
        <v>2023</v>
      </c>
      <c r="B5754" t="s">
        <v>173</v>
      </c>
      <c r="C5754" t="s">
        <v>1531</v>
      </c>
      <c r="D5754" t="s">
        <v>1531</v>
      </c>
      <c r="E5754" s="10">
        <v>164447</v>
      </c>
      <c r="F5754" s="12">
        <v>1.0569999999999999E-4</v>
      </c>
    </row>
    <row r="5755" spans="1:6">
      <c r="A5755" s="10">
        <v>2023</v>
      </c>
      <c r="B5755" t="s">
        <v>174</v>
      </c>
      <c r="C5755" t="s">
        <v>119</v>
      </c>
      <c r="D5755" t="s">
        <v>119</v>
      </c>
      <c r="E5755" s="10">
        <v>106947</v>
      </c>
      <c r="F5755" s="12">
        <v>6.8700000000000003E-5</v>
      </c>
    </row>
    <row r="5756" spans="1:6">
      <c r="A5756" s="10">
        <v>2023</v>
      </c>
      <c r="B5756" t="s">
        <v>175</v>
      </c>
      <c r="C5756" t="s">
        <v>1532</v>
      </c>
      <c r="D5756" t="s">
        <v>1532</v>
      </c>
      <c r="E5756" s="10">
        <v>606180</v>
      </c>
      <c r="F5756" s="12">
        <v>3.8959999999999998E-4</v>
      </c>
    </row>
    <row r="5757" spans="1:6">
      <c r="A5757" s="10">
        <v>2023</v>
      </c>
      <c r="B5757" t="s">
        <v>176</v>
      </c>
      <c r="C5757" t="s">
        <v>1533</v>
      </c>
      <c r="D5757" t="s">
        <v>1533</v>
      </c>
      <c r="E5757" s="10">
        <v>279134</v>
      </c>
      <c r="F5757" s="12">
        <v>1.794E-4</v>
      </c>
    </row>
    <row r="5758" spans="1:6">
      <c r="A5758" s="10">
        <v>2023</v>
      </c>
      <c r="B5758" t="s">
        <v>177</v>
      </c>
      <c r="C5758" t="s">
        <v>122</v>
      </c>
      <c r="D5758" t="s">
        <v>122</v>
      </c>
      <c r="E5758" s="10">
        <v>185626</v>
      </c>
      <c r="F5758" s="12">
        <v>1.193E-4</v>
      </c>
    </row>
    <row r="5759" spans="1:6">
      <c r="A5759" s="10">
        <v>2023</v>
      </c>
      <c r="B5759" t="s">
        <v>178</v>
      </c>
      <c r="C5759" t="s">
        <v>1534</v>
      </c>
      <c r="D5759" t="s">
        <v>1534</v>
      </c>
      <c r="E5759" s="10">
        <v>5043498</v>
      </c>
      <c r="F5759" s="12">
        <v>3.2412999999999999E-3</v>
      </c>
    </row>
    <row r="5760" spans="1:6">
      <c r="A5760" s="10">
        <v>2023</v>
      </c>
      <c r="B5760" t="s">
        <v>181</v>
      </c>
      <c r="C5760" t="s">
        <v>1535</v>
      </c>
      <c r="D5760" t="s">
        <v>1535</v>
      </c>
      <c r="E5760" s="10">
        <v>1772381</v>
      </c>
      <c r="F5760" s="12">
        <v>1.1391000000000001E-3</v>
      </c>
    </row>
    <row r="5761" spans="1:6">
      <c r="A5761" s="10">
        <v>2023</v>
      </c>
      <c r="B5761" t="s">
        <v>1382</v>
      </c>
      <c r="C5761" t="s">
        <v>1536</v>
      </c>
      <c r="D5761" t="s">
        <v>1536</v>
      </c>
      <c r="E5761" s="10">
        <v>16087711</v>
      </c>
      <c r="F5761" s="12">
        <v>1.03391E-2</v>
      </c>
    </row>
    <row r="5762" spans="1:6">
      <c r="A5762" s="10">
        <v>2023</v>
      </c>
      <c r="B5762" t="s">
        <v>182</v>
      </c>
      <c r="C5762" t="s">
        <v>1537</v>
      </c>
      <c r="D5762" t="s">
        <v>1537</v>
      </c>
      <c r="E5762" s="10">
        <v>8241737</v>
      </c>
      <c r="F5762" s="12">
        <v>5.2966999999999997E-3</v>
      </c>
    </row>
    <row r="5763" spans="1:6">
      <c r="A5763" s="10">
        <v>2023</v>
      </c>
      <c r="B5763" t="s">
        <v>183</v>
      </c>
      <c r="C5763" t="s">
        <v>1538</v>
      </c>
      <c r="D5763" t="s">
        <v>1538</v>
      </c>
      <c r="E5763" s="10">
        <v>50819810</v>
      </c>
      <c r="F5763" s="12">
        <v>3.2660399999999999E-2</v>
      </c>
    </row>
    <row r="5764" spans="1:6">
      <c r="A5764" s="10">
        <v>2023</v>
      </c>
      <c r="B5764" t="s">
        <v>184</v>
      </c>
      <c r="C5764" t="s">
        <v>1539</v>
      </c>
      <c r="D5764" t="s">
        <v>1539</v>
      </c>
      <c r="E5764" s="10">
        <v>4891836</v>
      </c>
      <c r="F5764" s="12">
        <v>3.1438E-3</v>
      </c>
    </row>
    <row r="5765" spans="1:6">
      <c r="A5765" s="10">
        <v>2023</v>
      </c>
      <c r="B5765" t="s">
        <v>185</v>
      </c>
      <c r="C5765" t="s">
        <v>1540</v>
      </c>
      <c r="D5765" t="s">
        <v>1540</v>
      </c>
      <c r="E5765" s="10">
        <v>2084088</v>
      </c>
      <c r="F5765" s="12">
        <v>1.3393999999999999E-3</v>
      </c>
    </row>
    <row r="5766" spans="1:6">
      <c r="A5766" s="10">
        <v>2023</v>
      </c>
      <c r="B5766" t="s">
        <v>186</v>
      </c>
      <c r="C5766" t="s">
        <v>1541</v>
      </c>
      <c r="D5766" t="s">
        <v>1541</v>
      </c>
      <c r="E5766" s="10">
        <v>4019639</v>
      </c>
      <c r="F5766" s="12">
        <v>2.5833000000000002E-3</v>
      </c>
    </row>
    <row r="5767" spans="1:6">
      <c r="A5767" s="10">
        <v>2023</v>
      </c>
      <c r="B5767" t="s">
        <v>187</v>
      </c>
      <c r="C5767" t="s">
        <v>1542</v>
      </c>
      <c r="D5767" t="s">
        <v>1542</v>
      </c>
      <c r="E5767" s="10"/>
    </row>
    <row r="5768" spans="1:6">
      <c r="A5768" s="10">
        <v>2023</v>
      </c>
      <c r="B5768" t="s">
        <v>189</v>
      </c>
      <c r="C5768" t="s">
        <v>1544</v>
      </c>
      <c r="D5768" t="s">
        <v>1544</v>
      </c>
      <c r="E5768" s="10">
        <v>858554</v>
      </c>
      <c r="F5768" s="12">
        <v>5.5179999999999997E-4</v>
      </c>
    </row>
    <row r="5769" spans="1:6">
      <c r="A5769" s="10">
        <v>2023</v>
      </c>
      <c r="B5769" t="s">
        <v>190</v>
      </c>
      <c r="C5769" t="s">
        <v>1546</v>
      </c>
      <c r="D5769" t="s">
        <v>1546</v>
      </c>
      <c r="E5769" s="10">
        <v>12507983</v>
      </c>
      <c r="F5769" s="12">
        <v>8.0385000000000005E-3</v>
      </c>
    </row>
    <row r="5770" spans="1:6">
      <c r="A5770" s="10">
        <v>2023</v>
      </c>
      <c r="B5770" t="s">
        <v>191</v>
      </c>
      <c r="C5770" t="s">
        <v>1547</v>
      </c>
      <c r="D5770" t="s">
        <v>1547</v>
      </c>
      <c r="E5770" s="10">
        <v>244408</v>
      </c>
      <c r="F5770" s="12">
        <v>1.571E-4</v>
      </c>
    </row>
    <row r="5771" spans="1:6">
      <c r="A5771" s="10">
        <v>2023</v>
      </c>
      <c r="B5771" t="s">
        <v>192</v>
      </c>
      <c r="C5771" t="s">
        <v>1548</v>
      </c>
      <c r="D5771" t="s">
        <v>1548</v>
      </c>
      <c r="E5771" s="10">
        <v>653330</v>
      </c>
      <c r="F5771" s="12">
        <v>4.1990000000000001E-4</v>
      </c>
    </row>
    <row r="5772" spans="1:6">
      <c r="A5772" s="10">
        <v>2023</v>
      </c>
      <c r="B5772" t="s">
        <v>193</v>
      </c>
      <c r="C5772" t="s">
        <v>1549</v>
      </c>
      <c r="D5772" t="s">
        <v>1549</v>
      </c>
      <c r="E5772" s="10">
        <v>1112680</v>
      </c>
      <c r="F5772" s="12">
        <v>7.1509999999999998E-4</v>
      </c>
    </row>
    <row r="5773" spans="1:6">
      <c r="A5773" s="10">
        <v>2023</v>
      </c>
      <c r="B5773" t="s">
        <v>194</v>
      </c>
      <c r="C5773" t="s">
        <v>1550</v>
      </c>
      <c r="D5773" t="s">
        <v>1550</v>
      </c>
      <c r="E5773" s="10">
        <v>722153</v>
      </c>
      <c r="F5773" s="12">
        <v>4.6410000000000001E-4</v>
      </c>
    </row>
    <row r="5774" spans="1:6">
      <c r="A5774" s="10">
        <v>2023</v>
      </c>
      <c r="B5774" t="s">
        <v>196</v>
      </c>
      <c r="C5774" t="s">
        <v>1551</v>
      </c>
      <c r="D5774" t="s">
        <v>1551</v>
      </c>
      <c r="E5774" s="10">
        <v>218442</v>
      </c>
      <c r="F5774" s="12">
        <v>1.404E-4</v>
      </c>
    </row>
    <row r="5775" spans="1:6">
      <c r="A5775" s="10">
        <v>2023</v>
      </c>
      <c r="B5775" t="s">
        <v>197</v>
      </c>
      <c r="C5775" t="s">
        <v>1552</v>
      </c>
      <c r="D5775" t="s">
        <v>1552</v>
      </c>
      <c r="E5775" s="10">
        <v>7225976</v>
      </c>
      <c r="F5775" s="12">
        <v>4.6439000000000003E-3</v>
      </c>
    </row>
    <row r="5776" spans="1:6">
      <c r="A5776" s="10">
        <v>2023</v>
      </c>
      <c r="B5776" t="s">
        <v>198</v>
      </c>
      <c r="C5776" t="s">
        <v>1553</v>
      </c>
      <c r="D5776" t="s">
        <v>1553</v>
      </c>
      <c r="E5776" s="10">
        <v>162693</v>
      </c>
      <c r="F5776" s="12">
        <v>1.0459999999999999E-4</v>
      </c>
    </row>
    <row r="5777" spans="1:6">
      <c r="A5777" s="10">
        <v>2023</v>
      </c>
      <c r="B5777" t="s">
        <v>199</v>
      </c>
      <c r="C5777" t="s">
        <v>1554</v>
      </c>
      <c r="D5777" t="s">
        <v>1554</v>
      </c>
      <c r="E5777" s="10">
        <v>4126847</v>
      </c>
      <c r="F5777" s="12">
        <v>2.6522E-3</v>
      </c>
    </row>
    <row r="5778" spans="1:6">
      <c r="A5778" s="10">
        <v>2023</v>
      </c>
      <c r="B5778" t="s">
        <v>200</v>
      </c>
      <c r="C5778" t="s">
        <v>1555</v>
      </c>
      <c r="D5778" t="s">
        <v>1555</v>
      </c>
      <c r="E5778" s="10">
        <v>25652267</v>
      </c>
      <c r="F5778" s="12">
        <v>1.6485900000000001E-2</v>
      </c>
    </row>
    <row r="5779" spans="1:6">
      <c r="A5779" s="10">
        <v>2023</v>
      </c>
      <c r="B5779" t="s">
        <v>201</v>
      </c>
      <c r="C5779" t="s">
        <v>1556</v>
      </c>
      <c r="D5779" t="s">
        <v>1556</v>
      </c>
      <c r="E5779" s="10">
        <v>1955655</v>
      </c>
      <c r="F5779" s="12">
        <v>1.2568E-3</v>
      </c>
    </row>
    <row r="5780" spans="1:6">
      <c r="A5780" s="10">
        <v>2023</v>
      </c>
      <c r="B5780" t="s">
        <v>202</v>
      </c>
      <c r="C5780" t="s">
        <v>1557</v>
      </c>
      <c r="D5780" t="s">
        <v>1557</v>
      </c>
      <c r="E5780" s="10">
        <v>1780945</v>
      </c>
      <c r="F5780" s="12">
        <v>1.1446E-3</v>
      </c>
    </row>
    <row r="5781" spans="1:6">
      <c r="A5781" s="10">
        <v>2023</v>
      </c>
      <c r="B5781" t="s">
        <v>204</v>
      </c>
      <c r="C5781" t="s">
        <v>1559</v>
      </c>
      <c r="D5781" t="s">
        <v>1559</v>
      </c>
      <c r="E5781" s="10">
        <v>1185776</v>
      </c>
      <c r="F5781" s="12">
        <v>7.6210000000000004E-4</v>
      </c>
    </row>
    <row r="5782" spans="1:6">
      <c r="A5782" s="10">
        <v>2023</v>
      </c>
      <c r="B5782" t="s">
        <v>205</v>
      </c>
      <c r="C5782" t="s">
        <v>150</v>
      </c>
      <c r="D5782" t="s">
        <v>150</v>
      </c>
      <c r="E5782" s="10">
        <v>296795</v>
      </c>
      <c r="F5782" s="12">
        <v>1.907E-4</v>
      </c>
    </row>
    <row r="5783" spans="1:6">
      <c r="A5783" s="10">
        <v>2023</v>
      </c>
      <c r="B5783" t="s">
        <v>1563</v>
      </c>
      <c r="C5783" t="s">
        <v>1560</v>
      </c>
      <c r="D5783" t="s">
        <v>1560</v>
      </c>
      <c r="E5783" s="10">
        <v>177263</v>
      </c>
      <c r="F5783" s="12">
        <v>1.139E-4</v>
      </c>
    </row>
    <row r="5784" spans="1:6">
      <c r="A5784" s="10">
        <v>2023</v>
      </c>
      <c r="B5784" t="s">
        <v>2088</v>
      </c>
      <c r="C5784" t="s">
        <v>2086</v>
      </c>
      <c r="D5784" t="s">
        <v>2086</v>
      </c>
      <c r="E5784" s="10">
        <v>545716</v>
      </c>
      <c r="F5784" s="12">
        <v>3.5070000000000001E-4</v>
      </c>
    </row>
    <row r="5785" spans="1:6">
      <c r="A5785" s="10">
        <v>2023</v>
      </c>
      <c r="B5785" t="s">
        <v>188</v>
      </c>
      <c r="C5785" t="s">
        <v>1561</v>
      </c>
      <c r="D5785" t="s">
        <v>1561</v>
      </c>
      <c r="E5785" s="10">
        <v>3292532</v>
      </c>
      <c r="F5785" s="12">
        <v>2.1159999999999998E-3</v>
      </c>
    </row>
    <row r="5786" spans="1:6">
      <c r="A5786" s="10">
        <v>2023</v>
      </c>
      <c r="B5786" t="s">
        <v>206</v>
      </c>
      <c r="C5786" t="s">
        <v>1562</v>
      </c>
      <c r="D5786" t="s">
        <v>1562</v>
      </c>
      <c r="E5786" s="10"/>
    </row>
    <row r="5787" spans="1:6">
      <c r="A5787" s="10">
        <v>2023</v>
      </c>
      <c r="B5787" t="s">
        <v>207</v>
      </c>
      <c r="C5787" t="s">
        <v>152</v>
      </c>
      <c r="D5787" t="s">
        <v>152</v>
      </c>
      <c r="E5787" s="10">
        <v>1034084</v>
      </c>
      <c r="F5787" s="12">
        <v>6.646E-4</v>
      </c>
    </row>
    <row r="5788" spans="1:6">
      <c r="A5788" s="10">
        <v>2023</v>
      </c>
      <c r="B5788" t="s">
        <v>57</v>
      </c>
      <c r="C5788" t="s">
        <v>1564</v>
      </c>
      <c r="D5788" t="s">
        <v>1564</v>
      </c>
      <c r="E5788" s="10">
        <v>8267260</v>
      </c>
      <c r="F5788" s="12">
        <v>5.3131000000000003E-3</v>
      </c>
    </row>
    <row r="5789" spans="1:6">
      <c r="A5789" s="10">
        <v>2023</v>
      </c>
      <c r="B5789" t="s">
        <v>208</v>
      </c>
      <c r="C5789" t="s">
        <v>153</v>
      </c>
      <c r="D5789" t="s">
        <v>153</v>
      </c>
      <c r="E5789" s="10"/>
    </row>
    <row r="5790" spans="1:6">
      <c r="A5790" s="10">
        <v>2023</v>
      </c>
      <c r="B5790" t="s">
        <v>209</v>
      </c>
      <c r="C5790" t="s">
        <v>154</v>
      </c>
      <c r="D5790" t="s">
        <v>154</v>
      </c>
      <c r="E5790" s="10">
        <v>202348</v>
      </c>
      <c r="F5790" s="12">
        <v>1.2999999999999999E-4</v>
      </c>
    </row>
    <row r="5791" spans="1:6">
      <c r="A5791" s="10">
        <v>2023</v>
      </c>
      <c r="B5791" t="s">
        <v>211</v>
      </c>
      <c r="C5791" t="s">
        <v>1565</v>
      </c>
      <c r="D5791" t="s">
        <v>1565</v>
      </c>
      <c r="E5791" s="10">
        <v>1111665</v>
      </c>
      <c r="F5791" s="12">
        <v>7.1440000000000002E-4</v>
      </c>
    </row>
    <row r="5792" spans="1:6">
      <c r="A5792" s="10">
        <v>2023</v>
      </c>
      <c r="B5792" t="s">
        <v>212</v>
      </c>
      <c r="C5792" t="s">
        <v>1566</v>
      </c>
      <c r="D5792" t="s">
        <v>1566</v>
      </c>
      <c r="E5792" s="10">
        <v>35187</v>
      </c>
      <c r="F5792" s="12">
        <v>2.26E-5</v>
      </c>
    </row>
    <row r="5793" spans="1:6">
      <c r="A5793" s="10">
        <v>2023</v>
      </c>
      <c r="B5793" t="s">
        <v>213</v>
      </c>
      <c r="C5793" t="s">
        <v>158</v>
      </c>
      <c r="D5793" t="s">
        <v>158</v>
      </c>
      <c r="E5793" s="10">
        <v>1297665</v>
      </c>
      <c r="F5793" s="12">
        <v>8.34E-4</v>
      </c>
    </row>
    <row r="5794" spans="1:6">
      <c r="A5794" s="10">
        <v>2023</v>
      </c>
      <c r="B5794" t="s">
        <v>1597</v>
      </c>
      <c r="C5794" t="s">
        <v>1567</v>
      </c>
      <c r="D5794" t="s">
        <v>1567</v>
      </c>
      <c r="E5794" s="10">
        <v>25724</v>
      </c>
      <c r="F5794" s="12">
        <v>1.6500000000000001E-5</v>
      </c>
    </row>
    <row r="5795" spans="1:6">
      <c r="A5795" s="10">
        <v>2023</v>
      </c>
      <c r="B5795" t="s">
        <v>214</v>
      </c>
      <c r="C5795" t="s">
        <v>159</v>
      </c>
      <c r="D5795" t="s">
        <v>159</v>
      </c>
      <c r="E5795" s="10">
        <v>246441</v>
      </c>
      <c r="F5795" s="12">
        <v>1.584E-4</v>
      </c>
    </row>
    <row r="5796" spans="1:6">
      <c r="A5796" s="10">
        <v>2023</v>
      </c>
      <c r="B5796" t="s">
        <v>215</v>
      </c>
      <c r="C5796" t="s">
        <v>1568</v>
      </c>
      <c r="D5796" t="s">
        <v>1568</v>
      </c>
      <c r="E5796" s="10">
        <v>225270</v>
      </c>
      <c r="F5796" s="12">
        <v>1.448E-4</v>
      </c>
    </row>
    <row r="5797" spans="1:6">
      <c r="A5797" s="10">
        <v>2023</v>
      </c>
      <c r="B5797" t="s">
        <v>217</v>
      </c>
      <c r="C5797" t="s">
        <v>162</v>
      </c>
      <c r="D5797" t="s">
        <v>162</v>
      </c>
      <c r="E5797" s="10">
        <v>485972</v>
      </c>
      <c r="F5797" s="12">
        <v>3.123E-4</v>
      </c>
    </row>
    <row r="5798" spans="1:6">
      <c r="A5798" s="10">
        <v>2023</v>
      </c>
      <c r="B5798" t="s">
        <v>219</v>
      </c>
      <c r="C5798" t="s">
        <v>164</v>
      </c>
      <c r="D5798" t="s">
        <v>164</v>
      </c>
      <c r="E5798" s="10">
        <v>385967</v>
      </c>
      <c r="F5798" s="12">
        <v>2.4800000000000001E-4</v>
      </c>
    </row>
    <row r="5799" spans="1:6">
      <c r="A5799" s="10">
        <v>2023</v>
      </c>
      <c r="B5799" t="s">
        <v>73</v>
      </c>
      <c r="C5799" t="s">
        <v>2354</v>
      </c>
      <c r="D5799" t="s">
        <v>2354</v>
      </c>
      <c r="E5799" s="10">
        <v>208512</v>
      </c>
      <c r="F5799" s="12">
        <v>1.34E-4</v>
      </c>
    </row>
    <row r="5800" spans="1:6">
      <c r="A5800" s="10">
        <v>2023</v>
      </c>
      <c r="B5800" t="s">
        <v>220</v>
      </c>
      <c r="C5800" t="s">
        <v>1571</v>
      </c>
      <c r="D5800" t="s">
        <v>1571</v>
      </c>
      <c r="E5800" s="10">
        <v>77648</v>
      </c>
      <c r="F5800" s="12">
        <v>4.99E-5</v>
      </c>
    </row>
    <row r="5801" spans="1:6">
      <c r="A5801" s="10">
        <v>2023</v>
      </c>
      <c r="B5801" t="s">
        <v>1387</v>
      </c>
      <c r="C5801" t="s">
        <v>1572</v>
      </c>
      <c r="D5801" t="s">
        <v>1572</v>
      </c>
      <c r="E5801" s="10">
        <v>9676</v>
      </c>
      <c r="F5801" s="12">
        <v>6.1999999999999999E-6</v>
      </c>
    </row>
    <row r="5802" spans="1:6">
      <c r="A5802" s="10">
        <v>2023</v>
      </c>
      <c r="B5802" t="s">
        <v>1388</v>
      </c>
      <c r="C5802" t="s">
        <v>1573</v>
      </c>
      <c r="D5802" t="s">
        <v>1573</v>
      </c>
      <c r="E5802" s="10">
        <v>9939</v>
      </c>
      <c r="F5802" s="12">
        <v>6.3999999999999997E-6</v>
      </c>
    </row>
    <row r="5803" spans="1:6">
      <c r="A5803" s="10">
        <v>2023</v>
      </c>
      <c r="B5803" t="s">
        <v>1389</v>
      </c>
      <c r="C5803" t="s">
        <v>1574</v>
      </c>
      <c r="D5803" t="s">
        <v>1574</v>
      </c>
      <c r="E5803" s="10">
        <v>118002</v>
      </c>
      <c r="F5803" s="12">
        <v>7.5799999999999999E-5</v>
      </c>
    </row>
    <row r="5804" spans="1:6">
      <c r="A5804" s="10">
        <v>2023</v>
      </c>
      <c r="B5804" t="s">
        <v>1598</v>
      </c>
      <c r="C5804" t="s">
        <v>1575</v>
      </c>
      <c r="D5804" t="s">
        <v>1575</v>
      </c>
      <c r="E5804" s="10">
        <v>257457</v>
      </c>
      <c r="F5804" s="12">
        <v>1.6550000000000001E-4</v>
      </c>
    </row>
    <row r="5805" spans="1:6">
      <c r="A5805" s="10">
        <v>2023</v>
      </c>
      <c r="B5805" t="s">
        <v>1390</v>
      </c>
      <c r="C5805" t="s">
        <v>1578</v>
      </c>
      <c r="D5805" t="s">
        <v>1578</v>
      </c>
      <c r="E5805" s="10">
        <v>1547691</v>
      </c>
      <c r="F5805" s="12">
        <v>9.9470000000000005E-4</v>
      </c>
    </row>
    <row r="5806" spans="1:6">
      <c r="A5806" s="10">
        <v>2023</v>
      </c>
      <c r="B5806" t="s">
        <v>1393</v>
      </c>
      <c r="C5806" t="s">
        <v>1579</v>
      </c>
      <c r="D5806" t="s">
        <v>1579</v>
      </c>
      <c r="E5806" s="10">
        <v>217715</v>
      </c>
      <c r="F5806" s="12">
        <v>1.3990000000000001E-4</v>
      </c>
    </row>
    <row r="5807" spans="1:6">
      <c r="A5807" s="10">
        <v>2023</v>
      </c>
      <c r="B5807" t="s">
        <v>2448</v>
      </c>
      <c r="C5807" t="s">
        <v>2447</v>
      </c>
      <c r="D5807" t="s">
        <v>2447</v>
      </c>
      <c r="E5807" s="10">
        <v>95561</v>
      </c>
      <c r="F5807" s="12">
        <v>6.1400000000000002E-5</v>
      </c>
    </row>
    <row r="5808" spans="1:6">
      <c r="A5808" s="10">
        <v>2023</v>
      </c>
      <c r="B5808" t="s">
        <v>1395</v>
      </c>
      <c r="C5808" t="s">
        <v>230</v>
      </c>
      <c r="D5808" t="s">
        <v>230</v>
      </c>
      <c r="E5808" s="10">
        <v>430988</v>
      </c>
      <c r="F5808" s="12">
        <v>2.7700000000000001E-4</v>
      </c>
    </row>
    <row r="5809" spans="1:6">
      <c r="A5809" s="10">
        <v>2023</v>
      </c>
      <c r="B5809" t="s">
        <v>1396</v>
      </c>
      <c r="C5809" t="s">
        <v>231</v>
      </c>
      <c r="D5809" t="s">
        <v>231</v>
      </c>
      <c r="E5809" s="10">
        <v>67628</v>
      </c>
      <c r="F5809" s="12">
        <v>4.35E-5</v>
      </c>
    </row>
    <row r="5810" spans="1:6">
      <c r="A5810" s="10">
        <v>2023</v>
      </c>
      <c r="B5810" t="s">
        <v>1398</v>
      </c>
      <c r="C5810" t="s">
        <v>1580</v>
      </c>
      <c r="D5810" t="s">
        <v>1580</v>
      </c>
      <c r="E5810" s="10">
        <v>48948</v>
      </c>
      <c r="F5810" s="12">
        <v>3.15E-5</v>
      </c>
    </row>
    <row r="5811" spans="1:6">
      <c r="A5811" s="10">
        <v>2023</v>
      </c>
      <c r="B5811" t="s">
        <v>1399</v>
      </c>
      <c r="C5811" t="s">
        <v>234</v>
      </c>
      <c r="D5811" t="s">
        <v>234</v>
      </c>
      <c r="E5811" s="10"/>
    </row>
    <row r="5812" spans="1:6">
      <c r="A5812" s="10">
        <v>2023</v>
      </c>
      <c r="B5812" t="s">
        <v>1400</v>
      </c>
      <c r="C5812" t="s">
        <v>1581</v>
      </c>
      <c r="D5812" t="s">
        <v>1581</v>
      </c>
      <c r="E5812" s="10">
        <v>721634</v>
      </c>
      <c r="F5812" s="12">
        <v>4.638E-4</v>
      </c>
    </row>
    <row r="5813" spans="1:6">
      <c r="A5813" s="10">
        <v>2023</v>
      </c>
      <c r="B5813" t="s">
        <v>1401</v>
      </c>
      <c r="C5813" t="s">
        <v>1582</v>
      </c>
      <c r="D5813" t="s">
        <v>1582</v>
      </c>
      <c r="E5813" s="10">
        <v>79962</v>
      </c>
      <c r="F5813" s="12">
        <v>5.1400000000000003E-5</v>
      </c>
    </row>
    <row r="5814" spans="1:6">
      <c r="A5814" s="10">
        <v>2023</v>
      </c>
      <c r="B5814" t="s">
        <v>1402</v>
      </c>
      <c r="C5814" t="s">
        <v>237</v>
      </c>
      <c r="D5814" t="s">
        <v>237</v>
      </c>
      <c r="E5814" s="10"/>
    </row>
    <row r="5815" spans="1:6">
      <c r="A5815" s="10">
        <v>2023</v>
      </c>
      <c r="B5815" t="s">
        <v>1403</v>
      </c>
      <c r="C5815" t="s">
        <v>1584</v>
      </c>
      <c r="D5815" t="s">
        <v>1584</v>
      </c>
      <c r="E5815" s="10">
        <v>556145</v>
      </c>
      <c r="F5815" s="12">
        <v>3.5740000000000001E-4</v>
      </c>
    </row>
    <row r="5816" spans="1:6">
      <c r="A5816" s="10">
        <v>2023</v>
      </c>
      <c r="B5816" t="s">
        <v>1404</v>
      </c>
      <c r="C5816" t="s">
        <v>1585</v>
      </c>
      <c r="D5816" t="s">
        <v>1585</v>
      </c>
      <c r="E5816" s="10">
        <v>826005</v>
      </c>
      <c r="F5816" s="12">
        <v>5.308E-4</v>
      </c>
    </row>
    <row r="5817" spans="1:6">
      <c r="A5817" s="10">
        <v>2023</v>
      </c>
      <c r="B5817" t="s">
        <v>1405</v>
      </c>
      <c r="C5817" t="s">
        <v>1586</v>
      </c>
      <c r="D5817" t="s">
        <v>1586</v>
      </c>
      <c r="E5817" s="10">
        <v>67522</v>
      </c>
      <c r="F5817" s="12">
        <v>4.3399999999999998E-5</v>
      </c>
    </row>
    <row r="5818" spans="1:6">
      <c r="A5818" s="10">
        <v>2023</v>
      </c>
      <c r="B5818" t="s">
        <v>1406</v>
      </c>
      <c r="C5818" t="s">
        <v>1587</v>
      </c>
      <c r="D5818" t="s">
        <v>1587</v>
      </c>
      <c r="E5818" s="10">
        <v>142222</v>
      </c>
      <c r="F5818" s="12">
        <v>9.1399999999999999E-5</v>
      </c>
    </row>
    <row r="5819" spans="1:6">
      <c r="A5819" s="10">
        <v>2023</v>
      </c>
      <c r="B5819" t="s">
        <v>1397</v>
      </c>
      <c r="C5819" t="s">
        <v>2356</v>
      </c>
      <c r="D5819" t="s">
        <v>2356</v>
      </c>
      <c r="E5819" s="10">
        <v>45307</v>
      </c>
      <c r="F5819" s="12">
        <v>2.9099999999999999E-5</v>
      </c>
    </row>
    <row r="5820" spans="1:6">
      <c r="A5820" s="10">
        <v>2023</v>
      </c>
      <c r="B5820" t="s">
        <v>88</v>
      </c>
      <c r="C5820" t="s">
        <v>1589</v>
      </c>
      <c r="D5820" t="s">
        <v>1589</v>
      </c>
      <c r="E5820" s="10">
        <v>95503</v>
      </c>
      <c r="F5820" s="12">
        <v>6.1400000000000002E-5</v>
      </c>
    </row>
    <row r="5821" spans="1:6">
      <c r="A5821" s="10">
        <v>2023</v>
      </c>
      <c r="B5821" t="s">
        <v>90</v>
      </c>
      <c r="C5821" t="s">
        <v>1590</v>
      </c>
      <c r="D5821" t="s">
        <v>1590</v>
      </c>
      <c r="E5821" s="10"/>
    </row>
    <row r="5822" spans="1:6">
      <c r="A5822" s="10">
        <v>2023</v>
      </c>
      <c r="B5822" t="s">
        <v>87</v>
      </c>
      <c r="C5822" t="s">
        <v>2357</v>
      </c>
      <c r="D5822" t="s">
        <v>2357</v>
      </c>
      <c r="E5822" s="10">
        <v>126983</v>
      </c>
      <c r="F5822" s="12">
        <v>8.1600000000000005E-5</v>
      </c>
    </row>
    <row r="5823" spans="1:6">
      <c r="A5823" s="10">
        <v>2023</v>
      </c>
      <c r="B5823" t="s">
        <v>92</v>
      </c>
      <c r="C5823" t="s">
        <v>2419</v>
      </c>
      <c r="D5823" t="s">
        <v>2419</v>
      </c>
      <c r="E5823" s="10">
        <v>138536</v>
      </c>
      <c r="F5823" s="12">
        <v>8.8999999999999995E-5</v>
      </c>
    </row>
    <row r="5824" spans="1:6">
      <c r="A5824" s="10">
        <v>2023</v>
      </c>
      <c r="B5824" t="s">
        <v>93</v>
      </c>
      <c r="C5824" t="s">
        <v>1593</v>
      </c>
      <c r="D5824" t="s">
        <v>1593</v>
      </c>
      <c r="E5824" s="10">
        <v>86288</v>
      </c>
      <c r="F5824" s="12">
        <v>5.5500000000000001E-5</v>
      </c>
    </row>
    <row r="5825" spans="1:6">
      <c r="A5825" s="10">
        <v>2023</v>
      </c>
      <c r="B5825" t="s">
        <v>94</v>
      </c>
      <c r="C5825" t="s">
        <v>2420</v>
      </c>
      <c r="D5825" t="s">
        <v>2420</v>
      </c>
      <c r="E5825" s="10">
        <v>10852</v>
      </c>
      <c r="F5825" s="12">
        <v>6.9999999999999999E-6</v>
      </c>
    </row>
    <row r="5826" spans="1:6">
      <c r="A5826" s="10">
        <v>2023</v>
      </c>
      <c r="B5826" t="s">
        <v>95</v>
      </c>
      <c r="C5826" t="s">
        <v>1595</v>
      </c>
      <c r="D5826" t="s">
        <v>1595</v>
      </c>
      <c r="E5826" s="10">
        <v>166015</v>
      </c>
      <c r="F5826" s="12">
        <v>1.0670000000000001E-4</v>
      </c>
    </row>
    <row r="5827" spans="1:6">
      <c r="A5827" s="10">
        <v>2023</v>
      </c>
      <c r="B5827" t="s">
        <v>100</v>
      </c>
      <c r="C5827" t="s">
        <v>1596</v>
      </c>
      <c r="D5827" t="s">
        <v>1596</v>
      </c>
      <c r="E5827" s="10">
        <v>30481</v>
      </c>
      <c r="F5827" s="12">
        <v>1.9599999999999999E-5</v>
      </c>
    </row>
    <row r="5828" spans="1:6">
      <c r="A5828" s="10">
        <v>2023</v>
      </c>
      <c r="B5828" t="s">
        <v>101</v>
      </c>
      <c r="C5828" t="s">
        <v>1599</v>
      </c>
      <c r="D5828" t="s">
        <v>1599</v>
      </c>
      <c r="E5828" s="10">
        <v>416017</v>
      </c>
      <c r="F5828" s="12">
        <v>2.6739999999999999E-4</v>
      </c>
    </row>
    <row r="5829" spans="1:6">
      <c r="A5829" s="10">
        <v>2023</v>
      </c>
      <c r="B5829" t="s">
        <v>103</v>
      </c>
      <c r="C5829" t="s">
        <v>2421</v>
      </c>
      <c r="D5829" t="s">
        <v>2421</v>
      </c>
      <c r="E5829" s="10">
        <v>15289</v>
      </c>
      <c r="F5829" s="12">
        <v>9.7999999999999993E-6</v>
      </c>
    </row>
    <row r="5830" spans="1:6">
      <c r="A5830" s="10">
        <v>2023</v>
      </c>
      <c r="B5830" t="s">
        <v>105</v>
      </c>
      <c r="C5830" t="s">
        <v>1601</v>
      </c>
      <c r="D5830" t="s">
        <v>1601</v>
      </c>
      <c r="E5830" s="10">
        <v>281477</v>
      </c>
      <c r="F5830" s="12">
        <v>1.8090000000000001E-4</v>
      </c>
    </row>
    <row r="5831" spans="1:6">
      <c r="A5831" s="10">
        <v>2023</v>
      </c>
      <c r="B5831" t="s">
        <v>166</v>
      </c>
      <c r="C5831" t="s">
        <v>1602</v>
      </c>
      <c r="D5831" t="s">
        <v>1602</v>
      </c>
      <c r="E5831" s="10">
        <v>23529</v>
      </c>
      <c r="F5831" s="12">
        <v>1.5099999999999999E-5</v>
      </c>
    </row>
    <row r="5832" spans="1:6">
      <c r="A5832" s="10">
        <v>2023</v>
      </c>
      <c r="B5832" t="s">
        <v>86</v>
      </c>
      <c r="C5832" t="s">
        <v>1603</v>
      </c>
      <c r="D5832" t="s">
        <v>1603</v>
      </c>
      <c r="E5832" s="10">
        <v>21664</v>
      </c>
      <c r="F5832" s="12">
        <v>1.3900000000000001E-5</v>
      </c>
    </row>
    <row r="5833" spans="1:6">
      <c r="A5833" s="10">
        <v>2023</v>
      </c>
      <c r="B5833" t="s">
        <v>110</v>
      </c>
      <c r="C5833" t="s">
        <v>1604</v>
      </c>
      <c r="D5833" t="s">
        <v>1604</v>
      </c>
      <c r="E5833" s="10">
        <v>137542</v>
      </c>
      <c r="F5833" s="12">
        <v>8.8399999999999994E-5</v>
      </c>
    </row>
    <row r="5834" spans="1:6">
      <c r="A5834" s="10">
        <v>2023</v>
      </c>
      <c r="B5834" t="s">
        <v>1409</v>
      </c>
      <c r="C5834" t="s">
        <v>1605</v>
      </c>
      <c r="D5834" t="s">
        <v>1605</v>
      </c>
      <c r="E5834" s="10">
        <v>1401763</v>
      </c>
      <c r="F5834" s="12">
        <v>9.0090000000000005E-4</v>
      </c>
    </row>
    <row r="5835" spans="1:6">
      <c r="A5835" s="10">
        <v>2023</v>
      </c>
      <c r="B5835" t="s">
        <v>195</v>
      </c>
      <c r="C5835" t="s">
        <v>1606</v>
      </c>
      <c r="D5835" t="s">
        <v>1606</v>
      </c>
      <c r="E5835" s="10">
        <v>809838</v>
      </c>
      <c r="F5835" s="12">
        <v>5.2050000000000002E-4</v>
      </c>
    </row>
    <row r="5836" spans="1:6">
      <c r="A5836" s="10">
        <v>2023</v>
      </c>
      <c r="B5836" t="s">
        <v>218</v>
      </c>
      <c r="C5836" t="s">
        <v>1607</v>
      </c>
      <c r="D5836" t="s">
        <v>1607</v>
      </c>
      <c r="E5836" s="10">
        <v>541452</v>
      </c>
      <c r="F5836" s="12">
        <v>3.48E-4</v>
      </c>
    </row>
    <row r="5837" spans="1:6">
      <c r="A5837" s="10">
        <v>2023</v>
      </c>
      <c r="B5837" t="s">
        <v>1410</v>
      </c>
      <c r="C5837" t="s">
        <v>243</v>
      </c>
      <c r="D5837" t="s">
        <v>243</v>
      </c>
      <c r="E5837" s="10">
        <v>107874</v>
      </c>
      <c r="F5837" s="12">
        <v>6.9300000000000004E-5</v>
      </c>
    </row>
    <row r="5838" spans="1:6">
      <c r="A5838" s="10">
        <v>2023</v>
      </c>
      <c r="B5838" t="s">
        <v>1411</v>
      </c>
      <c r="C5838" t="s">
        <v>244</v>
      </c>
      <c r="D5838" t="s">
        <v>244</v>
      </c>
      <c r="E5838" s="10">
        <v>1366124</v>
      </c>
      <c r="F5838" s="12">
        <v>8.7799999999999998E-4</v>
      </c>
    </row>
    <row r="5839" spans="1:6">
      <c r="A5839" s="10">
        <v>2023</v>
      </c>
      <c r="B5839" t="s">
        <v>1394</v>
      </c>
      <c r="C5839" t="s">
        <v>1608</v>
      </c>
      <c r="D5839" t="s">
        <v>1608</v>
      </c>
      <c r="E5839" s="10">
        <v>6083</v>
      </c>
      <c r="F5839" s="12">
        <v>3.8999999999999999E-6</v>
      </c>
    </row>
    <row r="5840" spans="1:6">
      <c r="A5840" s="10">
        <v>2023</v>
      </c>
      <c r="B5840" t="s">
        <v>1412</v>
      </c>
      <c r="C5840" t="s">
        <v>1609</v>
      </c>
      <c r="D5840" t="s">
        <v>1609</v>
      </c>
      <c r="E5840" s="10">
        <v>3632629</v>
      </c>
      <c r="F5840" s="12">
        <v>2.3346E-3</v>
      </c>
    </row>
    <row r="5841" spans="1:6">
      <c r="A5841" s="10">
        <v>2023</v>
      </c>
      <c r="B5841" t="s">
        <v>1413</v>
      </c>
      <c r="C5841" t="s">
        <v>246</v>
      </c>
      <c r="D5841" t="s">
        <v>246</v>
      </c>
      <c r="E5841" s="10">
        <v>866623</v>
      </c>
      <c r="F5841" s="12">
        <v>5.5699999999999999E-4</v>
      </c>
    </row>
    <row r="5842" spans="1:6">
      <c r="A5842" s="10">
        <v>2023</v>
      </c>
      <c r="B5842" t="s">
        <v>1414</v>
      </c>
      <c r="C5842" t="s">
        <v>247</v>
      </c>
      <c r="D5842" t="s">
        <v>247</v>
      </c>
      <c r="E5842" s="10">
        <v>297109</v>
      </c>
      <c r="F5842" s="12">
        <v>1.9090000000000001E-4</v>
      </c>
    </row>
    <row r="5843" spans="1:6">
      <c r="A5843" s="10">
        <v>2023</v>
      </c>
      <c r="B5843" t="s">
        <v>1415</v>
      </c>
      <c r="C5843" t="s">
        <v>248</v>
      </c>
      <c r="D5843" t="s">
        <v>248</v>
      </c>
      <c r="E5843" s="10">
        <v>60617178</v>
      </c>
      <c r="F5843" s="12">
        <v>3.8956900000000003E-2</v>
      </c>
    </row>
    <row r="5844" spans="1:6">
      <c r="A5844" s="10">
        <v>2023</v>
      </c>
      <c r="B5844" t="s">
        <v>1417</v>
      </c>
      <c r="C5844" t="s">
        <v>1610</v>
      </c>
      <c r="D5844" t="s">
        <v>1610</v>
      </c>
      <c r="E5844" s="10">
        <v>32195</v>
      </c>
      <c r="F5844" s="12">
        <v>2.0699999999999998E-5</v>
      </c>
    </row>
    <row r="5845" spans="1:6">
      <c r="A5845" s="10">
        <v>2023</v>
      </c>
      <c r="B5845" t="s">
        <v>1416</v>
      </c>
      <c r="C5845" t="s">
        <v>249</v>
      </c>
      <c r="D5845" t="s">
        <v>249</v>
      </c>
      <c r="E5845" s="10">
        <v>4187131</v>
      </c>
      <c r="F5845" s="12">
        <v>2.6909E-3</v>
      </c>
    </row>
    <row r="5846" spans="1:6">
      <c r="A5846" s="10">
        <v>2023</v>
      </c>
      <c r="B5846" t="s">
        <v>1418</v>
      </c>
      <c r="C5846" t="s">
        <v>1611</v>
      </c>
      <c r="D5846" t="s">
        <v>1611</v>
      </c>
      <c r="E5846" s="10"/>
    </row>
    <row r="5847" spans="1:6">
      <c r="A5847" s="10">
        <v>2023</v>
      </c>
      <c r="B5847" t="s">
        <v>1419</v>
      </c>
      <c r="C5847" t="s">
        <v>252</v>
      </c>
      <c r="D5847" t="s">
        <v>252</v>
      </c>
      <c r="E5847" s="10">
        <v>3401932</v>
      </c>
      <c r="F5847" s="12">
        <v>2.1863E-3</v>
      </c>
    </row>
    <row r="5848" spans="1:6">
      <c r="A5848" s="10">
        <v>2023</v>
      </c>
      <c r="B5848" t="s">
        <v>1420</v>
      </c>
      <c r="C5848" t="s">
        <v>1612</v>
      </c>
      <c r="D5848" t="s">
        <v>1612</v>
      </c>
      <c r="E5848" s="10">
        <v>244740</v>
      </c>
      <c r="F5848" s="12">
        <v>1.573E-4</v>
      </c>
    </row>
    <row r="5849" spans="1:6">
      <c r="A5849" s="10">
        <v>2023</v>
      </c>
      <c r="B5849" t="s">
        <v>1015</v>
      </c>
      <c r="C5849" t="s">
        <v>1613</v>
      </c>
      <c r="D5849" t="s">
        <v>1613</v>
      </c>
      <c r="E5849" s="10">
        <v>534040</v>
      </c>
      <c r="F5849" s="12">
        <v>3.4319999999999999E-4</v>
      </c>
    </row>
    <row r="5850" spans="1:6">
      <c r="A5850" s="10">
        <v>2023</v>
      </c>
      <c r="B5850" t="s">
        <v>1014</v>
      </c>
      <c r="C5850" t="s">
        <v>1614</v>
      </c>
      <c r="D5850" t="s">
        <v>1614</v>
      </c>
      <c r="E5850" s="10"/>
    </row>
    <row r="5851" spans="1:6">
      <c r="A5851" s="10">
        <v>2023</v>
      </c>
      <c r="B5851" t="s">
        <v>1421</v>
      </c>
      <c r="C5851" t="s">
        <v>1615</v>
      </c>
      <c r="D5851" t="s">
        <v>1615</v>
      </c>
      <c r="E5851" s="10">
        <v>36204</v>
      </c>
      <c r="F5851" s="12">
        <v>2.3300000000000001E-5</v>
      </c>
    </row>
    <row r="5852" spans="1:6">
      <c r="A5852" s="10">
        <v>2023</v>
      </c>
      <c r="B5852" t="s">
        <v>1422</v>
      </c>
      <c r="C5852" t="s">
        <v>1616</v>
      </c>
      <c r="D5852" t="s">
        <v>1616</v>
      </c>
      <c r="E5852" s="10">
        <v>230463</v>
      </c>
      <c r="F5852" s="12">
        <v>1.4809999999999999E-4</v>
      </c>
    </row>
    <row r="5853" spans="1:6">
      <c r="A5853" s="10">
        <v>2023</v>
      </c>
      <c r="B5853" t="s">
        <v>1423</v>
      </c>
      <c r="C5853" t="s">
        <v>256</v>
      </c>
      <c r="D5853" t="s">
        <v>256</v>
      </c>
      <c r="E5853" s="10">
        <v>5128221</v>
      </c>
      <c r="F5853" s="12">
        <v>3.2958000000000002E-3</v>
      </c>
    </row>
    <row r="5854" spans="1:6">
      <c r="A5854" s="10">
        <v>2023</v>
      </c>
      <c r="B5854" t="s">
        <v>1424</v>
      </c>
      <c r="C5854" t="s">
        <v>257</v>
      </c>
      <c r="D5854" t="s">
        <v>257</v>
      </c>
      <c r="E5854" s="10">
        <v>4147687</v>
      </c>
      <c r="F5854" s="12">
        <v>2.6656000000000002E-3</v>
      </c>
    </row>
    <row r="5855" spans="1:6">
      <c r="A5855" s="10">
        <v>2023</v>
      </c>
      <c r="B5855" t="s">
        <v>370</v>
      </c>
      <c r="C5855" t="s">
        <v>1617</v>
      </c>
      <c r="D5855" t="s">
        <v>1617</v>
      </c>
      <c r="E5855" s="10">
        <v>4129540</v>
      </c>
      <c r="F5855" s="12">
        <v>2.6538999999999998E-3</v>
      </c>
    </row>
    <row r="5856" spans="1:6">
      <c r="A5856" s="10">
        <v>2023</v>
      </c>
      <c r="B5856" t="s">
        <v>1425</v>
      </c>
      <c r="C5856" t="s">
        <v>258</v>
      </c>
      <c r="D5856" t="s">
        <v>258</v>
      </c>
      <c r="E5856" s="10">
        <v>59235</v>
      </c>
      <c r="F5856" s="12">
        <v>3.8099999999999998E-5</v>
      </c>
    </row>
    <row r="5857" spans="1:6">
      <c r="A5857" s="10">
        <v>2023</v>
      </c>
      <c r="B5857" t="s">
        <v>1429</v>
      </c>
      <c r="C5857" t="s">
        <v>2422</v>
      </c>
      <c r="D5857" t="s">
        <v>2422</v>
      </c>
      <c r="E5857" s="10">
        <v>1350733</v>
      </c>
      <c r="F5857" s="12">
        <v>8.6810000000000001E-4</v>
      </c>
    </row>
    <row r="5858" spans="1:6">
      <c r="A5858" s="10">
        <v>2023</v>
      </c>
      <c r="B5858" t="s">
        <v>1430</v>
      </c>
      <c r="C5858" t="s">
        <v>1619</v>
      </c>
      <c r="D5858" t="s">
        <v>1619</v>
      </c>
      <c r="E5858" s="10">
        <v>488301</v>
      </c>
      <c r="F5858" s="12">
        <v>3.1379999999999998E-4</v>
      </c>
    </row>
    <row r="5859" spans="1:6">
      <c r="A5859" s="10">
        <v>2023</v>
      </c>
      <c r="B5859" t="s">
        <v>1431</v>
      </c>
      <c r="C5859" t="s">
        <v>264</v>
      </c>
      <c r="D5859" t="s">
        <v>264</v>
      </c>
      <c r="E5859" s="10">
        <v>397689</v>
      </c>
      <c r="F5859" s="12">
        <v>2.5559999999999998E-4</v>
      </c>
    </row>
    <row r="5860" spans="1:6">
      <c r="A5860" s="10">
        <v>2023</v>
      </c>
      <c r="B5860" t="s">
        <v>1432</v>
      </c>
      <c r="C5860" t="s">
        <v>265</v>
      </c>
      <c r="D5860" t="s">
        <v>265</v>
      </c>
      <c r="E5860" s="10">
        <v>408428</v>
      </c>
      <c r="F5860" s="12">
        <v>2.6249999999999998E-4</v>
      </c>
    </row>
    <row r="5861" spans="1:6">
      <c r="A5861" s="10">
        <v>2023</v>
      </c>
      <c r="B5861" t="s">
        <v>1433</v>
      </c>
      <c r="C5861" t="s">
        <v>266</v>
      </c>
      <c r="D5861" t="s">
        <v>266</v>
      </c>
      <c r="E5861" s="10">
        <v>258144</v>
      </c>
      <c r="F5861" s="12">
        <v>1.6589999999999999E-4</v>
      </c>
    </row>
    <row r="5862" spans="1:6">
      <c r="A5862" s="10">
        <v>2023</v>
      </c>
      <c r="B5862" t="s">
        <v>1434</v>
      </c>
      <c r="C5862" t="s">
        <v>1620</v>
      </c>
      <c r="D5862" t="s">
        <v>1620</v>
      </c>
      <c r="E5862" s="10">
        <v>2051789</v>
      </c>
      <c r="F5862" s="12">
        <v>1.3186000000000001E-3</v>
      </c>
    </row>
    <row r="5863" spans="1:6">
      <c r="A5863" s="10">
        <v>2023</v>
      </c>
      <c r="B5863" t="s">
        <v>1435</v>
      </c>
      <c r="C5863" t="s">
        <v>2359</v>
      </c>
      <c r="D5863" t="s">
        <v>2359</v>
      </c>
      <c r="E5863" s="10">
        <v>229555</v>
      </c>
      <c r="F5863" s="12">
        <v>1.4750000000000001E-4</v>
      </c>
    </row>
    <row r="5864" spans="1:6">
      <c r="A5864" s="10">
        <v>2023</v>
      </c>
      <c r="B5864" t="s">
        <v>1436</v>
      </c>
      <c r="C5864" t="s">
        <v>269</v>
      </c>
      <c r="D5864" t="s">
        <v>269</v>
      </c>
      <c r="E5864" s="10">
        <v>254652</v>
      </c>
      <c r="F5864" s="12">
        <v>1.6369999999999999E-4</v>
      </c>
    </row>
    <row r="5865" spans="1:6">
      <c r="A5865" s="10">
        <v>2023</v>
      </c>
      <c r="B5865" t="s">
        <v>1437</v>
      </c>
      <c r="C5865" t="s">
        <v>270</v>
      </c>
      <c r="D5865" t="s">
        <v>270</v>
      </c>
      <c r="E5865" s="10">
        <v>1660616</v>
      </c>
      <c r="F5865" s="12">
        <v>1.0671999999999999E-3</v>
      </c>
    </row>
    <row r="5866" spans="1:6">
      <c r="A5866" s="10">
        <v>2023</v>
      </c>
      <c r="B5866" t="s">
        <v>1438</v>
      </c>
      <c r="C5866" t="s">
        <v>1622</v>
      </c>
      <c r="D5866" t="s">
        <v>1622</v>
      </c>
      <c r="E5866" s="10">
        <v>1041655</v>
      </c>
      <c r="F5866" s="12">
        <v>6.6940000000000001E-4</v>
      </c>
    </row>
    <row r="5867" spans="1:6">
      <c r="A5867" s="10">
        <v>2023</v>
      </c>
      <c r="B5867" t="s">
        <v>371</v>
      </c>
      <c r="C5867" t="s">
        <v>1623</v>
      </c>
      <c r="D5867" t="s">
        <v>1623</v>
      </c>
      <c r="E5867" s="10">
        <v>325877</v>
      </c>
      <c r="F5867" s="12">
        <v>2.0939999999999999E-4</v>
      </c>
    </row>
    <row r="5868" spans="1:6">
      <c r="A5868" s="10">
        <v>2023</v>
      </c>
      <c r="B5868" t="s">
        <v>1439</v>
      </c>
      <c r="C5868" t="s">
        <v>1624</v>
      </c>
      <c r="D5868" t="s">
        <v>1624</v>
      </c>
      <c r="E5868" s="10">
        <v>127811</v>
      </c>
      <c r="F5868" s="12">
        <v>8.2100000000000003E-5</v>
      </c>
    </row>
    <row r="5869" spans="1:6">
      <c r="A5869" s="10">
        <v>2023</v>
      </c>
      <c r="B5869" t="s">
        <v>1440</v>
      </c>
      <c r="C5869" t="s">
        <v>1625</v>
      </c>
      <c r="D5869" t="s">
        <v>1625</v>
      </c>
      <c r="E5869" s="10">
        <v>478882</v>
      </c>
      <c r="F5869" s="12">
        <v>3.078E-4</v>
      </c>
    </row>
    <row r="5870" spans="1:6">
      <c r="A5870" s="10">
        <v>2023</v>
      </c>
      <c r="B5870" t="s">
        <v>372</v>
      </c>
      <c r="C5870" t="s">
        <v>1626</v>
      </c>
      <c r="D5870" t="s">
        <v>1626</v>
      </c>
      <c r="E5870" s="10">
        <v>240180</v>
      </c>
      <c r="F5870" s="12">
        <v>1.5440000000000001E-4</v>
      </c>
    </row>
    <row r="5871" spans="1:6">
      <c r="A5871" s="10">
        <v>2023</v>
      </c>
      <c r="B5871" t="s">
        <v>1441</v>
      </c>
      <c r="C5871" t="s">
        <v>274</v>
      </c>
      <c r="D5871" t="s">
        <v>274</v>
      </c>
      <c r="E5871" s="10"/>
    </row>
    <row r="5872" spans="1:6">
      <c r="A5872" s="10">
        <v>2023</v>
      </c>
      <c r="B5872" t="s">
        <v>1442</v>
      </c>
      <c r="C5872" t="s">
        <v>1627</v>
      </c>
      <c r="D5872" t="s">
        <v>1627</v>
      </c>
      <c r="E5872" s="10">
        <v>10432</v>
      </c>
      <c r="F5872" s="12">
        <v>6.7000000000000002E-6</v>
      </c>
    </row>
    <row r="5873" spans="1:6">
      <c r="A5873" s="10">
        <v>2023</v>
      </c>
      <c r="B5873" t="s">
        <v>1443</v>
      </c>
      <c r="C5873" t="s">
        <v>1628</v>
      </c>
      <c r="D5873" t="s">
        <v>1628</v>
      </c>
      <c r="E5873" s="10">
        <v>1398733</v>
      </c>
      <c r="F5873" s="12">
        <v>8.989E-4</v>
      </c>
    </row>
    <row r="5874" spans="1:6">
      <c r="A5874" s="10">
        <v>2023</v>
      </c>
      <c r="B5874" t="s">
        <v>332</v>
      </c>
      <c r="C5874" t="s">
        <v>1630</v>
      </c>
      <c r="D5874" t="s">
        <v>1630</v>
      </c>
      <c r="E5874" s="10">
        <v>132712</v>
      </c>
      <c r="F5874" s="12">
        <v>8.53E-5</v>
      </c>
    </row>
    <row r="5875" spans="1:6">
      <c r="A5875" s="10">
        <v>2023</v>
      </c>
      <c r="B5875" t="s">
        <v>333</v>
      </c>
      <c r="C5875" t="s">
        <v>1631</v>
      </c>
      <c r="D5875" t="s">
        <v>1631</v>
      </c>
      <c r="E5875" s="10">
        <v>65762</v>
      </c>
      <c r="F5875" s="12">
        <v>4.2299999999999998E-5</v>
      </c>
    </row>
    <row r="5876" spans="1:6">
      <c r="A5876" s="10">
        <v>2023</v>
      </c>
      <c r="B5876" t="s">
        <v>334</v>
      </c>
      <c r="C5876" t="s">
        <v>1632</v>
      </c>
      <c r="D5876" t="s">
        <v>1632</v>
      </c>
      <c r="E5876" s="10">
        <v>65745</v>
      </c>
      <c r="F5876" s="12">
        <v>4.2299999999999998E-5</v>
      </c>
    </row>
    <row r="5877" spans="1:6">
      <c r="A5877" s="10">
        <v>2023</v>
      </c>
      <c r="B5877" t="s">
        <v>335</v>
      </c>
      <c r="C5877" t="s">
        <v>1633</v>
      </c>
      <c r="D5877" t="s">
        <v>1633</v>
      </c>
      <c r="E5877" s="10">
        <v>3767371</v>
      </c>
      <c r="F5877" s="12">
        <v>2.4212000000000001E-3</v>
      </c>
    </row>
    <row r="5878" spans="1:6">
      <c r="A5878" s="10">
        <v>2023</v>
      </c>
      <c r="B5878" t="s">
        <v>336</v>
      </c>
      <c r="C5878" t="s">
        <v>1634</v>
      </c>
      <c r="D5878" t="s">
        <v>1634</v>
      </c>
      <c r="E5878" s="10">
        <v>3416825</v>
      </c>
      <c r="F5878" s="12">
        <v>2.1959000000000002E-3</v>
      </c>
    </row>
    <row r="5879" spans="1:6">
      <c r="A5879" s="10">
        <v>2023</v>
      </c>
      <c r="B5879" t="s">
        <v>337</v>
      </c>
      <c r="C5879" t="s">
        <v>283</v>
      </c>
      <c r="D5879" t="s">
        <v>283</v>
      </c>
      <c r="E5879" s="10">
        <v>297681</v>
      </c>
      <c r="F5879" s="12">
        <v>1.9129999999999999E-4</v>
      </c>
    </row>
    <row r="5880" spans="1:6">
      <c r="A5880" s="10">
        <v>2023</v>
      </c>
      <c r="B5880" t="s">
        <v>338</v>
      </c>
      <c r="C5880" t="s">
        <v>1635</v>
      </c>
      <c r="D5880" t="s">
        <v>1635</v>
      </c>
      <c r="E5880" s="10">
        <v>97132</v>
      </c>
      <c r="F5880" s="12">
        <v>6.2399999999999999E-5</v>
      </c>
    </row>
    <row r="5881" spans="1:6">
      <c r="A5881" s="10">
        <v>2023</v>
      </c>
      <c r="B5881" t="s">
        <v>373</v>
      </c>
      <c r="C5881" t="s">
        <v>1636</v>
      </c>
      <c r="D5881" t="s">
        <v>1636</v>
      </c>
      <c r="E5881" s="10">
        <v>4222916</v>
      </c>
      <c r="F5881" s="12">
        <v>2.7139E-3</v>
      </c>
    </row>
    <row r="5882" spans="1:6">
      <c r="A5882" s="10">
        <v>2023</v>
      </c>
      <c r="B5882" t="s">
        <v>339</v>
      </c>
      <c r="C5882" t="s">
        <v>1637</v>
      </c>
      <c r="D5882" t="s">
        <v>1637</v>
      </c>
      <c r="E5882" s="10">
        <v>1348171</v>
      </c>
      <c r="F5882" s="12">
        <v>8.6640000000000003E-4</v>
      </c>
    </row>
    <row r="5883" spans="1:6">
      <c r="A5883" s="10">
        <v>2023</v>
      </c>
      <c r="B5883" t="s">
        <v>340</v>
      </c>
      <c r="C5883" t="s">
        <v>286</v>
      </c>
      <c r="D5883" t="s">
        <v>286</v>
      </c>
      <c r="E5883" s="10">
        <v>155950</v>
      </c>
      <c r="F5883" s="12">
        <v>1.002E-4</v>
      </c>
    </row>
    <row r="5884" spans="1:6">
      <c r="A5884" s="10">
        <v>2023</v>
      </c>
      <c r="B5884" t="s">
        <v>342</v>
      </c>
      <c r="C5884" t="s">
        <v>1638</v>
      </c>
      <c r="D5884" t="s">
        <v>1638</v>
      </c>
      <c r="E5884" s="10">
        <v>1171451</v>
      </c>
      <c r="F5884" s="12">
        <v>7.5290000000000003E-4</v>
      </c>
    </row>
    <row r="5885" spans="1:6">
      <c r="A5885" s="10">
        <v>2023</v>
      </c>
      <c r="B5885" t="s">
        <v>1219</v>
      </c>
      <c r="C5885" t="s">
        <v>1639</v>
      </c>
      <c r="D5885" t="s">
        <v>1639</v>
      </c>
      <c r="E5885" s="10">
        <v>574932</v>
      </c>
      <c r="F5885" s="12">
        <v>3.6949999999999998E-4</v>
      </c>
    </row>
    <row r="5886" spans="1:6">
      <c r="A5886" s="10">
        <v>2023</v>
      </c>
      <c r="B5886" t="s">
        <v>343</v>
      </c>
      <c r="C5886" t="s">
        <v>1640</v>
      </c>
      <c r="D5886" t="s">
        <v>1640</v>
      </c>
      <c r="E5886" s="10">
        <v>152232</v>
      </c>
      <c r="F5886" s="12">
        <v>9.7800000000000006E-5</v>
      </c>
    </row>
    <row r="5887" spans="1:6">
      <c r="A5887" s="10">
        <v>2023</v>
      </c>
      <c r="B5887" t="s">
        <v>344</v>
      </c>
      <c r="C5887" t="s">
        <v>290</v>
      </c>
      <c r="D5887" t="s">
        <v>290</v>
      </c>
      <c r="E5887" s="10">
        <v>60257</v>
      </c>
      <c r="F5887" s="12">
        <v>3.8699999999999999E-5</v>
      </c>
    </row>
    <row r="5888" spans="1:6">
      <c r="A5888" s="10">
        <v>2023</v>
      </c>
      <c r="B5888" t="s">
        <v>1220</v>
      </c>
      <c r="C5888" t="s">
        <v>1641</v>
      </c>
      <c r="D5888" t="s">
        <v>1641</v>
      </c>
      <c r="E5888" s="10">
        <v>174930</v>
      </c>
      <c r="F5888" s="12">
        <v>1.1239999999999999E-4</v>
      </c>
    </row>
    <row r="5889" spans="1:6">
      <c r="A5889" s="10">
        <v>2023</v>
      </c>
      <c r="B5889" t="s">
        <v>345</v>
      </c>
      <c r="C5889" t="s">
        <v>1642</v>
      </c>
      <c r="D5889" t="s">
        <v>1642</v>
      </c>
      <c r="E5889" s="10">
        <v>75095</v>
      </c>
      <c r="F5889" s="12">
        <v>4.8300000000000002E-5</v>
      </c>
    </row>
    <row r="5890" spans="1:6">
      <c r="A5890" s="10">
        <v>2023</v>
      </c>
      <c r="B5890" t="s">
        <v>346</v>
      </c>
      <c r="C5890" t="s">
        <v>1643</v>
      </c>
      <c r="D5890" t="s">
        <v>1643</v>
      </c>
      <c r="E5890" s="10">
        <v>11838004</v>
      </c>
      <c r="F5890" s="12">
        <v>7.6078999999999999E-3</v>
      </c>
    </row>
    <row r="5891" spans="1:6">
      <c r="A5891" s="10">
        <v>2023</v>
      </c>
      <c r="B5891" t="s">
        <v>347</v>
      </c>
      <c r="C5891" t="s">
        <v>1644</v>
      </c>
      <c r="D5891" t="s">
        <v>1644</v>
      </c>
      <c r="E5891" s="10">
        <v>4551042</v>
      </c>
      <c r="F5891" s="12">
        <v>2.9248E-3</v>
      </c>
    </row>
    <row r="5892" spans="1:6">
      <c r="A5892" s="10">
        <v>2023</v>
      </c>
      <c r="B5892" t="s">
        <v>348</v>
      </c>
      <c r="C5892" t="s">
        <v>1645</v>
      </c>
      <c r="D5892" t="s">
        <v>1645</v>
      </c>
      <c r="E5892" s="10">
        <v>2595610</v>
      </c>
      <c r="F5892" s="12">
        <v>1.6681000000000001E-3</v>
      </c>
    </row>
    <row r="5893" spans="1:6">
      <c r="A5893" s="10">
        <v>2023</v>
      </c>
      <c r="B5893" t="s">
        <v>374</v>
      </c>
      <c r="C5893" t="s">
        <v>1646</v>
      </c>
      <c r="D5893" t="s">
        <v>1646</v>
      </c>
      <c r="E5893" s="10">
        <v>1995448</v>
      </c>
      <c r="F5893" s="12">
        <v>1.2823999999999999E-3</v>
      </c>
    </row>
    <row r="5894" spans="1:6">
      <c r="A5894" s="10">
        <v>2023</v>
      </c>
      <c r="B5894" t="s">
        <v>349</v>
      </c>
      <c r="C5894" t="s">
        <v>1647</v>
      </c>
      <c r="D5894" t="s">
        <v>1647</v>
      </c>
      <c r="E5894" s="10">
        <v>3481242</v>
      </c>
      <c r="F5894" s="12">
        <v>2.2372999999999998E-3</v>
      </c>
    </row>
    <row r="5895" spans="1:6">
      <c r="A5895" s="10">
        <v>2023</v>
      </c>
      <c r="B5895" t="s">
        <v>350</v>
      </c>
      <c r="C5895" t="s">
        <v>1648</v>
      </c>
      <c r="D5895" t="s">
        <v>1648</v>
      </c>
      <c r="E5895" s="10">
        <v>3062825</v>
      </c>
      <c r="F5895" s="12">
        <v>1.9683999999999999E-3</v>
      </c>
    </row>
    <row r="5896" spans="1:6">
      <c r="A5896" s="10">
        <v>2023</v>
      </c>
      <c r="B5896" t="s">
        <v>1221</v>
      </c>
      <c r="C5896" t="s">
        <v>1649</v>
      </c>
      <c r="D5896" t="s">
        <v>1649</v>
      </c>
      <c r="E5896" s="10">
        <v>429865</v>
      </c>
      <c r="F5896" s="12">
        <v>2.7629999999999999E-4</v>
      </c>
    </row>
    <row r="5897" spans="1:6">
      <c r="A5897" s="10">
        <v>2023</v>
      </c>
      <c r="B5897" t="s">
        <v>351</v>
      </c>
      <c r="C5897" t="s">
        <v>297</v>
      </c>
      <c r="D5897" t="s">
        <v>297</v>
      </c>
      <c r="E5897" s="10">
        <v>27925</v>
      </c>
      <c r="F5897" s="12">
        <v>1.7900000000000001E-5</v>
      </c>
    </row>
    <row r="5898" spans="1:6">
      <c r="A5898" s="10">
        <v>2023</v>
      </c>
      <c r="B5898" t="s">
        <v>352</v>
      </c>
      <c r="C5898" t="s">
        <v>2398</v>
      </c>
      <c r="D5898" t="s">
        <v>2398</v>
      </c>
      <c r="E5898" s="10">
        <v>227765</v>
      </c>
      <c r="F5898" s="12">
        <v>1.4640000000000001E-4</v>
      </c>
    </row>
    <row r="5899" spans="1:6">
      <c r="A5899" s="10">
        <v>2023</v>
      </c>
      <c r="B5899" t="s">
        <v>353</v>
      </c>
      <c r="C5899" t="s">
        <v>1650</v>
      </c>
      <c r="D5899" t="s">
        <v>1650</v>
      </c>
      <c r="E5899" s="10">
        <v>64045</v>
      </c>
      <c r="F5899" s="12">
        <v>4.1199999999999999E-5</v>
      </c>
    </row>
    <row r="5900" spans="1:6">
      <c r="A5900" s="10">
        <v>2023</v>
      </c>
      <c r="B5900" t="s">
        <v>354</v>
      </c>
      <c r="C5900" t="s">
        <v>300</v>
      </c>
      <c r="D5900" t="s">
        <v>300</v>
      </c>
      <c r="E5900" s="10">
        <v>2730132</v>
      </c>
      <c r="F5900" s="12">
        <v>1.7546E-3</v>
      </c>
    </row>
    <row r="5901" spans="1:6">
      <c r="A5901" s="10">
        <v>2023</v>
      </c>
      <c r="B5901" t="s">
        <v>1659</v>
      </c>
      <c r="C5901" t="s">
        <v>1651</v>
      </c>
      <c r="D5901" t="s">
        <v>1651</v>
      </c>
      <c r="E5901" s="10">
        <v>267169</v>
      </c>
      <c r="F5901" s="12">
        <v>1.717E-4</v>
      </c>
    </row>
    <row r="5902" spans="1:6">
      <c r="A5902" s="10">
        <v>2023</v>
      </c>
      <c r="B5902" t="s">
        <v>355</v>
      </c>
      <c r="C5902" t="s">
        <v>2423</v>
      </c>
      <c r="D5902" t="s">
        <v>2423</v>
      </c>
      <c r="E5902" s="10">
        <v>450453</v>
      </c>
      <c r="F5902" s="12">
        <v>2.8949999999999999E-4</v>
      </c>
    </row>
    <row r="5903" spans="1:6">
      <c r="A5903" s="10">
        <v>2023</v>
      </c>
      <c r="B5903" t="s">
        <v>356</v>
      </c>
      <c r="C5903" t="s">
        <v>1444</v>
      </c>
      <c r="D5903" t="s">
        <v>1444</v>
      </c>
      <c r="E5903" s="10">
        <v>7119424</v>
      </c>
      <c r="F5903" s="12">
        <v>4.5754000000000003E-3</v>
      </c>
    </row>
    <row r="5904" spans="1:6">
      <c r="A5904" s="10">
        <v>2023</v>
      </c>
      <c r="B5904" t="s">
        <v>357</v>
      </c>
      <c r="C5904" t="s">
        <v>2424</v>
      </c>
      <c r="D5904" t="s">
        <v>2424</v>
      </c>
      <c r="E5904" s="10">
        <v>226756</v>
      </c>
      <c r="F5904" s="12">
        <v>1.4569999999999999E-4</v>
      </c>
    </row>
    <row r="5905" spans="1:6">
      <c r="A5905" s="10">
        <v>2023</v>
      </c>
      <c r="B5905" t="s">
        <v>358</v>
      </c>
      <c r="C5905" t="s">
        <v>304</v>
      </c>
      <c r="D5905" t="s">
        <v>304</v>
      </c>
      <c r="E5905" s="10"/>
    </row>
    <row r="5906" spans="1:6">
      <c r="A5906" s="10">
        <v>2023</v>
      </c>
      <c r="B5906" t="s">
        <v>359</v>
      </c>
      <c r="C5906" t="s">
        <v>305</v>
      </c>
      <c r="D5906" t="s">
        <v>305</v>
      </c>
      <c r="E5906" s="10">
        <v>258912</v>
      </c>
      <c r="F5906" s="12">
        <v>1.6640000000000001E-4</v>
      </c>
    </row>
    <row r="5907" spans="1:6">
      <c r="A5907" s="10">
        <v>2023</v>
      </c>
      <c r="B5907" t="s">
        <v>360</v>
      </c>
      <c r="C5907" t="s">
        <v>1653</v>
      </c>
      <c r="D5907" t="s">
        <v>1653</v>
      </c>
      <c r="E5907" s="10">
        <v>35419976</v>
      </c>
      <c r="F5907" s="12">
        <v>2.27634E-2</v>
      </c>
    </row>
    <row r="5908" spans="1:6">
      <c r="A5908" s="10">
        <v>2023</v>
      </c>
      <c r="B5908" t="s">
        <v>375</v>
      </c>
      <c r="C5908" t="s">
        <v>1654</v>
      </c>
      <c r="D5908" t="s">
        <v>1654</v>
      </c>
      <c r="E5908" s="10">
        <v>10614612</v>
      </c>
      <c r="F5908" s="12">
        <v>6.8217E-3</v>
      </c>
    </row>
    <row r="5909" spans="1:6">
      <c r="A5909" s="10">
        <v>2023</v>
      </c>
      <c r="B5909" t="s">
        <v>361</v>
      </c>
      <c r="C5909" t="s">
        <v>1655</v>
      </c>
      <c r="D5909" t="s">
        <v>1655</v>
      </c>
      <c r="E5909" s="10">
        <v>193999</v>
      </c>
      <c r="F5909" s="12">
        <v>1.247E-4</v>
      </c>
    </row>
    <row r="5910" spans="1:6">
      <c r="A5910" s="10">
        <v>2023</v>
      </c>
      <c r="B5910" t="s">
        <v>362</v>
      </c>
      <c r="C5910" t="s">
        <v>1656</v>
      </c>
      <c r="D5910" t="s">
        <v>1656</v>
      </c>
      <c r="E5910" s="10">
        <v>17605</v>
      </c>
      <c r="F5910" s="12">
        <v>1.13E-5</v>
      </c>
    </row>
    <row r="5911" spans="1:6">
      <c r="A5911" s="10">
        <v>2023</v>
      </c>
      <c r="B5911" t="s">
        <v>363</v>
      </c>
      <c r="C5911" t="s">
        <v>1657</v>
      </c>
      <c r="D5911" t="s">
        <v>1657</v>
      </c>
      <c r="E5911" s="10">
        <v>3915103</v>
      </c>
      <c r="F5911" s="12">
        <v>2.5160999999999998E-3</v>
      </c>
    </row>
    <row r="5912" spans="1:6">
      <c r="A5912" s="10">
        <v>2023</v>
      </c>
      <c r="B5912" t="s">
        <v>364</v>
      </c>
      <c r="C5912" t="s">
        <v>310</v>
      </c>
      <c r="D5912" t="s">
        <v>310</v>
      </c>
      <c r="E5912" s="10"/>
    </row>
    <row r="5913" spans="1:6">
      <c r="A5913" s="10">
        <v>2023</v>
      </c>
      <c r="B5913" t="s">
        <v>365</v>
      </c>
      <c r="C5913" t="s">
        <v>1658</v>
      </c>
      <c r="D5913" t="s">
        <v>1658</v>
      </c>
      <c r="E5913" s="10">
        <v>1606549</v>
      </c>
      <c r="F5913" s="12">
        <v>1.0325E-3</v>
      </c>
    </row>
    <row r="5914" spans="1:6">
      <c r="A5914" s="10">
        <v>2023</v>
      </c>
      <c r="B5914" t="s">
        <v>1222</v>
      </c>
      <c r="C5914" t="s">
        <v>1660</v>
      </c>
      <c r="D5914" t="s">
        <v>1660</v>
      </c>
      <c r="E5914" s="10">
        <v>560484</v>
      </c>
      <c r="F5914" s="12">
        <v>3.6019999999999997E-4</v>
      </c>
    </row>
    <row r="5915" spans="1:6">
      <c r="A5915" s="10">
        <v>2023</v>
      </c>
      <c r="B5915" t="s">
        <v>366</v>
      </c>
      <c r="C5915" t="s">
        <v>312</v>
      </c>
      <c r="D5915" t="s">
        <v>312</v>
      </c>
      <c r="E5915" s="10">
        <v>5809</v>
      </c>
      <c r="F5915" s="12">
        <v>3.7000000000000002E-6</v>
      </c>
    </row>
    <row r="5916" spans="1:6">
      <c r="A5916" s="10">
        <v>2023</v>
      </c>
      <c r="B5916" t="s">
        <v>367</v>
      </c>
      <c r="C5916" t="s">
        <v>313</v>
      </c>
      <c r="D5916" t="s">
        <v>313</v>
      </c>
      <c r="E5916" s="10">
        <v>76753</v>
      </c>
      <c r="F5916" s="12">
        <v>4.9299999999999999E-5</v>
      </c>
    </row>
    <row r="5917" spans="1:6">
      <c r="A5917" s="10">
        <v>2023</v>
      </c>
      <c r="B5917" t="s">
        <v>368</v>
      </c>
      <c r="C5917" t="s">
        <v>1661</v>
      </c>
      <c r="D5917" t="s">
        <v>1661</v>
      </c>
      <c r="E5917" s="10">
        <v>288963</v>
      </c>
      <c r="F5917" s="12">
        <v>1.8569999999999999E-4</v>
      </c>
    </row>
    <row r="5918" spans="1:6">
      <c r="A5918" s="10">
        <v>2023</v>
      </c>
      <c r="B5918" t="s">
        <v>1223</v>
      </c>
      <c r="C5918" t="s">
        <v>1662</v>
      </c>
      <c r="D5918" t="s">
        <v>1662</v>
      </c>
      <c r="E5918" s="10">
        <v>207548</v>
      </c>
      <c r="F5918" s="12">
        <v>1.3339999999999999E-4</v>
      </c>
    </row>
    <row r="5919" spans="1:6">
      <c r="A5919" s="10">
        <v>2023</v>
      </c>
      <c r="B5919" t="s">
        <v>468</v>
      </c>
      <c r="C5919" t="s">
        <v>1663</v>
      </c>
      <c r="D5919" t="s">
        <v>1663</v>
      </c>
      <c r="E5919" s="10">
        <v>321467</v>
      </c>
      <c r="F5919" s="12">
        <v>2.0660000000000001E-4</v>
      </c>
    </row>
    <row r="5920" spans="1:6">
      <c r="A5920" s="10">
        <v>2023</v>
      </c>
      <c r="B5920" t="s">
        <v>1224</v>
      </c>
      <c r="C5920" t="s">
        <v>1665</v>
      </c>
      <c r="D5920" t="s">
        <v>1665</v>
      </c>
      <c r="E5920" s="10">
        <v>101857</v>
      </c>
      <c r="F5920" s="12">
        <v>6.5500000000000006E-5</v>
      </c>
    </row>
    <row r="5921" spans="1:6">
      <c r="A5921" s="10">
        <v>2023</v>
      </c>
      <c r="B5921" t="s">
        <v>470</v>
      </c>
      <c r="C5921" t="s">
        <v>2361</v>
      </c>
      <c r="D5921" t="s">
        <v>2361</v>
      </c>
      <c r="E5921" s="10">
        <v>38709</v>
      </c>
      <c r="F5921" s="12">
        <v>2.4899999999999999E-5</v>
      </c>
    </row>
    <row r="5922" spans="1:6">
      <c r="A5922" s="10">
        <v>2023</v>
      </c>
      <c r="B5922" t="s">
        <v>471</v>
      </c>
      <c r="C5922" t="s">
        <v>416</v>
      </c>
      <c r="D5922" t="s">
        <v>416</v>
      </c>
      <c r="E5922" s="10">
        <v>2687666</v>
      </c>
      <c r="F5922" s="12">
        <v>1.7273E-3</v>
      </c>
    </row>
    <row r="5923" spans="1:6">
      <c r="A5923" s="10">
        <v>2023</v>
      </c>
      <c r="B5923" t="s">
        <v>472</v>
      </c>
      <c r="C5923" t="s">
        <v>417</v>
      </c>
      <c r="D5923" t="s">
        <v>417</v>
      </c>
      <c r="E5923" s="10">
        <v>3662910</v>
      </c>
      <c r="F5923" s="12">
        <v>2.3540000000000002E-3</v>
      </c>
    </row>
    <row r="5924" spans="1:6">
      <c r="A5924" s="10">
        <v>2023</v>
      </c>
      <c r="B5924" t="s">
        <v>2451</v>
      </c>
      <c r="C5924" t="s">
        <v>2449</v>
      </c>
      <c r="D5924" t="s">
        <v>2449</v>
      </c>
      <c r="E5924" s="10">
        <v>5945</v>
      </c>
      <c r="F5924" s="12">
        <v>3.8E-6</v>
      </c>
    </row>
    <row r="5925" spans="1:6">
      <c r="A5925" s="10">
        <v>2023</v>
      </c>
      <c r="B5925" t="s">
        <v>474</v>
      </c>
      <c r="C5925" t="s">
        <v>1666</v>
      </c>
      <c r="D5925" t="s">
        <v>1666</v>
      </c>
      <c r="E5925" s="10">
        <v>84055</v>
      </c>
      <c r="F5925" s="12">
        <v>5.3999999999999998E-5</v>
      </c>
    </row>
    <row r="5926" spans="1:6">
      <c r="A5926" s="10">
        <v>2023</v>
      </c>
      <c r="B5926" t="s">
        <v>475</v>
      </c>
      <c r="C5926" t="s">
        <v>1667</v>
      </c>
      <c r="D5926" t="s">
        <v>1667</v>
      </c>
      <c r="E5926" s="10">
        <v>31092</v>
      </c>
      <c r="F5926" s="12">
        <v>2.0000000000000002E-5</v>
      </c>
    </row>
    <row r="5927" spans="1:6">
      <c r="A5927" s="10">
        <v>2023</v>
      </c>
      <c r="B5927" t="s">
        <v>476</v>
      </c>
      <c r="C5927" t="s">
        <v>421</v>
      </c>
      <c r="D5927" t="s">
        <v>421</v>
      </c>
      <c r="E5927" s="10">
        <v>6206782</v>
      </c>
      <c r="F5927" s="12">
        <v>3.9889000000000001E-3</v>
      </c>
    </row>
    <row r="5928" spans="1:6">
      <c r="A5928" s="10">
        <v>2023</v>
      </c>
      <c r="B5928" t="s">
        <v>477</v>
      </c>
      <c r="C5928" t="s">
        <v>422</v>
      </c>
      <c r="D5928" t="s">
        <v>422</v>
      </c>
      <c r="E5928" s="10">
        <v>1285479</v>
      </c>
      <c r="F5928" s="12">
        <v>8.2609999999999997E-4</v>
      </c>
    </row>
    <row r="5929" spans="1:6">
      <c r="A5929" s="10">
        <v>2023</v>
      </c>
      <c r="B5929" t="s">
        <v>478</v>
      </c>
      <c r="C5929" t="s">
        <v>1668</v>
      </c>
      <c r="D5929" t="s">
        <v>1668</v>
      </c>
      <c r="E5929" s="10">
        <v>168837</v>
      </c>
      <c r="F5929" s="12">
        <v>1.0849999999999999E-4</v>
      </c>
    </row>
    <row r="5930" spans="1:6">
      <c r="A5930" s="10">
        <v>2023</v>
      </c>
      <c r="B5930" t="s">
        <v>479</v>
      </c>
      <c r="C5930" t="s">
        <v>1669</v>
      </c>
      <c r="D5930" t="s">
        <v>1669</v>
      </c>
      <c r="E5930" s="10">
        <v>510952</v>
      </c>
      <c r="F5930" s="12">
        <v>3.2840000000000001E-4</v>
      </c>
    </row>
    <row r="5931" spans="1:6">
      <c r="A5931" s="10">
        <v>2023</v>
      </c>
      <c r="B5931" t="s">
        <v>480</v>
      </c>
      <c r="C5931" t="s">
        <v>1670</v>
      </c>
      <c r="D5931" t="s">
        <v>1670</v>
      </c>
      <c r="E5931" s="10">
        <v>63995</v>
      </c>
      <c r="F5931" s="12">
        <v>4.1100000000000003E-5</v>
      </c>
    </row>
    <row r="5932" spans="1:6">
      <c r="A5932" s="10">
        <v>2023</v>
      </c>
      <c r="B5932" t="s">
        <v>481</v>
      </c>
      <c r="C5932" t="s">
        <v>1671</v>
      </c>
      <c r="D5932" t="s">
        <v>1671</v>
      </c>
      <c r="E5932" s="10">
        <v>1037056</v>
      </c>
      <c r="F5932" s="12">
        <v>6.6649999999999999E-4</v>
      </c>
    </row>
    <row r="5933" spans="1:6">
      <c r="A5933" s="10">
        <v>2023</v>
      </c>
      <c r="B5933" t="s">
        <v>482</v>
      </c>
      <c r="C5933" t="s">
        <v>1672</v>
      </c>
      <c r="D5933" t="s">
        <v>1672</v>
      </c>
      <c r="E5933" s="10">
        <v>220482</v>
      </c>
      <c r="F5933" s="12">
        <v>1.417E-4</v>
      </c>
    </row>
    <row r="5934" spans="1:6">
      <c r="A5934" s="10">
        <v>2023</v>
      </c>
      <c r="B5934" t="s">
        <v>483</v>
      </c>
      <c r="C5934" t="s">
        <v>1673</v>
      </c>
      <c r="D5934" t="s">
        <v>1673</v>
      </c>
      <c r="E5934" s="10">
        <v>168963</v>
      </c>
      <c r="F5934" s="12">
        <v>1.086E-4</v>
      </c>
    </row>
    <row r="5935" spans="1:6">
      <c r="A5935" s="10">
        <v>2023</v>
      </c>
      <c r="B5935" t="s">
        <v>484</v>
      </c>
      <c r="C5935" t="s">
        <v>1674</v>
      </c>
      <c r="D5935" t="s">
        <v>1674</v>
      </c>
      <c r="E5935" s="10">
        <v>469509</v>
      </c>
      <c r="F5935" s="12">
        <v>3.0170000000000002E-4</v>
      </c>
    </row>
    <row r="5936" spans="1:6">
      <c r="A5936" s="10">
        <v>2023</v>
      </c>
      <c r="B5936" t="s">
        <v>485</v>
      </c>
      <c r="C5936" t="s">
        <v>1675</v>
      </c>
      <c r="D5936" t="s">
        <v>1675</v>
      </c>
      <c r="E5936" s="10">
        <v>1868373</v>
      </c>
      <c r="F5936" s="12">
        <v>1.2007000000000001E-3</v>
      </c>
    </row>
    <row r="5937" spans="1:6">
      <c r="A5937" s="10">
        <v>2023</v>
      </c>
      <c r="B5937" t="s">
        <v>376</v>
      </c>
      <c r="C5937" t="s">
        <v>1676</v>
      </c>
      <c r="D5937" t="s">
        <v>1676</v>
      </c>
      <c r="E5937" s="10">
        <v>625716</v>
      </c>
      <c r="F5937" s="12">
        <v>4.0210000000000002E-4</v>
      </c>
    </row>
    <row r="5938" spans="1:6">
      <c r="A5938" s="10">
        <v>2023</v>
      </c>
      <c r="B5938" t="s">
        <v>2365</v>
      </c>
      <c r="C5938" t="s">
        <v>2363</v>
      </c>
      <c r="D5938" t="s">
        <v>2363</v>
      </c>
      <c r="E5938" s="10">
        <v>46510</v>
      </c>
      <c r="F5938" s="12">
        <v>2.9899999999999998E-5</v>
      </c>
    </row>
    <row r="5939" spans="1:6">
      <c r="A5939" s="10">
        <v>2023</v>
      </c>
      <c r="B5939" t="s">
        <v>1690</v>
      </c>
      <c r="C5939" t="s">
        <v>1677</v>
      </c>
      <c r="D5939" t="s">
        <v>1677</v>
      </c>
      <c r="E5939" s="10"/>
    </row>
    <row r="5940" spans="1:6">
      <c r="A5940" s="10">
        <v>2023</v>
      </c>
      <c r="B5940" t="s">
        <v>377</v>
      </c>
      <c r="C5940" t="s">
        <v>1678</v>
      </c>
      <c r="D5940" t="s">
        <v>1678</v>
      </c>
      <c r="E5940" s="10">
        <v>1174423</v>
      </c>
      <c r="F5940" s="12">
        <v>7.5480000000000002E-4</v>
      </c>
    </row>
    <row r="5941" spans="1:6">
      <c r="A5941" s="10">
        <v>2023</v>
      </c>
      <c r="B5941" t="s">
        <v>486</v>
      </c>
      <c r="C5941" t="s">
        <v>1679</v>
      </c>
      <c r="D5941" t="s">
        <v>1679</v>
      </c>
      <c r="E5941" s="10">
        <v>1372023</v>
      </c>
      <c r="F5941" s="12">
        <v>8.8179999999999997E-4</v>
      </c>
    </row>
    <row r="5942" spans="1:6">
      <c r="A5942" s="10">
        <v>2023</v>
      </c>
      <c r="B5942" t="s">
        <v>487</v>
      </c>
      <c r="C5942" t="s">
        <v>432</v>
      </c>
      <c r="D5942" t="s">
        <v>432</v>
      </c>
      <c r="E5942" s="10"/>
    </row>
    <row r="5943" spans="1:6">
      <c r="A5943" s="10">
        <v>2023</v>
      </c>
      <c r="B5943" t="s">
        <v>488</v>
      </c>
      <c r="C5943" t="s">
        <v>1680</v>
      </c>
      <c r="D5943" t="s">
        <v>1680</v>
      </c>
      <c r="E5943" s="10">
        <v>179530</v>
      </c>
      <c r="F5943" s="12">
        <v>1.154E-4</v>
      </c>
    </row>
    <row r="5944" spans="1:6">
      <c r="A5944" s="10">
        <v>2023</v>
      </c>
      <c r="B5944" t="s">
        <v>489</v>
      </c>
      <c r="C5944" t="s">
        <v>434</v>
      </c>
      <c r="D5944" t="s">
        <v>434</v>
      </c>
      <c r="E5944" s="10">
        <v>77591</v>
      </c>
      <c r="F5944" s="12">
        <v>4.99E-5</v>
      </c>
    </row>
    <row r="5945" spans="1:6">
      <c r="A5945" s="10">
        <v>2023</v>
      </c>
      <c r="B5945" t="s">
        <v>490</v>
      </c>
      <c r="C5945" t="s">
        <v>1681</v>
      </c>
      <c r="D5945" t="s">
        <v>1681</v>
      </c>
      <c r="E5945" s="10">
        <v>3968304</v>
      </c>
      <c r="F5945" s="12">
        <v>2.5503000000000001E-3</v>
      </c>
    </row>
    <row r="5946" spans="1:6">
      <c r="A5946" s="10">
        <v>2023</v>
      </c>
      <c r="B5946" t="s">
        <v>491</v>
      </c>
      <c r="C5946" t="s">
        <v>1682</v>
      </c>
      <c r="D5946" t="s">
        <v>1682</v>
      </c>
      <c r="E5946" s="10">
        <v>4795668</v>
      </c>
      <c r="F5946" s="12">
        <v>3.0820000000000001E-3</v>
      </c>
    </row>
    <row r="5947" spans="1:6">
      <c r="A5947" s="10">
        <v>2023</v>
      </c>
      <c r="B5947" t="s">
        <v>492</v>
      </c>
      <c r="C5947" t="s">
        <v>1683</v>
      </c>
      <c r="D5947" t="s">
        <v>1683</v>
      </c>
      <c r="E5947" s="10">
        <v>13779</v>
      </c>
      <c r="F5947" s="12">
        <v>8.8999999999999995E-6</v>
      </c>
    </row>
    <row r="5948" spans="1:6">
      <c r="A5948" s="10">
        <v>2023</v>
      </c>
      <c r="B5948" t="s">
        <v>493</v>
      </c>
      <c r="C5948" t="s">
        <v>1684</v>
      </c>
      <c r="D5948" t="s">
        <v>1684</v>
      </c>
      <c r="E5948" s="10">
        <v>26902</v>
      </c>
      <c r="F5948" s="12">
        <v>1.73E-5</v>
      </c>
    </row>
    <row r="5949" spans="1:6">
      <c r="A5949" s="10">
        <v>2023</v>
      </c>
      <c r="B5949" t="s">
        <v>494</v>
      </c>
      <c r="C5949" t="s">
        <v>1685</v>
      </c>
      <c r="D5949" t="s">
        <v>1685</v>
      </c>
      <c r="E5949" s="10"/>
    </row>
    <row r="5950" spans="1:6">
      <c r="A5950" s="10">
        <v>2023</v>
      </c>
      <c r="B5950" t="s">
        <v>550</v>
      </c>
      <c r="C5950" t="s">
        <v>1686</v>
      </c>
      <c r="D5950" t="s">
        <v>1686</v>
      </c>
      <c r="E5950" s="10">
        <v>44032</v>
      </c>
      <c r="F5950" s="12">
        <v>2.83E-5</v>
      </c>
    </row>
    <row r="5951" spans="1:6">
      <c r="A5951" s="10">
        <v>2023</v>
      </c>
      <c r="B5951" t="s">
        <v>551</v>
      </c>
      <c r="C5951" t="s">
        <v>1687</v>
      </c>
      <c r="D5951" t="s">
        <v>1687</v>
      </c>
      <c r="E5951" s="10">
        <v>116617</v>
      </c>
      <c r="F5951" s="12">
        <v>7.4900000000000005E-5</v>
      </c>
    </row>
    <row r="5952" spans="1:6">
      <c r="A5952" s="10">
        <v>2023</v>
      </c>
      <c r="B5952" t="s">
        <v>552</v>
      </c>
      <c r="C5952" t="s">
        <v>1688</v>
      </c>
      <c r="D5952" t="s">
        <v>1688</v>
      </c>
      <c r="E5952" s="10">
        <v>24526610</v>
      </c>
      <c r="F5952" s="12">
        <v>1.5762499999999999E-2</v>
      </c>
    </row>
    <row r="5953" spans="1:6">
      <c r="A5953" s="10">
        <v>2023</v>
      </c>
      <c r="B5953" t="s">
        <v>553</v>
      </c>
      <c r="C5953" t="s">
        <v>498</v>
      </c>
      <c r="D5953" t="s">
        <v>498</v>
      </c>
      <c r="E5953" s="10">
        <v>49654</v>
      </c>
      <c r="F5953" s="12">
        <v>3.1900000000000003E-5</v>
      </c>
    </row>
    <row r="5954" spans="1:6">
      <c r="A5954" s="10">
        <v>2023</v>
      </c>
      <c r="B5954" t="s">
        <v>2452</v>
      </c>
      <c r="C5954" t="s">
        <v>2450</v>
      </c>
      <c r="D5954" t="s">
        <v>2450</v>
      </c>
      <c r="E5954" s="10">
        <v>34440</v>
      </c>
      <c r="F5954" s="12">
        <v>2.2099999999999998E-5</v>
      </c>
    </row>
    <row r="5955" spans="1:6">
      <c r="A5955" s="10">
        <v>2023</v>
      </c>
      <c r="B5955" t="s">
        <v>554</v>
      </c>
      <c r="C5955" t="s">
        <v>499</v>
      </c>
      <c r="D5955" t="s">
        <v>499</v>
      </c>
      <c r="E5955" s="10"/>
    </row>
    <row r="5956" spans="1:6">
      <c r="A5956" s="10">
        <v>2023</v>
      </c>
      <c r="B5956" t="s">
        <v>555</v>
      </c>
      <c r="C5956" t="s">
        <v>500</v>
      </c>
      <c r="D5956" t="s">
        <v>500</v>
      </c>
      <c r="E5956" s="10">
        <v>252766</v>
      </c>
      <c r="F5956" s="12">
        <v>1.6239999999999999E-4</v>
      </c>
    </row>
    <row r="5957" spans="1:6">
      <c r="A5957" s="10">
        <v>2023</v>
      </c>
      <c r="B5957" t="s">
        <v>556</v>
      </c>
      <c r="C5957" t="s">
        <v>501</v>
      </c>
      <c r="D5957" t="s">
        <v>501</v>
      </c>
      <c r="E5957" s="10"/>
    </row>
    <row r="5958" spans="1:6">
      <c r="A5958" s="10">
        <v>2023</v>
      </c>
      <c r="B5958" t="s">
        <v>557</v>
      </c>
      <c r="C5958" t="s">
        <v>502</v>
      </c>
      <c r="D5958" t="s">
        <v>502</v>
      </c>
      <c r="E5958" s="10">
        <v>74498</v>
      </c>
      <c r="F5958" s="12">
        <v>4.7899999999999999E-5</v>
      </c>
    </row>
    <row r="5959" spans="1:6">
      <c r="A5959" s="10">
        <v>2023</v>
      </c>
      <c r="B5959" t="s">
        <v>558</v>
      </c>
      <c r="C5959" t="s">
        <v>1691</v>
      </c>
      <c r="D5959" t="s">
        <v>1691</v>
      </c>
      <c r="E5959" s="10">
        <v>32358</v>
      </c>
      <c r="F5959" s="12">
        <v>2.0800000000000001E-5</v>
      </c>
    </row>
    <row r="5960" spans="1:6">
      <c r="A5960" s="10">
        <v>2023</v>
      </c>
      <c r="B5960" t="s">
        <v>559</v>
      </c>
      <c r="C5960" t="s">
        <v>1692</v>
      </c>
      <c r="D5960" t="s">
        <v>1692</v>
      </c>
      <c r="E5960" s="10">
        <v>2930389</v>
      </c>
      <c r="F5960" s="12">
        <v>1.8833000000000001E-3</v>
      </c>
    </row>
    <row r="5961" spans="1:6">
      <c r="A5961" s="10">
        <v>2023</v>
      </c>
      <c r="B5961" t="s">
        <v>378</v>
      </c>
      <c r="C5961" t="s">
        <v>1693</v>
      </c>
      <c r="D5961" t="s">
        <v>1693</v>
      </c>
      <c r="E5961" s="10">
        <v>644570</v>
      </c>
      <c r="F5961" s="12">
        <v>4.1419999999999998E-4</v>
      </c>
    </row>
    <row r="5962" spans="1:6">
      <c r="A5962" s="10">
        <v>2023</v>
      </c>
      <c r="B5962" t="s">
        <v>560</v>
      </c>
      <c r="C5962" t="s">
        <v>505</v>
      </c>
      <c r="D5962" t="s">
        <v>505</v>
      </c>
      <c r="E5962" s="10">
        <v>135787</v>
      </c>
      <c r="F5962" s="12">
        <v>8.7299999999999994E-5</v>
      </c>
    </row>
    <row r="5963" spans="1:6">
      <c r="A5963" s="10">
        <v>2023</v>
      </c>
      <c r="B5963" t="s">
        <v>561</v>
      </c>
      <c r="C5963" t="s">
        <v>1694</v>
      </c>
      <c r="D5963" t="s">
        <v>1694</v>
      </c>
      <c r="E5963" s="10">
        <v>277896</v>
      </c>
      <c r="F5963" s="12">
        <v>1.786E-4</v>
      </c>
    </row>
    <row r="5964" spans="1:6">
      <c r="A5964" s="10">
        <v>2023</v>
      </c>
      <c r="B5964" t="s">
        <v>1225</v>
      </c>
      <c r="C5964" t="s">
        <v>1695</v>
      </c>
      <c r="D5964" t="s">
        <v>1695</v>
      </c>
      <c r="E5964" s="10">
        <v>32140</v>
      </c>
      <c r="F5964" s="12">
        <v>2.0699999999999998E-5</v>
      </c>
    </row>
    <row r="5965" spans="1:6">
      <c r="A5965" s="10">
        <v>2023</v>
      </c>
      <c r="B5965" t="s">
        <v>562</v>
      </c>
      <c r="C5965" t="s">
        <v>2367</v>
      </c>
      <c r="D5965" t="s">
        <v>2367</v>
      </c>
      <c r="E5965" s="10">
        <v>16867240</v>
      </c>
      <c r="F5965" s="12">
        <v>1.08401E-2</v>
      </c>
    </row>
    <row r="5966" spans="1:6">
      <c r="A5966" s="10">
        <v>2023</v>
      </c>
      <c r="B5966" t="s">
        <v>1226</v>
      </c>
      <c r="C5966" t="s">
        <v>1697</v>
      </c>
      <c r="D5966" t="s">
        <v>1697</v>
      </c>
      <c r="E5966" s="10">
        <v>160074</v>
      </c>
      <c r="F5966" s="12">
        <v>1.0289999999999999E-4</v>
      </c>
    </row>
    <row r="5967" spans="1:6">
      <c r="A5967" s="10">
        <v>2023</v>
      </c>
      <c r="B5967" t="s">
        <v>563</v>
      </c>
      <c r="C5967" t="s">
        <v>1698</v>
      </c>
      <c r="D5967" t="s">
        <v>1698</v>
      </c>
      <c r="E5967" s="10"/>
    </row>
    <row r="5968" spans="1:6">
      <c r="A5968" s="10">
        <v>2023</v>
      </c>
      <c r="B5968" t="s">
        <v>564</v>
      </c>
      <c r="C5968" t="s">
        <v>509</v>
      </c>
      <c r="D5968" t="s">
        <v>509</v>
      </c>
      <c r="E5968" s="10">
        <v>2007241</v>
      </c>
      <c r="F5968" s="12">
        <v>1.2899999999999999E-3</v>
      </c>
    </row>
    <row r="5969" spans="1:6">
      <c r="A5969" s="10">
        <v>2023</v>
      </c>
      <c r="B5969" t="s">
        <v>565</v>
      </c>
      <c r="C5969" t="s">
        <v>510</v>
      </c>
      <c r="D5969" t="s">
        <v>510</v>
      </c>
      <c r="E5969" s="10">
        <v>2491599</v>
      </c>
      <c r="F5969" s="12">
        <v>1.6012999999999999E-3</v>
      </c>
    </row>
    <row r="5970" spans="1:6">
      <c r="A5970" s="10">
        <v>2023</v>
      </c>
      <c r="B5970" t="s">
        <v>566</v>
      </c>
      <c r="C5970" t="s">
        <v>1699</v>
      </c>
      <c r="D5970" t="s">
        <v>1699</v>
      </c>
      <c r="E5970" s="10">
        <v>143144</v>
      </c>
      <c r="F5970" s="12">
        <v>9.2E-5</v>
      </c>
    </row>
    <row r="5971" spans="1:6">
      <c r="A5971" s="10">
        <v>2023</v>
      </c>
      <c r="B5971" t="s">
        <v>2400</v>
      </c>
      <c r="C5971" t="s">
        <v>2399</v>
      </c>
      <c r="D5971" t="s">
        <v>2399</v>
      </c>
      <c r="E5971" s="10">
        <v>169892</v>
      </c>
      <c r="F5971" s="12">
        <v>1.092E-4</v>
      </c>
    </row>
    <row r="5972" spans="1:6">
      <c r="A5972" s="10">
        <v>2023</v>
      </c>
      <c r="B5972" t="s">
        <v>569</v>
      </c>
      <c r="C5972" t="s">
        <v>1446</v>
      </c>
      <c r="D5972" t="s">
        <v>1446</v>
      </c>
      <c r="E5972" s="10">
        <v>223806</v>
      </c>
      <c r="F5972" s="12">
        <v>1.438E-4</v>
      </c>
    </row>
    <row r="5973" spans="1:6">
      <c r="A5973" s="10">
        <v>2023</v>
      </c>
      <c r="B5973" t="s">
        <v>567</v>
      </c>
      <c r="C5973" t="s">
        <v>1700</v>
      </c>
      <c r="D5973" t="s">
        <v>1700</v>
      </c>
      <c r="E5973" s="10">
        <v>93428</v>
      </c>
      <c r="F5973" s="12">
        <v>6.0000000000000002E-5</v>
      </c>
    </row>
    <row r="5974" spans="1:6">
      <c r="A5974" s="10">
        <v>2023</v>
      </c>
      <c r="B5974" t="s">
        <v>568</v>
      </c>
      <c r="C5974" t="s">
        <v>2446</v>
      </c>
      <c r="D5974" t="s">
        <v>2446</v>
      </c>
      <c r="E5974" s="10">
        <v>180042</v>
      </c>
      <c r="F5974" s="12">
        <v>1.1569999999999999E-4</v>
      </c>
    </row>
    <row r="5975" spans="1:6">
      <c r="A5975" s="10">
        <v>2023</v>
      </c>
      <c r="B5975" t="s">
        <v>570</v>
      </c>
      <c r="C5975" t="s">
        <v>515</v>
      </c>
      <c r="D5975" t="s">
        <v>515</v>
      </c>
      <c r="E5975" s="10">
        <v>429691</v>
      </c>
      <c r="F5975" s="12">
        <v>2.7609999999999999E-4</v>
      </c>
    </row>
    <row r="5976" spans="1:6">
      <c r="A5976" s="10">
        <v>2023</v>
      </c>
      <c r="B5976" t="s">
        <v>571</v>
      </c>
      <c r="C5976" t="s">
        <v>516</v>
      </c>
      <c r="D5976" t="s">
        <v>516</v>
      </c>
      <c r="E5976" s="10">
        <v>1220852</v>
      </c>
      <c r="F5976" s="12">
        <v>7.8459999999999999E-4</v>
      </c>
    </row>
    <row r="5977" spans="1:6">
      <c r="A5977" s="10">
        <v>2023</v>
      </c>
      <c r="B5977" t="s">
        <v>572</v>
      </c>
      <c r="C5977" t="s">
        <v>517</v>
      </c>
      <c r="D5977" t="s">
        <v>517</v>
      </c>
      <c r="E5977" s="10">
        <v>1160608</v>
      </c>
      <c r="F5977" s="12">
        <v>7.4589999999999997E-4</v>
      </c>
    </row>
    <row r="5978" spans="1:6">
      <c r="A5978" s="10">
        <v>2023</v>
      </c>
      <c r="B5978" t="s">
        <v>573</v>
      </c>
      <c r="C5978" t="s">
        <v>518</v>
      </c>
      <c r="D5978" t="s">
        <v>518</v>
      </c>
      <c r="E5978" s="10">
        <v>398069</v>
      </c>
      <c r="F5978" s="12">
        <v>2.5579999999999998E-4</v>
      </c>
    </row>
    <row r="5979" spans="1:6">
      <c r="A5979" s="10">
        <v>2023</v>
      </c>
      <c r="B5979" t="s">
        <v>574</v>
      </c>
      <c r="C5979" t="s">
        <v>1702</v>
      </c>
      <c r="D5979" t="s">
        <v>1702</v>
      </c>
      <c r="E5979" s="10">
        <v>113300</v>
      </c>
      <c r="F5979" s="12">
        <v>7.2799999999999994E-5</v>
      </c>
    </row>
    <row r="5980" spans="1:6">
      <c r="A5980" s="10">
        <v>2023</v>
      </c>
      <c r="B5980" t="s">
        <v>575</v>
      </c>
      <c r="C5980" t="s">
        <v>2437</v>
      </c>
      <c r="D5980" t="s">
        <v>2437</v>
      </c>
      <c r="E5980" s="10">
        <v>170025</v>
      </c>
      <c r="F5980" s="12">
        <v>1.093E-4</v>
      </c>
    </row>
    <row r="5981" spans="1:6">
      <c r="A5981" s="10">
        <v>2023</v>
      </c>
      <c r="B5981" t="s">
        <v>576</v>
      </c>
      <c r="C5981" t="s">
        <v>521</v>
      </c>
      <c r="D5981" t="s">
        <v>521</v>
      </c>
      <c r="E5981" s="10">
        <v>237658</v>
      </c>
      <c r="F5981" s="12">
        <v>1.527E-4</v>
      </c>
    </row>
    <row r="5982" spans="1:6">
      <c r="A5982" s="10">
        <v>2023</v>
      </c>
      <c r="B5982" t="s">
        <v>577</v>
      </c>
      <c r="C5982" t="s">
        <v>1704</v>
      </c>
      <c r="D5982" t="s">
        <v>1704</v>
      </c>
      <c r="E5982" s="10"/>
    </row>
    <row r="5983" spans="1:6">
      <c r="A5983" s="10">
        <v>2023</v>
      </c>
      <c r="B5983" t="s">
        <v>578</v>
      </c>
      <c r="C5983" t="s">
        <v>1705</v>
      </c>
      <c r="D5983" t="s">
        <v>1705</v>
      </c>
      <c r="E5983" s="10">
        <v>1828568</v>
      </c>
      <c r="F5983" s="12">
        <v>1.1751999999999999E-3</v>
      </c>
    </row>
    <row r="5984" spans="1:6">
      <c r="A5984" s="10">
        <v>2023</v>
      </c>
      <c r="B5984" t="s">
        <v>2371</v>
      </c>
      <c r="C5984" t="s">
        <v>2369</v>
      </c>
      <c r="D5984" t="s">
        <v>2369</v>
      </c>
      <c r="E5984" s="10"/>
    </row>
    <row r="5985" spans="1:6">
      <c r="A5985" s="10">
        <v>2023</v>
      </c>
      <c r="B5985" t="s">
        <v>379</v>
      </c>
      <c r="C5985" t="s">
        <v>1706</v>
      </c>
      <c r="D5985" t="s">
        <v>1706</v>
      </c>
      <c r="E5985" s="10">
        <v>1004308</v>
      </c>
      <c r="F5985" s="12">
        <v>6.4539999999999997E-4</v>
      </c>
    </row>
    <row r="5986" spans="1:6">
      <c r="A5986" s="10">
        <v>2023</v>
      </c>
      <c r="B5986" t="s">
        <v>580</v>
      </c>
      <c r="C5986" t="s">
        <v>1709</v>
      </c>
      <c r="D5986" t="s">
        <v>1709</v>
      </c>
      <c r="E5986" s="10">
        <v>56399</v>
      </c>
      <c r="F5986" s="12">
        <v>3.6199999999999999E-5</v>
      </c>
    </row>
    <row r="5987" spans="1:6">
      <c r="A5987" s="10">
        <v>2023</v>
      </c>
      <c r="B5987" t="s">
        <v>581</v>
      </c>
      <c r="C5987" t="s">
        <v>526</v>
      </c>
      <c r="D5987" t="s">
        <v>526</v>
      </c>
      <c r="E5987" s="10">
        <v>9267</v>
      </c>
      <c r="F5987" s="12">
        <v>6.0000000000000002E-6</v>
      </c>
    </row>
    <row r="5988" spans="1:6">
      <c r="A5988" s="10">
        <v>2023</v>
      </c>
      <c r="B5988" t="s">
        <v>582</v>
      </c>
      <c r="C5988" t="s">
        <v>1710</v>
      </c>
      <c r="D5988" t="s">
        <v>1710</v>
      </c>
      <c r="E5988" s="10">
        <v>628542</v>
      </c>
      <c r="F5988" s="12">
        <v>4.0390000000000001E-4</v>
      </c>
    </row>
    <row r="5989" spans="1:6">
      <c r="A5989" s="10">
        <v>2023</v>
      </c>
      <c r="B5989" t="s">
        <v>583</v>
      </c>
      <c r="C5989" t="s">
        <v>1711</v>
      </c>
      <c r="D5989" t="s">
        <v>1711</v>
      </c>
      <c r="E5989" s="10">
        <v>14108</v>
      </c>
      <c r="F5989" s="12">
        <v>9.0999999999999993E-6</v>
      </c>
    </row>
    <row r="5990" spans="1:6">
      <c r="A5990" s="10">
        <v>2023</v>
      </c>
      <c r="B5990" t="s">
        <v>380</v>
      </c>
      <c r="C5990" t="s">
        <v>1712</v>
      </c>
      <c r="D5990" t="s">
        <v>1712</v>
      </c>
      <c r="E5990" s="10">
        <v>612769</v>
      </c>
      <c r="F5990" s="12">
        <v>3.9379999999999998E-4</v>
      </c>
    </row>
    <row r="5991" spans="1:6">
      <c r="A5991" s="10">
        <v>2023</v>
      </c>
      <c r="B5991" t="s">
        <v>585</v>
      </c>
      <c r="C5991" t="s">
        <v>1713</v>
      </c>
      <c r="D5991" t="s">
        <v>1713</v>
      </c>
      <c r="E5991" s="10">
        <v>111296</v>
      </c>
      <c r="F5991" s="12">
        <v>7.1500000000000003E-5</v>
      </c>
    </row>
    <row r="5992" spans="1:6">
      <c r="A5992" s="10">
        <v>2023</v>
      </c>
      <c r="B5992" t="s">
        <v>2426</v>
      </c>
      <c r="C5992" t="s">
        <v>2428</v>
      </c>
      <c r="D5992" t="s">
        <v>2428</v>
      </c>
      <c r="E5992" s="10">
        <v>152833</v>
      </c>
      <c r="F5992" s="12">
        <v>9.8200000000000002E-5</v>
      </c>
    </row>
    <row r="5993" spans="1:6">
      <c r="A5993" s="10">
        <v>2023</v>
      </c>
      <c r="B5993" t="s">
        <v>586</v>
      </c>
      <c r="C5993" t="s">
        <v>1714</v>
      </c>
      <c r="D5993" t="s">
        <v>1714</v>
      </c>
      <c r="E5993" s="10">
        <v>250469</v>
      </c>
      <c r="F5993" s="12">
        <v>1.6100000000000001E-4</v>
      </c>
    </row>
    <row r="5994" spans="1:6">
      <c r="A5994" s="10">
        <v>2023</v>
      </c>
      <c r="B5994" t="s">
        <v>587</v>
      </c>
      <c r="C5994" t="s">
        <v>532</v>
      </c>
      <c r="D5994" t="s">
        <v>532</v>
      </c>
      <c r="E5994" s="10">
        <v>197625</v>
      </c>
      <c r="F5994" s="12">
        <v>1.27E-4</v>
      </c>
    </row>
    <row r="5995" spans="1:6">
      <c r="A5995" s="10">
        <v>2023</v>
      </c>
      <c r="B5995" t="s">
        <v>588</v>
      </c>
      <c r="C5995" t="s">
        <v>533</v>
      </c>
      <c r="D5995" t="s">
        <v>533</v>
      </c>
      <c r="E5995" s="10">
        <v>218434</v>
      </c>
      <c r="F5995" s="12">
        <v>1.404E-4</v>
      </c>
    </row>
    <row r="5996" spans="1:6">
      <c r="A5996" s="10">
        <v>2023</v>
      </c>
      <c r="B5996" t="s">
        <v>589</v>
      </c>
      <c r="C5996" t="s">
        <v>1715</v>
      </c>
      <c r="D5996" t="s">
        <v>1715</v>
      </c>
      <c r="E5996" s="10">
        <v>7451445</v>
      </c>
      <c r="F5996" s="12">
        <v>4.7888000000000002E-3</v>
      </c>
    </row>
    <row r="5997" spans="1:6">
      <c r="A5997" s="10">
        <v>2023</v>
      </c>
      <c r="B5997" t="s">
        <v>381</v>
      </c>
      <c r="C5997" t="s">
        <v>1716</v>
      </c>
      <c r="D5997" t="s">
        <v>1716</v>
      </c>
      <c r="E5997" s="10">
        <v>4357700</v>
      </c>
      <c r="F5997" s="12">
        <v>2.8005999999999999E-3</v>
      </c>
    </row>
    <row r="5998" spans="1:6">
      <c r="A5998" s="10">
        <v>2023</v>
      </c>
      <c r="B5998" t="s">
        <v>590</v>
      </c>
      <c r="C5998" t="s">
        <v>1717</v>
      </c>
      <c r="D5998" t="s">
        <v>1717</v>
      </c>
      <c r="E5998" s="10">
        <v>6614104</v>
      </c>
      <c r="F5998" s="12">
        <v>4.2506999999999996E-3</v>
      </c>
    </row>
    <row r="5999" spans="1:6">
      <c r="A5999" s="10">
        <v>2023</v>
      </c>
      <c r="B5999" t="s">
        <v>1227</v>
      </c>
      <c r="C5999" t="s">
        <v>1718</v>
      </c>
      <c r="D5999" t="s">
        <v>1718</v>
      </c>
      <c r="E5999" s="10">
        <v>735708</v>
      </c>
      <c r="F5999" s="12">
        <v>4.728E-4</v>
      </c>
    </row>
    <row r="6000" spans="1:6">
      <c r="A6000" s="10">
        <v>2023</v>
      </c>
      <c r="B6000" t="s">
        <v>591</v>
      </c>
      <c r="C6000" t="s">
        <v>536</v>
      </c>
      <c r="D6000" t="s">
        <v>536</v>
      </c>
      <c r="E6000" s="10">
        <v>58894</v>
      </c>
      <c r="F6000" s="12">
        <v>3.7799999999999997E-5</v>
      </c>
    </row>
    <row r="6001" spans="1:6">
      <c r="A6001" s="10">
        <v>2023</v>
      </c>
      <c r="B6001" t="s">
        <v>592</v>
      </c>
      <c r="C6001" t="s">
        <v>1719</v>
      </c>
      <c r="D6001" t="s">
        <v>1719</v>
      </c>
      <c r="E6001" s="10">
        <v>4145783</v>
      </c>
      <c r="F6001" s="12">
        <v>2.6643999999999999E-3</v>
      </c>
    </row>
    <row r="6002" spans="1:6">
      <c r="A6002" s="10">
        <v>2023</v>
      </c>
      <c r="B6002" t="s">
        <v>1456</v>
      </c>
      <c r="C6002" t="s">
        <v>1720</v>
      </c>
      <c r="D6002" t="s">
        <v>1720</v>
      </c>
      <c r="E6002" s="10">
        <v>26096</v>
      </c>
      <c r="F6002" s="12">
        <v>1.6799999999999998E-5</v>
      </c>
    </row>
    <row r="6003" spans="1:6">
      <c r="A6003" s="10">
        <v>2023</v>
      </c>
      <c r="B6003" t="s">
        <v>2440</v>
      </c>
      <c r="C6003" t="s">
        <v>2438</v>
      </c>
      <c r="D6003" t="s">
        <v>2438</v>
      </c>
      <c r="E6003" s="10">
        <v>15971</v>
      </c>
      <c r="F6003" s="12">
        <v>1.03E-5</v>
      </c>
    </row>
    <row r="6004" spans="1:6">
      <c r="A6004" s="10">
        <v>2023</v>
      </c>
      <c r="B6004" t="s">
        <v>593</v>
      </c>
      <c r="C6004" t="s">
        <v>1721</v>
      </c>
      <c r="D6004" t="s">
        <v>1721</v>
      </c>
      <c r="E6004" s="10">
        <v>837583</v>
      </c>
      <c r="F6004" s="12">
        <v>5.3830000000000002E-4</v>
      </c>
    </row>
    <row r="6005" spans="1:6">
      <c r="A6005" s="10">
        <v>2023</v>
      </c>
      <c r="B6005" t="s">
        <v>594</v>
      </c>
      <c r="C6005" t="s">
        <v>2190</v>
      </c>
      <c r="D6005" t="s">
        <v>2190</v>
      </c>
      <c r="E6005" s="10">
        <v>31436</v>
      </c>
      <c r="F6005" s="12">
        <v>2.02E-5</v>
      </c>
    </row>
    <row r="6006" spans="1:6">
      <c r="A6006" s="10">
        <v>2023</v>
      </c>
      <c r="B6006" t="s">
        <v>595</v>
      </c>
      <c r="C6006" t="s">
        <v>1722</v>
      </c>
      <c r="D6006" t="s">
        <v>1722</v>
      </c>
      <c r="E6006" s="10">
        <v>804622</v>
      </c>
      <c r="F6006" s="12">
        <v>5.1710000000000005E-4</v>
      </c>
    </row>
    <row r="6007" spans="1:6">
      <c r="A6007" s="10">
        <v>2023</v>
      </c>
      <c r="B6007" t="s">
        <v>2453</v>
      </c>
      <c r="C6007" t="s">
        <v>2439</v>
      </c>
      <c r="D6007" t="s">
        <v>2439</v>
      </c>
      <c r="E6007" s="10">
        <v>423361</v>
      </c>
      <c r="F6007" s="12">
        <v>2.721E-4</v>
      </c>
    </row>
    <row r="6008" spans="1:6">
      <c r="A6008" s="10">
        <v>2023</v>
      </c>
      <c r="B6008" t="s">
        <v>596</v>
      </c>
      <c r="C6008" t="s">
        <v>1723</v>
      </c>
      <c r="D6008" t="s">
        <v>1723</v>
      </c>
      <c r="E6008" s="10">
        <v>963236</v>
      </c>
      <c r="F6008" s="12">
        <v>6.1899999999999998E-4</v>
      </c>
    </row>
    <row r="6009" spans="1:6">
      <c r="A6009" s="10">
        <v>2023</v>
      </c>
      <c r="B6009" t="s">
        <v>597</v>
      </c>
      <c r="C6009" t="s">
        <v>1724</v>
      </c>
      <c r="D6009" t="s">
        <v>1724</v>
      </c>
      <c r="E6009" s="10">
        <v>2608497</v>
      </c>
      <c r="F6009" s="12">
        <v>1.6764E-3</v>
      </c>
    </row>
    <row r="6010" spans="1:6">
      <c r="A6010" s="10">
        <v>2023</v>
      </c>
      <c r="B6010" t="s">
        <v>598</v>
      </c>
      <c r="C6010" t="s">
        <v>543</v>
      </c>
      <c r="D6010" t="s">
        <v>543</v>
      </c>
      <c r="E6010" s="10">
        <v>311433</v>
      </c>
      <c r="F6010" s="12">
        <v>2.0010000000000001E-4</v>
      </c>
    </row>
    <row r="6011" spans="1:6">
      <c r="A6011" s="10">
        <v>2023</v>
      </c>
      <c r="B6011" t="s">
        <v>1228</v>
      </c>
      <c r="C6011" t="s">
        <v>1725</v>
      </c>
      <c r="D6011" t="s">
        <v>1725</v>
      </c>
      <c r="E6011" s="10">
        <v>52190</v>
      </c>
      <c r="F6011" s="12">
        <v>3.3500000000000001E-5</v>
      </c>
    </row>
    <row r="6012" spans="1:6">
      <c r="A6012" s="10">
        <v>2023</v>
      </c>
      <c r="B6012" t="s">
        <v>599</v>
      </c>
      <c r="C6012" t="s">
        <v>1726</v>
      </c>
      <c r="D6012" t="s">
        <v>1726</v>
      </c>
      <c r="E6012" s="10">
        <v>192815</v>
      </c>
      <c r="F6012" s="12">
        <v>1.239E-4</v>
      </c>
    </row>
    <row r="6013" spans="1:6">
      <c r="A6013" s="10">
        <v>2023</v>
      </c>
      <c r="B6013" t="s">
        <v>2403</v>
      </c>
      <c r="C6013" t="s">
        <v>2401</v>
      </c>
      <c r="D6013" t="s">
        <v>2401</v>
      </c>
      <c r="E6013" s="10">
        <v>33935</v>
      </c>
      <c r="F6013" s="12">
        <v>2.1800000000000001E-5</v>
      </c>
    </row>
    <row r="6014" spans="1:6">
      <c r="A6014" s="10">
        <v>2023</v>
      </c>
      <c r="B6014" t="s">
        <v>600</v>
      </c>
      <c r="C6014" t="s">
        <v>1727</v>
      </c>
      <c r="D6014" t="s">
        <v>1727</v>
      </c>
      <c r="E6014" s="10">
        <v>3297482</v>
      </c>
      <c r="F6014" s="12">
        <v>2.1191999999999999E-3</v>
      </c>
    </row>
    <row r="6015" spans="1:6">
      <c r="A6015" s="10">
        <v>2023</v>
      </c>
      <c r="B6015" t="s">
        <v>601</v>
      </c>
      <c r="C6015" t="s">
        <v>1728</v>
      </c>
      <c r="D6015" t="s">
        <v>1728</v>
      </c>
      <c r="E6015" s="10">
        <v>1060666</v>
      </c>
      <c r="F6015" s="12">
        <v>6.8170000000000004E-4</v>
      </c>
    </row>
    <row r="6016" spans="1:6">
      <c r="A6016" s="10">
        <v>2023</v>
      </c>
      <c r="B6016" t="s">
        <v>2404</v>
      </c>
      <c r="C6016" t="s">
        <v>2441</v>
      </c>
      <c r="D6016" t="s">
        <v>2441</v>
      </c>
      <c r="E6016" s="10">
        <v>434703</v>
      </c>
      <c r="F6016" s="12">
        <v>2.7940000000000002E-4</v>
      </c>
    </row>
    <row r="6017" spans="1:6">
      <c r="A6017" s="10">
        <v>2023</v>
      </c>
      <c r="B6017" t="s">
        <v>602</v>
      </c>
      <c r="C6017" t="s">
        <v>547</v>
      </c>
      <c r="D6017" t="s">
        <v>547</v>
      </c>
      <c r="E6017" s="10">
        <v>63497</v>
      </c>
      <c r="F6017" s="12">
        <v>4.0800000000000002E-5</v>
      </c>
    </row>
    <row r="6018" spans="1:6">
      <c r="A6018" s="10">
        <v>2023</v>
      </c>
      <c r="B6018" t="s">
        <v>603</v>
      </c>
      <c r="C6018" t="s">
        <v>548</v>
      </c>
      <c r="D6018" t="s">
        <v>548</v>
      </c>
      <c r="E6018" s="10">
        <v>98894</v>
      </c>
      <c r="F6018" s="12">
        <v>6.3600000000000001E-5</v>
      </c>
    </row>
    <row r="6019" spans="1:6">
      <c r="A6019" s="10">
        <v>2023</v>
      </c>
      <c r="B6019" t="s">
        <v>604</v>
      </c>
      <c r="C6019" t="s">
        <v>1729</v>
      </c>
      <c r="D6019" t="s">
        <v>1729</v>
      </c>
      <c r="E6019" s="10">
        <v>229384</v>
      </c>
      <c r="F6019" s="12">
        <v>1.474E-4</v>
      </c>
    </row>
    <row r="6020" spans="1:6">
      <c r="A6020" s="10">
        <v>2023</v>
      </c>
      <c r="B6020" t="s">
        <v>1229</v>
      </c>
      <c r="C6020" t="s">
        <v>1730</v>
      </c>
      <c r="D6020" t="s">
        <v>1730</v>
      </c>
      <c r="E6020" s="10">
        <v>178445</v>
      </c>
      <c r="F6020" s="12">
        <v>1.147E-4</v>
      </c>
    </row>
    <row r="6021" spans="1:6">
      <c r="A6021" s="10">
        <v>2023</v>
      </c>
      <c r="B6021" t="s">
        <v>660</v>
      </c>
      <c r="C6021" t="s">
        <v>605</v>
      </c>
      <c r="D6021" t="s">
        <v>605</v>
      </c>
      <c r="E6021" s="10">
        <v>2523645</v>
      </c>
      <c r="F6021" s="12">
        <v>1.6218999999999999E-3</v>
      </c>
    </row>
    <row r="6022" spans="1:6">
      <c r="A6022" s="10">
        <v>2023</v>
      </c>
      <c r="B6022" t="s">
        <v>661</v>
      </c>
      <c r="C6022" t="s">
        <v>1455</v>
      </c>
      <c r="D6022" t="s">
        <v>1455</v>
      </c>
      <c r="E6022" s="10">
        <v>24423</v>
      </c>
      <c r="F6022" s="12">
        <v>1.5699999999999999E-5</v>
      </c>
    </row>
    <row r="6023" spans="1:6">
      <c r="A6023" s="10">
        <v>2023</v>
      </c>
      <c r="B6023" t="s">
        <v>662</v>
      </c>
      <c r="C6023" t="s">
        <v>607</v>
      </c>
      <c r="D6023" t="s">
        <v>607</v>
      </c>
      <c r="E6023" s="10">
        <v>23752</v>
      </c>
      <c r="F6023" s="12">
        <v>1.5299999999999999E-5</v>
      </c>
    </row>
    <row r="6024" spans="1:6">
      <c r="A6024" s="10">
        <v>2023</v>
      </c>
      <c r="B6024" t="s">
        <v>663</v>
      </c>
      <c r="C6024" t="s">
        <v>608</v>
      </c>
      <c r="D6024" t="s">
        <v>608</v>
      </c>
      <c r="E6024" s="10">
        <v>32416</v>
      </c>
      <c r="F6024" s="12">
        <v>2.0800000000000001E-5</v>
      </c>
    </row>
    <row r="6025" spans="1:6">
      <c r="A6025" s="10">
        <v>2023</v>
      </c>
      <c r="B6025" t="s">
        <v>664</v>
      </c>
      <c r="C6025" t="s">
        <v>609</v>
      </c>
      <c r="D6025" t="s">
        <v>609</v>
      </c>
      <c r="E6025" s="10">
        <v>26797881</v>
      </c>
      <c r="F6025" s="12">
        <v>1.72222E-2</v>
      </c>
    </row>
    <row r="6026" spans="1:6">
      <c r="A6026" s="10">
        <v>2023</v>
      </c>
      <c r="B6026" t="s">
        <v>1230</v>
      </c>
      <c r="C6026" t="s">
        <v>1731</v>
      </c>
      <c r="D6026" t="s">
        <v>1731</v>
      </c>
      <c r="E6026" s="10">
        <v>9095511</v>
      </c>
      <c r="F6026" s="12">
        <v>5.8453999999999997E-3</v>
      </c>
    </row>
    <row r="6027" spans="1:6">
      <c r="A6027" s="10">
        <v>2023</v>
      </c>
      <c r="B6027" t="s">
        <v>665</v>
      </c>
      <c r="C6027" t="s">
        <v>1732</v>
      </c>
      <c r="D6027" t="s">
        <v>1732</v>
      </c>
      <c r="E6027" s="10">
        <v>5639858</v>
      </c>
      <c r="F6027" s="12">
        <v>3.6246E-3</v>
      </c>
    </row>
    <row r="6028" spans="1:6">
      <c r="A6028" s="10">
        <v>2023</v>
      </c>
      <c r="B6028" t="s">
        <v>666</v>
      </c>
      <c r="C6028" t="s">
        <v>1733</v>
      </c>
      <c r="D6028" t="s">
        <v>1733</v>
      </c>
      <c r="E6028" s="10">
        <v>13339334</v>
      </c>
      <c r="F6028" s="12">
        <v>8.5728000000000002E-3</v>
      </c>
    </row>
    <row r="6029" spans="1:6">
      <c r="A6029" s="10">
        <v>2023</v>
      </c>
      <c r="B6029" t="s">
        <v>382</v>
      </c>
      <c r="C6029" t="s">
        <v>1734</v>
      </c>
      <c r="D6029" t="s">
        <v>1734</v>
      </c>
      <c r="E6029" s="10">
        <v>10776634</v>
      </c>
      <c r="F6029" s="12">
        <v>6.9258000000000002E-3</v>
      </c>
    </row>
    <row r="6030" spans="1:6">
      <c r="A6030" s="10">
        <v>2023</v>
      </c>
      <c r="B6030" t="s">
        <v>667</v>
      </c>
      <c r="C6030" t="s">
        <v>1735</v>
      </c>
      <c r="D6030" t="s">
        <v>1735</v>
      </c>
      <c r="E6030" s="10">
        <v>1021890</v>
      </c>
      <c r="F6030" s="12">
        <v>6.5669999999999997E-4</v>
      </c>
    </row>
    <row r="6031" spans="1:6">
      <c r="A6031" s="10">
        <v>2023</v>
      </c>
      <c r="B6031" t="s">
        <v>383</v>
      </c>
      <c r="C6031" t="s">
        <v>1736</v>
      </c>
      <c r="D6031" t="s">
        <v>1736</v>
      </c>
      <c r="E6031" s="10">
        <v>449718</v>
      </c>
      <c r="F6031" s="12">
        <v>2.8899999999999998E-4</v>
      </c>
    </row>
    <row r="6032" spans="1:6">
      <c r="A6032" s="10">
        <v>2023</v>
      </c>
      <c r="B6032" t="s">
        <v>668</v>
      </c>
      <c r="C6032" t="s">
        <v>613</v>
      </c>
      <c r="D6032" t="s">
        <v>613</v>
      </c>
      <c r="E6032" s="10">
        <v>316382</v>
      </c>
      <c r="F6032" s="12">
        <v>2.0330000000000001E-4</v>
      </c>
    </row>
    <row r="6033" spans="1:6">
      <c r="A6033" s="10">
        <v>2023</v>
      </c>
      <c r="B6033" t="s">
        <v>384</v>
      </c>
      <c r="C6033" t="s">
        <v>1737</v>
      </c>
      <c r="D6033" t="s">
        <v>1737</v>
      </c>
      <c r="E6033" s="10">
        <v>4959178</v>
      </c>
      <c r="F6033" s="12">
        <v>3.1871E-3</v>
      </c>
    </row>
    <row r="6034" spans="1:6">
      <c r="A6034" s="10">
        <v>2023</v>
      </c>
      <c r="B6034" t="s">
        <v>669</v>
      </c>
      <c r="C6034" t="s">
        <v>614</v>
      </c>
      <c r="D6034" t="s">
        <v>614</v>
      </c>
      <c r="E6034" s="10">
        <v>90206</v>
      </c>
      <c r="F6034" s="12">
        <v>5.8E-5</v>
      </c>
    </row>
    <row r="6035" spans="1:6">
      <c r="A6035" s="10">
        <v>2023</v>
      </c>
      <c r="B6035" t="s">
        <v>670</v>
      </c>
      <c r="C6035" t="s">
        <v>615</v>
      </c>
      <c r="D6035" t="s">
        <v>615</v>
      </c>
      <c r="E6035" s="10">
        <v>978227</v>
      </c>
      <c r="F6035" s="12">
        <v>6.2870000000000005E-4</v>
      </c>
    </row>
    <row r="6036" spans="1:6">
      <c r="A6036" s="10">
        <v>2023</v>
      </c>
      <c r="B6036" t="s">
        <v>672</v>
      </c>
      <c r="C6036" t="s">
        <v>1739</v>
      </c>
      <c r="D6036" t="s">
        <v>1739</v>
      </c>
      <c r="E6036" s="10">
        <v>359789</v>
      </c>
      <c r="F6036" s="12">
        <v>2.3120000000000001E-4</v>
      </c>
    </row>
    <row r="6037" spans="1:6">
      <c r="A6037" s="10">
        <v>2023</v>
      </c>
      <c r="B6037" t="s">
        <v>673</v>
      </c>
      <c r="C6037" t="s">
        <v>618</v>
      </c>
      <c r="D6037" t="s">
        <v>618</v>
      </c>
      <c r="E6037" s="10">
        <v>159513</v>
      </c>
      <c r="F6037" s="12">
        <v>1.025E-4</v>
      </c>
    </row>
    <row r="6038" spans="1:6">
      <c r="A6038" s="10">
        <v>2023</v>
      </c>
      <c r="B6038" t="s">
        <v>674</v>
      </c>
      <c r="C6038" t="s">
        <v>2429</v>
      </c>
      <c r="D6038" t="s">
        <v>2429</v>
      </c>
      <c r="E6038" s="10">
        <v>58654</v>
      </c>
      <c r="F6038" s="12">
        <v>3.7700000000000002E-5</v>
      </c>
    </row>
    <row r="6039" spans="1:6">
      <c r="A6039" s="10">
        <v>2023</v>
      </c>
      <c r="B6039" t="s">
        <v>675</v>
      </c>
      <c r="C6039" t="s">
        <v>620</v>
      </c>
      <c r="D6039" t="s">
        <v>620</v>
      </c>
      <c r="E6039" s="10">
        <v>764883</v>
      </c>
      <c r="F6039" s="12">
        <v>4.9160000000000002E-4</v>
      </c>
    </row>
    <row r="6040" spans="1:6">
      <c r="A6040" s="10">
        <v>2023</v>
      </c>
      <c r="B6040" t="s">
        <v>676</v>
      </c>
      <c r="C6040" t="s">
        <v>1740</v>
      </c>
      <c r="D6040" t="s">
        <v>1740</v>
      </c>
      <c r="E6040" s="10"/>
    </row>
    <row r="6041" spans="1:6">
      <c r="A6041" s="10">
        <v>2023</v>
      </c>
      <c r="B6041" t="s">
        <v>677</v>
      </c>
      <c r="C6041" t="s">
        <v>622</v>
      </c>
      <c r="D6041" t="s">
        <v>622</v>
      </c>
      <c r="E6041" s="10"/>
    </row>
    <row r="6042" spans="1:6">
      <c r="A6042" s="10">
        <v>2023</v>
      </c>
      <c r="B6042" t="s">
        <v>1463</v>
      </c>
      <c r="C6042" t="s">
        <v>1741</v>
      </c>
      <c r="D6042" t="s">
        <v>1741</v>
      </c>
      <c r="E6042" s="10">
        <v>73855</v>
      </c>
      <c r="F6042" s="12">
        <v>4.7500000000000003E-5</v>
      </c>
    </row>
    <row r="6043" spans="1:6">
      <c r="A6043" s="10">
        <v>2023</v>
      </c>
      <c r="B6043" t="s">
        <v>1231</v>
      </c>
      <c r="C6043" t="s">
        <v>1742</v>
      </c>
      <c r="D6043" t="s">
        <v>1742</v>
      </c>
      <c r="E6043" s="10">
        <v>100922</v>
      </c>
      <c r="F6043" s="12">
        <v>6.4900000000000005E-5</v>
      </c>
    </row>
    <row r="6044" spans="1:6">
      <c r="A6044" s="10">
        <v>2023</v>
      </c>
      <c r="B6044" t="s">
        <v>680</v>
      </c>
      <c r="C6044" t="s">
        <v>1743</v>
      </c>
      <c r="D6044" t="s">
        <v>1743</v>
      </c>
      <c r="E6044" s="10">
        <v>55342</v>
      </c>
      <c r="F6044" s="12">
        <v>3.5599999999999998E-5</v>
      </c>
    </row>
    <row r="6045" spans="1:6">
      <c r="A6045" s="10">
        <v>2023</v>
      </c>
      <c r="B6045" t="s">
        <v>681</v>
      </c>
      <c r="C6045" t="s">
        <v>626</v>
      </c>
      <c r="D6045" t="s">
        <v>626</v>
      </c>
      <c r="E6045" s="10">
        <v>257128</v>
      </c>
      <c r="F6045" s="12">
        <v>1.652E-4</v>
      </c>
    </row>
    <row r="6046" spans="1:6">
      <c r="A6046" s="10">
        <v>2023</v>
      </c>
      <c r="B6046" t="s">
        <v>682</v>
      </c>
      <c r="C6046" t="s">
        <v>1744</v>
      </c>
      <c r="D6046" t="s">
        <v>1744</v>
      </c>
      <c r="E6046" s="10">
        <v>12889</v>
      </c>
      <c r="F6046" s="12">
        <v>8.3000000000000002E-6</v>
      </c>
    </row>
    <row r="6047" spans="1:6">
      <c r="A6047" s="10">
        <v>2023</v>
      </c>
      <c r="B6047" t="s">
        <v>1232</v>
      </c>
      <c r="C6047" t="s">
        <v>1745</v>
      </c>
      <c r="D6047" t="s">
        <v>1745</v>
      </c>
      <c r="E6047" s="10">
        <v>63294</v>
      </c>
      <c r="F6047" s="12">
        <v>4.07E-5</v>
      </c>
    </row>
    <row r="6048" spans="1:6">
      <c r="A6048" s="10">
        <v>2023</v>
      </c>
      <c r="B6048" t="s">
        <v>683</v>
      </c>
      <c r="C6048" t="s">
        <v>1746</v>
      </c>
      <c r="D6048" t="s">
        <v>1746</v>
      </c>
      <c r="E6048" s="10">
        <v>273926</v>
      </c>
      <c r="F6048" s="12">
        <v>1.76E-4</v>
      </c>
    </row>
    <row r="6049" spans="1:6">
      <c r="A6049" s="10">
        <v>2023</v>
      </c>
      <c r="B6049" t="s">
        <v>685</v>
      </c>
      <c r="C6049" t="s">
        <v>1461</v>
      </c>
      <c r="D6049" t="s">
        <v>1461</v>
      </c>
      <c r="E6049" s="10">
        <v>33140</v>
      </c>
      <c r="F6049" s="12">
        <v>2.1299999999999999E-5</v>
      </c>
    </row>
    <row r="6050" spans="1:6">
      <c r="A6050" s="10">
        <v>2023</v>
      </c>
      <c r="B6050" t="s">
        <v>686</v>
      </c>
      <c r="C6050" t="s">
        <v>1747</v>
      </c>
      <c r="D6050" t="s">
        <v>1747</v>
      </c>
      <c r="E6050" s="10">
        <v>377882</v>
      </c>
      <c r="F6050" s="12">
        <v>2.429E-4</v>
      </c>
    </row>
    <row r="6051" spans="1:6">
      <c r="A6051" s="10">
        <v>2023</v>
      </c>
      <c r="B6051" t="s">
        <v>2089</v>
      </c>
      <c r="C6051" t="s">
        <v>2087</v>
      </c>
      <c r="D6051" t="s">
        <v>2087</v>
      </c>
      <c r="E6051" s="10">
        <v>10253</v>
      </c>
      <c r="F6051" s="12">
        <v>6.6000000000000003E-6</v>
      </c>
    </row>
    <row r="6052" spans="1:6">
      <c r="A6052" s="10">
        <v>2023</v>
      </c>
      <c r="B6052" t="s">
        <v>687</v>
      </c>
      <c r="C6052" t="s">
        <v>632</v>
      </c>
      <c r="D6052" t="s">
        <v>632</v>
      </c>
      <c r="E6052" s="10">
        <v>2037655</v>
      </c>
      <c r="F6052" s="12">
        <v>1.3094999999999999E-3</v>
      </c>
    </row>
    <row r="6053" spans="1:6">
      <c r="A6053" s="10">
        <v>2023</v>
      </c>
      <c r="B6053" t="s">
        <v>688</v>
      </c>
      <c r="C6053" t="s">
        <v>1748</v>
      </c>
      <c r="D6053" t="s">
        <v>1748</v>
      </c>
      <c r="E6053" s="10">
        <v>47331</v>
      </c>
      <c r="F6053" s="12">
        <v>3.04E-5</v>
      </c>
    </row>
    <row r="6054" spans="1:6">
      <c r="A6054" s="10">
        <v>2023</v>
      </c>
      <c r="B6054" t="s">
        <v>689</v>
      </c>
      <c r="C6054" t="s">
        <v>1749</v>
      </c>
      <c r="D6054" t="s">
        <v>1749</v>
      </c>
      <c r="E6054" s="10">
        <v>9534044</v>
      </c>
      <c r="F6054" s="12">
        <v>6.1272000000000002E-3</v>
      </c>
    </row>
    <row r="6055" spans="1:6">
      <c r="A6055" s="10">
        <v>2023</v>
      </c>
      <c r="B6055" t="s">
        <v>690</v>
      </c>
      <c r="C6055" t="s">
        <v>1750</v>
      </c>
      <c r="D6055" t="s">
        <v>1750</v>
      </c>
      <c r="E6055" s="10">
        <v>11989</v>
      </c>
      <c r="F6055" s="12">
        <v>7.7000000000000008E-6</v>
      </c>
    </row>
    <row r="6056" spans="1:6">
      <c r="A6056" s="10">
        <v>2023</v>
      </c>
      <c r="B6056" t="s">
        <v>691</v>
      </c>
      <c r="C6056" t="s">
        <v>1751</v>
      </c>
      <c r="D6056" t="s">
        <v>1751</v>
      </c>
      <c r="E6056" s="10">
        <v>1666837</v>
      </c>
      <c r="F6056" s="12">
        <v>1.0712E-3</v>
      </c>
    </row>
    <row r="6057" spans="1:6">
      <c r="A6057" s="10">
        <v>2023</v>
      </c>
      <c r="B6057" t="s">
        <v>440</v>
      </c>
      <c r="C6057" t="s">
        <v>1752</v>
      </c>
      <c r="D6057" t="s">
        <v>1752</v>
      </c>
      <c r="E6057" s="10">
        <v>174448</v>
      </c>
      <c r="F6057" s="12">
        <v>1.121E-4</v>
      </c>
    </row>
    <row r="6058" spans="1:6">
      <c r="A6058" s="10">
        <v>2023</v>
      </c>
      <c r="B6058" t="s">
        <v>1464</v>
      </c>
      <c r="C6058" t="s">
        <v>1753</v>
      </c>
      <c r="D6058" t="s">
        <v>1753</v>
      </c>
      <c r="E6058" s="10">
        <v>485389</v>
      </c>
      <c r="F6058" s="12">
        <v>3.1189999999999999E-4</v>
      </c>
    </row>
    <row r="6059" spans="1:6">
      <c r="A6059" s="10">
        <v>2023</v>
      </c>
      <c r="B6059" t="s">
        <v>684</v>
      </c>
      <c r="C6059" t="s">
        <v>1754</v>
      </c>
      <c r="D6059" t="s">
        <v>1754</v>
      </c>
      <c r="E6059" s="10">
        <v>532838</v>
      </c>
      <c r="F6059" s="12">
        <v>3.4239999999999997E-4</v>
      </c>
    </row>
    <row r="6060" spans="1:6">
      <c r="A6060" s="10">
        <v>2023</v>
      </c>
      <c r="B6060" t="s">
        <v>692</v>
      </c>
      <c r="C6060" t="s">
        <v>637</v>
      </c>
      <c r="D6060" t="s">
        <v>637</v>
      </c>
      <c r="E6060" s="10">
        <v>279784</v>
      </c>
      <c r="F6060" s="12">
        <v>1.7980000000000001E-4</v>
      </c>
    </row>
    <row r="6061" spans="1:6">
      <c r="A6061" s="10">
        <v>2023</v>
      </c>
      <c r="B6061" t="s">
        <v>1356</v>
      </c>
      <c r="C6061" t="s">
        <v>1755</v>
      </c>
      <c r="D6061" t="s">
        <v>1755</v>
      </c>
      <c r="E6061" s="10">
        <v>268630</v>
      </c>
      <c r="F6061" s="12">
        <v>1.7259999999999999E-4</v>
      </c>
    </row>
    <row r="6062" spans="1:6">
      <c r="A6062" s="10">
        <v>2023</v>
      </c>
      <c r="B6062" t="s">
        <v>693</v>
      </c>
      <c r="C6062" t="s">
        <v>2442</v>
      </c>
      <c r="D6062" t="s">
        <v>2442</v>
      </c>
      <c r="E6062" s="10">
        <v>147943</v>
      </c>
      <c r="F6062" s="12">
        <v>9.5099999999999994E-5</v>
      </c>
    </row>
    <row r="6063" spans="1:6">
      <c r="A6063" s="10">
        <v>2023</v>
      </c>
      <c r="B6063" t="s">
        <v>694</v>
      </c>
      <c r="C6063" t="s">
        <v>1757</v>
      </c>
      <c r="D6063" t="s">
        <v>1757</v>
      </c>
      <c r="E6063" s="10">
        <v>3606406</v>
      </c>
      <c r="F6063" s="12">
        <v>2.3176999999999998E-3</v>
      </c>
    </row>
    <row r="6064" spans="1:6">
      <c r="A6064" s="10">
        <v>2023</v>
      </c>
      <c r="B6064" t="s">
        <v>695</v>
      </c>
      <c r="C6064" t="s">
        <v>1758</v>
      </c>
      <c r="D6064" t="s">
        <v>1758</v>
      </c>
      <c r="E6064" s="10">
        <v>139821</v>
      </c>
      <c r="F6064" s="12">
        <v>8.9900000000000003E-5</v>
      </c>
    </row>
    <row r="6065" spans="1:6">
      <c r="A6065" s="10">
        <v>2023</v>
      </c>
      <c r="B6065" t="s">
        <v>1781</v>
      </c>
      <c r="C6065" t="s">
        <v>1759</v>
      </c>
      <c r="D6065" t="s">
        <v>1759</v>
      </c>
      <c r="E6065" s="10">
        <v>206335</v>
      </c>
      <c r="F6065" s="12">
        <v>1.326E-4</v>
      </c>
    </row>
    <row r="6066" spans="1:6">
      <c r="A6066" s="10">
        <v>2023</v>
      </c>
      <c r="B6066" t="s">
        <v>916</v>
      </c>
      <c r="C6066" t="s">
        <v>2443</v>
      </c>
      <c r="D6066" t="s">
        <v>2443</v>
      </c>
      <c r="E6066" s="10">
        <v>62716</v>
      </c>
      <c r="F6066" s="12">
        <v>4.0299999999999997E-5</v>
      </c>
    </row>
    <row r="6067" spans="1:6">
      <c r="A6067" s="10">
        <v>2023</v>
      </c>
      <c r="B6067" t="s">
        <v>696</v>
      </c>
      <c r="C6067" t="s">
        <v>641</v>
      </c>
      <c r="D6067" t="s">
        <v>641</v>
      </c>
      <c r="E6067" s="10">
        <v>33177</v>
      </c>
      <c r="F6067" s="12">
        <v>2.1299999999999999E-5</v>
      </c>
    </row>
    <row r="6068" spans="1:6">
      <c r="A6068" s="10">
        <v>2023</v>
      </c>
      <c r="B6068" t="s">
        <v>697</v>
      </c>
      <c r="C6068" t="s">
        <v>1761</v>
      </c>
      <c r="D6068" t="s">
        <v>1761</v>
      </c>
      <c r="E6068" s="10">
        <v>174555</v>
      </c>
      <c r="F6068" s="12">
        <v>1.122E-4</v>
      </c>
    </row>
    <row r="6069" spans="1:6">
      <c r="A6069" s="10">
        <v>2023</v>
      </c>
      <c r="B6069" t="s">
        <v>698</v>
      </c>
      <c r="C6069" t="s">
        <v>1762</v>
      </c>
      <c r="D6069" t="s">
        <v>1762</v>
      </c>
      <c r="E6069" s="10">
        <v>4644457</v>
      </c>
      <c r="F6069" s="12">
        <v>2.9849E-3</v>
      </c>
    </row>
    <row r="6070" spans="1:6">
      <c r="A6070" s="10">
        <v>2023</v>
      </c>
      <c r="B6070" t="s">
        <v>699</v>
      </c>
      <c r="C6070" t="s">
        <v>1763</v>
      </c>
      <c r="D6070" t="s">
        <v>1763</v>
      </c>
      <c r="E6070" s="10">
        <v>2921642</v>
      </c>
      <c r="F6070" s="12">
        <v>1.8776999999999999E-3</v>
      </c>
    </row>
    <row r="6071" spans="1:6">
      <c r="A6071" s="10">
        <v>2023</v>
      </c>
      <c r="B6071" t="s">
        <v>700</v>
      </c>
      <c r="C6071" t="s">
        <v>2374</v>
      </c>
      <c r="D6071" t="s">
        <v>2374</v>
      </c>
      <c r="E6071" s="10">
        <v>17235</v>
      </c>
      <c r="F6071" s="12">
        <v>1.11E-5</v>
      </c>
    </row>
    <row r="6072" spans="1:6">
      <c r="A6072" s="10">
        <v>2023</v>
      </c>
      <c r="B6072" t="s">
        <v>701</v>
      </c>
      <c r="C6072" t="s">
        <v>2405</v>
      </c>
      <c r="D6072" t="s">
        <v>2405</v>
      </c>
      <c r="E6072" s="10">
        <v>390573</v>
      </c>
      <c r="F6072" s="12">
        <v>2.5099999999999998E-4</v>
      </c>
    </row>
    <row r="6073" spans="1:6">
      <c r="A6073" s="10">
        <v>2023</v>
      </c>
      <c r="B6073" t="s">
        <v>702</v>
      </c>
      <c r="C6073" t="s">
        <v>1766</v>
      </c>
      <c r="D6073" t="s">
        <v>1766</v>
      </c>
      <c r="E6073" s="10">
        <v>437920</v>
      </c>
      <c r="F6073" s="12">
        <v>2.8140000000000001E-4</v>
      </c>
    </row>
    <row r="6074" spans="1:6">
      <c r="A6074" s="10">
        <v>2023</v>
      </c>
      <c r="B6074" t="s">
        <v>2454</v>
      </c>
      <c r="C6074" t="s">
        <v>2461</v>
      </c>
      <c r="D6074" t="s">
        <v>2461</v>
      </c>
      <c r="E6074" s="10">
        <v>59388</v>
      </c>
      <c r="F6074" s="12">
        <v>3.82E-5</v>
      </c>
    </row>
    <row r="6075" spans="1:6">
      <c r="A6075" s="10">
        <v>2023</v>
      </c>
      <c r="B6075" t="s">
        <v>703</v>
      </c>
      <c r="C6075" t="s">
        <v>1767</v>
      </c>
      <c r="D6075" t="s">
        <v>1767</v>
      </c>
      <c r="E6075" s="10">
        <v>2323591</v>
      </c>
      <c r="F6075" s="12">
        <v>1.4932999999999999E-3</v>
      </c>
    </row>
    <row r="6076" spans="1:6">
      <c r="A6076" s="10">
        <v>2023</v>
      </c>
      <c r="B6076" t="s">
        <v>1233</v>
      </c>
      <c r="C6076" t="s">
        <v>1768</v>
      </c>
      <c r="D6076" t="s">
        <v>1768</v>
      </c>
      <c r="E6076" s="10">
        <v>74163</v>
      </c>
      <c r="F6076" s="12">
        <v>4.7700000000000001E-5</v>
      </c>
    </row>
    <row r="6077" spans="1:6">
      <c r="A6077" s="10">
        <v>2023</v>
      </c>
      <c r="B6077" t="s">
        <v>704</v>
      </c>
      <c r="C6077" t="s">
        <v>1769</v>
      </c>
      <c r="D6077" t="s">
        <v>1769</v>
      </c>
      <c r="E6077" s="10">
        <v>153893</v>
      </c>
      <c r="F6077" s="12">
        <v>9.8900000000000005E-5</v>
      </c>
    </row>
    <row r="6078" spans="1:6">
      <c r="A6078" s="10">
        <v>2023</v>
      </c>
      <c r="B6078" t="s">
        <v>705</v>
      </c>
      <c r="C6078" t="s">
        <v>1770</v>
      </c>
      <c r="D6078" t="s">
        <v>1770</v>
      </c>
      <c r="E6078" s="10">
        <v>727075</v>
      </c>
      <c r="F6078" s="12">
        <v>4.6729999999999997E-4</v>
      </c>
    </row>
    <row r="6079" spans="1:6">
      <c r="A6079" s="10">
        <v>2023</v>
      </c>
      <c r="B6079" t="s">
        <v>706</v>
      </c>
      <c r="C6079" t="s">
        <v>1771</v>
      </c>
      <c r="D6079" t="s">
        <v>1771</v>
      </c>
      <c r="E6079" s="10">
        <v>4227777</v>
      </c>
      <c r="F6079" s="12">
        <v>2.7171000000000001E-3</v>
      </c>
    </row>
    <row r="6080" spans="1:6">
      <c r="A6080" s="10">
        <v>2023</v>
      </c>
      <c r="B6080" t="s">
        <v>441</v>
      </c>
      <c r="C6080" t="s">
        <v>1772</v>
      </c>
      <c r="D6080" t="s">
        <v>1772</v>
      </c>
      <c r="E6080" s="10">
        <v>1701165</v>
      </c>
      <c r="F6080" s="12">
        <v>1.0933E-3</v>
      </c>
    </row>
    <row r="6081" spans="1:6">
      <c r="A6081" s="10">
        <v>2023</v>
      </c>
      <c r="B6081" t="s">
        <v>707</v>
      </c>
      <c r="C6081" t="s">
        <v>1773</v>
      </c>
      <c r="D6081" t="s">
        <v>1773</v>
      </c>
      <c r="E6081" s="10">
        <v>93184</v>
      </c>
      <c r="F6081" s="12">
        <v>5.9899999999999999E-5</v>
      </c>
    </row>
    <row r="6082" spans="1:6">
      <c r="A6082" s="10">
        <v>2023</v>
      </c>
      <c r="B6082" t="s">
        <v>708</v>
      </c>
      <c r="C6082" t="s">
        <v>1774</v>
      </c>
      <c r="D6082" t="s">
        <v>1774</v>
      </c>
      <c r="E6082" s="10">
        <v>11186506</v>
      </c>
      <c r="F6082" s="12">
        <v>7.1891999999999998E-3</v>
      </c>
    </row>
    <row r="6083" spans="1:6">
      <c r="A6083" s="10">
        <v>2023</v>
      </c>
      <c r="B6083" t="s">
        <v>709</v>
      </c>
      <c r="C6083" t="s">
        <v>654</v>
      </c>
      <c r="D6083" t="s">
        <v>654</v>
      </c>
      <c r="E6083" s="10">
        <v>991688</v>
      </c>
      <c r="F6083" s="12">
        <v>6.3730000000000004E-4</v>
      </c>
    </row>
    <row r="6084" spans="1:6">
      <c r="A6084" s="10">
        <v>2023</v>
      </c>
      <c r="B6084" t="s">
        <v>710</v>
      </c>
      <c r="C6084" t="s">
        <v>1775</v>
      </c>
      <c r="D6084" t="s">
        <v>1775</v>
      </c>
      <c r="E6084" s="10">
        <v>3152959</v>
      </c>
      <c r="F6084" s="12">
        <v>2.0263E-3</v>
      </c>
    </row>
    <row r="6085" spans="1:6">
      <c r="A6085" s="10">
        <v>2023</v>
      </c>
      <c r="B6085" t="s">
        <v>442</v>
      </c>
      <c r="C6085" t="s">
        <v>1776</v>
      </c>
      <c r="D6085" t="s">
        <v>1776</v>
      </c>
      <c r="E6085" s="10">
        <v>2420285</v>
      </c>
      <c r="F6085" s="12">
        <v>1.5554E-3</v>
      </c>
    </row>
    <row r="6086" spans="1:6">
      <c r="A6086" s="10">
        <v>2023</v>
      </c>
      <c r="B6086" t="s">
        <v>712</v>
      </c>
      <c r="C6086" t="s">
        <v>1778</v>
      </c>
      <c r="D6086" t="s">
        <v>1778</v>
      </c>
      <c r="E6086" s="10">
        <v>5634444</v>
      </c>
      <c r="F6086" s="12">
        <v>3.6210999999999999E-3</v>
      </c>
    </row>
    <row r="6087" spans="1:6">
      <c r="A6087" s="10">
        <v>2023</v>
      </c>
      <c r="B6087" t="s">
        <v>713</v>
      </c>
      <c r="C6087" t="s">
        <v>1779</v>
      </c>
      <c r="D6087" t="s">
        <v>1779</v>
      </c>
      <c r="E6087" s="10">
        <v>182993</v>
      </c>
      <c r="F6087" s="12">
        <v>1.176E-4</v>
      </c>
    </row>
    <row r="6088" spans="1:6">
      <c r="A6088" s="10">
        <v>2023</v>
      </c>
      <c r="B6088" t="s">
        <v>714</v>
      </c>
      <c r="C6088" t="s">
        <v>1780</v>
      </c>
      <c r="D6088" t="s">
        <v>1780</v>
      </c>
      <c r="E6088" s="10">
        <v>2832309</v>
      </c>
      <c r="F6088" s="12">
        <v>1.8201999999999999E-3</v>
      </c>
    </row>
    <row r="6089" spans="1:6">
      <c r="A6089" s="10">
        <v>2023</v>
      </c>
      <c r="B6089" t="s">
        <v>770</v>
      </c>
      <c r="C6089" t="s">
        <v>715</v>
      </c>
      <c r="D6089" t="s">
        <v>715</v>
      </c>
      <c r="E6089" s="10">
        <v>52112</v>
      </c>
      <c r="F6089" s="12">
        <v>3.3500000000000001E-5</v>
      </c>
    </row>
    <row r="6090" spans="1:6">
      <c r="A6090" s="10">
        <v>2023</v>
      </c>
      <c r="B6090" t="s">
        <v>771</v>
      </c>
      <c r="C6090" t="s">
        <v>1782</v>
      </c>
      <c r="D6090" t="s">
        <v>1782</v>
      </c>
      <c r="E6090" s="10"/>
    </row>
    <row r="6091" spans="1:6">
      <c r="A6091" s="10">
        <v>2023</v>
      </c>
      <c r="B6091" t="s">
        <v>773</v>
      </c>
      <c r="C6091" t="s">
        <v>1784</v>
      </c>
      <c r="D6091" t="s">
        <v>1784</v>
      </c>
      <c r="E6091" s="10">
        <v>7864518</v>
      </c>
      <c r="F6091" s="12">
        <v>5.0543000000000003E-3</v>
      </c>
    </row>
    <row r="6092" spans="1:6">
      <c r="A6092" s="10">
        <v>2023</v>
      </c>
      <c r="B6092" t="s">
        <v>443</v>
      </c>
      <c r="C6092" t="s">
        <v>1785</v>
      </c>
      <c r="D6092" t="s">
        <v>1785</v>
      </c>
      <c r="E6092" s="10">
        <v>364303</v>
      </c>
      <c r="F6092" s="12">
        <v>2.341E-4</v>
      </c>
    </row>
    <row r="6093" spans="1:6">
      <c r="A6093" s="10">
        <v>2023</v>
      </c>
      <c r="B6093" t="s">
        <v>774</v>
      </c>
      <c r="C6093" t="s">
        <v>1786</v>
      </c>
      <c r="D6093" t="s">
        <v>1786</v>
      </c>
      <c r="E6093" s="10">
        <v>287790</v>
      </c>
      <c r="F6093" s="12">
        <v>1.85E-4</v>
      </c>
    </row>
    <row r="6094" spans="1:6">
      <c r="A6094" s="10">
        <v>2023</v>
      </c>
      <c r="B6094" t="s">
        <v>775</v>
      </c>
      <c r="C6094" t="s">
        <v>1787</v>
      </c>
      <c r="D6094" t="s">
        <v>1787</v>
      </c>
      <c r="E6094" s="10">
        <v>3799249</v>
      </c>
      <c r="F6094" s="12">
        <v>2.4417000000000002E-3</v>
      </c>
    </row>
    <row r="6095" spans="1:6">
      <c r="A6095" s="10">
        <v>2023</v>
      </c>
      <c r="B6095" t="s">
        <v>776</v>
      </c>
      <c r="C6095" t="s">
        <v>721</v>
      </c>
      <c r="D6095" t="s">
        <v>721</v>
      </c>
      <c r="E6095" s="10"/>
    </row>
    <row r="6096" spans="1:6">
      <c r="A6096" s="10">
        <v>2023</v>
      </c>
      <c r="B6096" t="s">
        <v>778</v>
      </c>
      <c r="C6096" t="s">
        <v>1788</v>
      </c>
      <c r="D6096" t="s">
        <v>1788</v>
      </c>
      <c r="E6096" s="10">
        <v>4135161</v>
      </c>
      <c r="F6096" s="12">
        <v>2.6575000000000001E-3</v>
      </c>
    </row>
    <row r="6097" spans="1:6">
      <c r="A6097" s="10">
        <v>2023</v>
      </c>
      <c r="B6097" t="s">
        <v>779</v>
      </c>
      <c r="C6097" t="s">
        <v>1789</v>
      </c>
      <c r="D6097" t="s">
        <v>1789</v>
      </c>
      <c r="E6097" s="10">
        <v>196601</v>
      </c>
      <c r="F6097" s="12">
        <v>1.2630000000000001E-4</v>
      </c>
    </row>
    <row r="6098" spans="1:6">
      <c r="A6098" s="10">
        <v>2023</v>
      </c>
      <c r="B6098" t="s">
        <v>780</v>
      </c>
      <c r="C6098" t="s">
        <v>1790</v>
      </c>
      <c r="D6098" t="s">
        <v>1790</v>
      </c>
      <c r="E6098" s="10">
        <v>406263</v>
      </c>
      <c r="F6098" s="12">
        <v>2.611E-4</v>
      </c>
    </row>
    <row r="6099" spans="1:6">
      <c r="A6099" s="10">
        <v>2023</v>
      </c>
      <c r="B6099" t="s">
        <v>781</v>
      </c>
      <c r="C6099" t="s">
        <v>1791</v>
      </c>
      <c r="D6099" t="s">
        <v>1791</v>
      </c>
      <c r="E6099" s="10">
        <v>34237</v>
      </c>
      <c r="F6099" s="12">
        <v>2.1999999999999999E-5</v>
      </c>
    </row>
    <row r="6100" spans="1:6">
      <c r="A6100" s="10">
        <v>2023</v>
      </c>
      <c r="B6100" t="s">
        <v>782</v>
      </c>
      <c r="C6100" t="s">
        <v>1792</v>
      </c>
      <c r="D6100" t="s">
        <v>1792</v>
      </c>
      <c r="E6100" s="10">
        <v>10093293</v>
      </c>
      <c r="F6100" s="12">
        <v>6.4866999999999998E-3</v>
      </c>
    </row>
    <row r="6101" spans="1:6">
      <c r="A6101" s="10">
        <v>2023</v>
      </c>
      <c r="B6101" t="s">
        <v>1234</v>
      </c>
      <c r="C6101" t="s">
        <v>1793</v>
      </c>
      <c r="D6101" t="s">
        <v>1793</v>
      </c>
      <c r="E6101" s="10">
        <v>2312757</v>
      </c>
      <c r="F6101" s="12">
        <v>1.4863000000000001E-3</v>
      </c>
    </row>
    <row r="6102" spans="1:6">
      <c r="A6102" s="10">
        <v>2023</v>
      </c>
      <c r="B6102" t="s">
        <v>783</v>
      </c>
      <c r="C6102" t="s">
        <v>1794</v>
      </c>
      <c r="D6102" t="s">
        <v>1794</v>
      </c>
      <c r="E6102" s="10">
        <v>1409694</v>
      </c>
      <c r="F6102" s="12">
        <v>9.0600000000000001E-4</v>
      </c>
    </row>
    <row r="6103" spans="1:6">
      <c r="A6103" s="10">
        <v>2023</v>
      </c>
      <c r="B6103" t="s">
        <v>787</v>
      </c>
      <c r="C6103" t="s">
        <v>732</v>
      </c>
      <c r="D6103" t="s">
        <v>732</v>
      </c>
      <c r="E6103" s="10">
        <v>78066770</v>
      </c>
      <c r="F6103" s="12">
        <v>5.0171500000000001E-2</v>
      </c>
    </row>
    <row r="6104" spans="1:6">
      <c r="A6104" s="10">
        <v>2023</v>
      </c>
      <c r="B6104" t="s">
        <v>784</v>
      </c>
      <c r="C6104" t="s">
        <v>1795</v>
      </c>
      <c r="D6104" t="s">
        <v>1795</v>
      </c>
      <c r="E6104" s="10">
        <v>48721245</v>
      </c>
      <c r="F6104" s="12">
        <v>3.1311699999999998E-2</v>
      </c>
    </row>
    <row r="6105" spans="1:6">
      <c r="A6105" s="10">
        <v>2023</v>
      </c>
      <c r="B6105" t="s">
        <v>785</v>
      </c>
      <c r="C6105" t="s">
        <v>1796</v>
      </c>
      <c r="D6105" t="s">
        <v>1796</v>
      </c>
      <c r="E6105" s="10">
        <v>649736</v>
      </c>
      <c r="F6105" s="12">
        <v>4.1760000000000001E-4</v>
      </c>
    </row>
    <row r="6106" spans="1:6">
      <c r="A6106" s="10">
        <v>2023</v>
      </c>
      <c r="B6106" t="s">
        <v>788</v>
      </c>
      <c r="C6106" t="s">
        <v>1797</v>
      </c>
      <c r="D6106" t="s">
        <v>1797</v>
      </c>
      <c r="E6106" s="10">
        <v>206992</v>
      </c>
      <c r="F6106" s="12">
        <v>1.3300000000000001E-4</v>
      </c>
    </row>
    <row r="6107" spans="1:6">
      <c r="A6107" s="10">
        <v>2023</v>
      </c>
      <c r="B6107" t="s">
        <v>789</v>
      </c>
      <c r="C6107" t="s">
        <v>1799</v>
      </c>
      <c r="D6107" t="s">
        <v>1799</v>
      </c>
      <c r="E6107" s="10">
        <v>5686077</v>
      </c>
      <c r="F6107" s="12">
        <v>3.6543000000000001E-3</v>
      </c>
    </row>
    <row r="6108" spans="1:6">
      <c r="A6108" s="10">
        <v>2023</v>
      </c>
      <c r="B6108" t="s">
        <v>444</v>
      </c>
      <c r="C6108" t="s">
        <v>1800</v>
      </c>
      <c r="D6108" t="s">
        <v>1800</v>
      </c>
      <c r="E6108" s="10">
        <v>1612699</v>
      </c>
      <c r="F6108" s="12">
        <v>1.0364E-3</v>
      </c>
    </row>
    <row r="6109" spans="1:6">
      <c r="A6109" s="10">
        <v>2023</v>
      </c>
      <c r="B6109" t="s">
        <v>790</v>
      </c>
      <c r="C6109" t="s">
        <v>1801</v>
      </c>
      <c r="D6109" t="s">
        <v>1801</v>
      </c>
      <c r="E6109" s="10"/>
    </row>
    <row r="6110" spans="1:6">
      <c r="A6110" s="10">
        <v>2023</v>
      </c>
      <c r="B6110" t="s">
        <v>777</v>
      </c>
      <c r="C6110" t="s">
        <v>1802</v>
      </c>
      <c r="D6110" t="s">
        <v>1802</v>
      </c>
      <c r="E6110" s="10">
        <v>181409</v>
      </c>
      <c r="F6110" s="12">
        <v>1.166E-4</v>
      </c>
    </row>
    <row r="6111" spans="1:6">
      <c r="A6111" s="10">
        <v>2023</v>
      </c>
      <c r="B6111" t="s">
        <v>791</v>
      </c>
      <c r="C6111" t="s">
        <v>736</v>
      </c>
      <c r="D6111" t="s">
        <v>736</v>
      </c>
      <c r="E6111" s="10">
        <v>376467</v>
      </c>
      <c r="F6111" s="12">
        <v>2.419E-4</v>
      </c>
    </row>
    <row r="6112" spans="1:6">
      <c r="A6112" s="10">
        <v>2023</v>
      </c>
      <c r="B6112" t="s">
        <v>792</v>
      </c>
      <c r="C6112" t="s">
        <v>1803</v>
      </c>
      <c r="D6112" t="s">
        <v>1803</v>
      </c>
      <c r="E6112" s="10">
        <v>482954</v>
      </c>
      <c r="F6112" s="12">
        <v>3.1040000000000001E-4</v>
      </c>
    </row>
    <row r="6113" spans="1:6">
      <c r="A6113" s="10">
        <v>2023</v>
      </c>
      <c r="B6113" t="s">
        <v>793</v>
      </c>
      <c r="C6113" t="s">
        <v>1804</v>
      </c>
      <c r="D6113" t="s">
        <v>1804</v>
      </c>
      <c r="E6113" s="10">
        <v>177186</v>
      </c>
      <c r="F6113" s="12">
        <v>1.139E-4</v>
      </c>
    </row>
    <row r="6114" spans="1:6">
      <c r="A6114" s="10">
        <v>2023</v>
      </c>
      <c r="B6114" t="s">
        <v>794</v>
      </c>
      <c r="C6114" t="s">
        <v>1805</v>
      </c>
      <c r="D6114" t="s">
        <v>1805</v>
      </c>
      <c r="E6114" s="10">
        <v>48845</v>
      </c>
      <c r="F6114" s="12">
        <v>3.1399999999999998E-5</v>
      </c>
    </row>
    <row r="6115" spans="1:6">
      <c r="A6115" s="10">
        <v>2023</v>
      </c>
      <c r="B6115" t="s">
        <v>795</v>
      </c>
      <c r="C6115" t="s">
        <v>1806</v>
      </c>
      <c r="D6115" t="s">
        <v>1806</v>
      </c>
      <c r="E6115" s="10">
        <v>53704555</v>
      </c>
      <c r="F6115" s="12">
        <v>3.4514299999999998E-2</v>
      </c>
    </row>
    <row r="6116" spans="1:6">
      <c r="A6116" s="10">
        <v>2023</v>
      </c>
      <c r="B6116" t="s">
        <v>445</v>
      </c>
      <c r="C6116" t="s">
        <v>1807</v>
      </c>
      <c r="D6116" t="s">
        <v>1807</v>
      </c>
      <c r="E6116" s="10">
        <v>25127621</v>
      </c>
      <c r="F6116" s="12">
        <v>1.6148800000000001E-2</v>
      </c>
    </row>
    <row r="6117" spans="1:6">
      <c r="A6117" s="10">
        <v>2023</v>
      </c>
      <c r="B6117" t="s">
        <v>796</v>
      </c>
      <c r="C6117" t="s">
        <v>741</v>
      </c>
      <c r="D6117" t="s">
        <v>741</v>
      </c>
      <c r="E6117" s="10">
        <v>165818</v>
      </c>
      <c r="F6117" s="12">
        <v>1.066E-4</v>
      </c>
    </row>
    <row r="6118" spans="1:6">
      <c r="A6118" s="10">
        <v>2023</v>
      </c>
      <c r="B6118" t="s">
        <v>797</v>
      </c>
      <c r="C6118" t="s">
        <v>1808</v>
      </c>
      <c r="D6118" t="s">
        <v>1808</v>
      </c>
      <c r="E6118" s="10">
        <v>514970</v>
      </c>
      <c r="F6118" s="12">
        <v>3.3100000000000002E-4</v>
      </c>
    </row>
    <row r="6119" spans="1:6">
      <c r="A6119" s="10">
        <v>2023</v>
      </c>
      <c r="B6119" t="s">
        <v>798</v>
      </c>
      <c r="C6119" t="s">
        <v>743</v>
      </c>
      <c r="D6119" t="s">
        <v>743</v>
      </c>
      <c r="E6119" s="10">
        <v>117773</v>
      </c>
      <c r="F6119" s="12">
        <v>7.5699999999999997E-5</v>
      </c>
    </row>
    <row r="6120" spans="1:6">
      <c r="A6120" s="10">
        <v>2023</v>
      </c>
      <c r="B6120" t="s">
        <v>799</v>
      </c>
      <c r="C6120" t="s">
        <v>1809</v>
      </c>
      <c r="D6120" t="s">
        <v>1809</v>
      </c>
      <c r="E6120" s="10">
        <v>590718</v>
      </c>
      <c r="F6120" s="12">
        <v>3.7960000000000001E-4</v>
      </c>
    </row>
    <row r="6121" spans="1:6">
      <c r="A6121" s="10">
        <v>2023</v>
      </c>
      <c r="B6121" t="s">
        <v>1235</v>
      </c>
      <c r="C6121" t="s">
        <v>1810</v>
      </c>
      <c r="D6121" t="s">
        <v>1810</v>
      </c>
      <c r="E6121" s="10">
        <v>118481</v>
      </c>
      <c r="F6121" s="12">
        <v>7.6100000000000007E-5</v>
      </c>
    </row>
    <row r="6122" spans="1:6">
      <c r="A6122" s="10">
        <v>2023</v>
      </c>
      <c r="B6122" t="s">
        <v>800</v>
      </c>
      <c r="C6122" t="s">
        <v>745</v>
      </c>
      <c r="D6122" t="s">
        <v>745</v>
      </c>
      <c r="E6122" s="10">
        <v>120425</v>
      </c>
      <c r="F6122" s="12">
        <v>7.7399999999999998E-5</v>
      </c>
    </row>
    <row r="6123" spans="1:6">
      <c r="A6123" s="10">
        <v>2023</v>
      </c>
      <c r="B6123" t="s">
        <v>801</v>
      </c>
      <c r="C6123" t="s">
        <v>1811</v>
      </c>
      <c r="D6123" t="s">
        <v>1811</v>
      </c>
      <c r="E6123" s="10">
        <v>957946</v>
      </c>
      <c r="F6123" s="12">
        <v>6.156E-4</v>
      </c>
    </row>
    <row r="6124" spans="1:6">
      <c r="A6124" s="10">
        <v>2023</v>
      </c>
      <c r="B6124" t="s">
        <v>802</v>
      </c>
      <c r="C6124" t="s">
        <v>1812</v>
      </c>
      <c r="D6124" t="s">
        <v>1812</v>
      </c>
      <c r="E6124" s="10">
        <v>45457</v>
      </c>
      <c r="F6124" s="12">
        <v>2.9200000000000002E-5</v>
      </c>
    </row>
    <row r="6125" spans="1:6">
      <c r="A6125" s="10">
        <v>2023</v>
      </c>
      <c r="B6125" t="s">
        <v>803</v>
      </c>
      <c r="C6125" t="s">
        <v>748</v>
      </c>
      <c r="D6125" t="s">
        <v>748</v>
      </c>
      <c r="E6125" s="10">
        <v>319141</v>
      </c>
      <c r="F6125" s="12">
        <v>2.051E-4</v>
      </c>
    </row>
    <row r="6126" spans="1:6">
      <c r="A6126" s="10">
        <v>2023</v>
      </c>
      <c r="B6126" t="s">
        <v>804</v>
      </c>
      <c r="C6126" t="s">
        <v>749</v>
      </c>
      <c r="D6126" t="s">
        <v>749</v>
      </c>
      <c r="E6126" s="10">
        <v>419539</v>
      </c>
      <c r="F6126" s="12">
        <v>2.6959999999999999E-4</v>
      </c>
    </row>
    <row r="6127" spans="1:6">
      <c r="A6127" s="10">
        <v>2023</v>
      </c>
      <c r="B6127" t="s">
        <v>805</v>
      </c>
      <c r="C6127" t="s">
        <v>750</v>
      </c>
      <c r="D6127" t="s">
        <v>750</v>
      </c>
      <c r="E6127" s="10">
        <v>2173915</v>
      </c>
      <c r="F6127" s="12">
        <v>1.3971000000000001E-3</v>
      </c>
    </row>
    <row r="6128" spans="1:6">
      <c r="A6128" s="10">
        <v>2023</v>
      </c>
      <c r="B6128" t="s">
        <v>806</v>
      </c>
      <c r="C6128" t="s">
        <v>751</v>
      </c>
      <c r="D6128" t="s">
        <v>751</v>
      </c>
      <c r="E6128" s="10">
        <v>6054463</v>
      </c>
      <c r="F6128" s="12">
        <v>3.8909999999999999E-3</v>
      </c>
    </row>
    <row r="6129" spans="1:6">
      <c r="A6129" s="10">
        <v>2023</v>
      </c>
      <c r="B6129" t="s">
        <v>807</v>
      </c>
      <c r="C6129" t="s">
        <v>752</v>
      </c>
      <c r="D6129" t="s">
        <v>752</v>
      </c>
      <c r="E6129" s="10">
        <v>106606</v>
      </c>
      <c r="F6129" s="12">
        <v>6.8499999999999998E-5</v>
      </c>
    </row>
    <row r="6130" spans="1:6">
      <c r="A6130" s="10">
        <v>2023</v>
      </c>
      <c r="B6130" t="s">
        <v>2431</v>
      </c>
      <c r="C6130" t="s">
        <v>2464</v>
      </c>
      <c r="D6130" t="s">
        <v>2430</v>
      </c>
      <c r="E6130" s="10">
        <v>204963</v>
      </c>
      <c r="F6130" s="12">
        <v>1.317E-4</v>
      </c>
    </row>
    <row r="6131" spans="1:6">
      <c r="A6131" s="10">
        <v>2023</v>
      </c>
      <c r="B6131" t="s">
        <v>808</v>
      </c>
      <c r="C6131" t="s">
        <v>2430</v>
      </c>
      <c r="D6131" t="s">
        <v>2430</v>
      </c>
      <c r="E6131" s="10"/>
    </row>
    <row r="6132" spans="1:6">
      <c r="A6132" s="10">
        <v>2023</v>
      </c>
      <c r="B6132" t="s">
        <v>809</v>
      </c>
      <c r="C6132" t="s">
        <v>1814</v>
      </c>
      <c r="D6132" t="s">
        <v>1814</v>
      </c>
      <c r="E6132" s="10">
        <v>777088</v>
      </c>
      <c r="F6132" s="12">
        <v>4.994E-4</v>
      </c>
    </row>
    <row r="6133" spans="1:6">
      <c r="A6133" s="10">
        <v>2023</v>
      </c>
      <c r="B6133" t="s">
        <v>1470</v>
      </c>
      <c r="C6133" t="s">
        <v>1815</v>
      </c>
      <c r="D6133" t="s">
        <v>1815</v>
      </c>
      <c r="E6133" s="10">
        <v>19836</v>
      </c>
      <c r="F6133" s="12">
        <v>1.27E-5</v>
      </c>
    </row>
    <row r="6134" spans="1:6">
      <c r="A6134" s="10">
        <v>2023</v>
      </c>
      <c r="B6134" t="s">
        <v>810</v>
      </c>
      <c r="C6134" t="s">
        <v>1816</v>
      </c>
      <c r="D6134" t="s">
        <v>1816</v>
      </c>
      <c r="E6134" s="10">
        <v>157907</v>
      </c>
      <c r="F6134" s="12">
        <v>1.015E-4</v>
      </c>
    </row>
    <row r="6135" spans="1:6">
      <c r="A6135" s="10">
        <v>2023</v>
      </c>
      <c r="B6135" t="s">
        <v>812</v>
      </c>
      <c r="C6135" t="s">
        <v>1818</v>
      </c>
      <c r="D6135" t="s">
        <v>1818</v>
      </c>
      <c r="E6135" s="10">
        <v>1207280</v>
      </c>
      <c r="F6135" s="12">
        <v>7.7590000000000005E-4</v>
      </c>
    </row>
    <row r="6136" spans="1:6">
      <c r="A6136" s="10">
        <v>2023</v>
      </c>
      <c r="B6136" t="s">
        <v>813</v>
      </c>
      <c r="C6136" t="s">
        <v>1819</v>
      </c>
      <c r="D6136" t="s">
        <v>1819</v>
      </c>
      <c r="E6136" s="10">
        <v>138936</v>
      </c>
      <c r="F6136" s="12">
        <v>8.9300000000000002E-5</v>
      </c>
    </row>
    <row r="6137" spans="1:6">
      <c r="A6137" s="10">
        <v>2023</v>
      </c>
      <c r="B6137" t="s">
        <v>818</v>
      </c>
      <c r="C6137" t="s">
        <v>2445</v>
      </c>
      <c r="D6137" t="s">
        <v>2445</v>
      </c>
      <c r="E6137" s="10">
        <v>12821</v>
      </c>
      <c r="F6137" s="12">
        <v>8.1999999999999994E-6</v>
      </c>
    </row>
    <row r="6138" spans="1:6">
      <c r="A6138" s="10">
        <v>2023</v>
      </c>
      <c r="B6138" t="s">
        <v>814</v>
      </c>
      <c r="C6138" t="s">
        <v>1820</v>
      </c>
      <c r="D6138" t="s">
        <v>1820</v>
      </c>
      <c r="E6138" s="10">
        <v>74560</v>
      </c>
      <c r="F6138" s="12">
        <v>4.7899999999999999E-5</v>
      </c>
    </row>
    <row r="6139" spans="1:6">
      <c r="A6139" s="10">
        <v>2023</v>
      </c>
      <c r="B6139" t="s">
        <v>815</v>
      </c>
      <c r="C6139" t="s">
        <v>760</v>
      </c>
      <c r="D6139" t="s">
        <v>760</v>
      </c>
      <c r="E6139" s="10">
        <v>66559</v>
      </c>
      <c r="F6139" s="12">
        <v>4.2799999999999997E-5</v>
      </c>
    </row>
    <row r="6140" spans="1:6">
      <c r="A6140" s="10">
        <v>2023</v>
      </c>
      <c r="B6140" t="s">
        <v>816</v>
      </c>
      <c r="C6140" t="s">
        <v>761</v>
      </c>
      <c r="D6140" t="s">
        <v>761</v>
      </c>
      <c r="E6140" s="10">
        <v>49814</v>
      </c>
      <c r="F6140" s="12">
        <v>3.1999999999999999E-5</v>
      </c>
    </row>
    <row r="6141" spans="1:6">
      <c r="A6141" s="10">
        <v>2023</v>
      </c>
      <c r="B6141" t="s">
        <v>817</v>
      </c>
      <c r="C6141" t="s">
        <v>762</v>
      </c>
      <c r="D6141" t="s">
        <v>762</v>
      </c>
      <c r="E6141" s="10">
        <v>134973</v>
      </c>
      <c r="F6141" s="12">
        <v>8.6700000000000007E-5</v>
      </c>
    </row>
    <row r="6142" spans="1:6">
      <c r="A6142" s="10">
        <v>2023</v>
      </c>
      <c r="B6142" t="s">
        <v>820</v>
      </c>
      <c r="C6142" t="s">
        <v>1822</v>
      </c>
      <c r="D6142" t="s">
        <v>1822</v>
      </c>
      <c r="E6142" s="10">
        <v>841534</v>
      </c>
      <c r="F6142" s="12">
        <v>5.4080000000000003E-4</v>
      </c>
    </row>
    <row r="6143" spans="1:6">
      <c r="A6143" s="10">
        <v>2023</v>
      </c>
      <c r="B6143" t="s">
        <v>822</v>
      </c>
      <c r="C6143" t="s">
        <v>2406</v>
      </c>
      <c r="D6143" t="s">
        <v>2406</v>
      </c>
      <c r="E6143" s="10">
        <v>175205</v>
      </c>
      <c r="F6143" s="12">
        <v>1.126E-4</v>
      </c>
    </row>
    <row r="6144" spans="1:6">
      <c r="A6144" s="10">
        <v>2023</v>
      </c>
      <c r="B6144" t="s">
        <v>880</v>
      </c>
      <c r="C6144" t="s">
        <v>2407</v>
      </c>
      <c r="D6144" t="s">
        <v>2407</v>
      </c>
      <c r="E6144" s="10">
        <v>1081574</v>
      </c>
      <c r="F6144" s="12">
        <v>6.9510000000000004E-4</v>
      </c>
    </row>
    <row r="6145" spans="1:6">
      <c r="A6145" s="10">
        <v>2023</v>
      </c>
      <c r="B6145" t="s">
        <v>884</v>
      </c>
      <c r="C6145" t="s">
        <v>829</v>
      </c>
      <c r="D6145" t="s">
        <v>829</v>
      </c>
      <c r="E6145" s="10">
        <v>2693458</v>
      </c>
      <c r="F6145" s="12">
        <v>1.7309999999999999E-3</v>
      </c>
    </row>
    <row r="6146" spans="1:6">
      <c r="A6146" s="10">
        <v>2023</v>
      </c>
      <c r="B6146" t="s">
        <v>881</v>
      </c>
      <c r="C6146" t="s">
        <v>1825</v>
      </c>
      <c r="D6146" t="s">
        <v>1825</v>
      </c>
      <c r="E6146" s="10">
        <v>31418</v>
      </c>
      <c r="F6146" s="12">
        <v>2.02E-5</v>
      </c>
    </row>
    <row r="6147" spans="1:6">
      <c r="A6147" s="10">
        <v>2023</v>
      </c>
      <c r="B6147" t="s">
        <v>885</v>
      </c>
      <c r="C6147" t="s">
        <v>1828</v>
      </c>
      <c r="D6147" t="s">
        <v>1828</v>
      </c>
      <c r="E6147" s="10">
        <v>128234</v>
      </c>
      <c r="F6147" s="12">
        <v>8.2399999999999997E-5</v>
      </c>
    </row>
    <row r="6148" spans="1:6">
      <c r="A6148" s="10">
        <v>2023</v>
      </c>
      <c r="B6148" t="s">
        <v>886</v>
      </c>
      <c r="C6148" t="s">
        <v>1829</v>
      </c>
      <c r="D6148" t="s">
        <v>1829</v>
      </c>
      <c r="E6148" s="10">
        <v>47979</v>
      </c>
      <c r="F6148" s="12">
        <v>3.0800000000000003E-5</v>
      </c>
    </row>
    <row r="6149" spans="1:6">
      <c r="A6149" s="10">
        <v>2023</v>
      </c>
      <c r="B6149" t="s">
        <v>887</v>
      </c>
      <c r="C6149" t="s">
        <v>1830</v>
      </c>
      <c r="D6149" t="s">
        <v>1830</v>
      </c>
      <c r="E6149" s="10">
        <v>88531</v>
      </c>
      <c r="F6149" s="12">
        <v>5.6900000000000001E-5</v>
      </c>
    </row>
    <row r="6150" spans="1:6">
      <c r="A6150" s="10">
        <v>2023</v>
      </c>
      <c r="B6150" t="s">
        <v>888</v>
      </c>
      <c r="C6150" t="s">
        <v>1831</v>
      </c>
      <c r="D6150" t="s">
        <v>1831</v>
      </c>
      <c r="E6150" s="10">
        <v>29434</v>
      </c>
      <c r="F6150" s="12">
        <v>1.8899999999999999E-5</v>
      </c>
    </row>
    <row r="6151" spans="1:6">
      <c r="A6151" s="10">
        <v>2023</v>
      </c>
      <c r="B6151" t="s">
        <v>890</v>
      </c>
      <c r="C6151" t="s">
        <v>1832</v>
      </c>
      <c r="D6151" t="s">
        <v>1832</v>
      </c>
      <c r="E6151" s="10">
        <v>3239638</v>
      </c>
      <c r="F6151" s="12">
        <v>2.0820000000000001E-3</v>
      </c>
    </row>
    <row r="6152" spans="1:6">
      <c r="A6152" s="10">
        <v>2023</v>
      </c>
      <c r="B6152" t="s">
        <v>446</v>
      </c>
      <c r="C6152" t="s">
        <v>1833</v>
      </c>
      <c r="D6152" t="s">
        <v>1833</v>
      </c>
      <c r="E6152" s="10">
        <v>901364</v>
      </c>
      <c r="F6152" s="12">
        <v>5.7930000000000004E-4</v>
      </c>
    </row>
    <row r="6153" spans="1:6">
      <c r="A6153" s="10">
        <v>2023</v>
      </c>
      <c r="B6153" t="s">
        <v>821</v>
      </c>
      <c r="C6153" t="s">
        <v>1834</v>
      </c>
      <c r="D6153" t="s">
        <v>1834</v>
      </c>
      <c r="E6153" s="10">
        <v>197645</v>
      </c>
      <c r="F6153" s="12">
        <v>1.27E-4</v>
      </c>
    </row>
    <row r="6154" spans="1:6">
      <c r="A6154" s="10">
        <v>2023</v>
      </c>
      <c r="B6154" t="s">
        <v>891</v>
      </c>
      <c r="C6154" t="s">
        <v>1835</v>
      </c>
      <c r="D6154" t="s">
        <v>1835</v>
      </c>
      <c r="E6154" s="10">
        <v>78836</v>
      </c>
      <c r="F6154" s="12">
        <v>5.0699999999999999E-5</v>
      </c>
    </row>
    <row r="6155" spans="1:6">
      <c r="A6155" s="10">
        <v>2023</v>
      </c>
      <c r="B6155" t="s">
        <v>892</v>
      </c>
      <c r="C6155" t="s">
        <v>1836</v>
      </c>
      <c r="D6155" t="s">
        <v>1836</v>
      </c>
      <c r="E6155" s="10">
        <v>65004</v>
      </c>
      <c r="F6155" s="12">
        <v>4.18E-5</v>
      </c>
    </row>
    <row r="6156" spans="1:6">
      <c r="A6156" s="10">
        <v>2023</v>
      </c>
      <c r="B6156" t="s">
        <v>896</v>
      </c>
      <c r="C6156" t="s">
        <v>1837</v>
      </c>
      <c r="D6156" t="s">
        <v>1837</v>
      </c>
      <c r="E6156" s="10">
        <v>65217</v>
      </c>
      <c r="F6156" s="12">
        <v>4.1900000000000002E-5</v>
      </c>
    </row>
    <row r="6157" spans="1:6">
      <c r="A6157" s="10">
        <v>2023</v>
      </c>
      <c r="B6157" t="s">
        <v>824</v>
      </c>
      <c r="C6157" t="s">
        <v>1839</v>
      </c>
      <c r="D6157" t="s">
        <v>1839</v>
      </c>
      <c r="E6157" s="10">
        <v>475677</v>
      </c>
      <c r="F6157" s="12">
        <v>3.057E-4</v>
      </c>
    </row>
    <row r="6158" spans="1:6">
      <c r="A6158" s="10">
        <v>2023</v>
      </c>
      <c r="B6158" t="s">
        <v>823</v>
      </c>
      <c r="C6158" t="s">
        <v>1840</v>
      </c>
      <c r="D6158" t="s">
        <v>1840</v>
      </c>
      <c r="E6158" s="10">
        <v>1095916</v>
      </c>
      <c r="F6158" s="12">
        <v>7.0430000000000004E-4</v>
      </c>
    </row>
    <row r="6159" spans="1:6">
      <c r="A6159" s="10">
        <v>2023</v>
      </c>
      <c r="B6159" t="s">
        <v>893</v>
      </c>
      <c r="C6159" t="s">
        <v>2432</v>
      </c>
      <c r="D6159" t="s">
        <v>2432</v>
      </c>
      <c r="E6159" s="10">
        <v>6406</v>
      </c>
      <c r="F6159" s="12">
        <v>4.0999999999999997E-6</v>
      </c>
    </row>
    <row r="6160" spans="1:6">
      <c r="A6160" s="10">
        <v>2023</v>
      </c>
      <c r="B6160" t="s">
        <v>897</v>
      </c>
      <c r="C6160" t="s">
        <v>1841</v>
      </c>
      <c r="D6160" t="s">
        <v>1841</v>
      </c>
      <c r="E6160" s="10">
        <v>743611</v>
      </c>
      <c r="F6160" s="12">
        <v>4.7790000000000002E-4</v>
      </c>
    </row>
    <row r="6161" spans="1:6">
      <c r="A6161" s="10">
        <v>2023</v>
      </c>
      <c r="B6161" t="s">
        <v>894</v>
      </c>
      <c r="C6161" t="s">
        <v>839</v>
      </c>
      <c r="D6161" t="s">
        <v>839</v>
      </c>
      <c r="E6161" s="10">
        <v>16573196</v>
      </c>
      <c r="F6161" s="12">
        <v>1.06511E-2</v>
      </c>
    </row>
    <row r="6162" spans="1:6">
      <c r="A6162" s="10">
        <v>2023</v>
      </c>
      <c r="B6162" t="s">
        <v>895</v>
      </c>
      <c r="C6162" t="s">
        <v>1842</v>
      </c>
      <c r="D6162" t="s">
        <v>1842</v>
      </c>
      <c r="E6162" s="10">
        <v>33741</v>
      </c>
      <c r="F6162" s="12">
        <v>2.1699999999999999E-5</v>
      </c>
    </row>
    <row r="6163" spans="1:6">
      <c r="A6163" s="10">
        <v>2023</v>
      </c>
      <c r="B6163" t="s">
        <v>898</v>
      </c>
      <c r="C6163" t="s">
        <v>843</v>
      </c>
      <c r="D6163" t="s">
        <v>843</v>
      </c>
      <c r="E6163" s="10">
        <v>1896486</v>
      </c>
      <c r="F6163" s="12">
        <v>1.2187999999999999E-3</v>
      </c>
    </row>
    <row r="6164" spans="1:6">
      <c r="A6164" s="10">
        <v>2023</v>
      </c>
      <c r="B6164" t="s">
        <v>899</v>
      </c>
      <c r="C6164" t="s">
        <v>844</v>
      </c>
      <c r="D6164" t="s">
        <v>844</v>
      </c>
      <c r="E6164" s="10">
        <v>469167</v>
      </c>
      <c r="F6164" s="12">
        <v>3.0150000000000001E-4</v>
      </c>
    </row>
    <row r="6165" spans="1:6">
      <c r="A6165" s="10">
        <v>2023</v>
      </c>
      <c r="B6165" t="s">
        <v>900</v>
      </c>
      <c r="C6165" t="s">
        <v>845</v>
      </c>
      <c r="D6165" t="s">
        <v>845</v>
      </c>
      <c r="E6165" s="10">
        <v>424331</v>
      </c>
      <c r="F6165" s="12">
        <v>2.7270000000000001E-4</v>
      </c>
    </row>
    <row r="6166" spans="1:6">
      <c r="A6166" s="10">
        <v>2023</v>
      </c>
      <c r="B6166" t="s">
        <v>901</v>
      </c>
      <c r="C6166" t="s">
        <v>846</v>
      </c>
      <c r="D6166" t="s">
        <v>846</v>
      </c>
      <c r="E6166" s="10">
        <v>175774</v>
      </c>
      <c r="F6166" s="12">
        <v>1.13E-4</v>
      </c>
    </row>
    <row r="6167" spans="1:6">
      <c r="A6167" s="10">
        <v>2023</v>
      </c>
      <c r="B6167" t="s">
        <v>902</v>
      </c>
      <c r="C6167" t="s">
        <v>1843</v>
      </c>
      <c r="D6167" t="s">
        <v>1843</v>
      </c>
      <c r="E6167" s="10">
        <v>338723</v>
      </c>
      <c r="F6167" s="12">
        <v>2.1770000000000001E-4</v>
      </c>
    </row>
    <row r="6168" spans="1:6">
      <c r="A6168" s="10">
        <v>2023</v>
      </c>
      <c r="B6168" t="s">
        <v>1236</v>
      </c>
      <c r="C6168" t="s">
        <v>1844</v>
      </c>
      <c r="D6168" t="s">
        <v>1844</v>
      </c>
      <c r="E6168" s="10">
        <v>1890060</v>
      </c>
      <c r="F6168" s="12">
        <v>1.2147E-3</v>
      </c>
    </row>
    <row r="6169" spans="1:6">
      <c r="A6169" s="10">
        <v>2023</v>
      </c>
      <c r="B6169" t="s">
        <v>903</v>
      </c>
      <c r="C6169" t="s">
        <v>1845</v>
      </c>
      <c r="D6169" t="s">
        <v>1845</v>
      </c>
      <c r="E6169" s="10">
        <v>2397694</v>
      </c>
      <c r="F6169" s="12">
        <v>1.5409E-3</v>
      </c>
    </row>
    <row r="6170" spans="1:6">
      <c r="A6170" s="10">
        <v>2023</v>
      </c>
      <c r="B6170" t="s">
        <v>904</v>
      </c>
      <c r="C6170" t="s">
        <v>1846</v>
      </c>
      <c r="D6170" t="s">
        <v>1846</v>
      </c>
      <c r="E6170" s="10">
        <v>30643</v>
      </c>
      <c r="F6170" s="12">
        <v>1.9700000000000001E-5</v>
      </c>
    </row>
    <row r="6171" spans="1:6">
      <c r="A6171" s="10">
        <v>2023</v>
      </c>
      <c r="B6171" t="s">
        <v>905</v>
      </c>
      <c r="C6171" t="s">
        <v>1847</v>
      </c>
      <c r="D6171" t="s">
        <v>1847</v>
      </c>
      <c r="E6171" s="10">
        <v>57198</v>
      </c>
      <c r="F6171" s="12">
        <v>3.68E-5</v>
      </c>
    </row>
    <row r="6172" spans="1:6">
      <c r="A6172" s="10">
        <v>2023</v>
      </c>
      <c r="B6172" t="s">
        <v>906</v>
      </c>
      <c r="C6172" t="s">
        <v>1848</v>
      </c>
      <c r="D6172" t="s">
        <v>1848</v>
      </c>
      <c r="E6172" s="10">
        <v>1637656</v>
      </c>
      <c r="F6172" s="12">
        <v>1.0525000000000001E-3</v>
      </c>
    </row>
    <row r="6173" spans="1:6">
      <c r="A6173" s="10">
        <v>2023</v>
      </c>
      <c r="B6173" t="s">
        <v>447</v>
      </c>
      <c r="C6173" t="s">
        <v>1849</v>
      </c>
      <c r="D6173" t="s">
        <v>1849</v>
      </c>
      <c r="E6173" s="10">
        <v>939063</v>
      </c>
      <c r="F6173" s="12">
        <v>6.0349999999999998E-4</v>
      </c>
    </row>
    <row r="6174" spans="1:6">
      <c r="A6174" s="10">
        <v>2023</v>
      </c>
      <c r="B6174" t="s">
        <v>1034</v>
      </c>
      <c r="C6174" t="s">
        <v>1850</v>
      </c>
      <c r="D6174" t="s">
        <v>1850</v>
      </c>
      <c r="E6174" s="10">
        <v>264819</v>
      </c>
      <c r="F6174" s="12">
        <v>1.7019999999999999E-4</v>
      </c>
    </row>
    <row r="6175" spans="1:6">
      <c r="A6175" s="10">
        <v>2023</v>
      </c>
      <c r="B6175" t="s">
        <v>908</v>
      </c>
      <c r="C6175" t="s">
        <v>1851</v>
      </c>
      <c r="D6175" t="s">
        <v>1851</v>
      </c>
      <c r="E6175" s="10">
        <v>365065</v>
      </c>
      <c r="F6175" s="12">
        <v>2.3460000000000001E-4</v>
      </c>
    </row>
    <row r="6176" spans="1:6">
      <c r="A6176" s="10">
        <v>2023</v>
      </c>
      <c r="B6176" t="s">
        <v>909</v>
      </c>
      <c r="C6176" t="s">
        <v>1852</v>
      </c>
      <c r="D6176" t="s">
        <v>1852</v>
      </c>
      <c r="E6176" s="10">
        <v>131684</v>
      </c>
      <c r="F6176" s="12">
        <v>8.4599999999999996E-5</v>
      </c>
    </row>
    <row r="6177" spans="1:6">
      <c r="A6177" s="10">
        <v>2023</v>
      </c>
      <c r="B6177" t="s">
        <v>910</v>
      </c>
      <c r="C6177" t="s">
        <v>1853</v>
      </c>
      <c r="D6177" t="s">
        <v>1853</v>
      </c>
      <c r="E6177" s="10">
        <v>684734</v>
      </c>
      <c r="F6177" s="12">
        <v>4.4010000000000002E-4</v>
      </c>
    </row>
    <row r="6178" spans="1:6">
      <c r="A6178" s="10">
        <v>2023</v>
      </c>
      <c r="B6178" t="s">
        <v>912</v>
      </c>
      <c r="C6178" t="s">
        <v>1854</v>
      </c>
      <c r="D6178" t="s">
        <v>1854</v>
      </c>
      <c r="E6178" s="10">
        <v>1546820</v>
      </c>
      <c r="F6178" s="12">
        <v>9.9409999999999993E-4</v>
      </c>
    </row>
    <row r="6179" spans="1:6">
      <c r="A6179" s="10">
        <v>2023</v>
      </c>
      <c r="B6179" t="s">
        <v>911</v>
      </c>
      <c r="C6179" t="s">
        <v>1855</v>
      </c>
      <c r="D6179" t="s">
        <v>1855</v>
      </c>
      <c r="E6179" s="10">
        <v>23011988</v>
      </c>
      <c r="F6179" s="12">
        <v>1.4789099999999999E-2</v>
      </c>
    </row>
    <row r="6180" spans="1:6">
      <c r="A6180" s="10">
        <v>2023</v>
      </c>
      <c r="B6180" t="s">
        <v>1237</v>
      </c>
      <c r="C6180" t="s">
        <v>1856</v>
      </c>
      <c r="D6180" t="s">
        <v>1856</v>
      </c>
      <c r="E6180" s="10">
        <v>742081</v>
      </c>
      <c r="F6180" s="12">
        <v>4.7689999999999999E-4</v>
      </c>
    </row>
    <row r="6181" spans="1:6">
      <c r="A6181" s="10">
        <v>2023</v>
      </c>
      <c r="B6181" t="s">
        <v>1474</v>
      </c>
      <c r="C6181" t="s">
        <v>1473</v>
      </c>
      <c r="D6181" t="s">
        <v>1473</v>
      </c>
      <c r="E6181" s="10"/>
    </row>
    <row r="6182" spans="1:6">
      <c r="A6182" s="10">
        <v>2023</v>
      </c>
      <c r="B6182" t="s">
        <v>913</v>
      </c>
      <c r="C6182" t="s">
        <v>1857</v>
      </c>
      <c r="D6182" t="s">
        <v>1857</v>
      </c>
      <c r="E6182" s="10"/>
    </row>
    <row r="6183" spans="1:6">
      <c r="A6183" s="10">
        <v>2023</v>
      </c>
      <c r="B6183" t="s">
        <v>914</v>
      </c>
      <c r="C6183" t="s">
        <v>1858</v>
      </c>
      <c r="D6183" t="s">
        <v>1858</v>
      </c>
      <c r="E6183" s="10"/>
    </row>
    <row r="6184" spans="1:6">
      <c r="A6184" s="10">
        <v>2023</v>
      </c>
      <c r="B6184" t="s">
        <v>915</v>
      </c>
      <c r="C6184" t="s">
        <v>1859</v>
      </c>
      <c r="D6184" t="s">
        <v>1859</v>
      </c>
      <c r="E6184" s="10">
        <v>1363438</v>
      </c>
      <c r="F6184" s="12">
        <v>8.7620000000000005E-4</v>
      </c>
    </row>
    <row r="6185" spans="1:6">
      <c r="A6185" s="10">
        <v>2023</v>
      </c>
      <c r="B6185" t="s">
        <v>1238</v>
      </c>
      <c r="C6185" t="s">
        <v>1860</v>
      </c>
      <c r="D6185" t="s">
        <v>1860</v>
      </c>
      <c r="E6185" s="10">
        <v>221209</v>
      </c>
      <c r="F6185" s="12">
        <v>1.4219999999999999E-4</v>
      </c>
    </row>
    <row r="6186" spans="1:6">
      <c r="A6186" s="10">
        <v>2023</v>
      </c>
      <c r="B6186" t="s">
        <v>917</v>
      </c>
      <c r="C6186" t="s">
        <v>1861</v>
      </c>
      <c r="D6186" t="s">
        <v>1861</v>
      </c>
      <c r="E6186" s="10">
        <v>68810</v>
      </c>
      <c r="F6186" s="12">
        <v>4.4199999999999997E-5</v>
      </c>
    </row>
    <row r="6187" spans="1:6">
      <c r="A6187" s="10">
        <v>2023</v>
      </c>
      <c r="B6187" t="s">
        <v>918</v>
      </c>
      <c r="C6187" t="s">
        <v>863</v>
      </c>
      <c r="D6187" t="s">
        <v>863</v>
      </c>
      <c r="E6187" s="10">
        <v>24292</v>
      </c>
      <c r="F6187" s="12">
        <v>1.56E-5</v>
      </c>
    </row>
    <row r="6188" spans="1:6">
      <c r="A6188" s="10">
        <v>2023</v>
      </c>
      <c r="B6188" t="s">
        <v>919</v>
      </c>
      <c r="C6188" t="s">
        <v>1862</v>
      </c>
      <c r="D6188" t="s">
        <v>1862</v>
      </c>
      <c r="E6188" s="10">
        <v>163586</v>
      </c>
      <c r="F6188" s="12">
        <v>1.0509999999999999E-4</v>
      </c>
    </row>
    <row r="6189" spans="1:6">
      <c r="A6189" s="10">
        <v>2023</v>
      </c>
      <c r="B6189" t="s">
        <v>1239</v>
      </c>
      <c r="C6189" t="s">
        <v>1863</v>
      </c>
      <c r="D6189" t="s">
        <v>1863</v>
      </c>
      <c r="E6189" s="10">
        <v>48654</v>
      </c>
      <c r="F6189" s="12">
        <v>3.1300000000000002E-5</v>
      </c>
    </row>
    <row r="6190" spans="1:6">
      <c r="A6190" s="10">
        <v>2023</v>
      </c>
      <c r="B6190" t="s">
        <v>1030</v>
      </c>
      <c r="C6190" t="s">
        <v>1864</v>
      </c>
      <c r="D6190" t="s">
        <v>1864</v>
      </c>
      <c r="E6190" s="10">
        <v>56205</v>
      </c>
      <c r="F6190" s="12">
        <v>3.6100000000000003E-5</v>
      </c>
    </row>
    <row r="6191" spans="1:6">
      <c r="A6191" s="10">
        <v>2023</v>
      </c>
      <c r="B6191" t="s">
        <v>921</v>
      </c>
      <c r="C6191" t="s">
        <v>1865</v>
      </c>
      <c r="D6191" t="s">
        <v>1865</v>
      </c>
      <c r="E6191" s="10">
        <v>1713699</v>
      </c>
      <c r="F6191" s="12">
        <v>1.1012999999999999E-3</v>
      </c>
    </row>
    <row r="6192" spans="1:6">
      <c r="A6192" s="10">
        <v>2023</v>
      </c>
      <c r="B6192" t="s">
        <v>1240</v>
      </c>
      <c r="C6192" t="s">
        <v>1866</v>
      </c>
      <c r="D6192" t="s">
        <v>1866</v>
      </c>
      <c r="E6192" s="10">
        <v>873319</v>
      </c>
      <c r="F6192" s="12">
        <v>5.6130000000000004E-4</v>
      </c>
    </row>
    <row r="6193" spans="1:6">
      <c r="A6193" s="10">
        <v>2023</v>
      </c>
      <c r="B6193" t="s">
        <v>922</v>
      </c>
      <c r="C6193" t="s">
        <v>1867</v>
      </c>
      <c r="D6193" t="s">
        <v>1867</v>
      </c>
      <c r="E6193" s="10">
        <v>338959</v>
      </c>
      <c r="F6193" s="12">
        <v>2.1780000000000001E-4</v>
      </c>
    </row>
    <row r="6194" spans="1:6">
      <c r="A6194" s="10">
        <v>2023</v>
      </c>
      <c r="B6194" t="s">
        <v>923</v>
      </c>
      <c r="C6194" t="s">
        <v>868</v>
      </c>
      <c r="D6194" t="s">
        <v>868</v>
      </c>
      <c r="E6194" s="10">
        <v>5866</v>
      </c>
      <c r="F6194" s="12">
        <v>3.8E-6</v>
      </c>
    </row>
    <row r="6195" spans="1:6">
      <c r="A6195" s="10">
        <v>2023</v>
      </c>
      <c r="B6195" t="s">
        <v>924</v>
      </c>
      <c r="C6195" t="s">
        <v>1868</v>
      </c>
      <c r="D6195" t="s">
        <v>1868</v>
      </c>
      <c r="E6195" s="10">
        <v>126012</v>
      </c>
      <c r="F6195" s="12">
        <v>8.1000000000000004E-5</v>
      </c>
    </row>
    <row r="6196" spans="1:6">
      <c r="A6196" s="10">
        <v>2023</v>
      </c>
      <c r="B6196" t="s">
        <v>925</v>
      </c>
      <c r="C6196" t="s">
        <v>1869</v>
      </c>
      <c r="D6196" t="s">
        <v>1869</v>
      </c>
      <c r="E6196" s="10">
        <v>5284474</v>
      </c>
      <c r="F6196" s="12">
        <v>3.3961999999999998E-3</v>
      </c>
    </row>
    <row r="6197" spans="1:6">
      <c r="A6197" s="10">
        <v>2023</v>
      </c>
      <c r="B6197" t="s">
        <v>926</v>
      </c>
      <c r="C6197" t="s">
        <v>1870</v>
      </c>
      <c r="D6197" t="s">
        <v>1870</v>
      </c>
      <c r="E6197" s="10">
        <v>24273902</v>
      </c>
      <c r="F6197" s="12">
        <v>1.56001E-2</v>
      </c>
    </row>
    <row r="6198" spans="1:6">
      <c r="A6198" s="10">
        <v>2023</v>
      </c>
      <c r="B6198" t="s">
        <v>448</v>
      </c>
      <c r="C6198" t="s">
        <v>1871</v>
      </c>
      <c r="D6198" t="s">
        <v>1871</v>
      </c>
      <c r="E6198" s="10">
        <v>7844830</v>
      </c>
      <c r="F6198" s="12">
        <v>5.0416000000000002E-3</v>
      </c>
    </row>
    <row r="6199" spans="1:6">
      <c r="A6199" s="10">
        <v>2023</v>
      </c>
      <c r="B6199" t="s">
        <v>927</v>
      </c>
      <c r="C6199" t="s">
        <v>1872</v>
      </c>
      <c r="D6199" t="s">
        <v>1872</v>
      </c>
      <c r="E6199" s="10">
        <v>5634893</v>
      </c>
      <c r="F6199" s="12">
        <v>3.6213999999999999E-3</v>
      </c>
    </row>
    <row r="6200" spans="1:6">
      <c r="A6200" s="10">
        <v>2023</v>
      </c>
      <c r="B6200" t="s">
        <v>930</v>
      </c>
      <c r="C6200" t="s">
        <v>1873</v>
      </c>
      <c r="D6200" t="s">
        <v>1873</v>
      </c>
      <c r="E6200" s="10">
        <v>71142</v>
      </c>
      <c r="F6200" s="12">
        <v>4.57E-5</v>
      </c>
    </row>
    <row r="6201" spans="1:6">
      <c r="A6201" s="10">
        <v>2023</v>
      </c>
      <c r="B6201" t="s">
        <v>929</v>
      </c>
      <c r="C6201" t="s">
        <v>1874</v>
      </c>
      <c r="D6201" t="s">
        <v>1874</v>
      </c>
      <c r="E6201" s="10">
        <v>25762857</v>
      </c>
      <c r="F6201" s="12">
        <v>1.6556999999999999E-2</v>
      </c>
    </row>
    <row r="6202" spans="1:6">
      <c r="A6202" s="10">
        <v>2023</v>
      </c>
      <c r="B6202" t="s">
        <v>928</v>
      </c>
      <c r="C6202" t="s">
        <v>1875</v>
      </c>
      <c r="D6202" t="s">
        <v>1875</v>
      </c>
      <c r="E6202" s="10">
        <v>918945</v>
      </c>
      <c r="F6202" s="12">
        <v>5.9060000000000004E-4</v>
      </c>
    </row>
    <row r="6203" spans="1:6">
      <c r="A6203" s="10">
        <v>2023</v>
      </c>
      <c r="B6203" t="s">
        <v>931</v>
      </c>
      <c r="C6203" t="s">
        <v>1876</v>
      </c>
      <c r="D6203" t="s">
        <v>1876</v>
      </c>
      <c r="E6203" s="10">
        <v>117166</v>
      </c>
      <c r="F6203" s="12">
        <v>7.5300000000000001E-5</v>
      </c>
    </row>
    <row r="6204" spans="1:6">
      <c r="A6204" s="10">
        <v>2023</v>
      </c>
      <c r="B6204" t="s">
        <v>932</v>
      </c>
      <c r="C6204" t="s">
        <v>1877</v>
      </c>
      <c r="D6204" t="s">
        <v>1877</v>
      </c>
      <c r="E6204" s="10">
        <v>9735</v>
      </c>
      <c r="F6204" s="12">
        <v>6.2999999999999998E-6</v>
      </c>
    </row>
    <row r="6205" spans="1:6">
      <c r="A6205" s="10">
        <v>2023</v>
      </c>
      <c r="B6205" t="s">
        <v>933</v>
      </c>
      <c r="C6205" t="s">
        <v>1878</v>
      </c>
      <c r="D6205" t="s">
        <v>1878</v>
      </c>
      <c r="E6205" s="10">
        <v>14453</v>
      </c>
      <c r="F6205" s="12">
        <v>9.3000000000000007E-6</v>
      </c>
    </row>
    <row r="6206" spans="1:6">
      <c r="A6206" s="10">
        <v>2023</v>
      </c>
      <c r="B6206" t="s">
        <v>992</v>
      </c>
      <c r="C6206" t="s">
        <v>1879</v>
      </c>
      <c r="D6206" t="s">
        <v>1879</v>
      </c>
      <c r="E6206" s="10">
        <v>81556</v>
      </c>
      <c r="F6206" s="12">
        <v>5.24E-5</v>
      </c>
    </row>
    <row r="6207" spans="1:6">
      <c r="A6207" s="10">
        <v>2023</v>
      </c>
      <c r="B6207" t="s">
        <v>934</v>
      </c>
      <c r="C6207" t="s">
        <v>1880</v>
      </c>
      <c r="D6207" t="s">
        <v>1880</v>
      </c>
      <c r="E6207" s="10">
        <v>502589</v>
      </c>
      <c r="F6207" s="12">
        <v>3.2299999999999999E-4</v>
      </c>
    </row>
    <row r="6208" spans="1:6">
      <c r="A6208" s="10">
        <v>2023</v>
      </c>
      <c r="B6208" t="s">
        <v>990</v>
      </c>
      <c r="C6208" t="s">
        <v>935</v>
      </c>
      <c r="D6208" t="s">
        <v>935</v>
      </c>
      <c r="E6208" s="10">
        <v>10212093</v>
      </c>
      <c r="F6208" s="12">
        <v>6.5630000000000003E-3</v>
      </c>
    </row>
    <row r="6209" spans="1:6">
      <c r="A6209" s="10">
        <v>2023</v>
      </c>
      <c r="B6209" t="s">
        <v>991</v>
      </c>
      <c r="C6209" t="s">
        <v>936</v>
      </c>
      <c r="D6209" t="s">
        <v>936</v>
      </c>
      <c r="E6209" s="10">
        <v>32533825</v>
      </c>
      <c r="F6209" s="12">
        <v>2.09085E-2</v>
      </c>
    </row>
    <row r="6210" spans="1:6">
      <c r="A6210" s="10">
        <v>2023</v>
      </c>
      <c r="B6210" t="s">
        <v>993</v>
      </c>
      <c r="C6210" t="s">
        <v>1881</v>
      </c>
      <c r="D6210" t="s">
        <v>1881</v>
      </c>
      <c r="E6210" s="10">
        <v>772591</v>
      </c>
      <c r="F6210" s="12">
        <v>4.9649999999999998E-4</v>
      </c>
    </row>
    <row r="6211" spans="1:6">
      <c r="A6211" s="10">
        <v>2023</v>
      </c>
      <c r="B6211" t="s">
        <v>1885</v>
      </c>
      <c r="C6211" t="s">
        <v>1882</v>
      </c>
      <c r="D6211" t="s">
        <v>1882</v>
      </c>
      <c r="E6211" s="10"/>
    </row>
    <row r="6212" spans="1:6">
      <c r="A6212" s="10">
        <v>2023</v>
      </c>
      <c r="B6212" t="s">
        <v>994</v>
      </c>
      <c r="C6212" t="s">
        <v>939</v>
      </c>
      <c r="D6212" t="s">
        <v>939</v>
      </c>
      <c r="E6212" s="10">
        <v>8505</v>
      </c>
      <c r="F6212" s="12">
        <v>5.4999999999999999E-6</v>
      </c>
    </row>
    <row r="6213" spans="1:6">
      <c r="A6213" s="10">
        <v>2023</v>
      </c>
      <c r="B6213" t="s">
        <v>995</v>
      </c>
      <c r="C6213" t="s">
        <v>2434</v>
      </c>
      <c r="D6213" t="s">
        <v>2434</v>
      </c>
      <c r="E6213" s="10">
        <v>83401</v>
      </c>
      <c r="F6213" s="12">
        <v>5.3600000000000002E-5</v>
      </c>
    </row>
    <row r="6214" spans="1:6">
      <c r="A6214" s="10">
        <v>2023</v>
      </c>
      <c r="B6214" t="s">
        <v>996</v>
      </c>
      <c r="C6214" t="s">
        <v>2435</v>
      </c>
      <c r="D6214" t="s">
        <v>2435</v>
      </c>
      <c r="E6214" s="10">
        <v>57428</v>
      </c>
      <c r="F6214" s="12">
        <v>3.6900000000000002E-5</v>
      </c>
    </row>
    <row r="6215" spans="1:6">
      <c r="A6215" s="10">
        <v>2023</v>
      </c>
      <c r="B6215" t="s">
        <v>997</v>
      </c>
      <c r="C6215" t="s">
        <v>2436</v>
      </c>
      <c r="D6215" t="s">
        <v>2436</v>
      </c>
      <c r="E6215" s="10">
        <v>86412</v>
      </c>
      <c r="F6215" s="12">
        <v>5.5500000000000001E-5</v>
      </c>
    </row>
    <row r="6216" spans="1:6">
      <c r="A6216" s="10">
        <v>2023</v>
      </c>
      <c r="B6216" t="s">
        <v>999</v>
      </c>
      <c r="C6216" t="s">
        <v>1884</v>
      </c>
      <c r="D6216" t="s">
        <v>1884</v>
      </c>
      <c r="E6216" s="10">
        <v>666679</v>
      </c>
      <c r="F6216" s="12">
        <v>4.2850000000000001E-4</v>
      </c>
    </row>
    <row r="6217" spans="1:6">
      <c r="A6217" s="10">
        <v>2023</v>
      </c>
      <c r="B6217" t="s">
        <v>1241</v>
      </c>
      <c r="C6217" t="s">
        <v>1886</v>
      </c>
      <c r="D6217" t="s">
        <v>1886</v>
      </c>
      <c r="E6217" s="10">
        <v>44806</v>
      </c>
      <c r="F6217" s="12">
        <v>2.8799999999999999E-5</v>
      </c>
    </row>
    <row r="6218" spans="1:6">
      <c r="A6218" s="10">
        <v>2023</v>
      </c>
      <c r="B6218" t="s">
        <v>1002</v>
      </c>
      <c r="C6218" t="s">
        <v>947</v>
      </c>
      <c r="D6218" t="s">
        <v>947</v>
      </c>
      <c r="E6218" s="10">
        <v>10285019</v>
      </c>
      <c r="F6218" s="12">
        <v>6.6099000000000002E-3</v>
      </c>
    </row>
    <row r="6219" spans="1:6">
      <c r="A6219" s="10">
        <v>2023</v>
      </c>
      <c r="B6219" t="s">
        <v>1001</v>
      </c>
      <c r="C6219" t="s">
        <v>2433</v>
      </c>
      <c r="D6219" t="s">
        <v>2433</v>
      </c>
      <c r="E6219" s="10">
        <v>28759</v>
      </c>
      <c r="F6219" s="12">
        <v>1.8499999999999999E-5</v>
      </c>
    </row>
    <row r="6220" spans="1:6">
      <c r="A6220" s="10">
        <v>2023</v>
      </c>
      <c r="B6220" t="s">
        <v>1003</v>
      </c>
      <c r="C6220" t="s">
        <v>1478</v>
      </c>
      <c r="D6220" t="s">
        <v>1478</v>
      </c>
      <c r="E6220" s="10">
        <v>38709</v>
      </c>
      <c r="F6220" s="12">
        <v>2.4899999999999999E-5</v>
      </c>
    </row>
    <row r="6221" spans="1:6">
      <c r="A6221" s="10">
        <v>2023</v>
      </c>
      <c r="B6221" t="s">
        <v>1004</v>
      </c>
      <c r="C6221" t="s">
        <v>949</v>
      </c>
      <c r="D6221" t="s">
        <v>949</v>
      </c>
      <c r="E6221" s="10">
        <v>394771</v>
      </c>
      <c r="F6221" s="12">
        <v>2.5369999999999999E-4</v>
      </c>
    </row>
    <row r="6222" spans="1:6">
      <c r="A6222" s="10">
        <v>2023</v>
      </c>
      <c r="B6222" t="s">
        <v>1000</v>
      </c>
      <c r="C6222" t="s">
        <v>2384</v>
      </c>
      <c r="D6222" t="s">
        <v>2384</v>
      </c>
      <c r="E6222" s="10">
        <v>20343</v>
      </c>
      <c r="F6222" s="12">
        <v>1.31E-5</v>
      </c>
    </row>
    <row r="6223" spans="1:6">
      <c r="A6223" s="10">
        <v>2023</v>
      </c>
      <c r="B6223" t="s">
        <v>1005</v>
      </c>
      <c r="C6223" t="s">
        <v>1888</v>
      </c>
      <c r="D6223" t="s">
        <v>1888</v>
      </c>
      <c r="E6223" s="10">
        <v>151528</v>
      </c>
      <c r="F6223" s="12">
        <v>9.7399999999999996E-5</v>
      </c>
    </row>
    <row r="6224" spans="1:6">
      <c r="A6224" s="10">
        <v>2023</v>
      </c>
      <c r="B6224" t="s">
        <v>1006</v>
      </c>
      <c r="C6224" t="s">
        <v>1889</v>
      </c>
      <c r="D6224" t="s">
        <v>1889</v>
      </c>
      <c r="E6224" s="10">
        <v>235183</v>
      </c>
      <c r="F6224" s="12">
        <v>1.5109999999999999E-4</v>
      </c>
    </row>
    <row r="6225" spans="1:6">
      <c r="A6225" s="10">
        <v>2023</v>
      </c>
      <c r="B6225" t="s">
        <v>1007</v>
      </c>
      <c r="C6225" t="s">
        <v>1890</v>
      </c>
      <c r="D6225" t="s">
        <v>1890</v>
      </c>
      <c r="E6225" s="10">
        <v>14767</v>
      </c>
      <c r="F6225" s="12">
        <v>9.5000000000000005E-6</v>
      </c>
    </row>
    <row r="6226" spans="1:6">
      <c r="A6226" s="10">
        <v>2023</v>
      </c>
      <c r="B6226" t="s">
        <v>1008</v>
      </c>
      <c r="C6226" t="s">
        <v>2286</v>
      </c>
      <c r="D6226" t="s">
        <v>2286</v>
      </c>
      <c r="E6226" s="10">
        <v>113465</v>
      </c>
      <c r="F6226" s="12">
        <v>7.2899999999999997E-5</v>
      </c>
    </row>
    <row r="6227" spans="1:6">
      <c r="A6227" s="10">
        <v>2023</v>
      </c>
      <c r="B6227" t="s">
        <v>1009</v>
      </c>
      <c r="C6227" t="s">
        <v>1892</v>
      </c>
      <c r="D6227" t="s">
        <v>1892</v>
      </c>
      <c r="E6227" s="10">
        <v>36700</v>
      </c>
      <c r="F6227" s="12">
        <v>2.3600000000000001E-5</v>
      </c>
    </row>
    <row r="6228" spans="1:6">
      <c r="A6228" s="10">
        <v>2023</v>
      </c>
      <c r="B6228" t="s">
        <v>1010</v>
      </c>
      <c r="C6228" t="s">
        <v>1893</v>
      </c>
      <c r="D6228" t="s">
        <v>1893</v>
      </c>
      <c r="E6228" s="10">
        <v>130162</v>
      </c>
      <c r="F6228" s="12">
        <v>8.3700000000000002E-5</v>
      </c>
    </row>
    <row r="6229" spans="1:6">
      <c r="A6229" s="10">
        <v>2023</v>
      </c>
      <c r="B6229" t="s">
        <v>1242</v>
      </c>
      <c r="C6229" t="s">
        <v>1894</v>
      </c>
      <c r="D6229" t="s">
        <v>1894</v>
      </c>
      <c r="E6229" s="10">
        <v>361778</v>
      </c>
      <c r="F6229" s="12">
        <v>2.3250000000000001E-4</v>
      </c>
    </row>
    <row r="6230" spans="1:6">
      <c r="A6230" s="10">
        <v>2023</v>
      </c>
      <c r="B6230" t="s">
        <v>1011</v>
      </c>
      <c r="C6230" t="s">
        <v>2288</v>
      </c>
      <c r="D6230" t="s">
        <v>2288</v>
      </c>
      <c r="E6230" s="10">
        <v>15450</v>
      </c>
      <c r="F6230" s="12">
        <v>9.9000000000000001E-6</v>
      </c>
    </row>
    <row r="6231" spans="1:6">
      <c r="A6231" s="10">
        <v>2023</v>
      </c>
      <c r="B6231" t="s">
        <v>1012</v>
      </c>
      <c r="C6231" t="s">
        <v>957</v>
      </c>
      <c r="D6231" t="s">
        <v>957</v>
      </c>
      <c r="E6231" s="10">
        <v>89170</v>
      </c>
      <c r="F6231" s="12">
        <v>5.7299999999999997E-5</v>
      </c>
    </row>
    <row r="6232" spans="1:6">
      <c r="A6232" s="10">
        <v>2023</v>
      </c>
      <c r="B6232" t="s">
        <v>1013</v>
      </c>
      <c r="C6232" t="s">
        <v>2408</v>
      </c>
      <c r="D6232" t="s">
        <v>2408</v>
      </c>
      <c r="E6232" s="10">
        <v>1247624</v>
      </c>
      <c r="F6232" s="12">
        <v>8.0179999999999997E-4</v>
      </c>
    </row>
    <row r="6233" spans="1:6">
      <c r="A6233" s="10">
        <v>2023</v>
      </c>
      <c r="B6233" t="s">
        <v>1016</v>
      </c>
      <c r="C6233" t="s">
        <v>1897</v>
      </c>
      <c r="D6233" t="s">
        <v>1897</v>
      </c>
      <c r="E6233" s="10">
        <v>374433</v>
      </c>
      <c r="F6233" s="12">
        <v>2.4059999999999999E-4</v>
      </c>
    </row>
    <row r="6234" spans="1:6">
      <c r="A6234" s="10">
        <v>2023</v>
      </c>
      <c r="B6234" t="s">
        <v>1017</v>
      </c>
      <c r="C6234" t="s">
        <v>1898</v>
      </c>
      <c r="D6234" t="s">
        <v>1898</v>
      </c>
      <c r="E6234" s="10">
        <v>92180</v>
      </c>
      <c r="F6234" s="12">
        <v>5.9200000000000002E-5</v>
      </c>
    </row>
    <row r="6235" spans="1:6">
      <c r="A6235" s="10">
        <v>2023</v>
      </c>
      <c r="B6235" t="s">
        <v>1018</v>
      </c>
      <c r="C6235" t="s">
        <v>1899</v>
      </c>
      <c r="D6235" t="s">
        <v>1899</v>
      </c>
      <c r="E6235" s="10">
        <v>48874</v>
      </c>
      <c r="F6235" s="12">
        <v>3.1399999999999998E-5</v>
      </c>
    </row>
    <row r="6236" spans="1:6">
      <c r="A6236" s="10">
        <v>2023</v>
      </c>
      <c r="B6236" t="s">
        <v>1020</v>
      </c>
      <c r="C6236" t="s">
        <v>1900</v>
      </c>
      <c r="D6236" t="s">
        <v>1900</v>
      </c>
      <c r="E6236" s="10">
        <v>2620612</v>
      </c>
      <c r="F6236" s="12">
        <v>1.6842000000000001E-3</v>
      </c>
    </row>
    <row r="6237" spans="1:6">
      <c r="A6237" s="10">
        <v>2023</v>
      </c>
      <c r="B6237" t="s">
        <v>1019</v>
      </c>
      <c r="C6237" t="s">
        <v>1901</v>
      </c>
      <c r="D6237" t="s">
        <v>1901</v>
      </c>
      <c r="E6237" s="10">
        <v>57811</v>
      </c>
      <c r="F6237" s="12">
        <v>3.7200000000000003E-5</v>
      </c>
    </row>
    <row r="6238" spans="1:6">
      <c r="A6238" s="10">
        <v>2023</v>
      </c>
      <c r="B6238" t="s">
        <v>1021</v>
      </c>
      <c r="C6238" t="s">
        <v>1902</v>
      </c>
      <c r="D6238" t="s">
        <v>1902</v>
      </c>
      <c r="E6238" s="10">
        <v>42028</v>
      </c>
      <c r="F6238" s="12">
        <v>2.6999999999999999E-5</v>
      </c>
    </row>
    <row r="6239" spans="1:6">
      <c r="A6239" s="10">
        <v>2023</v>
      </c>
      <c r="B6239" t="s">
        <v>2457</v>
      </c>
      <c r="C6239" t="s">
        <v>2455</v>
      </c>
      <c r="D6239" t="s">
        <v>2455</v>
      </c>
      <c r="E6239" s="10">
        <v>1202082</v>
      </c>
      <c r="F6239" s="12">
        <v>7.7249999999999997E-4</v>
      </c>
    </row>
    <row r="6240" spans="1:6">
      <c r="A6240" s="10">
        <v>2023</v>
      </c>
      <c r="B6240" t="s">
        <v>449</v>
      </c>
      <c r="C6240" t="s">
        <v>1903</v>
      </c>
      <c r="D6240" t="s">
        <v>1903</v>
      </c>
      <c r="E6240" s="10">
        <v>3002619</v>
      </c>
      <c r="F6240" s="12">
        <v>1.9296999999999999E-3</v>
      </c>
    </row>
    <row r="6241" spans="1:6">
      <c r="A6241" s="10">
        <v>2023</v>
      </c>
      <c r="B6241" t="s">
        <v>1022</v>
      </c>
      <c r="C6241" t="s">
        <v>1904</v>
      </c>
      <c r="D6241" t="s">
        <v>1904</v>
      </c>
      <c r="E6241" s="10">
        <v>219793</v>
      </c>
      <c r="F6241" s="12">
        <v>1.4129999999999999E-4</v>
      </c>
    </row>
    <row r="6242" spans="1:6">
      <c r="A6242" s="10">
        <v>2023</v>
      </c>
      <c r="B6242" t="s">
        <v>1023</v>
      </c>
      <c r="C6242" t="s">
        <v>1905</v>
      </c>
      <c r="D6242" t="s">
        <v>1905</v>
      </c>
      <c r="E6242" s="10">
        <v>1047192</v>
      </c>
      <c r="F6242" s="12">
        <v>6.7299999999999999E-4</v>
      </c>
    </row>
    <row r="6243" spans="1:6">
      <c r="A6243" s="10">
        <v>2023</v>
      </c>
      <c r="B6243" t="s">
        <v>1024</v>
      </c>
      <c r="C6243" t="s">
        <v>969</v>
      </c>
      <c r="D6243" t="s">
        <v>969</v>
      </c>
      <c r="E6243" s="10">
        <v>107795</v>
      </c>
      <c r="F6243" s="12">
        <v>6.9300000000000004E-5</v>
      </c>
    </row>
    <row r="6244" spans="1:6">
      <c r="A6244" s="10">
        <v>2023</v>
      </c>
      <c r="B6244" t="s">
        <v>1025</v>
      </c>
      <c r="C6244" t="s">
        <v>1906</v>
      </c>
      <c r="D6244" t="s">
        <v>1906</v>
      </c>
      <c r="E6244" s="10">
        <v>122162</v>
      </c>
      <c r="F6244" s="12">
        <v>7.8499999999999997E-5</v>
      </c>
    </row>
    <row r="6245" spans="1:6">
      <c r="A6245" s="10">
        <v>2023</v>
      </c>
      <c r="B6245" t="s">
        <v>2458</v>
      </c>
      <c r="C6245" t="s">
        <v>2456</v>
      </c>
      <c r="D6245" t="s">
        <v>2456</v>
      </c>
      <c r="E6245" s="10">
        <v>206301</v>
      </c>
      <c r="F6245" s="12">
        <v>1.326E-4</v>
      </c>
    </row>
    <row r="6246" spans="1:6">
      <c r="A6246" s="10">
        <v>2023</v>
      </c>
      <c r="B6246" t="s">
        <v>1026</v>
      </c>
      <c r="C6246" t="s">
        <v>1907</v>
      </c>
      <c r="D6246" t="s">
        <v>1907</v>
      </c>
      <c r="E6246" s="10">
        <v>9101887</v>
      </c>
      <c r="F6246" s="12">
        <v>5.8494999999999997E-3</v>
      </c>
    </row>
    <row r="6247" spans="1:6">
      <c r="A6247" s="10">
        <v>2023</v>
      </c>
      <c r="B6247" t="s">
        <v>1243</v>
      </c>
      <c r="C6247" t="s">
        <v>1908</v>
      </c>
      <c r="D6247" t="s">
        <v>1908</v>
      </c>
      <c r="E6247" s="10">
        <v>3083768</v>
      </c>
      <c r="F6247" s="12">
        <v>1.9818000000000001E-3</v>
      </c>
    </row>
    <row r="6248" spans="1:6">
      <c r="A6248" s="10">
        <v>2023</v>
      </c>
      <c r="B6248" t="s">
        <v>1027</v>
      </c>
      <c r="C6248" t="s">
        <v>1909</v>
      </c>
      <c r="D6248" t="s">
        <v>1909</v>
      </c>
      <c r="E6248" s="10">
        <v>26969</v>
      </c>
      <c r="F6248" s="12">
        <v>1.73E-5</v>
      </c>
    </row>
    <row r="6249" spans="1:6">
      <c r="A6249" s="10">
        <v>2023</v>
      </c>
      <c r="B6249" t="s">
        <v>1028</v>
      </c>
      <c r="C6249" t="s">
        <v>973</v>
      </c>
      <c r="D6249" t="s">
        <v>973</v>
      </c>
      <c r="E6249" s="10">
        <v>12653</v>
      </c>
      <c r="F6249" s="12">
        <v>8.1000000000000004E-6</v>
      </c>
    </row>
    <row r="6250" spans="1:6">
      <c r="A6250" s="10">
        <v>2023</v>
      </c>
      <c r="B6250" t="s">
        <v>1029</v>
      </c>
      <c r="C6250" t="s">
        <v>2409</v>
      </c>
      <c r="D6250" t="s">
        <v>2409</v>
      </c>
      <c r="E6250" s="10">
        <v>284962</v>
      </c>
      <c r="F6250" s="12">
        <v>1.8310000000000001E-4</v>
      </c>
    </row>
    <row r="6251" spans="1:6">
      <c r="A6251" s="10">
        <v>2023</v>
      </c>
      <c r="B6251" t="s">
        <v>1031</v>
      </c>
      <c r="C6251" t="s">
        <v>1911</v>
      </c>
      <c r="D6251" t="s">
        <v>1911</v>
      </c>
      <c r="E6251" s="10">
        <v>656115</v>
      </c>
      <c r="F6251" s="12">
        <v>4.217E-4</v>
      </c>
    </row>
    <row r="6252" spans="1:6">
      <c r="A6252" s="10">
        <v>2023</v>
      </c>
      <c r="B6252" t="s">
        <v>1032</v>
      </c>
      <c r="C6252" t="s">
        <v>1912</v>
      </c>
      <c r="D6252" t="s">
        <v>1912</v>
      </c>
      <c r="E6252" s="10">
        <v>347255</v>
      </c>
      <c r="F6252" s="12">
        <v>2.232E-4</v>
      </c>
    </row>
    <row r="6253" spans="1:6">
      <c r="A6253" s="10">
        <v>2023</v>
      </c>
      <c r="B6253" t="s">
        <v>920</v>
      </c>
      <c r="C6253" t="s">
        <v>1914</v>
      </c>
      <c r="D6253" t="s">
        <v>1914</v>
      </c>
      <c r="E6253" s="10"/>
    </row>
    <row r="6254" spans="1:6">
      <c r="A6254" s="10">
        <v>2023</v>
      </c>
      <c r="B6254" t="s">
        <v>1037</v>
      </c>
      <c r="C6254" t="s">
        <v>1915</v>
      </c>
      <c r="D6254" t="s">
        <v>1915</v>
      </c>
      <c r="E6254" s="10">
        <v>53889</v>
      </c>
      <c r="F6254" s="12">
        <v>3.4600000000000001E-5</v>
      </c>
    </row>
    <row r="6255" spans="1:6">
      <c r="A6255" s="10">
        <v>2023</v>
      </c>
      <c r="B6255" t="s">
        <v>1038</v>
      </c>
      <c r="C6255" t="s">
        <v>1916</v>
      </c>
      <c r="D6255" t="s">
        <v>1916</v>
      </c>
      <c r="E6255" s="10">
        <v>663890</v>
      </c>
      <c r="F6255" s="12">
        <v>4.2670000000000002E-4</v>
      </c>
    </row>
    <row r="6256" spans="1:6">
      <c r="A6256" s="10">
        <v>2023</v>
      </c>
      <c r="B6256" t="s">
        <v>1039</v>
      </c>
      <c r="C6256" t="s">
        <v>1917</v>
      </c>
      <c r="D6256" t="s">
        <v>1917</v>
      </c>
      <c r="E6256" s="10">
        <v>6854988</v>
      </c>
      <c r="F6256" s="12">
        <v>4.4054999999999997E-3</v>
      </c>
    </row>
    <row r="6257" spans="1:6">
      <c r="A6257" s="10">
        <v>2023</v>
      </c>
      <c r="B6257" t="s">
        <v>1040</v>
      </c>
      <c r="C6257" t="s">
        <v>985</v>
      </c>
      <c r="D6257" t="s">
        <v>985</v>
      </c>
      <c r="E6257" s="10">
        <v>226969</v>
      </c>
      <c r="F6257" s="12">
        <v>1.459E-4</v>
      </c>
    </row>
    <row r="6258" spans="1:6">
      <c r="A6258" s="10">
        <v>2023</v>
      </c>
      <c r="B6258" t="s">
        <v>998</v>
      </c>
      <c r="C6258" t="s">
        <v>1918</v>
      </c>
      <c r="D6258" t="s">
        <v>1918</v>
      </c>
      <c r="E6258" s="10">
        <v>52680</v>
      </c>
      <c r="F6258" s="12">
        <v>3.3899999999999997E-5</v>
      </c>
    </row>
    <row r="6259" spans="1:6">
      <c r="A6259" s="10">
        <v>2023</v>
      </c>
      <c r="B6259" t="s">
        <v>1041</v>
      </c>
      <c r="C6259" t="s">
        <v>1919</v>
      </c>
      <c r="D6259" t="s">
        <v>1919</v>
      </c>
      <c r="E6259" s="10">
        <v>921494</v>
      </c>
      <c r="F6259" s="12">
        <v>5.9219999999999997E-4</v>
      </c>
    </row>
    <row r="6260" spans="1:6">
      <c r="A6260" s="10">
        <v>2023</v>
      </c>
      <c r="B6260" t="s">
        <v>1042</v>
      </c>
      <c r="C6260" t="s">
        <v>2296</v>
      </c>
      <c r="D6260" t="s">
        <v>2296</v>
      </c>
      <c r="E6260" s="10"/>
    </row>
    <row r="6261" spans="1:6">
      <c r="A6261" s="10">
        <v>2023</v>
      </c>
      <c r="B6261" t="s">
        <v>1043</v>
      </c>
      <c r="C6261" t="s">
        <v>1921</v>
      </c>
      <c r="D6261" t="s">
        <v>1921</v>
      </c>
      <c r="E6261" s="10">
        <v>794322</v>
      </c>
      <c r="F6261" s="12">
        <v>5.1049999999999999E-4</v>
      </c>
    </row>
    <row r="6262" spans="1:6">
      <c r="A6262" s="10">
        <v>2023</v>
      </c>
      <c r="B6262" t="s">
        <v>1044</v>
      </c>
      <c r="C6262" t="s">
        <v>1922</v>
      </c>
      <c r="D6262" t="s">
        <v>1922</v>
      </c>
      <c r="E6262" s="10">
        <v>2132093</v>
      </c>
      <c r="F6262" s="12">
        <v>1.3702E-3</v>
      </c>
    </row>
    <row r="6263" spans="1:6">
      <c r="A6263" s="10">
        <v>2023</v>
      </c>
      <c r="B6263" t="s">
        <v>1100</v>
      </c>
      <c r="C6263" t="s">
        <v>1923</v>
      </c>
      <c r="D6263" t="s">
        <v>1923</v>
      </c>
      <c r="E6263" s="10">
        <v>1903891</v>
      </c>
      <c r="F6263" s="12">
        <v>1.2236E-3</v>
      </c>
    </row>
    <row r="6264" spans="1:6">
      <c r="A6264" s="10">
        <v>2023</v>
      </c>
      <c r="B6264" t="s">
        <v>450</v>
      </c>
      <c r="C6264" t="s">
        <v>1924</v>
      </c>
      <c r="D6264" t="s">
        <v>1924</v>
      </c>
      <c r="E6264" s="10">
        <v>870074</v>
      </c>
      <c r="F6264" s="12">
        <v>5.5920000000000004E-4</v>
      </c>
    </row>
    <row r="6265" spans="1:6">
      <c r="A6265" s="10">
        <v>2023</v>
      </c>
      <c r="B6265" t="s">
        <v>1101</v>
      </c>
      <c r="C6265" t="s">
        <v>1925</v>
      </c>
      <c r="D6265" t="s">
        <v>1925</v>
      </c>
      <c r="E6265" s="10">
        <v>4134426</v>
      </c>
      <c r="F6265" s="12">
        <v>2.6570999999999999E-3</v>
      </c>
    </row>
    <row r="6266" spans="1:6">
      <c r="A6266" s="10">
        <v>2023</v>
      </c>
      <c r="B6266" t="s">
        <v>1244</v>
      </c>
      <c r="C6266" t="s">
        <v>1926</v>
      </c>
      <c r="D6266" t="s">
        <v>1926</v>
      </c>
      <c r="E6266" s="10">
        <v>924673</v>
      </c>
      <c r="F6266" s="12">
        <v>5.9429999999999997E-4</v>
      </c>
    </row>
    <row r="6267" spans="1:6">
      <c r="A6267" s="10">
        <v>2023</v>
      </c>
      <c r="B6267" t="s">
        <v>1102</v>
      </c>
      <c r="C6267" t="s">
        <v>1927</v>
      </c>
      <c r="D6267" t="s">
        <v>1927</v>
      </c>
      <c r="E6267" s="10">
        <v>115114</v>
      </c>
      <c r="F6267" s="12">
        <v>7.3999999999999996E-5</v>
      </c>
    </row>
    <row r="6268" spans="1:6">
      <c r="A6268" s="10">
        <v>2023</v>
      </c>
      <c r="B6268" t="s">
        <v>1134</v>
      </c>
      <c r="C6268" t="s">
        <v>1928</v>
      </c>
      <c r="D6268" t="s">
        <v>1928</v>
      </c>
      <c r="E6268" s="10">
        <v>115183</v>
      </c>
      <c r="F6268" s="12">
        <v>7.3999999999999996E-5</v>
      </c>
    </row>
    <row r="6269" spans="1:6">
      <c r="A6269" s="10">
        <v>2023</v>
      </c>
      <c r="B6269" t="s">
        <v>1103</v>
      </c>
      <c r="C6269" t="s">
        <v>1929</v>
      </c>
      <c r="D6269" t="s">
        <v>1929</v>
      </c>
      <c r="E6269" s="10">
        <v>151273</v>
      </c>
      <c r="F6269" s="12">
        <v>9.7200000000000004E-5</v>
      </c>
    </row>
    <row r="6270" spans="1:6">
      <c r="A6270" s="10">
        <v>2023</v>
      </c>
      <c r="B6270" t="s">
        <v>1104</v>
      </c>
      <c r="C6270" t="s">
        <v>1930</v>
      </c>
      <c r="D6270" t="s">
        <v>1930</v>
      </c>
      <c r="E6270" s="10">
        <v>1487809</v>
      </c>
      <c r="F6270" s="12">
        <v>9.5620000000000004E-4</v>
      </c>
    </row>
    <row r="6271" spans="1:6">
      <c r="A6271" s="10">
        <v>2023</v>
      </c>
      <c r="B6271" t="s">
        <v>1105</v>
      </c>
      <c r="C6271" t="s">
        <v>1931</v>
      </c>
      <c r="D6271" t="s">
        <v>1931</v>
      </c>
      <c r="E6271" s="10">
        <v>18505</v>
      </c>
      <c r="F6271" s="12">
        <v>1.19E-5</v>
      </c>
    </row>
    <row r="6272" spans="1:6">
      <c r="A6272" s="10">
        <v>2023</v>
      </c>
      <c r="B6272" t="s">
        <v>451</v>
      </c>
      <c r="C6272" t="s">
        <v>1932</v>
      </c>
      <c r="D6272" t="s">
        <v>1932</v>
      </c>
      <c r="E6272" s="10">
        <v>1151171</v>
      </c>
      <c r="F6272" s="12">
        <v>7.3979999999999998E-4</v>
      </c>
    </row>
    <row r="6273" spans="1:6">
      <c r="A6273" s="10">
        <v>2023</v>
      </c>
      <c r="B6273" t="s">
        <v>1106</v>
      </c>
      <c r="C6273" t="s">
        <v>1933</v>
      </c>
      <c r="D6273" t="s">
        <v>1933</v>
      </c>
      <c r="E6273" s="10">
        <v>129020</v>
      </c>
      <c r="F6273" s="12">
        <v>8.2899999999999996E-5</v>
      </c>
    </row>
    <row r="6274" spans="1:6">
      <c r="A6274" s="10">
        <v>2023</v>
      </c>
      <c r="B6274" t="s">
        <v>1107</v>
      </c>
      <c r="C6274" t="s">
        <v>1934</v>
      </c>
      <c r="D6274" t="s">
        <v>1934</v>
      </c>
      <c r="E6274" s="10">
        <v>680926</v>
      </c>
      <c r="F6274" s="12">
        <v>4.3760000000000001E-4</v>
      </c>
    </row>
    <row r="6275" spans="1:6">
      <c r="A6275" s="10">
        <v>2023</v>
      </c>
      <c r="B6275" t="s">
        <v>1108</v>
      </c>
      <c r="C6275" t="s">
        <v>1053</v>
      </c>
      <c r="D6275" t="s">
        <v>1053</v>
      </c>
      <c r="E6275" s="10">
        <v>1392130</v>
      </c>
      <c r="F6275" s="12">
        <v>8.9470000000000001E-4</v>
      </c>
    </row>
    <row r="6276" spans="1:6">
      <c r="A6276" s="10">
        <v>2023</v>
      </c>
      <c r="B6276" t="s">
        <v>2390</v>
      </c>
      <c r="C6276" t="s">
        <v>2387</v>
      </c>
      <c r="D6276" t="s">
        <v>2387</v>
      </c>
      <c r="E6276" s="10">
        <v>13891</v>
      </c>
      <c r="F6276" s="12">
        <v>8.8999999999999995E-6</v>
      </c>
    </row>
    <row r="6277" spans="1:6">
      <c r="A6277" s="10">
        <v>2023</v>
      </c>
      <c r="B6277" t="s">
        <v>1110</v>
      </c>
      <c r="C6277" t="s">
        <v>2410</v>
      </c>
      <c r="D6277" t="s">
        <v>2410</v>
      </c>
      <c r="E6277" s="10">
        <v>2085473</v>
      </c>
      <c r="F6277" s="12">
        <v>1.3403E-3</v>
      </c>
    </row>
    <row r="6278" spans="1:6">
      <c r="A6278" s="10">
        <v>2023</v>
      </c>
      <c r="B6278" t="s">
        <v>1109</v>
      </c>
      <c r="C6278" t="s">
        <v>1936</v>
      </c>
      <c r="D6278" t="s">
        <v>1936</v>
      </c>
      <c r="E6278" s="10">
        <v>246597</v>
      </c>
      <c r="F6278" s="12">
        <v>1.585E-4</v>
      </c>
    </row>
    <row r="6279" spans="1:6">
      <c r="A6279" s="10">
        <v>2023</v>
      </c>
      <c r="B6279" t="s">
        <v>1111</v>
      </c>
      <c r="C6279" t="s">
        <v>1937</v>
      </c>
      <c r="D6279" t="s">
        <v>1937</v>
      </c>
      <c r="E6279" s="10">
        <v>30549</v>
      </c>
      <c r="F6279" s="12">
        <v>1.9599999999999999E-5</v>
      </c>
    </row>
    <row r="6280" spans="1:6">
      <c r="A6280" s="10">
        <v>2023</v>
      </c>
      <c r="B6280" t="s">
        <v>1112</v>
      </c>
      <c r="C6280" t="s">
        <v>1938</v>
      </c>
      <c r="D6280" t="s">
        <v>1938</v>
      </c>
      <c r="E6280" s="10">
        <v>17518781</v>
      </c>
      <c r="F6280" s="12">
        <v>1.1258799999999999E-2</v>
      </c>
    </row>
    <row r="6281" spans="1:6">
      <c r="A6281" s="10">
        <v>2023</v>
      </c>
      <c r="B6281" t="s">
        <v>452</v>
      </c>
      <c r="C6281" t="s">
        <v>1939</v>
      </c>
      <c r="D6281" t="s">
        <v>1939</v>
      </c>
      <c r="E6281" s="10">
        <v>15499045</v>
      </c>
      <c r="F6281" s="12">
        <v>9.9608000000000006E-3</v>
      </c>
    </row>
    <row r="6282" spans="1:6">
      <c r="A6282" s="10">
        <v>2023</v>
      </c>
      <c r="B6282" t="s">
        <v>1113</v>
      </c>
      <c r="C6282" t="s">
        <v>1058</v>
      </c>
      <c r="D6282" t="s">
        <v>1058</v>
      </c>
      <c r="E6282" s="10">
        <v>91914</v>
      </c>
      <c r="F6282" s="12">
        <v>5.91E-5</v>
      </c>
    </row>
    <row r="6283" spans="1:6">
      <c r="A6283" s="10">
        <v>2023</v>
      </c>
      <c r="B6283" t="s">
        <v>1481</v>
      </c>
      <c r="C6283" t="s">
        <v>1479</v>
      </c>
      <c r="D6283" t="s">
        <v>1479</v>
      </c>
      <c r="E6283" s="10">
        <v>115129</v>
      </c>
      <c r="F6283" s="12">
        <v>7.3999999999999996E-5</v>
      </c>
    </row>
    <row r="6284" spans="1:6">
      <c r="A6284" s="10">
        <v>2023</v>
      </c>
      <c r="B6284" t="s">
        <v>453</v>
      </c>
      <c r="C6284" t="s">
        <v>1940</v>
      </c>
      <c r="D6284" t="s">
        <v>1940</v>
      </c>
      <c r="E6284" s="10">
        <v>1037348</v>
      </c>
      <c r="F6284" s="12">
        <v>6.667E-4</v>
      </c>
    </row>
    <row r="6285" spans="1:6">
      <c r="A6285" s="10">
        <v>2023</v>
      </c>
      <c r="B6285" t="s">
        <v>1115</v>
      </c>
      <c r="C6285" t="s">
        <v>1941</v>
      </c>
      <c r="D6285" t="s">
        <v>1941</v>
      </c>
      <c r="E6285" s="10">
        <v>87304</v>
      </c>
      <c r="F6285" s="12">
        <v>5.6100000000000002E-5</v>
      </c>
    </row>
    <row r="6286" spans="1:6">
      <c r="A6286" s="10">
        <v>2023</v>
      </c>
      <c r="B6286" t="s">
        <v>1114</v>
      </c>
      <c r="C6286" t="s">
        <v>1942</v>
      </c>
      <c r="D6286" t="s">
        <v>1942</v>
      </c>
      <c r="E6286" s="10">
        <v>560602</v>
      </c>
      <c r="F6286" s="12">
        <v>3.6029999999999998E-4</v>
      </c>
    </row>
    <row r="6287" spans="1:6">
      <c r="A6287" s="10">
        <v>2023</v>
      </c>
      <c r="B6287" t="s">
        <v>1116</v>
      </c>
      <c r="C6287" t="s">
        <v>2388</v>
      </c>
      <c r="D6287" t="s">
        <v>2388</v>
      </c>
      <c r="E6287" s="10">
        <v>108411</v>
      </c>
      <c r="F6287" s="12">
        <v>6.97E-5</v>
      </c>
    </row>
    <row r="6288" spans="1:6">
      <c r="A6288" s="10">
        <v>2023</v>
      </c>
      <c r="B6288" t="s">
        <v>1117</v>
      </c>
      <c r="C6288" t="s">
        <v>1944</v>
      </c>
      <c r="D6288" t="s">
        <v>1944</v>
      </c>
      <c r="E6288" s="10">
        <v>247359</v>
      </c>
      <c r="F6288" s="12">
        <v>1.5899999999999999E-4</v>
      </c>
    </row>
    <row r="6289" spans="1:6">
      <c r="A6289" s="10">
        <v>2023</v>
      </c>
      <c r="B6289" t="s">
        <v>1118</v>
      </c>
      <c r="C6289" t="s">
        <v>2411</v>
      </c>
      <c r="D6289" t="s">
        <v>2411</v>
      </c>
      <c r="E6289" s="10">
        <v>68426</v>
      </c>
      <c r="F6289" s="12">
        <v>4.3999999999999999E-5</v>
      </c>
    </row>
    <row r="6290" spans="1:6">
      <c r="A6290" s="10">
        <v>2023</v>
      </c>
      <c r="B6290" t="s">
        <v>1119</v>
      </c>
      <c r="C6290" t="s">
        <v>2412</v>
      </c>
      <c r="D6290" t="s">
        <v>2412</v>
      </c>
      <c r="E6290" s="10">
        <v>1483033</v>
      </c>
      <c r="F6290" s="12">
        <v>9.5310000000000002E-4</v>
      </c>
    </row>
    <row r="6291" spans="1:6">
      <c r="A6291" s="10">
        <v>2023</v>
      </c>
      <c r="B6291" t="s">
        <v>454</v>
      </c>
      <c r="C6291" t="s">
        <v>1947</v>
      </c>
      <c r="D6291" t="s">
        <v>1947</v>
      </c>
      <c r="E6291" s="10">
        <v>838808</v>
      </c>
      <c r="F6291" s="12">
        <v>5.3910000000000004E-4</v>
      </c>
    </row>
    <row r="6292" spans="1:6">
      <c r="A6292" s="10">
        <v>2023</v>
      </c>
      <c r="B6292" t="s">
        <v>1121</v>
      </c>
      <c r="C6292" t="s">
        <v>1949</v>
      </c>
      <c r="D6292" t="s">
        <v>1949</v>
      </c>
      <c r="E6292" s="10">
        <v>3230844</v>
      </c>
      <c r="F6292" s="12">
        <v>2.0763999999999999E-3</v>
      </c>
    </row>
    <row r="6293" spans="1:6">
      <c r="A6293" s="10">
        <v>2023</v>
      </c>
      <c r="B6293" t="s">
        <v>455</v>
      </c>
      <c r="C6293" t="s">
        <v>1950</v>
      </c>
      <c r="D6293" t="s">
        <v>1950</v>
      </c>
      <c r="E6293" s="10">
        <v>1750184</v>
      </c>
      <c r="F6293" s="12">
        <v>1.1248E-3</v>
      </c>
    </row>
    <row r="6294" spans="1:6">
      <c r="A6294" s="10">
        <v>2023</v>
      </c>
      <c r="B6294" t="s">
        <v>1122</v>
      </c>
      <c r="C6294" t="s">
        <v>1951</v>
      </c>
      <c r="D6294" t="s">
        <v>1951</v>
      </c>
      <c r="E6294" s="10">
        <v>55471</v>
      </c>
      <c r="F6294" s="12">
        <v>3.5599999999999998E-5</v>
      </c>
    </row>
    <row r="6295" spans="1:6">
      <c r="A6295" s="10">
        <v>2023</v>
      </c>
      <c r="B6295" t="s">
        <v>1123</v>
      </c>
      <c r="C6295" t="s">
        <v>1952</v>
      </c>
      <c r="D6295" t="s">
        <v>1952</v>
      </c>
      <c r="E6295" s="10">
        <v>117617</v>
      </c>
      <c r="F6295" s="12">
        <v>7.5599999999999994E-5</v>
      </c>
    </row>
    <row r="6296" spans="1:6">
      <c r="A6296" s="10">
        <v>2023</v>
      </c>
      <c r="B6296" t="s">
        <v>1124</v>
      </c>
      <c r="C6296" t="s">
        <v>1953</v>
      </c>
      <c r="D6296" t="s">
        <v>1953</v>
      </c>
      <c r="E6296" s="10">
        <v>137538</v>
      </c>
      <c r="F6296" s="12">
        <v>8.8399999999999994E-5</v>
      </c>
    </row>
    <row r="6297" spans="1:6">
      <c r="A6297" s="10">
        <v>2023</v>
      </c>
      <c r="B6297" t="s">
        <v>1125</v>
      </c>
      <c r="C6297" t="s">
        <v>1954</v>
      </c>
      <c r="D6297" t="s">
        <v>1954</v>
      </c>
      <c r="E6297" s="10">
        <v>1436477</v>
      </c>
      <c r="F6297" s="12">
        <v>9.232E-4</v>
      </c>
    </row>
    <row r="6298" spans="1:6">
      <c r="A6298" s="10">
        <v>2023</v>
      </c>
      <c r="B6298" t="s">
        <v>1245</v>
      </c>
      <c r="C6298" t="s">
        <v>1955</v>
      </c>
      <c r="D6298" t="s">
        <v>1955</v>
      </c>
      <c r="E6298" s="10">
        <v>188006</v>
      </c>
      <c r="F6298" s="12">
        <v>1.208E-4</v>
      </c>
    </row>
    <row r="6299" spans="1:6">
      <c r="A6299" s="10">
        <v>2023</v>
      </c>
      <c r="B6299" t="s">
        <v>1126</v>
      </c>
      <c r="C6299" t="s">
        <v>1956</v>
      </c>
      <c r="D6299" t="s">
        <v>1956</v>
      </c>
      <c r="E6299" s="10">
        <v>134486</v>
      </c>
      <c r="F6299" s="12">
        <v>8.6399999999999999E-5</v>
      </c>
    </row>
    <row r="6300" spans="1:6">
      <c r="A6300" s="10">
        <v>2023</v>
      </c>
      <c r="B6300" t="s">
        <v>1127</v>
      </c>
      <c r="C6300" t="s">
        <v>2413</v>
      </c>
      <c r="D6300" t="s">
        <v>2413</v>
      </c>
      <c r="E6300" s="10">
        <v>2365307</v>
      </c>
      <c r="F6300" s="12">
        <v>1.5200999999999999E-3</v>
      </c>
    </row>
    <row r="6301" spans="1:6">
      <c r="A6301" s="10">
        <v>2023</v>
      </c>
      <c r="B6301" t="s">
        <v>456</v>
      </c>
      <c r="C6301" t="s">
        <v>1958</v>
      </c>
      <c r="D6301" t="s">
        <v>1958</v>
      </c>
      <c r="E6301" s="10">
        <v>436818</v>
      </c>
      <c r="F6301" s="12">
        <v>2.8069999999999999E-4</v>
      </c>
    </row>
    <row r="6302" spans="1:6">
      <c r="A6302" s="10">
        <v>2023</v>
      </c>
      <c r="B6302" t="s">
        <v>1128</v>
      </c>
      <c r="C6302" t="s">
        <v>1959</v>
      </c>
      <c r="D6302" t="s">
        <v>1959</v>
      </c>
      <c r="E6302" s="10">
        <v>151982</v>
      </c>
      <c r="F6302" s="12">
        <v>9.7700000000000003E-5</v>
      </c>
    </row>
    <row r="6303" spans="1:6">
      <c r="A6303" s="10">
        <v>2023</v>
      </c>
      <c r="B6303" t="s">
        <v>1129</v>
      </c>
      <c r="C6303" t="s">
        <v>1074</v>
      </c>
      <c r="D6303" t="s">
        <v>1074</v>
      </c>
      <c r="E6303" s="10"/>
    </row>
    <row r="6304" spans="1:6">
      <c r="A6304" s="10">
        <v>2023</v>
      </c>
      <c r="B6304" t="s">
        <v>1130</v>
      </c>
      <c r="C6304" t="s">
        <v>1075</v>
      </c>
      <c r="D6304" t="s">
        <v>1075</v>
      </c>
      <c r="E6304" s="10"/>
    </row>
    <row r="6305" spans="1:6">
      <c r="A6305" s="10">
        <v>2023</v>
      </c>
      <c r="B6305" t="s">
        <v>1131</v>
      </c>
      <c r="C6305" t="s">
        <v>1960</v>
      </c>
      <c r="D6305" t="s">
        <v>1960</v>
      </c>
      <c r="E6305" s="10">
        <v>10472</v>
      </c>
      <c r="F6305" s="12">
        <v>6.7000000000000002E-6</v>
      </c>
    </row>
    <row r="6306" spans="1:6">
      <c r="A6306" s="10">
        <v>2023</v>
      </c>
      <c r="B6306" t="s">
        <v>457</v>
      </c>
      <c r="C6306" t="s">
        <v>1961</v>
      </c>
      <c r="D6306" t="s">
        <v>1961</v>
      </c>
      <c r="E6306" s="10">
        <v>148802</v>
      </c>
      <c r="F6306" s="12">
        <v>9.5600000000000006E-5</v>
      </c>
    </row>
    <row r="6307" spans="1:6">
      <c r="A6307" s="10">
        <v>2023</v>
      </c>
      <c r="B6307" t="s">
        <v>1132</v>
      </c>
      <c r="C6307" t="s">
        <v>2389</v>
      </c>
      <c r="D6307" t="s">
        <v>2389</v>
      </c>
      <c r="E6307" s="10">
        <v>110298</v>
      </c>
      <c r="F6307" s="12">
        <v>7.0900000000000002E-5</v>
      </c>
    </row>
    <row r="6308" spans="1:6">
      <c r="A6308" s="10">
        <v>2023</v>
      </c>
      <c r="B6308" t="s">
        <v>1133</v>
      </c>
      <c r="C6308" t="s">
        <v>1962</v>
      </c>
      <c r="D6308" t="s">
        <v>1962</v>
      </c>
      <c r="E6308" s="10">
        <v>71339</v>
      </c>
      <c r="F6308" s="12">
        <v>4.5800000000000002E-5</v>
      </c>
    </row>
    <row r="6309" spans="1:6">
      <c r="A6309" s="10">
        <v>2023</v>
      </c>
      <c r="B6309" t="s">
        <v>1994</v>
      </c>
      <c r="C6309" t="s">
        <v>1963</v>
      </c>
      <c r="D6309" t="s">
        <v>1963</v>
      </c>
      <c r="E6309" s="10">
        <v>99778</v>
      </c>
      <c r="F6309" s="12">
        <v>6.41E-5</v>
      </c>
    </row>
    <row r="6310" spans="1:6">
      <c r="A6310" s="10">
        <v>2023</v>
      </c>
      <c r="B6310" t="s">
        <v>1246</v>
      </c>
      <c r="C6310" t="s">
        <v>1964</v>
      </c>
      <c r="D6310" t="s">
        <v>1964</v>
      </c>
      <c r="E6310" s="10">
        <v>140252</v>
      </c>
      <c r="F6310" s="12">
        <v>9.0099999999999995E-5</v>
      </c>
    </row>
    <row r="6311" spans="1:6">
      <c r="A6311" s="10">
        <v>2023</v>
      </c>
      <c r="B6311" t="s">
        <v>1135</v>
      </c>
      <c r="C6311" t="s">
        <v>1965</v>
      </c>
      <c r="D6311" t="s">
        <v>1965</v>
      </c>
      <c r="E6311" s="10">
        <v>319721</v>
      </c>
      <c r="F6311" s="12">
        <v>2.0550000000000001E-4</v>
      </c>
    </row>
    <row r="6312" spans="1:6">
      <c r="A6312" s="10">
        <v>2023</v>
      </c>
      <c r="B6312" t="s">
        <v>1136</v>
      </c>
      <c r="C6312" t="s">
        <v>1966</v>
      </c>
      <c r="D6312" t="s">
        <v>1966</v>
      </c>
      <c r="E6312" s="10">
        <v>693338</v>
      </c>
      <c r="F6312" s="12">
        <v>4.4559999999999999E-4</v>
      </c>
    </row>
    <row r="6313" spans="1:6">
      <c r="A6313" s="10">
        <v>2023</v>
      </c>
      <c r="B6313" t="s">
        <v>458</v>
      </c>
      <c r="C6313" t="s">
        <v>1967</v>
      </c>
      <c r="D6313" t="s">
        <v>1967</v>
      </c>
      <c r="E6313" s="10">
        <v>183191</v>
      </c>
      <c r="F6313" s="12">
        <v>1.177E-4</v>
      </c>
    </row>
    <row r="6314" spans="1:6">
      <c r="A6314" s="10">
        <v>2023</v>
      </c>
      <c r="B6314" t="s">
        <v>1137</v>
      </c>
      <c r="C6314" t="s">
        <v>1968</v>
      </c>
      <c r="D6314" t="s">
        <v>1968</v>
      </c>
      <c r="E6314" s="10">
        <v>291449</v>
      </c>
      <c r="F6314" s="12">
        <v>1.873E-4</v>
      </c>
    </row>
    <row r="6315" spans="1:6">
      <c r="A6315" s="10">
        <v>2023</v>
      </c>
      <c r="B6315" t="s">
        <v>1247</v>
      </c>
      <c r="C6315" t="s">
        <v>1969</v>
      </c>
      <c r="D6315" t="s">
        <v>1969</v>
      </c>
      <c r="E6315" s="10">
        <v>35977</v>
      </c>
      <c r="F6315" s="12">
        <v>2.3099999999999999E-5</v>
      </c>
    </row>
    <row r="6316" spans="1:6">
      <c r="A6316" s="10">
        <v>2023</v>
      </c>
      <c r="B6316" t="s">
        <v>1138</v>
      </c>
      <c r="C6316" t="s">
        <v>1083</v>
      </c>
      <c r="D6316" t="s">
        <v>1083</v>
      </c>
      <c r="E6316" s="10"/>
    </row>
    <row r="6317" spans="1:6">
      <c r="A6317" s="10">
        <v>2023</v>
      </c>
      <c r="B6317" t="s">
        <v>96</v>
      </c>
      <c r="C6317" t="s">
        <v>1970</v>
      </c>
      <c r="D6317" t="s">
        <v>1970</v>
      </c>
      <c r="E6317" s="10">
        <v>26339</v>
      </c>
      <c r="F6317" s="12">
        <v>1.6900000000000001E-5</v>
      </c>
    </row>
    <row r="6318" spans="1:6">
      <c r="A6318" s="10">
        <v>2023</v>
      </c>
      <c r="B6318" t="s">
        <v>1139</v>
      </c>
      <c r="C6318" t="s">
        <v>1084</v>
      </c>
      <c r="D6318" t="s">
        <v>1084</v>
      </c>
      <c r="E6318" s="10">
        <v>62369</v>
      </c>
      <c r="F6318" s="12">
        <v>4.0099999999999999E-5</v>
      </c>
    </row>
    <row r="6319" spans="1:6">
      <c r="A6319" s="10">
        <v>2023</v>
      </c>
      <c r="B6319" t="s">
        <v>1141</v>
      </c>
      <c r="C6319" t="s">
        <v>1971</v>
      </c>
      <c r="D6319" t="s">
        <v>1971</v>
      </c>
      <c r="E6319" s="10">
        <v>26566</v>
      </c>
      <c r="F6319" s="12">
        <v>1.7099999999999999E-5</v>
      </c>
    </row>
    <row r="6320" spans="1:6">
      <c r="A6320" s="10">
        <v>2023</v>
      </c>
      <c r="B6320" t="s">
        <v>1142</v>
      </c>
      <c r="C6320" t="s">
        <v>1087</v>
      </c>
      <c r="D6320" t="s">
        <v>1087</v>
      </c>
      <c r="E6320" s="10">
        <v>255197</v>
      </c>
      <c r="F6320" s="12">
        <v>1.64E-4</v>
      </c>
    </row>
    <row r="6321" spans="1:6">
      <c r="A6321" s="10">
        <v>2023</v>
      </c>
      <c r="B6321" t="s">
        <v>1143</v>
      </c>
      <c r="C6321" t="s">
        <v>1088</v>
      </c>
      <c r="D6321" t="s">
        <v>1088</v>
      </c>
      <c r="E6321" s="10"/>
    </row>
    <row r="6322" spans="1:6">
      <c r="A6322" s="10">
        <v>2023</v>
      </c>
      <c r="B6322" t="s">
        <v>1144</v>
      </c>
      <c r="C6322" t="s">
        <v>1089</v>
      </c>
      <c r="D6322" t="s">
        <v>1089</v>
      </c>
      <c r="E6322" s="10"/>
    </row>
    <row r="6323" spans="1:6">
      <c r="A6323" s="10">
        <v>2023</v>
      </c>
      <c r="B6323" t="s">
        <v>1146</v>
      </c>
      <c r="C6323" t="s">
        <v>1973</v>
      </c>
      <c r="D6323" t="s">
        <v>1973</v>
      </c>
      <c r="E6323" s="10">
        <v>10857712</v>
      </c>
      <c r="F6323" s="12">
        <v>6.9779000000000004E-3</v>
      </c>
    </row>
    <row r="6324" spans="1:6">
      <c r="A6324" s="10">
        <v>2023</v>
      </c>
      <c r="B6324" t="s">
        <v>1147</v>
      </c>
      <c r="C6324" t="s">
        <v>1092</v>
      </c>
      <c r="D6324" t="s">
        <v>1092</v>
      </c>
      <c r="E6324" s="10">
        <v>4273</v>
      </c>
      <c r="F6324" s="12">
        <v>2.7E-6</v>
      </c>
    </row>
    <row r="6325" spans="1:6">
      <c r="A6325" s="10">
        <v>2023</v>
      </c>
      <c r="B6325" t="s">
        <v>1148</v>
      </c>
      <c r="C6325" t="s">
        <v>1974</v>
      </c>
      <c r="D6325" t="s">
        <v>1974</v>
      </c>
      <c r="E6325" s="10">
        <v>263030</v>
      </c>
      <c r="F6325" s="12">
        <v>1.6899999999999999E-4</v>
      </c>
    </row>
    <row r="6326" spans="1:6">
      <c r="A6326" s="10">
        <v>2023</v>
      </c>
      <c r="B6326" t="s">
        <v>1248</v>
      </c>
      <c r="C6326" t="s">
        <v>1975</v>
      </c>
      <c r="D6326" t="s">
        <v>1975</v>
      </c>
      <c r="E6326" s="10">
        <v>83455</v>
      </c>
      <c r="F6326" s="12">
        <v>5.3600000000000002E-5</v>
      </c>
    </row>
    <row r="6327" spans="1:6">
      <c r="A6327" s="10">
        <v>2023</v>
      </c>
      <c r="B6327" t="s">
        <v>1149</v>
      </c>
      <c r="C6327" t="s">
        <v>1094</v>
      </c>
      <c r="D6327" t="s">
        <v>1094</v>
      </c>
      <c r="E6327" s="10">
        <v>336694</v>
      </c>
      <c r="F6327" s="12">
        <v>2.164E-4</v>
      </c>
    </row>
    <row r="6328" spans="1:6">
      <c r="A6328" s="10">
        <v>2023</v>
      </c>
      <c r="B6328" t="s">
        <v>1150</v>
      </c>
      <c r="C6328" t="s">
        <v>1976</v>
      </c>
      <c r="D6328" t="s">
        <v>1976</v>
      </c>
      <c r="E6328" s="10">
        <v>232405</v>
      </c>
      <c r="F6328" s="12">
        <v>1.494E-4</v>
      </c>
    </row>
    <row r="6329" spans="1:6">
      <c r="A6329" s="10">
        <v>2023</v>
      </c>
      <c r="B6329" t="s">
        <v>459</v>
      </c>
      <c r="C6329" t="s">
        <v>1977</v>
      </c>
      <c r="D6329" t="s">
        <v>1977</v>
      </c>
      <c r="E6329" s="10">
        <v>6174743</v>
      </c>
      <c r="F6329" s="12">
        <v>3.9683000000000001E-3</v>
      </c>
    </row>
    <row r="6330" spans="1:6">
      <c r="A6330" s="10">
        <v>2023</v>
      </c>
      <c r="B6330" t="s">
        <v>1152</v>
      </c>
      <c r="C6330" t="s">
        <v>1979</v>
      </c>
      <c r="D6330" t="s">
        <v>1979</v>
      </c>
      <c r="E6330" s="10">
        <v>1572319</v>
      </c>
      <c r="F6330" s="12">
        <v>1.0104999999999999E-3</v>
      </c>
    </row>
    <row r="6331" spans="1:6">
      <c r="A6331" s="10">
        <v>2023</v>
      </c>
      <c r="B6331" t="s">
        <v>1249</v>
      </c>
      <c r="C6331" t="s">
        <v>1980</v>
      </c>
      <c r="D6331" t="s">
        <v>1980</v>
      </c>
      <c r="E6331" s="10">
        <v>127939</v>
      </c>
      <c r="F6331" s="12">
        <v>8.2200000000000006E-5</v>
      </c>
    </row>
    <row r="6332" spans="1:6">
      <c r="A6332" s="10">
        <v>2023</v>
      </c>
      <c r="B6332" t="s">
        <v>1153</v>
      </c>
      <c r="C6332" t="s">
        <v>1981</v>
      </c>
      <c r="D6332" t="s">
        <v>1981</v>
      </c>
      <c r="E6332" s="10">
        <v>228228</v>
      </c>
      <c r="F6332" s="12">
        <v>1.4669999999999999E-4</v>
      </c>
    </row>
    <row r="6333" spans="1:6">
      <c r="A6333" s="10">
        <v>2023</v>
      </c>
      <c r="B6333" t="s">
        <v>1154</v>
      </c>
      <c r="C6333" t="s">
        <v>1982</v>
      </c>
      <c r="D6333" t="s">
        <v>1982</v>
      </c>
      <c r="E6333" s="10">
        <v>9755973</v>
      </c>
      <c r="F6333" s="12">
        <v>6.2699000000000001E-3</v>
      </c>
    </row>
    <row r="6334" spans="1:6">
      <c r="A6334" s="10">
        <v>2023</v>
      </c>
      <c r="B6334" t="s">
        <v>1209</v>
      </c>
      <c r="C6334" t="s">
        <v>1983</v>
      </c>
      <c r="D6334" t="s">
        <v>1983</v>
      </c>
      <c r="E6334" s="10">
        <v>10375873</v>
      </c>
      <c r="F6334" s="12">
        <v>6.6683000000000003E-3</v>
      </c>
    </row>
    <row r="6335" spans="1:6">
      <c r="A6335" s="10">
        <v>2023</v>
      </c>
      <c r="B6335" t="s">
        <v>460</v>
      </c>
      <c r="C6335" t="s">
        <v>1984</v>
      </c>
      <c r="D6335" t="s">
        <v>1984</v>
      </c>
      <c r="E6335" s="10">
        <v>11465254</v>
      </c>
      <c r="F6335" s="12">
        <v>7.3683999999999998E-3</v>
      </c>
    </row>
    <row r="6336" spans="1:6">
      <c r="A6336" s="10">
        <v>2023</v>
      </c>
      <c r="B6336" t="s">
        <v>1210</v>
      </c>
      <c r="C6336" t="s">
        <v>1985</v>
      </c>
      <c r="D6336" t="s">
        <v>1985</v>
      </c>
      <c r="E6336" s="10">
        <v>1058204</v>
      </c>
      <c r="F6336" s="12">
        <v>6.801E-4</v>
      </c>
    </row>
    <row r="6337" spans="1:6">
      <c r="A6337" s="10">
        <v>2023</v>
      </c>
      <c r="B6337" t="s">
        <v>1250</v>
      </c>
      <c r="C6337" t="s">
        <v>1986</v>
      </c>
      <c r="D6337" t="s">
        <v>1986</v>
      </c>
      <c r="E6337" s="10">
        <v>234671</v>
      </c>
      <c r="F6337" s="12">
        <v>1.5080000000000001E-4</v>
      </c>
    </row>
    <row r="6338" spans="1:6">
      <c r="A6338" s="10">
        <v>2023</v>
      </c>
      <c r="B6338" t="s">
        <v>1211</v>
      </c>
      <c r="C6338" t="s">
        <v>1157</v>
      </c>
      <c r="D6338" t="s">
        <v>1157</v>
      </c>
      <c r="E6338" s="10">
        <v>5153</v>
      </c>
      <c r="F6338" s="12">
        <v>3.3000000000000002E-6</v>
      </c>
    </row>
    <row r="6339" spans="1:6">
      <c r="A6339" s="10">
        <v>2023</v>
      </c>
      <c r="B6339" t="s">
        <v>1483</v>
      </c>
      <c r="C6339" t="s">
        <v>1482</v>
      </c>
      <c r="D6339" t="s">
        <v>1482</v>
      </c>
      <c r="E6339" s="10">
        <v>114305</v>
      </c>
      <c r="F6339" s="12">
        <v>7.3499999999999998E-5</v>
      </c>
    </row>
    <row r="6340" spans="1:6">
      <c r="A6340" s="10">
        <v>2023</v>
      </c>
      <c r="B6340" t="s">
        <v>1212</v>
      </c>
      <c r="C6340" t="s">
        <v>1987</v>
      </c>
      <c r="D6340" t="s">
        <v>1987</v>
      </c>
      <c r="E6340" s="10">
        <v>2045782</v>
      </c>
      <c r="F6340" s="12">
        <v>1.3148000000000001E-3</v>
      </c>
    </row>
    <row r="6341" spans="1:6">
      <c r="A6341" s="10">
        <v>2023</v>
      </c>
      <c r="B6341" t="s">
        <v>1213</v>
      </c>
      <c r="C6341" t="s">
        <v>1988</v>
      </c>
      <c r="D6341" t="s">
        <v>1988</v>
      </c>
      <c r="E6341" s="10">
        <v>10897465</v>
      </c>
      <c r="F6341" s="12">
        <v>7.0035000000000002E-3</v>
      </c>
    </row>
    <row r="6342" spans="1:6">
      <c r="A6342" s="10">
        <v>2023</v>
      </c>
      <c r="B6342" t="s">
        <v>461</v>
      </c>
      <c r="C6342" t="s">
        <v>1989</v>
      </c>
      <c r="D6342" t="s">
        <v>1989</v>
      </c>
      <c r="E6342" s="10">
        <v>1521533</v>
      </c>
      <c r="F6342" s="12">
        <v>9.7780000000000002E-4</v>
      </c>
    </row>
    <row r="6343" spans="1:6">
      <c r="A6343" s="10">
        <v>2023</v>
      </c>
      <c r="B6343" t="s">
        <v>1214</v>
      </c>
      <c r="C6343" t="s">
        <v>1990</v>
      </c>
      <c r="D6343" t="s">
        <v>1990</v>
      </c>
      <c r="E6343" s="10">
        <v>674940</v>
      </c>
      <c r="F6343" s="12">
        <v>4.3379999999999997E-4</v>
      </c>
    </row>
    <row r="6344" spans="1:6">
      <c r="A6344" s="10">
        <v>2023</v>
      </c>
      <c r="B6344" t="s">
        <v>1215</v>
      </c>
      <c r="C6344" t="s">
        <v>1991</v>
      </c>
      <c r="D6344" t="s">
        <v>1991</v>
      </c>
      <c r="E6344" s="10">
        <v>686845</v>
      </c>
      <c r="F6344" s="12">
        <v>4.414E-4</v>
      </c>
    </row>
    <row r="6345" spans="1:6">
      <c r="A6345" s="10">
        <v>2023</v>
      </c>
      <c r="B6345" t="s">
        <v>462</v>
      </c>
      <c r="C6345" t="s">
        <v>1992</v>
      </c>
      <c r="D6345" t="s">
        <v>1992</v>
      </c>
      <c r="E6345" s="10">
        <v>116602</v>
      </c>
      <c r="F6345" s="12">
        <v>7.4900000000000005E-5</v>
      </c>
    </row>
    <row r="6346" spans="1:6">
      <c r="A6346" s="10">
        <v>2023</v>
      </c>
      <c r="B6346" t="s">
        <v>1217</v>
      </c>
      <c r="C6346" t="s">
        <v>1993</v>
      </c>
      <c r="D6346" t="s">
        <v>1993</v>
      </c>
      <c r="E6346" s="10">
        <v>100794</v>
      </c>
      <c r="F6346" s="12">
        <v>6.4800000000000003E-5</v>
      </c>
    </row>
    <row r="6347" spans="1:6">
      <c r="A6347" s="10">
        <v>2023</v>
      </c>
      <c r="B6347" t="s">
        <v>1218</v>
      </c>
      <c r="C6347" t="s">
        <v>1995</v>
      </c>
      <c r="D6347" t="s">
        <v>1995</v>
      </c>
      <c r="E6347" s="10">
        <v>105028</v>
      </c>
      <c r="F6347" s="12">
        <v>6.7500000000000001E-5</v>
      </c>
    </row>
    <row r="6348" spans="1:6">
      <c r="A6348" s="10">
        <v>2023</v>
      </c>
      <c r="B6348" t="s">
        <v>1255</v>
      </c>
      <c r="C6348" t="s">
        <v>1201</v>
      </c>
      <c r="D6348" t="s">
        <v>1201</v>
      </c>
      <c r="E6348" s="10">
        <v>8080</v>
      </c>
      <c r="F6348" s="12">
        <v>5.2000000000000002E-6</v>
      </c>
    </row>
    <row r="6349" spans="1:6">
      <c r="A6349" s="10">
        <v>2023</v>
      </c>
      <c r="B6349" t="s">
        <v>1256</v>
      </c>
      <c r="C6349" t="s">
        <v>1202</v>
      </c>
      <c r="D6349" t="s">
        <v>1202</v>
      </c>
      <c r="E6349" s="10">
        <v>66476</v>
      </c>
      <c r="F6349" s="12">
        <v>4.2700000000000001E-5</v>
      </c>
    </row>
    <row r="6350" spans="1:6">
      <c r="A6350" s="10">
        <v>2023</v>
      </c>
      <c r="B6350" t="s">
        <v>1257</v>
      </c>
      <c r="C6350" t="s">
        <v>1996</v>
      </c>
      <c r="D6350" t="s">
        <v>1996</v>
      </c>
      <c r="E6350" s="10">
        <v>1461657</v>
      </c>
      <c r="F6350" s="12">
        <v>9.3939999999999996E-4</v>
      </c>
    </row>
    <row r="6351" spans="1:6">
      <c r="A6351" s="10">
        <v>2023</v>
      </c>
      <c r="B6351" t="s">
        <v>1258</v>
      </c>
      <c r="C6351" t="s">
        <v>1204</v>
      </c>
      <c r="D6351" t="s">
        <v>1204</v>
      </c>
      <c r="E6351" s="10">
        <v>1638683</v>
      </c>
      <c r="F6351" s="12">
        <v>1.0531E-3</v>
      </c>
    </row>
    <row r="6352" spans="1:6">
      <c r="A6352" s="10">
        <v>2023</v>
      </c>
      <c r="B6352" t="s">
        <v>1259</v>
      </c>
      <c r="C6352" t="s">
        <v>1205</v>
      </c>
      <c r="D6352" t="s">
        <v>1205</v>
      </c>
      <c r="E6352" s="10">
        <v>388111</v>
      </c>
      <c r="F6352" s="12">
        <v>2.4939999999999999E-4</v>
      </c>
    </row>
    <row r="6353" spans="1:6">
      <c r="A6353" s="10">
        <v>2023</v>
      </c>
      <c r="B6353" t="s">
        <v>1260</v>
      </c>
      <c r="C6353" t="s">
        <v>1206</v>
      </c>
      <c r="D6353" t="s">
        <v>1206</v>
      </c>
      <c r="E6353" s="10">
        <v>83874</v>
      </c>
      <c r="F6353" s="12">
        <v>5.3900000000000002E-5</v>
      </c>
    </row>
    <row r="6354" spans="1:6">
      <c r="A6354" s="10">
        <v>2023</v>
      </c>
      <c r="B6354" t="s">
        <v>1261</v>
      </c>
      <c r="C6354" t="s">
        <v>1997</v>
      </c>
      <c r="D6354" t="s">
        <v>1997</v>
      </c>
      <c r="E6354" s="10">
        <v>41323938</v>
      </c>
      <c r="F6354" s="12">
        <v>2.65577E-2</v>
      </c>
    </row>
    <row r="6355" spans="1:6">
      <c r="A6355" s="10">
        <v>2023</v>
      </c>
      <c r="B6355" t="s">
        <v>1262</v>
      </c>
      <c r="C6355" t="s">
        <v>1208</v>
      </c>
      <c r="D6355" t="s">
        <v>1208</v>
      </c>
      <c r="E6355" s="10">
        <v>68353</v>
      </c>
      <c r="F6355" s="12">
        <v>4.3900000000000003E-5</v>
      </c>
    </row>
    <row r="6356" spans="1:6">
      <c r="A6356" s="10">
        <v>2023</v>
      </c>
      <c r="B6356" t="s">
        <v>1251</v>
      </c>
      <c r="C6356" t="s">
        <v>1998</v>
      </c>
      <c r="D6356" t="s">
        <v>1998</v>
      </c>
      <c r="E6356" s="10">
        <v>29867</v>
      </c>
      <c r="F6356" s="12">
        <v>1.9199999999999999E-5</v>
      </c>
    </row>
    <row r="6357" spans="1:6">
      <c r="A6357" s="10">
        <v>2023</v>
      </c>
      <c r="B6357" t="s">
        <v>1311</v>
      </c>
      <c r="C6357" t="s">
        <v>2414</v>
      </c>
      <c r="D6357" t="s">
        <v>2414</v>
      </c>
      <c r="E6357" s="10">
        <v>1138714</v>
      </c>
      <c r="F6357" s="12">
        <v>7.3180000000000001E-4</v>
      </c>
    </row>
    <row r="6358" spans="1:6">
      <c r="A6358" s="10">
        <v>2023</v>
      </c>
      <c r="B6358" t="s">
        <v>1312</v>
      </c>
      <c r="C6358" t="s">
        <v>2000</v>
      </c>
      <c r="D6358" t="s">
        <v>2000</v>
      </c>
      <c r="E6358" s="10">
        <v>59023609</v>
      </c>
      <c r="F6358" s="12">
        <v>3.79327E-2</v>
      </c>
    </row>
    <row r="6359" spans="1:6">
      <c r="A6359" s="10">
        <v>2023</v>
      </c>
      <c r="B6359" t="s">
        <v>1313</v>
      </c>
      <c r="C6359" t="s">
        <v>2001</v>
      </c>
      <c r="D6359" t="s">
        <v>2001</v>
      </c>
      <c r="E6359" s="10">
        <v>11717714</v>
      </c>
      <c r="F6359" s="12">
        <v>7.5306000000000001E-3</v>
      </c>
    </row>
    <row r="6360" spans="1:6">
      <c r="A6360" s="10">
        <v>2023</v>
      </c>
      <c r="B6360" t="s">
        <v>1314</v>
      </c>
      <c r="C6360" t="s">
        <v>2002</v>
      </c>
      <c r="D6360" t="s">
        <v>2002</v>
      </c>
      <c r="E6360" s="10">
        <v>90353</v>
      </c>
      <c r="F6360" s="12">
        <v>5.8100000000000003E-5</v>
      </c>
    </row>
    <row r="6361" spans="1:6">
      <c r="A6361" s="10">
        <v>2023</v>
      </c>
      <c r="B6361" t="s">
        <v>1035</v>
      </c>
      <c r="C6361" t="s">
        <v>2003</v>
      </c>
      <c r="D6361" t="s">
        <v>2003</v>
      </c>
      <c r="E6361" s="10">
        <v>354047</v>
      </c>
      <c r="F6361" s="12">
        <v>2.275E-4</v>
      </c>
    </row>
    <row r="6362" spans="1:6">
      <c r="A6362" s="10">
        <v>2023</v>
      </c>
      <c r="B6362" t="s">
        <v>1315</v>
      </c>
      <c r="C6362" t="s">
        <v>2394</v>
      </c>
      <c r="D6362" t="s">
        <v>2394</v>
      </c>
      <c r="E6362" s="10">
        <v>33775</v>
      </c>
      <c r="F6362" s="12">
        <v>2.1699999999999999E-5</v>
      </c>
    </row>
    <row r="6363" spans="1:6">
      <c r="A6363" s="10">
        <v>2023</v>
      </c>
      <c r="B6363" t="s">
        <v>1033</v>
      </c>
      <c r="C6363" t="s">
        <v>2005</v>
      </c>
      <c r="D6363" t="s">
        <v>2005</v>
      </c>
      <c r="E6363" s="10">
        <v>3622966</v>
      </c>
      <c r="F6363" s="12">
        <v>2.3284E-3</v>
      </c>
    </row>
    <row r="6364" spans="1:6">
      <c r="A6364" s="10">
        <v>2023</v>
      </c>
      <c r="B6364" t="s">
        <v>1316</v>
      </c>
      <c r="C6364" t="s">
        <v>2459</v>
      </c>
      <c r="D6364" t="s">
        <v>2459</v>
      </c>
      <c r="E6364" s="10">
        <v>456017</v>
      </c>
      <c r="F6364" s="12">
        <v>2.9310000000000002E-4</v>
      </c>
    </row>
    <row r="6365" spans="1:6">
      <c r="A6365" s="10">
        <v>2023</v>
      </c>
      <c r="B6365" t="s">
        <v>1317</v>
      </c>
      <c r="C6365" t="s">
        <v>2007</v>
      </c>
      <c r="D6365" t="s">
        <v>2007</v>
      </c>
      <c r="E6365" s="10">
        <v>131513</v>
      </c>
      <c r="F6365" s="12">
        <v>8.4499999999999994E-5</v>
      </c>
    </row>
    <row r="6366" spans="1:6">
      <c r="A6366" s="10">
        <v>2023</v>
      </c>
      <c r="B6366" t="s">
        <v>786</v>
      </c>
      <c r="C6366" t="s">
        <v>2460</v>
      </c>
      <c r="D6366" t="s">
        <v>2460</v>
      </c>
      <c r="E6366" s="10">
        <v>34441696</v>
      </c>
      <c r="F6366" s="12">
        <v>2.21347E-2</v>
      </c>
    </row>
    <row r="6367" spans="1:6">
      <c r="A6367" s="10">
        <v>2023</v>
      </c>
      <c r="B6367" t="s">
        <v>1319</v>
      </c>
      <c r="C6367" t="s">
        <v>1271</v>
      </c>
      <c r="D6367" t="s">
        <v>1271</v>
      </c>
      <c r="E6367" s="10">
        <v>47303</v>
      </c>
      <c r="F6367" s="12">
        <v>3.04E-5</v>
      </c>
    </row>
    <row r="6368" spans="1:6">
      <c r="A6368" s="10">
        <v>2023</v>
      </c>
      <c r="B6368" t="s">
        <v>1320</v>
      </c>
      <c r="C6368" t="s">
        <v>2009</v>
      </c>
      <c r="D6368" t="s">
        <v>2009</v>
      </c>
      <c r="E6368" s="10">
        <v>139786</v>
      </c>
      <c r="F6368" s="12">
        <v>8.9800000000000001E-5</v>
      </c>
    </row>
    <row r="6369" spans="1:6">
      <c r="A6369" s="10">
        <v>2023</v>
      </c>
      <c r="B6369" t="s">
        <v>1323</v>
      </c>
      <c r="C6369" t="s">
        <v>2011</v>
      </c>
      <c r="D6369" t="s">
        <v>2011</v>
      </c>
      <c r="E6369" s="10">
        <v>16073263</v>
      </c>
      <c r="F6369" s="12">
        <v>1.03298E-2</v>
      </c>
    </row>
    <row r="6370" spans="1:6">
      <c r="A6370" s="10">
        <v>2023</v>
      </c>
      <c r="B6370" t="s">
        <v>1325</v>
      </c>
      <c r="C6370" t="s">
        <v>2395</v>
      </c>
      <c r="D6370" t="s">
        <v>2395</v>
      </c>
      <c r="E6370" s="10">
        <v>127971</v>
      </c>
      <c r="F6370" s="12">
        <v>8.2200000000000006E-5</v>
      </c>
    </row>
    <row r="6371" spans="1:6">
      <c r="A6371" s="10">
        <v>2023</v>
      </c>
      <c r="B6371" t="s">
        <v>1252</v>
      </c>
      <c r="C6371" t="s">
        <v>2013</v>
      </c>
      <c r="D6371" t="s">
        <v>2013</v>
      </c>
      <c r="E6371" s="10">
        <v>139709</v>
      </c>
      <c r="F6371" s="12">
        <v>8.9800000000000001E-5</v>
      </c>
    </row>
    <row r="6372" spans="1:6">
      <c r="A6372" s="10">
        <v>2023</v>
      </c>
      <c r="B6372" t="s">
        <v>1326</v>
      </c>
      <c r="C6372" t="s">
        <v>2014</v>
      </c>
      <c r="D6372" t="s">
        <v>2014</v>
      </c>
      <c r="E6372" s="10">
        <v>101777</v>
      </c>
      <c r="F6372" s="12">
        <v>6.5400000000000004E-5</v>
      </c>
    </row>
    <row r="6373" spans="1:6">
      <c r="A6373" s="10">
        <v>2023</v>
      </c>
      <c r="B6373" t="s">
        <v>1327</v>
      </c>
      <c r="C6373" t="s">
        <v>1279</v>
      </c>
      <c r="D6373" t="s">
        <v>1279</v>
      </c>
      <c r="E6373" s="10">
        <v>1523298</v>
      </c>
      <c r="F6373" s="12">
        <v>9.7900000000000005E-4</v>
      </c>
    </row>
    <row r="6374" spans="1:6">
      <c r="A6374" s="10">
        <v>2023</v>
      </c>
      <c r="B6374" t="s">
        <v>1328</v>
      </c>
      <c r="C6374" t="s">
        <v>1484</v>
      </c>
      <c r="D6374" t="s">
        <v>1484</v>
      </c>
      <c r="E6374" s="10">
        <v>58640</v>
      </c>
      <c r="F6374" s="12">
        <v>3.7700000000000002E-5</v>
      </c>
    </row>
    <row r="6375" spans="1:6">
      <c r="A6375" s="10">
        <v>2023</v>
      </c>
      <c r="B6375" t="s">
        <v>1329</v>
      </c>
      <c r="C6375" t="s">
        <v>1485</v>
      </c>
      <c r="D6375" t="s">
        <v>1485</v>
      </c>
      <c r="E6375" s="10">
        <v>1605828</v>
      </c>
      <c r="F6375" s="12">
        <v>1.0319999999999999E-3</v>
      </c>
    </row>
    <row r="6376" spans="1:6">
      <c r="A6376" s="10">
        <v>2023</v>
      </c>
      <c r="B6376" t="s">
        <v>1332</v>
      </c>
      <c r="C6376" t="s">
        <v>1284</v>
      </c>
      <c r="D6376" t="s">
        <v>1284</v>
      </c>
      <c r="E6376" s="10">
        <v>14763</v>
      </c>
      <c r="F6376" s="12">
        <v>9.5000000000000005E-6</v>
      </c>
    </row>
    <row r="6377" spans="1:6">
      <c r="A6377" s="10">
        <v>2023</v>
      </c>
      <c r="B6377" t="s">
        <v>1333</v>
      </c>
      <c r="C6377" t="s">
        <v>2015</v>
      </c>
      <c r="D6377" t="s">
        <v>2015</v>
      </c>
      <c r="E6377" s="10">
        <v>6623</v>
      </c>
      <c r="F6377" s="12">
        <v>4.3000000000000003E-6</v>
      </c>
    </row>
    <row r="6378" spans="1:6">
      <c r="A6378" s="10">
        <v>2023</v>
      </c>
      <c r="B6378" t="s">
        <v>1334</v>
      </c>
      <c r="C6378" t="s">
        <v>2016</v>
      </c>
      <c r="D6378" t="s">
        <v>2016</v>
      </c>
      <c r="E6378" s="10">
        <v>1636313</v>
      </c>
      <c r="F6378" s="12">
        <v>1.0516E-3</v>
      </c>
    </row>
    <row r="6379" spans="1:6">
      <c r="A6379" s="10">
        <v>2023</v>
      </c>
      <c r="B6379" t="s">
        <v>1335</v>
      </c>
      <c r="C6379" t="s">
        <v>2017</v>
      </c>
      <c r="D6379" t="s">
        <v>2017</v>
      </c>
      <c r="E6379" s="10">
        <v>905362</v>
      </c>
      <c r="F6379" s="12">
        <v>5.8180000000000005E-4</v>
      </c>
    </row>
    <row r="6380" spans="1:6">
      <c r="A6380" s="10">
        <v>2023</v>
      </c>
      <c r="B6380" t="s">
        <v>1253</v>
      </c>
      <c r="C6380" t="s">
        <v>2018</v>
      </c>
      <c r="D6380" t="s">
        <v>2018</v>
      </c>
      <c r="E6380" s="10">
        <v>484998</v>
      </c>
      <c r="F6380" s="12">
        <v>3.1169999999999999E-4</v>
      </c>
    </row>
    <row r="6381" spans="1:6">
      <c r="A6381" s="10">
        <v>2023</v>
      </c>
      <c r="B6381" t="s">
        <v>1336</v>
      </c>
      <c r="C6381" t="s">
        <v>2019</v>
      </c>
      <c r="D6381" t="s">
        <v>2019</v>
      </c>
      <c r="E6381" s="10">
        <v>881823</v>
      </c>
      <c r="F6381" s="12">
        <v>5.6669999999999995E-4</v>
      </c>
    </row>
    <row r="6382" spans="1:6">
      <c r="A6382" s="10">
        <v>2023</v>
      </c>
      <c r="B6382" t="s">
        <v>463</v>
      </c>
      <c r="C6382" t="s">
        <v>2020</v>
      </c>
      <c r="D6382" t="s">
        <v>2020</v>
      </c>
      <c r="E6382" s="10">
        <v>242228</v>
      </c>
      <c r="F6382" s="12">
        <v>1.5569999999999999E-4</v>
      </c>
    </row>
    <row r="6383" spans="1:6">
      <c r="A6383" s="10">
        <v>2023</v>
      </c>
      <c r="B6383" t="s">
        <v>1337</v>
      </c>
      <c r="C6383" t="s">
        <v>2021</v>
      </c>
      <c r="D6383" t="s">
        <v>2021</v>
      </c>
      <c r="E6383" s="10">
        <v>608911</v>
      </c>
      <c r="F6383" s="12">
        <v>3.9130000000000002E-4</v>
      </c>
    </row>
    <row r="6384" spans="1:6">
      <c r="A6384" s="10">
        <v>2023</v>
      </c>
      <c r="B6384" t="s">
        <v>464</v>
      </c>
      <c r="C6384" t="s">
        <v>2022</v>
      </c>
      <c r="D6384" t="s">
        <v>2022</v>
      </c>
      <c r="E6384" s="10">
        <v>400625</v>
      </c>
      <c r="F6384" s="12">
        <v>2.5750000000000002E-4</v>
      </c>
    </row>
    <row r="6385" spans="1:6">
      <c r="A6385" s="10">
        <v>2023</v>
      </c>
      <c r="B6385" t="s">
        <v>1338</v>
      </c>
      <c r="C6385" t="s">
        <v>2023</v>
      </c>
      <c r="D6385" t="s">
        <v>2023</v>
      </c>
      <c r="E6385" s="10">
        <v>4095</v>
      </c>
      <c r="F6385" s="12">
        <v>2.6000000000000001E-6</v>
      </c>
    </row>
    <row r="6386" spans="1:6">
      <c r="A6386" s="10">
        <v>2023</v>
      </c>
      <c r="B6386" t="s">
        <v>907</v>
      </c>
      <c r="C6386" t="s">
        <v>2024</v>
      </c>
      <c r="D6386" t="s">
        <v>2024</v>
      </c>
      <c r="E6386" s="10">
        <v>50282</v>
      </c>
      <c r="F6386" s="12">
        <v>3.2299999999999999E-5</v>
      </c>
    </row>
    <row r="6387" spans="1:6">
      <c r="A6387" s="10">
        <v>2023</v>
      </c>
      <c r="B6387" t="s">
        <v>1339</v>
      </c>
      <c r="C6387" t="s">
        <v>2025</v>
      </c>
      <c r="D6387" t="s">
        <v>2025</v>
      </c>
      <c r="E6387" s="10">
        <v>836485</v>
      </c>
      <c r="F6387" s="12">
        <v>5.3759999999999995E-4</v>
      </c>
    </row>
    <row r="6388" spans="1:6">
      <c r="A6388" s="10">
        <v>2023</v>
      </c>
      <c r="B6388" t="s">
        <v>1340</v>
      </c>
      <c r="C6388" t="s">
        <v>2026</v>
      </c>
      <c r="D6388" t="s">
        <v>2026</v>
      </c>
      <c r="E6388" s="10">
        <v>1574698</v>
      </c>
      <c r="F6388" s="12">
        <v>1.0120000000000001E-3</v>
      </c>
    </row>
    <row r="6389" spans="1:6">
      <c r="A6389" s="10">
        <v>2023</v>
      </c>
      <c r="B6389" t="s">
        <v>1341</v>
      </c>
      <c r="C6389" t="s">
        <v>2027</v>
      </c>
      <c r="D6389" t="s">
        <v>2027</v>
      </c>
      <c r="E6389" s="10">
        <v>1488580</v>
      </c>
      <c r="F6389" s="12">
        <v>9.567E-4</v>
      </c>
    </row>
    <row r="6390" spans="1:6">
      <c r="A6390" s="10">
        <v>2023</v>
      </c>
      <c r="B6390" t="s">
        <v>465</v>
      </c>
      <c r="C6390" t="s">
        <v>2028</v>
      </c>
      <c r="D6390" t="s">
        <v>2028</v>
      </c>
      <c r="E6390" s="10">
        <v>439013</v>
      </c>
      <c r="F6390" s="12">
        <v>2.8210000000000003E-4</v>
      </c>
    </row>
    <row r="6391" spans="1:6">
      <c r="A6391" s="10">
        <v>2023</v>
      </c>
      <c r="B6391" t="s">
        <v>1343</v>
      </c>
      <c r="C6391" t="s">
        <v>2029</v>
      </c>
      <c r="D6391" t="s">
        <v>2029</v>
      </c>
      <c r="E6391" s="10">
        <v>64803</v>
      </c>
      <c r="F6391" s="12">
        <v>4.1600000000000002E-5</v>
      </c>
    </row>
    <row r="6392" spans="1:6">
      <c r="A6392" s="10">
        <v>2023</v>
      </c>
      <c r="B6392" t="s">
        <v>1344</v>
      </c>
      <c r="C6392" t="s">
        <v>2030</v>
      </c>
      <c r="D6392" t="s">
        <v>2030</v>
      </c>
      <c r="E6392" s="10">
        <v>90679</v>
      </c>
      <c r="F6392" s="12">
        <v>5.8300000000000001E-5</v>
      </c>
    </row>
    <row r="6393" spans="1:6">
      <c r="A6393" s="10">
        <v>2023</v>
      </c>
      <c r="B6393" t="s">
        <v>1346</v>
      </c>
      <c r="C6393" t="s">
        <v>1298</v>
      </c>
      <c r="D6393" t="s">
        <v>1298</v>
      </c>
      <c r="E6393" s="10">
        <v>3214931</v>
      </c>
      <c r="F6393" s="12">
        <v>2.0661E-3</v>
      </c>
    </row>
    <row r="6394" spans="1:6">
      <c r="A6394" s="10">
        <v>2023</v>
      </c>
      <c r="B6394" t="s">
        <v>1347</v>
      </c>
      <c r="C6394" t="s">
        <v>1299</v>
      </c>
      <c r="D6394" t="s">
        <v>1299</v>
      </c>
      <c r="E6394" s="10">
        <v>7930862</v>
      </c>
      <c r="F6394" s="12">
        <v>5.0968999999999997E-3</v>
      </c>
    </row>
    <row r="6395" spans="1:6">
      <c r="A6395" s="10">
        <v>2023</v>
      </c>
      <c r="B6395" t="s">
        <v>1348</v>
      </c>
      <c r="C6395" t="s">
        <v>2032</v>
      </c>
      <c r="D6395" t="s">
        <v>2032</v>
      </c>
      <c r="E6395" s="10">
        <v>94910</v>
      </c>
      <c r="F6395" s="12">
        <v>6.0999999999999999E-5</v>
      </c>
    </row>
    <row r="6396" spans="1:6">
      <c r="A6396" s="10">
        <v>2023</v>
      </c>
      <c r="B6396" t="s">
        <v>1349</v>
      </c>
      <c r="C6396" t="s">
        <v>2033</v>
      </c>
      <c r="D6396" t="s">
        <v>2033</v>
      </c>
      <c r="E6396" s="10">
        <v>247754</v>
      </c>
      <c r="F6396" s="12">
        <v>1.5919999999999999E-4</v>
      </c>
    </row>
    <row r="6397" spans="1:6">
      <c r="A6397" s="10">
        <v>2023</v>
      </c>
      <c r="B6397" t="s">
        <v>1254</v>
      </c>
      <c r="C6397" t="s">
        <v>2034</v>
      </c>
      <c r="D6397" t="s">
        <v>2034</v>
      </c>
      <c r="E6397" s="10">
        <v>104171</v>
      </c>
      <c r="F6397" s="12">
        <v>6.69E-5</v>
      </c>
    </row>
    <row r="6398" spans="1:6">
      <c r="A6398" s="10">
        <v>2023</v>
      </c>
      <c r="B6398" t="s">
        <v>1350</v>
      </c>
      <c r="C6398" t="s">
        <v>2035</v>
      </c>
      <c r="D6398" t="s">
        <v>2035</v>
      </c>
      <c r="E6398" s="10">
        <v>47606</v>
      </c>
      <c r="F6398" s="12">
        <v>3.0599999999999998E-5</v>
      </c>
    </row>
    <row r="6399" spans="1:6">
      <c r="A6399" s="10">
        <v>2023</v>
      </c>
      <c r="B6399" t="s">
        <v>1352</v>
      </c>
      <c r="C6399" t="s">
        <v>1304</v>
      </c>
      <c r="D6399" t="s">
        <v>1304</v>
      </c>
      <c r="E6399" s="10">
        <v>5716825</v>
      </c>
      <c r="F6399" s="12">
        <v>3.6740000000000002E-3</v>
      </c>
    </row>
    <row r="6400" spans="1:6">
      <c r="A6400" s="10">
        <v>2023</v>
      </c>
      <c r="B6400" t="s">
        <v>1353</v>
      </c>
      <c r="C6400" t="s">
        <v>1305</v>
      </c>
      <c r="D6400" t="s">
        <v>1305</v>
      </c>
      <c r="E6400" s="10">
        <v>191630</v>
      </c>
      <c r="F6400" s="12">
        <v>1.2320000000000001E-4</v>
      </c>
    </row>
    <row r="6401" spans="1:6">
      <c r="A6401" s="10">
        <v>2023</v>
      </c>
      <c r="B6401" t="s">
        <v>1351</v>
      </c>
      <c r="C6401" t="s">
        <v>2415</v>
      </c>
      <c r="D6401" t="s">
        <v>2415</v>
      </c>
      <c r="E6401" s="10">
        <v>38001</v>
      </c>
      <c r="F6401" s="12">
        <v>2.44E-5</v>
      </c>
    </row>
    <row r="6402" spans="1:6">
      <c r="A6402" s="10">
        <v>2023</v>
      </c>
      <c r="B6402" t="s">
        <v>1354</v>
      </c>
      <c r="C6402" t="s">
        <v>2037</v>
      </c>
      <c r="D6402" t="s">
        <v>2037</v>
      </c>
      <c r="E6402" s="10"/>
    </row>
    <row r="6403" spans="1:6">
      <c r="A6403" s="10">
        <v>2023</v>
      </c>
      <c r="B6403" t="s">
        <v>1355</v>
      </c>
      <c r="C6403" t="s">
        <v>2038</v>
      </c>
      <c r="D6403" t="s">
        <v>2038</v>
      </c>
      <c r="E6403" s="10">
        <v>6472801</v>
      </c>
      <c r="F6403" s="12">
        <v>4.1599000000000002E-3</v>
      </c>
    </row>
    <row r="6404" spans="1:6">
      <c r="A6404" s="10">
        <v>2023</v>
      </c>
      <c r="B6404" t="s">
        <v>1357</v>
      </c>
      <c r="C6404" t="s">
        <v>2039</v>
      </c>
      <c r="D6404" t="s">
        <v>2039</v>
      </c>
      <c r="E6404" s="10">
        <v>174300</v>
      </c>
      <c r="F6404" s="12">
        <v>1.12E-4</v>
      </c>
    </row>
    <row r="6405" spans="1:6">
      <c r="A6405" s="10">
        <v>2023</v>
      </c>
      <c r="B6405" t="s">
        <v>2043</v>
      </c>
      <c r="C6405" t="s">
        <v>2040</v>
      </c>
      <c r="D6405" t="s">
        <v>2040</v>
      </c>
      <c r="E6405" s="10">
        <v>41328</v>
      </c>
      <c r="F6405" s="12">
        <v>2.6599999999999999E-5</v>
      </c>
    </row>
    <row r="6406" spans="1:6">
      <c r="A6406" s="10">
        <v>2023</v>
      </c>
      <c r="B6406" t="s">
        <v>1358</v>
      </c>
      <c r="C6406" t="s">
        <v>2041</v>
      </c>
      <c r="D6406" t="s">
        <v>2041</v>
      </c>
      <c r="E6406" s="10">
        <v>7827466</v>
      </c>
      <c r="F6406" s="12">
        <v>5.0305000000000002E-3</v>
      </c>
    </row>
    <row r="6407" spans="1:6">
      <c r="A6407" s="10">
        <v>2023</v>
      </c>
      <c r="B6407" t="s">
        <v>466</v>
      </c>
      <c r="C6407" t="s">
        <v>2042</v>
      </c>
      <c r="D6407" t="s">
        <v>2042</v>
      </c>
      <c r="E6407" s="10">
        <v>4604217</v>
      </c>
      <c r="F6407" s="12">
        <v>2.9589999999999998E-3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</vt:lpstr>
      <vt:lpstr>Dataset Checks &amp; NCES Match --&gt;</vt:lpstr>
      <vt:lpstr>Contributions Check</vt:lpstr>
      <vt:lpstr>LEAID Match</vt:lpstr>
      <vt:lpstr>Old Data --&gt;</vt:lpstr>
      <vt:lpstr>Data As Collected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2025-02-03T00:49:53Z</dcterms:created>
  <dcterms:modified xsi:type="dcterms:W3CDTF">2025-02-05T03:34:10Z</dcterms:modified>
</cp:coreProperties>
</file>